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xr:revisionPtr revIDLastSave="0" documentId="8_{9BF59FEB-F49F-431A-9AE8-88259A37E464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Employees" sheetId="1" r:id="rId1"/>
    <sheet name="Projects" sheetId="2" r:id="rId2"/>
    <sheet name="Attendance" sheetId="3" r:id="rId3"/>
    <sheet name="Hiring" sheetId="4" r:id="rId4"/>
    <sheet name="KPL_Summary" sheetId="5" r:id="rId5"/>
    <sheet name="All answers" sheetId="6" r:id="rId6"/>
    <sheet name="33" sheetId="7" r:id="rId7"/>
    <sheet name="34" sheetId="16" r:id="rId8"/>
    <sheet name="34(A)" sheetId="17" r:id="rId9"/>
    <sheet name="35" sheetId="8" r:id="rId10"/>
    <sheet name="36" sheetId="9" r:id="rId11"/>
    <sheet name="37" sheetId="18" r:id="rId12"/>
    <sheet name="38" sheetId="12" r:id="rId13"/>
    <sheet name="38(A)" sheetId="13" r:id="rId14"/>
    <sheet name="39" sheetId="22" r:id="rId15"/>
    <sheet name="40" sheetId="23" r:id="rId16"/>
    <sheet name="Sheet18" sheetId="25" state="hidden" r:id="rId17"/>
    <sheet name="Sheet17" sheetId="24" state="hidden" r:id="rId18"/>
    <sheet name="41" sheetId="26" r:id="rId19"/>
    <sheet name="42" sheetId="27" r:id="rId20"/>
    <sheet name="Sheet4" sheetId="10" r:id="rId21"/>
    <sheet name="Sheet12" sheetId="19" state="hidden" r:id="rId22"/>
    <sheet name="Sheet13" sheetId="20" state="hidden" r:id="rId23"/>
    <sheet name="Sheet14" sheetId="21" r:id="rId24"/>
    <sheet name="Sheet7" sheetId="14" state="hidden" r:id="rId25"/>
    <sheet name="Sheet8" sheetId="15" state="hidden" r:id="rId26"/>
    <sheet name="KPL_hint" sheetId="11" r:id="rId27"/>
  </sheets>
  <calcPr calcId="191028"/>
  <pivotCaches>
    <pivotCache cacheId="972" r:id="rId28"/>
    <pivotCache cacheId="973" r:id="rId29"/>
    <pivotCache cacheId="974" r:id="rId30"/>
    <pivotCache cacheId="975" r:id="rId31"/>
    <pivotCache cacheId="976" r:id="rId32"/>
    <pivotCache cacheId="977" r:id="rId33"/>
    <pivotCache cacheId="978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" i="6" l="1"/>
  <c r="B5" i="26"/>
  <c r="B4" i="26"/>
  <c r="B3" i="26"/>
  <c r="B2" i="26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" i="18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2" i="12"/>
  <c r="J5" i="9"/>
  <c r="D4" i="7"/>
  <c r="BI4" i="6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BI65" i="6"/>
  <c r="BI66" i="6"/>
  <c r="BI67" i="6"/>
  <c r="BI68" i="6"/>
  <c r="BI69" i="6"/>
  <c r="BI70" i="6"/>
  <c r="BI71" i="6"/>
  <c r="BI72" i="6"/>
  <c r="BI73" i="6"/>
  <c r="BI74" i="6"/>
  <c r="BI75" i="6"/>
  <c r="BI76" i="6"/>
  <c r="BI77" i="6"/>
  <c r="BI78" i="6"/>
  <c r="BI79" i="6"/>
  <c r="BI80" i="6"/>
  <c r="BI81" i="6"/>
  <c r="BI82" i="6"/>
  <c r="BI83" i="6"/>
  <c r="BI84" i="6"/>
  <c r="BI85" i="6"/>
  <c r="BI86" i="6"/>
  <c r="BI87" i="6"/>
  <c r="BI88" i="6"/>
  <c r="BI89" i="6"/>
  <c r="BI90" i="6"/>
  <c r="BI91" i="6"/>
  <c r="BI92" i="6"/>
  <c r="BI93" i="6"/>
  <c r="BI94" i="6"/>
  <c r="BI95" i="6"/>
  <c r="BI96" i="6"/>
  <c r="BI97" i="6"/>
  <c r="BI98" i="6"/>
  <c r="BI99" i="6"/>
  <c r="BI100" i="6"/>
  <c r="BI101" i="6"/>
  <c r="BI102" i="6"/>
  <c r="BI103" i="6"/>
  <c r="BI104" i="6"/>
  <c r="BI105" i="6"/>
  <c r="BI106" i="6"/>
  <c r="BI107" i="6"/>
  <c r="BI108" i="6"/>
  <c r="BI109" i="6"/>
  <c r="BI110" i="6"/>
  <c r="BI111" i="6"/>
  <c r="BI112" i="6"/>
  <c r="BI113" i="6"/>
  <c r="BI114" i="6"/>
  <c r="BI115" i="6"/>
  <c r="BI116" i="6"/>
  <c r="BI117" i="6"/>
  <c r="BI118" i="6"/>
  <c r="BI119" i="6"/>
  <c r="BI120" i="6"/>
  <c r="BI121" i="6"/>
  <c r="BI122" i="6"/>
  <c r="BI123" i="6"/>
  <c r="BI124" i="6"/>
  <c r="BI125" i="6"/>
  <c r="BI126" i="6"/>
  <c r="BI127" i="6"/>
  <c r="BI128" i="6"/>
  <c r="BI129" i="6"/>
  <c r="BI130" i="6"/>
  <c r="BI131" i="6"/>
  <c r="BI132" i="6"/>
  <c r="BI133" i="6"/>
  <c r="BI134" i="6"/>
  <c r="BI135" i="6"/>
  <c r="BI136" i="6"/>
  <c r="BI137" i="6"/>
  <c r="BI138" i="6"/>
  <c r="BI139" i="6"/>
  <c r="BI140" i="6"/>
  <c r="BI141" i="6"/>
  <c r="BI142" i="6"/>
  <c r="BI143" i="6"/>
  <c r="BI144" i="6"/>
  <c r="BI145" i="6"/>
  <c r="BI146" i="6"/>
  <c r="BI147" i="6"/>
  <c r="BI148" i="6"/>
  <c r="BI149" i="6"/>
  <c r="BI150" i="6"/>
  <c r="BI151" i="6"/>
  <c r="BI152" i="6"/>
  <c r="BI153" i="6"/>
  <c r="BI154" i="6"/>
  <c r="BI155" i="6"/>
  <c r="BI156" i="6"/>
  <c r="BI157" i="6"/>
  <c r="BI158" i="6"/>
  <c r="BI159" i="6"/>
  <c r="BI160" i="6"/>
  <c r="BI161" i="6"/>
  <c r="BI162" i="6"/>
  <c r="BI163" i="6"/>
  <c r="BI164" i="6"/>
  <c r="BI165" i="6"/>
  <c r="BI166" i="6"/>
  <c r="BI167" i="6"/>
  <c r="BI168" i="6"/>
  <c r="BI169" i="6"/>
  <c r="BI170" i="6"/>
  <c r="BI171" i="6"/>
  <c r="BI172" i="6"/>
  <c r="BI173" i="6"/>
  <c r="BI174" i="6"/>
  <c r="BI175" i="6"/>
  <c r="BI176" i="6"/>
  <c r="BI177" i="6"/>
  <c r="BI178" i="6"/>
  <c r="BI179" i="6"/>
  <c r="BI180" i="6"/>
  <c r="BI181" i="6"/>
  <c r="BI182" i="6"/>
  <c r="BI183" i="6"/>
  <c r="BI184" i="6"/>
  <c r="BI185" i="6"/>
  <c r="BI186" i="6"/>
  <c r="BI187" i="6"/>
  <c r="BI188" i="6"/>
  <c r="BI189" i="6"/>
  <c r="BI190" i="6"/>
  <c r="BI191" i="6"/>
  <c r="BI192" i="6"/>
  <c r="BI193" i="6"/>
  <c r="BI194" i="6"/>
  <c r="BI195" i="6"/>
  <c r="BI196" i="6"/>
  <c r="BI197" i="6"/>
  <c r="BI198" i="6"/>
  <c r="BI199" i="6"/>
  <c r="BI200" i="6"/>
  <c r="BI201" i="6"/>
  <c r="BI202" i="6"/>
  <c r="BI203" i="6"/>
  <c r="BI204" i="6"/>
  <c r="BI205" i="6"/>
  <c r="BI206" i="6"/>
  <c r="BI207" i="6"/>
  <c r="BI208" i="6"/>
  <c r="BI209" i="6"/>
  <c r="BI210" i="6"/>
  <c r="BI211" i="6"/>
  <c r="BI212" i="6"/>
  <c r="BI213" i="6"/>
  <c r="BI214" i="6"/>
  <c r="BI215" i="6"/>
  <c r="BI216" i="6"/>
  <c r="BI217" i="6"/>
  <c r="BI218" i="6"/>
  <c r="BI219" i="6"/>
  <c r="BI220" i="6"/>
  <c r="BI221" i="6"/>
  <c r="BI222" i="6"/>
  <c r="BI223" i="6"/>
  <c r="BI224" i="6"/>
  <c r="BI225" i="6"/>
  <c r="BI226" i="6"/>
  <c r="BI227" i="6"/>
  <c r="BI228" i="6"/>
  <c r="BI229" i="6"/>
  <c r="BI230" i="6"/>
  <c r="BI231" i="6"/>
  <c r="BI232" i="6"/>
  <c r="BI233" i="6"/>
  <c r="BI234" i="6"/>
  <c r="BI235" i="6"/>
  <c r="BI236" i="6"/>
  <c r="BI237" i="6"/>
  <c r="BI238" i="6"/>
  <c r="BI239" i="6"/>
  <c r="BI240" i="6"/>
  <c r="BI241" i="6"/>
  <c r="BI242" i="6"/>
  <c r="BI243" i="6"/>
  <c r="BI244" i="6"/>
  <c r="BI245" i="6"/>
  <c r="BI246" i="6"/>
  <c r="BI247" i="6"/>
  <c r="BI248" i="6"/>
  <c r="BI249" i="6"/>
  <c r="BI250" i="6"/>
  <c r="BI251" i="6"/>
  <c r="BI252" i="6"/>
  <c r="BI253" i="6"/>
  <c r="BI254" i="6"/>
  <c r="BI255" i="6"/>
  <c r="BI256" i="6"/>
  <c r="BI257" i="6"/>
  <c r="BI258" i="6"/>
  <c r="BI259" i="6"/>
  <c r="BI260" i="6"/>
  <c r="BI261" i="6"/>
  <c r="BI262" i="6"/>
  <c r="BI263" i="6"/>
  <c r="BI264" i="6"/>
  <c r="BI265" i="6"/>
  <c r="BI266" i="6"/>
  <c r="BI267" i="6"/>
  <c r="BI268" i="6"/>
  <c r="BI269" i="6"/>
  <c r="BI270" i="6"/>
  <c r="BI271" i="6"/>
  <c r="BI272" i="6"/>
  <c r="BI273" i="6"/>
  <c r="BI274" i="6"/>
  <c r="BI275" i="6"/>
  <c r="BI276" i="6"/>
  <c r="BI277" i="6"/>
  <c r="BI278" i="6"/>
  <c r="BI279" i="6"/>
  <c r="BI280" i="6"/>
  <c r="BI281" i="6"/>
  <c r="BI282" i="6"/>
  <c r="BI283" i="6"/>
  <c r="BI284" i="6"/>
  <c r="BI285" i="6"/>
  <c r="BI286" i="6"/>
  <c r="BI287" i="6"/>
  <c r="BI288" i="6"/>
  <c r="BI289" i="6"/>
  <c r="BI290" i="6"/>
  <c r="BI291" i="6"/>
  <c r="BI292" i="6"/>
  <c r="BI293" i="6"/>
  <c r="BI294" i="6"/>
  <c r="BI295" i="6"/>
  <c r="BI296" i="6"/>
  <c r="BI297" i="6"/>
  <c r="BI298" i="6"/>
  <c r="BI299" i="6"/>
  <c r="BI300" i="6"/>
  <c r="BI301" i="6"/>
  <c r="BI302" i="6"/>
  <c r="BI303" i="6"/>
  <c r="BI304" i="6"/>
  <c r="BI305" i="6"/>
  <c r="BI306" i="6"/>
  <c r="BI307" i="6"/>
  <c r="BI308" i="6"/>
  <c r="BI309" i="6"/>
  <c r="BI310" i="6"/>
  <c r="BI311" i="6"/>
  <c r="BI312" i="6"/>
  <c r="BI313" i="6"/>
  <c r="BI314" i="6"/>
  <c r="BI315" i="6"/>
  <c r="BI316" i="6"/>
  <c r="BI317" i="6"/>
  <c r="BI318" i="6"/>
  <c r="BI319" i="6"/>
  <c r="BI320" i="6"/>
  <c r="BI321" i="6"/>
  <c r="BI322" i="6"/>
  <c r="BI323" i="6"/>
  <c r="BI324" i="6"/>
  <c r="BI325" i="6"/>
  <c r="BI326" i="6"/>
  <c r="BI327" i="6"/>
  <c r="BI328" i="6"/>
  <c r="BI329" i="6"/>
  <c r="BI330" i="6"/>
  <c r="BI331" i="6"/>
  <c r="BI332" i="6"/>
  <c r="BI333" i="6"/>
  <c r="BI334" i="6"/>
  <c r="BI335" i="6"/>
  <c r="BI336" i="6"/>
  <c r="BI337" i="6"/>
  <c r="BI338" i="6"/>
  <c r="BI339" i="6"/>
  <c r="BI340" i="6"/>
  <c r="BI341" i="6"/>
  <c r="BI342" i="6"/>
  <c r="BI343" i="6"/>
  <c r="BI344" i="6"/>
  <c r="BI345" i="6"/>
  <c r="BI346" i="6"/>
  <c r="BI347" i="6"/>
  <c r="BI348" i="6"/>
  <c r="BI349" i="6"/>
  <c r="BI350" i="6"/>
  <c r="BI351" i="6"/>
  <c r="BI352" i="6"/>
  <c r="BI353" i="6"/>
  <c r="BI354" i="6"/>
  <c r="BI355" i="6"/>
  <c r="BI356" i="6"/>
  <c r="BI357" i="6"/>
  <c r="BI358" i="6"/>
  <c r="BI359" i="6"/>
  <c r="BI360" i="6"/>
  <c r="BI361" i="6"/>
  <c r="BI362" i="6"/>
  <c r="BI363" i="6"/>
  <c r="BI364" i="6"/>
  <c r="BI365" i="6"/>
  <c r="BI366" i="6"/>
  <c r="BI367" i="6"/>
  <c r="BI368" i="6"/>
  <c r="BI369" i="6"/>
  <c r="BI370" i="6"/>
  <c r="BI371" i="6"/>
  <c r="BI372" i="6"/>
  <c r="BI373" i="6"/>
  <c r="BI374" i="6"/>
  <c r="BI375" i="6"/>
  <c r="BI376" i="6"/>
  <c r="BI377" i="6"/>
  <c r="BI378" i="6"/>
  <c r="BI379" i="6"/>
  <c r="BI380" i="6"/>
  <c r="BI381" i="6"/>
  <c r="BI382" i="6"/>
  <c r="BI383" i="6"/>
  <c r="BI384" i="6"/>
  <c r="BI385" i="6"/>
  <c r="BI386" i="6"/>
  <c r="BI387" i="6"/>
  <c r="BI388" i="6"/>
  <c r="BI389" i="6"/>
  <c r="BI390" i="6"/>
  <c r="BI391" i="6"/>
  <c r="BI392" i="6"/>
  <c r="BI393" i="6"/>
  <c r="BI394" i="6"/>
  <c r="BI395" i="6"/>
  <c r="BI396" i="6"/>
  <c r="BI397" i="6"/>
  <c r="BI398" i="6"/>
  <c r="BI399" i="6"/>
  <c r="BI400" i="6"/>
  <c r="BI401" i="6"/>
  <c r="BI402" i="6"/>
  <c r="BI403" i="6"/>
  <c r="BI404" i="6"/>
  <c r="BI405" i="6"/>
  <c r="BI406" i="6"/>
  <c r="BI407" i="6"/>
  <c r="BI408" i="6"/>
  <c r="BI409" i="6"/>
  <c r="BI410" i="6"/>
  <c r="BI411" i="6"/>
  <c r="BI412" i="6"/>
  <c r="BI413" i="6"/>
  <c r="BI414" i="6"/>
  <c r="BI415" i="6"/>
  <c r="BI416" i="6"/>
  <c r="BI417" i="6"/>
  <c r="BI418" i="6"/>
  <c r="BI419" i="6"/>
  <c r="BI420" i="6"/>
  <c r="BI421" i="6"/>
  <c r="BI422" i="6"/>
  <c r="BI423" i="6"/>
  <c r="BI424" i="6"/>
  <c r="BI425" i="6"/>
  <c r="BI426" i="6"/>
  <c r="BI427" i="6"/>
  <c r="BI428" i="6"/>
  <c r="BI429" i="6"/>
  <c r="BI430" i="6"/>
  <c r="BI431" i="6"/>
  <c r="BI432" i="6"/>
  <c r="BI433" i="6"/>
  <c r="BI434" i="6"/>
  <c r="BI435" i="6"/>
  <c r="BI436" i="6"/>
  <c r="BI437" i="6"/>
  <c r="BI438" i="6"/>
  <c r="BI439" i="6"/>
  <c r="BI440" i="6"/>
  <c r="BI441" i="6"/>
  <c r="BI442" i="6"/>
  <c r="BI443" i="6"/>
  <c r="BI444" i="6"/>
  <c r="BI445" i="6"/>
  <c r="BI446" i="6"/>
  <c r="BI447" i="6"/>
  <c r="BI448" i="6"/>
  <c r="BI449" i="6"/>
  <c r="BI450" i="6"/>
  <c r="BI451" i="6"/>
  <c r="BI452" i="6"/>
  <c r="BI453" i="6"/>
  <c r="BI454" i="6"/>
  <c r="BI455" i="6"/>
  <c r="BI456" i="6"/>
  <c r="BI457" i="6"/>
  <c r="BI458" i="6"/>
  <c r="BI459" i="6"/>
  <c r="BI460" i="6"/>
  <c r="BI461" i="6"/>
  <c r="BI462" i="6"/>
  <c r="BI463" i="6"/>
  <c r="BI464" i="6"/>
  <c r="BI465" i="6"/>
  <c r="BI466" i="6"/>
  <c r="BI467" i="6"/>
  <c r="BI468" i="6"/>
  <c r="BI469" i="6"/>
  <c r="BI470" i="6"/>
  <c r="BI471" i="6"/>
  <c r="BI472" i="6"/>
  <c r="BI473" i="6"/>
  <c r="BI474" i="6"/>
  <c r="BI475" i="6"/>
  <c r="BI476" i="6"/>
  <c r="BI477" i="6"/>
  <c r="BI478" i="6"/>
  <c r="BI479" i="6"/>
  <c r="BI480" i="6"/>
  <c r="BI481" i="6"/>
  <c r="BI482" i="6"/>
  <c r="BI483" i="6"/>
  <c r="BI484" i="6"/>
  <c r="BI485" i="6"/>
  <c r="BI486" i="6"/>
  <c r="BI487" i="6"/>
  <c r="BI488" i="6"/>
  <c r="BI489" i="6"/>
  <c r="BI490" i="6"/>
  <c r="BI491" i="6"/>
  <c r="BI492" i="6"/>
  <c r="BI493" i="6"/>
  <c r="BI494" i="6"/>
  <c r="BI495" i="6"/>
  <c r="BI496" i="6"/>
  <c r="BI497" i="6"/>
  <c r="BI498" i="6"/>
  <c r="BI499" i="6"/>
  <c r="BI500" i="6"/>
  <c r="BI501" i="6"/>
  <c r="BI502" i="6"/>
  <c r="BI503" i="6"/>
  <c r="BI504" i="6"/>
  <c r="BI505" i="6"/>
  <c r="BI506" i="6"/>
  <c r="BI507" i="6"/>
  <c r="BI508" i="6"/>
  <c r="BI509" i="6"/>
  <c r="BI510" i="6"/>
  <c r="BI511" i="6"/>
  <c r="BI512" i="6"/>
  <c r="BI513" i="6"/>
  <c r="BI514" i="6"/>
  <c r="BI515" i="6"/>
  <c r="BI516" i="6"/>
  <c r="BI517" i="6"/>
  <c r="BI518" i="6"/>
  <c r="BI519" i="6"/>
  <c r="BI520" i="6"/>
  <c r="BI521" i="6"/>
  <c r="BI522" i="6"/>
  <c r="BI523" i="6"/>
  <c r="BI524" i="6"/>
  <c r="BI525" i="6"/>
  <c r="BI526" i="6"/>
  <c r="BI527" i="6"/>
  <c r="BI528" i="6"/>
  <c r="BI529" i="6"/>
  <c r="BI530" i="6"/>
  <c r="BI531" i="6"/>
  <c r="BI532" i="6"/>
  <c r="BI533" i="6"/>
  <c r="BI534" i="6"/>
  <c r="BI535" i="6"/>
  <c r="BI536" i="6"/>
  <c r="BI537" i="6"/>
  <c r="BI538" i="6"/>
  <c r="BI539" i="6"/>
  <c r="BI540" i="6"/>
  <c r="BI541" i="6"/>
  <c r="BI542" i="6"/>
  <c r="BI543" i="6"/>
  <c r="BI544" i="6"/>
  <c r="BI545" i="6"/>
  <c r="BI546" i="6"/>
  <c r="BI547" i="6"/>
  <c r="BI548" i="6"/>
  <c r="BI549" i="6"/>
  <c r="BI550" i="6"/>
  <c r="BI551" i="6"/>
  <c r="BI552" i="6"/>
  <c r="BI553" i="6"/>
  <c r="BI554" i="6"/>
  <c r="BI555" i="6"/>
  <c r="BI556" i="6"/>
  <c r="BI557" i="6"/>
  <c r="BI558" i="6"/>
  <c r="BI559" i="6"/>
  <c r="BI560" i="6"/>
  <c r="BI561" i="6"/>
  <c r="BI562" i="6"/>
  <c r="BI563" i="6"/>
  <c r="BI564" i="6"/>
  <c r="BI565" i="6"/>
  <c r="BI566" i="6"/>
  <c r="BI567" i="6"/>
  <c r="BI568" i="6"/>
  <c r="BI569" i="6"/>
  <c r="BI570" i="6"/>
  <c r="BI571" i="6"/>
  <c r="BI572" i="6"/>
  <c r="BI573" i="6"/>
  <c r="BI574" i="6"/>
  <c r="BI575" i="6"/>
  <c r="BI576" i="6"/>
  <c r="BI577" i="6"/>
  <c r="BI578" i="6"/>
  <c r="BI579" i="6"/>
  <c r="BI580" i="6"/>
  <c r="BI581" i="6"/>
  <c r="BI582" i="6"/>
  <c r="BI583" i="6"/>
  <c r="BI584" i="6"/>
  <c r="BI585" i="6"/>
  <c r="BI586" i="6"/>
  <c r="BI587" i="6"/>
  <c r="BI588" i="6"/>
  <c r="BI589" i="6"/>
  <c r="BI590" i="6"/>
  <c r="BI591" i="6"/>
  <c r="BI592" i="6"/>
  <c r="BI593" i="6"/>
  <c r="BI594" i="6"/>
  <c r="BI595" i="6"/>
  <c r="BI596" i="6"/>
  <c r="BI597" i="6"/>
  <c r="BI598" i="6"/>
  <c r="BI599" i="6"/>
  <c r="BI600" i="6"/>
  <c r="BI601" i="6"/>
  <c r="AZ2" i="6"/>
  <c r="BA2" i="6" s="1"/>
  <c r="BM3" i="6"/>
  <c r="BM4" i="6"/>
  <c r="BM5" i="6"/>
  <c r="BM6" i="6"/>
  <c r="BM7" i="6"/>
  <c r="BM8" i="6"/>
  <c r="BM9" i="6"/>
  <c r="BM10" i="6"/>
  <c r="BM11" i="6"/>
  <c r="BM12" i="6"/>
  <c r="BM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0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M99" i="6"/>
  <c r="BM100" i="6"/>
  <c r="BM101" i="6"/>
  <c r="BM102" i="6"/>
  <c r="BM103" i="6"/>
  <c r="BM104" i="6"/>
  <c r="BM105" i="6"/>
  <c r="BM106" i="6"/>
  <c r="BM107" i="6"/>
  <c r="BM108" i="6"/>
  <c r="BM109" i="6"/>
  <c r="BM110" i="6"/>
  <c r="BM111" i="6"/>
  <c r="BM112" i="6"/>
  <c r="BM113" i="6"/>
  <c r="BM114" i="6"/>
  <c r="BM115" i="6"/>
  <c r="BM116" i="6"/>
  <c r="BM117" i="6"/>
  <c r="BM118" i="6"/>
  <c r="BM119" i="6"/>
  <c r="BM120" i="6"/>
  <c r="BM121" i="6"/>
  <c r="BM122" i="6"/>
  <c r="BM123" i="6"/>
  <c r="BM124" i="6"/>
  <c r="BM125" i="6"/>
  <c r="BM126" i="6"/>
  <c r="BM127" i="6"/>
  <c r="BM128" i="6"/>
  <c r="BM129" i="6"/>
  <c r="BM130" i="6"/>
  <c r="BM131" i="6"/>
  <c r="BM132" i="6"/>
  <c r="BM133" i="6"/>
  <c r="BM134" i="6"/>
  <c r="BM135" i="6"/>
  <c r="BM136" i="6"/>
  <c r="BM137" i="6"/>
  <c r="BM138" i="6"/>
  <c r="BM139" i="6"/>
  <c r="BM140" i="6"/>
  <c r="BM141" i="6"/>
  <c r="BM142" i="6"/>
  <c r="BM143" i="6"/>
  <c r="BM144" i="6"/>
  <c r="BM145" i="6"/>
  <c r="BM146" i="6"/>
  <c r="BM147" i="6"/>
  <c r="BM148" i="6"/>
  <c r="BM149" i="6"/>
  <c r="BM150" i="6"/>
  <c r="BM151" i="6"/>
  <c r="BM152" i="6"/>
  <c r="BM153" i="6"/>
  <c r="BM154" i="6"/>
  <c r="BM155" i="6"/>
  <c r="BM156" i="6"/>
  <c r="BM157" i="6"/>
  <c r="BM158" i="6"/>
  <c r="BM159" i="6"/>
  <c r="BM160" i="6"/>
  <c r="BM161" i="6"/>
  <c r="BM162" i="6"/>
  <c r="BM163" i="6"/>
  <c r="BM164" i="6"/>
  <c r="BM165" i="6"/>
  <c r="BM166" i="6"/>
  <c r="BM167" i="6"/>
  <c r="BM168" i="6"/>
  <c r="BM169" i="6"/>
  <c r="BM170" i="6"/>
  <c r="BM171" i="6"/>
  <c r="BM172" i="6"/>
  <c r="BM173" i="6"/>
  <c r="BM174" i="6"/>
  <c r="BM175" i="6"/>
  <c r="BM176" i="6"/>
  <c r="BM177" i="6"/>
  <c r="BM178" i="6"/>
  <c r="BM179" i="6"/>
  <c r="BM180" i="6"/>
  <c r="BM181" i="6"/>
  <c r="BM182" i="6"/>
  <c r="BM183" i="6"/>
  <c r="BM184" i="6"/>
  <c r="BM185" i="6"/>
  <c r="BM186" i="6"/>
  <c r="BM187" i="6"/>
  <c r="BM188" i="6"/>
  <c r="BM189" i="6"/>
  <c r="BM190" i="6"/>
  <c r="BM191" i="6"/>
  <c r="BM192" i="6"/>
  <c r="BM193" i="6"/>
  <c r="BM194" i="6"/>
  <c r="BM195" i="6"/>
  <c r="BM196" i="6"/>
  <c r="BM197" i="6"/>
  <c r="BM198" i="6"/>
  <c r="BM199" i="6"/>
  <c r="BM200" i="6"/>
  <c r="BM201" i="6"/>
  <c r="BM202" i="6"/>
  <c r="BM203" i="6"/>
  <c r="BM204" i="6"/>
  <c r="BM205" i="6"/>
  <c r="BM206" i="6"/>
  <c r="BM207" i="6"/>
  <c r="BM208" i="6"/>
  <c r="BM209" i="6"/>
  <c r="BM210" i="6"/>
  <c r="BM211" i="6"/>
  <c r="BM212" i="6"/>
  <c r="BM213" i="6"/>
  <c r="BM214" i="6"/>
  <c r="BM215" i="6"/>
  <c r="BM216" i="6"/>
  <c r="BM217" i="6"/>
  <c r="BM218" i="6"/>
  <c r="BM219" i="6"/>
  <c r="BM220" i="6"/>
  <c r="BM221" i="6"/>
  <c r="BM222" i="6"/>
  <c r="BM223" i="6"/>
  <c r="BM224" i="6"/>
  <c r="BM225" i="6"/>
  <c r="BM226" i="6"/>
  <c r="BM227" i="6"/>
  <c r="BM228" i="6"/>
  <c r="BM229" i="6"/>
  <c r="BM230" i="6"/>
  <c r="BM231" i="6"/>
  <c r="BM232" i="6"/>
  <c r="BM233" i="6"/>
  <c r="BM234" i="6"/>
  <c r="BM235" i="6"/>
  <c r="BM236" i="6"/>
  <c r="BM237" i="6"/>
  <c r="BM238" i="6"/>
  <c r="BM239" i="6"/>
  <c r="BM240" i="6"/>
  <c r="BM241" i="6"/>
  <c r="BM242" i="6"/>
  <c r="BM243" i="6"/>
  <c r="BM244" i="6"/>
  <c r="BM245" i="6"/>
  <c r="BM246" i="6"/>
  <c r="BM247" i="6"/>
  <c r="BM248" i="6"/>
  <c r="BM249" i="6"/>
  <c r="BM250" i="6"/>
  <c r="BM251" i="6"/>
  <c r="BM252" i="6"/>
  <c r="BM253" i="6"/>
  <c r="BM254" i="6"/>
  <c r="BM255" i="6"/>
  <c r="BM256" i="6"/>
  <c r="BM257" i="6"/>
  <c r="BM258" i="6"/>
  <c r="BM259" i="6"/>
  <c r="BM260" i="6"/>
  <c r="BM261" i="6"/>
  <c r="BM262" i="6"/>
  <c r="BM263" i="6"/>
  <c r="BM264" i="6"/>
  <c r="BM265" i="6"/>
  <c r="BM266" i="6"/>
  <c r="BM267" i="6"/>
  <c r="BM268" i="6"/>
  <c r="BM269" i="6"/>
  <c r="BM270" i="6"/>
  <c r="BM271" i="6"/>
  <c r="BM272" i="6"/>
  <c r="BM273" i="6"/>
  <c r="BM274" i="6"/>
  <c r="BM275" i="6"/>
  <c r="BM276" i="6"/>
  <c r="BM277" i="6"/>
  <c r="BM278" i="6"/>
  <c r="BM279" i="6"/>
  <c r="BM280" i="6"/>
  <c r="BM281" i="6"/>
  <c r="BM282" i="6"/>
  <c r="BM283" i="6"/>
  <c r="BM284" i="6"/>
  <c r="BM285" i="6"/>
  <c r="BM286" i="6"/>
  <c r="BM287" i="6"/>
  <c r="BM288" i="6"/>
  <c r="BM289" i="6"/>
  <c r="BM290" i="6"/>
  <c r="BM291" i="6"/>
  <c r="BM292" i="6"/>
  <c r="BM293" i="6"/>
  <c r="BM294" i="6"/>
  <c r="BM295" i="6"/>
  <c r="BM296" i="6"/>
  <c r="BM297" i="6"/>
  <c r="BM298" i="6"/>
  <c r="BM299" i="6"/>
  <c r="BM300" i="6"/>
  <c r="BM301" i="6"/>
  <c r="BM302" i="6"/>
  <c r="BM303" i="6"/>
  <c r="BM304" i="6"/>
  <c r="BM305" i="6"/>
  <c r="BM306" i="6"/>
  <c r="BM307" i="6"/>
  <c r="BM308" i="6"/>
  <c r="BM309" i="6"/>
  <c r="BM310" i="6"/>
  <c r="BM311" i="6"/>
  <c r="BM312" i="6"/>
  <c r="BM313" i="6"/>
  <c r="BM314" i="6"/>
  <c r="BM315" i="6"/>
  <c r="BM316" i="6"/>
  <c r="BM317" i="6"/>
  <c r="BM318" i="6"/>
  <c r="BM319" i="6"/>
  <c r="BM320" i="6"/>
  <c r="BM321" i="6"/>
  <c r="BM322" i="6"/>
  <c r="BM323" i="6"/>
  <c r="BM324" i="6"/>
  <c r="BM325" i="6"/>
  <c r="BM326" i="6"/>
  <c r="BM327" i="6"/>
  <c r="BM328" i="6"/>
  <c r="BM329" i="6"/>
  <c r="BM330" i="6"/>
  <c r="BM331" i="6"/>
  <c r="BM332" i="6"/>
  <c r="BM333" i="6"/>
  <c r="BM334" i="6"/>
  <c r="BM335" i="6"/>
  <c r="BM336" i="6"/>
  <c r="BM337" i="6"/>
  <c r="BM338" i="6"/>
  <c r="BM339" i="6"/>
  <c r="BM340" i="6"/>
  <c r="BM341" i="6"/>
  <c r="BM342" i="6"/>
  <c r="BM343" i="6"/>
  <c r="BM344" i="6"/>
  <c r="BM345" i="6"/>
  <c r="BM346" i="6"/>
  <c r="BM347" i="6"/>
  <c r="BM348" i="6"/>
  <c r="BM349" i="6"/>
  <c r="BM350" i="6"/>
  <c r="BM351" i="6"/>
  <c r="BM352" i="6"/>
  <c r="BM353" i="6"/>
  <c r="BM354" i="6"/>
  <c r="BM355" i="6"/>
  <c r="BM356" i="6"/>
  <c r="BM357" i="6"/>
  <c r="BM358" i="6"/>
  <c r="BM359" i="6"/>
  <c r="BM360" i="6"/>
  <c r="BM361" i="6"/>
  <c r="BM362" i="6"/>
  <c r="BM363" i="6"/>
  <c r="BM364" i="6"/>
  <c r="BM365" i="6"/>
  <c r="BM366" i="6"/>
  <c r="BM367" i="6"/>
  <c r="BM368" i="6"/>
  <c r="BM369" i="6"/>
  <c r="BM370" i="6"/>
  <c r="BM371" i="6"/>
  <c r="BM372" i="6"/>
  <c r="BM373" i="6"/>
  <c r="BM374" i="6"/>
  <c r="BM375" i="6"/>
  <c r="BM376" i="6"/>
  <c r="BM377" i="6"/>
  <c r="BM378" i="6"/>
  <c r="BM379" i="6"/>
  <c r="BM380" i="6"/>
  <c r="BM381" i="6"/>
  <c r="BM382" i="6"/>
  <c r="BM383" i="6"/>
  <c r="BM384" i="6"/>
  <c r="BM385" i="6"/>
  <c r="BM386" i="6"/>
  <c r="BM387" i="6"/>
  <c r="BM388" i="6"/>
  <c r="BM389" i="6"/>
  <c r="BM390" i="6"/>
  <c r="BM391" i="6"/>
  <c r="BM392" i="6"/>
  <c r="BM393" i="6"/>
  <c r="BM394" i="6"/>
  <c r="BM395" i="6"/>
  <c r="BM396" i="6"/>
  <c r="BM397" i="6"/>
  <c r="BM398" i="6"/>
  <c r="BM399" i="6"/>
  <c r="BM400" i="6"/>
  <c r="BM401" i="6"/>
  <c r="BN4" i="6"/>
  <c r="BO4" i="6" s="1"/>
  <c r="BN5" i="6"/>
  <c r="BO5" i="6" s="1"/>
  <c r="BN6" i="6"/>
  <c r="BO6" i="6" s="1"/>
  <c r="BN7" i="6"/>
  <c r="BO7" i="6" s="1"/>
  <c r="BN8" i="6"/>
  <c r="BO8" i="6" s="1"/>
  <c r="BN9" i="6"/>
  <c r="BO9" i="6" s="1"/>
  <c r="BN10" i="6"/>
  <c r="BO10" i="6" s="1"/>
  <c r="BN11" i="6"/>
  <c r="BO11" i="6" s="1"/>
  <c r="BN12" i="6"/>
  <c r="BO12" i="6" s="1"/>
  <c r="BN13" i="6"/>
  <c r="BO13" i="6" s="1"/>
  <c r="BN14" i="6"/>
  <c r="BO14" i="6" s="1"/>
  <c r="BN15" i="6"/>
  <c r="BO15" i="6" s="1"/>
  <c r="BN16" i="6"/>
  <c r="BO16" i="6" s="1"/>
  <c r="BN17" i="6"/>
  <c r="BO17" i="6" s="1"/>
  <c r="BN18" i="6"/>
  <c r="BO18" i="6" s="1"/>
  <c r="BN19" i="6"/>
  <c r="BO19" i="6" s="1"/>
  <c r="BN20" i="6"/>
  <c r="BO20" i="6" s="1"/>
  <c r="BN21" i="6"/>
  <c r="BO21" i="6" s="1"/>
  <c r="BN22" i="6"/>
  <c r="BO22" i="6" s="1"/>
  <c r="BN23" i="6"/>
  <c r="BO23" i="6" s="1"/>
  <c r="BN24" i="6"/>
  <c r="BO24" i="6" s="1"/>
  <c r="BN25" i="6"/>
  <c r="BO25" i="6" s="1"/>
  <c r="BN26" i="6"/>
  <c r="BO26" i="6" s="1"/>
  <c r="BN27" i="6"/>
  <c r="BO27" i="6" s="1"/>
  <c r="BN28" i="6"/>
  <c r="BO28" i="6" s="1"/>
  <c r="BN29" i="6"/>
  <c r="BO29" i="6" s="1"/>
  <c r="BN30" i="6"/>
  <c r="BO30" i="6" s="1"/>
  <c r="BN31" i="6"/>
  <c r="BO31" i="6" s="1"/>
  <c r="BN32" i="6"/>
  <c r="BO32" i="6" s="1"/>
  <c r="BN33" i="6"/>
  <c r="BO33" i="6" s="1"/>
  <c r="BN34" i="6"/>
  <c r="BO34" i="6" s="1"/>
  <c r="BN35" i="6"/>
  <c r="BO35" i="6" s="1"/>
  <c r="BN36" i="6"/>
  <c r="BO36" i="6" s="1"/>
  <c r="BN37" i="6"/>
  <c r="BO37" i="6" s="1"/>
  <c r="BN38" i="6"/>
  <c r="BO38" i="6" s="1"/>
  <c r="BN39" i="6"/>
  <c r="BO39" i="6" s="1"/>
  <c r="BN40" i="6"/>
  <c r="BO40" i="6" s="1"/>
  <c r="BN41" i="6"/>
  <c r="BO41" i="6" s="1"/>
  <c r="BN42" i="6"/>
  <c r="BO42" i="6" s="1"/>
  <c r="BN43" i="6"/>
  <c r="BO43" i="6" s="1"/>
  <c r="BN44" i="6"/>
  <c r="BO44" i="6" s="1"/>
  <c r="BN45" i="6"/>
  <c r="BO45" i="6" s="1"/>
  <c r="BN46" i="6"/>
  <c r="BO46" i="6" s="1"/>
  <c r="BN47" i="6"/>
  <c r="BO47" i="6" s="1"/>
  <c r="BN48" i="6"/>
  <c r="BO48" i="6" s="1"/>
  <c r="BN49" i="6"/>
  <c r="BO49" i="6" s="1"/>
  <c r="BN50" i="6"/>
  <c r="BO50" i="6" s="1"/>
  <c r="BN51" i="6"/>
  <c r="BO51" i="6" s="1"/>
  <c r="BN52" i="6"/>
  <c r="BO52" i="6" s="1"/>
  <c r="BN53" i="6"/>
  <c r="BO53" i="6" s="1"/>
  <c r="BN54" i="6"/>
  <c r="BO54" i="6" s="1"/>
  <c r="BN55" i="6"/>
  <c r="BO55" i="6" s="1"/>
  <c r="BN56" i="6"/>
  <c r="BO56" i="6" s="1"/>
  <c r="BN57" i="6"/>
  <c r="BO57" i="6" s="1"/>
  <c r="BN58" i="6"/>
  <c r="BO58" i="6" s="1"/>
  <c r="BN59" i="6"/>
  <c r="BO59" i="6" s="1"/>
  <c r="BN60" i="6"/>
  <c r="BO60" i="6" s="1"/>
  <c r="BN61" i="6"/>
  <c r="BO61" i="6" s="1"/>
  <c r="BN62" i="6"/>
  <c r="BO62" i="6" s="1"/>
  <c r="BN63" i="6"/>
  <c r="BO63" i="6" s="1"/>
  <c r="BN64" i="6"/>
  <c r="BO64" i="6" s="1"/>
  <c r="BN65" i="6"/>
  <c r="BO65" i="6" s="1"/>
  <c r="BN66" i="6"/>
  <c r="BO66" i="6" s="1"/>
  <c r="BN67" i="6"/>
  <c r="BO67" i="6" s="1"/>
  <c r="BN68" i="6"/>
  <c r="BO68" i="6" s="1"/>
  <c r="BN69" i="6"/>
  <c r="BO69" i="6" s="1"/>
  <c r="BN70" i="6"/>
  <c r="BO70" i="6" s="1"/>
  <c r="BN71" i="6"/>
  <c r="BO71" i="6" s="1"/>
  <c r="BN72" i="6"/>
  <c r="BO72" i="6" s="1"/>
  <c r="BN73" i="6"/>
  <c r="BO73" i="6" s="1"/>
  <c r="BN74" i="6"/>
  <c r="BO74" i="6" s="1"/>
  <c r="BN75" i="6"/>
  <c r="BO75" i="6" s="1"/>
  <c r="BN76" i="6"/>
  <c r="BO76" i="6" s="1"/>
  <c r="BN77" i="6"/>
  <c r="BO77" i="6" s="1"/>
  <c r="BN78" i="6"/>
  <c r="BO78" i="6" s="1"/>
  <c r="BN79" i="6"/>
  <c r="BO79" i="6" s="1"/>
  <c r="BN80" i="6"/>
  <c r="BO80" i="6" s="1"/>
  <c r="BN81" i="6"/>
  <c r="BO81" i="6" s="1"/>
  <c r="BN82" i="6"/>
  <c r="BO82" i="6" s="1"/>
  <c r="BN83" i="6"/>
  <c r="BO83" i="6" s="1"/>
  <c r="BN84" i="6"/>
  <c r="BO84" i="6" s="1"/>
  <c r="BN85" i="6"/>
  <c r="BO85" i="6" s="1"/>
  <c r="BN86" i="6"/>
  <c r="BO86" i="6" s="1"/>
  <c r="BN87" i="6"/>
  <c r="BO87" i="6" s="1"/>
  <c r="BN88" i="6"/>
  <c r="BO88" i="6" s="1"/>
  <c r="BN89" i="6"/>
  <c r="BO89" i="6" s="1"/>
  <c r="BN90" i="6"/>
  <c r="BO90" i="6" s="1"/>
  <c r="BN91" i="6"/>
  <c r="BO91" i="6" s="1"/>
  <c r="BN92" i="6"/>
  <c r="BO92" i="6" s="1"/>
  <c r="BN93" i="6"/>
  <c r="BO93" i="6" s="1"/>
  <c r="BN94" i="6"/>
  <c r="BO94" i="6" s="1"/>
  <c r="BN95" i="6"/>
  <c r="BO95" i="6" s="1"/>
  <c r="BN96" i="6"/>
  <c r="BO96" i="6" s="1"/>
  <c r="BN97" i="6"/>
  <c r="BO97" i="6" s="1"/>
  <c r="BN98" i="6"/>
  <c r="BO98" i="6" s="1"/>
  <c r="BN99" i="6"/>
  <c r="BO99" i="6" s="1"/>
  <c r="BN100" i="6"/>
  <c r="BO100" i="6" s="1"/>
  <c r="BN101" i="6"/>
  <c r="BO101" i="6" s="1"/>
  <c r="BN102" i="6"/>
  <c r="BO102" i="6" s="1"/>
  <c r="BN103" i="6"/>
  <c r="BO103" i="6" s="1"/>
  <c r="BN104" i="6"/>
  <c r="BO104" i="6" s="1"/>
  <c r="BN105" i="6"/>
  <c r="BO105" i="6" s="1"/>
  <c r="BN106" i="6"/>
  <c r="BO106" i="6" s="1"/>
  <c r="BN107" i="6"/>
  <c r="BO107" i="6" s="1"/>
  <c r="BN108" i="6"/>
  <c r="BO108" i="6" s="1"/>
  <c r="BN109" i="6"/>
  <c r="BO109" i="6" s="1"/>
  <c r="BN110" i="6"/>
  <c r="BO110" i="6" s="1"/>
  <c r="BN111" i="6"/>
  <c r="BO111" i="6" s="1"/>
  <c r="BN112" i="6"/>
  <c r="BO112" i="6" s="1"/>
  <c r="BN113" i="6"/>
  <c r="BO113" i="6" s="1"/>
  <c r="BN114" i="6"/>
  <c r="BO114" i="6" s="1"/>
  <c r="BN115" i="6"/>
  <c r="BO115" i="6" s="1"/>
  <c r="BN116" i="6"/>
  <c r="BO116" i="6" s="1"/>
  <c r="BN117" i="6"/>
  <c r="BO117" i="6" s="1"/>
  <c r="BN118" i="6"/>
  <c r="BO118" i="6" s="1"/>
  <c r="BN119" i="6"/>
  <c r="BO119" i="6" s="1"/>
  <c r="BN120" i="6"/>
  <c r="BO120" i="6" s="1"/>
  <c r="BN121" i="6"/>
  <c r="BO121" i="6" s="1"/>
  <c r="BN122" i="6"/>
  <c r="BO122" i="6" s="1"/>
  <c r="BN123" i="6"/>
  <c r="BO123" i="6" s="1"/>
  <c r="BN124" i="6"/>
  <c r="BO124" i="6" s="1"/>
  <c r="BN125" i="6"/>
  <c r="BO125" i="6" s="1"/>
  <c r="BN126" i="6"/>
  <c r="BO126" i="6" s="1"/>
  <c r="BN127" i="6"/>
  <c r="BO127" i="6" s="1"/>
  <c r="BN128" i="6"/>
  <c r="BO128" i="6" s="1"/>
  <c r="BN129" i="6"/>
  <c r="BO129" i="6" s="1"/>
  <c r="BN130" i="6"/>
  <c r="BO130" i="6" s="1"/>
  <c r="BN131" i="6"/>
  <c r="BO131" i="6" s="1"/>
  <c r="BN132" i="6"/>
  <c r="BO132" i="6" s="1"/>
  <c r="BN133" i="6"/>
  <c r="BO133" i="6" s="1"/>
  <c r="BN134" i="6"/>
  <c r="BO134" i="6" s="1"/>
  <c r="BN135" i="6"/>
  <c r="BO135" i="6" s="1"/>
  <c r="BN136" i="6"/>
  <c r="BO136" i="6" s="1"/>
  <c r="BN137" i="6"/>
  <c r="BO137" i="6" s="1"/>
  <c r="BN138" i="6"/>
  <c r="BO138" i="6" s="1"/>
  <c r="BN139" i="6"/>
  <c r="BO139" i="6" s="1"/>
  <c r="BN140" i="6"/>
  <c r="BO140" i="6" s="1"/>
  <c r="BN141" i="6"/>
  <c r="BO141" i="6" s="1"/>
  <c r="BN142" i="6"/>
  <c r="BO142" i="6" s="1"/>
  <c r="BN143" i="6"/>
  <c r="BO143" i="6" s="1"/>
  <c r="BN144" i="6"/>
  <c r="BO144" i="6" s="1"/>
  <c r="BN145" i="6"/>
  <c r="BO145" i="6" s="1"/>
  <c r="BN146" i="6"/>
  <c r="BO146" i="6" s="1"/>
  <c r="BN147" i="6"/>
  <c r="BO147" i="6" s="1"/>
  <c r="BN148" i="6"/>
  <c r="BO148" i="6" s="1"/>
  <c r="BN149" i="6"/>
  <c r="BO149" i="6" s="1"/>
  <c r="BN150" i="6"/>
  <c r="BO150" i="6" s="1"/>
  <c r="BN151" i="6"/>
  <c r="BO151" i="6" s="1"/>
  <c r="BN152" i="6"/>
  <c r="BO152" i="6" s="1"/>
  <c r="BN153" i="6"/>
  <c r="BO153" i="6" s="1"/>
  <c r="BN154" i="6"/>
  <c r="BO154" i="6" s="1"/>
  <c r="BN155" i="6"/>
  <c r="BO155" i="6" s="1"/>
  <c r="BN156" i="6"/>
  <c r="BO156" i="6" s="1"/>
  <c r="BN157" i="6"/>
  <c r="BO157" i="6" s="1"/>
  <c r="BN158" i="6"/>
  <c r="BO158" i="6" s="1"/>
  <c r="BN159" i="6"/>
  <c r="BO159" i="6" s="1"/>
  <c r="BN160" i="6"/>
  <c r="BO160" i="6" s="1"/>
  <c r="BN161" i="6"/>
  <c r="BO161" i="6" s="1"/>
  <c r="BN162" i="6"/>
  <c r="BO162" i="6" s="1"/>
  <c r="BN163" i="6"/>
  <c r="BO163" i="6" s="1"/>
  <c r="BN164" i="6"/>
  <c r="BO164" i="6" s="1"/>
  <c r="BN165" i="6"/>
  <c r="BO165" i="6" s="1"/>
  <c r="BN166" i="6"/>
  <c r="BO166" i="6" s="1"/>
  <c r="BN167" i="6"/>
  <c r="BO167" i="6" s="1"/>
  <c r="BN168" i="6"/>
  <c r="BO168" i="6" s="1"/>
  <c r="BN169" i="6"/>
  <c r="BO169" i="6" s="1"/>
  <c r="BN170" i="6"/>
  <c r="BO170" i="6" s="1"/>
  <c r="BN171" i="6"/>
  <c r="BO171" i="6" s="1"/>
  <c r="BN172" i="6"/>
  <c r="BO172" i="6" s="1"/>
  <c r="BN173" i="6"/>
  <c r="BO173" i="6" s="1"/>
  <c r="BN174" i="6"/>
  <c r="BO174" i="6" s="1"/>
  <c r="BN175" i="6"/>
  <c r="BO175" i="6" s="1"/>
  <c r="BN176" i="6"/>
  <c r="BO176" i="6" s="1"/>
  <c r="BN177" i="6"/>
  <c r="BO177" i="6" s="1"/>
  <c r="BN178" i="6"/>
  <c r="BO178" i="6" s="1"/>
  <c r="BN179" i="6"/>
  <c r="BO179" i="6" s="1"/>
  <c r="BN180" i="6"/>
  <c r="BO180" i="6" s="1"/>
  <c r="BN181" i="6"/>
  <c r="BO181" i="6" s="1"/>
  <c r="BN182" i="6"/>
  <c r="BO182" i="6" s="1"/>
  <c r="BN183" i="6"/>
  <c r="BO183" i="6" s="1"/>
  <c r="BN184" i="6"/>
  <c r="BO184" i="6" s="1"/>
  <c r="BN185" i="6"/>
  <c r="BO185" i="6" s="1"/>
  <c r="BN186" i="6"/>
  <c r="BO186" i="6" s="1"/>
  <c r="BN187" i="6"/>
  <c r="BO187" i="6" s="1"/>
  <c r="BN188" i="6"/>
  <c r="BO188" i="6" s="1"/>
  <c r="BN189" i="6"/>
  <c r="BO189" i="6" s="1"/>
  <c r="BN190" i="6"/>
  <c r="BO190" i="6" s="1"/>
  <c r="BN191" i="6"/>
  <c r="BO191" i="6" s="1"/>
  <c r="BN192" i="6"/>
  <c r="BO192" i="6" s="1"/>
  <c r="BN193" i="6"/>
  <c r="BO193" i="6" s="1"/>
  <c r="BN194" i="6"/>
  <c r="BO194" i="6" s="1"/>
  <c r="BN195" i="6"/>
  <c r="BO195" i="6" s="1"/>
  <c r="BN196" i="6"/>
  <c r="BO196" i="6" s="1"/>
  <c r="BN197" i="6"/>
  <c r="BO197" i="6" s="1"/>
  <c r="BN198" i="6"/>
  <c r="BO198" i="6" s="1"/>
  <c r="BN199" i="6"/>
  <c r="BO199" i="6" s="1"/>
  <c r="BN200" i="6"/>
  <c r="BO200" i="6" s="1"/>
  <c r="BN201" i="6"/>
  <c r="BO201" i="6" s="1"/>
  <c r="BN202" i="6"/>
  <c r="BO202" i="6" s="1"/>
  <c r="BN203" i="6"/>
  <c r="BO203" i="6" s="1"/>
  <c r="BN204" i="6"/>
  <c r="BO204" i="6" s="1"/>
  <c r="BN205" i="6"/>
  <c r="BO205" i="6" s="1"/>
  <c r="BN206" i="6"/>
  <c r="BO206" i="6" s="1"/>
  <c r="BN207" i="6"/>
  <c r="BO207" i="6" s="1"/>
  <c r="BN208" i="6"/>
  <c r="BO208" i="6" s="1"/>
  <c r="BN209" i="6"/>
  <c r="BO209" i="6" s="1"/>
  <c r="BN210" i="6"/>
  <c r="BO210" i="6" s="1"/>
  <c r="BN211" i="6"/>
  <c r="BO211" i="6" s="1"/>
  <c r="BN212" i="6"/>
  <c r="BO212" i="6" s="1"/>
  <c r="BN213" i="6"/>
  <c r="BO213" i="6" s="1"/>
  <c r="BN214" i="6"/>
  <c r="BO214" i="6" s="1"/>
  <c r="BN215" i="6"/>
  <c r="BO215" i="6" s="1"/>
  <c r="BN216" i="6"/>
  <c r="BO216" i="6" s="1"/>
  <c r="BN217" i="6"/>
  <c r="BO217" i="6" s="1"/>
  <c r="BN218" i="6"/>
  <c r="BO218" i="6" s="1"/>
  <c r="BN219" i="6"/>
  <c r="BO219" i="6" s="1"/>
  <c r="BN220" i="6"/>
  <c r="BO220" i="6" s="1"/>
  <c r="BN221" i="6"/>
  <c r="BO221" i="6" s="1"/>
  <c r="BN222" i="6"/>
  <c r="BO222" i="6" s="1"/>
  <c r="BN223" i="6"/>
  <c r="BO223" i="6" s="1"/>
  <c r="BN224" i="6"/>
  <c r="BO224" i="6" s="1"/>
  <c r="BN225" i="6"/>
  <c r="BO225" i="6" s="1"/>
  <c r="BN226" i="6"/>
  <c r="BO226" i="6" s="1"/>
  <c r="BN227" i="6"/>
  <c r="BO227" i="6" s="1"/>
  <c r="BN228" i="6"/>
  <c r="BO228" i="6" s="1"/>
  <c r="BN229" i="6"/>
  <c r="BO229" i="6" s="1"/>
  <c r="BN230" i="6"/>
  <c r="BO230" i="6" s="1"/>
  <c r="BN231" i="6"/>
  <c r="BO231" i="6" s="1"/>
  <c r="BN232" i="6"/>
  <c r="BO232" i="6" s="1"/>
  <c r="BN233" i="6"/>
  <c r="BO233" i="6" s="1"/>
  <c r="BN234" i="6"/>
  <c r="BO234" i="6" s="1"/>
  <c r="BN235" i="6"/>
  <c r="BO235" i="6" s="1"/>
  <c r="BN236" i="6"/>
  <c r="BO236" i="6" s="1"/>
  <c r="BN237" i="6"/>
  <c r="BO237" i="6" s="1"/>
  <c r="BN238" i="6"/>
  <c r="BO238" i="6" s="1"/>
  <c r="BN239" i="6"/>
  <c r="BO239" i="6" s="1"/>
  <c r="BN240" i="6"/>
  <c r="BO240" i="6" s="1"/>
  <c r="BN241" i="6"/>
  <c r="BO241" i="6" s="1"/>
  <c r="BN242" i="6"/>
  <c r="BO242" i="6" s="1"/>
  <c r="BN243" i="6"/>
  <c r="BO243" i="6" s="1"/>
  <c r="BN244" i="6"/>
  <c r="BO244" i="6" s="1"/>
  <c r="BN245" i="6"/>
  <c r="BO245" i="6" s="1"/>
  <c r="BN246" i="6"/>
  <c r="BO246" i="6" s="1"/>
  <c r="BN247" i="6"/>
  <c r="BO247" i="6" s="1"/>
  <c r="BN248" i="6"/>
  <c r="BO248" i="6" s="1"/>
  <c r="BN249" i="6"/>
  <c r="BO249" i="6" s="1"/>
  <c r="BN250" i="6"/>
  <c r="BO250" i="6" s="1"/>
  <c r="BN251" i="6"/>
  <c r="BO251" i="6" s="1"/>
  <c r="BN252" i="6"/>
  <c r="BO252" i="6" s="1"/>
  <c r="BN253" i="6"/>
  <c r="BO253" i="6" s="1"/>
  <c r="BN254" i="6"/>
  <c r="BO254" i="6" s="1"/>
  <c r="BN255" i="6"/>
  <c r="BO255" i="6" s="1"/>
  <c r="BN256" i="6"/>
  <c r="BO256" i="6" s="1"/>
  <c r="BN257" i="6"/>
  <c r="BO257" i="6" s="1"/>
  <c r="BN258" i="6"/>
  <c r="BO258" i="6" s="1"/>
  <c r="BN259" i="6"/>
  <c r="BO259" i="6" s="1"/>
  <c r="BN260" i="6"/>
  <c r="BO260" i="6" s="1"/>
  <c r="BN261" i="6"/>
  <c r="BO261" i="6" s="1"/>
  <c r="BN262" i="6"/>
  <c r="BO262" i="6" s="1"/>
  <c r="BN263" i="6"/>
  <c r="BO263" i="6" s="1"/>
  <c r="BN264" i="6"/>
  <c r="BO264" i="6" s="1"/>
  <c r="BN265" i="6"/>
  <c r="BO265" i="6" s="1"/>
  <c r="BN266" i="6"/>
  <c r="BO266" i="6" s="1"/>
  <c r="BN267" i="6"/>
  <c r="BO267" i="6" s="1"/>
  <c r="BN268" i="6"/>
  <c r="BO268" i="6" s="1"/>
  <c r="BN269" i="6"/>
  <c r="BO269" i="6" s="1"/>
  <c r="BN270" i="6"/>
  <c r="BO270" i="6" s="1"/>
  <c r="BN271" i="6"/>
  <c r="BO271" i="6" s="1"/>
  <c r="BN272" i="6"/>
  <c r="BO272" i="6" s="1"/>
  <c r="BN273" i="6"/>
  <c r="BO273" i="6" s="1"/>
  <c r="BN274" i="6"/>
  <c r="BO274" i="6" s="1"/>
  <c r="BN275" i="6"/>
  <c r="BO275" i="6" s="1"/>
  <c r="BN276" i="6"/>
  <c r="BO276" i="6" s="1"/>
  <c r="BN277" i="6"/>
  <c r="BO277" i="6" s="1"/>
  <c r="BN278" i="6"/>
  <c r="BO278" i="6" s="1"/>
  <c r="BN279" i="6"/>
  <c r="BO279" i="6" s="1"/>
  <c r="BN280" i="6"/>
  <c r="BO280" i="6" s="1"/>
  <c r="BN281" i="6"/>
  <c r="BO281" i="6" s="1"/>
  <c r="BN282" i="6"/>
  <c r="BO282" i="6" s="1"/>
  <c r="BN283" i="6"/>
  <c r="BO283" i="6" s="1"/>
  <c r="BN284" i="6"/>
  <c r="BO284" i="6" s="1"/>
  <c r="BN285" i="6"/>
  <c r="BO285" i="6" s="1"/>
  <c r="BN286" i="6"/>
  <c r="BO286" i="6" s="1"/>
  <c r="BN287" i="6"/>
  <c r="BO287" i="6" s="1"/>
  <c r="BN288" i="6"/>
  <c r="BO288" i="6" s="1"/>
  <c r="BN289" i="6"/>
  <c r="BO289" i="6" s="1"/>
  <c r="BN290" i="6"/>
  <c r="BO290" i="6" s="1"/>
  <c r="BN291" i="6"/>
  <c r="BO291" i="6" s="1"/>
  <c r="BN292" i="6"/>
  <c r="BO292" i="6" s="1"/>
  <c r="BN293" i="6"/>
  <c r="BO293" i="6" s="1"/>
  <c r="BN294" i="6"/>
  <c r="BO294" i="6" s="1"/>
  <c r="BN295" i="6"/>
  <c r="BO295" i="6" s="1"/>
  <c r="BN296" i="6"/>
  <c r="BO296" i="6" s="1"/>
  <c r="BN297" i="6"/>
  <c r="BO297" i="6" s="1"/>
  <c r="BN298" i="6"/>
  <c r="BO298" i="6" s="1"/>
  <c r="BN299" i="6"/>
  <c r="BO299" i="6" s="1"/>
  <c r="BN300" i="6"/>
  <c r="BO300" i="6" s="1"/>
  <c r="BN301" i="6"/>
  <c r="BO301" i="6" s="1"/>
  <c r="BN302" i="6"/>
  <c r="BO302" i="6" s="1"/>
  <c r="BN303" i="6"/>
  <c r="BO303" i="6" s="1"/>
  <c r="BN304" i="6"/>
  <c r="BO304" i="6" s="1"/>
  <c r="BN305" i="6"/>
  <c r="BO305" i="6" s="1"/>
  <c r="BN306" i="6"/>
  <c r="BO306" i="6" s="1"/>
  <c r="BN307" i="6"/>
  <c r="BO307" i="6" s="1"/>
  <c r="BN308" i="6"/>
  <c r="BO308" i="6" s="1"/>
  <c r="BN309" i="6"/>
  <c r="BO309" i="6" s="1"/>
  <c r="BN310" i="6"/>
  <c r="BO310" i="6" s="1"/>
  <c r="BN311" i="6"/>
  <c r="BO311" i="6" s="1"/>
  <c r="BN312" i="6"/>
  <c r="BO312" i="6" s="1"/>
  <c r="BN313" i="6"/>
  <c r="BO313" i="6" s="1"/>
  <c r="BN314" i="6"/>
  <c r="BO314" i="6" s="1"/>
  <c r="BN315" i="6"/>
  <c r="BO315" i="6" s="1"/>
  <c r="BN316" i="6"/>
  <c r="BO316" i="6" s="1"/>
  <c r="BN317" i="6"/>
  <c r="BO317" i="6" s="1"/>
  <c r="BN318" i="6"/>
  <c r="BO318" i="6" s="1"/>
  <c r="BN319" i="6"/>
  <c r="BO319" i="6" s="1"/>
  <c r="BN320" i="6"/>
  <c r="BO320" i="6" s="1"/>
  <c r="BN321" i="6"/>
  <c r="BO321" i="6" s="1"/>
  <c r="BN322" i="6"/>
  <c r="BO322" i="6" s="1"/>
  <c r="BN323" i="6"/>
  <c r="BO323" i="6" s="1"/>
  <c r="BN324" i="6"/>
  <c r="BO324" i="6" s="1"/>
  <c r="BN325" i="6"/>
  <c r="BO325" i="6" s="1"/>
  <c r="BN326" i="6"/>
  <c r="BO326" i="6" s="1"/>
  <c r="BN327" i="6"/>
  <c r="BO327" i="6" s="1"/>
  <c r="BN328" i="6"/>
  <c r="BO328" i="6" s="1"/>
  <c r="BN329" i="6"/>
  <c r="BO329" i="6" s="1"/>
  <c r="BN330" i="6"/>
  <c r="BO330" i="6" s="1"/>
  <c r="BN331" i="6"/>
  <c r="BO331" i="6" s="1"/>
  <c r="BN332" i="6"/>
  <c r="BO332" i="6" s="1"/>
  <c r="BN333" i="6"/>
  <c r="BO333" i="6" s="1"/>
  <c r="BN334" i="6"/>
  <c r="BO334" i="6" s="1"/>
  <c r="BN335" i="6"/>
  <c r="BO335" i="6" s="1"/>
  <c r="BN336" i="6"/>
  <c r="BO336" i="6" s="1"/>
  <c r="BN337" i="6"/>
  <c r="BO337" i="6" s="1"/>
  <c r="BN338" i="6"/>
  <c r="BO338" i="6" s="1"/>
  <c r="BN339" i="6"/>
  <c r="BO339" i="6" s="1"/>
  <c r="BN340" i="6"/>
  <c r="BO340" i="6" s="1"/>
  <c r="BN341" i="6"/>
  <c r="BO341" i="6" s="1"/>
  <c r="BN342" i="6"/>
  <c r="BO342" i="6" s="1"/>
  <c r="BN343" i="6"/>
  <c r="BO343" i="6" s="1"/>
  <c r="BN344" i="6"/>
  <c r="BO344" i="6" s="1"/>
  <c r="BN345" i="6"/>
  <c r="BO345" i="6" s="1"/>
  <c r="BN346" i="6"/>
  <c r="BO346" i="6" s="1"/>
  <c r="BN347" i="6"/>
  <c r="BO347" i="6" s="1"/>
  <c r="BN348" i="6"/>
  <c r="BO348" i="6" s="1"/>
  <c r="BN349" i="6"/>
  <c r="BO349" i="6" s="1"/>
  <c r="BN350" i="6"/>
  <c r="BO350" i="6" s="1"/>
  <c r="BN351" i="6"/>
  <c r="BO351" i="6" s="1"/>
  <c r="BN352" i="6"/>
  <c r="BO352" i="6" s="1"/>
  <c r="BN353" i="6"/>
  <c r="BO353" i="6" s="1"/>
  <c r="BN354" i="6"/>
  <c r="BO354" i="6" s="1"/>
  <c r="BN355" i="6"/>
  <c r="BO355" i="6" s="1"/>
  <c r="BN356" i="6"/>
  <c r="BO356" i="6" s="1"/>
  <c r="BN357" i="6"/>
  <c r="BO357" i="6" s="1"/>
  <c r="BN358" i="6"/>
  <c r="BO358" i="6" s="1"/>
  <c r="BN359" i="6"/>
  <c r="BO359" i="6" s="1"/>
  <c r="BN360" i="6"/>
  <c r="BO360" i="6" s="1"/>
  <c r="BN361" i="6"/>
  <c r="BO361" i="6" s="1"/>
  <c r="BN362" i="6"/>
  <c r="BO362" i="6" s="1"/>
  <c r="BN363" i="6"/>
  <c r="BO363" i="6" s="1"/>
  <c r="BN364" i="6"/>
  <c r="BO364" i="6" s="1"/>
  <c r="BN365" i="6"/>
  <c r="BO365" i="6" s="1"/>
  <c r="BN366" i="6"/>
  <c r="BO366" i="6" s="1"/>
  <c r="BN367" i="6"/>
  <c r="BO367" i="6" s="1"/>
  <c r="BN368" i="6"/>
  <c r="BO368" i="6" s="1"/>
  <c r="BN369" i="6"/>
  <c r="BO369" i="6" s="1"/>
  <c r="BN370" i="6"/>
  <c r="BO370" i="6" s="1"/>
  <c r="BN371" i="6"/>
  <c r="BO371" i="6" s="1"/>
  <c r="BN372" i="6"/>
  <c r="BO372" i="6" s="1"/>
  <c r="BN373" i="6"/>
  <c r="BO373" i="6" s="1"/>
  <c r="BN374" i="6"/>
  <c r="BO374" i="6" s="1"/>
  <c r="BN375" i="6"/>
  <c r="BO375" i="6" s="1"/>
  <c r="BN376" i="6"/>
  <c r="BO376" i="6" s="1"/>
  <c r="BN377" i="6"/>
  <c r="BO377" i="6" s="1"/>
  <c r="BN378" i="6"/>
  <c r="BO378" i="6" s="1"/>
  <c r="BN379" i="6"/>
  <c r="BO379" i="6" s="1"/>
  <c r="BN380" i="6"/>
  <c r="BO380" i="6" s="1"/>
  <c r="BN381" i="6"/>
  <c r="BO381" i="6" s="1"/>
  <c r="BN382" i="6"/>
  <c r="BO382" i="6" s="1"/>
  <c r="BN383" i="6"/>
  <c r="BO383" i="6" s="1"/>
  <c r="BN384" i="6"/>
  <c r="BO384" i="6" s="1"/>
  <c r="BN385" i="6"/>
  <c r="BO385" i="6" s="1"/>
  <c r="BN386" i="6"/>
  <c r="BO386" i="6" s="1"/>
  <c r="BN387" i="6"/>
  <c r="BO387" i="6" s="1"/>
  <c r="BN388" i="6"/>
  <c r="BO388" i="6" s="1"/>
  <c r="BN389" i="6"/>
  <c r="BO389" i="6" s="1"/>
  <c r="BN390" i="6"/>
  <c r="BO390" i="6" s="1"/>
  <c r="BN391" i="6"/>
  <c r="BO391" i="6" s="1"/>
  <c r="BN392" i="6"/>
  <c r="BO392" i="6" s="1"/>
  <c r="BN393" i="6"/>
  <c r="BO393" i="6" s="1"/>
  <c r="BN394" i="6"/>
  <c r="BO394" i="6" s="1"/>
  <c r="BN395" i="6"/>
  <c r="BO395" i="6" s="1"/>
  <c r="BN396" i="6"/>
  <c r="BO396" i="6" s="1"/>
  <c r="BN397" i="6"/>
  <c r="BO397" i="6" s="1"/>
  <c r="BN398" i="6"/>
  <c r="BO398" i="6" s="1"/>
  <c r="BN399" i="6"/>
  <c r="BO399" i="6" s="1"/>
  <c r="BN400" i="6"/>
  <c r="BO400" i="6" s="1"/>
  <c r="BN401" i="6"/>
  <c r="BO401" i="6" s="1"/>
  <c r="BN3" i="6"/>
  <c r="BO3" i="6" s="1"/>
  <c r="BM2" i="6"/>
  <c r="BO2" i="6" s="1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1" i="6"/>
  <c r="BJ32" i="6"/>
  <c r="BJ33" i="6"/>
  <c r="BJ34" i="6"/>
  <c r="BJ35" i="6"/>
  <c r="BJ36" i="6"/>
  <c r="BJ37" i="6"/>
  <c r="BJ38" i="6"/>
  <c r="BJ39" i="6"/>
  <c r="BJ40" i="6"/>
  <c r="BJ41" i="6"/>
  <c r="BJ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J59" i="6"/>
  <c r="BJ60" i="6"/>
  <c r="BJ61" i="6"/>
  <c r="BJ62" i="6"/>
  <c r="BJ63" i="6"/>
  <c r="BJ64" i="6"/>
  <c r="BJ65" i="6"/>
  <c r="BJ66" i="6"/>
  <c r="BJ67" i="6"/>
  <c r="BJ68" i="6"/>
  <c r="BJ69" i="6"/>
  <c r="BJ70" i="6"/>
  <c r="BJ71" i="6"/>
  <c r="BJ72" i="6"/>
  <c r="BJ73" i="6"/>
  <c r="BJ74" i="6"/>
  <c r="BJ75" i="6"/>
  <c r="BJ76" i="6"/>
  <c r="BJ77" i="6"/>
  <c r="BJ78" i="6"/>
  <c r="BJ79" i="6"/>
  <c r="BJ80" i="6"/>
  <c r="BJ81" i="6"/>
  <c r="BJ82" i="6"/>
  <c r="BJ83" i="6"/>
  <c r="BJ84" i="6"/>
  <c r="BJ85" i="6"/>
  <c r="BJ86" i="6"/>
  <c r="BJ87" i="6"/>
  <c r="BJ88" i="6"/>
  <c r="BJ89" i="6"/>
  <c r="BJ90" i="6"/>
  <c r="BJ91" i="6"/>
  <c r="BJ92" i="6"/>
  <c r="BJ93" i="6"/>
  <c r="BJ94" i="6"/>
  <c r="BJ95" i="6"/>
  <c r="BJ96" i="6"/>
  <c r="BJ97" i="6"/>
  <c r="BJ98" i="6"/>
  <c r="BJ99" i="6"/>
  <c r="BJ100" i="6"/>
  <c r="BJ101" i="6"/>
  <c r="BJ102" i="6"/>
  <c r="BJ103" i="6"/>
  <c r="BJ104" i="6"/>
  <c r="BJ105" i="6"/>
  <c r="BJ106" i="6"/>
  <c r="BJ107" i="6"/>
  <c r="BJ108" i="6"/>
  <c r="BJ109" i="6"/>
  <c r="BJ110" i="6"/>
  <c r="BJ111" i="6"/>
  <c r="BJ112" i="6"/>
  <c r="BJ113" i="6"/>
  <c r="BJ114" i="6"/>
  <c r="BJ115" i="6"/>
  <c r="BJ116" i="6"/>
  <c r="BJ117" i="6"/>
  <c r="BJ118" i="6"/>
  <c r="BJ119" i="6"/>
  <c r="BJ120" i="6"/>
  <c r="BJ121" i="6"/>
  <c r="BJ122" i="6"/>
  <c r="BJ123" i="6"/>
  <c r="BJ124" i="6"/>
  <c r="BJ125" i="6"/>
  <c r="BJ126" i="6"/>
  <c r="BJ127" i="6"/>
  <c r="BJ128" i="6"/>
  <c r="BJ129" i="6"/>
  <c r="BJ130" i="6"/>
  <c r="BJ131" i="6"/>
  <c r="BJ132" i="6"/>
  <c r="BJ133" i="6"/>
  <c r="BJ134" i="6"/>
  <c r="BJ135" i="6"/>
  <c r="BJ136" i="6"/>
  <c r="BJ137" i="6"/>
  <c r="BJ138" i="6"/>
  <c r="BJ139" i="6"/>
  <c r="BJ140" i="6"/>
  <c r="BJ141" i="6"/>
  <c r="BJ142" i="6"/>
  <c r="BJ143" i="6"/>
  <c r="BJ144" i="6"/>
  <c r="BJ145" i="6"/>
  <c r="BJ146" i="6"/>
  <c r="BJ147" i="6"/>
  <c r="BJ148" i="6"/>
  <c r="BJ149" i="6"/>
  <c r="BJ150" i="6"/>
  <c r="BJ151" i="6"/>
  <c r="BJ152" i="6"/>
  <c r="BJ153" i="6"/>
  <c r="BJ154" i="6"/>
  <c r="BJ155" i="6"/>
  <c r="BJ156" i="6"/>
  <c r="BJ157" i="6"/>
  <c r="BJ158" i="6"/>
  <c r="BJ159" i="6"/>
  <c r="BJ160" i="6"/>
  <c r="BJ161" i="6"/>
  <c r="BJ162" i="6"/>
  <c r="BJ163" i="6"/>
  <c r="BJ164" i="6"/>
  <c r="BJ165" i="6"/>
  <c r="BJ166" i="6"/>
  <c r="BJ167" i="6"/>
  <c r="BJ168" i="6"/>
  <c r="BJ169" i="6"/>
  <c r="BJ170" i="6"/>
  <c r="BJ171" i="6"/>
  <c r="BJ172" i="6"/>
  <c r="BJ173" i="6"/>
  <c r="BJ174" i="6"/>
  <c r="BJ175" i="6"/>
  <c r="BJ176" i="6"/>
  <c r="BJ177" i="6"/>
  <c r="BJ178" i="6"/>
  <c r="BJ179" i="6"/>
  <c r="BJ180" i="6"/>
  <c r="BJ181" i="6"/>
  <c r="BJ182" i="6"/>
  <c r="BJ183" i="6"/>
  <c r="BJ184" i="6"/>
  <c r="BJ185" i="6"/>
  <c r="BJ186" i="6"/>
  <c r="BJ187" i="6"/>
  <c r="BJ188" i="6"/>
  <c r="BJ189" i="6"/>
  <c r="BJ190" i="6"/>
  <c r="BJ191" i="6"/>
  <c r="BJ192" i="6"/>
  <c r="BJ193" i="6"/>
  <c r="BJ194" i="6"/>
  <c r="BJ195" i="6"/>
  <c r="BJ196" i="6"/>
  <c r="BJ197" i="6"/>
  <c r="BJ198" i="6"/>
  <c r="BJ199" i="6"/>
  <c r="BJ200" i="6"/>
  <c r="BJ201" i="6"/>
  <c r="BJ202" i="6"/>
  <c r="BJ203" i="6"/>
  <c r="BJ204" i="6"/>
  <c r="BJ205" i="6"/>
  <c r="BJ206" i="6"/>
  <c r="BJ207" i="6"/>
  <c r="BJ208" i="6"/>
  <c r="BJ209" i="6"/>
  <c r="BJ210" i="6"/>
  <c r="BJ211" i="6"/>
  <c r="BJ212" i="6"/>
  <c r="BJ213" i="6"/>
  <c r="BJ214" i="6"/>
  <c r="BJ215" i="6"/>
  <c r="BJ216" i="6"/>
  <c r="BJ217" i="6"/>
  <c r="BJ218" i="6"/>
  <c r="BJ219" i="6"/>
  <c r="BJ220" i="6"/>
  <c r="BJ221" i="6"/>
  <c r="BJ222" i="6"/>
  <c r="BJ223" i="6"/>
  <c r="BJ224" i="6"/>
  <c r="BJ225" i="6"/>
  <c r="BJ226" i="6"/>
  <c r="BJ227" i="6"/>
  <c r="BJ228" i="6"/>
  <c r="BJ229" i="6"/>
  <c r="BJ230" i="6"/>
  <c r="BJ231" i="6"/>
  <c r="BJ232" i="6"/>
  <c r="BJ233" i="6"/>
  <c r="BJ234" i="6"/>
  <c r="BJ235" i="6"/>
  <c r="BJ236" i="6"/>
  <c r="BJ237" i="6"/>
  <c r="BJ238" i="6"/>
  <c r="BJ239" i="6"/>
  <c r="BJ240" i="6"/>
  <c r="BJ241" i="6"/>
  <c r="BJ242" i="6"/>
  <c r="BJ243" i="6"/>
  <c r="BJ244" i="6"/>
  <c r="BJ245" i="6"/>
  <c r="BJ246" i="6"/>
  <c r="BJ247" i="6"/>
  <c r="BJ248" i="6"/>
  <c r="BJ249" i="6"/>
  <c r="BJ250" i="6"/>
  <c r="BJ251" i="6"/>
  <c r="BJ252" i="6"/>
  <c r="BJ253" i="6"/>
  <c r="BJ254" i="6"/>
  <c r="BJ255" i="6"/>
  <c r="BJ256" i="6"/>
  <c r="BJ257" i="6"/>
  <c r="BJ258" i="6"/>
  <c r="BJ259" i="6"/>
  <c r="BJ260" i="6"/>
  <c r="BJ261" i="6"/>
  <c r="BJ262" i="6"/>
  <c r="BJ263" i="6"/>
  <c r="BJ264" i="6"/>
  <c r="BJ265" i="6"/>
  <c r="BJ266" i="6"/>
  <c r="BJ267" i="6"/>
  <c r="BJ268" i="6"/>
  <c r="BJ269" i="6"/>
  <c r="BJ270" i="6"/>
  <c r="BJ271" i="6"/>
  <c r="BJ272" i="6"/>
  <c r="BJ273" i="6"/>
  <c r="BJ274" i="6"/>
  <c r="BJ275" i="6"/>
  <c r="BJ276" i="6"/>
  <c r="BJ277" i="6"/>
  <c r="BJ278" i="6"/>
  <c r="BJ279" i="6"/>
  <c r="BJ280" i="6"/>
  <c r="BJ281" i="6"/>
  <c r="BJ282" i="6"/>
  <c r="BJ283" i="6"/>
  <c r="BJ284" i="6"/>
  <c r="BJ285" i="6"/>
  <c r="BJ286" i="6"/>
  <c r="BJ287" i="6"/>
  <c r="BJ288" i="6"/>
  <c r="BJ289" i="6"/>
  <c r="BJ290" i="6"/>
  <c r="BJ291" i="6"/>
  <c r="BJ292" i="6"/>
  <c r="BJ293" i="6"/>
  <c r="BJ294" i="6"/>
  <c r="BJ295" i="6"/>
  <c r="BJ296" i="6"/>
  <c r="BJ297" i="6"/>
  <c r="BJ298" i="6"/>
  <c r="BJ299" i="6"/>
  <c r="BJ300" i="6"/>
  <c r="BJ301" i="6"/>
  <c r="BJ302" i="6"/>
  <c r="BJ303" i="6"/>
  <c r="BJ304" i="6"/>
  <c r="BJ305" i="6"/>
  <c r="BJ306" i="6"/>
  <c r="BJ307" i="6"/>
  <c r="BJ308" i="6"/>
  <c r="BJ309" i="6"/>
  <c r="BJ310" i="6"/>
  <c r="BJ311" i="6"/>
  <c r="BJ312" i="6"/>
  <c r="BJ313" i="6"/>
  <c r="BJ314" i="6"/>
  <c r="BJ315" i="6"/>
  <c r="BJ316" i="6"/>
  <c r="BJ317" i="6"/>
  <c r="BJ318" i="6"/>
  <c r="BJ319" i="6"/>
  <c r="BJ320" i="6"/>
  <c r="BJ321" i="6"/>
  <c r="BJ322" i="6"/>
  <c r="BJ323" i="6"/>
  <c r="BJ324" i="6"/>
  <c r="BJ325" i="6"/>
  <c r="BJ326" i="6"/>
  <c r="BJ327" i="6"/>
  <c r="BJ328" i="6"/>
  <c r="BJ329" i="6"/>
  <c r="BJ330" i="6"/>
  <c r="BJ331" i="6"/>
  <c r="BJ332" i="6"/>
  <c r="BJ333" i="6"/>
  <c r="BJ334" i="6"/>
  <c r="BJ335" i="6"/>
  <c r="BJ336" i="6"/>
  <c r="BJ337" i="6"/>
  <c r="BJ338" i="6"/>
  <c r="BJ339" i="6"/>
  <c r="BJ340" i="6"/>
  <c r="BJ341" i="6"/>
  <c r="BJ342" i="6"/>
  <c r="BJ343" i="6"/>
  <c r="BJ344" i="6"/>
  <c r="BJ345" i="6"/>
  <c r="BJ346" i="6"/>
  <c r="BJ347" i="6"/>
  <c r="BJ348" i="6"/>
  <c r="BJ349" i="6"/>
  <c r="BJ350" i="6"/>
  <c r="BJ351" i="6"/>
  <c r="BJ352" i="6"/>
  <c r="BJ353" i="6"/>
  <c r="BJ354" i="6"/>
  <c r="BJ355" i="6"/>
  <c r="BJ356" i="6"/>
  <c r="BJ357" i="6"/>
  <c r="BJ358" i="6"/>
  <c r="BJ359" i="6"/>
  <c r="BJ360" i="6"/>
  <c r="BJ361" i="6"/>
  <c r="BJ362" i="6"/>
  <c r="BJ363" i="6"/>
  <c r="BJ364" i="6"/>
  <c r="BJ365" i="6"/>
  <c r="BJ366" i="6"/>
  <c r="BJ367" i="6"/>
  <c r="BJ368" i="6"/>
  <c r="BJ369" i="6"/>
  <c r="BJ370" i="6"/>
  <c r="BJ371" i="6"/>
  <c r="BJ372" i="6"/>
  <c r="BJ373" i="6"/>
  <c r="BJ374" i="6"/>
  <c r="BJ375" i="6"/>
  <c r="BJ376" i="6"/>
  <c r="BJ377" i="6"/>
  <c r="BJ378" i="6"/>
  <c r="BJ379" i="6"/>
  <c r="BJ380" i="6"/>
  <c r="BJ381" i="6"/>
  <c r="BJ382" i="6"/>
  <c r="BJ383" i="6"/>
  <c r="BJ384" i="6"/>
  <c r="BJ385" i="6"/>
  <c r="BJ386" i="6"/>
  <c r="BJ387" i="6"/>
  <c r="BJ388" i="6"/>
  <c r="BJ389" i="6"/>
  <c r="BJ390" i="6"/>
  <c r="BJ391" i="6"/>
  <c r="BJ392" i="6"/>
  <c r="BJ393" i="6"/>
  <c r="BJ394" i="6"/>
  <c r="BJ395" i="6"/>
  <c r="BJ396" i="6"/>
  <c r="BJ397" i="6"/>
  <c r="BJ398" i="6"/>
  <c r="BJ399" i="6"/>
  <c r="BJ400" i="6"/>
  <c r="BJ401" i="6"/>
  <c r="BJ402" i="6"/>
  <c r="BJ403" i="6"/>
  <c r="BJ404" i="6"/>
  <c r="BJ405" i="6"/>
  <c r="BJ406" i="6"/>
  <c r="BJ407" i="6"/>
  <c r="BJ408" i="6"/>
  <c r="BJ409" i="6"/>
  <c r="BJ410" i="6"/>
  <c r="BJ411" i="6"/>
  <c r="BJ412" i="6"/>
  <c r="BJ413" i="6"/>
  <c r="BJ414" i="6"/>
  <c r="BJ415" i="6"/>
  <c r="BJ416" i="6"/>
  <c r="BJ417" i="6"/>
  <c r="BJ418" i="6"/>
  <c r="BJ419" i="6"/>
  <c r="BJ420" i="6"/>
  <c r="BJ421" i="6"/>
  <c r="BJ422" i="6"/>
  <c r="BJ423" i="6"/>
  <c r="BJ424" i="6"/>
  <c r="BJ425" i="6"/>
  <c r="BJ426" i="6"/>
  <c r="BJ427" i="6"/>
  <c r="BJ428" i="6"/>
  <c r="BJ429" i="6"/>
  <c r="BJ430" i="6"/>
  <c r="BJ431" i="6"/>
  <c r="BJ432" i="6"/>
  <c r="BJ433" i="6"/>
  <c r="BJ434" i="6"/>
  <c r="BJ435" i="6"/>
  <c r="BJ436" i="6"/>
  <c r="BJ437" i="6"/>
  <c r="BJ438" i="6"/>
  <c r="BJ439" i="6"/>
  <c r="BJ440" i="6"/>
  <c r="BJ441" i="6"/>
  <c r="BJ442" i="6"/>
  <c r="BJ443" i="6"/>
  <c r="BJ444" i="6"/>
  <c r="BJ445" i="6"/>
  <c r="BJ446" i="6"/>
  <c r="BJ447" i="6"/>
  <c r="BJ448" i="6"/>
  <c r="BJ449" i="6"/>
  <c r="BJ450" i="6"/>
  <c r="BJ451" i="6"/>
  <c r="BJ452" i="6"/>
  <c r="BJ453" i="6"/>
  <c r="BJ454" i="6"/>
  <c r="BJ455" i="6"/>
  <c r="BJ456" i="6"/>
  <c r="BJ457" i="6"/>
  <c r="BJ458" i="6"/>
  <c r="BJ459" i="6"/>
  <c r="BJ460" i="6"/>
  <c r="BJ461" i="6"/>
  <c r="BJ462" i="6"/>
  <c r="BJ463" i="6"/>
  <c r="BJ464" i="6"/>
  <c r="BJ465" i="6"/>
  <c r="BJ466" i="6"/>
  <c r="BJ467" i="6"/>
  <c r="BJ468" i="6"/>
  <c r="BJ469" i="6"/>
  <c r="BJ470" i="6"/>
  <c r="BJ471" i="6"/>
  <c r="BJ472" i="6"/>
  <c r="BJ473" i="6"/>
  <c r="BJ474" i="6"/>
  <c r="BJ475" i="6"/>
  <c r="BJ476" i="6"/>
  <c r="BJ477" i="6"/>
  <c r="BJ478" i="6"/>
  <c r="BJ479" i="6"/>
  <c r="BJ480" i="6"/>
  <c r="BJ481" i="6"/>
  <c r="BJ482" i="6"/>
  <c r="BJ483" i="6"/>
  <c r="BJ484" i="6"/>
  <c r="BJ485" i="6"/>
  <c r="BJ486" i="6"/>
  <c r="BJ487" i="6"/>
  <c r="BJ488" i="6"/>
  <c r="BJ489" i="6"/>
  <c r="BJ490" i="6"/>
  <c r="BJ491" i="6"/>
  <c r="BJ492" i="6"/>
  <c r="BJ493" i="6"/>
  <c r="BJ494" i="6"/>
  <c r="BJ495" i="6"/>
  <c r="BJ496" i="6"/>
  <c r="BJ497" i="6"/>
  <c r="BJ498" i="6"/>
  <c r="BJ499" i="6"/>
  <c r="BJ500" i="6"/>
  <c r="BJ501" i="6"/>
  <c r="BJ502" i="6"/>
  <c r="BJ503" i="6"/>
  <c r="BJ504" i="6"/>
  <c r="BJ505" i="6"/>
  <c r="BJ506" i="6"/>
  <c r="BJ507" i="6"/>
  <c r="BJ508" i="6"/>
  <c r="BJ509" i="6"/>
  <c r="BJ510" i="6"/>
  <c r="BJ511" i="6"/>
  <c r="BJ512" i="6"/>
  <c r="BJ513" i="6"/>
  <c r="BJ514" i="6"/>
  <c r="BJ515" i="6"/>
  <c r="BJ516" i="6"/>
  <c r="BJ517" i="6"/>
  <c r="BJ518" i="6"/>
  <c r="BJ519" i="6"/>
  <c r="BJ520" i="6"/>
  <c r="BJ521" i="6"/>
  <c r="BJ522" i="6"/>
  <c r="BJ523" i="6"/>
  <c r="BJ524" i="6"/>
  <c r="BJ525" i="6"/>
  <c r="BJ526" i="6"/>
  <c r="BJ527" i="6"/>
  <c r="BJ528" i="6"/>
  <c r="BJ529" i="6"/>
  <c r="BJ530" i="6"/>
  <c r="BJ531" i="6"/>
  <c r="BJ532" i="6"/>
  <c r="BJ533" i="6"/>
  <c r="BJ534" i="6"/>
  <c r="BJ535" i="6"/>
  <c r="BJ536" i="6"/>
  <c r="BJ537" i="6"/>
  <c r="BJ538" i="6"/>
  <c r="BJ539" i="6"/>
  <c r="BJ540" i="6"/>
  <c r="BJ541" i="6"/>
  <c r="BJ542" i="6"/>
  <c r="BJ543" i="6"/>
  <c r="BJ544" i="6"/>
  <c r="BJ545" i="6"/>
  <c r="BJ546" i="6"/>
  <c r="BJ547" i="6"/>
  <c r="BJ548" i="6"/>
  <c r="BJ549" i="6"/>
  <c r="BJ550" i="6"/>
  <c r="BJ551" i="6"/>
  <c r="BJ552" i="6"/>
  <c r="BJ553" i="6"/>
  <c r="BJ554" i="6"/>
  <c r="BJ555" i="6"/>
  <c r="BJ556" i="6"/>
  <c r="BJ557" i="6"/>
  <c r="BJ558" i="6"/>
  <c r="BJ559" i="6"/>
  <c r="BJ560" i="6"/>
  <c r="BJ561" i="6"/>
  <c r="BJ562" i="6"/>
  <c r="BJ563" i="6"/>
  <c r="BJ564" i="6"/>
  <c r="BJ565" i="6"/>
  <c r="BJ566" i="6"/>
  <c r="BJ567" i="6"/>
  <c r="BJ568" i="6"/>
  <c r="BJ569" i="6"/>
  <c r="BJ570" i="6"/>
  <c r="BJ571" i="6"/>
  <c r="BJ572" i="6"/>
  <c r="BJ573" i="6"/>
  <c r="BJ574" i="6"/>
  <c r="BJ575" i="6"/>
  <c r="BJ576" i="6"/>
  <c r="BJ577" i="6"/>
  <c r="BJ578" i="6"/>
  <c r="BJ579" i="6"/>
  <c r="BJ580" i="6"/>
  <c r="BJ581" i="6"/>
  <c r="BJ582" i="6"/>
  <c r="BJ583" i="6"/>
  <c r="BJ584" i="6"/>
  <c r="BJ585" i="6"/>
  <c r="BJ586" i="6"/>
  <c r="BJ587" i="6"/>
  <c r="BJ588" i="6"/>
  <c r="BJ589" i="6"/>
  <c r="BJ590" i="6"/>
  <c r="BJ591" i="6"/>
  <c r="BJ592" i="6"/>
  <c r="BJ593" i="6"/>
  <c r="BJ594" i="6"/>
  <c r="BJ595" i="6"/>
  <c r="BJ596" i="6"/>
  <c r="BJ597" i="6"/>
  <c r="BJ598" i="6"/>
  <c r="BJ599" i="6"/>
  <c r="BJ600" i="6"/>
  <c r="BJ601" i="6"/>
  <c r="C10" i="6"/>
  <c r="C9" i="6"/>
  <c r="CG3" i="6"/>
  <c r="CG4" i="6"/>
  <c r="CG5" i="6"/>
  <c r="CG6" i="6"/>
  <c r="CG7" i="6"/>
  <c r="CG8" i="6"/>
  <c r="CG9" i="6"/>
  <c r="CG10" i="6"/>
  <c r="CG11" i="6"/>
  <c r="CG12" i="6"/>
  <c r="CG13" i="6"/>
  <c r="CG14" i="6"/>
  <c r="CG15" i="6"/>
  <c r="CG16" i="6"/>
  <c r="CG17" i="6"/>
  <c r="CG18" i="6"/>
  <c r="CG19" i="6"/>
  <c r="CG20" i="6"/>
  <c r="CG21" i="6"/>
  <c r="CG22" i="6"/>
  <c r="CG23" i="6"/>
  <c r="CG24" i="6"/>
  <c r="CG25" i="6"/>
  <c r="CG26" i="6"/>
  <c r="CG27" i="6"/>
  <c r="CG28" i="6"/>
  <c r="CG29" i="6"/>
  <c r="CG30" i="6"/>
  <c r="CG31" i="6"/>
  <c r="CG32" i="6"/>
  <c r="CG33" i="6"/>
  <c r="CG34" i="6"/>
  <c r="CG35" i="6"/>
  <c r="CG36" i="6"/>
  <c r="CG37" i="6"/>
  <c r="CG38" i="6"/>
  <c r="CG39" i="6"/>
  <c r="CG40" i="6"/>
  <c r="CG41" i="6"/>
  <c r="CG42" i="6"/>
  <c r="CG43" i="6"/>
  <c r="CG44" i="6"/>
  <c r="CG45" i="6"/>
  <c r="CG46" i="6"/>
  <c r="CG47" i="6"/>
  <c r="CG48" i="6"/>
  <c r="CG49" i="6"/>
  <c r="CG50" i="6"/>
  <c r="CG51" i="6"/>
  <c r="CG52" i="6"/>
  <c r="CG53" i="6"/>
  <c r="CG54" i="6"/>
  <c r="CG55" i="6"/>
  <c r="CG56" i="6"/>
  <c r="CG57" i="6"/>
  <c r="CG58" i="6"/>
  <c r="CG59" i="6"/>
  <c r="CG60" i="6"/>
  <c r="CG61" i="6"/>
  <c r="CG62" i="6"/>
  <c r="CG63" i="6"/>
  <c r="CG64" i="6"/>
  <c r="CG65" i="6"/>
  <c r="CG66" i="6"/>
  <c r="CG67" i="6"/>
  <c r="CG68" i="6"/>
  <c r="CG69" i="6"/>
  <c r="CG70" i="6"/>
  <c r="CG71" i="6"/>
  <c r="CG72" i="6"/>
  <c r="CG73" i="6"/>
  <c r="CG74" i="6"/>
  <c r="CG75" i="6"/>
  <c r="CG76" i="6"/>
  <c r="CG77" i="6"/>
  <c r="CG78" i="6"/>
  <c r="CG79" i="6"/>
  <c r="CG80" i="6"/>
  <c r="CG81" i="6"/>
  <c r="CG82" i="6"/>
  <c r="CG83" i="6"/>
  <c r="CG84" i="6"/>
  <c r="CG85" i="6"/>
  <c r="CG86" i="6"/>
  <c r="CG87" i="6"/>
  <c r="CG88" i="6"/>
  <c r="CG89" i="6"/>
  <c r="CG90" i="6"/>
  <c r="CG91" i="6"/>
  <c r="CG92" i="6"/>
  <c r="CG93" i="6"/>
  <c r="CG94" i="6"/>
  <c r="CG95" i="6"/>
  <c r="CG96" i="6"/>
  <c r="CG97" i="6"/>
  <c r="CG98" i="6"/>
  <c r="CG99" i="6"/>
  <c r="CG100" i="6"/>
  <c r="CG101" i="6"/>
  <c r="CG102" i="6"/>
  <c r="CG103" i="6"/>
  <c r="CG104" i="6"/>
  <c r="CG105" i="6"/>
  <c r="CG106" i="6"/>
  <c r="CG107" i="6"/>
  <c r="CG108" i="6"/>
  <c r="CG109" i="6"/>
  <c r="CG110" i="6"/>
  <c r="CG111" i="6"/>
  <c r="CG112" i="6"/>
  <c r="CG113" i="6"/>
  <c r="CG114" i="6"/>
  <c r="CG115" i="6"/>
  <c r="CG116" i="6"/>
  <c r="CG117" i="6"/>
  <c r="CG118" i="6"/>
  <c r="CG119" i="6"/>
  <c r="CG120" i="6"/>
  <c r="CG121" i="6"/>
  <c r="CG122" i="6"/>
  <c r="CG123" i="6"/>
  <c r="CG124" i="6"/>
  <c r="CG125" i="6"/>
  <c r="CG126" i="6"/>
  <c r="CG127" i="6"/>
  <c r="CG128" i="6"/>
  <c r="CG129" i="6"/>
  <c r="CG130" i="6"/>
  <c r="CG131" i="6"/>
  <c r="CG132" i="6"/>
  <c r="CG133" i="6"/>
  <c r="CG134" i="6"/>
  <c r="CG135" i="6"/>
  <c r="CG136" i="6"/>
  <c r="CG137" i="6"/>
  <c r="CG138" i="6"/>
  <c r="CG139" i="6"/>
  <c r="CG140" i="6"/>
  <c r="CG141" i="6"/>
  <c r="CG142" i="6"/>
  <c r="CG143" i="6"/>
  <c r="CG144" i="6"/>
  <c r="CG145" i="6"/>
  <c r="CG146" i="6"/>
  <c r="CG147" i="6"/>
  <c r="CG148" i="6"/>
  <c r="CG149" i="6"/>
  <c r="CG150" i="6"/>
  <c r="CG151" i="6"/>
  <c r="CG152" i="6"/>
  <c r="CG153" i="6"/>
  <c r="CG154" i="6"/>
  <c r="CG155" i="6"/>
  <c r="CG156" i="6"/>
  <c r="CG157" i="6"/>
  <c r="CG158" i="6"/>
  <c r="CG159" i="6"/>
  <c r="CG160" i="6"/>
  <c r="CG161" i="6"/>
  <c r="CG162" i="6"/>
  <c r="CG163" i="6"/>
  <c r="CG164" i="6"/>
  <c r="CG165" i="6"/>
  <c r="CG166" i="6"/>
  <c r="CG167" i="6"/>
  <c r="CG168" i="6"/>
  <c r="CG169" i="6"/>
  <c r="CG170" i="6"/>
  <c r="CG171" i="6"/>
  <c r="CG172" i="6"/>
  <c r="CG173" i="6"/>
  <c r="CG174" i="6"/>
  <c r="CG175" i="6"/>
  <c r="CG176" i="6"/>
  <c r="CG177" i="6"/>
  <c r="CG178" i="6"/>
  <c r="CG179" i="6"/>
  <c r="CG180" i="6"/>
  <c r="CG181" i="6"/>
  <c r="CG182" i="6"/>
  <c r="CG183" i="6"/>
  <c r="CG184" i="6"/>
  <c r="CG185" i="6"/>
  <c r="CG186" i="6"/>
  <c r="CG187" i="6"/>
  <c r="CG188" i="6"/>
  <c r="CG189" i="6"/>
  <c r="CG190" i="6"/>
  <c r="CG191" i="6"/>
  <c r="CG192" i="6"/>
  <c r="CG193" i="6"/>
  <c r="CG194" i="6"/>
  <c r="CG195" i="6"/>
  <c r="CG196" i="6"/>
  <c r="CG197" i="6"/>
  <c r="CG198" i="6"/>
  <c r="CG199" i="6"/>
  <c r="CG200" i="6"/>
  <c r="CG201" i="6"/>
  <c r="CG202" i="6"/>
  <c r="CG203" i="6"/>
  <c r="CG204" i="6"/>
  <c r="CG205" i="6"/>
  <c r="CG206" i="6"/>
  <c r="CG207" i="6"/>
  <c r="CG208" i="6"/>
  <c r="CG209" i="6"/>
  <c r="CG210" i="6"/>
  <c r="CG211" i="6"/>
  <c r="CG212" i="6"/>
  <c r="CG213" i="6"/>
  <c r="CG214" i="6"/>
  <c r="CG215" i="6"/>
  <c r="CG216" i="6"/>
  <c r="CG217" i="6"/>
  <c r="CG218" i="6"/>
  <c r="CG219" i="6"/>
  <c r="CG220" i="6"/>
  <c r="CG221" i="6"/>
  <c r="CG222" i="6"/>
  <c r="CG223" i="6"/>
  <c r="CG224" i="6"/>
  <c r="CG225" i="6"/>
  <c r="CG226" i="6"/>
  <c r="CG227" i="6"/>
  <c r="CG228" i="6"/>
  <c r="CG229" i="6"/>
  <c r="CG230" i="6"/>
  <c r="CG231" i="6"/>
  <c r="CG232" i="6"/>
  <c r="CG233" i="6"/>
  <c r="CG234" i="6"/>
  <c r="CG235" i="6"/>
  <c r="CG236" i="6"/>
  <c r="CG237" i="6"/>
  <c r="CG238" i="6"/>
  <c r="CG239" i="6"/>
  <c r="CG240" i="6"/>
  <c r="CG241" i="6"/>
  <c r="CG242" i="6"/>
  <c r="CG243" i="6"/>
  <c r="CG244" i="6"/>
  <c r="CG245" i="6"/>
  <c r="CG246" i="6"/>
  <c r="CG247" i="6"/>
  <c r="CG248" i="6"/>
  <c r="CG249" i="6"/>
  <c r="CG250" i="6"/>
  <c r="CG251" i="6"/>
  <c r="CG252" i="6"/>
  <c r="CG253" i="6"/>
  <c r="CG254" i="6"/>
  <c r="CG255" i="6"/>
  <c r="CG256" i="6"/>
  <c r="CG257" i="6"/>
  <c r="CG258" i="6"/>
  <c r="CG259" i="6"/>
  <c r="CG260" i="6"/>
  <c r="CG261" i="6"/>
  <c r="CG262" i="6"/>
  <c r="CG263" i="6"/>
  <c r="CG264" i="6"/>
  <c r="CG265" i="6"/>
  <c r="CG266" i="6"/>
  <c r="CG267" i="6"/>
  <c r="CG268" i="6"/>
  <c r="CG269" i="6"/>
  <c r="CG270" i="6"/>
  <c r="CG271" i="6"/>
  <c r="CG272" i="6"/>
  <c r="CG273" i="6"/>
  <c r="CG274" i="6"/>
  <c r="CG275" i="6"/>
  <c r="CG276" i="6"/>
  <c r="CG277" i="6"/>
  <c r="CG278" i="6"/>
  <c r="CG279" i="6"/>
  <c r="CG280" i="6"/>
  <c r="CG281" i="6"/>
  <c r="CG282" i="6"/>
  <c r="CG283" i="6"/>
  <c r="CG284" i="6"/>
  <c r="CG285" i="6"/>
  <c r="CG286" i="6"/>
  <c r="CG287" i="6"/>
  <c r="CG288" i="6"/>
  <c r="CG289" i="6"/>
  <c r="CG290" i="6"/>
  <c r="CG291" i="6"/>
  <c r="CG292" i="6"/>
  <c r="CG293" i="6"/>
  <c r="CG294" i="6"/>
  <c r="CG295" i="6"/>
  <c r="CG296" i="6"/>
  <c r="CG297" i="6"/>
  <c r="CG298" i="6"/>
  <c r="CG299" i="6"/>
  <c r="CG300" i="6"/>
  <c r="CG301" i="6"/>
  <c r="CG302" i="6"/>
  <c r="CG303" i="6"/>
  <c r="CG304" i="6"/>
  <c r="CG305" i="6"/>
  <c r="CG306" i="6"/>
  <c r="CG307" i="6"/>
  <c r="CG308" i="6"/>
  <c r="CG309" i="6"/>
  <c r="CG310" i="6"/>
  <c r="CG311" i="6"/>
  <c r="CG312" i="6"/>
  <c r="CG313" i="6"/>
  <c r="CG314" i="6"/>
  <c r="CG315" i="6"/>
  <c r="CG316" i="6"/>
  <c r="CG317" i="6"/>
  <c r="CG318" i="6"/>
  <c r="CG319" i="6"/>
  <c r="CG320" i="6"/>
  <c r="CG321" i="6"/>
  <c r="CG322" i="6"/>
  <c r="CG323" i="6"/>
  <c r="CG324" i="6"/>
  <c r="CG325" i="6"/>
  <c r="CG326" i="6"/>
  <c r="CG327" i="6"/>
  <c r="CG328" i="6"/>
  <c r="CG329" i="6"/>
  <c r="CG330" i="6"/>
  <c r="CG331" i="6"/>
  <c r="CG332" i="6"/>
  <c r="CG333" i="6"/>
  <c r="CG334" i="6"/>
  <c r="CG335" i="6"/>
  <c r="CG336" i="6"/>
  <c r="CG337" i="6"/>
  <c r="CG338" i="6"/>
  <c r="CG339" i="6"/>
  <c r="CG340" i="6"/>
  <c r="CG341" i="6"/>
  <c r="CG342" i="6"/>
  <c r="CG343" i="6"/>
  <c r="CG344" i="6"/>
  <c r="CG345" i="6"/>
  <c r="CG346" i="6"/>
  <c r="CG347" i="6"/>
  <c r="CG348" i="6"/>
  <c r="CG349" i="6"/>
  <c r="CG350" i="6"/>
  <c r="CG351" i="6"/>
  <c r="CG352" i="6"/>
  <c r="CG353" i="6"/>
  <c r="CG354" i="6"/>
  <c r="CG355" i="6"/>
  <c r="CG356" i="6"/>
  <c r="CG357" i="6"/>
  <c r="CG358" i="6"/>
  <c r="CG359" i="6"/>
  <c r="CG360" i="6"/>
  <c r="CG361" i="6"/>
  <c r="CG362" i="6"/>
  <c r="CG363" i="6"/>
  <c r="CG364" i="6"/>
  <c r="CG365" i="6"/>
  <c r="CG366" i="6"/>
  <c r="CG367" i="6"/>
  <c r="CG368" i="6"/>
  <c r="CG369" i="6"/>
  <c r="CG370" i="6"/>
  <c r="CG371" i="6"/>
  <c r="CG372" i="6"/>
  <c r="CG373" i="6"/>
  <c r="CG374" i="6"/>
  <c r="CG375" i="6"/>
  <c r="CG376" i="6"/>
  <c r="CG377" i="6"/>
  <c r="CG378" i="6"/>
  <c r="CG379" i="6"/>
  <c r="CG380" i="6"/>
  <c r="CG381" i="6"/>
  <c r="CG382" i="6"/>
  <c r="CG383" i="6"/>
  <c r="CG384" i="6"/>
  <c r="CG385" i="6"/>
  <c r="CG386" i="6"/>
  <c r="CG387" i="6"/>
  <c r="CG388" i="6"/>
  <c r="CG389" i="6"/>
  <c r="CG390" i="6"/>
  <c r="CG391" i="6"/>
  <c r="CG392" i="6"/>
  <c r="CG393" i="6"/>
  <c r="CG394" i="6"/>
  <c r="CG395" i="6"/>
  <c r="CG396" i="6"/>
  <c r="CG397" i="6"/>
  <c r="CG398" i="6"/>
  <c r="CG399" i="6"/>
  <c r="CG400" i="6"/>
  <c r="CG401" i="6"/>
  <c r="CG402" i="6"/>
  <c r="CG403" i="6"/>
  <c r="CG404" i="6"/>
  <c r="CG405" i="6"/>
  <c r="CG406" i="6"/>
  <c r="CG407" i="6"/>
  <c r="CG408" i="6"/>
  <c r="CG409" i="6"/>
  <c r="CG410" i="6"/>
  <c r="CG411" i="6"/>
  <c r="CG412" i="6"/>
  <c r="CG413" i="6"/>
  <c r="CG414" i="6"/>
  <c r="CG415" i="6"/>
  <c r="CG416" i="6"/>
  <c r="CG417" i="6"/>
  <c r="CG418" i="6"/>
  <c r="CG419" i="6"/>
  <c r="CG420" i="6"/>
  <c r="CG421" i="6"/>
  <c r="CG422" i="6"/>
  <c r="CG423" i="6"/>
  <c r="CG424" i="6"/>
  <c r="CG425" i="6"/>
  <c r="CG426" i="6"/>
  <c r="CG427" i="6"/>
  <c r="CG428" i="6"/>
  <c r="CG429" i="6"/>
  <c r="CG430" i="6"/>
  <c r="CG431" i="6"/>
  <c r="CG432" i="6"/>
  <c r="CG433" i="6"/>
  <c r="CG434" i="6"/>
  <c r="CG435" i="6"/>
  <c r="CG436" i="6"/>
  <c r="CG437" i="6"/>
  <c r="CG438" i="6"/>
  <c r="CG439" i="6"/>
  <c r="CG440" i="6"/>
  <c r="CG441" i="6"/>
  <c r="CG442" i="6"/>
  <c r="CG443" i="6"/>
  <c r="CG444" i="6"/>
  <c r="CG445" i="6"/>
  <c r="CG446" i="6"/>
  <c r="CG447" i="6"/>
  <c r="CG448" i="6"/>
  <c r="CG449" i="6"/>
  <c r="CG450" i="6"/>
  <c r="CG451" i="6"/>
  <c r="CG452" i="6"/>
  <c r="CG453" i="6"/>
  <c r="CG454" i="6"/>
  <c r="CG455" i="6"/>
  <c r="CG456" i="6"/>
  <c r="CG457" i="6"/>
  <c r="CG458" i="6"/>
  <c r="CG459" i="6"/>
  <c r="CG460" i="6"/>
  <c r="CG461" i="6"/>
  <c r="CG462" i="6"/>
  <c r="CG463" i="6"/>
  <c r="CG464" i="6"/>
  <c r="CG465" i="6"/>
  <c r="CG466" i="6"/>
  <c r="CG467" i="6"/>
  <c r="CG468" i="6"/>
  <c r="CG469" i="6"/>
  <c r="CG470" i="6"/>
  <c r="CG471" i="6"/>
  <c r="CG472" i="6"/>
  <c r="CG473" i="6"/>
  <c r="CG474" i="6"/>
  <c r="CG475" i="6"/>
  <c r="CG476" i="6"/>
  <c r="CG477" i="6"/>
  <c r="CG478" i="6"/>
  <c r="CG479" i="6"/>
  <c r="CG480" i="6"/>
  <c r="CG481" i="6"/>
  <c r="CG482" i="6"/>
  <c r="CG483" i="6"/>
  <c r="CG484" i="6"/>
  <c r="CG485" i="6"/>
  <c r="CG486" i="6"/>
  <c r="CG487" i="6"/>
  <c r="CG488" i="6"/>
  <c r="CG489" i="6"/>
  <c r="CG490" i="6"/>
  <c r="CG491" i="6"/>
  <c r="CG492" i="6"/>
  <c r="CG493" i="6"/>
  <c r="CG494" i="6"/>
  <c r="CG495" i="6"/>
  <c r="CG496" i="6"/>
  <c r="CG497" i="6"/>
  <c r="CG498" i="6"/>
  <c r="CG499" i="6"/>
  <c r="CG500" i="6"/>
  <c r="CG501" i="6"/>
  <c r="CG502" i="6"/>
  <c r="CG503" i="6"/>
  <c r="CG504" i="6"/>
  <c r="CG505" i="6"/>
  <c r="CG506" i="6"/>
  <c r="CG507" i="6"/>
  <c r="CG508" i="6"/>
  <c r="CG509" i="6"/>
  <c r="CG510" i="6"/>
  <c r="CG511" i="6"/>
  <c r="CG512" i="6"/>
  <c r="CG513" i="6"/>
  <c r="CG514" i="6"/>
  <c r="CG515" i="6"/>
  <c r="CG516" i="6"/>
  <c r="CG517" i="6"/>
  <c r="CG518" i="6"/>
  <c r="CG519" i="6"/>
  <c r="CG520" i="6"/>
  <c r="CG521" i="6"/>
  <c r="CG522" i="6"/>
  <c r="CG523" i="6"/>
  <c r="CG524" i="6"/>
  <c r="CG525" i="6"/>
  <c r="CG526" i="6"/>
  <c r="CG527" i="6"/>
  <c r="CG528" i="6"/>
  <c r="CG529" i="6"/>
  <c r="CG530" i="6"/>
  <c r="CG531" i="6"/>
  <c r="CG532" i="6"/>
  <c r="CG533" i="6"/>
  <c r="CG534" i="6"/>
  <c r="CG535" i="6"/>
  <c r="CG536" i="6"/>
  <c r="CG537" i="6"/>
  <c r="CG538" i="6"/>
  <c r="CG539" i="6"/>
  <c r="CG540" i="6"/>
  <c r="CG541" i="6"/>
  <c r="CG542" i="6"/>
  <c r="CG543" i="6"/>
  <c r="CG544" i="6"/>
  <c r="CG545" i="6"/>
  <c r="CG546" i="6"/>
  <c r="CG547" i="6"/>
  <c r="CG548" i="6"/>
  <c r="CG549" i="6"/>
  <c r="CG550" i="6"/>
  <c r="CG551" i="6"/>
  <c r="CG552" i="6"/>
  <c r="CG553" i="6"/>
  <c r="CG554" i="6"/>
  <c r="CG555" i="6"/>
  <c r="CG556" i="6"/>
  <c r="CG557" i="6"/>
  <c r="CG558" i="6"/>
  <c r="CG559" i="6"/>
  <c r="CG560" i="6"/>
  <c r="CG561" i="6"/>
  <c r="CG562" i="6"/>
  <c r="CG563" i="6"/>
  <c r="CG564" i="6"/>
  <c r="CG565" i="6"/>
  <c r="CG566" i="6"/>
  <c r="CG567" i="6"/>
  <c r="CG568" i="6"/>
  <c r="CG569" i="6"/>
  <c r="CG570" i="6"/>
  <c r="CG571" i="6"/>
  <c r="CG572" i="6"/>
  <c r="CG573" i="6"/>
  <c r="CG574" i="6"/>
  <c r="CG575" i="6"/>
  <c r="CG576" i="6"/>
  <c r="CG577" i="6"/>
  <c r="CG578" i="6"/>
  <c r="CG579" i="6"/>
  <c r="CG580" i="6"/>
  <c r="CG581" i="6"/>
  <c r="CG582" i="6"/>
  <c r="CG583" i="6"/>
  <c r="CG584" i="6"/>
  <c r="CG585" i="6"/>
  <c r="CG586" i="6"/>
  <c r="CG587" i="6"/>
  <c r="CG588" i="6"/>
  <c r="CG589" i="6"/>
  <c r="CG590" i="6"/>
  <c r="CG591" i="6"/>
  <c r="CG592" i="6"/>
  <c r="CG593" i="6"/>
  <c r="CG594" i="6"/>
  <c r="CG595" i="6"/>
  <c r="CG596" i="6"/>
  <c r="CG597" i="6"/>
  <c r="CG598" i="6"/>
  <c r="CG599" i="6"/>
  <c r="CG600" i="6"/>
  <c r="CG601" i="6"/>
  <c r="CG2" i="6"/>
  <c r="CE2" i="6" a="1"/>
  <c r="CE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2" i="4"/>
  <c r="C42" i="6"/>
  <c r="BZ3" i="6"/>
  <c r="BZ4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46" i="6"/>
  <c r="BZ47" i="6"/>
  <c r="BZ48" i="6"/>
  <c r="BZ49" i="6"/>
  <c r="BZ50" i="6"/>
  <c r="BZ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68" i="6"/>
  <c r="BZ69" i="6"/>
  <c r="BZ70" i="6"/>
  <c r="BZ71" i="6"/>
  <c r="BZ72" i="6"/>
  <c r="BZ73" i="6"/>
  <c r="BZ74" i="6"/>
  <c r="BZ75" i="6"/>
  <c r="BZ76" i="6"/>
  <c r="BZ77" i="6"/>
  <c r="BZ78" i="6"/>
  <c r="BZ79" i="6"/>
  <c r="BZ80" i="6"/>
  <c r="BZ81" i="6"/>
  <c r="BZ82" i="6"/>
  <c r="BZ83" i="6"/>
  <c r="BZ84" i="6"/>
  <c r="BZ85" i="6"/>
  <c r="BZ86" i="6"/>
  <c r="BZ87" i="6"/>
  <c r="BZ88" i="6"/>
  <c r="BZ89" i="6"/>
  <c r="BZ90" i="6"/>
  <c r="BZ91" i="6"/>
  <c r="BZ92" i="6"/>
  <c r="BZ93" i="6"/>
  <c r="BZ94" i="6"/>
  <c r="BZ95" i="6"/>
  <c r="BZ96" i="6"/>
  <c r="BZ97" i="6"/>
  <c r="BZ98" i="6"/>
  <c r="BZ99" i="6"/>
  <c r="BZ100" i="6"/>
  <c r="BZ101" i="6"/>
  <c r="BZ102" i="6"/>
  <c r="BZ103" i="6"/>
  <c r="BZ104" i="6"/>
  <c r="BZ105" i="6"/>
  <c r="BZ106" i="6"/>
  <c r="BZ107" i="6"/>
  <c r="BZ108" i="6"/>
  <c r="BZ109" i="6"/>
  <c r="BZ110" i="6"/>
  <c r="BZ111" i="6"/>
  <c r="BZ112" i="6"/>
  <c r="BZ113" i="6"/>
  <c r="BZ114" i="6"/>
  <c r="BZ115" i="6"/>
  <c r="BZ116" i="6"/>
  <c r="BZ117" i="6"/>
  <c r="BZ118" i="6"/>
  <c r="BZ119" i="6"/>
  <c r="BZ120" i="6"/>
  <c r="BZ121" i="6"/>
  <c r="BZ122" i="6"/>
  <c r="BZ123" i="6"/>
  <c r="BZ124" i="6"/>
  <c r="BZ125" i="6"/>
  <c r="BZ126" i="6"/>
  <c r="BZ127" i="6"/>
  <c r="BZ128" i="6"/>
  <c r="BZ129" i="6"/>
  <c r="BZ130" i="6"/>
  <c r="BZ131" i="6"/>
  <c r="BZ132" i="6"/>
  <c r="BZ133" i="6"/>
  <c r="BZ134" i="6"/>
  <c r="BZ135" i="6"/>
  <c r="BZ136" i="6"/>
  <c r="BZ137" i="6"/>
  <c r="BZ138" i="6"/>
  <c r="BZ139" i="6"/>
  <c r="BZ140" i="6"/>
  <c r="BZ141" i="6"/>
  <c r="BZ142" i="6"/>
  <c r="BZ143" i="6"/>
  <c r="BZ144" i="6"/>
  <c r="BZ145" i="6"/>
  <c r="BZ146" i="6"/>
  <c r="BZ147" i="6"/>
  <c r="BZ148" i="6"/>
  <c r="BZ149" i="6"/>
  <c r="BZ150" i="6"/>
  <c r="BZ151" i="6"/>
  <c r="BZ152" i="6"/>
  <c r="BZ153" i="6"/>
  <c r="BZ154" i="6"/>
  <c r="BZ155" i="6"/>
  <c r="BZ156" i="6"/>
  <c r="BZ157" i="6"/>
  <c r="BZ158" i="6"/>
  <c r="BZ159" i="6"/>
  <c r="BZ160" i="6"/>
  <c r="BZ161" i="6"/>
  <c r="BZ162" i="6"/>
  <c r="BZ163" i="6"/>
  <c r="BZ164" i="6"/>
  <c r="BZ165" i="6"/>
  <c r="BZ166" i="6"/>
  <c r="BZ167" i="6"/>
  <c r="BZ168" i="6"/>
  <c r="BZ169" i="6"/>
  <c r="BZ170" i="6"/>
  <c r="BZ171" i="6"/>
  <c r="BZ172" i="6"/>
  <c r="BZ173" i="6"/>
  <c r="BZ174" i="6"/>
  <c r="BZ175" i="6"/>
  <c r="BZ176" i="6"/>
  <c r="BZ177" i="6"/>
  <c r="BZ178" i="6"/>
  <c r="BZ179" i="6"/>
  <c r="BZ180" i="6"/>
  <c r="BZ181" i="6"/>
  <c r="BZ182" i="6"/>
  <c r="BZ183" i="6"/>
  <c r="BZ184" i="6"/>
  <c r="BZ185" i="6"/>
  <c r="BZ186" i="6"/>
  <c r="BZ187" i="6"/>
  <c r="BZ188" i="6"/>
  <c r="BZ189" i="6"/>
  <c r="BZ190" i="6"/>
  <c r="BZ191" i="6"/>
  <c r="BZ192" i="6"/>
  <c r="BZ193" i="6"/>
  <c r="BZ194" i="6"/>
  <c r="BZ195" i="6"/>
  <c r="BZ196" i="6"/>
  <c r="BZ197" i="6"/>
  <c r="BZ198" i="6"/>
  <c r="BZ199" i="6"/>
  <c r="BZ200" i="6"/>
  <c r="BZ201" i="6"/>
  <c r="BZ2" i="6"/>
  <c r="BT3" i="6"/>
  <c r="BT4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T30" i="6"/>
  <c r="BT31" i="6"/>
  <c r="BT32" i="6"/>
  <c r="BT33" i="6"/>
  <c r="BT34" i="6"/>
  <c r="BT35" i="6"/>
  <c r="BT36" i="6"/>
  <c r="BT37" i="6"/>
  <c r="BT38" i="6"/>
  <c r="BT39" i="6"/>
  <c r="BT40" i="6"/>
  <c r="BT41" i="6"/>
  <c r="BT42" i="6"/>
  <c r="BT43" i="6"/>
  <c r="BT44" i="6"/>
  <c r="BT45" i="6"/>
  <c r="BT46" i="6"/>
  <c r="BT47" i="6"/>
  <c r="BT48" i="6"/>
  <c r="BT49" i="6"/>
  <c r="BT50" i="6"/>
  <c r="BT51" i="6"/>
  <c r="BT52" i="6"/>
  <c r="BT53" i="6"/>
  <c r="BT54" i="6"/>
  <c r="BT55" i="6"/>
  <c r="BT56" i="6"/>
  <c r="BT57" i="6"/>
  <c r="BT58" i="6"/>
  <c r="BT59" i="6"/>
  <c r="BT60" i="6"/>
  <c r="BT61" i="6"/>
  <c r="BT62" i="6"/>
  <c r="BT63" i="6"/>
  <c r="BT64" i="6"/>
  <c r="BT65" i="6"/>
  <c r="BT66" i="6"/>
  <c r="BT67" i="6"/>
  <c r="BT68" i="6"/>
  <c r="BT69" i="6"/>
  <c r="BT70" i="6"/>
  <c r="BT71" i="6"/>
  <c r="BT72" i="6"/>
  <c r="BT73" i="6"/>
  <c r="BT74" i="6"/>
  <c r="BT75" i="6"/>
  <c r="BT76" i="6"/>
  <c r="BT77" i="6"/>
  <c r="BT78" i="6"/>
  <c r="BT79" i="6"/>
  <c r="BT80" i="6"/>
  <c r="BT81" i="6"/>
  <c r="BT82" i="6"/>
  <c r="BT83" i="6"/>
  <c r="BT84" i="6"/>
  <c r="BT85" i="6"/>
  <c r="BT86" i="6"/>
  <c r="BT87" i="6"/>
  <c r="BT88" i="6"/>
  <c r="BT89" i="6"/>
  <c r="BT90" i="6"/>
  <c r="BT91" i="6"/>
  <c r="BT92" i="6"/>
  <c r="BT93" i="6"/>
  <c r="BT94" i="6"/>
  <c r="BT95" i="6"/>
  <c r="BT96" i="6"/>
  <c r="BT97" i="6"/>
  <c r="BT98" i="6"/>
  <c r="BT99" i="6"/>
  <c r="BT100" i="6"/>
  <c r="BT101" i="6"/>
  <c r="BT102" i="6"/>
  <c r="BT103" i="6"/>
  <c r="BT104" i="6"/>
  <c r="BT105" i="6"/>
  <c r="BT106" i="6"/>
  <c r="BT107" i="6"/>
  <c r="BT108" i="6"/>
  <c r="BT109" i="6"/>
  <c r="BT110" i="6"/>
  <c r="BT111" i="6"/>
  <c r="BT112" i="6"/>
  <c r="BT113" i="6"/>
  <c r="BT114" i="6"/>
  <c r="BT115" i="6"/>
  <c r="BT116" i="6"/>
  <c r="BT117" i="6"/>
  <c r="BT118" i="6"/>
  <c r="BT119" i="6"/>
  <c r="BT120" i="6"/>
  <c r="BT121" i="6"/>
  <c r="BT122" i="6"/>
  <c r="BT123" i="6"/>
  <c r="BT124" i="6"/>
  <c r="BT125" i="6"/>
  <c r="BT126" i="6"/>
  <c r="BT127" i="6"/>
  <c r="BT128" i="6"/>
  <c r="BT129" i="6"/>
  <c r="BT130" i="6"/>
  <c r="BT131" i="6"/>
  <c r="BT132" i="6"/>
  <c r="BT133" i="6"/>
  <c r="BT134" i="6"/>
  <c r="BT135" i="6"/>
  <c r="BT136" i="6"/>
  <c r="BT137" i="6"/>
  <c r="BT138" i="6"/>
  <c r="BT139" i="6"/>
  <c r="BT140" i="6"/>
  <c r="BT141" i="6"/>
  <c r="BT142" i="6"/>
  <c r="BT143" i="6"/>
  <c r="BT144" i="6"/>
  <c r="BT145" i="6"/>
  <c r="BT146" i="6"/>
  <c r="BT147" i="6"/>
  <c r="BT148" i="6"/>
  <c r="BT149" i="6"/>
  <c r="BT150" i="6"/>
  <c r="BT151" i="6"/>
  <c r="BT152" i="6"/>
  <c r="BT153" i="6"/>
  <c r="BT154" i="6"/>
  <c r="BT155" i="6"/>
  <c r="BT156" i="6"/>
  <c r="BT157" i="6"/>
  <c r="BT158" i="6"/>
  <c r="BT159" i="6"/>
  <c r="BT160" i="6"/>
  <c r="BT161" i="6"/>
  <c r="BT162" i="6"/>
  <c r="BT163" i="6"/>
  <c r="BT164" i="6"/>
  <c r="BT165" i="6"/>
  <c r="BT166" i="6"/>
  <c r="BT167" i="6"/>
  <c r="BT168" i="6"/>
  <c r="BT169" i="6"/>
  <c r="BT170" i="6"/>
  <c r="BT171" i="6"/>
  <c r="BT172" i="6"/>
  <c r="BT173" i="6"/>
  <c r="BT174" i="6"/>
  <c r="BT175" i="6"/>
  <c r="BT176" i="6"/>
  <c r="BT177" i="6"/>
  <c r="BT178" i="6"/>
  <c r="BT179" i="6"/>
  <c r="BT180" i="6"/>
  <c r="BT181" i="6"/>
  <c r="BT182" i="6"/>
  <c r="BT183" i="6"/>
  <c r="BT184" i="6"/>
  <c r="BT185" i="6"/>
  <c r="BT186" i="6"/>
  <c r="BT187" i="6"/>
  <c r="BT188" i="6"/>
  <c r="BT189" i="6"/>
  <c r="BT190" i="6"/>
  <c r="BT191" i="6"/>
  <c r="BT192" i="6"/>
  <c r="BT193" i="6"/>
  <c r="BT194" i="6"/>
  <c r="BT195" i="6"/>
  <c r="BT196" i="6"/>
  <c r="BT197" i="6"/>
  <c r="BT198" i="6"/>
  <c r="BT199" i="6"/>
  <c r="BT200" i="6"/>
  <c r="BT201" i="6"/>
  <c r="BT202" i="6"/>
  <c r="BT203" i="6"/>
  <c r="BT204" i="6"/>
  <c r="BT205" i="6"/>
  <c r="BT206" i="6"/>
  <c r="BT207" i="6"/>
  <c r="BT208" i="6"/>
  <c r="BT209" i="6"/>
  <c r="BT210" i="6"/>
  <c r="BT211" i="6"/>
  <c r="BT212" i="6"/>
  <c r="BT213" i="6"/>
  <c r="BT214" i="6"/>
  <c r="BT215" i="6"/>
  <c r="BT216" i="6"/>
  <c r="BT217" i="6"/>
  <c r="BT218" i="6"/>
  <c r="BT219" i="6"/>
  <c r="BT220" i="6"/>
  <c r="BT221" i="6"/>
  <c r="BT222" i="6"/>
  <c r="BT223" i="6"/>
  <c r="BT224" i="6"/>
  <c r="BT225" i="6"/>
  <c r="BT226" i="6"/>
  <c r="BT227" i="6"/>
  <c r="BT228" i="6"/>
  <c r="BT229" i="6"/>
  <c r="BT230" i="6"/>
  <c r="BT231" i="6"/>
  <c r="BT232" i="6"/>
  <c r="BT233" i="6"/>
  <c r="BT234" i="6"/>
  <c r="BT235" i="6"/>
  <c r="BT236" i="6"/>
  <c r="BT237" i="6"/>
  <c r="BT238" i="6"/>
  <c r="BT239" i="6"/>
  <c r="BT240" i="6"/>
  <c r="BT241" i="6"/>
  <c r="BT242" i="6"/>
  <c r="BT243" i="6"/>
  <c r="BT244" i="6"/>
  <c r="BT245" i="6"/>
  <c r="BT246" i="6"/>
  <c r="BT247" i="6"/>
  <c r="BT248" i="6"/>
  <c r="BT249" i="6"/>
  <c r="BT250" i="6"/>
  <c r="BT251" i="6"/>
  <c r="BT252" i="6"/>
  <c r="BT253" i="6"/>
  <c r="BT254" i="6"/>
  <c r="BT255" i="6"/>
  <c r="BT256" i="6"/>
  <c r="BT257" i="6"/>
  <c r="BT258" i="6"/>
  <c r="BT259" i="6"/>
  <c r="BT260" i="6"/>
  <c r="BT261" i="6"/>
  <c r="BT262" i="6"/>
  <c r="BT263" i="6"/>
  <c r="BT264" i="6"/>
  <c r="BT265" i="6"/>
  <c r="BT266" i="6"/>
  <c r="BT267" i="6"/>
  <c r="BT268" i="6"/>
  <c r="BT269" i="6"/>
  <c r="BT270" i="6"/>
  <c r="BT271" i="6"/>
  <c r="BT272" i="6"/>
  <c r="BT273" i="6"/>
  <c r="BT274" i="6"/>
  <c r="BT275" i="6"/>
  <c r="BT276" i="6"/>
  <c r="BT277" i="6"/>
  <c r="BT278" i="6"/>
  <c r="BT279" i="6"/>
  <c r="BT280" i="6"/>
  <c r="BT281" i="6"/>
  <c r="BT282" i="6"/>
  <c r="BT283" i="6"/>
  <c r="BT284" i="6"/>
  <c r="BT285" i="6"/>
  <c r="BT286" i="6"/>
  <c r="BT287" i="6"/>
  <c r="BT288" i="6"/>
  <c r="BT289" i="6"/>
  <c r="BT290" i="6"/>
  <c r="BT291" i="6"/>
  <c r="BT292" i="6"/>
  <c r="BT293" i="6"/>
  <c r="BT294" i="6"/>
  <c r="BT295" i="6"/>
  <c r="BT296" i="6"/>
  <c r="BT297" i="6"/>
  <c r="BT298" i="6"/>
  <c r="BT299" i="6"/>
  <c r="BT300" i="6"/>
  <c r="BT301" i="6"/>
  <c r="BT302" i="6"/>
  <c r="BT303" i="6"/>
  <c r="BT304" i="6"/>
  <c r="BT305" i="6"/>
  <c r="BT306" i="6"/>
  <c r="BT307" i="6"/>
  <c r="BT308" i="6"/>
  <c r="BT309" i="6"/>
  <c r="BT310" i="6"/>
  <c r="BT311" i="6"/>
  <c r="BT312" i="6"/>
  <c r="BT313" i="6"/>
  <c r="BT314" i="6"/>
  <c r="BT315" i="6"/>
  <c r="BT316" i="6"/>
  <c r="BT317" i="6"/>
  <c r="BT318" i="6"/>
  <c r="BT319" i="6"/>
  <c r="BT320" i="6"/>
  <c r="BT321" i="6"/>
  <c r="BT322" i="6"/>
  <c r="BT323" i="6"/>
  <c r="BT324" i="6"/>
  <c r="BT325" i="6"/>
  <c r="BT326" i="6"/>
  <c r="BT327" i="6"/>
  <c r="BT328" i="6"/>
  <c r="BT329" i="6"/>
  <c r="BT330" i="6"/>
  <c r="BT331" i="6"/>
  <c r="BT332" i="6"/>
  <c r="BT333" i="6"/>
  <c r="BT334" i="6"/>
  <c r="BT335" i="6"/>
  <c r="BT336" i="6"/>
  <c r="BT337" i="6"/>
  <c r="BT338" i="6"/>
  <c r="BT339" i="6"/>
  <c r="BT340" i="6"/>
  <c r="BT341" i="6"/>
  <c r="BT342" i="6"/>
  <c r="BT343" i="6"/>
  <c r="BT344" i="6"/>
  <c r="BT345" i="6"/>
  <c r="BT346" i="6"/>
  <c r="BT347" i="6"/>
  <c r="BT348" i="6"/>
  <c r="BT349" i="6"/>
  <c r="BT350" i="6"/>
  <c r="BT351" i="6"/>
  <c r="BT352" i="6"/>
  <c r="BT353" i="6"/>
  <c r="BT354" i="6"/>
  <c r="BT355" i="6"/>
  <c r="BT356" i="6"/>
  <c r="BT357" i="6"/>
  <c r="BT358" i="6"/>
  <c r="BT359" i="6"/>
  <c r="BT360" i="6"/>
  <c r="BT361" i="6"/>
  <c r="BT362" i="6"/>
  <c r="BT363" i="6"/>
  <c r="BT364" i="6"/>
  <c r="BT365" i="6"/>
  <c r="BT366" i="6"/>
  <c r="BT367" i="6"/>
  <c r="BT368" i="6"/>
  <c r="BT369" i="6"/>
  <c r="BT370" i="6"/>
  <c r="BT371" i="6"/>
  <c r="BT372" i="6"/>
  <c r="BT373" i="6"/>
  <c r="BT374" i="6"/>
  <c r="BT375" i="6"/>
  <c r="BT376" i="6"/>
  <c r="BT377" i="6"/>
  <c r="BT378" i="6"/>
  <c r="BT379" i="6"/>
  <c r="BT380" i="6"/>
  <c r="BT381" i="6"/>
  <c r="BT382" i="6"/>
  <c r="BT383" i="6"/>
  <c r="BT384" i="6"/>
  <c r="BT385" i="6"/>
  <c r="BT386" i="6"/>
  <c r="BT387" i="6"/>
  <c r="BT388" i="6"/>
  <c r="BT389" i="6"/>
  <c r="BT390" i="6"/>
  <c r="BT391" i="6"/>
  <c r="BT392" i="6"/>
  <c r="BT393" i="6"/>
  <c r="BT394" i="6"/>
  <c r="BT395" i="6"/>
  <c r="BT396" i="6"/>
  <c r="BT397" i="6"/>
  <c r="BT398" i="6"/>
  <c r="BT399" i="6"/>
  <c r="BT400" i="6"/>
  <c r="BT401" i="6"/>
  <c r="BT402" i="6"/>
  <c r="BT403" i="6"/>
  <c r="BT404" i="6"/>
  <c r="BT405" i="6"/>
  <c r="BT406" i="6"/>
  <c r="BT407" i="6"/>
  <c r="BT408" i="6"/>
  <c r="BT409" i="6"/>
  <c r="BT410" i="6"/>
  <c r="BT411" i="6"/>
  <c r="BT412" i="6"/>
  <c r="BT413" i="6"/>
  <c r="BT414" i="6"/>
  <c r="BT415" i="6"/>
  <c r="BT416" i="6"/>
  <c r="BT417" i="6"/>
  <c r="BT418" i="6"/>
  <c r="BT419" i="6"/>
  <c r="BT420" i="6"/>
  <c r="BT421" i="6"/>
  <c r="BT422" i="6"/>
  <c r="BT423" i="6"/>
  <c r="BT424" i="6"/>
  <c r="BT425" i="6"/>
  <c r="BT426" i="6"/>
  <c r="BT427" i="6"/>
  <c r="BT428" i="6"/>
  <c r="BT429" i="6"/>
  <c r="BT430" i="6"/>
  <c r="BT431" i="6"/>
  <c r="BT432" i="6"/>
  <c r="BT433" i="6"/>
  <c r="BT434" i="6"/>
  <c r="BT435" i="6"/>
  <c r="BT436" i="6"/>
  <c r="BT437" i="6"/>
  <c r="BT438" i="6"/>
  <c r="BT439" i="6"/>
  <c r="BT440" i="6"/>
  <c r="BT441" i="6"/>
  <c r="BT442" i="6"/>
  <c r="BT443" i="6"/>
  <c r="BT444" i="6"/>
  <c r="BT445" i="6"/>
  <c r="BT446" i="6"/>
  <c r="BT447" i="6"/>
  <c r="BT448" i="6"/>
  <c r="BT449" i="6"/>
  <c r="BT450" i="6"/>
  <c r="BT451" i="6"/>
  <c r="BT452" i="6"/>
  <c r="BT453" i="6"/>
  <c r="BT454" i="6"/>
  <c r="BT455" i="6"/>
  <c r="BT456" i="6"/>
  <c r="BT457" i="6"/>
  <c r="BT458" i="6"/>
  <c r="BT459" i="6"/>
  <c r="BT460" i="6"/>
  <c r="BT461" i="6"/>
  <c r="BT462" i="6"/>
  <c r="BT463" i="6"/>
  <c r="BT464" i="6"/>
  <c r="BT465" i="6"/>
  <c r="BT466" i="6"/>
  <c r="BT467" i="6"/>
  <c r="BT468" i="6"/>
  <c r="BT469" i="6"/>
  <c r="BT470" i="6"/>
  <c r="BT471" i="6"/>
  <c r="BT472" i="6"/>
  <c r="BT473" i="6"/>
  <c r="BT474" i="6"/>
  <c r="BT475" i="6"/>
  <c r="BT476" i="6"/>
  <c r="BT477" i="6"/>
  <c r="BT478" i="6"/>
  <c r="BT479" i="6"/>
  <c r="BT480" i="6"/>
  <c r="BT481" i="6"/>
  <c r="BT482" i="6"/>
  <c r="BT483" i="6"/>
  <c r="BT484" i="6"/>
  <c r="BT485" i="6"/>
  <c r="BT486" i="6"/>
  <c r="BT487" i="6"/>
  <c r="BT488" i="6"/>
  <c r="BT489" i="6"/>
  <c r="BT490" i="6"/>
  <c r="BT491" i="6"/>
  <c r="BT492" i="6"/>
  <c r="BT493" i="6"/>
  <c r="BT494" i="6"/>
  <c r="BT495" i="6"/>
  <c r="BT496" i="6"/>
  <c r="BT497" i="6"/>
  <c r="BT498" i="6"/>
  <c r="BT499" i="6"/>
  <c r="BT500" i="6"/>
  <c r="BT501" i="6"/>
  <c r="BT502" i="6"/>
  <c r="BT503" i="6"/>
  <c r="BT504" i="6"/>
  <c r="BT505" i="6"/>
  <c r="BT506" i="6"/>
  <c r="BT507" i="6"/>
  <c r="BT508" i="6"/>
  <c r="BT509" i="6"/>
  <c r="BT510" i="6"/>
  <c r="BT511" i="6"/>
  <c r="BT512" i="6"/>
  <c r="BT513" i="6"/>
  <c r="BT514" i="6"/>
  <c r="BT515" i="6"/>
  <c r="BT516" i="6"/>
  <c r="BT517" i="6"/>
  <c r="BT518" i="6"/>
  <c r="BT519" i="6"/>
  <c r="BT520" i="6"/>
  <c r="BT521" i="6"/>
  <c r="BT522" i="6"/>
  <c r="BT523" i="6"/>
  <c r="BT524" i="6"/>
  <c r="BT525" i="6"/>
  <c r="BT526" i="6"/>
  <c r="BT527" i="6"/>
  <c r="BT528" i="6"/>
  <c r="BT529" i="6"/>
  <c r="BT530" i="6"/>
  <c r="BT531" i="6"/>
  <c r="BT532" i="6"/>
  <c r="BT533" i="6"/>
  <c r="BT534" i="6"/>
  <c r="BT535" i="6"/>
  <c r="BT536" i="6"/>
  <c r="BT537" i="6"/>
  <c r="BT538" i="6"/>
  <c r="BT539" i="6"/>
  <c r="BT540" i="6"/>
  <c r="BT541" i="6"/>
  <c r="BT542" i="6"/>
  <c r="BT543" i="6"/>
  <c r="BT544" i="6"/>
  <c r="BT545" i="6"/>
  <c r="BT546" i="6"/>
  <c r="BT547" i="6"/>
  <c r="BT548" i="6"/>
  <c r="BT549" i="6"/>
  <c r="BT550" i="6"/>
  <c r="BT551" i="6"/>
  <c r="BT552" i="6"/>
  <c r="BT553" i="6"/>
  <c r="BT554" i="6"/>
  <c r="BT555" i="6"/>
  <c r="BT556" i="6"/>
  <c r="BT557" i="6"/>
  <c r="BT558" i="6"/>
  <c r="BT559" i="6"/>
  <c r="BT560" i="6"/>
  <c r="BT561" i="6"/>
  <c r="BT562" i="6"/>
  <c r="BT563" i="6"/>
  <c r="BT564" i="6"/>
  <c r="BT565" i="6"/>
  <c r="BT566" i="6"/>
  <c r="BT567" i="6"/>
  <c r="BT568" i="6"/>
  <c r="BT569" i="6"/>
  <c r="BT570" i="6"/>
  <c r="BT571" i="6"/>
  <c r="BT572" i="6"/>
  <c r="BT573" i="6"/>
  <c r="BT574" i="6"/>
  <c r="BT575" i="6"/>
  <c r="BT576" i="6"/>
  <c r="BT577" i="6"/>
  <c r="BT578" i="6"/>
  <c r="BT579" i="6"/>
  <c r="BT580" i="6"/>
  <c r="BT581" i="6"/>
  <c r="BT582" i="6"/>
  <c r="BT583" i="6"/>
  <c r="BT584" i="6"/>
  <c r="BT585" i="6"/>
  <c r="BT586" i="6"/>
  <c r="BT587" i="6"/>
  <c r="BT588" i="6"/>
  <c r="BT589" i="6"/>
  <c r="BT590" i="6"/>
  <c r="BT591" i="6"/>
  <c r="BT592" i="6"/>
  <c r="BT593" i="6"/>
  <c r="BT594" i="6"/>
  <c r="BT595" i="6"/>
  <c r="BT596" i="6"/>
  <c r="BT597" i="6"/>
  <c r="BT598" i="6"/>
  <c r="BT599" i="6"/>
  <c r="BT600" i="6"/>
  <c r="BT601" i="6"/>
  <c r="BT602" i="6"/>
  <c r="BT603" i="6"/>
  <c r="BT604" i="6"/>
  <c r="BT605" i="6"/>
  <c r="BT606" i="6"/>
  <c r="BT607" i="6"/>
  <c r="BT608" i="6"/>
  <c r="BT609" i="6"/>
  <c r="BT610" i="6"/>
  <c r="BT611" i="6"/>
  <c r="BT612" i="6"/>
  <c r="BT613" i="6"/>
  <c r="BT614" i="6"/>
  <c r="BT615" i="6"/>
  <c r="BT616" i="6"/>
  <c r="BT617" i="6"/>
  <c r="BT618" i="6"/>
  <c r="BT619" i="6"/>
  <c r="BT620" i="6"/>
  <c r="BT621" i="6"/>
  <c r="BT622" i="6"/>
  <c r="BT623" i="6"/>
  <c r="BT624" i="6"/>
  <c r="BT625" i="6"/>
  <c r="BT626" i="6"/>
  <c r="BT627" i="6"/>
  <c r="BT628" i="6"/>
  <c r="BT629" i="6"/>
  <c r="BT630" i="6"/>
  <c r="BT631" i="6"/>
  <c r="BT632" i="6"/>
  <c r="BT633" i="6"/>
  <c r="BT634" i="6"/>
  <c r="BT635" i="6"/>
  <c r="BT636" i="6"/>
  <c r="BT637" i="6"/>
  <c r="BT638" i="6"/>
  <c r="BT639" i="6"/>
  <c r="BT640" i="6"/>
  <c r="BT641" i="6"/>
  <c r="BT642" i="6"/>
  <c r="BT643" i="6"/>
  <c r="BT644" i="6"/>
  <c r="BT645" i="6"/>
  <c r="BT646" i="6"/>
  <c r="BT647" i="6"/>
  <c r="BT648" i="6"/>
  <c r="BT649" i="6"/>
  <c r="BT650" i="6"/>
  <c r="BT651" i="6"/>
  <c r="BT652" i="6"/>
  <c r="BT653" i="6"/>
  <c r="BT654" i="6"/>
  <c r="BT655" i="6"/>
  <c r="BT656" i="6"/>
  <c r="BT657" i="6"/>
  <c r="BT658" i="6"/>
  <c r="BT659" i="6"/>
  <c r="BT660" i="6"/>
  <c r="BT661" i="6"/>
  <c r="BT662" i="6"/>
  <c r="BT663" i="6"/>
  <c r="BT664" i="6"/>
  <c r="BT665" i="6"/>
  <c r="BT666" i="6"/>
  <c r="BT667" i="6"/>
  <c r="BT668" i="6"/>
  <c r="BT669" i="6"/>
  <c r="BT670" i="6"/>
  <c r="BT671" i="6"/>
  <c r="BT672" i="6"/>
  <c r="BT673" i="6"/>
  <c r="BT674" i="6"/>
  <c r="BT675" i="6"/>
  <c r="BT676" i="6"/>
  <c r="BT677" i="6"/>
  <c r="BT678" i="6"/>
  <c r="BT679" i="6"/>
  <c r="BT680" i="6"/>
  <c r="BT681" i="6"/>
  <c r="BT682" i="6"/>
  <c r="BT683" i="6"/>
  <c r="BT684" i="6"/>
  <c r="BT685" i="6"/>
  <c r="BT686" i="6"/>
  <c r="BT687" i="6"/>
  <c r="BT688" i="6"/>
  <c r="BT689" i="6"/>
  <c r="BT690" i="6"/>
  <c r="BT691" i="6"/>
  <c r="BT692" i="6"/>
  <c r="BT693" i="6"/>
  <c r="BT694" i="6"/>
  <c r="BT695" i="6"/>
  <c r="BT696" i="6"/>
  <c r="BT697" i="6"/>
  <c r="BT698" i="6"/>
  <c r="BT699" i="6"/>
  <c r="BT700" i="6"/>
  <c r="BT701" i="6"/>
  <c r="BT702" i="6"/>
  <c r="BT703" i="6"/>
  <c r="BT704" i="6"/>
  <c r="BT705" i="6"/>
  <c r="BT706" i="6"/>
  <c r="BT707" i="6"/>
  <c r="BT708" i="6"/>
  <c r="BT709" i="6"/>
  <c r="BT710" i="6"/>
  <c r="BT711" i="6"/>
  <c r="BT712" i="6"/>
  <c r="BT713" i="6"/>
  <c r="BT714" i="6"/>
  <c r="BT715" i="6"/>
  <c r="BT716" i="6"/>
  <c r="BT717" i="6"/>
  <c r="BT718" i="6"/>
  <c r="BT719" i="6"/>
  <c r="BT720" i="6"/>
  <c r="BT721" i="6"/>
  <c r="BT722" i="6"/>
  <c r="BT723" i="6"/>
  <c r="BT724" i="6"/>
  <c r="BT725" i="6"/>
  <c r="BT726" i="6"/>
  <c r="BT727" i="6"/>
  <c r="BT728" i="6"/>
  <c r="BT729" i="6"/>
  <c r="BT730" i="6"/>
  <c r="BT731" i="6"/>
  <c r="BT732" i="6"/>
  <c r="BT733" i="6"/>
  <c r="BT734" i="6"/>
  <c r="BT735" i="6"/>
  <c r="BT736" i="6"/>
  <c r="BT737" i="6"/>
  <c r="BT738" i="6"/>
  <c r="BT739" i="6"/>
  <c r="BT740" i="6"/>
  <c r="BT741" i="6"/>
  <c r="BT742" i="6"/>
  <c r="BT743" i="6"/>
  <c r="BT744" i="6"/>
  <c r="BT745" i="6"/>
  <c r="BT746" i="6"/>
  <c r="BT747" i="6"/>
  <c r="BT748" i="6"/>
  <c r="BT749" i="6"/>
  <c r="BT750" i="6"/>
  <c r="BT751" i="6"/>
  <c r="BT752" i="6"/>
  <c r="BT753" i="6"/>
  <c r="BT754" i="6"/>
  <c r="BT755" i="6"/>
  <c r="BT756" i="6"/>
  <c r="BT757" i="6"/>
  <c r="BT758" i="6"/>
  <c r="BT759" i="6"/>
  <c r="BT760" i="6"/>
  <c r="BT761" i="6"/>
  <c r="BT762" i="6"/>
  <c r="BT763" i="6"/>
  <c r="BT764" i="6"/>
  <c r="BT765" i="6"/>
  <c r="BT766" i="6"/>
  <c r="BT767" i="6"/>
  <c r="BT768" i="6"/>
  <c r="BT769" i="6"/>
  <c r="BT770" i="6"/>
  <c r="BT771" i="6"/>
  <c r="BT772" i="6"/>
  <c r="BT773" i="6"/>
  <c r="BT774" i="6"/>
  <c r="BT775" i="6"/>
  <c r="BT776" i="6"/>
  <c r="BT777" i="6"/>
  <c r="BT778" i="6"/>
  <c r="BT779" i="6"/>
  <c r="BT780" i="6"/>
  <c r="BT781" i="6"/>
  <c r="BT782" i="6"/>
  <c r="BT783" i="6"/>
  <c r="BT784" i="6"/>
  <c r="BT785" i="6"/>
  <c r="BT786" i="6"/>
  <c r="BT787" i="6"/>
  <c r="BT788" i="6"/>
  <c r="BT789" i="6"/>
  <c r="BT790" i="6"/>
  <c r="BT791" i="6"/>
  <c r="BT792" i="6"/>
  <c r="BT793" i="6"/>
  <c r="BT794" i="6"/>
  <c r="BT795" i="6"/>
  <c r="BT796" i="6"/>
  <c r="BT797" i="6"/>
  <c r="BT798" i="6"/>
  <c r="BT799" i="6"/>
  <c r="BT800" i="6"/>
  <c r="BT801" i="6"/>
  <c r="BT802" i="6"/>
  <c r="BT803" i="6"/>
  <c r="BT804" i="6"/>
  <c r="BT805" i="6"/>
  <c r="BT806" i="6"/>
  <c r="BT807" i="6"/>
  <c r="BT808" i="6"/>
  <c r="BT809" i="6"/>
  <c r="BT810" i="6"/>
  <c r="BT811" i="6"/>
  <c r="BT812" i="6"/>
  <c r="BT813" i="6"/>
  <c r="BT814" i="6"/>
  <c r="BT815" i="6"/>
  <c r="BT816" i="6"/>
  <c r="BT817" i="6"/>
  <c r="BT818" i="6"/>
  <c r="BT819" i="6"/>
  <c r="BT820" i="6"/>
  <c r="BT821" i="6"/>
  <c r="BT822" i="6"/>
  <c r="BT823" i="6"/>
  <c r="BT824" i="6"/>
  <c r="BT825" i="6"/>
  <c r="BT826" i="6"/>
  <c r="BT827" i="6"/>
  <c r="BT828" i="6"/>
  <c r="BT829" i="6"/>
  <c r="BT830" i="6"/>
  <c r="BT831" i="6"/>
  <c r="BT832" i="6"/>
  <c r="BT833" i="6"/>
  <c r="BT834" i="6"/>
  <c r="BT835" i="6"/>
  <c r="BT836" i="6"/>
  <c r="BT837" i="6"/>
  <c r="BT838" i="6"/>
  <c r="BT839" i="6"/>
  <c r="BT840" i="6"/>
  <c r="BT841" i="6"/>
  <c r="BT842" i="6"/>
  <c r="BT843" i="6"/>
  <c r="BT844" i="6"/>
  <c r="BT845" i="6"/>
  <c r="BT846" i="6"/>
  <c r="BT847" i="6"/>
  <c r="BT848" i="6"/>
  <c r="BT849" i="6"/>
  <c r="BT850" i="6"/>
  <c r="BT851" i="6"/>
  <c r="BT852" i="6"/>
  <c r="BT853" i="6"/>
  <c r="BT854" i="6"/>
  <c r="BT855" i="6"/>
  <c r="BT856" i="6"/>
  <c r="BT857" i="6"/>
  <c r="BT858" i="6"/>
  <c r="BT859" i="6"/>
  <c r="BT860" i="6"/>
  <c r="BT861" i="6"/>
  <c r="BT862" i="6"/>
  <c r="BT863" i="6"/>
  <c r="BT864" i="6"/>
  <c r="BT865" i="6"/>
  <c r="BT866" i="6"/>
  <c r="BT867" i="6"/>
  <c r="BT868" i="6"/>
  <c r="BT869" i="6"/>
  <c r="BT870" i="6"/>
  <c r="BT871" i="6"/>
  <c r="BT872" i="6"/>
  <c r="BT873" i="6"/>
  <c r="BT874" i="6"/>
  <c r="BT875" i="6"/>
  <c r="BT876" i="6"/>
  <c r="BT877" i="6"/>
  <c r="BT878" i="6"/>
  <c r="BT879" i="6"/>
  <c r="BT880" i="6"/>
  <c r="BT881" i="6"/>
  <c r="BT882" i="6"/>
  <c r="BT883" i="6"/>
  <c r="BT884" i="6"/>
  <c r="BT885" i="6"/>
  <c r="BT886" i="6"/>
  <c r="BT887" i="6"/>
  <c r="BT888" i="6"/>
  <c r="BT889" i="6"/>
  <c r="BT890" i="6"/>
  <c r="BT891" i="6"/>
  <c r="BT892" i="6"/>
  <c r="BT893" i="6"/>
  <c r="BT894" i="6"/>
  <c r="BT895" i="6"/>
  <c r="BT896" i="6"/>
  <c r="BT897" i="6"/>
  <c r="BT898" i="6"/>
  <c r="BT899" i="6"/>
  <c r="BT900" i="6"/>
  <c r="BT901" i="6"/>
  <c r="BT902" i="6"/>
  <c r="BT903" i="6"/>
  <c r="BT904" i="6"/>
  <c r="BT905" i="6"/>
  <c r="BT906" i="6"/>
  <c r="BT907" i="6"/>
  <c r="BT908" i="6"/>
  <c r="BT909" i="6"/>
  <c r="BT910" i="6"/>
  <c r="BT911" i="6"/>
  <c r="BT912" i="6"/>
  <c r="BT913" i="6"/>
  <c r="BT914" i="6"/>
  <c r="BT915" i="6"/>
  <c r="BT916" i="6"/>
  <c r="BT917" i="6"/>
  <c r="BT918" i="6"/>
  <c r="BT919" i="6"/>
  <c r="BT920" i="6"/>
  <c r="BT921" i="6"/>
  <c r="BT922" i="6"/>
  <c r="BT923" i="6"/>
  <c r="BT924" i="6"/>
  <c r="BT925" i="6"/>
  <c r="BT926" i="6"/>
  <c r="BT927" i="6"/>
  <c r="BT928" i="6"/>
  <c r="BT929" i="6"/>
  <c r="BT930" i="6"/>
  <c r="BT931" i="6"/>
  <c r="BT932" i="6"/>
  <c r="BT933" i="6"/>
  <c r="BT934" i="6"/>
  <c r="BT935" i="6"/>
  <c r="BT936" i="6"/>
  <c r="BT937" i="6"/>
  <c r="BT938" i="6"/>
  <c r="BT939" i="6"/>
  <c r="BT940" i="6"/>
  <c r="BT941" i="6"/>
  <c r="BT942" i="6"/>
  <c r="BT943" i="6"/>
  <c r="BT944" i="6"/>
  <c r="BT945" i="6"/>
  <c r="BT946" i="6"/>
  <c r="BT947" i="6"/>
  <c r="BT948" i="6"/>
  <c r="BT949" i="6"/>
  <c r="BT950" i="6"/>
  <c r="BT951" i="6"/>
  <c r="BT952" i="6"/>
  <c r="BT953" i="6"/>
  <c r="BT954" i="6"/>
  <c r="BT955" i="6"/>
  <c r="BT956" i="6"/>
  <c r="BT957" i="6"/>
  <c r="BT958" i="6"/>
  <c r="BT959" i="6"/>
  <c r="BT960" i="6"/>
  <c r="BT961" i="6"/>
  <c r="BT962" i="6"/>
  <c r="BT963" i="6"/>
  <c r="BT964" i="6"/>
  <c r="BT965" i="6"/>
  <c r="BT966" i="6"/>
  <c r="BT967" i="6"/>
  <c r="BT968" i="6"/>
  <c r="BT969" i="6"/>
  <c r="BT970" i="6"/>
  <c r="BT971" i="6"/>
  <c r="BT972" i="6"/>
  <c r="BT973" i="6"/>
  <c r="BT974" i="6"/>
  <c r="BT975" i="6"/>
  <c r="BT976" i="6"/>
  <c r="BT977" i="6"/>
  <c r="BT978" i="6"/>
  <c r="BT979" i="6"/>
  <c r="BT980" i="6"/>
  <c r="BT981" i="6"/>
  <c r="BT982" i="6"/>
  <c r="BT983" i="6"/>
  <c r="BT984" i="6"/>
  <c r="BT985" i="6"/>
  <c r="BT986" i="6"/>
  <c r="BT987" i="6"/>
  <c r="BT988" i="6"/>
  <c r="BT989" i="6"/>
  <c r="BT990" i="6"/>
  <c r="BT991" i="6"/>
  <c r="BT992" i="6"/>
  <c r="BT993" i="6"/>
  <c r="BT994" i="6"/>
  <c r="BT995" i="6"/>
  <c r="BT996" i="6"/>
  <c r="BT997" i="6"/>
  <c r="BT998" i="6"/>
  <c r="BT999" i="6"/>
  <c r="BT1000" i="6"/>
  <c r="BT1001" i="6"/>
  <c r="BT1002" i="6"/>
  <c r="BT1003" i="6"/>
  <c r="BT1004" i="6"/>
  <c r="BT1005" i="6"/>
  <c r="BT1006" i="6"/>
  <c r="BT1007" i="6"/>
  <c r="BT1008" i="6"/>
  <c r="BT1009" i="6"/>
  <c r="BT1010" i="6"/>
  <c r="BT1011" i="6"/>
  <c r="BT1012" i="6"/>
  <c r="BT1013" i="6"/>
  <c r="BT1014" i="6"/>
  <c r="BT1015" i="6"/>
  <c r="BT1016" i="6"/>
  <c r="BT1017" i="6"/>
  <c r="BT1018" i="6"/>
  <c r="BT1019" i="6"/>
  <c r="BT1020" i="6"/>
  <c r="BT1021" i="6"/>
  <c r="BT1022" i="6"/>
  <c r="BT1023" i="6"/>
  <c r="BT1024" i="6"/>
  <c r="BT1025" i="6"/>
  <c r="BT1026" i="6"/>
  <c r="BT1027" i="6"/>
  <c r="BT1028" i="6"/>
  <c r="BT1029" i="6"/>
  <c r="BT1030" i="6"/>
  <c r="BT1031" i="6"/>
  <c r="BT1032" i="6"/>
  <c r="BT1033" i="6"/>
  <c r="BT1034" i="6"/>
  <c r="BT1035" i="6"/>
  <c r="BT1036" i="6"/>
  <c r="BT1037" i="6"/>
  <c r="BT1038" i="6"/>
  <c r="BT1039" i="6"/>
  <c r="BT1040" i="6"/>
  <c r="BT1041" i="6"/>
  <c r="BT1042" i="6"/>
  <c r="BT1043" i="6"/>
  <c r="BT1044" i="6"/>
  <c r="BT1045" i="6"/>
  <c r="BT1046" i="6"/>
  <c r="BT1047" i="6"/>
  <c r="BT1048" i="6"/>
  <c r="BT1049" i="6"/>
  <c r="BT1050" i="6"/>
  <c r="BT1051" i="6"/>
  <c r="BT1052" i="6"/>
  <c r="BT1053" i="6"/>
  <c r="BT1054" i="6"/>
  <c r="BT1055" i="6"/>
  <c r="BT1056" i="6"/>
  <c r="BT1057" i="6"/>
  <c r="BT1058" i="6"/>
  <c r="BT1059" i="6"/>
  <c r="BT1060" i="6"/>
  <c r="BT1061" i="6"/>
  <c r="BT1062" i="6"/>
  <c r="BT1063" i="6"/>
  <c r="BT1064" i="6"/>
  <c r="BT1065" i="6"/>
  <c r="BT1066" i="6"/>
  <c r="BT1067" i="6"/>
  <c r="BT1068" i="6"/>
  <c r="BT1069" i="6"/>
  <c r="BT1070" i="6"/>
  <c r="BT1071" i="6"/>
  <c r="BT1072" i="6"/>
  <c r="BT1073" i="6"/>
  <c r="BT1074" i="6"/>
  <c r="BT1075" i="6"/>
  <c r="BT1076" i="6"/>
  <c r="BT1077" i="6"/>
  <c r="BT1078" i="6"/>
  <c r="BT1079" i="6"/>
  <c r="BT1080" i="6"/>
  <c r="BT1081" i="6"/>
  <c r="BT1082" i="6"/>
  <c r="BT1083" i="6"/>
  <c r="BT1084" i="6"/>
  <c r="BT1085" i="6"/>
  <c r="BT1086" i="6"/>
  <c r="BT1087" i="6"/>
  <c r="BT1088" i="6"/>
  <c r="BT1089" i="6"/>
  <c r="BT1090" i="6"/>
  <c r="BT1091" i="6"/>
  <c r="BT1092" i="6"/>
  <c r="BT1093" i="6"/>
  <c r="BT1094" i="6"/>
  <c r="BT1095" i="6"/>
  <c r="BT1096" i="6"/>
  <c r="BT1097" i="6"/>
  <c r="BT1098" i="6"/>
  <c r="BT1099" i="6"/>
  <c r="BT1100" i="6"/>
  <c r="BT1101" i="6"/>
  <c r="BT1102" i="6"/>
  <c r="BT1103" i="6"/>
  <c r="BT1104" i="6"/>
  <c r="BT1105" i="6"/>
  <c r="BT1106" i="6"/>
  <c r="BT1107" i="6"/>
  <c r="BT1108" i="6"/>
  <c r="BT1109" i="6"/>
  <c r="BT1110" i="6"/>
  <c r="BT1111" i="6"/>
  <c r="BT1112" i="6"/>
  <c r="BT1113" i="6"/>
  <c r="BT1114" i="6"/>
  <c r="BT1115" i="6"/>
  <c r="BT1116" i="6"/>
  <c r="BT1117" i="6"/>
  <c r="BT1118" i="6"/>
  <c r="BT1119" i="6"/>
  <c r="BT1120" i="6"/>
  <c r="BT1121" i="6"/>
  <c r="BT1122" i="6"/>
  <c r="BT1123" i="6"/>
  <c r="BT1124" i="6"/>
  <c r="BT1125" i="6"/>
  <c r="BT1126" i="6"/>
  <c r="BT1127" i="6"/>
  <c r="BT1128" i="6"/>
  <c r="BT1129" i="6"/>
  <c r="BT1130" i="6"/>
  <c r="BT1131" i="6"/>
  <c r="BT1132" i="6"/>
  <c r="BT1133" i="6"/>
  <c r="BT1134" i="6"/>
  <c r="BT1135" i="6"/>
  <c r="BT1136" i="6"/>
  <c r="BT1137" i="6"/>
  <c r="BT1138" i="6"/>
  <c r="BT1139" i="6"/>
  <c r="BT1140" i="6"/>
  <c r="BT1141" i="6"/>
  <c r="BT1142" i="6"/>
  <c r="BT1143" i="6"/>
  <c r="BT1144" i="6"/>
  <c r="BT1145" i="6"/>
  <c r="BT1146" i="6"/>
  <c r="BT1147" i="6"/>
  <c r="BT1148" i="6"/>
  <c r="BT1149" i="6"/>
  <c r="BT1150" i="6"/>
  <c r="BT1151" i="6"/>
  <c r="BT1152" i="6"/>
  <c r="BT1153" i="6"/>
  <c r="BT1154" i="6"/>
  <c r="BT1155" i="6"/>
  <c r="BT1156" i="6"/>
  <c r="BT1157" i="6"/>
  <c r="BT1158" i="6"/>
  <c r="BT1159" i="6"/>
  <c r="BT1160" i="6"/>
  <c r="BT1161" i="6"/>
  <c r="BT1162" i="6"/>
  <c r="BT1163" i="6"/>
  <c r="BT1164" i="6"/>
  <c r="BT1165" i="6"/>
  <c r="BT1166" i="6"/>
  <c r="BT1167" i="6"/>
  <c r="BT1168" i="6"/>
  <c r="BT1169" i="6"/>
  <c r="BT1170" i="6"/>
  <c r="BT1171" i="6"/>
  <c r="BT1172" i="6"/>
  <c r="BT1173" i="6"/>
  <c r="BT1174" i="6"/>
  <c r="BT1175" i="6"/>
  <c r="BT1176" i="6"/>
  <c r="BT1177" i="6"/>
  <c r="BT1178" i="6"/>
  <c r="BT1179" i="6"/>
  <c r="BT1180" i="6"/>
  <c r="BT1181" i="6"/>
  <c r="BT1182" i="6"/>
  <c r="BT1183" i="6"/>
  <c r="BT1184" i="6"/>
  <c r="BT1185" i="6"/>
  <c r="BT1186" i="6"/>
  <c r="BT1187" i="6"/>
  <c r="BT1188" i="6"/>
  <c r="BT1189" i="6"/>
  <c r="BT1190" i="6"/>
  <c r="BT1191" i="6"/>
  <c r="BT1192" i="6"/>
  <c r="BT1193" i="6"/>
  <c r="BT1194" i="6"/>
  <c r="BT1195" i="6"/>
  <c r="BT1196" i="6"/>
  <c r="BT1197" i="6"/>
  <c r="BT1198" i="6"/>
  <c r="BT1199" i="6"/>
  <c r="BT1200" i="6"/>
  <c r="BT1201" i="6"/>
  <c r="BT1202" i="6"/>
  <c r="BT1203" i="6"/>
  <c r="BT1204" i="6"/>
  <c r="BT1205" i="6"/>
  <c r="BT1206" i="6"/>
  <c r="BT1207" i="6"/>
  <c r="BT1208" i="6"/>
  <c r="BT1209" i="6"/>
  <c r="BT1210" i="6"/>
  <c r="BT1211" i="6"/>
  <c r="BT1212" i="6"/>
  <c r="BT1213" i="6"/>
  <c r="BT1214" i="6"/>
  <c r="BT1215" i="6"/>
  <c r="BT1216" i="6"/>
  <c r="BT1217" i="6"/>
  <c r="BT1218" i="6"/>
  <c r="BT1219" i="6"/>
  <c r="BT1220" i="6"/>
  <c r="BT1221" i="6"/>
  <c r="BT1222" i="6"/>
  <c r="BT1223" i="6"/>
  <c r="BT1224" i="6"/>
  <c r="BT1225" i="6"/>
  <c r="BT1226" i="6"/>
  <c r="BT1227" i="6"/>
  <c r="BT1228" i="6"/>
  <c r="BT1229" i="6"/>
  <c r="BT1230" i="6"/>
  <c r="BT1231" i="6"/>
  <c r="BT1232" i="6"/>
  <c r="BT1233" i="6"/>
  <c r="BT1234" i="6"/>
  <c r="BT1235" i="6"/>
  <c r="BT1236" i="6"/>
  <c r="BT1237" i="6"/>
  <c r="BT1238" i="6"/>
  <c r="BT1239" i="6"/>
  <c r="BT1240" i="6"/>
  <c r="BT1241" i="6"/>
  <c r="BT1242" i="6"/>
  <c r="BT1243" i="6"/>
  <c r="BT1244" i="6"/>
  <c r="BT1245" i="6"/>
  <c r="BT1246" i="6"/>
  <c r="BT1247" i="6"/>
  <c r="BT1248" i="6"/>
  <c r="BT1249" i="6"/>
  <c r="BT1250" i="6"/>
  <c r="BT1251" i="6"/>
  <c r="BT1252" i="6"/>
  <c r="BT1253" i="6"/>
  <c r="BT1254" i="6"/>
  <c r="BT1255" i="6"/>
  <c r="BT1256" i="6"/>
  <c r="BT1257" i="6"/>
  <c r="BT1258" i="6"/>
  <c r="BT1259" i="6"/>
  <c r="BT1260" i="6"/>
  <c r="BT1261" i="6"/>
  <c r="BT1262" i="6"/>
  <c r="BT1263" i="6"/>
  <c r="BT1264" i="6"/>
  <c r="BT1265" i="6"/>
  <c r="BT1266" i="6"/>
  <c r="BT1267" i="6"/>
  <c r="BT1268" i="6"/>
  <c r="BT1269" i="6"/>
  <c r="BT1270" i="6"/>
  <c r="BT1271" i="6"/>
  <c r="BT1272" i="6"/>
  <c r="BT1273" i="6"/>
  <c r="BT1274" i="6"/>
  <c r="BT1275" i="6"/>
  <c r="BT1276" i="6"/>
  <c r="BT1277" i="6"/>
  <c r="BT1278" i="6"/>
  <c r="BT1279" i="6"/>
  <c r="BT1280" i="6"/>
  <c r="BT1281" i="6"/>
  <c r="BT1282" i="6"/>
  <c r="BT1283" i="6"/>
  <c r="BT1284" i="6"/>
  <c r="BT1285" i="6"/>
  <c r="BT1286" i="6"/>
  <c r="BT1287" i="6"/>
  <c r="BT1288" i="6"/>
  <c r="BT1289" i="6"/>
  <c r="BT1290" i="6"/>
  <c r="BT1291" i="6"/>
  <c r="BT1292" i="6"/>
  <c r="BT1293" i="6"/>
  <c r="BT1294" i="6"/>
  <c r="BT1295" i="6"/>
  <c r="BT1296" i="6"/>
  <c r="BT1297" i="6"/>
  <c r="BT1298" i="6"/>
  <c r="BT1299" i="6"/>
  <c r="BT1300" i="6"/>
  <c r="BT1301" i="6"/>
  <c r="BT1302" i="6"/>
  <c r="BT1303" i="6"/>
  <c r="BT1304" i="6"/>
  <c r="BT1305" i="6"/>
  <c r="BT1306" i="6"/>
  <c r="BT1307" i="6"/>
  <c r="BT1308" i="6"/>
  <c r="BT1309" i="6"/>
  <c r="BT1310" i="6"/>
  <c r="BT1311" i="6"/>
  <c r="BT1312" i="6"/>
  <c r="BT1313" i="6"/>
  <c r="BT1314" i="6"/>
  <c r="BT1315" i="6"/>
  <c r="BT1316" i="6"/>
  <c r="BT1317" i="6"/>
  <c r="BT1318" i="6"/>
  <c r="BT1319" i="6"/>
  <c r="BT1320" i="6"/>
  <c r="BT1321" i="6"/>
  <c r="BT1322" i="6"/>
  <c r="BT1323" i="6"/>
  <c r="BT1324" i="6"/>
  <c r="BT1325" i="6"/>
  <c r="BT1326" i="6"/>
  <c r="BT1327" i="6"/>
  <c r="BT1328" i="6"/>
  <c r="BT1329" i="6"/>
  <c r="BT1330" i="6"/>
  <c r="BT1331" i="6"/>
  <c r="BT1332" i="6"/>
  <c r="BT1333" i="6"/>
  <c r="BT1334" i="6"/>
  <c r="BT1335" i="6"/>
  <c r="BT1336" i="6"/>
  <c r="BT1337" i="6"/>
  <c r="BT1338" i="6"/>
  <c r="BT1339" i="6"/>
  <c r="BT1340" i="6"/>
  <c r="BT1341" i="6"/>
  <c r="BT1342" i="6"/>
  <c r="BT1343" i="6"/>
  <c r="BT1344" i="6"/>
  <c r="BT1345" i="6"/>
  <c r="BT1346" i="6"/>
  <c r="BT1347" i="6"/>
  <c r="BT1348" i="6"/>
  <c r="BT1349" i="6"/>
  <c r="BT1350" i="6"/>
  <c r="BT1351" i="6"/>
  <c r="BT1352" i="6"/>
  <c r="BT1353" i="6"/>
  <c r="BT1354" i="6"/>
  <c r="BT1355" i="6"/>
  <c r="BT1356" i="6"/>
  <c r="BT1357" i="6"/>
  <c r="BT1358" i="6"/>
  <c r="BT1359" i="6"/>
  <c r="BT1360" i="6"/>
  <c r="BT1361" i="6"/>
  <c r="BT1362" i="6"/>
  <c r="BT1363" i="6"/>
  <c r="BT1364" i="6"/>
  <c r="BT1365" i="6"/>
  <c r="BT1366" i="6"/>
  <c r="BT1367" i="6"/>
  <c r="BT1368" i="6"/>
  <c r="BT1369" i="6"/>
  <c r="BT1370" i="6"/>
  <c r="BT1371" i="6"/>
  <c r="BT1372" i="6"/>
  <c r="BT1373" i="6"/>
  <c r="BT1374" i="6"/>
  <c r="BT1375" i="6"/>
  <c r="BT1376" i="6"/>
  <c r="BT1377" i="6"/>
  <c r="BT1378" i="6"/>
  <c r="BT1379" i="6"/>
  <c r="BT1380" i="6"/>
  <c r="BT1381" i="6"/>
  <c r="BT1382" i="6"/>
  <c r="BT1383" i="6"/>
  <c r="BT1384" i="6"/>
  <c r="BT1385" i="6"/>
  <c r="BT1386" i="6"/>
  <c r="BT1387" i="6"/>
  <c r="BT1388" i="6"/>
  <c r="BT1389" i="6"/>
  <c r="BT1390" i="6"/>
  <c r="BT1391" i="6"/>
  <c r="BT1392" i="6"/>
  <c r="BT1393" i="6"/>
  <c r="BT1394" i="6"/>
  <c r="BT1395" i="6"/>
  <c r="BT1396" i="6"/>
  <c r="BT1397" i="6"/>
  <c r="BT1398" i="6"/>
  <c r="BT1399" i="6"/>
  <c r="BT1400" i="6"/>
  <c r="BT1401" i="6"/>
  <c r="BT1402" i="6"/>
  <c r="BT1403" i="6"/>
  <c r="BT1404" i="6"/>
  <c r="BT1405" i="6"/>
  <c r="BT1406" i="6"/>
  <c r="BT1407" i="6"/>
  <c r="BT1408" i="6"/>
  <c r="BT1409" i="6"/>
  <c r="BT1410" i="6"/>
  <c r="BT1411" i="6"/>
  <c r="BT1412" i="6"/>
  <c r="BT1413" i="6"/>
  <c r="BT1414" i="6"/>
  <c r="BT1415" i="6"/>
  <c r="BT1416" i="6"/>
  <c r="BT1417" i="6"/>
  <c r="BT1418" i="6"/>
  <c r="BT1419" i="6"/>
  <c r="BT1420" i="6"/>
  <c r="BT1421" i="6"/>
  <c r="BT1422" i="6"/>
  <c r="BT1423" i="6"/>
  <c r="BT1424" i="6"/>
  <c r="BT1425" i="6"/>
  <c r="BT1426" i="6"/>
  <c r="BT1427" i="6"/>
  <c r="BT1428" i="6"/>
  <c r="BT1429" i="6"/>
  <c r="BT1430" i="6"/>
  <c r="BT1431" i="6"/>
  <c r="BT1432" i="6"/>
  <c r="BT1433" i="6"/>
  <c r="BT1434" i="6"/>
  <c r="BT1435" i="6"/>
  <c r="BT1436" i="6"/>
  <c r="BT1437" i="6"/>
  <c r="BT1438" i="6"/>
  <c r="BT1439" i="6"/>
  <c r="BT1440" i="6"/>
  <c r="BT1441" i="6"/>
  <c r="BT1442" i="6"/>
  <c r="BT1443" i="6"/>
  <c r="BT1444" i="6"/>
  <c r="BT1445" i="6"/>
  <c r="BT1446" i="6"/>
  <c r="BT1447" i="6"/>
  <c r="BT1448" i="6"/>
  <c r="BT1449" i="6"/>
  <c r="BT1450" i="6"/>
  <c r="BT1451" i="6"/>
  <c r="BT1452" i="6"/>
  <c r="BT1453" i="6"/>
  <c r="BT1454" i="6"/>
  <c r="BT1455" i="6"/>
  <c r="BT1456" i="6"/>
  <c r="BT1457" i="6"/>
  <c r="BT1458" i="6"/>
  <c r="BT1459" i="6"/>
  <c r="BT1460" i="6"/>
  <c r="BT1461" i="6"/>
  <c r="BT1462" i="6"/>
  <c r="BT1463" i="6"/>
  <c r="BT1464" i="6"/>
  <c r="BT1465" i="6"/>
  <c r="BT1466" i="6"/>
  <c r="BT1467" i="6"/>
  <c r="BT1468" i="6"/>
  <c r="BT1469" i="6"/>
  <c r="BT1470" i="6"/>
  <c r="BT1471" i="6"/>
  <c r="BT1472" i="6"/>
  <c r="BT1473" i="6"/>
  <c r="BT1474" i="6"/>
  <c r="BT1475" i="6"/>
  <c r="BT1476" i="6"/>
  <c r="BT1477" i="6"/>
  <c r="BT1478" i="6"/>
  <c r="BT1479" i="6"/>
  <c r="BT1480" i="6"/>
  <c r="BT1481" i="6"/>
  <c r="BT1482" i="6"/>
  <c r="BT1483" i="6"/>
  <c r="BT1484" i="6"/>
  <c r="BT1485" i="6"/>
  <c r="BT1486" i="6"/>
  <c r="BT1487" i="6"/>
  <c r="BT1488" i="6"/>
  <c r="BT1489" i="6"/>
  <c r="BT1490" i="6"/>
  <c r="BT1491" i="6"/>
  <c r="BT1492" i="6"/>
  <c r="BT1493" i="6"/>
  <c r="BT1494" i="6"/>
  <c r="BT1495" i="6"/>
  <c r="BT1496" i="6"/>
  <c r="BT1497" i="6"/>
  <c r="BT1498" i="6"/>
  <c r="BT1499" i="6"/>
  <c r="BT1500" i="6"/>
  <c r="BT1501" i="6"/>
  <c r="BT1502" i="6"/>
  <c r="BT1503" i="6"/>
  <c r="BT1504" i="6"/>
  <c r="BT1505" i="6"/>
  <c r="BT1506" i="6"/>
  <c r="BT1507" i="6"/>
  <c r="BT1508" i="6"/>
  <c r="BT1509" i="6"/>
  <c r="BT1510" i="6"/>
  <c r="BT1511" i="6"/>
  <c r="BT1512" i="6"/>
  <c r="BT1513" i="6"/>
  <c r="BT1514" i="6"/>
  <c r="BT1515" i="6"/>
  <c r="BT1516" i="6"/>
  <c r="BT1517" i="6"/>
  <c r="BT1518" i="6"/>
  <c r="BT1519" i="6"/>
  <c r="BT1520" i="6"/>
  <c r="BT1521" i="6"/>
  <c r="BT1522" i="6"/>
  <c r="BT1523" i="6"/>
  <c r="BT1524" i="6"/>
  <c r="BT1525" i="6"/>
  <c r="BT1526" i="6"/>
  <c r="BT1527" i="6"/>
  <c r="BT1528" i="6"/>
  <c r="BT1529" i="6"/>
  <c r="BT1530" i="6"/>
  <c r="BT1531" i="6"/>
  <c r="BT1532" i="6"/>
  <c r="BT1533" i="6"/>
  <c r="BT1534" i="6"/>
  <c r="BT1535" i="6"/>
  <c r="BT1536" i="6"/>
  <c r="BT1537" i="6"/>
  <c r="BT1538" i="6"/>
  <c r="BT1539" i="6"/>
  <c r="BT1540" i="6"/>
  <c r="BT1541" i="6"/>
  <c r="BT1542" i="6"/>
  <c r="BT1543" i="6"/>
  <c r="BT1544" i="6"/>
  <c r="BT1545" i="6"/>
  <c r="BT1546" i="6"/>
  <c r="BT1547" i="6"/>
  <c r="BT1548" i="6"/>
  <c r="BT1549" i="6"/>
  <c r="BT1550" i="6"/>
  <c r="BT1551" i="6"/>
  <c r="BT1552" i="6"/>
  <c r="BT1553" i="6"/>
  <c r="BT1554" i="6"/>
  <c r="BT1555" i="6"/>
  <c r="BT1556" i="6"/>
  <c r="BT1557" i="6"/>
  <c r="BT1558" i="6"/>
  <c r="BT1559" i="6"/>
  <c r="BT1560" i="6"/>
  <c r="BT1561" i="6"/>
  <c r="BT1562" i="6"/>
  <c r="BT1563" i="6"/>
  <c r="BT1564" i="6"/>
  <c r="BT1565" i="6"/>
  <c r="BT1566" i="6"/>
  <c r="BT1567" i="6"/>
  <c r="BT1568" i="6"/>
  <c r="BT1569" i="6"/>
  <c r="BT1570" i="6"/>
  <c r="BT1571" i="6"/>
  <c r="BT1572" i="6"/>
  <c r="BT1573" i="6"/>
  <c r="BT1574" i="6"/>
  <c r="BT1575" i="6"/>
  <c r="BT1576" i="6"/>
  <c r="BT1577" i="6"/>
  <c r="BT1578" i="6"/>
  <c r="BT1579" i="6"/>
  <c r="BT1580" i="6"/>
  <c r="BT1581" i="6"/>
  <c r="BT1582" i="6"/>
  <c r="BT1583" i="6"/>
  <c r="BT1584" i="6"/>
  <c r="BT1585" i="6"/>
  <c r="BT1586" i="6"/>
  <c r="BT1587" i="6"/>
  <c r="BT1588" i="6"/>
  <c r="BT1589" i="6"/>
  <c r="BT1590" i="6"/>
  <c r="BT1591" i="6"/>
  <c r="BT1592" i="6"/>
  <c r="BT1593" i="6"/>
  <c r="BT1594" i="6"/>
  <c r="BT1595" i="6"/>
  <c r="BT1596" i="6"/>
  <c r="BT1597" i="6"/>
  <c r="BT1598" i="6"/>
  <c r="BT1599" i="6"/>
  <c r="BT1600" i="6"/>
  <c r="BT1601" i="6"/>
  <c r="BT1602" i="6"/>
  <c r="BT1603" i="6"/>
  <c r="BT1604" i="6"/>
  <c r="BT1605" i="6"/>
  <c r="BT1606" i="6"/>
  <c r="BT1607" i="6"/>
  <c r="BT1608" i="6"/>
  <c r="BT1609" i="6"/>
  <c r="BT1610" i="6"/>
  <c r="BT1611" i="6"/>
  <c r="BT1612" i="6"/>
  <c r="BT1613" i="6"/>
  <c r="BT1614" i="6"/>
  <c r="BT1615" i="6"/>
  <c r="BT1616" i="6"/>
  <c r="BT1617" i="6"/>
  <c r="BT1618" i="6"/>
  <c r="BT1619" i="6"/>
  <c r="BT1620" i="6"/>
  <c r="BT1621" i="6"/>
  <c r="BT1622" i="6"/>
  <c r="BT1623" i="6"/>
  <c r="BT1624" i="6"/>
  <c r="BT1625" i="6"/>
  <c r="BT1626" i="6"/>
  <c r="BT1627" i="6"/>
  <c r="BT1628" i="6"/>
  <c r="BT1629" i="6"/>
  <c r="BT1630" i="6"/>
  <c r="BT1631" i="6"/>
  <c r="BT1632" i="6"/>
  <c r="BT1633" i="6"/>
  <c r="BT1634" i="6"/>
  <c r="BT1635" i="6"/>
  <c r="BT1636" i="6"/>
  <c r="BT1637" i="6"/>
  <c r="BT1638" i="6"/>
  <c r="BT1639" i="6"/>
  <c r="BT1640" i="6"/>
  <c r="BT1641" i="6"/>
  <c r="BT1642" i="6"/>
  <c r="BT1643" i="6"/>
  <c r="BT1644" i="6"/>
  <c r="BT1645" i="6"/>
  <c r="BT1646" i="6"/>
  <c r="BT1647" i="6"/>
  <c r="BT1648" i="6"/>
  <c r="BT1649" i="6"/>
  <c r="BT1650" i="6"/>
  <c r="BT1651" i="6"/>
  <c r="BT1652" i="6"/>
  <c r="BT1653" i="6"/>
  <c r="BT1654" i="6"/>
  <c r="BT1655" i="6"/>
  <c r="BT1656" i="6"/>
  <c r="BT1657" i="6"/>
  <c r="BT1658" i="6"/>
  <c r="BT1659" i="6"/>
  <c r="BT1660" i="6"/>
  <c r="BT1661" i="6"/>
  <c r="BT1662" i="6"/>
  <c r="BT1663" i="6"/>
  <c r="BT1664" i="6"/>
  <c r="BT1665" i="6"/>
  <c r="BT1666" i="6"/>
  <c r="BT1667" i="6"/>
  <c r="BT1668" i="6"/>
  <c r="BT1669" i="6"/>
  <c r="BT1670" i="6"/>
  <c r="BT1671" i="6"/>
  <c r="BT1672" i="6"/>
  <c r="BT1673" i="6"/>
  <c r="BT1674" i="6"/>
  <c r="BT1675" i="6"/>
  <c r="BT1676" i="6"/>
  <c r="BT1677" i="6"/>
  <c r="BT1678" i="6"/>
  <c r="BT1679" i="6"/>
  <c r="BT1680" i="6"/>
  <c r="BT1681" i="6"/>
  <c r="BT1682" i="6"/>
  <c r="BT1683" i="6"/>
  <c r="BT1684" i="6"/>
  <c r="BT1685" i="6"/>
  <c r="BT1686" i="6"/>
  <c r="BT1687" i="6"/>
  <c r="BT1688" i="6"/>
  <c r="BT1689" i="6"/>
  <c r="BT1690" i="6"/>
  <c r="BT1691" i="6"/>
  <c r="BT1692" i="6"/>
  <c r="BT1693" i="6"/>
  <c r="BT1694" i="6"/>
  <c r="BT1695" i="6"/>
  <c r="BT1696" i="6"/>
  <c r="BT1697" i="6"/>
  <c r="BT1698" i="6"/>
  <c r="BT1699" i="6"/>
  <c r="BT1700" i="6"/>
  <c r="BT1701" i="6"/>
  <c r="BT1702" i="6"/>
  <c r="BT1703" i="6"/>
  <c r="BT1704" i="6"/>
  <c r="BT1705" i="6"/>
  <c r="BT1706" i="6"/>
  <c r="BT1707" i="6"/>
  <c r="BT1708" i="6"/>
  <c r="BT1709" i="6"/>
  <c r="BT1710" i="6"/>
  <c r="BT1711" i="6"/>
  <c r="BT1712" i="6"/>
  <c r="BT1713" i="6"/>
  <c r="BT1714" i="6"/>
  <c r="BT1715" i="6"/>
  <c r="BT1716" i="6"/>
  <c r="BT1717" i="6"/>
  <c r="BT1718" i="6"/>
  <c r="BT1719" i="6"/>
  <c r="BT1720" i="6"/>
  <c r="BT1721" i="6"/>
  <c r="BT1722" i="6"/>
  <c r="BT1723" i="6"/>
  <c r="BT1724" i="6"/>
  <c r="BT1725" i="6"/>
  <c r="BT1726" i="6"/>
  <c r="BT1727" i="6"/>
  <c r="BT1728" i="6"/>
  <c r="BT1729" i="6"/>
  <c r="BT1730" i="6"/>
  <c r="BT1731" i="6"/>
  <c r="BT1732" i="6"/>
  <c r="BT1733" i="6"/>
  <c r="BT1734" i="6"/>
  <c r="BT1735" i="6"/>
  <c r="BT1736" i="6"/>
  <c r="BT1737" i="6"/>
  <c r="BT1738" i="6"/>
  <c r="BT1739" i="6"/>
  <c r="BT1740" i="6"/>
  <c r="BT1741" i="6"/>
  <c r="BT1742" i="6"/>
  <c r="BT1743" i="6"/>
  <c r="BT1744" i="6"/>
  <c r="BT1745" i="6"/>
  <c r="BT1746" i="6"/>
  <c r="BT1747" i="6"/>
  <c r="BT1748" i="6"/>
  <c r="BT1749" i="6"/>
  <c r="BT1750" i="6"/>
  <c r="BT1751" i="6"/>
  <c r="BT1752" i="6"/>
  <c r="BT1753" i="6"/>
  <c r="BT1754" i="6"/>
  <c r="BT1755" i="6"/>
  <c r="BT1756" i="6"/>
  <c r="BT1757" i="6"/>
  <c r="BT1758" i="6"/>
  <c r="BT1759" i="6"/>
  <c r="BT1760" i="6"/>
  <c r="BT1761" i="6"/>
  <c r="BT1762" i="6"/>
  <c r="BT1763" i="6"/>
  <c r="BT1764" i="6"/>
  <c r="BT1765" i="6"/>
  <c r="BT1766" i="6"/>
  <c r="BT1767" i="6"/>
  <c r="BT1768" i="6"/>
  <c r="BT1769" i="6"/>
  <c r="BT1770" i="6"/>
  <c r="BT1771" i="6"/>
  <c r="BT1772" i="6"/>
  <c r="BT1773" i="6"/>
  <c r="BT1774" i="6"/>
  <c r="BT1775" i="6"/>
  <c r="BT1776" i="6"/>
  <c r="BT1777" i="6"/>
  <c r="BT1778" i="6"/>
  <c r="BT1779" i="6"/>
  <c r="BT1780" i="6"/>
  <c r="BT1781" i="6"/>
  <c r="BT1782" i="6"/>
  <c r="BT1783" i="6"/>
  <c r="BT1784" i="6"/>
  <c r="BT1785" i="6"/>
  <c r="BT1786" i="6"/>
  <c r="BT1787" i="6"/>
  <c r="BT1788" i="6"/>
  <c r="BT1789" i="6"/>
  <c r="BT1790" i="6"/>
  <c r="BT1791" i="6"/>
  <c r="BT1792" i="6"/>
  <c r="BT1793" i="6"/>
  <c r="BT1794" i="6"/>
  <c r="BT1795" i="6"/>
  <c r="BT1796" i="6"/>
  <c r="BT1797" i="6"/>
  <c r="BT1798" i="6"/>
  <c r="BT1799" i="6"/>
  <c r="BT1800" i="6"/>
  <c r="BT1801" i="6"/>
  <c r="BT1802" i="6"/>
  <c r="BT1803" i="6"/>
  <c r="BT1804" i="6"/>
  <c r="BT1805" i="6"/>
  <c r="BT1806" i="6"/>
  <c r="BT1807" i="6"/>
  <c r="BT1808" i="6"/>
  <c r="BT1809" i="6"/>
  <c r="BT1810" i="6"/>
  <c r="BT1811" i="6"/>
  <c r="BT1812" i="6"/>
  <c r="BT1813" i="6"/>
  <c r="BT1814" i="6"/>
  <c r="BT1815" i="6"/>
  <c r="BT1816" i="6"/>
  <c r="BT1817" i="6"/>
  <c r="BT1818" i="6"/>
  <c r="BT1819" i="6"/>
  <c r="BT1820" i="6"/>
  <c r="BT1821" i="6"/>
  <c r="BT1822" i="6"/>
  <c r="BT1823" i="6"/>
  <c r="BT1824" i="6"/>
  <c r="BT1825" i="6"/>
  <c r="BT1826" i="6"/>
  <c r="BT1827" i="6"/>
  <c r="BT1828" i="6"/>
  <c r="BT1829" i="6"/>
  <c r="BT1830" i="6"/>
  <c r="BT1831" i="6"/>
  <c r="BT1832" i="6"/>
  <c r="BT1833" i="6"/>
  <c r="BT1834" i="6"/>
  <c r="BT1835" i="6"/>
  <c r="BT1836" i="6"/>
  <c r="BT1837" i="6"/>
  <c r="BT1838" i="6"/>
  <c r="BT1839" i="6"/>
  <c r="BT1840" i="6"/>
  <c r="BT1841" i="6"/>
  <c r="BT1842" i="6"/>
  <c r="BT1843" i="6"/>
  <c r="BT1844" i="6"/>
  <c r="BT1845" i="6"/>
  <c r="BT1846" i="6"/>
  <c r="BT1847" i="6"/>
  <c r="BT1848" i="6"/>
  <c r="BT1849" i="6"/>
  <c r="BT1850" i="6"/>
  <c r="BT1851" i="6"/>
  <c r="BT1852" i="6"/>
  <c r="BT1853" i="6"/>
  <c r="BT1854" i="6"/>
  <c r="BT1855" i="6"/>
  <c r="BT1856" i="6"/>
  <c r="BT1857" i="6"/>
  <c r="BT1858" i="6"/>
  <c r="BT1859" i="6"/>
  <c r="BT1860" i="6"/>
  <c r="BT1861" i="6"/>
  <c r="BT1862" i="6"/>
  <c r="BT1863" i="6"/>
  <c r="BT1864" i="6"/>
  <c r="BT1865" i="6"/>
  <c r="BT1866" i="6"/>
  <c r="BT1867" i="6"/>
  <c r="BT1868" i="6"/>
  <c r="BT1869" i="6"/>
  <c r="BT1870" i="6"/>
  <c r="BT1871" i="6"/>
  <c r="BT1872" i="6"/>
  <c r="BT1873" i="6"/>
  <c r="BT1874" i="6"/>
  <c r="BT1875" i="6"/>
  <c r="BT1876" i="6"/>
  <c r="BT1877" i="6"/>
  <c r="BT1878" i="6"/>
  <c r="BT1879" i="6"/>
  <c r="BT1880" i="6"/>
  <c r="BT1881" i="6"/>
  <c r="BT1882" i="6"/>
  <c r="BT1883" i="6"/>
  <c r="BT1884" i="6"/>
  <c r="BT1885" i="6"/>
  <c r="BT1886" i="6"/>
  <c r="BT1887" i="6"/>
  <c r="BT1888" i="6"/>
  <c r="BT1889" i="6"/>
  <c r="BT1890" i="6"/>
  <c r="BT1891" i="6"/>
  <c r="BT1892" i="6"/>
  <c r="BT1893" i="6"/>
  <c r="BT1894" i="6"/>
  <c r="BT1895" i="6"/>
  <c r="BT1896" i="6"/>
  <c r="BT1897" i="6"/>
  <c r="BT1898" i="6"/>
  <c r="BT1899" i="6"/>
  <c r="BT1900" i="6"/>
  <c r="BT1901" i="6"/>
  <c r="BT1902" i="6"/>
  <c r="BT1903" i="6"/>
  <c r="BT1904" i="6"/>
  <c r="BT1905" i="6"/>
  <c r="BT1906" i="6"/>
  <c r="BT1907" i="6"/>
  <c r="BT1908" i="6"/>
  <c r="BT1909" i="6"/>
  <c r="BT1910" i="6"/>
  <c r="BT1911" i="6"/>
  <c r="BT1912" i="6"/>
  <c r="BT1913" i="6"/>
  <c r="BT1914" i="6"/>
  <c r="BT1915" i="6"/>
  <c r="BT1916" i="6"/>
  <c r="BT1917" i="6"/>
  <c r="BT1918" i="6"/>
  <c r="BT1919" i="6"/>
  <c r="BT1920" i="6"/>
  <c r="BT1921" i="6"/>
  <c r="BT1922" i="6"/>
  <c r="BT1923" i="6"/>
  <c r="BT1924" i="6"/>
  <c r="BT1925" i="6"/>
  <c r="BT1926" i="6"/>
  <c r="BT1927" i="6"/>
  <c r="BT1928" i="6"/>
  <c r="BT1929" i="6"/>
  <c r="BT1930" i="6"/>
  <c r="BT1931" i="6"/>
  <c r="BT1932" i="6"/>
  <c r="BT1933" i="6"/>
  <c r="BT1934" i="6"/>
  <c r="BT1935" i="6"/>
  <c r="BT1936" i="6"/>
  <c r="BT1937" i="6"/>
  <c r="BT1938" i="6"/>
  <c r="BT1939" i="6"/>
  <c r="BT1940" i="6"/>
  <c r="BT1941" i="6"/>
  <c r="BT1942" i="6"/>
  <c r="BT1943" i="6"/>
  <c r="BT1944" i="6"/>
  <c r="BT1945" i="6"/>
  <c r="BT1946" i="6"/>
  <c r="BT1947" i="6"/>
  <c r="BT1948" i="6"/>
  <c r="BT1949" i="6"/>
  <c r="BT1950" i="6"/>
  <c r="BT1951" i="6"/>
  <c r="BT1952" i="6"/>
  <c r="BT1953" i="6"/>
  <c r="BT1954" i="6"/>
  <c r="BT1955" i="6"/>
  <c r="BT1956" i="6"/>
  <c r="BT1957" i="6"/>
  <c r="BT1958" i="6"/>
  <c r="BT1959" i="6"/>
  <c r="BT1960" i="6"/>
  <c r="BT1961" i="6"/>
  <c r="BT1962" i="6"/>
  <c r="BT1963" i="6"/>
  <c r="BT1964" i="6"/>
  <c r="BT1965" i="6"/>
  <c r="BT1966" i="6"/>
  <c r="BT1967" i="6"/>
  <c r="BT1968" i="6"/>
  <c r="BT1969" i="6"/>
  <c r="BT1970" i="6"/>
  <c r="BT1971" i="6"/>
  <c r="BT1972" i="6"/>
  <c r="BT1973" i="6"/>
  <c r="BT1974" i="6"/>
  <c r="BT1975" i="6"/>
  <c r="BT1976" i="6"/>
  <c r="BT1977" i="6"/>
  <c r="BT1978" i="6"/>
  <c r="BT1979" i="6"/>
  <c r="BT1980" i="6"/>
  <c r="BT1981" i="6"/>
  <c r="BT1982" i="6"/>
  <c r="BT1983" i="6"/>
  <c r="BT1984" i="6"/>
  <c r="BT1985" i="6"/>
  <c r="BT1986" i="6"/>
  <c r="BT1987" i="6"/>
  <c r="BT1988" i="6"/>
  <c r="BT1989" i="6"/>
  <c r="BT1990" i="6"/>
  <c r="BT1991" i="6"/>
  <c r="BT1992" i="6"/>
  <c r="BT1993" i="6"/>
  <c r="BT1994" i="6"/>
  <c r="BT1995" i="6"/>
  <c r="BT1996" i="6"/>
  <c r="BT1997" i="6"/>
  <c r="BT1998" i="6"/>
  <c r="BT1999" i="6"/>
  <c r="BT2000" i="6"/>
  <c r="BT2001" i="6"/>
  <c r="BT2002" i="6"/>
  <c r="BT2003" i="6"/>
  <c r="BT2004" i="6"/>
  <c r="BT2005" i="6"/>
  <c r="BT2006" i="6"/>
  <c r="BT2007" i="6"/>
  <c r="BT2008" i="6"/>
  <c r="BT2009" i="6"/>
  <c r="BT2010" i="6"/>
  <c r="BT2011" i="6"/>
  <c r="BT2012" i="6"/>
  <c r="BT2013" i="6"/>
  <c r="BT2014" i="6"/>
  <c r="BT2015" i="6"/>
  <c r="BT2016" i="6"/>
  <c r="BT2017" i="6"/>
  <c r="BT2018" i="6"/>
  <c r="BT2019" i="6"/>
  <c r="BT2020" i="6"/>
  <c r="BT2021" i="6"/>
  <c r="BT2022" i="6"/>
  <c r="BT2023" i="6"/>
  <c r="BT2024" i="6"/>
  <c r="BT2025" i="6"/>
  <c r="BT2026" i="6"/>
  <c r="BT2027" i="6"/>
  <c r="BT2028" i="6"/>
  <c r="BT2029" i="6"/>
  <c r="BT2030" i="6"/>
  <c r="BT2031" i="6"/>
  <c r="BT2032" i="6"/>
  <c r="BT2033" i="6"/>
  <c r="BT2034" i="6"/>
  <c r="BT2035" i="6"/>
  <c r="BT2036" i="6"/>
  <c r="BT2037" i="6"/>
  <c r="BT2038" i="6"/>
  <c r="BT2039" i="6"/>
  <c r="BT2040" i="6"/>
  <c r="BT2041" i="6"/>
  <c r="BT2042" i="6"/>
  <c r="BT2043" i="6"/>
  <c r="BT2044" i="6"/>
  <c r="BT2045" i="6"/>
  <c r="BT2046" i="6"/>
  <c r="BT2047" i="6"/>
  <c r="BT2048" i="6"/>
  <c r="BT2049" i="6"/>
  <c r="BT2050" i="6"/>
  <c r="BT2051" i="6"/>
  <c r="BT2052" i="6"/>
  <c r="BT2053" i="6"/>
  <c r="BT2054" i="6"/>
  <c r="BT2055" i="6"/>
  <c r="BT2056" i="6"/>
  <c r="BT2057" i="6"/>
  <c r="BT2058" i="6"/>
  <c r="BT2059" i="6"/>
  <c r="BT2060" i="6"/>
  <c r="BT2061" i="6"/>
  <c r="BT2062" i="6"/>
  <c r="BT2063" i="6"/>
  <c r="BT2064" i="6"/>
  <c r="BT2065" i="6"/>
  <c r="BT2066" i="6"/>
  <c r="BT2067" i="6"/>
  <c r="BT2068" i="6"/>
  <c r="BT2069" i="6"/>
  <c r="BT2070" i="6"/>
  <c r="BT2071" i="6"/>
  <c r="BT2072" i="6"/>
  <c r="BT2073" i="6"/>
  <c r="BT2074" i="6"/>
  <c r="BT2075" i="6"/>
  <c r="BT2076" i="6"/>
  <c r="BT2077" i="6"/>
  <c r="BT2078" i="6"/>
  <c r="BT2079" i="6"/>
  <c r="BT2080" i="6"/>
  <c r="BT2081" i="6"/>
  <c r="BT2082" i="6"/>
  <c r="BT2083" i="6"/>
  <c r="BT2084" i="6"/>
  <c r="BT2085" i="6"/>
  <c r="BT2086" i="6"/>
  <c r="BT2087" i="6"/>
  <c r="BT2088" i="6"/>
  <c r="BT2089" i="6"/>
  <c r="BT2090" i="6"/>
  <c r="BT2091" i="6"/>
  <c r="BT2092" i="6"/>
  <c r="BT2093" i="6"/>
  <c r="BT2094" i="6"/>
  <c r="BT2095" i="6"/>
  <c r="BT2096" i="6"/>
  <c r="BT2097" i="6"/>
  <c r="BT2098" i="6"/>
  <c r="BT2099" i="6"/>
  <c r="BT2100" i="6"/>
  <c r="BT2101" i="6"/>
  <c r="BT2102" i="6"/>
  <c r="BT2103" i="6"/>
  <c r="BT2104" i="6"/>
  <c r="BT2105" i="6"/>
  <c r="BT2106" i="6"/>
  <c r="BT2107" i="6"/>
  <c r="BT2108" i="6"/>
  <c r="BT2109" i="6"/>
  <c r="BT2110" i="6"/>
  <c r="BT2111" i="6"/>
  <c r="BT2112" i="6"/>
  <c r="BT2113" i="6"/>
  <c r="BT2114" i="6"/>
  <c r="BT2115" i="6"/>
  <c r="BT2116" i="6"/>
  <c r="BT2117" i="6"/>
  <c r="BT2118" i="6"/>
  <c r="BT2119" i="6"/>
  <c r="BT2120" i="6"/>
  <c r="BT2121" i="6"/>
  <c r="BT2122" i="6"/>
  <c r="BT2123" i="6"/>
  <c r="BT2124" i="6"/>
  <c r="BT2125" i="6"/>
  <c r="BT2126" i="6"/>
  <c r="BT2127" i="6"/>
  <c r="BT2128" i="6"/>
  <c r="BT2129" i="6"/>
  <c r="BT2130" i="6"/>
  <c r="BT2131" i="6"/>
  <c r="BT2132" i="6"/>
  <c r="BT2133" i="6"/>
  <c r="BT2134" i="6"/>
  <c r="BT2135" i="6"/>
  <c r="BT2136" i="6"/>
  <c r="BT2137" i="6"/>
  <c r="BT2138" i="6"/>
  <c r="BT2139" i="6"/>
  <c r="BT2140" i="6"/>
  <c r="BT2141" i="6"/>
  <c r="BT2142" i="6"/>
  <c r="BT2143" i="6"/>
  <c r="BT2144" i="6"/>
  <c r="BT2145" i="6"/>
  <c r="BT2146" i="6"/>
  <c r="BT2147" i="6"/>
  <c r="BT2148" i="6"/>
  <c r="BT2149" i="6"/>
  <c r="BT2150" i="6"/>
  <c r="BT2151" i="6"/>
  <c r="BT2" i="6"/>
  <c r="BD2" i="6"/>
  <c r="BF2" i="6"/>
  <c r="BD3" i="6"/>
  <c r="BF3" i="6" s="1"/>
  <c r="BD4" i="6"/>
  <c r="BF4" i="6" s="1"/>
  <c r="BD5" i="6"/>
  <c r="BF5" i="6" s="1"/>
  <c r="BD6" i="6"/>
  <c r="BF6" i="6" s="1"/>
  <c r="BD7" i="6"/>
  <c r="BF7" i="6" s="1"/>
  <c r="BD8" i="6"/>
  <c r="BF8" i="6" s="1"/>
  <c r="BD9" i="6"/>
  <c r="BF9" i="6" s="1"/>
  <c r="BD10" i="6"/>
  <c r="BF10" i="6" s="1"/>
  <c r="BD11" i="6"/>
  <c r="BF11" i="6" s="1"/>
  <c r="BD12" i="6"/>
  <c r="BF12" i="6" s="1"/>
  <c r="BD13" i="6"/>
  <c r="BF13" i="6" s="1"/>
  <c r="BD14" i="6"/>
  <c r="BF14" i="6" s="1"/>
  <c r="BD15" i="6"/>
  <c r="BF15" i="6" s="1"/>
  <c r="BD16" i="6"/>
  <c r="BF16" i="6" s="1"/>
  <c r="BD17" i="6"/>
  <c r="BF17" i="6" s="1"/>
  <c r="BD18" i="6"/>
  <c r="BF18" i="6" s="1"/>
  <c r="BD19" i="6"/>
  <c r="BF19" i="6" s="1"/>
  <c r="BD20" i="6"/>
  <c r="BF20" i="6" s="1"/>
  <c r="BD21" i="6"/>
  <c r="BF21" i="6" s="1"/>
  <c r="BD22" i="6"/>
  <c r="BF22" i="6" s="1"/>
  <c r="BD23" i="6"/>
  <c r="BF23" i="6" s="1"/>
  <c r="BD24" i="6"/>
  <c r="BF24" i="6" s="1"/>
  <c r="BD25" i="6"/>
  <c r="BF25" i="6" s="1"/>
  <c r="BD26" i="6"/>
  <c r="BF26" i="6" s="1"/>
  <c r="BD27" i="6"/>
  <c r="BF27" i="6" s="1"/>
  <c r="BD28" i="6"/>
  <c r="BF28" i="6" s="1"/>
  <c r="BD29" i="6"/>
  <c r="BF29" i="6" s="1"/>
  <c r="BD30" i="6"/>
  <c r="BF30" i="6" s="1"/>
  <c r="BD31" i="6"/>
  <c r="BF31" i="6" s="1"/>
  <c r="BD32" i="6"/>
  <c r="BF32" i="6" s="1"/>
  <c r="BD33" i="6"/>
  <c r="BF33" i="6" s="1"/>
  <c r="BD34" i="6"/>
  <c r="BF34" i="6" s="1"/>
  <c r="BD35" i="6"/>
  <c r="BF35" i="6" s="1"/>
  <c r="BD36" i="6"/>
  <c r="BF36" i="6" s="1"/>
  <c r="BD37" i="6"/>
  <c r="BF37" i="6" s="1"/>
  <c r="BD38" i="6"/>
  <c r="BF38" i="6" s="1"/>
  <c r="BD39" i="6"/>
  <c r="BF39" i="6" s="1"/>
  <c r="BD40" i="6"/>
  <c r="BF40" i="6" s="1"/>
  <c r="BD41" i="6"/>
  <c r="BF41" i="6" s="1"/>
  <c r="BD42" i="6"/>
  <c r="BF42" i="6" s="1"/>
  <c r="BD43" i="6"/>
  <c r="BF43" i="6" s="1"/>
  <c r="BD44" i="6"/>
  <c r="BF44" i="6" s="1"/>
  <c r="BD45" i="6"/>
  <c r="BF45" i="6" s="1"/>
  <c r="BD46" i="6"/>
  <c r="BF46" i="6" s="1"/>
  <c r="BD47" i="6"/>
  <c r="BF47" i="6" s="1"/>
  <c r="BD48" i="6"/>
  <c r="BF48" i="6" s="1"/>
  <c r="BD49" i="6"/>
  <c r="BF49" i="6" s="1"/>
  <c r="BD50" i="6"/>
  <c r="BF50" i="6" s="1"/>
  <c r="BD51" i="6"/>
  <c r="BF51" i="6" s="1"/>
  <c r="BD52" i="6"/>
  <c r="BF52" i="6" s="1"/>
  <c r="BD53" i="6"/>
  <c r="BF53" i="6" s="1"/>
  <c r="BD54" i="6"/>
  <c r="BF54" i="6" s="1"/>
  <c r="BD55" i="6"/>
  <c r="BF55" i="6" s="1"/>
  <c r="BD56" i="6"/>
  <c r="BF56" i="6" s="1"/>
  <c r="BD57" i="6"/>
  <c r="BF57" i="6" s="1"/>
  <c r="BD58" i="6"/>
  <c r="BF58" i="6" s="1"/>
  <c r="BD59" i="6"/>
  <c r="BF59" i="6" s="1"/>
  <c r="BD60" i="6"/>
  <c r="BF60" i="6" s="1"/>
  <c r="BD61" i="6"/>
  <c r="BF61" i="6" s="1"/>
  <c r="BD62" i="6"/>
  <c r="BF62" i="6" s="1"/>
  <c r="BD63" i="6"/>
  <c r="BF63" i="6" s="1"/>
  <c r="BD64" i="6"/>
  <c r="BF64" i="6" s="1"/>
  <c r="BD65" i="6"/>
  <c r="BF65" i="6" s="1"/>
  <c r="BD66" i="6"/>
  <c r="BF66" i="6" s="1"/>
  <c r="BD67" i="6"/>
  <c r="BF67" i="6" s="1"/>
  <c r="BD68" i="6"/>
  <c r="BF68" i="6" s="1"/>
  <c r="BD69" i="6"/>
  <c r="BF69" i="6" s="1"/>
  <c r="BD70" i="6"/>
  <c r="BF70" i="6" s="1"/>
  <c r="BD71" i="6"/>
  <c r="BF71" i="6" s="1"/>
  <c r="BD72" i="6"/>
  <c r="BF72" i="6" s="1"/>
  <c r="BD73" i="6"/>
  <c r="BF73" i="6" s="1"/>
  <c r="BD74" i="6"/>
  <c r="BF74" i="6" s="1"/>
  <c r="BD75" i="6"/>
  <c r="BF75" i="6" s="1"/>
  <c r="BD76" i="6"/>
  <c r="BF76" i="6" s="1"/>
  <c r="BD77" i="6"/>
  <c r="BF77" i="6" s="1"/>
  <c r="BD78" i="6"/>
  <c r="BF78" i="6" s="1"/>
  <c r="BD79" i="6"/>
  <c r="BF79" i="6" s="1"/>
  <c r="BD80" i="6"/>
  <c r="BF80" i="6" s="1"/>
  <c r="BD81" i="6"/>
  <c r="BF81" i="6" s="1"/>
  <c r="BD82" i="6"/>
  <c r="BF82" i="6" s="1"/>
  <c r="BD83" i="6"/>
  <c r="BF83" i="6" s="1"/>
  <c r="BD84" i="6"/>
  <c r="BF84" i="6" s="1"/>
  <c r="BD85" i="6"/>
  <c r="BF85" i="6" s="1"/>
  <c r="BD86" i="6"/>
  <c r="BF86" i="6" s="1"/>
  <c r="BD87" i="6"/>
  <c r="BF87" i="6" s="1"/>
  <c r="BD88" i="6"/>
  <c r="BF88" i="6" s="1"/>
  <c r="BD89" i="6"/>
  <c r="BF89" i="6" s="1"/>
  <c r="BD90" i="6"/>
  <c r="BF90" i="6" s="1"/>
  <c r="BD91" i="6"/>
  <c r="BF91" i="6" s="1"/>
  <c r="BD92" i="6"/>
  <c r="BF92" i="6" s="1"/>
  <c r="BD93" i="6"/>
  <c r="BF93" i="6" s="1"/>
  <c r="BD94" i="6"/>
  <c r="BF94" i="6" s="1"/>
  <c r="BD95" i="6"/>
  <c r="BF95" i="6" s="1"/>
  <c r="BD96" i="6"/>
  <c r="BF96" i="6" s="1"/>
  <c r="BD97" i="6"/>
  <c r="BF97" i="6" s="1"/>
  <c r="BD98" i="6"/>
  <c r="BF98" i="6" s="1"/>
  <c r="BD99" i="6"/>
  <c r="BF99" i="6" s="1"/>
  <c r="BD100" i="6"/>
  <c r="BF100" i="6" s="1"/>
  <c r="BD101" i="6"/>
  <c r="BF101" i="6" s="1"/>
  <c r="BD102" i="6"/>
  <c r="BF102" i="6" s="1"/>
  <c r="BD103" i="6"/>
  <c r="BF103" i="6" s="1"/>
  <c r="BD104" i="6"/>
  <c r="BF104" i="6" s="1"/>
  <c r="BD105" i="6"/>
  <c r="BF105" i="6" s="1"/>
  <c r="BD106" i="6"/>
  <c r="BF106" i="6" s="1"/>
  <c r="BD107" i="6"/>
  <c r="BF107" i="6" s="1"/>
  <c r="BD108" i="6"/>
  <c r="BF108" i="6" s="1"/>
  <c r="BD109" i="6"/>
  <c r="BF109" i="6" s="1"/>
  <c r="BD110" i="6"/>
  <c r="BF110" i="6" s="1"/>
  <c r="BD111" i="6"/>
  <c r="BF111" i="6" s="1"/>
  <c r="BD112" i="6"/>
  <c r="BF112" i="6" s="1"/>
  <c r="BD113" i="6"/>
  <c r="BF113" i="6" s="1"/>
  <c r="BD114" i="6"/>
  <c r="BF114" i="6" s="1"/>
  <c r="BD115" i="6"/>
  <c r="BF115" i="6" s="1"/>
  <c r="BD116" i="6"/>
  <c r="BF116" i="6" s="1"/>
  <c r="BD117" i="6"/>
  <c r="BF117" i="6" s="1"/>
  <c r="BD118" i="6"/>
  <c r="BF118" i="6" s="1"/>
  <c r="BD119" i="6"/>
  <c r="BF119" i="6" s="1"/>
  <c r="BD120" i="6"/>
  <c r="BF120" i="6" s="1"/>
  <c r="BD121" i="6"/>
  <c r="BF121" i="6" s="1"/>
  <c r="BD122" i="6"/>
  <c r="BF122" i="6" s="1"/>
  <c r="BD123" i="6"/>
  <c r="BF123" i="6" s="1"/>
  <c r="BD124" i="6"/>
  <c r="BF124" i="6" s="1"/>
  <c r="BD125" i="6"/>
  <c r="BF125" i="6" s="1"/>
  <c r="BD126" i="6"/>
  <c r="BF126" i="6" s="1"/>
  <c r="BD127" i="6"/>
  <c r="BF127" i="6" s="1"/>
  <c r="BD128" i="6"/>
  <c r="BF128" i="6" s="1"/>
  <c r="BD129" i="6"/>
  <c r="BF129" i="6" s="1"/>
  <c r="BD130" i="6"/>
  <c r="BF130" i="6" s="1"/>
  <c r="BD131" i="6"/>
  <c r="BF131" i="6" s="1"/>
  <c r="BD132" i="6"/>
  <c r="BF132" i="6" s="1"/>
  <c r="BD133" i="6"/>
  <c r="BF133" i="6" s="1"/>
  <c r="BD134" i="6"/>
  <c r="BF134" i="6" s="1"/>
  <c r="BD135" i="6"/>
  <c r="BF135" i="6" s="1"/>
  <c r="BD136" i="6"/>
  <c r="BF136" i="6" s="1"/>
  <c r="BD137" i="6"/>
  <c r="BF137" i="6" s="1"/>
  <c r="BD138" i="6"/>
  <c r="BF138" i="6" s="1"/>
  <c r="BD139" i="6"/>
  <c r="BF139" i="6" s="1"/>
  <c r="BD140" i="6"/>
  <c r="BF140" i="6" s="1"/>
  <c r="BD141" i="6"/>
  <c r="BF141" i="6" s="1"/>
  <c r="BD142" i="6"/>
  <c r="BF142" i="6" s="1"/>
  <c r="BD143" i="6"/>
  <c r="BF143" i="6" s="1"/>
  <c r="BD144" i="6"/>
  <c r="BF144" i="6" s="1"/>
  <c r="BD145" i="6"/>
  <c r="BF145" i="6" s="1"/>
  <c r="BD146" i="6"/>
  <c r="BF146" i="6" s="1"/>
  <c r="BD147" i="6"/>
  <c r="BF147" i="6" s="1"/>
  <c r="BD148" i="6"/>
  <c r="BF148" i="6" s="1"/>
  <c r="BD149" i="6"/>
  <c r="BF149" i="6" s="1"/>
  <c r="BD150" i="6"/>
  <c r="BF150" i="6" s="1"/>
  <c r="BD151" i="6"/>
  <c r="BF151" i="6" s="1"/>
  <c r="BD152" i="6"/>
  <c r="BF152" i="6" s="1"/>
  <c r="BD153" i="6"/>
  <c r="BF153" i="6" s="1"/>
  <c r="BD154" i="6"/>
  <c r="BF154" i="6" s="1"/>
  <c r="BD155" i="6"/>
  <c r="BF155" i="6" s="1"/>
  <c r="BD156" i="6"/>
  <c r="BF156" i="6" s="1"/>
  <c r="BD157" i="6"/>
  <c r="BF157" i="6" s="1"/>
  <c r="BD158" i="6"/>
  <c r="BF158" i="6" s="1"/>
  <c r="BD159" i="6"/>
  <c r="BF159" i="6" s="1"/>
  <c r="BD160" i="6"/>
  <c r="BF160" i="6" s="1"/>
  <c r="BD161" i="6"/>
  <c r="BF161" i="6" s="1"/>
  <c r="BD162" i="6"/>
  <c r="BF162" i="6" s="1"/>
  <c r="BD163" i="6"/>
  <c r="BF163" i="6" s="1"/>
  <c r="BD164" i="6"/>
  <c r="BF164" i="6" s="1"/>
  <c r="BD165" i="6"/>
  <c r="BF165" i="6" s="1"/>
  <c r="BD166" i="6"/>
  <c r="BF166" i="6" s="1"/>
  <c r="BD167" i="6"/>
  <c r="BF167" i="6" s="1"/>
  <c r="BD168" i="6"/>
  <c r="BF168" i="6" s="1"/>
  <c r="BD169" i="6"/>
  <c r="BF169" i="6" s="1"/>
  <c r="BD170" i="6"/>
  <c r="BF170" i="6" s="1"/>
  <c r="BD171" i="6"/>
  <c r="BF171" i="6" s="1"/>
  <c r="BD172" i="6"/>
  <c r="BF172" i="6" s="1"/>
  <c r="BD173" i="6"/>
  <c r="BF173" i="6" s="1"/>
  <c r="BD174" i="6"/>
  <c r="BF174" i="6" s="1"/>
  <c r="BD175" i="6"/>
  <c r="BF175" i="6" s="1"/>
  <c r="BD176" i="6"/>
  <c r="BF176" i="6" s="1"/>
  <c r="BD177" i="6"/>
  <c r="BF177" i="6" s="1"/>
  <c r="BD178" i="6"/>
  <c r="BF178" i="6" s="1"/>
  <c r="BD179" i="6"/>
  <c r="BF179" i="6" s="1"/>
  <c r="BD180" i="6"/>
  <c r="BF180" i="6" s="1"/>
  <c r="BD181" i="6"/>
  <c r="BF181" i="6" s="1"/>
  <c r="BD182" i="6"/>
  <c r="BF182" i="6" s="1"/>
  <c r="BD183" i="6"/>
  <c r="BF183" i="6" s="1"/>
  <c r="BD184" i="6"/>
  <c r="BF184" i="6" s="1"/>
  <c r="BD185" i="6"/>
  <c r="BF185" i="6" s="1"/>
  <c r="BD186" i="6"/>
  <c r="BF186" i="6" s="1"/>
  <c r="BD187" i="6"/>
  <c r="BF187" i="6" s="1"/>
  <c r="BD188" i="6"/>
  <c r="BF188" i="6" s="1"/>
  <c r="BD189" i="6"/>
  <c r="BF189" i="6" s="1"/>
  <c r="BD190" i="6"/>
  <c r="BF190" i="6" s="1"/>
  <c r="BD191" i="6"/>
  <c r="BF191" i="6" s="1"/>
  <c r="BD192" i="6"/>
  <c r="BF192" i="6" s="1"/>
  <c r="BD193" i="6"/>
  <c r="BF193" i="6" s="1"/>
  <c r="BD194" i="6"/>
  <c r="BF194" i="6" s="1"/>
  <c r="BD195" i="6"/>
  <c r="BF195" i="6" s="1"/>
  <c r="BD196" i="6"/>
  <c r="BF196" i="6" s="1"/>
  <c r="BD197" i="6"/>
  <c r="BF197" i="6" s="1"/>
  <c r="BD198" i="6"/>
  <c r="BF198" i="6" s="1"/>
  <c r="BD199" i="6"/>
  <c r="BF199" i="6" s="1"/>
  <c r="BD200" i="6"/>
  <c r="BF200" i="6" s="1"/>
  <c r="BD201" i="6"/>
  <c r="BF201" i="6" s="1"/>
  <c r="AZ3" i="6"/>
  <c r="BA3" i="6" s="1"/>
  <c r="AZ4" i="6"/>
  <c r="BA4" i="6" s="1"/>
  <c r="AZ5" i="6"/>
  <c r="BA5" i="6" s="1"/>
  <c r="AZ6" i="6"/>
  <c r="BA6" i="6" s="1"/>
  <c r="AZ7" i="6"/>
  <c r="BA7" i="6" s="1"/>
  <c r="AZ8" i="6"/>
  <c r="BA8" i="6" s="1"/>
  <c r="AZ9" i="6"/>
  <c r="BA9" i="6" s="1"/>
  <c r="AZ10" i="6"/>
  <c r="BA10" i="6" s="1"/>
  <c r="AZ11" i="6"/>
  <c r="BA11" i="6" s="1"/>
  <c r="AZ12" i="6"/>
  <c r="BA12" i="6" s="1"/>
  <c r="AZ13" i="6"/>
  <c r="BA13" i="6" s="1"/>
  <c r="AZ14" i="6"/>
  <c r="BA14" i="6" s="1"/>
  <c r="AZ15" i="6"/>
  <c r="BA15" i="6" s="1"/>
  <c r="AZ16" i="6"/>
  <c r="BA16" i="6" s="1"/>
  <c r="AZ17" i="6"/>
  <c r="BA17" i="6" s="1"/>
  <c r="AZ18" i="6"/>
  <c r="BA18" i="6" s="1"/>
  <c r="AZ19" i="6"/>
  <c r="BA19" i="6" s="1"/>
  <c r="AZ20" i="6"/>
  <c r="BA20" i="6" s="1"/>
  <c r="AZ21" i="6"/>
  <c r="BA21" i="6" s="1"/>
  <c r="AZ22" i="6"/>
  <c r="BA22" i="6" s="1"/>
  <c r="AZ23" i="6"/>
  <c r="BA23" i="6" s="1"/>
  <c r="AZ24" i="6"/>
  <c r="BA24" i="6" s="1"/>
  <c r="AZ25" i="6"/>
  <c r="BA25" i="6" s="1"/>
  <c r="AZ26" i="6"/>
  <c r="BA26" i="6" s="1"/>
  <c r="AZ27" i="6"/>
  <c r="BA27" i="6" s="1"/>
  <c r="AZ28" i="6"/>
  <c r="BA28" i="6" s="1"/>
  <c r="AZ29" i="6"/>
  <c r="BA29" i="6" s="1"/>
  <c r="AZ30" i="6"/>
  <c r="BA30" i="6" s="1"/>
  <c r="AZ31" i="6"/>
  <c r="BA31" i="6" s="1"/>
  <c r="AZ32" i="6"/>
  <c r="BA32" i="6" s="1"/>
  <c r="AZ33" i="6"/>
  <c r="BA33" i="6" s="1"/>
  <c r="AZ34" i="6"/>
  <c r="BA34" i="6" s="1"/>
  <c r="AZ35" i="6"/>
  <c r="BA35" i="6" s="1"/>
  <c r="AZ36" i="6"/>
  <c r="BA36" i="6" s="1"/>
  <c r="AZ37" i="6"/>
  <c r="BA37" i="6" s="1"/>
  <c r="AZ38" i="6"/>
  <c r="BA38" i="6" s="1"/>
  <c r="AZ39" i="6"/>
  <c r="BA39" i="6" s="1"/>
  <c r="AZ40" i="6"/>
  <c r="BA40" i="6" s="1"/>
  <c r="AZ41" i="6"/>
  <c r="BA41" i="6" s="1"/>
  <c r="AZ42" i="6"/>
  <c r="BA42" i="6" s="1"/>
  <c r="AZ43" i="6"/>
  <c r="BA43" i="6" s="1"/>
  <c r="AZ44" i="6"/>
  <c r="BA44" i="6" s="1"/>
  <c r="AZ45" i="6"/>
  <c r="BA45" i="6" s="1"/>
  <c r="AZ46" i="6"/>
  <c r="BA46" i="6" s="1"/>
  <c r="AZ47" i="6"/>
  <c r="BA47" i="6" s="1"/>
  <c r="AZ48" i="6"/>
  <c r="BA48" i="6" s="1"/>
  <c r="AZ49" i="6"/>
  <c r="BA49" i="6" s="1"/>
  <c r="AZ50" i="6"/>
  <c r="BA50" i="6" s="1"/>
  <c r="AZ51" i="6"/>
  <c r="BA51" i="6" s="1"/>
  <c r="AZ52" i="6"/>
  <c r="BA52" i="6" s="1"/>
  <c r="AZ53" i="6"/>
  <c r="BA53" i="6" s="1"/>
  <c r="AZ54" i="6"/>
  <c r="BA54" i="6" s="1"/>
  <c r="AZ55" i="6"/>
  <c r="BA55" i="6" s="1"/>
  <c r="AZ56" i="6"/>
  <c r="BA56" i="6" s="1"/>
  <c r="AZ57" i="6"/>
  <c r="BA57" i="6" s="1"/>
  <c r="AZ58" i="6"/>
  <c r="BA58" i="6" s="1"/>
  <c r="AZ59" i="6"/>
  <c r="BA59" i="6" s="1"/>
  <c r="AZ60" i="6"/>
  <c r="BA60" i="6" s="1"/>
  <c r="AZ61" i="6"/>
  <c r="BA61" i="6" s="1"/>
  <c r="AZ62" i="6"/>
  <c r="BA62" i="6" s="1"/>
  <c r="AZ63" i="6"/>
  <c r="BA63" i="6" s="1"/>
  <c r="AZ64" i="6"/>
  <c r="BA64" i="6" s="1"/>
  <c r="AZ65" i="6"/>
  <c r="BA65" i="6" s="1"/>
  <c r="AZ66" i="6"/>
  <c r="BA66" i="6" s="1"/>
  <c r="AZ67" i="6"/>
  <c r="BA67" i="6" s="1"/>
  <c r="AZ68" i="6"/>
  <c r="BA68" i="6" s="1"/>
  <c r="AZ69" i="6"/>
  <c r="BA69" i="6" s="1"/>
  <c r="AZ70" i="6"/>
  <c r="BA70" i="6" s="1"/>
  <c r="AZ71" i="6"/>
  <c r="BA71" i="6" s="1"/>
  <c r="AZ72" i="6"/>
  <c r="BA72" i="6" s="1"/>
  <c r="AZ73" i="6"/>
  <c r="BA73" i="6" s="1"/>
  <c r="AZ74" i="6"/>
  <c r="BA74" i="6" s="1"/>
  <c r="AZ75" i="6"/>
  <c r="BA75" i="6" s="1"/>
  <c r="AZ76" i="6"/>
  <c r="BA76" i="6" s="1"/>
  <c r="AZ77" i="6"/>
  <c r="BA77" i="6" s="1"/>
  <c r="AZ78" i="6"/>
  <c r="BA78" i="6" s="1"/>
  <c r="AZ79" i="6"/>
  <c r="BA79" i="6" s="1"/>
  <c r="AZ80" i="6"/>
  <c r="BA80" i="6" s="1"/>
  <c r="AZ81" i="6"/>
  <c r="BA81" i="6" s="1"/>
  <c r="AZ82" i="6"/>
  <c r="BA82" i="6" s="1"/>
  <c r="AZ83" i="6"/>
  <c r="BA83" i="6" s="1"/>
  <c r="AZ84" i="6"/>
  <c r="BA84" i="6" s="1"/>
  <c r="AZ85" i="6"/>
  <c r="BA85" i="6" s="1"/>
  <c r="AZ86" i="6"/>
  <c r="BA86" i="6" s="1"/>
  <c r="AZ87" i="6"/>
  <c r="BA87" i="6" s="1"/>
  <c r="AZ88" i="6"/>
  <c r="BA88" i="6" s="1"/>
  <c r="AZ89" i="6"/>
  <c r="BA89" i="6" s="1"/>
  <c r="AZ90" i="6"/>
  <c r="BA90" i="6" s="1"/>
  <c r="AZ91" i="6"/>
  <c r="BA91" i="6" s="1"/>
  <c r="AZ92" i="6"/>
  <c r="BA92" i="6" s="1"/>
  <c r="AZ93" i="6"/>
  <c r="BA93" i="6" s="1"/>
  <c r="AZ94" i="6"/>
  <c r="BA94" i="6" s="1"/>
  <c r="AZ95" i="6"/>
  <c r="BA95" i="6" s="1"/>
  <c r="AZ96" i="6"/>
  <c r="BA96" i="6" s="1"/>
  <c r="AZ97" i="6"/>
  <c r="BA97" i="6" s="1"/>
  <c r="AZ98" i="6"/>
  <c r="BA98" i="6" s="1"/>
  <c r="AZ99" i="6"/>
  <c r="BA99" i="6" s="1"/>
  <c r="AZ100" i="6"/>
  <c r="BA100" i="6" s="1"/>
  <c r="AZ101" i="6"/>
  <c r="BA101" i="6" s="1"/>
  <c r="AZ102" i="6"/>
  <c r="BA102" i="6" s="1"/>
  <c r="AZ103" i="6"/>
  <c r="BA103" i="6" s="1"/>
  <c r="AZ104" i="6"/>
  <c r="BA104" i="6" s="1"/>
  <c r="AZ105" i="6"/>
  <c r="BA105" i="6" s="1"/>
  <c r="AZ106" i="6"/>
  <c r="BA106" i="6" s="1"/>
  <c r="AZ107" i="6"/>
  <c r="BA107" i="6" s="1"/>
  <c r="AZ108" i="6"/>
  <c r="BA108" i="6" s="1"/>
  <c r="AZ109" i="6"/>
  <c r="BA109" i="6" s="1"/>
  <c r="AZ110" i="6"/>
  <c r="BA110" i="6" s="1"/>
  <c r="AZ111" i="6"/>
  <c r="BA111" i="6" s="1"/>
  <c r="AZ112" i="6"/>
  <c r="BA112" i="6" s="1"/>
  <c r="AZ113" i="6"/>
  <c r="BA113" i="6" s="1"/>
  <c r="AZ114" i="6"/>
  <c r="BA114" i="6" s="1"/>
  <c r="AZ115" i="6"/>
  <c r="BA115" i="6" s="1"/>
  <c r="AZ116" i="6"/>
  <c r="BA116" i="6" s="1"/>
  <c r="AZ117" i="6"/>
  <c r="BA117" i="6" s="1"/>
  <c r="AZ118" i="6"/>
  <c r="BA118" i="6" s="1"/>
  <c r="AZ119" i="6"/>
  <c r="BA119" i="6" s="1"/>
  <c r="AZ120" i="6"/>
  <c r="BA120" i="6" s="1"/>
  <c r="AZ121" i="6"/>
  <c r="BA121" i="6" s="1"/>
  <c r="AZ122" i="6"/>
  <c r="BA122" i="6" s="1"/>
  <c r="AZ123" i="6"/>
  <c r="BA123" i="6" s="1"/>
  <c r="AZ124" i="6"/>
  <c r="BA124" i="6" s="1"/>
  <c r="AZ125" i="6"/>
  <c r="BA125" i="6" s="1"/>
  <c r="AZ126" i="6"/>
  <c r="BA126" i="6" s="1"/>
  <c r="AZ127" i="6"/>
  <c r="BA127" i="6" s="1"/>
  <c r="AZ128" i="6"/>
  <c r="BA128" i="6" s="1"/>
  <c r="AZ129" i="6"/>
  <c r="BA129" i="6" s="1"/>
  <c r="AZ130" i="6"/>
  <c r="BA130" i="6" s="1"/>
  <c r="AZ131" i="6"/>
  <c r="BA131" i="6" s="1"/>
  <c r="AZ132" i="6"/>
  <c r="BA132" i="6" s="1"/>
  <c r="AZ133" i="6"/>
  <c r="BA133" i="6" s="1"/>
  <c r="AZ134" i="6"/>
  <c r="BA134" i="6" s="1"/>
  <c r="AZ135" i="6"/>
  <c r="BA135" i="6" s="1"/>
  <c r="AZ136" i="6"/>
  <c r="BA136" i="6" s="1"/>
  <c r="AZ137" i="6"/>
  <c r="BA137" i="6" s="1"/>
  <c r="AZ138" i="6"/>
  <c r="BA138" i="6" s="1"/>
  <c r="AZ139" i="6"/>
  <c r="BA139" i="6" s="1"/>
  <c r="AZ140" i="6"/>
  <c r="BA140" i="6" s="1"/>
  <c r="AZ141" i="6"/>
  <c r="BA141" i="6" s="1"/>
  <c r="AZ142" i="6"/>
  <c r="BA142" i="6" s="1"/>
  <c r="AZ143" i="6"/>
  <c r="BA143" i="6" s="1"/>
  <c r="AZ144" i="6"/>
  <c r="BA144" i="6" s="1"/>
  <c r="AZ145" i="6"/>
  <c r="BA145" i="6" s="1"/>
  <c r="AZ146" i="6"/>
  <c r="BA146" i="6" s="1"/>
  <c r="AZ147" i="6"/>
  <c r="BA147" i="6" s="1"/>
  <c r="AZ148" i="6"/>
  <c r="BA148" i="6" s="1"/>
  <c r="AZ149" i="6"/>
  <c r="BA149" i="6" s="1"/>
  <c r="AZ150" i="6"/>
  <c r="BA150" i="6" s="1"/>
  <c r="AZ151" i="6"/>
  <c r="BA151" i="6" s="1"/>
  <c r="AZ152" i="6"/>
  <c r="BA152" i="6" s="1"/>
  <c r="AZ153" i="6"/>
  <c r="BA153" i="6" s="1"/>
  <c r="AZ154" i="6"/>
  <c r="BA154" i="6" s="1"/>
  <c r="AZ155" i="6"/>
  <c r="BA155" i="6" s="1"/>
  <c r="AZ156" i="6"/>
  <c r="BA156" i="6" s="1"/>
  <c r="AZ157" i="6"/>
  <c r="BA157" i="6" s="1"/>
  <c r="AZ158" i="6"/>
  <c r="BA158" i="6" s="1"/>
  <c r="AZ159" i="6"/>
  <c r="BA159" i="6" s="1"/>
  <c r="AZ160" i="6"/>
  <c r="BA160" i="6" s="1"/>
  <c r="AZ161" i="6"/>
  <c r="BA161" i="6" s="1"/>
  <c r="AZ162" i="6"/>
  <c r="BA162" i="6" s="1"/>
  <c r="AZ163" i="6"/>
  <c r="BA163" i="6" s="1"/>
  <c r="AZ164" i="6"/>
  <c r="BA164" i="6" s="1"/>
  <c r="AZ165" i="6"/>
  <c r="BA165" i="6" s="1"/>
  <c r="AZ166" i="6"/>
  <c r="BA166" i="6" s="1"/>
  <c r="AZ167" i="6"/>
  <c r="BA167" i="6" s="1"/>
  <c r="AZ168" i="6"/>
  <c r="BA168" i="6" s="1"/>
  <c r="AZ169" i="6"/>
  <c r="BA169" i="6" s="1"/>
  <c r="AZ170" i="6"/>
  <c r="BA170" i="6" s="1"/>
  <c r="AZ171" i="6"/>
  <c r="BA171" i="6" s="1"/>
  <c r="AZ172" i="6"/>
  <c r="BA172" i="6" s="1"/>
  <c r="AZ173" i="6"/>
  <c r="BA173" i="6" s="1"/>
  <c r="AZ174" i="6"/>
  <c r="BA174" i="6" s="1"/>
  <c r="AZ175" i="6"/>
  <c r="BA175" i="6" s="1"/>
  <c r="AZ176" i="6"/>
  <c r="BA176" i="6" s="1"/>
  <c r="AZ177" i="6"/>
  <c r="BA177" i="6" s="1"/>
  <c r="AZ178" i="6"/>
  <c r="BA178" i="6" s="1"/>
  <c r="AZ179" i="6"/>
  <c r="BA179" i="6" s="1"/>
  <c r="AZ180" i="6"/>
  <c r="BA180" i="6" s="1"/>
  <c r="AZ181" i="6"/>
  <c r="BA181" i="6" s="1"/>
  <c r="AZ182" i="6"/>
  <c r="BA182" i="6" s="1"/>
  <c r="AZ183" i="6"/>
  <c r="BA183" i="6" s="1"/>
  <c r="AZ184" i="6"/>
  <c r="BA184" i="6" s="1"/>
  <c r="AZ185" i="6"/>
  <c r="BA185" i="6" s="1"/>
  <c r="AZ186" i="6"/>
  <c r="BA186" i="6" s="1"/>
  <c r="AZ187" i="6"/>
  <c r="BA187" i="6" s="1"/>
  <c r="AZ188" i="6"/>
  <c r="BA188" i="6" s="1"/>
  <c r="AZ189" i="6"/>
  <c r="BA189" i="6" s="1"/>
  <c r="AZ190" i="6"/>
  <c r="BA190" i="6" s="1"/>
  <c r="AZ191" i="6"/>
  <c r="BA191" i="6" s="1"/>
  <c r="AZ192" i="6"/>
  <c r="BA192" i="6" s="1"/>
  <c r="AZ193" i="6"/>
  <c r="BA193" i="6" s="1"/>
  <c r="AZ194" i="6"/>
  <c r="BA194" i="6" s="1"/>
  <c r="AZ195" i="6"/>
  <c r="BA195" i="6" s="1"/>
  <c r="AZ196" i="6"/>
  <c r="BA196" i="6" s="1"/>
  <c r="AZ197" i="6"/>
  <c r="BA197" i="6" s="1"/>
  <c r="AZ198" i="6"/>
  <c r="BA198" i="6" s="1"/>
  <c r="AZ199" i="6"/>
  <c r="BA199" i="6" s="1"/>
  <c r="AZ200" i="6"/>
  <c r="BA200" i="6" s="1"/>
  <c r="AZ201" i="6"/>
  <c r="BA201" i="6" s="1"/>
  <c r="AZ202" i="6"/>
  <c r="BA202" i="6" s="1"/>
  <c r="AZ203" i="6"/>
  <c r="BA203" i="6" s="1"/>
  <c r="AZ204" i="6"/>
  <c r="BA204" i="6" s="1"/>
  <c r="AZ205" i="6"/>
  <c r="BA205" i="6" s="1"/>
  <c r="AZ206" i="6"/>
  <c r="BA206" i="6" s="1"/>
  <c r="AZ207" i="6"/>
  <c r="BA207" i="6" s="1"/>
  <c r="AZ208" i="6"/>
  <c r="BA208" i="6" s="1"/>
  <c r="AZ209" i="6"/>
  <c r="BA209" i="6" s="1"/>
  <c r="AZ210" i="6"/>
  <c r="BA210" i="6" s="1"/>
  <c r="AZ211" i="6"/>
  <c r="BA211" i="6" s="1"/>
  <c r="AZ212" i="6"/>
  <c r="BA212" i="6" s="1"/>
  <c r="AZ213" i="6"/>
  <c r="BA213" i="6" s="1"/>
  <c r="AZ214" i="6"/>
  <c r="BA214" i="6" s="1"/>
  <c r="AZ215" i="6"/>
  <c r="BA215" i="6" s="1"/>
  <c r="AZ216" i="6"/>
  <c r="BA216" i="6" s="1"/>
  <c r="AZ217" i="6"/>
  <c r="BA217" i="6" s="1"/>
  <c r="AZ218" i="6"/>
  <c r="BA218" i="6" s="1"/>
  <c r="AZ219" i="6"/>
  <c r="BA219" i="6" s="1"/>
  <c r="AZ220" i="6"/>
  <c r="BA220" i="6" s="1"/>
  <c r="AZ221" i="6"/>
  <c r="BA221" i="6" s="1"/>
  <c r="AZ222" i="6"/>
  <c r="BA222" i="6" s="1"/>
  <c r="AZ223" i="6"/>
  <c r="BA223" i="6" s="1"/>
  <c r="AZ224" i="6"/>
  <c r="BA224" i="6" s="1"/>
  <c r="AZ225" i="6"/>
  <c r="BA225" i="6" s="1"/>
  <c r="AZ226" i="6"/>
  <c r="BA226" i="6" s="1"/>
  <c r="AZ227" i="6"/>
  <c r="BA227" i="6" s="1"/>
  <c r="AZ228" i="6"/>
  <c r="BA228" i="6" s="1"/>
  <c r="AZ229" i="6"/>
  <c r="BA229" i="6" s="1"/>
  <c r="AZ230" i="6"/>
  <c r="BA230" i="6" s="1"/>
  <c r="AZ231" i="6"/>
  <c r="BA231" i="6" s="1"/>
  <c r="AZ232" i="6"/>
  <c r="BA232" i="6" s="1"/>
  <c r="AZ233" i="6"/>
  <c r="BA233" i="6" s="1"/>
  <c r="AZ234" i="6"/>
  <c r="BA234" i="6" s="1"/>
  <c r="AZ235" i="6"/>
  <c r="BA235" i="6" s="1"/>
  <c r="AZ236" i="6"/>
  <c r="BA236" i="6" s="1"/>
  <c r="AZ237" i="6"/>
  <c r="BA237" i="6" s="1"/>
  <c r="AZ238" i="6"/>
  <c r="BA238" i="6" s="1"/>
  <c r="AZ239" i="6"/>
  <c r="BA239" i="6" s="1"/>
  <c r="AZ240" i="6"/>
  <c r="BA240" i="6" s="1"/>
  <c r="AZ241" i="6"/>
  <c r="BA241" i="6" s="1"/>
  <c r="AZ242" i="6"/>
  <c r="BA242" i="6" s="1"/>
  <c r="AZ243" i="6"/>
  <c r="BA243" i="6" s="1"/>
  <c r="AZ244" i="6"/>
  <c r="BA244" i="6" s="1"/>
  <c r="AZ245" i="6"/>
  <c r="BA245" i="6" s="1"/>
  <c r="AZ246" i="6"/>
  <c r="BA246" i="6" s="1"/>
  <c r="AZ247" i="6"/>
  <c r="BA247" i="6" s="1"/>
  <c r="AZ248" i="6"/>
  <c r="BA248" i="6" s="1"/>
  <c r="AZ249" i="6"/>
  <c r="BA249" i="6" s="1"/>
  <c r="AZ250" i="6"/>
  <c r="BA250" i="6" s="1"/>
  <c r="AZ251" i="6"/>
  <c r="BA251" i="6" s="1"/>
  <c r="AZ252" i="6"/>
  <c r="BA252" i="6" s="1"/>
  <c r="AZ253" i="6"/>
  <c r="BA253" i="6" s="1"/>
  <c r="AZ254" i="6"/>
  <c r="BA254" i="6" s="1"/>
  <c r="AZ255" i="6"/>
  <c r="BA255" i="6" s="1"/>
  <c r="AZ256" i="6"/>
  <c r="BA256" i="6" s="1"/>
  <c r="AZ257" i="6"/>
  <c r="BA257" i="6" s="1"/>
  <c r="AZ258" i="6"/>
  <c r="BA258" i="6" s="1"/>
  <c r="AZ259" i="6"/>
  <c r="BA259" i="6" s="1"/>
  <c r="AZ260" i="6"/>
  <c r="BA260" i="6" s="1"/>
  <c r="AZ261" i="6"/>
  <c r="BA261" i="6" s="1"/>
  <c r="AZ262" i="6"/>
  <c r="BA262" i="6" s="1"/>
  <c r="AZ263" i="6"/>
  <c r="BA263" i="6" s="1"/>
  <c r="AZ264" i="6"/>
  <c r="BA264" i="6" s="1"/>
  <c r="AZ265" i="6"/>
  <c r="BA265" i="6" s="1"/>
  <c r="AZ266" i="6"/>
  <c r="BA266" i="6" s="1"/>
  <c r="AZ267" i="6"/>
  <c r="BA267" i="6" s="1"/>
  <c r="AZ268" i="6"/>
  <c r="BA268" i="6" s="1"/>
  <c r="AZ269" i="6"/>
  <c r="BA269" i="6" s="1"/>
  <c r="AZ270" i="6"/>
  <c r="BA270" i="6" s="1"/>
  <c r="AZ271" i="6"/>
  <c r="BA271" i="6" s="1"/>
  <c r="AZ272" i="6"/>
  <c r="BA272" i="6" s="1"/>
  <c r="AZ273" i="6"/>
  <c r="BA273" i="6" s="1"/>
  <c r="AZ274" i="6"/>
  <c r="BA274" i="6" s="1"/>
  <c r="AZ275" i="6"/>
  <c r="BA275" i="6" s="1"/>
  <c r="AZ276" i="6"/>
  <c r="BA276" i="6" s="1"/>
  <c r="AZ277" i="6"/>
  <c r="BA277" i="6" s="1"/>
  <c r="AZ278" i="6"/>
  <c r="BA278" i="6" s="1"/>
  <c r="AZ279" i="6"/>
  <c r="BA279" i="6" s="1"/>
  <c r="AZ280" i="6"/>
  <c r="BA280" i="6" s="1"/>
  <c r="AZ281" i="6"/>
  <c r="BA281" i="6" s="1"/>
  <c r="AZ282" i="6"/>
  <c r="BA282" i="6" s="1"/>
  <c r="AZ283" i="6"/>
  <c r="BA283" i="6" s="1"/>
  <c r="AZ284" i="6"/>
  <c r="BA284" i="6" s="1"/>
  <c r="AZ285" i="6"/>
  <c r="BA285" i="6" s="1"/>
  <c r="AZ286" i="6"/>
  <c r="BA286" i="6" s="1"/>
  <c r="AZ287" i="6"/>
  <c r="BA287" i="6" s="1"/>
  <c r="AZ288" i="6"/>
  <c r="BA288" i="6" s="1"/>
  <c r="AZ289" i="6"/>
  <c r="BA289" i="6" s="1"/>
  <c r="AZ290" i="6"/>
  <c r="BA290" i="6" s="1"/>
  <c r="AZ291" i="6"/>
  <c r="BA291" i="6" s="1"/>
  <c r="AZ292" i="6"/>
  <c r="BA292" i="6" s="1"/>
  <c r="AZ293" i="6"/>
  <c r="BA293" i="6" s="1"/>
  <c r="AZ294" i="6"/>
  <c r="BA294" i="6" s="1"/>
  <c r="AZ295" i="6"/>
  <c r="BA295" i="6" s="1"/>
  <c r="AZ296" i="6"/>
  <c r="BA296" i="6" s="1"/>
  <c r="AZ297" i="6"/>
  <c r="BA297" i="6" s="1"/>
  <c r="AZ298" i="6"/>
  <c r="BA298" i="6" s="1"/>
  <c r="AZ299" i="6"/>
  <c r="BA299" i="6" s="1"/>
  <c r="AZ300" i="6"/>
  <c r="BA300" i="6" s="1"/>
  <c r="AZ301" i="6"/>
  <c r="BA301" i="6" s="1"/>
  <c r="AZ302" i="6"/>
  <c r="BA302" i="6" s="1"/>
  <c r="AZ303" i="6"/>
  <c r="BA303" i="6" s="1"/>
  <c r="AZ304" i="6"/>
  <c r="BA304" i="6" s="1"/>
  <c r="AZ305" i="6"/>
  <c r="BA305" i="6" s="1"/>
  <c r="AZ306" i="6"/>
  <c r="BA306" i="6" s="1"/>
  <c r="AZ307" i="6"/>
  <c r="BA307" i="6" s="1"/>
  <c r="AZ308" i="6"/>
  <c r="BA308" i="6" s="1"/>
  <c r="AZ309" i="6"/>
  <c r="BA309" i="6" s="1"/>
  <c r="AZ310" i="6"/>
  <c r="BA310" i="6" s="1"/>
  <c r="AZ311" i="6"/>
  <c r="BA311" i="6" s="1"/>
  <c r="AZ312" i="6"/>
  <c r="BA312" i="6" s="1"/>
  <c r="AZ313" i="6"/>
  <c r="BA313" i="6" s="1"/>
  <c r="AZ314" i="6"/>
  <c r="BA314" i="6" s="1"/>
  <c r="AZ315" i="6"/>
  <c r="BA315" i="6" s="1"/>
  <c r="AZ316" i="6"/>
  <c r="BA316" i="6" s="1"/>
  <c r="AZ317" i="6"/>
  <c r="BA317" i="6" s="1"/>
  <c r="AZ318" i="6"/>
  <c r="BA318" i="6" s="1"/>
  <c r="AZ319" i="6"/>
  <c r="BA319" i="6" s="1"/>
  <c r="AZ320" i="6"/>
  <c r="BA320" i="6" s="1"/>
  <c r="AZ321" i="6"/>
  <c r="BA321" i="6" s="1"/>
  <c r="AZ322" i="6"/>
  <c r="BA322" i="6" s="1"/>
  <c r="AZ323" i="6"/>
  <c r="BA323" i="6" s="1"/>
  <c r="AZ324" i="6"/>
  <c r="BA324" i="6" s="1"/>
  <c r="AZ325" i="6"/>
  <c r="BA325" i="6" s="1"/>
  <c r="AZ326" i="6"/>
  <c r="BA326" i="6" s="1"/>
  <c r="AZ327" i="6"/>
  <c r="BA327" i="6" s="1"/>
  <c r="AZ328" i="6"/>
  <c r="BA328" i="6" s="1"/>
  <c r="AZ329" i="6"/>
  <c r="BA329" i="6" s="1"/>
  <c r="AZ330" i="6"/>
  <c r="BA330" i="6" s="1"/>
  <c r="AZ331" i="6"/>
  <c r="BA331" i="6" s="1"/>
  <c r="AZ332" i="6"/>
  <c r="BA332" i="6" s="1"/>
  <c r="AZ333" i="6"/>
  <c r="BA333" i="6" s="1"/>
  <c r="AZ334" i="6"/>
  <c r="BA334" i="6" s="1"/>
  <c r="AZ335" i="6"/>
  <c r="BA335" i="6" s="1"/>
  <c r="AZ336" i="6"/>
  <c r="BA336" i="6" s="1"/>
  <c r="AZ337" i="6"/>
  <c r="BA337" i="6" s="1"/>
  <c r="AZ338" i="6"/>
  <c r="BA338" i="6" s="1"/>
  <c r="AZ339" i="6"/>
  <c r="BA339" i="6" s="1"/>
  <c r="AZ340" i="6"/>
  <c r="BA340" i="6" s="1"/>
  <c r="AZ341" i="6"/>
  <c r="BA341" i="6" s="1"/>
  <c r="AZ342" i="6"/>
  <c r="BA342" i="6" s="1"/>
  <c r="AZ343" i="6"/>
  <c r="BA343" i="6" s="1"/>
  <c r="AZ344" i="6"/>
  <c r="BA344" i="6" s="1"/>
  <c r="AZ345" i="6"/>
  <c r="BA345" i="6" s="1"/>
  <c r="AZ346" i="6"/>
  <c r="BA346" i="6" s="1"/>
  <c r="AZ347" i="6"/>
  <c r="BA347" i="6" s="1"/>
  <c r="AZ348" i="6"/>
  <c r="BA348" i="6" s="1"/>
  <c r="AZ349" i="6"/>
  <c r="BA349" i="6" s="1"/>
  <c r="AZ350" i="6"/>
  <c r="BA350" i="6" s="1"/>
  <c r="AZ351" i="6"/>
  <c r="BA351" i="6" s="1"/>
  <c r="AZ352" i="6"/>
  <c r="BA352" i="6" s="1"/>
  <c r="AZ353" i="6"/>
  <c r="BA353" i="6" s="1"/>
  <c r="AZ354" i="6"/>
  <c r="BA354" i="6" s="1"/>
  <c r="AZ355" i="6"/>
  <c r="BA355" i="6" s="1"/>
  <c r="AZ356" i="6"/>
  <c r="BA356" i="6" s="1"/>
  <c r="AZ357" i="6"/>
  <c r="BA357" i="6" s="1"/>
  <c r="AZ358" i="6"/>
  <c r="BA358" i="6" s="1"/>
  <c r="AZ359" i="6"/>
  <c r="BA359" i="6" s="1"/>
  <c r="AZ360" i="6"/>
  <c r="BA360" i="6" s="1"/>
  <c r="AZ361" i="6"/>
  <c r="BA361" i="6" s="1"/>
  <c r="AZ362" i="6"/>
  <c r="BA362" i="6" s="1"/>
  <c r="AZ363" i="6"/>
  <c r="BA363" i="6" s="1"/>
  <c r="AZ364" i="6"/>
  <c r="BA364" i="6" s="1"/>
  <c r="AZ365" i="6"/>
  <c r="BA365" i="6" s="1"/>
  <c r="AZ366" i="6"/>
  <c r="BA366" i="6" s="1"/>
  <c r="AZ367" i="6"/>
  <c r="BA367" i="6" s="1"/>
  <c r="AZ368" i="6"/>
  <c r="BA368" i="6" s="1"/>
  <c r="AZ369" i="6"/>
  <c r="BA369" i="6" s="1"/>
  <c r="AZ370" i="6"/>
  <c r="BA370" i="6" s="1"/>
  <c r="AZ371" i="6"/>
  <c r="BA371" i="6" s="1"/>
  <c r="AZ372" i="6"/>
  <c r="BA372" i="6" s="1"/>
  <c r="AZ373" i="6"/>
  <c r="BA373" i="6" s="1"/>
  <c r="AZ374" i="6"/>
  <c r="BA374" i="6" s="1"/>
  <c r="AZ375" i="6"/>
  <c r="BA375" i="6" s="1"/>
  <c r="AZ376" i="6"/>
  <c r="BA376" i="6" s="1"/>
  <c r="AZ377" i="6"/>
  <c r="BA377" i="6" s="1"/>
  <c r="AZ378" i="6"/>
  <c r="BA378" i="6" s="1"/>
  <c r="AZ379" i="6"/>
  <c r="BA379" i="6" s="1"/>
  <c r="AZ380" i="6"/>
  <c r="BA380" i="6" s="1"/>
  <c r="AZ381" i="6"/>
  <c r="BA381" i="6" s="1"/>
  <c r="AZ382" i="6"/>
  <c r="BA382" i="6" s="1"/>
  <c r="AZ383" i="6"/>
  <c r="BA383" i="6" s="1"/>
  <c r="AZ384" i="6"/>
  <c r="BA384" i="6" s="1"/>
  <c r="AZ385" i="6"/>
  <c r="BA385" i="6" s="1"/>
  <c r="AZ386" i="6"/>
  <c r="BA386" i="6" s="1"/>
  <c r="AZ387" i="6"/>
  <c r="BA387" i="6" s="1"/>
  <c r="AZ388" i="6"/>
  <c r="BA388" i="6" s="1"/>
  <c r="AZ389" i="6"/>
  <c r="BA389" i="6" s="1"/>
  <c r="AZ390" i="6"/>
  <c r="BA390" i="6" s="1"/>
  <c r="AZ391" i="6"/>
  <c r="BA391" i="6" s="1"/>
  <c r="AZ392" i="6"/>
  <c r="BA392" i="6" s="1"/>
  <c r="AZ393" i="6"/>
  <c r="BA393" i="6" s="1"/>
  <c r="AZ394" i="6"/>
  <c r="BA394" i="6" s="1"/>
  <c r="AZ395" i="6"/>
  <c r="BA395" i="6" s="1"/>
  <c r="AZ396" i="6"/>
  <c r="BA396" i="6" s="1"/>
  <c r="AZ397" i="6"/>
  <c r="BA397" i="6" s="1"/>
  <c r="AZ398" i="6"/>
  <c r="BA398" i="6" s="1"/>
  <c r="AZ399" i="6"/>
  <c r="BA399" i="6" s="1"/>
  <c r="AZ400" i="6"/>
  <c r="BA400" i="6" s="1"/>
  <c r="AZ401" i="6"/>
  <c r="BA401" i="6" s="1"/>
  <c r="AU3" i="6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U160" i="6"/>
  <c r="AU161" i="6"/>
  <c r="AU162" i="6"/>
  <c r="AU163" i="6"/>
  <c r="AU164" i="6"/>
  <c r="AU165" i="6"/>
  <c r="AU166" i="6"/>
  <c r="AU167" i="6"/>
  <c r="AU168" i="6"/>
  <c r="AU169" i="6"/>
  <c r="AU170" i="6"/>
  <c r="AU171" i="6"/>
  <c r="AU172" i="6"/>
  <c r="AU173" i="6"/>
  <c r="AU174" i="6"/>
  <c r="AU175" i="6"/>
  <c r="AU176" i="6"/>
  <c r="AU177" i="6"/>
  <c r="AU178" i="6"/>
  <c r="AU179" i="6"/>
  <c r="AU180" i="6"/>
  <c r="AU181" i="6"/>
  <c r="AU182" i="6"/>
  <c r="AU183" i="6"/>
  <c r="AU184" i="6"/>
  <c r="AU185" i="6"/>
  <c r="AU186" i="6"/>
  <c r="AU187" i="6"/>
  <c r="AU188" i="6"/>
  <c r="AU189" i="6"/>
  <c r="AU190" i="6"/>
  <c r="AU191" i="6"/>
  <c r="AU192" i="6"/>
  <c r="AU193" i="6"/>
  <c r="AU194" i="6"/>
  <c r="AU195" i="6"/>
  <c r="AU196" i="6"/>
  <c r="AU197" i="6"/>
  <c r="AU198" i="6"/>
  <c r="AU199" i="6"/>
  <c r="AU200" i="6"/>
  <c r="AU201" i="6"/>
  <c r="AU2" i="6"/>
  <c r="AR3" i="6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127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R140" i="6"/>
  <c r="AR141" i="6"/>
  <c r="AR142" i="6"/>
  <c r="AR143" i="6"/>
  <c r="AR144" i="6"/>
  <c r="AR145" i="6"/>
  <c r="AR146" i="6"/>
  <c r="AR147" i="6"/>
  <c r="AR148" i="6"/>
  <c r="AR149" i="6"/>
  <c r="AR150" i="6"/>
  <c r="AR151" i="6"/>
  <c r="AR152" i="6"/>
  <c r="AR153" i="6"/>
  <c r="AR154" i="6"/>
  <c r="AR155" i="6"/>
  <c r="AR156" i="6"/>
  <c r="AR157" i="6"/>
  <c r="AR158" i="6"/>
  <c r="AR159" i="6"/>
  <c r="AR160" i="6"/>
  <c r="AR161" i="6"/>
  <c r="AR162" i="6"/>
  <c r="AR163" i="6"/>
  <c r="AR164" i="6"/>
  <c r="AR165" i="6"/>
  <c r="AR166" i="6"/>
  <c r="AR167" i="6"/>
  <c r="AR168" i="6"/>
  <c r="AR169" i="6"/>
  <c r="AR170" i="6"/>
  <c r="AR171" i="6"/>
  <c r="AR172" i="6"/>
  <c r="AR173" i="6"/>
  <c r="AR174" i="6"/>
  <c r="AR175" i="6"/>
  <c r="AR176" i="6"/>
  <c r="AR177" i="6"/>
  <c r="AR178" i="6"/>
  <c r="AR179" i="6"/>
  <c r="AR180" i="6"/>
  <c r="AR181" i="6"/>
  <c r="AR182" i="6"/>
  <c r="AR183" i="6"/>
  <c r="AR184" i="6"/>
  <c r="AR185" i="6"/>
  <c r="AR186" i="6"/>
  <c r="AR187" i="6"/>
  <c r="AR188" i="6"/>
  <c r="AR189" i="6"/>
  <c r="AR190" i="6"/>
  <c r="AR191" i="6"/>
  <c r="AR192" i="6"/>
  <c r="AR193" i="6"/>
  <c r="AR194" i="6"/>
  <c r="AR195" i="6"/>
  <c r="AR196" i="6"/>
  <c r="AR197" i="6"/>
  <c r="AR198" i="6"/>
  <c r="AR199" i="6"/>
  <c r="AR200" i="6"/>
  <c r="AR201" i="6"/>
  <c r="AR202" i="6"/>
  <c r="AR203" i="6"/>
  <c r="AR204" i="6"/>
  <c r="AR205" i="6"/>
  <c r="AR206" i="6"/>
  <c r="AR207" i="6"/>
  <c r="AR208" i="6"/>
  <c r="AR209" i="6"/>
  <c r="AR210" i="6"/>
  <c r="AR211" i="6"/>
  <c r="AR212" i="6"/>
  <c r="AR213" i="6"/>
  <c r="AR214" i="6"/>
  <c r="AR215" i="6"/>
  <c r="AR216" i="6"/>
  <c r="AR217" i="6"/>
  <c r="AR218" i="6"/>
  <c r="AR219" i="6"/>
  <c r="AR220" i="6"/>
  <c r="AR221" i="6"/>
  <c r="AR222" i="6"/>
  <c r="AR223" i="6"/>
  <c r="AR224" i="6"/>
  <c r="AR225" i="6"/>
  <c r="AR226" i="6"/>
  <c r="AR227" i="6"/>
  <c r="AR228" i="6"/>
  <c r="AR229" i="6"/>
  <c r="AR230" i="6"/>
  <c r="AR231" i="6"/>
  <c r="AR232" i="6"/>
  <c r="AR233" i="6"/>
  <c r="AR234" i="6"/>
  <c r="AR235" i="6"/>
  <c r="AR236" i="6"/>
  <c r="AR237" i="6"/>
  <c r="AR238" i="6"/>
  <c r="AR239" i="6"/>
  <c r="AR240" i="6"/>
  <c r="AR241" i="6"/>
  <c r="AR242" i="6"/>
  <c r="AR243" i="6"/>
  <c r="AR244" i="6"/>
  <c r="AR245" i="6"/>
  <c r="AR246" i="6"/>
  <c r="AR247" i="6"/>
  <c r="AR248" i="6"/>
  <c r="AR249" i="6"/>
  <c r="AR250" i="6"/>
  <c r="AR251" i="6"/>
  <c r="AR252" i="6"/>
  <c r="AR253" i="6"/>
  <c r="AR254" i="6"/>
  <c r="AR255" i="6"/>
  <c r="AR256" i="6"/>
  <c r="AR257" i="6"/>
  <c r="AR258" i="6"/>
  <c r="AR259" i="6"/>
  <c r="AR260" i="6"/>
  <c r="AR261" i="6"/>
  <c r="AR262" i="6"/>
  <c r="AR263" i="6"/>
  <c r="AR264" i="6"/>
  <c r="AR265" i="6"/>
  <c r="AR266" i="6"/>
  <c r="AR267" i="6"/>
  <c r="AR268" i="6"/>
  <c r="AR269" i="6"/>
  <c r="AR270" i="6"/>
  <c r="AR271" i="6"/>
  <c r="AR272" i="6"/>
  <c r="AR273" i="6"/>
  <c r="AR274" i="6"/>
  <c r="AR275" i="6"/>
  <c r="AR276" i="6"/>
  <c r="AR277" i="6"/>
  <c r="AR278" i="6"/>
  <c r="AR279" i="6"/>
  <c r="AR280" i="6"/>
  <c r="AR281" i="6"/>
  <c r="AR282" i="6"/>
  <c r="AR283" i="6"/>
  <c r="AR284" i="6"/>
  <c r="AR285" i="6"/>
  <c r="AR286" i="6"/>
  <c r="AR287" i="6"/>
  <c r="AR288" i="6"/>
  <c r="AR289" i="6"/>
  <c r="AR290" i="6"/>
  <c r="AR291" i="6"/>
  <c r="AR292" i="6"/>
  <c r="AR293" i="6"/>
  <c r="AR294" i="6"/>
  <c r="AR295" i="6"/>
  <c r="AR296" i="6"/>
  <c r="AR297" i="6"/>
  <c r="AR298" i="6"/>
  <c r="AR299" i="6"/>
  <c r="AR300" i="6"/>
  <c r="AR301" i="6"/>
  <c r="AR302" i="6"/>
  <c r="AR303" i="6"/>
  <c r="AR304" i="6"/>
  <c r="AR305" i="6"/>
  <c r="AR306" i="6"/>
  <c r="AR307" i="6"/>
  <c r="AR308" i="6"/>
  <c r="AR309" i="6"/>
  <c r="AR310" i="6"/>
  <c r="AR311" i="6"/>
  <c r="AR312" i="6"/>
  <c r="AR313" i="6"/>
  <c r="AR314" i="6"/>
  <c r="AR315" i="6"/>
  <c r="AR316" i="6"/>
  <c r="AR317" i="6"/>
  <c r="AR318" i="6"/>
  <c r="AR319" i="6"/>
  <c r="AR320" i="6"/>
  <c r="AR321" i="6"/>
  <c r="AR322" i="6"/>
  <c r="AR323" i="6"/>
  <c r="AR324" i="6"/>
  <c r="AR325" i="6"/>
  <c r="AR326" i="6"/>
  <c r="AR327" i="6"/>
  <c r="AR328" i="6"/>
  <c r="AR329" i="6"/>
  <c r="AR330" i="6"/>
  <c r="AR331" i="6"/>
  <c r="AR332" i="6"/>
  <c r="AR333" i="6"/>
  <c r="AR334" i="6"/>
  <c r="AR335" i="6"/>
  <c r="AR336" i="6"/>
  <c r="AR337" i="6"/>
  <c r="AR338" i="6"/>
  <c r="AR339" i="6"/>
  <c r="AR340" i="6"/>
  <c r="AR341" i="6"/>
  <c r="AR342" i="6"/>
  <c r="AR343" i="6"/>
  <c r="AR344" i="6"/>
  <c r="AR345" i="6"/>
  <c r="AR346" i="6"/>
  <c r="AR347" i="6"/>
  <c r="AR348" i="6"/>
  <c r="AR349" i="6"/>
  <c r="AR350" i="6"/>
  <c r="AR351" i="6"/>
  <c r="AR352" i="6"/>
  <c r="AR353" i="6"/>
  <c r="AR354" i="6"/>
  <c r="AR355" i="6"/>
  <c r="AR356" i="6"/>
  <c r="AR357" i="6"/>
  <c r="AR358" i="6"/>
  <c r="AR359" i="6"/>
  <c r="AR360" i="6"/>
  <c r="AR361" i="6"/>
  <c r="AR362" i="6"/>
  <c r="AR363" i="6"/>
  <c r="AR364" i="6"/>
  <c r="AR365" i="6"/>
  <c r="AR366" i="6"/>
  <c r="AR367" i="6"/>
  <c r="AR368" i="6"/>
  <c r="AR369" i="6"/>
  <c r="AR370" i="6"/>
  <c r="AR371" i="6"/>
  <c r="AR372" i="6"/>
  <c r="AR373" i="6"/>
  <c r="AR374" i="6"/>
  <c r="AR375" i="6"/>
  <c r="AR376" i="6"/>
  <c r="AR377" i="6"/>
  <c r="AR378" i="6"/>
  <c r="AR379" i="6"/>
  <c r="AR380" i="6"/>
  <c r="AR381" i="6"/>
  <c r="AR382" i="6"/>
  <c r="AR383" i="6"/>
  <c r="AR384" i="6"/>
  <c r="AR385" i="6"/>
  <c r="AR386" i="6"/>
  <c r="AR387" i="6"/>
  <c r="AR388" i="6"/>
  <c r="AR389" i="6"/>
  <c r="AR390" i="6"/>
  <c r="AR391" i="6"/>
  <c r="AR392" i="6"/>
  <c r="AR393" i="6"/>
  <c r="AR394" i="6"/>
  <c r="AR395" i="6"/>
  <c r="AR396" i="6"/>
  <c r="AR397" i="6"/>
  <c r="AR398" i="6"/>
  <c r="AR399" i="6"/>
  <c r="AR400" i="6"/>
  <c r="AR401" i="6"/>
  <c r="AR402" i="6"/>
  <c r="AR403" i="6"/>
  <c r="AR404" i="6"/>
  <c r="AR405" i="6"/>
  <c r="AR406" i="6"/>
  <c r="AR407" i="6"/>
  <c r="AR408" i="6"/>
  <c r="AR409" i="6"/>
  <c r="AR410" i="6"/>
  <c r="AR411" i="6"/>
  <c r="AR412" i="6"/>
  <c r="AR413" i="6"/>
  <c r="AR414" i="6"/>
  <c r="AR415" i="6"/>
  <c r="AR416" i="6"/>
  <c r="AR417" i="6"/>
  <c r="AR418" i="6"/>
  <c r="AR419" i="6"/>
  <c r="AR420" i="6"/>
  <c r="AR421" i="6"/>
  <c r="AR422" i="6"/>
  <c r="AR423" i="6"/>
  <c r="AR424" i="6"/>
  <c r="AR425" i="6"/>
  <c r="AR426" i="6"/>
  <c r="AR427" i="6"/>
  <c r="AR428" i="6"/>
  <c r="AR429" i="6"/>
  <c r="AR430" i="6"/>
  <c r="AR431" i="6"/>
  <c r="AR432" i="6"/>
  <c r="AR433" i="6"/>
  <c r="AR434" i="6"/>
  <c r="AR435" i="6"/>
  <c r="AR436" i="6"/>
  <c r="AR437" i="6"/>
  <c r="AR438" i="6"/>
  <c r="AR439" i="6"/>
  <c r="AR440" i="6"/>
  <c r="AR441" i="6"/>
  <c r="AR442" i="6"/>
  <c r="AR443" i="6"/>
  <c r="AR444" i="6"/>
  <c r="AR445" i="6"/>
  <c r="AR446" i="6"/>
  <c r="AR447" i="6"/>
  <c r="AR448" i="6"/>
  <c r="AR449" i="6"/>
  <c r="AR450" i="6"/>
  <c r="AR451" i="6"/>
  <c r="AR452" i="6"/>
  <c r="AR453" i="6"/>
  <c r="AR454" i="6"/>
  <c r="AR455" i="6"/>
  <c r="AR456" i="6"/>
  <c r="AR457" i="6"/>
  <c r="AR458" i="6"/>
  <c r="AR459" i="6"/>
  <c r="AR460" i="6"/>
  <c r="AR461" i="6"/>
  <c r="AR462" i="6"/>
  <c r="AR463" i="6"/>
  <c r="AR464" i="6"/>
  <c r="AR465" i="6"/>
  <c r="AR466" i="6"/>
  <c r="AR467" i="6"/>
  <c r="AR468" i="6"/>
  <c r="AR469" i="6"/>
  <c r="AR470" i="6"/>
  <c r="AR471" i="6"/>
  <c r="AR472" i="6"/>
  <c r="AR473" i="6"/>
  <c r="AR474" i="6"/>
  <c r="AR475" i="6"/>
  <c r="AR476" i="6"/>
  <c r="AR477" i="6"/>
  <c r="AR478" i="6"/>
  <c r="AR479" i="6"/>
  <c r="AR480" i="6"/>
  <c r="AR481" i="6"/>
  <c r="AR482" i="6"/>
  <c r="AR483" i="6"/>
  <c r="AR484" i="6"/>
  <c r="AR485" i="6"/>
  <c r="AR486" i="6"/>
  <c r="AR487" i="6"/>
  <c r="AR488" i="6"/>
  <c r="AR489" i="6"/>
  <c r="AR490" i="6"/>
  <c r="AR491" i="6"/>
  <c r="AR492" i="6"/>
  <c r="AR493" i="6"/>
  <c r="AR494" i="6"/>
  <c r="AR495" i="6"/>
  <c r="AR496" i="6"/>
  <c r="AR497" i="6"/>
  <c r="AR498" i="6"/>
  <c r="AR499" i="6"/>
  <c r="AR500" i="6"/>
  <c r="AR501" i="6"/>
  <c r="AR502" i="6"/>
  <c r="AR503" i="6"/>
  <c r="AR504" i="6"/>
  <c r="AR505" i="6"/>
  <c r="AR506" i="6"/>
  <c r="AR507" i="6"/>
  <c r="AR508" i="6"/>
  <c r="AR509" i="6"/>
  <c r="AR510" i="6"/>
  <c r="AR511" i="6"/>
  <c r="AR512" i="6"/>
  <c r="AR513" i="6"/>
  <c r="AR514" i="6"/>
  <c r="AR515" i="6"/>
  <c r="AR516" i="6"/>
  <c r="AR517" i="6"/>
  <c r="AR518" i="6"/>
  <c r="AR519" i="6"/>
  <c r="AR520" i="6"/>
  <c r="AR521" i="6"/>
  <c r="AR522" i="6"/>
  <c r="AR523" i="6"/>
  <c r="AR524" i="6"/>
  <c r="AR525" i="6"/>
  <c r="AR526" i="6"/>
  <c r="AR527" i="6"/>
  <c r="AR528" i="6"/>
  <c r="AR529" i="6"/>
  <c r="AR530" i="6"/>
  <c r="AR531" i="6"/>
  <c r="AR532" i="6"/>
  <c r="AR533" i="6"/>
  <c r="AR534" i="6"/>
  <c r="AR535" i="6"/>
  <c r="AR536" i="6"/>
  <c r="AR537" i="6"/>
  <c r="AR538" i="6"/>
  <c r="AR539" i="6"/>
  <c r="AR540" i="6"/>
  <c r="AR541" i="6"/>
  <c r="AR542" i="6"/>
  <c r="AR543" i="6"/>
  <c r="AR544" i="6"/>
  <c r="AR545" i="6"/>
  <c r="AR546" i="6"/>
  <c r="AR547" i="6"/>
  <c r="AR548" i="6"/>
  <c r="AR549" i="6"/>
  <c r="AR550" i="6"/>
  <c r="AR551" i="6"/>
  <c r="AR552" i="6"/>
  <c r="AR553" i="6"/>
  <c r="AR554" i="6"/>
  <c r="AR555" i="6"/>
  <c r="AR556" i="6"/>
  <c r="AR557" i="6"/>
  <c r="AR558" i="6"/>
  <c r="AR559" i="6"/>
  <c r="AR560" i="6"/>
  <c r="AR561" i="6"/>
  <c r="AR562" i="6"/>
  <c r="AR563" i="6"/>
  <c r="AR564" i="6"/>
  <c r="AR565" i="6"/>
  <c r="AR566" i="6"/>
  <c r="AR567" i="6"/>
  <c r="AR568" i="6"/>
  <c r="AR569" i="6"/>
  <c r="AR570" i="6"/>
  <c r="AR571" i="6"/>
  <c r="AR572" i="6"/>
  <c r="AR573" i="6"/>
  <c r="AR574" i="6"/>
  <c r="AR575" i="6"/>
  <c r="AR576" i="6"/>
  <c r="AR577" i="6"/>
  <c r="AR578" i="6"/>
  <c r="AR579" i="6"/>
  <c r="AR580" i="6"/>
  <c r="AR581" i="6"/>
  <c r="AR582" i="6"/>
  <c r="AR583" i="6"/>
  <c r="AR584" i="6"/>
  <c r="AR585" i="6"/>
  <c r="AR586" i="6"/>
  <c r="AR587" i="6"/>
  <c r="AR588" i="6"/>
  <c r="AR589" i="6"/>
  <c r="AR590" i="6"/>
  <c r="AR591" i="6"/>
  <c r="AR592" i="6"/>
  <c r="AR593" i="6"/>
  <c r="AR594" i="6"/>
  <c r="AR595" i="6"/>
  <c r="AR596" i="6"/>
  <c r="AR597" i="6"/>
  <c r="AR598" i="6"/>
  <c r="AR599" i="6"/>
  <c r="AR600" i="6"/>
  <c r="AR601" i="6"/>
  <c r="AR2" i="6"/>
  <c r="AO3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66" i="6"/>
  <c r="AO167" i="6"/>
  <c r="AO168" i="6"/>
  <c r="AO169" i="6"/>
  <c r="AO170" i="6"/>
  <c r="AO171" i="6"/>
  <c r="AO172" i="6"/>
  <c r="AO173" i="6"/>
  <c r="AO174" i="6"/>
  <c r="AO175" i="6"/>
  <c r="AO176" i="6"/>
  <c r="AO177" i="6"/>
  <c r="AO178" i="6"/>
  <c r="AO179" i="6"/>
  <c r="AO180" i="6"/>
  <c r="AO181" i="6"/>
  <c r="AO182" i="6"/>
  <c r="AO183" i="6"/>
  <c r="AO184" i="6"/>
  <c r="AO185" i="6"/>
  <c r="AO186" i="6"/>
  <c r="AO187" i="6"/>
  <c r="AO188" i="6"/>
  <c r="AO189" i="6"/>
  <c r="AO190" i="6"/>
  <c r="AO191" i="6"/>
  <c r="AO192" i="6"/>
  <c r="AO193" i="6"/>
  <c r="AO194" i="6"/>
  <c r="AO195" i="6"/>
  <c r="AO196" i="6"/>
  <c r="AO197" i="6"/>
  <c r="AO198" i="6"/>
  <c r="AO199" i="6"/>
  <c r="AO200" i="6"/>
  <c r="AO201" i="6"/>
  <c r="AO202" i="6"/>
  <c r="AO203" i="6"/>
  <c r="AO204" i="6"/>
  <c r="AO205" i="6"/>
  <c r="AO206" i="6"/>
  <c r="AO207" i="6"/>
  <c r="AO208" i="6"/>
  <c r="AO209" i="6"/>
  <c r="AO210" i="6"/>
  <c r="AO211" i="6"/>
  <c r="AO212" i="6"/>
  <c r="AO213" i="6"/>
  <c r="AO214" i="6"/>
  <c r="AO215" i="6"/>
  <c r="AO216" i="6"/>
  <c r="AO217" i="6"/>
  <c r="AO218" i="6"/>
  <c r="AO219" i="6"/>
  <c r="AO220" i="6"/>
  <c r="AO221" i="6"/>
  <c r="AO222" i="6"/>
  <c r="AO223" i="6"/>
  <c r="AO224" i="6"/>
  <c r="AO225" i="6"/>
  <c r="AO226" i="6"/>
  <c r="AO227" i="6"/>
  <c r="AO228" i="6"/>
  <c r="AO229" i="6"/>
  <c r="AO230" i="6"/>
  <c r="AO231" i="6"/>
  <c r="AO232" i="6"/>
  <c r="AO233" i="6"/>
  <c r="AO234" i="6"/>
  <c r="AO235" i="6"/>
  <c r="AO236" i="6"/>
  <c r="AO237" i="6"/>
  <c r="AO238" i="6"/>
  <c r="AO239" i="6"/>
  <c r="AO240" i="6"/>
  <c r="AO241" i="6"/>
  <c r="AO242" i="6"/>
  <c r="AO243" i="6"/>
  <c r="AO244" i="6"/>
  <c r="AO245" i="6"/>
  <c r="AO246" i="6"/>
  <c r="AO247" i="6"/>
  <c r="AO248" i="6"/>
  <c r="AO249" i="6"/>
  <c r="AO250" i="6"/>
  <c r="AO251" i="6"/>
  <c r="AO252" i="6"/>
  <c r="AO253" i="6"/>
  <c r="AO254" i="6"/>
  <c r="AO255" i="6"/>
  <c r="AO256" i="6"/>
  <c r="AO257" i="6"/>
  <c r="AO258" i="6"/>
  <c r="AO259" i="6"/>
  <c r="AO260" i="6"/>
  <c r="AO261" i="6"/>
  <c r="AO262" i="6"/>
  <c r="AO263" i="6"/>
  <c r="AO264" i="6"/>
  <c r="AO265" i="6"/>
  <c r="AO266" i="6"/>
  <c r="AO267" i="6"/>
  <c r="AO268" i="6"/>
  <c r="AO269" i="6"/>
  <c r="AO270" i="6"/>
  <c r="AO271" i="6"/>
  <c r="AO272" i="6"/>
  <c r="AO273" i="6"/>
  <c r="AO274" i="6"/>
  <c r="AO275" i="6"/>
  <c r="AO276" i="6"/>
  <c r="AO277" i="6"/>
  <c r="AO278" i="6"/>
  <c r="AO279" i="6"/>
  <c r="AO280" i="6"/>
  <c r="AO281" i="6"/>
  <c r="AO282" i="6"/>
  <c r="AO283" i="6"/>
  <c r="AO284" i="6"/>
  <c r="AO285" i="6"/>
  <c r="AO286" i="6"/>
  <c r="AO287" i="6"/>
  <c r="AO288" i="6"/>
  <c r="AO289" i="6"/>
  <c r="AO290" i="6"/>
  <c r="AO291" i="6"/>
  <c r="AO292" i="6"/>
  <c r="AO293" i="6"/>
  <c r="AO294" i="6"/>
  <c r="AO295" i="6"/>
  <c r="AO296" i="6"/>
  <c r="AO297" i="6"/>
  <c r="AO298" i="6"/>
  <c r="AO299" i="6"/>
  <c r="AO300" i="6"/>
  <c r="AO301" i="6"/>
  <c r="AO302" i="6"/>
  <c r="AO303" i="6"/>
  <c r="AO304" i="6"/>
  <c r="AO305" i="6"/>
  <c r="AO306" i="6"/>
  <c r="AO307" i="6"/>
  <c r="AO308" i="6"/>
  <c r="AO309" i="6"/>
  <c r="AO310" i="6"/>
  <c r="AO311" i="6"/>
  <c r="AO312" i="6"/>
  <c r="AO313" i="6"/>
  <c r="AO314" i="6"/>
  <c r="AO315" i="6"/>
  <c r="AO316" i="6"/>
  <c r="AO317" i="6"/>
  <c r="AO318" i="6"/>
  <c r="AO319" i="6"/>
  <c r="AO320" i="6"/>
  <c r="AO321" i="6"/>
  <c r="AO322" i="6"/>
  <c r="AO323" i="6"/>
  <c r="AO324" i="6"/>
  <c r="AO325" i="6"/>
  <c r="AO326" i="6"/>
  <c r="AO327" i="6"/>
  <c r="AO328" i="6"/>
  <c r="AO329" i="6"/>
  <c r="AO330" i="6"/>
  <c r="AO331" i="6"/>
  <c r="AO332" i="6"/>
  <c r="AO333" i="6"/>
  <c r="AO334" i="6"/>
  <c r="AO335" i="6"/>
  <c r="AO336" i="6"/>
  <c r="AO337" i="6"/>
  <c r="AO338" i="6"/>
  <c r="AO339" i="6"/>
  <c r="AO340" i="6"/>
  <c r="AO341" i="6"/>
  <c r="AO342" i="6"/>
  <c r="AO343" i="6"/>
  <c r="AO344" i="6"/>
  <c r="AO345" i="6"/>
  <c r="AO346" i="6"/>
  <c r="AO347" i="6"/>
  <c r="AO348" i="6"/>
  <c r="AO349" i="6"/>
  <c r="AO350" i="6"/>
  <c r="AO351" i="6"/>
  <c r="AO352" i="6"/>
  <c r="AO353" i="6"/>
  <c r="AO354" i="6"/>
  <c r="AO355" i="6"/>
  <c r="AO356" i="6"/>
  <c r="AO357" i="6"/>
  <c r="AO358" i="6"/>
  <c r="AO359" i="6"/>
  <c r="AO360" i="6"/>
  <c r="AO361" i="6"/>
  <c r="AO362" i="6"/>
  <c r="AO363" i="6"/>
  <c r="AO364" i="6"/>
  <c r="AO365" i="6"/>
  <c r="AO366" i="6"/>
  <c r="AO367" i="6"/>
  <c r="AO368" i="6"/>
  <c r="AO369" i="6"/>
  <c r="AO370" i="6"/>
  <c r="AO371" i="6"/>
  <c r="AO372" i="6"/>
  <c r="AO373" i="6"/>
  <c r="AO374" i="6"/>
  <c r="AO375" i="6"/>
  <c r="AO376" i="6"/>
  <c r="AO377" i="6"/>
  <c r="AO378" i="6"/>
  <c r="AO379" i="6"/>
  <c r="AO380" i="6"/>
  <c r="AO381" i="6"/>
  <c r="AO382" i="6"/>
  <c r="AO383" i="6"/>
  <c r="AO384" i="6"/>
  <c r="AO385" i="6"/>
  <c r="AO386" i="6"/>
  <c r="AO387" i="6"/>
  <c r="AO388" i="6"/>
  <c r="AO389" i="6"/>
  <c r="AO390" i="6"/>
  <c r="AO391" i="6"/>
  <c r="AO392" i="6"/>
  <c r="AO393" i="6"/>
  <c r="AO394" i="6"/>
  <c r="AO395" i="6"/>
  <c r="AO396" i="6"/>
  <c r="AO397" i="6"/>
  <c r="AO398" i="6"/>
  <c r="AO399" i="6"/>
  <c r="AO400" i="6"/>
  <c r="AO401" i="6"/>
  <c r="AO2" i="6"/>
  <c r="AL3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2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2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D569" i="6"/>
  <c r="AD570" i="6"/>
  <c r="AD571" i="6"/>
  <c r="AD572" i="6"/>
  <c r="AD573" i="6"/>
  <c r="AD574" i="6"/>
  <c r="AD575" i="6"/>
  <c r="AD576" i="6"/>
  <c r="AD577" i="6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2" i="6"/>
  <c r="G2" i="6" a="1"/>
  <c r="G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1042" i="6"/>
  <c r="X1043" i="6"/>
  <c r="X1044" i="6"/>
  <c r="X1045" i="6"/>
  <c r="X1046" i="6"/>
  <c r="X1047" i="6"/>
  <c r="X1048" i="6"/>
  <c r="X1049" i="6"/>
  <c r="X1050" i="6"/>
  <c r="X1051" i="6"/>
  <c r="X1052" i="6"/>
  <c r="X1053" i="6"/>
  <c r="X1054" i="6"/>
  <c r="X1055" i="6"/>
  <c r="X1056" i="6"/>
  <c r="X1057" i="6"/>
  <c r="X1058" i="6"/>
  <c r="X1059" i="6"/>
  <c r="X1060" i="6"/>
  <c r="X1061" i="6"/>
  <c r="X1062" i="6"/>
  <c r="X1063" i="6"/>
  <c r="X1064" i="6"/>
  <c r="X1065" i="6"/>
  <c r="X1066" i="6"/>
  <c r="X1067" i="6"/>
  <c r="X1068" i="6"/>
  <c r="X1069" i="6"/>
  <c r="X1070" i="6"/>
  <c r="X1071" i="6"/>
  <c r="X1072" i="6"/>
  <c r="X1073" i="6"/>
  <c r="X1074" i="6"/>
  <c r="X1075" i="6"/>
  <c r="X1076" i="6"/>
  <c r="X1077" i="6"/>
  <c r="X1078" i="6"/>
  <c r="X1079" i="6"/>
  <c r="X1080" i="6"/>
  <c r="X1081" i="6"/>
  <c r="X1082" i="6"/>
  <c r="X1083" i="6"/>
  <c r="X1084" i="6"/>
  <c r="X1085" i="6"/>
  <c r="X1086" i="6"/>
  <c r="X1087" i="6"/>
  <c r="X1088" i="6"/>
  <c r="X1089" i="6"/>
  <c r="X1090" i="6"/>
  <c r="X1091" i="6"/>
  <c r="X1092" i="6"/>
  <c r="X1093" i="6"/>
  <c r="X1094" i="6"/>
  <c r="X1095" i="6"/>
  <c r="X1096" i="6"/>
  <c r="X1097" i="6"/>
  <c r="X1098" i="6"/>
  <c r="X1099" i="6"/>
  <c r="X1100" i="6"/>
  <c r="X1101" i="6"/>
  <c r="X1102" i="6"/>
  <c r="X1103" i="6"/>
  <c r="X1104" i="6"/>
  <c r="X1105" i="6"/>
  <c r="X1106" i="6"/>
  <c r="X1107" i="6"/>
  <c r="X1108" i="6"/>
  <c r="X1109" i="6"/>
  <c r="X1110" i="6"/>
  <c r="X1111" i="6"/>
  <c r="X1112" i="6"/>
  <c r="X1113" i="6"/>
  <c r="X1114" i="6"/>
  <c r="X1115" i="6"/>
  <c r="X1116" i="6"/>
  <c r="X1117" i="6"/>
  <c r="X1118" i="6"/>
  <c r="X1119" i="6"/>
  <c r="X1120" i="6"/>
  <c r="X1121" i="6"/>
  <c r="X1122" i="6"/>
  <c r="X1123" i="6"/>
  <c r="X1124" i="6"/>
  <c r="X1125" i="6"/>
  <c r="X1126" i="6"/>
  <c r="X1127" i="6"/>
  <c r="X1128" i="6"/>
  <c r="X1129" i="6"/>
  <c r="X1130" i="6"/>
  <c r="X1131" i="6"/>
  <c r="X1132" i="6"/>
  <c r="X1133" i="6"/>
  <c r="X1134" i="6"/>
  <c r="X1135" i="6"/>
  <c r="X1136" i="6"/>
  <c r="X1137" i="6"/>
  <c r="X1138" i="6"/>
  <c r="X1139" i="6"/>
  <c r="X1140" i="6"/>
  <c r="X1141" i="6"/>
  <c r="X1142" i="6"/>
  <c r="X1143" i="6"/>
  <c r="X1144" i="6"/>
  <c r="X1145" i="6"/>
  <c r="X1146" i="6"/>
  <c r="X1147" i="6"/>
  <c r="X1148" i="6"/>
  <c r="X1149" i="6"/>
  <c r="X1150" i="6"/>
  <c r="X1151" i="6"/>
  <c r="X1152" i="6"/>
  <c r="X1153" i="6"/>
  <c r="X1154" i="6"/>
  <c r="X1155" i="6"/>
  <c r="X1156" i="6"/>
  <c r="X1157" i="6"/>
  <c r="X1158" i="6"/>
  <c r="X1159" i="6"/>
  <c r="X1160" i="6"/>
  <c r="X1161" i="6"/>
  <c r="X1162" i="6"/>
  <c r="X1163" i="6"/>
  <c r="X1164" i="6"/>
  <c r="X1165" i="6"/>
  <c r="X1166" i="6"/>
  <c r="X1167" i="6"/>
  <c r="X1168" i="6"/>
  <c r="X1169" i="6"/>
  <c r="X1170" i="6"/>
  <c r="X1171" i="6"/>
  <c r="X1172" i="6"/>
  <c r="X1173" i="6"/>
  <c r="X1174" i="6"/>
  <c r="X1175" i="6"/>
  <c r="X1176" i="6"/>
  <c r="X1177" i="6"/>
  <c r="X1178" i="6"/>
  <c r="X1179" i="6"/>
  <c r="X1180" i="6"/>
  <c r="X1181" i="6"/>
  <c r="X1182" i="6"/>
  <c r="X1183" i="6"/>
  <c r="X1184" i="6"/>
  <c r="X1185" i="6"/>
  <c r="X1186" i="6"/>
  <c r="X1187" i="6"/>
  <c r="X1188" i="6"/>
  <c r="X1189" i="6"/>
  <c r="X1190" i="6"/>
  <c r="X1191" i="6"/>
  <c r="X1192" i="6"/>
  <c r="X1193" i="6"/>
  <c r="X1194" i="6"/>
  <c r="X1195" i="6"/>
  <c r="X1196" i="6"/>
  <c r="X1197" i="6"/>
  <c r="X1198" i="6"/>
  <c r="X1199" i="6"/>
  <c r="X1200" i="6"/>
  <c r="X1201" i="6"/>
  <c r="X1202" i="6"/>
  <c r="X1203" i="6"/>
  <c r="X1204" i="6"/>
  <c r="X1205" i="6"/>
  <c r="X1206" i="6"/>
  <c r="X1207" i="6"/>
  <c r="X1208" i="6"/>
  <c r="X1209" i="6"/>
  <c r="X1210" i="6"/>
  <c r="X1211" i="6"/>
  <c r="X1212" i="6"/>
  <c r="X1213" i="6"/>
  <c r="X1214" i="6"/>
  <c r="X1215" i="6"/>
  <c r="X1216" i="6"/>
  <c r="X1217" i="6"/>
  <c r="X1218" i="6"/>
  <c r="X1219" i="6"/>
  <c r="X1220" i="6"/>
  <c r="X1221" i="6"/>
  <c r="X1222" i="6"/>
  <c r="X1223" i="6"/>
  <c r="X1224" i="6"/>
  <c r="X1225" i="6"/>
  <c r="X1226" i="6"/>
  <c r="X1227" i="6"/>
  <c r="X1228" i="6"/>
  <c r="X1229" i="6"/>
  <c r="X1230" i="6"/>
  <c r="X1231" i="6"/>
  <c r="X1232" i="6"/>
  <c r="X1233" i="6"/>
  <c r="X1234" i="6"/>
  <c r="X1235" i="6"/>
  <c r="X1236" i="6"/>
  <c r="X1237" i="6"/>
  <c r="X1238" i="6"/>
  <c r="X1239" i="6"/>
  <c r="X1240" i="6"/>
  <c r="X1241" i="6"/>
  <c r="X1242" i="6"/>
  <c r="X1243" i="6"/>
  <c r="X1244" i="6"/>
  <c r="X1245" i="6"/>
  <c r="X1246" i="6"/>
  <c r="X1247" i="6"/>
  <c r="X1248" i="6"/>
  <c r="X1249" i="6"/>
  <c r="X1250" i="6"/>
  <c r="X1251" i="6"/>
  <c r="X1252" i="6"/>
  <c r="X1253" i="6"/>
  <c r="X1254" i="6"/>
  <c r="X1255" i="6"/>
  <c r="X1256" i="6"/>
  <c r="X1257" i="6"/>
  <c r="X1258" i="6"/>
  <c r="X1259" i="6"/>
  <c r="X1260" i="6"/>
  <c r="X1261" i="6"/>
  <c r="X1262" i="6"/>
  <c r="X1263" i="6"/>
  <c r="X1264" i="6"/>
  <c r="X1265" i="6"/>
  <c r="X1266" i="6"/>
  <c r="X1267" i="6"/>
  <c r="X1268" i="6"/>
  <c r="X1269" i="6"/>
  <c r="X1270" i="6"/>
  <c r="X1271" i="6"/>
  <c r="X1272" i="6"/>
  <c r="X1273" i="6"/>
  <c r="X1274" i="6"/>
  <c r="X1275" i="6"/>
  <c r="X1276" i="6"/>
  <c r="X1277" i="6"/>
  <c r="X1278" i="6"/>
  <c r="X1279" i="6"/>
  <c r="X1280" i="6"/>
  <c r="X1281" i="6"/>
  <c r="X1282" i="6"/>
  <c r="X1283" i="6"/>
  <c r="X1284" i="6"/>
  <c r="X1285" i="6"/>
  <c r="X1286" i="6"/>
  <c r="X1287" i="6"/>
  <c r="X1288" i="6"/>
  <c r="X1289" i="6"/>
  <c r="X1290" i="6"/>
  <c r="X1291" i="6"/>
  <c r="X1292" i="6"/>
  <c r="X1293" i="6"/>
  <c r="X1294" i="6"/>
  <c r="X1295" i="6"/>
  <c r="X1296" i="6"/>
  <c r="X1297" i="6"/>
  <c r="X1298" i="6"/>
  <c r="X1299" i="6"/>
  <c r="X1300" i="6"/>
  <c r="X1301" i="6"/>
  <c r="X1302" i="6"/>
  <c r="X1303" i="6"/>
  <c r="X1304" i="6"/>
  <c r="X1305" i="6"/>
  <c r="X1306" i="6"/>
  <c r="X1307" i="6"/>
  <c r="X1308" i="6"/>
  <c r="X1309" i="6"/>
  <c r="X1310" i="6"/>
  <c r="X1311" i="6"/>
  <c r="X1312" i="6"/>
  <c r="X1313" i="6"/>
  <c r="X1314" i="6"/>
  <c r="X1315" i="6"/>
  <c r="X1316" i="6"/>
  <c r="X1317" i="6"/>
  <c r="X1318" i="6"/>
  <c r="X1319" i="6"/>
  <c r="X1320" i="6"/>
  <c r="X1321" i="6"/>
  <c r="X1322" i="6"/>
  <c r="X1323" i="6"/>
  <c r="X1324" i="6"/>
  <c r="X1325" i="6"/>
  <c r="X1326" i="6"/>
  <c r="X1327" i="6"/>
  <c r="X1328" i="6"/>
  <c r="X1329" i="6"/>
  <c r="X1330" i="6"/>
  <c r="X1331" i="6"/>
  <c r="X1332" i="6"/>
  <c r="X1333" i="6"/>
  <c r="X1334" i="6"/>
  <c r="X1335" i="6"/>
  <c r="X1336" i="6"/>
  <c r="X1337" i="6"/>
  <c r="X1338" i="6"/>
  <c r="X1339" i="6"/>
  <c r="X1340" i="6"/>
  <c r="X1341" i="6"/>
  <c r="X1342" i="6"/>
  <c r="X1343" i="6"/>
  <c r="X1344" i="6"/>
  <c r="X1345" i="6"/>
  <c r="X1346" i="6"/>
  <c r="X1347" i="6"/>
  <c r="X1348" i="6"/>
  <c r="X1349" i="6"/>
  <c r="X1350" i="6"/>
  <c r="X1351" i="6"/>
  <c r="X1352" i="6"/>
  <c r="X1353" i="6"/>
  <c r="X1354" i="6"/>
  <c r="X1355" i="6"/>
  <c r="X1356" i="6"/>
  <c r="X1357" i="6"/>
  <c r="X1358" i="6"/>
  <c r="X1359" i="6"/>
  <c r="X1360" i="6"/>
  <c r="X1361" i="6"/>
  <c r="X1362" i="6"/>
  <c r="X1363" i="6"/>
  <c r="X1364" i="6"/>
  <c r="X1365" i="6"/>
  <c r="X1366" i="6"/>
  <c r="X1367" i="6"/>
  <c r="X1368" i="6"/>
  <c r="X1369" i="6"/>
  <c r="X1370" i="6"/>
  <c r="X1371" i="6"/>
  <c r="X1372" i="6"/>
  <c r="X1373" i="6"/>
  <c r="X1374" i="6"/>
  <c r="X1375" i="6"/>
  <c r="X1376" i="6"/>
  <c r="X1377" i="6"/>
  <c r="X1378" i="6"/>
  <c r="X1379" i="6"/>
  <c r="X1380" i="6"/>
  <c r="X1381" i="6"/>
  <c r="X1382" i="6"/>
  <c r="X1383" i="6"/>
  <c r="X1384" i="6"/>
  <c r="X1385" i="6"/>
  <c r="X1386" i="6"/>
  <c r="X1387" i="6"/>
  <c r="X1388" i="6"/>
  <c r="X1389" i="6"/>
  <c r="X1390" i="6"/>
  <c r="X1391" i="6"/>
  <c r="X1392" i="6"/>
  <c r="X1393" i="6"/>
  <c r="X1394" i="6"/>
  <c r="X1395" i="6"/>
  <c r="X1396" i="6"/>
  <c r="X1397" i="6"/>
  <c r="X1398" i="6"/>
  <c r="X1399" i="6"/>
  <c r="X1400" i="6"/>
  <c r="X1401" i="6"/>
  <c r="X1402" i="6"/>
  <c r="X1403" i="6"/>
  <c r="X1404" i="6"/>
  <c r="X1405" i="6"/>
  <c r="X1406" i="6"/>
  <c r="X1407" i="6"/>
  <c r="X1408" i="6"/>
  <c r="X1409" i="6"/>
  <c r="X1410" i="6"/>
  <c r="X1411" i="6"/>
  <c r="X1412" i="6"/>
  <c r="X1413" i="6"/>
  <c r="X1414" i="6"/>
  <c r="X1415" i="6"/>
  <c r="X1416" i="6"/>
  <c r="X1417" i="6"/>
  <c r="X1418" i="6"/>
  <c r="X1419" i="6"/>
  <c r="X1420" i="6"/>
  <c r="X1421" i="6"/>
  <c r="X1422" i="6"/>
  <c r="X1423" i="6"/>
  <c r="X1424" i="6"/>
  <c r="X1425" i="6"/>
  <c r="X1426" i="6"/>
  <c r="X1427" i="6"/>
  <c r="X1428" i="6"/>
  <c r="X1429" i="6"/>
  <c r="X1430" i="6"/>
  <c r="X1431" i="6"/>
  <c r="X1432" i="6"/>
  <c r="X1433" i="6"/>
  <c r="X1434" i="6"/>
  <c r="X1435" i="6"/>
  <c r="X1436" i="6"/>
  <c r="X1437" i="6"/>
  <c r="X1438" i="6"/>
  <c r="X1439" i="6"/>
  <c r="X1440" i="6"/>
  <c r="X1441" i="6"/>
  <c r="X1442" i="6"/>
  <c r="X1443" i="6"/>
  <c r="X1444" i="6"/>
  <c r="X1445" i="6"/>
  <c r="X1446" i="6"/>
  <c r="X1447" i="6"/>
  <c r="X1448" i="6"/>
  <c r="X1449" i="6"/>
  <c r="X1450" i="6"/>
  <c r="X1451" i="6"/>
  <c r="X1452" i="6"/>
  <c r="X1453" i="6"/>
  <c r="X1454" i="6"/>
  <c r="X1455" i="6"/>
  <c r="X1456" i="6"/>
  <c r="X1457" i="6"/>
  <c r="X1458" i="6"/>
  <c r="X1459" i="6"/>
  <c r="X1460" i="6"/>
  <c r="X1461" i="6"/>
  <c r="X1462" i="6"/>
  <c r="X1463" i="6"/>
  <c r="X1464" i="6"/>
  <c r="X1465" i="6"/>
  <c r="X1466" i="6"/>
  <c r="X1467" i="6"/>
  <c r="X1468" i="6"/>
  <c r="X1469" i="6"/>
  <c r="X1470" i="6"/>
  <c r="X1471" i="6"/>
  <c r="X1472" i="6"/>
  <c r="X1473" i="6"/>
  <c r="X1474" i="6"/>
  <c r="X1475" i="6"/>
  <c r="X1476" i="6"/>
  <c r="X1477" i="6"/>
  <c r="X1478" i="6"/>
  <c r="X1479" i="6"/>
  <c r="X1480" i="6"/>
  <c r="X1481" i="6"/>
  <c r="X1482" i="6"/>
  <c r="X1483" i="6"/>
  <c r="X1484" i="6"/>
  <c r="X1485" i="6"/>
  <c r="X1486" i="6"/>
  <c r="X1487" i="6"/>
  <c r="X1488" i="6"/>
  <c r="X1489" i="6"/>
  <c r="X1490" i="6"/>
  <c r="X1491" i="6"/>
  <c r="X1492" i="6"/>
  <c r="X1493" i="6"/>
  <c r="X1494" i="6"/>
  <c r="X1495" i="6"/>
  <c r="X1496" i="6"/>
  <c r="X1497" i="6"/>
  <c r="X1498" i="6"/>
  <c r="X1499" i="6"/>
  <c r="X1500" i="6"/>
  <c r="X1501" i="6"/>
  <c r="X1502" i="6"/>
  <c r="X1503" i="6"/>
  <c r="X1504" i="6"/>
  <c r="X1505" i="6"/>
  <c r="X1506" i="6"/>
  <c r="X1507" i="6"/>
  <c r="X1508" i="6"/>
  <c r="X1509" i="6"/>
  <c r="X1510" i="6"/>
  <c r="X1511" i="6"/>
  <c r="X1512" i="6"/>
  <c r="X1513" i="6"/>
  <c r="X1514" i="6"/>
  <c r="X1515" i="6"/>
  <c r="X1516" i="6"/>
  <c r="X1517" i="6"/>
  <c r="X1518" i="6"/>
  <c r="X1519" i="6"/>
  <c r="X1520" i="6"/>
  <c r="X1521" i="6"/>
  <c r="X1522" i="6"/>
  <c r="X1523" i="6"/>
  <c r="X1524" i="6"/>
  <c r="X1525" i="6"/>
  <c r="X1526" i="6"/>
  <c r="X1527" i="6"/>
  <c r="X1528" i="6"/>
  <c r="X1529" i="6"/>
  <c r="X1530" i="6"/>
  <c r="X1531" i="6"/>
  <c r="X1532" i="6"/>
  <c r="X1533" i="6"/>
  <c r="X1534" i="6"/>
  <c r="X1535" i="6"/>
  <c r="X1536" i="6"/>
  <c r="X1537" i="6"/>
  <c r="X1538" i="6"/>
  <c r="X1539" i="6"/>
  <c r="X1540" i="6"/>
  <c r="X1541" i="6"/>
  <c r="X1542" i="6"/>
  <c r="X1543" i="6"/>
  <c r="X1544" i="6"/>
  <c r="X1545" i="6"/>
  <c r="X1546" i="6"/>
  <c r="X1547" i="6"/>
  <c r="X1548" i="6"/>
  <c r="X1549" i="6"/>
  <c r="X1550" i="6"/>
  <c r="X1551" i="6"/>
  <c r="X1552" i="6"/>
  <c r="X1553" i="6"/>
  <c r="X1554" i="6"/>
  <c r="X1555" i="6"/>
  <c r="X1556" i="6"/>
  <c r="X1557" i="6"/>
  <c r="X1558" i="6"/>
  <c r="X1559" i="6"/>
  <c r="X1560" i="6"/>
  <c r="X1561" i="6"/>
  <c r="X1562" i="6"/>
  <c r="X1563" i="6"/>
  <c r="X1564" i="6"/>
  <c r="X1565" i="6"/>
  <c r="X1566" i="6"/>
  <c r="X1567" i="6"/>
  <c r="X1568" i="6"/>
  <c r="X1569" i="6"/>
  <c r="X1570" i="6"/>
  <c r="X1571" i="6"/>
  <c r="X1572" i="6"/>
  <c r="X1573" i="6"/>
  <c r="X1574" i="6"/>
  <c r="X1575" i="6"/>
  <c r="X1576" i="6"/>
  <c r="X1577" i="6"/>
  <c r="X1578" i="6"/>
  <c r="X1579" i="6"/>
  <c r="X1580" i="6"/>
  <c r="X1581" i="6"/>
  <c r="X1582" i="6"/>
  <c r="X1583" i="6"/>
  <c r="X1584" i="6"/>
  <c r="X1585" i="6"/>
  <c r="X1586" i="6"/>
  <c r="X1587" i="6"/>
  <c r="X1588" i="6"/>
  <c r="X1589" i="6"/>
  <c r="X1590" i="6"/>
  <c r="X1591" i="6"/>
  <c r="X1592" i="6"/>
  <c r="X1593" i="6"/>
  <c r="X1594" i="6"/>
  <c r="X1595" i="6"/>
  <c r="X1596" i="6"/>
  <c r="X1597" i="6"/>
  <c r="X1598" i="6"/>
  <c r="X1599" i="6"/>
  <c r="X1600" i="6"/>
  <c r="X1601" i="6"/>
  <c r="X1602" i="6"/>
  <c r="X1603" i="6"/>
  <c r="X1604" i="6"/>
  <c r="X1605" i="6"/>
  <c r="X1606" i="6"/>
  <c r="X1607" i="6"/>
  <c r="X1608" i="6"/>
  <c r="X1609" i="6"/>
  <c r="X1610" i="6"/>
  <c r="X1611" i="6"/>
  <c r="X1612" i="6"/>
  <c r="X1613" i="6"/>
  <c r="X1614" i="6"/>
  <c r="X1615" i="6"/>
  <c r="X1616" i="6"/>
  <c r="X1617" i="6"/>
  <c r="X1618" i="6"/>
  <c r="X1619" i="6"/>
  <c r="X1620" i="6"/>
  <c r="X1621" i="6"/>
  <c r="X1622" i="6"/>
  <c r="X1623" i="6"/>
  <c r="X1624" i="6"/>
  <c r="X1625" i="6"/>
  <c r="X1626" i="6"/>
  <c r="X1627" i="6"/>
  <c r="X1628" i="6"/>
  <c r="X1629" i="6"/>
  <c r="X1630" i="6"/>
  <c r="X1631" i="6"/>
  <c r="X1632" i="6"/>
  <c r="X1633" i="6"/>
  <c r="X1634" i="6"/>
  <c r="X1635" i="6"/>
  <c r="X1636" i="6"/>
  <c r="X1637" i="6"/>
  <c r="X1638" i="6"/>
  <c r="X1639" i="6"/>
  <c r="X1640" i="6"/>
  <c r="X1641" i="6"/>
  <c r="X1642" i="6"/>
  <c r="X1643" i="6"/>
  <c r="X1644" i="6"/>
  <c r="X1645" i="6"/>
  <c r="X1646" i="6"/>
  <c r="X1647" i="6"/>
  <c r="X1648" i="6"/>
  <c r="X1649" i="6"/>
  <c r="X1650" i="6"/>
  <c r="X1651" i="6"/>
  <c r="X1652" i="6"/>
  <c r="X1653" i="6"/>
  <c r="X1654" i="6"/>
  <c r="X1655" i="6"/>
  <c r="X1656" i="6"/>
  <c r="X1657" i="6"/>
  <c r="X1658" i="6"/>
  <c r="X1659" i="6"/>
  <c r="X1660" i="6"/>
  <c r="X1661" i="6"/>
  <c r="X1662" i="6"/>
  <c r="X1663" i="6"/>
  <c r="X1664" i="6"/>
  <c r="X1665" i="6"/>
  <c r="X1666" i="6"/>
  <c r="X1667" i="6"/>
  <c r="X1668" i="6"/>
  <c r="X1669" i="6"/>
  <c r="X1670" i="6"/>
  <c r="X1671" i="6"/>
  <c r="X1672" i="6"/>
  <c r="X1673" i="6"/>
  <c r="X1674" i="6"/>
  <c r="X1675" i="6"/>
  <c r="X1676" i="6"/>
  <c r="X1677" i="6"/>
  <c r="X1678" i="6"/>
  <c r="X1679" i="6"/>
  <c r="X1680" i="6"/>
  <c r="X1681" i="6"/>
  <c r="X1682" i="6"/>
  <c r="X1683" i="6"/>
  <c r="X1684" i="6"/>
  <c r="X1685" i="6"/>
  <c r="X1686" i="6"/>
  <c r="X1687" i="6"/>
  <c r="X1688" i="6"/>
  <c r="X1689" i="6"/>
  <c r="X1690" i="6"/>
  <c r="X1691" i="6"/>
  <c r="X1692" i="6"/>
  <c r="X1693" i="6"/>
  <c r="X1694" i="6"/>
  <c r="X1695" i="6"/>
  <c r="X1696" i="6"/>
  <c r="X1697" i="6"/>
  <c r="X1698" i="6"/>
  <c r="X1699" i="6"/>
  <c r="X1700" i="6"/>
  <c r="X1701" i="6"/>
  <c r="X1702" i="6"/>
  <c r="X1703" i="6"/>
  <c r="X1704" i="6"/>
  <c r="X1705" i="6"/>
  <c r="X1706" i="6"/>
  <c r="X1707" i="6"/>
  <c r="X1708" i="6"/>
  <c r="X1709" i="6"/>
  <c r="X1710" i="6"/>
  <c r="X1711" i="6"/>
  <c r="X1712" i="6"/>
  <c r="X1713" i="6"/>
  <c r="X1714" i="6"/>
  <c r="X1715" i="6"/>
  <c r="X1716" i="6"/>
  <c r="X1717" i="6"/>
  <c r="X1718" i="6"/>
  <c r="X1719" i="6"/>
  <c r="X1720" i="6"/>
  <c r="X1721" i="6"/>
  <c r="X1722" i="6"/>
  <c r="X1723" i="6"/>
  <c r="X1724" i="6"/>
  <c r="X1725" i="6"/>
  <c r="X1726" i="6"/>
  <c r="X1727" i="6"/>
  <c r="X1728" i="6"/>
  <c r="X1729" i="6"/>
  <c r="X1730" i="6"/>
  <c r="X1731" i="6"/>
  <c r="X1732" i="6"/>
  <c r="X1733" i="6"/>
  <c r="X1734" i="6"/>
  <c r="X1735" i="6"/>
  <c r="X1736" i="6"/>
  <c r="X1737" i="6"/>
  <c r="X1738" i="6"/>
  <c r="X1739" i="6"/>
  <c r="X1740" i="6"/>
  <c r="X1741" i="6"/>
  <c r="X1742" i="6"/>
  <c r="X1743" i="6"/>
  <c r="X1744" i="6"/>
  <c r="X1745" i="6"/>
  <c r="X1746" i="6"/>
  <c r="X1747" i="6"/>
  <c r="X1748" i="6"/>
  <c r="X1749" i="6"/>
  <c r="X1750" i="6"/>
  <c r="X1751" i="6"/>
  <c r="X1752" i="6"/>
  <c r="X1753" i="6"/>
  <c r="X1754" i="6"/>
  <c r="X1755" i="6"/>
  <c r="X1756" i="6"/>
  <c r="X1757" i="6"/>
  <c r="X1758" i="6"/>
  <c r="X1759" i="6"/>
  <c r="X1760" i="6"/>
  <c r="X1761" i="6"/>
  <c r="X1762" i="6"/>
  <c r="X1763" i="6"/>
  <c r="X1764" i="6"/>
  <c r="X1765" i="6"/>
  <c r="X1766" i="6"/>
  <c r="X1767" i="6"/>
  <c r="X1768" i="6"/>
  <c r="X1769" i="6"/>
  <c r="X1770" i="6"/>
  <c r="X1771" i="6"/>
  <c r="X1772" i="6"/>
  <c r="X1773" i="6"/>
  <c r="X1774" i="6"/>
  <c r="X1775" i="6"/>
  <c r="X1776" i="6"/>
  <c r="X1777" i="6"/>
  <c r="X1778" i="6"/>
  <c r="X1779" i="6"/>
  <c r="X1780" i="6"/>
  <c r="X1781" i="6"/>
  <c r="X1782" i="6"/>
  <c r="X1783" i="6"/>
  <c r="X1784" i="6"/>
  <c r="X1785" i="6"/>
  <c r="X1786" i="6"/>
  <c r="X1787" i="6"/>
  <c r="X1788" i="6"/>
  <c r="X1789" i="6"/>
  <c r="X1790" i="6"/>
  <c r="X1791" i="6"/>
  <c r="X1792" i="6"/>
  <c r="X1793" i="6"/>
  <c r="X1794" i="6"/>
  <c r="X1795" i="6"/>
  <c r="X1796" i="6"/>
  <c r="X1797" i="6"/>
  <c r="X1798" i="6"/>
  <c r="X1799" i="6"/>
  <c r="X1800" i="6"/>
  <c r="X1801" i="6"/>
  <c r="X1802" i="6"/>
  <c r="X1803" i="6"/>
  <c r="X1804" i="6"/>
  <c r="X1805" i="6"/>
  <c r="X1806" i="6"/>
  <c r="X1807" i="6"/>
  <c r="X1808" i="6"/>
  <c r="X1809" i="6"/>
  <c r="X1810" i="6"/>
  <c r="X1811" i="6"/>
  <c r="X1812" i="6"/>
  <c r="X1813" i="6"/>
  <c r="X1814" i="6"/>
  <c r="X1815" i="6"/>
  <c r="X1816" i="6"/>
  <c r="X1817" i="6"/>
  <c r="X1818" i="6"/>
  <c r="X1819" i="6"/>
  <c r="X1820" i="6"/>
  <c r="X1821" i="6"/>
  <c r="X1822" i="6"/>
  <c r="X1823" i="6"/>
  <c r="X1824" i="6"/>
  <c r="X1825" i="6"/>
  <c r="X1826" i="6"/>
  <c r="X1827" i="6"/>
  <c r="X1828" i="6"/>
  <c r="X1829" i="6"/>
  <c r="X1830" i="6"/>
  <c r="X1831" i="6"/>
  <c r="X1832" i="6"/>
  <c r="X1833" i="6"/>
  <c r="X1834" i="6"/>
  <c r="X1835" i="6"/>
  <c r="X1836" i="6"/>
  <c r="X1837" i="6"/>
  <c r="X1838" i="6"/>
  <c r="X1839" i="6"/>
  <c r="X1840" i="6"/>
  <c r="X1841" i="6"/>
  <c r="X1842" i="6"/>
  <c r="X1843" i="6"/>
  <c r="X1844" i="6"/>
  <c r="X1845" i="6"/>
  <c r="X1846" i="6"/>
  <c r="X1847" i="6"/>
  <c r="X1848" i="6"/>
  <c r="X1849" i="6"/>
  <c r="X1850" i="6"/>
  <c r="X1851" i="6"/>
  <c r="X1852" i="6"/>
  <c r="X1853" i="6"/>
  <c r="X1854" i="6"/>
  <c r="X1855" i="6"/>
  <c r="X1856" i="6"/>
  <c r="X1857" i="6"/>
  <c r="X1858" i="6"/>
  <c r="X1859" i="6"/>
  <c r="X1860" i="6"/>
  <c r="X1861" i="6"/>
  <c r="X1862" i="6"/>
  <c r="X1863" i="6"/>
  <c r="X1864" i="6"/>
  <c r="X1865" i="6"/>
  <c r="X1866" i="6"/>
  <c r="X1867" i="6"/>
  <c r="X1868" i="6"/>
  <c r="X1869" i="6"/>
  <c r="X1870" i="6"/>
  <c r="X1871" i="6"/>
  <c r="X1872" i="6"/>
  <c r="X1873" i="6"/>
  <c r="X1874" i="6"/>
  <c r="X1875" i="6"/>
  <c r="X1876" i="6"/>
  <c r="X1877" i="6"/>
  <c r="X1878" i="6"/>
  <c r="X1879" i="6"/>
  <c r="X1880" i="6"/>
  <c r="X1881" i="6"/>
  <c r="X1882" i="6"/>
  <c r="X1883" i="6"/>
  <c r="X1884" i="6"/>
  <c r="X1885" i="6"/>
  <c r="X1886" i="6"/>
  <c r="X1887" i="6"/>
  <c r="X1888" i="6"/>
  <c r="X1889" i="6"/>
  <c r="X1890" i="6"/>
  <c r="X1891" i="6"/>
  <c r="X1892" i="6"/>
  <c r="X1893" i="6"/>
  <c r="X1894" i="6"/>
  <c r="X1895" i="6"/>
  <c r="X1896" i="6"/>
  <c r="X1897" i="6"/>
  <c r="X1898" i="6"/>
  <c r="X1899" i="6"/>
  <c r="X1900" i="6"/>
  <c r="X1901" i="6"/>
  <c r="X1902" i="6"/>
  <c r="X1903" i="6"/>
  <c r="X1904" i="6"/>
  <c r="X1905" i="6"/>
  <c r="X1906" i="6"/>
  <c r="X1907" i="6"/>
  <c r="X1908" i="6"/>
  <c r="X1909" i="6"/>
  <c r="X1910" i="6"/>
  <c r="X1911" i="6"/>
  <c r="X1912" i="6"/>
  <c r="X1913" i="6"/>
  <c r="X1914" i="6"/>
  <c r="X1915" i="6"/>
  <c r="X1916" i="6"/>
  <c r="X1917" i="6"/>
  <c r="X1918" i="6"/>
  <c r="X1919" i="6"/>
  <c r="X1920" i="6"/>
  <c r="X1921" i="6"/>
  <c r="X1922" i="6"/>
  <c r="X1923" i="6"/>
  <c r="X1924" i="6"/>
  <c r="X1925" i="6"/>
  <c r="X1926" i="6"/>
  <c r="X1927" i="6"/>
  <c r="X1928" i="6"/>
  <c r="X1929" i="6"/>
  <c r="X1930" i="6"/>
  <c r="X1931" i="6"/>
  <c r="X1932" i="6"/>
  <c r="X1933" i="6"/>
  <c r="X1934" i="6"/>
  <c r="X1935" i="6"/>
  <c r="X1936" i="6"/>
  <c r="X1937" i="6"/>
  <c r="X1938" i="6"/>
  <c r="X1939" i="6"/>
  <c r="X1940" i="6"/>
  <c r="X1941" i="6"/>
  <c r="X1942" i="6"/>
  <c r="X1943" i="6"/>
  <c r="X1944" i="6"/>
  <c r="X1945" i="6"/>
  <c r="X1946" i="6"/>
  <c r="X1947" i="6"/>
  <c r="X1948" i="6"/>
  <c r="X1949" i="6"/>
  <c r="X1950" i="6"/>
  <c r="X1951" i="6"/>
  <c r="X1952" i="6"/>
  <c r="X1953" i="6"/>
  <c r="X1954" i="6"/>
  <c r="X1955" i="6"/>
  <c r="X1956" i="6"/>
  <c r="X1957" i="6"/>
  <c r="X1958" i="6"/>
  <c r="X1959" i="6"/>
  <c r="X1960" i="6"/>
  <c r="X1961" i="6"/>
  <c r="X1962" i="6"/>
  <c r="X1963" i="6"/>
  <c r="X1964" i="6"/>
  <c r="X1965" i="6"/>
  <c r="X1966" i="6"/>
  <c r="X1967" i="6"/>
  <c r="X1968" i="6"/>
  <c r="X1969" i="6"/>
  <c r="X1970" i="6"/>
  <c r="X1971" i="6"/>
  <c r="X1972" i="6"/>
  <c r="X1973" i="6"/>
  <c r="X1974" i="6"/>
  <c r="X1975" i="6"/>
  <c r="X1976" i="6"/>
  <c r="X1977" i="6"/>
  <c r="X1978" i="6"/>
  <c r="X1979" i="6"/>
  <c r="X1980" i="6"/>
  <c r="X1981" i="6"/>
  <c r="X1982" i="6"/>
  <c r="X1983" i="6"/>
  <c r="X1984" i="6"/>
  <c r="X1985" i="6"/>
  <c r="X1986" i="6"/>
  <c r="X1987" i="6"/>
  <c r="X1988" i="6"/>
  <c r="X1989" i="6"/>
  <c r="X1990" i="6"/>
  <c r="X1991" i="6"/>
  <c r="X1992" i="6"/>
  <c r="X1993" i="6"/>
  <c r="X1994" i="6"/>
  <c r="X1995" i="6"/>
  <c r="X1996" i="6"/>
  <c r="X1997" i="6"/>
  <c r="X1998" i="6"/>
  <c r="X1999" i="6"/>
  <c r="X2000" i="6"/>
  <c r="X2001" i="6"/>
  <c r="X2002" i="6"/>
  <c r="X2003" i="6"/>
  <c r="X2004" i="6"/>
  <c r="X2005" i="6"/>
  <c r="X2006" i="6"/>
  <c r="X2007" i="6"/>
  <c r="X2008" i="6"/>
  <c r="X2009" i="6"/>
  <c r="X2010" i="6"/>
  <c r="X2011" i="6"/>
  <c r="X2012" i="6"/>
  <c r="X2013" i="6"/>
  <c r="X2014" i="6"/>
  <c r="X2015" i="6"/>
  <c r="X2016" i="6"/>
  <c r="X2017" i="6"/>
  <c r="X2018" i="6"/>
  <c r="X2019" i="6"/>
  <c r="X2020" i="6"/>
  <c r="X2021" i="6"/>
  <c r="X2022" i="6"/>
  <c r="X2023" i="6"/>
  <c r="X2024" i="6"/>
  <c r="X2025" i="6"/>
  <c r="X2026" i="6"/>
  <c r="X2027" i="6"/>
  <c r="X2028" i="6"/>
  <c r="X2029" i="6"/>
  <c r="X2030" i="6"/>
  <c r="X2031" i="6"/>
  <c r="X2032" i="6"/>
  <c r="X2033" i="6"/>
  <c r="X2034" i="6"/>
  <c r="X2035" i="6"/>
  <c r="X2036" i="6"/>
  <c r="X2037" i="6"/>
  <c r="X2038" i="6"/>
  <c r="X2039" i="6"/>
  <c r="X2040" i="6"/>
  <c r="X2041" i="6"/>
  <c r="X2042" i="6"/>
  <c r="X2043" i="6"/>
  <c r="X2044" i="6"/>
  <c r="X2045" i="6"/>
  <c r="X2046" i="6"/>
  <c r="X2047" i="6"/>
  <c r="X2048" i="6"/>
  <c r="X2049" i="6"/>
  <c r="X2050" i="6"/>
  <c r="X2051" i="6"/>
  <c r="X2052" i="6"/>
  <c r="X2053" i="6"/>
  <c r="X2054" i="6"/>
  <c r="X2055" i="6"/>
  <c r="X2056" i="6"/>
  <c r="X2057" i="6"/>
  <c r="X2058" i="6"/>
  <c r="X2059" i="6"/>
  <c r="X2060" i="6"/>
  <c r="X2061" i="6"/>
  <c r="X2062" i="6"/>
  <c r="X2063" i="6"/>
  <c r="X2064" i="6"/>
  <c r="X2065" i="6"/>
  <c r="X2066" i="6"/>
  <c r="X2067" i="6"/>
  <c r="X2068" i="6"/>
  <c r="X2069" i="6"/>
  <c r="X2070" i="6"/>
  <c r="X2071" i="6"/>
  <c r="X2072" i="6"/>
  <c r="X2073" i="6"/>
  <c r="X2074" i="6"/>
  <c r="X2075" i="6"/>
  <c r="X2076" i="6"/>
  <c r="X2077" i="6"/>
  <c r="X2078" i="6"/>
  <c r="X2079" i="6"/>
  <c r="X2080" i="6"/>
  <c r="X2081" i="6"/>
  <c r="X2082" i="6"/>
  <c r="X2083" i="6"/>
  <c r="X2084" i="6"/>
  <c r="X2085" i="6"/>
  <c r="X2086" i="6"/>
  <c r="X2087" i="6"/>
  <c r="X2088" i="6"/>
  <c r="X2089" i="6"/>
  <c r="X2090" i="6"/>
  <c r="X2091" i="6"/>
  <c r="X2092" i="6"/>
  <c r="X2093" i="6"/>
  <c r="X2094" i="6"/>
  <c r="X2095" i="6"/>
  <c r="X2096" i="6"/>
  <c r="X2097" i="6"/>
  <c r="X2098" i="6"/>
  <c r="X2099" i="6"/>
  <c r="X2100" i="6"/>
  <c r="X2101" i="6"/>
  <c r="X2102" i="6"/>
  <c r="X2103" i="6"/>
  <c r="X2104" i="6"/>
  <c r="X2105" i="6"/>
  <c r="X2106" i="6"/>
  <c r="X2107" i="6"/>
  <c r="X2108" i="6"/>
  <c r="X2109" i="6"/>
  <c r="X2110" i="6"/>
  <c r="X2111" i="6"/>
  <c r="X2112" i="6"/>
  <c r="X2113" i="6"/>
  <c r="X2114" i="6"/>
  <c r="X2115" i="6"/>
  <c r="X2116" i="6"/>
  <c r="X2117" i="6"/>
  <c r="X2118" i="6"/>
  <c r="X2119" i="6"/>
  <c r="X2120" i="6"/>
  <c r="X2121" i="6"/>
  <c r="X2122" i="6"/>
  <c r="X2123" i="6"/>
  <c r="X2124" i="6"/>
  <c r="X2125" i="6"/>
  <c r="X2126" i="6"/>
  <c r="X2127" i="6"/>
  <c r="X2128" i="6"/>
  <c r="X2129" i="6"/>
  <c r="X2130" i="6"/>
  <c r="X2131" i="6"/>
  <c r="X2132" i="6"/>
  <c r="X2133" i="6"/>
  <c r="X2134" i="6"/>
  <c r="X2135" i="6"/>
  <c r="X2136" i="6"/>
  <c r="X2137" i="6"/>
  <c r="X2138" i="6"/>
  <c r="X2139" i="6"/>
  <c r="X2140" i="6"/>
  <c r="X2141" i="6"/>
  <c r="X2142" i="6"/>
  <c r="X2143" i="6"/>
  <c r="X2144" i="6"/>
  <c r="X2145" i="6"/>
  <c r="X2146" i="6"/>
  <c r="X2147" i="6"/>
  <c r="X2148" i="6"/>
  <c r="X2149" i="6"/>
  <c r="X2150" i="6"/>
  <c r="X2151" i="6"/>
  <c r="X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2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R1598" i="6"/>
  <c r="R1599" i="6"/>
  <c r="R1600" i="6"/>
  <c r="R1601" i="6"/>
  <c r="R1602" i="6"/>
  <c r="R1603" i="6"/>
  <c r="R1604" i="6"/>
  <c r="R1605" i="6"/>
  <c r="R1606" i="6"/>
  <c r="R1607" i="6"/>
  <c r="R1608" i="6"/>
  <c r="R1609" i="6"/>
  <c r="R1610" i="6"/>
  <c r="R1611" i="6"/>
  <c r="R1612" i="6"/>
  <c r="R1613" i="6"/>
  <c r="R1614" i="6"/>
  <c r="R1615" i="6"/>
  <c r="R1616" i="6"/>
  <c r="R1617" i="6"/>
  <c r="R1618" i="6"/>
  <c r="R1619" i="6"/>
  <c r="R1620" i="6"/>
  <c r="R1621" i="6"/>
  <c r="R1622" i="6"/>
  <c r="R1623" i="6"/>
  <c r="R1624" i="6"/>
  <c r="R1625" i="6"/>
  <c r="R1626" i="6"/>
  <c r="R1627" i="6"/>
  <c r="R1628" i="6"/>
  <c r="R1629" i="6"/>
  <c r="R1630" i="6"/>
  <c r="R1631" i="6"/>
  <c r="R1632" i="6"/>
  <c r="R1633" i="6"/>
  <c r="R1634" i="6"/>
  <c r="R1635" i="6"/>
  <c r="R1636" i="6"/>
  <c r="R1637" i="6"/>
  <c r="R1638" i="6"/>
  <c r="R1639" i="6"/>
  <c r="R1640" i="6"/>
  <c r="R1641" i="6"/>
  <c r="R1642" i="6"/>
  <c r="R1643" i="6"/>
  <c r="R1644" i="6"/>
  <c r="R1645" i="6"/>
  <c r="R1646" i="6"/>
  <c r="R1647" i="6"/>
  <c r="R1648" i="6"/>
  <c r="R1649" i="6"/>
  <c r="R1650" i="6"/>
  <c r="R1651" i="6"/>
  <c r="R1652" i="6"/>
  <c r="R1653" i="6"/>
  <c r="R1654" i="6"/>
  <c r="R1655" i="6"/>
  <c r="R1656" i="6"/>
  <c r="R1657" i="6"/>
  <c r="R1658" i="6"/>
  <c r="R1659" i="6"/>
  <c r="R1660" i="6"/>
  <c r="R1661" i="6"/>
  <c r="R1662" i="6"/>
  <c r="R1663" i="6"/>
  <c r="R1664" i="6"/>
  <c r="R1665" i="6"/>
  <c r="R1666" i="6"/>
  <c r="R1667" i="6"/>
  <c r="R1668" i="6"/>
  <c r="R1669" i="6"/>
  <c r="R1670" i="6"/>
  <c r="R1671" i="6"/>
  <c r="R1672" i="6"/>
  <c r="R1673" i="6"/>
  <c r="R1674" i="6"/>
  <c r="R1675" i="6"/>
  <c r="R1676" i="6"/>
  <c r="R1677" i="6"/>
  <c r="R1678" i="6"/>
  <c r="R1679" i="6"/>
  <c r="R1680" i="6"/>
  <c r="R1681" i="6"/>
  <c r="R1682" i="6"/>
  <c r="R1683" i="6"/>
  <c r="R1684" i="6"/>
  <c r="R1685" i="6"/>
  <c r="R1686" i="6"/>
  <c r="R1687" i="6"/>
  <c r="R1688" i="6"/>
  <c r="R1689" i="6"/>
  <c r="R1690" i="6"/>
  <c r="R1691" i="6"/>
  <c r="R1692" i="6"/>
  <c r="R1693" i="6"/>
  <c r="R1694" i="6"/>
  <c r="R1695" i="6"/>
  <c r="R1696" i="6"/>
  <c r="R1697" i="6"/>
  <c r="R1698" i="6"/>
  <c r="R1699" i="6"/>
  <c r="R1700" i="6"/>
  <c r="R1701" i="6"/>
  <c r="R1702" i="6"/>
  <c r="R1703" i="6"/>
  <c r="R1704" i="6"/>
  <c r="R1705" i="6"/>
  <c r="R1706" i="6"/>
  <c r="R1707" i="6"/>
  <c r="R1708" i="6"/>
  <c r="R1709" i="6"/>
  <c r="R1710" i="6"/>
  <c r="R1711" i="6"/>
  <c r="R1712" i="6"/>
  <c r="R1713" i="6"/>
  <c r="R1714" i="6"/>
  <c r="R1715" i="6"/>
  <c r="R1716" i="6"/>
  <c r="R1717" i="6"/>
  <c r="R1718" i="6"/>
  <c r="R1719" i="6"/>
  <c r="R1720" i="6"/>
  <c r="R1721" i="6"/>
  <c r="R1722" i="6"/>
  <c r="R1723" i="6"/>
  <c r="R1724" i="6"/>
  <c r="R1725" i="6"/>
  <c r="R1726" i="6"/>
  <c r="R1727" i="6"/>
  <c r="R1728" i="6"/>
  <c r="R1729" i="6"/>
  <c r="R1730" i="6"/>
  <c r="R1731" i="6"/>
  <c r="R1732" i="6"/>
  <c r="R1733" i="6"/>
  <c r="R1734" i="6"/>
  <c r="R1735" i="6"/>
  <c r="R1736" i="6"/>
  <c r="R1737" i="6"/>
  <c r="R1738" i="6"/>
  <c r="R1739" i="6"/>
  <c r="R1740" i="6"/>
  <c r="R1741" i="6"/>
  <c r="R1742" i="6"/>
  <c r="R1743" i="6"/>
  <c r="R1744" i="6"/>
  <c r="R1745" i="6"/>
  <c r="R1746" i="6"/>
  <c r="R1747" i="6"/>
  <c r="R1748" i="6"/>
  <c r="R1749" i="6"/>
  <c r="R1750" i="6"/>
  <c r="R1751" i="6"/>
  <c r="R1752" i="6"/>
  <c r="R1753" i="6"/>
  <c r="R1754" i="6"/>
  <c r="R1755" i="6"/>
  <c r="R1756" i="6"/>
  <c r="R1757" i="6"/>
  <c r="R1758" i="6"/>
  <c r="R1759" i="6"/>
  <c r="R1760" i="6"/>
  <c r="R1761" i="6"/>
  <c r="R1762" i="6"/>
  <c r="R1763" i="6"/>
  <c r="R1764" i="6"/>
  <c r="R1765" i="6"/>
  <c r="R1766" i="6"/>
  <c r="R1767" i="6"/>
  <c r="R1768" i="6"/>
  <c r="R1769" i="6"/>
  <c r="R1770" i="6"/>
  <c r="R1771" i="6"/>
  <c r="R1772" i="6"/>
  <c r="R1773" i="6"/>
  <c r="R1774" i="6"/>
  <c r="R1775" i="6"/>
  <c r="R1776" i="6"/>
  <c r="R1777" i="6"/>
  <c r="R1778" i="6"/>
  <c r="R1779" i="6"/>
  <c r="R1780" i="6"/>
  <c r="R1781" i="6"/>
  <c r="R1782" i="6"/>
  <c r="R1783" i="6"/>
  <c r="R1784" i="6"/>
  <c r="R1785" i="6"/>
  <c r="R1786" i="6"/>
  <c r="R1787" i="6"/>
  <c r="R1788" i="6"/>
  <c r="R1789" i="6"/>
  <c r="R1790" i="6"/>
  <c r="R1791" i="6"/>
  <c r="R1792" i="6"/>
  <c r="R1793" i="6"/>
  <c r="R1794" i="6"/>
  <c r="R1795" i="6"/>
  <c r="R1796" i="6"/>
  <c r="R1797" i="6"/>
  <c r="R1798" i="6"/>
  <c r="R1799" i="6"/>
  <c r="R1800" i="6"/>
  <c r="R1801" i="6"/>
  <c r="R1802" i="6"/>
  <c r="R1803" i="6"/>
  <c r="R1804" i="6"/>
  <c r="R1805" i="6"/>
  <c r="R1806" i="6"/>
  <c r="R1807" i="6"/>
  <c r="R1808" i="6"/>
  <c r="R1809" i="6"/>
  <c r="R1810" i="6"/>
  <c r="R1811" i="6"/>
  <c r="R1812" i="6"/>
  <c r="R1813" i="6"/>
  <c r="R1814" i="6"/>
  <c r="R1815" i="6"/>
  <c r="R1816" i="6"/>
  <c r="R1817" i="6"/>
  <c r="R1818" i="6"/>
  <c r="R1819" i="6"/>
  <c r="R1820" i="6"/>
  <c r="R1821" i="6"/>
  <c r="R1822" i="6"/>
  <c r="R1823" i="6"/>
  <c r="R1824" i="6"/>
  <c r="R1825" i="6"/>
  <c r="R1826" i="6"/>
  <c r="R1827" i="6"/>
  <c r="R1828" i="6"/>
  <c r="R1829" i="6"/>
  <c r="R1830" i="6"/>
  <c r="R1831" i="6"/>
  <c r="R1832" i="6"/>
  <c r="R1833" i="6"/>
  <c r="R1834" i="6"/>
  <c r="R1835" i="6"/>
  <c r="R1836" i="6"/>
  <c r="R1837" i="6"/>
  <c r="R1838" i="6"/>
  <c r="R1839" i="6"/>
  <c r="R1840" i="6"/>
  <c r="R1841" i="6"/>
  <c r="R1842" i="6"/>
  <c r="R1843" i="6"/>
  <c r="R1844" i="6"/>
  <c r="R1845" i="6"/>
  <c r="R1846" i="6"/>
  <c r="R1847" i="6"/>
  <c r="R1848" i="6"/>
  <c r="R1849" i="6"/>
  <c r="R1850" i="6"/>
  <c r="R1851" i="6"/>
  <c r="R1852" i="6"/>
  <c r="R1853" i="6"/>
  <c r="R1854" i="6"/>
  <c r="R1855" i="6"/>
  <c r="R1856" i="6"/>
  <c r="R1857" i="6"/>
  <c r="R1858" i="6"/>
  <c r="R1859" i="6"/>
  <c r="R1860" i="6"/>
  <c r="R1861" i="6"/>
  <c r="R1862" i="6"/>
  <c r="R1863" i="6"/>
  <c r="R1864" i="6"/>
  <c r="R1865" i="6"/>
  <c r="R1866" i="6"/>
  <c r="R1867" i="6"/>
  <c r="R1868" i="6"/>
  <c r="R1869" i="6"/>
  <c r="R1870" i="6"/>
  <c r="R1871" i="6"/>
  <c r="R1872" i="6"/>
  <c r="R1873" i="6"/>
  <c r="R1874" i="6"/>
  <c r="R1875" i="6"/>
  <c r="R1876" i="6"/>
  <c r="R1877" i="6"/>
  <c r="R1878" i="6"/>
  <c r="R1879" i="6"/>
  <c r="R1880" i="6"/>
  <c r="R1881" i="6"/>
  <c r="R1882" i="6"/>
  <c r="R1883" i="6"/>
  <c r="R1884" i="6"/>
  <c r="R1885" i="6"/>
  <c r="R1886" i="6"/>
  <c r="R1887" i="6"/>
  <c r="R1888" i="6"/>
  <c r="R1889" i="6"/>
  <c r="R1890" i="6"/>
  <c r="R1891" i="6"/>
  <c r="R1892" i="6"/>
  <c r="R1893" i="6"/>
  <c r="R1894" i="6"/>
  <c r="R1895" i="6"/>
  <c r="R1896" i="6"/>
  <c r="R1897" i="6"/>
  <c r="R1898" i="6"/>
  <c r="R1899" i="6"/>
  <c r="R1900" i="6"/>
  <c r="R1901" i="6"/>
  <c r="R1902" i="6"/>
  <c r="R1903" i="6"/>
  <c r="R1904" i="6"/>
  <c r="R1905" i="6"/>
  <c r="R1906" i="6"/>
  <c r="R1907" i="6"/>
  <c r="R1908" i="6"/>
  <c r="R1909" i="6"/>
  <c r="R1910" i="6"/>
  <c r="R1911" i="6"/>
  <c r="R1912" i="6"/>
  <c r="R1913" i="6"/>
  <c r="R1914" i="6"/>
  <c r="R1915" i="6"/>
  <c r="R1916" i="6"/>
  <c r="R1917" i="6"/>
  <c r="R1918" i="6"/>
  <c r="R1919" i="6"/>
  <c r="R1920" i="6"/>
  <c r="R1921" i="6"/>
  <c r="R1922" i="6"/>
  <c r="R1923" i="6"/>
  <c r="R1924" i="6"/>
  <c r="R1925" i="6"/>
  <c r="R1926" i="6"/>
  <c r="R1927" i="6"/>
  <c r="R1928" i="6"/>
  <c r="R1929" i="6"/>
  <c r="R1930" i="6"/>
  <c r="R1931" i="6"/>
  <c r="R1932" i="6"/>
  <c r="R1933" i="6"/>
  <c r="R1934" i="6"/>
  <c r="R1935" i="6"/>
  <c r="R1936" i="6"/>
  <c r="R1937" i="6"/>
  <c r="R1938" i="6"/>
  <c r="R1939" i="6"/>
  <c r="R1940" i="6"/>
  <c r="R1941" i="6"/>
  <c r="R1942" i="6"/>
  <c r="R1943" i="6"/>
  <c r="R1944" i="6"/>
  <c r="R1945" i="6"/>
  <c r="R1946" i="6"/>
  <c r="R1947" i="6"/>
  <c r="R1948" i="6"/>
  <c r="R1949" i="6"/>
  <c r="R1950" i="6"/>
  <c r="R1951" i="6"/>
  <c r="R1952" i="6"/>
  <c r="R1953" i="6"/>
  <c r="R1954" i="6"/>
  <c r="R1955" i="6"/>
  <c r="R1956" i="6"/>
  <c r="R1957" i="6"/>
  <c r="R1958" i="6"/>
  <c r="R1959" i="6"/>
  <c r="R1960" i="6"/>
  <c r="R1961" i="6"/>
  <c r="R1962" i="6"/>
  <c r="R1963" i="6"/>
  <c r="R1964" i="6"/>
  <c r="R1965" i="6"/>
  <c r="R1966" i="6"/>
  <c r="R1967" i="6"/>
  <c r="R1968" i="6"/>
  <c r="R1969" i="6"/>
  <c r="R1970" i="6"/>
  <c r="R1971" i="6"/>
  <c r="R1972" i="6"/>
  <c r="R1973" i="6"/>
  <c r="R1974" i="6"/>
  <c r="R1975" i="6"/>
  <c r="R1976" i="6"/>
  <c r="R1977" i="6"/>
  <c r="R1978" i="6"/>
  <c r="R1979" i="6"/>
  <c r="R1980" i="6"/>
  <c r="R1981" i="6"/>
  <c r="R1982" i="6"/>
  <c r="R1983" i="6"/>
  <c r="R1984" i="6"/>
  <c r="R1985" i="6"/>
  <c r="R1986" i="6"/>
  <c r="R1987" i="6"/>
  <c r="R1988" i="6"/>
  <c r="R1989" i="6"/>
  <c r="R1990" i="6"/>
  <c r="R1991" i="6"/>
  <c r="R1992" i="6"/>
  <c r="R1993" i="6"/>
  <c r="R1994" i="6"/>
  <c r="R1995" i="6"/>
  <c r="R1996" i="6"/>
  <c r="R1997" i="6"/>
  <c r="R1998" i="6"/>
  <c r="R1999" i="6"/>
  <c r="R2000" i="6"/>
  <c r="R2001" i="6"/>
  <c r="R2002" i="6"/>
  <c r="R2003" i="6"/>
  <c r="R2004" i="6"/>
  <c r="R2005" i="6"/>
  <c r="R2006" i="6"/>
  <c r="R2007" i="6"/>
  <c r="R2008" i="6"/>
  <c r="R2009" i="6"/>
  <c r="R2010" i="6"/>
  <c r="R2011" i="6"/>
  <c r="R2012" i="6"/>
  <c r="R2013" i="6"/>
  <c r="R2014" i="6"/>
  <c r="R2015" i="6"/>
  <c r="R2016" i="6"/>
  <c r="R2017" i="6"/>
  <c r="R2018" i="6"/>
  <c r="R2019" i="6"/>
  <c r="R2020" i="6"/>
  <c r="R2021" i="6"/>
  <c r="R2022" i="6"/>
  <c r="R2023" i="6"/>
  <c r="R2024" i="6"/>
  <c r="R2025" i="6"/>
  <c r="R2026" i="6"/>
  <c r="R2027" i="6"/>
  <c r="R2028" i="6"/>
  <c r="R2029" i="6"/>
  <c r="R2030" i="6"/>
  <c r="R2031" i="6"/>
  <c r="R2032" i="6"/>
  <c r="R2033" i="6"/>
  <c r="R2034" i="6"/>
  <c r="R2035" i="6"/>
  <c r="R2036" i="6"/>
  <c r="R2037" i="6"/>
  <c r="R2038" i="6"/>
  <c r="R2039" i="6"/>
  <c r="R2040" i="6"/>
  <c r="R2041" i="6"/>
  <c r="R2042" i="6"/>
  <c r="R2043" i="6"/>
  <c r="R2044" i="6"/>
  <c r="R2045" i="6"/>
  <c r="R2046" i="6"/>
  <c r="R2047" i="6"/>
  <c r="R2048" i="6"/>
  <c r="R2049" i="6"/>
  <c r="R2050" i="6"/>
  <c r="R2051" i="6"/>
  <c r="R2052" i="6"/>
  <c r="R2053" i="6"/>
  <c r="R2054" i="6"/>
  <c r="R2055" i="6"/>
  <c r="R2056" i="6"/>
  <c r="R2057" i="6"/>
  <c r="R2058" i="6"/>
  <c r="R2059" i="6"/>
  <c r="R2060" i="6"/>
  <c r="R2061" i="6"/>
  <c r="R2062" i="6"/>
  <c r="R2063" i="6"/>
  <c r="R2064" i="6"/>
  <c r="R2065" i="6"/>
  <c r="R2066" i="6"/>
  <c r="R2067" i="6"/>
  <c r="R2068" i="6"/>
  <c r="R2069" i="6"/>
  <c r="R2070" i="6"/>
  <c r="R2071" i="6"/>
  <c r="R2072" i="6"/>
  <c r="R2073" i="6"/>
  <c r="R2074" i="6"/>
  <c r="R2075" i="6"/>
  <c r="R2076" i="6"/>
  <c r="R2077" i="6"/>
  <c r="R2078" i="6"/>
  <c r="R2079" i="6"/>
  <c r="R2080" i="6"/>
  <c r="R2081" i="6"/>
  <c r="R2082" i="6"/>
  <c r="R2083" i="6"/>
  <c r="R2084" i="6"/>
  <c r="R2085" i="6"/>
  <c r="R2086" i="6"/>
  <c r="R2087" i="6"/>
  <c r="R2088" i="6"/>
  <c r="R2089" i="6"/>
  <c r="R2090" i="6"/>
  <c r="R2091" i="6"/>
  <c r="R2092" i="6"/>
  <c r="R2093" i="6"/>
  <c r="R2094" i="6"/>
  <c r="R2095" i="6"/>
  <c r="R2096" i="6"/>
  <c r="R2097" i="6"/>
  <c r="R2098" i="6"/>
  <c r="R2099" i="6"/>
  <c r="R2100" i="6"/>
  <c r="R2101" i="6"/>
  <c r="R2102" i="6"/>
  <c r="R2103" i="6"/>
  <c r="R2104" i="6"/>
  <c r="R2105" i="6"/>
  <c r="R2106" i="6"/>
  <c r="R2107" i="6"/>
  <c r="R2108" i="6"/>
  <c r="R2109" i="6"/>
  <c r="R2110" i="6"/>
  <c r="R2111" i="6"/>
  <c r="R2112" i="6"/>
  <c r="R2113" i="6"/>
  <c r="R2114" i="6"/>
  <c r="R2115" i="6"/>
  <c r="R2116" i="6"/>
  <c r="R2117" i="6"/>
  <c r="R2118" i="6"/>
  <c r="R2119" i="6"/>
  <c r="R2120" i="6"/>
  <c r="R2121" i="6"/>
  <c r="R2122" i="6"/>
  <c r="R2123" i="6"/>
  <c r="R2124" i="6"/>
  <c r="R2125" i="6"/>
  <c r="R2126" i="6"/>
  <c r="R2127" i="6"/>
  <c r="R2128" i="6"/>
  <c r="R2129" i="6"/>
  <c r="R2130" i="6"/>
  <c r="R2131" i="6"/>
  <c r="R2132" i="6"/>
  <c r="R2133" i="6"/>
  <c r="R2134" i="6"/>
  <c r="R2135" i="6"/>
  <c r="R2136" i="6"/>
  <c r="R2137" i="6"/>
  <c r="R2138" i="6"/>
  <c r="R2139" i="6"/>
  <c r="R2140" i="6"/>
  <c r="R2141" i="6"/>
  <c r="R2142" i="6"/>
  <c r="R2143" i="6"/>
  <c r="R2144" i="6"/>
  <c r="R2145" i="6"/>
  <c r="R2146" i="6"/>
  <c r="R2147" i="6"/>
  <c r="R2148" i="6"/>
  <c r="R2149" i="6"/>
  <c r="R2150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2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169" i="6"/>
  <c r="O170" i="6"/>
  <c r="O171" i="6"/>
  <c r="O172" i="6"/>
  <c r="O173" i="6"/>
  <c r="O174" i="6"/>
  <c r="O175" i="6"/>
  <c r="O176" i="6"/>
  <c r="O177" i="6"/>
  <c r="O178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" i="6"/>
  <c r="G405" i="6" a="1"/>
  <c r="G405" i="6"/>
  <c r="G406" i="6" a="1"/>
  <c r="G406" i="6"/>
  <c r="G407" i="6" a="1"/>
  <c r="G407" i="6"/>
  <c r="G408" i="6" a="1"/>
  <c r="G408" i="6"/>
  <c r="G409" i="6" a="1"/>
  <c r="G409" i="6"/>
  <c r="G410" i="6" a="1"/>
  <c r="G410" i="6"/>
  <c r="G411" i="6" a="1"/>
  <c r="G411" i="6"/>
  <c r="G412" i="6" a="1"/>
  <c r="G412" i="6"/>
  <c r="G413" i="6" a="1"/>
  <c r="G413" i="6"/>
  <c r="G414" i="6" a="1"/>
  <c r="G414" i="6"/>
  <c r="G415" i="6" a="1"/>
  <c r="G415" i="6"/>
  <c r="G416" i="6" a="1"/>
  <c r="G416" i="6"/>
  <c r="G417" i="6" a="1"/>
  <c r="G417" i="6"/>
  <c r="G418" i="6" a="1"/>
  <c r="G418" i="6"/>
  <c r="G419" i="6" a="1"/>
  <c r="G419" i="6"/>
  <c r="G420" i="6" a="1"/>
  <c r="G420" i="6"/>
  <c r="G421" i="6" a="1"/>
  <c r="G421" i="6"/>
  <c r="G422" i="6" a="1"/>
  <c r="G422" i="6"/>
  <c r="G423" i="6" a="1"/>
  <c r="G423" i="6"/>
  <c r="G424" i="6" a="1"/>
  <c r="G424" i="6"/>
  <c r="G425" i="6" a="1"/>
  <c r="G425" i="6"/>
  <c r="G426" i="6" a="1"/>
  <c r="G426" i="6"/>
  <c r="G427" i="6" a="1"/>
  <c r="G427" i="6"/>
  <c r="G428" i="6" a="1"/>
  <c r="G428" i="6"/>
  <c r="G429" i="6" a="1"/>
  <c r="G429" i="6"/>
  <c r="G430" i="6" a="1"/>
  <c r="G430" i="6"/>
  <c r="G431" i="6" a="1"/>
  <c r="G431" i="6"/>
  <c r="G432" i="6" a="1"/>
  <c r="G432" i="6"/>
  <c r="G433" i="6" a="1"/>
  <c r="G433" i="6"/>
  <c r="G434" i="6" a="1"/>
  <c r="G434" i="6"/>
  <c r="G435" i="6" a="1"/>
  <c r="G435" i="6"/>
  <c r="G436" i="6" a="1"/>
  <c r="G436" i="6"/>
  <c r="G437" i="6" a="1"/>
  <c r="G437" i="6"/>
  <c r="G438" i="6" a="1"/>
  <c r="G438" i="6"/>
  <c r="G439" i="6" a="1"/>
  <c r="G439" i="6"/>
  <c r="G440" i="6" a="1"/>
  <c r="G440" i="6"/>
  <c r="G441" i="6" a="1"/>
  <c r="G441" i="6"/>
  <c r="G442" i="6" a="1"/>
  <c r="G442" i="6"/>
  <c r="G443" i="6" a="1"/>
  <c r="G443" i="6"/>
  <c r="G444" i="6" a="1"/>
  <c r="G444" i="6"/>
  <c r="G445" i="6" a="1"/>
  <c r="G445" i="6"/>
  <c r="G446" i="6" a="1"/>
  <c r="G446" i="6"/>
  <c r="G447" i="6" a="1"/>
  <c r="G447" i="6"/>
  <c r="G448" i="6" a="1"/>
  <c r="G448" i="6"/>
  <c r="G449" i="6" a="1"/>
  <c r="G449" i="6"/>
  <c r="G450" i="6" a="1"/>
  <c r="G450" i="6"/>
  <c r="G451" i="6" a="1"/>
  <c r="G451" i="6"/>
  <c r="G452" i="6" a="1"/>
  <c r="G452" i="6"/>
  <c r="G453" i="6" a="1"/>
  <c r="G453" i="6"/>
  <c r="G454" i="6" a="1"/>
  <c r="G454" i="6"/>
  <c r="G455" i="6" a="1"/>
  <c r="G455" i="6"/>
  <c r="G456" i="6" a="1"/>
  <c r="G456" i="6"/>
  <c r="G457" i="6" a="1"/>
  <c r="G457" i="6"/>
  <c r="G458" i="6" a="1"/>
  <c r="G458" i="6"/>
  <c r="G459" i="6" a="1"/>
  <c r="G459" i="6"/>
  <c r="G460" i="6" a="1"/>
  <c r="G460" i="6"/>
  <c r="G461" i="6" a="1"/>
  <c r="G461" i="6"/>
  <c r="G462" i="6" a="1"/>
  <c r="G462" i="6"/>
  <c r="G463" i="6" a="1"/>
  <c r="G463" i="6"/>
  <c r="G464" i="6" a="1"/>
  <c r="G464" i="6"/>
  <c r="G465" i="6" a="1"/>
  <c r="G465" i="6"/>
  <c r="G466" i="6" a="1"/>
  <c r="G466" i="6"/>
  <c r="G467" i="6" a="1"/>
  <c r="G467" i="6"/>
  <c r="G468" i="6" a="1"/>
  <c r="G468" i="6"/>
  <c r="G469" i="6" a="1"/>
  <c r="G469" i="6"/>
  <c r="G470" i="6" a="1"/>
  <c r="G470" i="6"/>
  <c r="G471" i="6" a="1"/>
  <c r="G471" i="6"/>
  <c r="G472" i="6" a="1"/>
  <c r="G472" i="6"/>
  <c r="G473" i="6" a="1"/>
  <c r="G473" i="6"/>
  <c r="G474" i="6" a="1"/>
  <c r="G474" i="6"/>
  <c r="G475" i="6" a="1"/>
  <c r="G475" i="6"/>
  <c r="G476" i="6" a="1"/>
  <c r="G476" i="6"/>
  <c r="G477" i="6" a="1"/>
  <c r="G477" i="6"/>
  <c r="G478" i="6" a="1"/>
  <c r="G478" i="6"/>
  <c r="G479" i="6" a="1"/>
  <c r="G479" i="6"/>
  <c r="G480" i="6" a="1"/>
  <c r="G480" i="6"/>
  <c r="G481" i="6" a="1"/>
  <c r="G481" i="6"/>
  <c r="G482" i="6" a="1"/>
  <c r="G482" i="6"/>
  <c r="G483" i="6" a="1"/>
  <c r="G483" i="6"/>
  <c r="G484" i="6" a="1"/>
  <c r="G484" i="6"/>
  <c r="G485" i="6" a="1"/>
  <c r="G485" i="6"/>
  <c r="G486" i="6" a="1"/>
  <c r="G486" i="6"/>
  <c r="G487" i="6" a="1"/>
  <c r="G487" i="6"/>
  <c r="G488" i="6" a="1"/>
  <c r="G488" i="6"/>
  <c r="G489" i="6" a="1"/>
  <c r="G489" i="6"/>
  <c r="G490" i="6" a="1"/>
  <c r="G490" i="6"/>
  <c r="G491" i="6" a="1"/>
  <c r="G491" i="6"/>
  <c r="G492" i="6" a="1"/>
  <c r="G492" i="6"/>
  <c r="G493" i="6" a="1"/>
  <c r="G493" i="6"/>
  <c r="G494" i="6" a="1"/>
  <c r="G494" i="6"/>
  <c r="G495" i="6" a="1"/>
  <c r="G495" i="6"/>
  <c r="G496" i="6" a="1"/>
  <c r="G496" i="6"/>
  <c r="G497" i="6" a="1"/>
  <c r="G497" i="6"/>
  <c r="G498" i="6" a="1"/>
  <c r="G498" i="6"/>
  <c r="G499" i="6" a="1"/>
  <c r="G499" i="6"/>
  <c r="G500" i="6" a="1"/>
  <c r="G500" i="6"/>
  <c r="G501" i="6" a="1"/>
  <c r="G501" i="6"/>
  <c r="G502" i="6" a="1"/>
  <c r="G502" i="6"/>
  <c r="G503" i="6" a="1"/>
  <c r="G503" i="6"/>
  <c r="G504" i="6" a="1"/>
  <c r="G504" i="6"/>
  <c r="G505" i="6" a="1"/>
  <c r="G505" i="6"/>
  <c r="G506" i="6" a="1"/>
  <c r="G506" i="6"/>
  <c r="G507" i="6" a="1"/>
  <c r="G507" i="6"/>
  <c r="G508" i="6" a="1"/>
  <c r="G508" i="6"/>
  <c r="G509" i="6" a="1"/>
  <c r="G509" i="6"/>
  <c r="G510" i="6" a="1"/>
  <c r="G510" i="6"/>
  <c r="G511" i="6" a="1"/>
  <c r="G511" i="6"/>
  <c r="G512" i="6" a="1"/>
  <c r="G512" i="6"/>
  <c r="G513" i="6" a="1"/>
  <c r="G513" i="6"/>
  <c r="G514" i="6" a="1"/>
  <c r="G514" i="6"/>
  <c r="G515" i="6" a="1"/>
  <c r="G515" i="6"/>
  <c r="G516" i="6" a="1"/>
  <c r="G516" i="6"/>
  <c r="G517" i="6" a="1"/>
  <c r="G517" i="6"/>
  <c r="G518" i="6" a="1"/>
  <c r="G518" i="6"/>
  <c r="G519" i="6" a="1"/>
  <c r="G519" i="6"/>
  <c r="G520" i="6" a="1"/>
  <c r="G520" i="6"/>
  <c r="G521" i="6" a="1"/>
  <c r="G521" i="6"/>
  <c r="G522" i="6" a="1"/>
  <c r="G522" i="6"/>
  <c r="G523" i="6" a="1"/>
  <c r="G523" i="6"/>
  <c r="G524" i="6" a="1"/>
  <c r="G524" i="6"/>
  <c r="G525" i="6" a="1"/>
  <c r="G525" i="6"/>
  <c r="G526" i="6" a="1"/>
  <c r="G526" i="6"/>
  <c r="G527" i="6" a="1"/>
  <c r="G527" i="6"/>
  <c r="G528" i="6" a="1"/>
  <c r="G528" i="6"/>
  <c r="G529" i="6" a="1"/>
  <c r="G529" i="6"/>
  <c r="G530" i="6" a="1"/>
  <c r="G530" i="6"/>
  <c r="G531" i="6" a="1"/>
  <c r="G531" i="6"/>
  <c r="G532" i="6" a="1"/>
  <c r="G532" i="6"/>
  <c r="G533" i="6" a="1"/>
  <c r="G533" i="6"/>
  <c r="G534" i="6" a="1"/>
  <c r="G534" i="6"/>
  <c r="G535" i="6" a="1"/>
  <c r="G535" i="6"/>
  <c r="G536" i="6" a="1"/>
  <c r="G536" i="6"/>
  <c r="G537" i="6" a="1"/>
  <c r="G537" i="6"/>
  <c r="G538" i="6" a="1"/>
  <c r="G538" i="6"/>
  <c r="G539" i="6" a="1"/>
  <c r="G539" i="6"/>
  <c r="G540" i="6" a="1"/>
  <c r="G540" i="6"/>
  <c r="G541" i="6" a="1"/>
  <c r="G541" i="6"/>
  <c r="G542" i="6" a="1"/>
  <c r="G542" i="6"/>
  <c r="G543" i="6" a="1"/>
  <c r="G543" i="6"/>
  <c r="G544" i="6" a="1"/>
  <c r="G544" i="6"/>
  <c r="G545" i="6" a="1"/>
  <c r="G545" i="6"/>
  <c r="G546" i="6" a="1"/>
  <c r="G546" i="6"/>
  <c r="G547" i="6" a="1"/>
  <c r="G547" i="6"/>
  <c r="G548" i="6" a="1"/>
  <c r="G548" i="6"/>
  <c r="G549" i="6" a="1"/>
  <c r="G549" i="6"/>
  <c r="G550" i="6" a="1"/>
  <c r="G550" i="6"/>
  <c r="G551" i="6" a="1"/>
  <c r="G551" i="6"/>
  <c r="G552" i="6" a="1"/>
  <c r="G552" i="6"/>
  <c r="G553" i="6" a="1"/>
  <c r="G553" i="6"/>
  <c r="G554" i="6" a="1"/>
  <c r="G554" i="6"/>
  <c r="G555" i="6" a="1"/>
  <c r="G555" i="6"/>
  <c r="G556" i="6" a="1"/>
  <c r="G556" i="6"/>
  <c r="G557" i="6" a="1"/>
  <c r="G557" i="6"/>
  <c r="G558" i="6" a="1"/>
  <c r="G558" i="6"/>
  <c r="G559" i="6" a="1"/>
  <c r="G559" i="6"/>
  <c r="G560" i="6" a="1"/>
  <c r="G560" i="6"/>
  <c r="G561" i="6" a="1"/>
  <c r="G561" i="6"/>
  <c r="G562" i="6" a="1"/>
  <c r="G562" i="6"/>
  <c r="G563" i="6" a="1"/>
  <c r="G563" i="6"/>
  <c r="G564" i="6" a="1"/>
  <c r="G564" i="6"/>
  <c r="G565" i="6" a="1"/>
  <c r="G565" i="6"/>
  <c r="G566" i="6" a="1"/>
  <c r="G566" i="6"/>
  <c r="G567" i="6" a="1"/>
  <c r="G567" i="6"/>
  <c r="G568" i="6" a="1"/>
  <c r="G568" i="6"/>
  <c r="G569" i="6" a="1"/>
  <c r="G569" i="6"/>
  <c r="G570" i="6" a="1"/>
  <c r="G570" i="6"/>
  <c r="G571" i="6" a="1"/>
  <c r="G571" i="6"/>
  <c r="G572" i="6" a="1"/>
  <c r="G572" i="6"/>
  <c r="G573" i="6" a="1"/>
  <c r="G573" i="6"/>
  <c r="G574" i="6" a="1"/>
  <c r="G574" i="6"/>
  <c r="G575" i="6" a="1"/>
  <c r="G575" i="6"/>
  <c r="G576" i="6" a="1"/>
  <c r="G576" i="6"/>
  <c r="G577" i="6" a="1"/>
  <c r="G577" i="6"/>
  <c r="G578" i="6" a="1"/>
  <c r="G578" i="6"/>
  <c r="G579" i="6" a="1"/>
  <c r="G579" i="6"/>
  <c r="G580" i="6" a="1"/>
  <c r="G580" i="6"/>
  <c r="G581" i="6" a="1"/>
  <c r="G581" i="6"/>
  <c r="G582" i="6" a="1"/>
  <c r="G582" i="6"/>
  <c r="G583" i="6" a="1"/>
  <c r="G583" i="6"/>
  <c r="G584" i="6" a="1"/>
  <c r="G584" i="6"/>
  <c r="G585" i="6" a="1"/>
  <c r="G585" i="6"/>
  <c r="G586" i="6" a="1"/>
  <c r="G586" i="6"/>
  <c r="G587" i="6" a="1"/>
  <c r="G587" i="6"/>
  <c r="G588" i="6" a="1"/>
  <c r="G588" i="6"/>
  <c r="G589" i="6" a="1"/>
  <c r="G589" i="6"/>
  <c r="G590" i="6" a="1"/>
  <c r="G590" i="6"/>
  <c r="G591" i="6" a="1"/>
  <c r="G591" i="6"/>
  <c r="G592" i="6" a="1"/>
  <c r="G592" i="6"/>
  <c r="G593" i="6" a="1"/>
  <c r="G593" i="6"/>
  <c r="G594" i="6" a="1"/>
  <c r="G594" i="6"/>
  <c r="G595" i="6" a="1"/>
  <c r="G595" i="6"/>
  <c r="G596" i="6" a="1"/>
  <c r="G596" i="6"/>
  <c r="G597" i="6" a="1"/>
  <c r="G597" i="6"/>
  <c r="G598" i="6" a="1"/>
  <c r="G598" i="6"/>
  <c r="G599" i="6" a="1"/>
  <c r="G599" i="6"/>
  <c r="G600" i="6" a="1"/>
  <c r="G600" i="6"/>
  <c r="G601" i="6" a="1"/>
  <c r="G601" i="6"/>
  <c r="G369" i="6" a="1"/>
  <c r="G369" i="6"/>
  <c r="G370" i="6" a="1"/>
  <c r="G370" i="6"/>
  <c r="G371" i="6" a="1"/>
  <c r="G371" i="6"/>
  <c r="G372" i="6" a="1"/>
  <c r="G372" i="6"/>
  <c r="G373" i="6" a="1"/>
  <c r="G373" i="6"/>
  <c r="G374" i="6" a="1"/>
  <c r="G374" i="6"/>
  <c r="G375" i="6" a="1"/>
  <c r="G375" i="6"/>
  <c r="G376" i="6" a="1"/>
  <c r="G376" i="6"/>
  <c r="G377" i="6" a="1"/>
  <c r="G377" i="6"/>
  <c r="G378" i="6" a="1"/>
  <c r="G378" i="6"/>
  <c r="G379" i="6" a="1"/>
  <c r="G379" i="6"/>
  <c r="G380" i="6" a="1"/>
  <c r="G380" i="6"/>
  <c r="G381" i="6" a="1"/>
  <c r="G381" i="6"/>
  <c r="G382" i="6" a="1"/>
  <c r="G382" i="6"/>
  <c r="G383" i="6" a="1"/>
  <c r="G383" i="6"/>
  <c r="G384" i="6" a="1"/>
  <c r="G384" i="6"/>
  <c r="G385" i="6" a="1"/>
  <c r="G385" i="6"/>
  <c r="G386" i="6" a="1"/>
  <c r="G386" i="6"/>
  <c r="G387" i="6" a="1"/>
  <c r="G387" i="6"/>
  <c r="G388" i="6" a="1"/>
  <c r="G388" i="6"/>
  <c r="G389" i="6" a="1"/>
  <c r="G389" i="6"/>
  <c r="G390" i="6" a="1"/>
  <c r="G390" i="6"/>
  <c r="G391" i="6" a="1"/>
  <c r="G391" i="6"/>
  <c r="G392" i="6" a="1"/>
  <c r="G392" i="6"/>
  <c r="G393" i="6" a="1"/>
  <c r="G393" i="6"/>
  <c r="G394" i="6" a="1"/>
  <c r="G394" i="6"/>
  <c r="G395" i="6" a="1"/>
  <c r="G395" i="6"/>
  <c r="G396" i="6" a="1"/>
  <c r="G396" i="6"/>
  <c r="G397" i="6" a="1"/>
  <c r="G397" i="6"/>
  <c r="G398" i="6" a="1"/>
  <c r="G398" i="6"/>
  <c r="G399" i="6" a="1"/>
  <c r="G399" i="6"/>
  <c r="G400" i="6" a="1"/>
  <c r="G400" i="6"/>
  <c r="G401" i="6" a="1"/>
  <c r="G401" i="6"/>
  <c r="G402" i="6" a="1"/>
  <c r="G402" i="6"/>
  <c r="G403" i="6" a="1"/>
  <c r="G403" i="6"/>
  <c r="G404" i="6" a="1"/>
  <c r="G404" i="6"/>
  <c r="G359" i="6" a="1"/>
  <c r="G359" i="6"/>
  <c r="G360" i="6" a="1"/>
  <c r="G360" i="6"/>
  <c r="G361" i="6" a="1"/>
  <c r="G361" i="6"/>
  <c r="G362" i="6" a="1"/>
  <c r="G362" i="6"/>
  <c r="G363" i="6" a="1"/>
  <c r="G363" i="6"/>
  <c r="G364" i="6" a="1"/>
  <c r="G364" i="6"/>
  <c r="G365" i="6" a="1"/>
  <c r="G365" i="6"/>
  <c r="G366" i="6" a="1"/>
  <c r="G366" i="6"/>
  <c r="G367" i="6" a="1"/>
  <c r="G367" i="6"/>
  <c r="G368" i="6" a="1"/>
  <c r="G368" i="6"/>
  <c r="G312" i="6" a="1"/>
  <c r="G312" i="6"/>
  <c r="G313" i="6" a="1"/>
  <c r="G313" i="6"/>
  <c r="G314" i="6" a="1"/>
  <c r="G314" i="6"/>
  <c r="G315" i="6" a="1"/>
  <c r="G315" i="6"/>
  <c r="G316" i="6" a="1"/>
  <c r="G316" i="6"/>
  <c r="G317" i="6" a="1"/>
  <c r="G317" i="6"/>
  <c r="G318" i="6" a="1"/>
  <c r="G318" i="6"/>
  <c r="G319" i="6" a="1"/>
  <c r="G319" i="6"/>
  <c r="G320" i="6" a="1"/>
  <c r="G320" i="6"/>
  <c r="G321" i="6" a="1"/>
  <c r="G321" i="6"/>
  <c r="G322" i="6" a="1"/>
  <c r="G322" i="6"/>
  <c r="G323" i="6" a="1"/>
  <c r="G323" i="6"/>
  <c r="G324" i="6" a="1"/>
  <c r="G324" i="6"/>
  <c r="G325" i="6" a="1"/>
  <c r="G325" i="6"/>
  <c r="G326" i="6" a="1"/>
  <c r="G326" i="6"/>
  <c r="G327" i="6" a="1"/>
  <c r="G327" i="6"/>
  <c r="G328" i="6" a="1"/>
  <c r="G328" i="6"/>
  <c r="G329" i="6" a="1"/>
  <c r="G329" i="6"/>
  <c r="G330" i="6" a="1"/>
  <c r="G330" i="6"/>
  <c r="G331" i="6" a="1"/>
  <c r="G331" i="6"/>
  <c r="G332" i="6" a="1"/>
  <c r="G332" i="6"/>
  <c r="G333" i="6" a="1"/>
  <c r="G333" i="6"/>
  <c r="G334" i="6" a="1"/>
  <c r="G334" i="6"/>
  <c r="G335" i="6" a="1"/>
  <c r="G335" i="6"/>
  <c r="G336" i="6" a="1"/>
  <c r="G336" i="6"/>
  <c r="G337" i="6" a="1"/>
  <c r="G337" i="6"/>
  <c r="G338" i="6" a="1"/>
  <c r="G338" i="6"/>
  <c r="G339" i="6" a="1"/>
  <c r="G339" i="6"/>
  <c r="G340" i="6" a="1"/>
  <c r="G340" i="6"/>
  <c r="G341" i="6" a="1"/>
  <c r="G341" i="6"/>
  <c r="G342" i="6" a="1"/>
  <c r="G342" i="6"/>
  <c r="G343" i="6" a="1"/>
  <c r="G343" i="6"/>
  <c r="G344" i="6" a="1"/>
  <c r="G344" i="6"/>
  <c r="G345" i="6" a="1"/>
  <c r="G345" i="6"/>
  <c r="G346" i="6" a="1"/>
  <c r="G346" i="6"/>
  <c r="G347" i="6" a="1"/>
  <c r="G347" i="6"/>
  <c r="G348" i="6" a="1"/>
  <c r="G348" i="6"/>
  <c r="G349" i="6" a="1"/>
  <c r="G349" i="6"/>
  <c r="G350" i="6" a="1"/>
  <c r="G350" i="6"/>
  <c r="G351" i="6" a="1"/>
  <c r="G351" i="6"/>
  <c r="G352" i="6" a="1"/>
  <c r="G352" i="6"/>
  <c r="G353" i="6" a="1"/>
  <c r="G353" i="6"/>
  <c r="G354" i="6" a="1"/>
  <c r="G354" i="6"/>
  <c r="G355" i="6" a="1"/>
  <c r="G355" i="6"/>
  <c r="G356" i="6" a="1"/>
  <c r="G356" i="6"/>
  <c r="G357" i="6" a="1"/>
  <c r="G357" i="6"/>
  <c r="G358" i="6" a="1"/>
  <c r="G358" i="6"/>
  <c r="G298" i="6" a="1"/>
  <c r="G298" i="6"/>
  <c r="G299" i="6" a="1"/>
  <c r="G299" i="6"/>
  <c r="G300" i="6" a="1"/>
  <c r="G300" i="6"/>
  <c r="G301" i="6" a="1"/>
  <c r="G301" i="6"/>
  <c r="G302" i="6" a="1"/>
  <c r="G302" i="6"/>
  <c r="G303" i="6" a="1"/>
  <c r="G303" i="6"/>
  <c r="G304" i="6" a="1"/>
  <c r="G304" i="6"/>
  <c r="G305" i="6" a="1"/>
  <c r="G305" i="6"/>
  <c r="G306" i="6" a="1"/>
  <c r="G306" i="6"/>
  <c r="G307" i="6" a="1"/>
  <c r="G307" i="6"/>
  <c r="G308" i="6" a="1"/>
  <c r="G308" i="6"/>
  <c r="G309" i="6" a="1"/>
  <c r="G309" i="6"/>
  <c r="G310" i="6" a="1"/>
  <c r="G310" i="6"/>
  <c r="G311" i="6" a="1"/>
  <c r="G311" i="6"/>
  <c r="G248" i="6" a="1"/>
  <c r="G248" i="6"/>
  <c r="G249" i="6" a="1"/>
  <c r="G249" i="6"/>
  <c r="G250" i="6" a="1"/>
  <c r="G250" i="6"/>
  <c r="G251" i="6" a="1"/>
  <c r="G251" i="6"/>
  <c r="G252" i="6" a="1"/>
  <c r="G252" i="6"/>
  <c r="G253" i="6" a="1"/>
  <c r="G253" i="6"/>
  <c r="G254" i="6" a="1"/>
  <c r="G254" i="6"/>
  <c r="G255" i="6" a="1"/>
  <c r="G255" i="6"/>
  <c r="G256" i="6" a="1"/>
  <c r="G256" i="6"/>
  <c r="G257" i="6" a="1"/>
  <c r="G257" i="6"/>
  <c r="G258" i="6" a="1"/>
  <c r="G258" i="6"/>
  <c r="G259" i="6" a="1"/>
  <c r="G259" i="6"/>
  <c r="G260" i="6" a="1"/>
  <c r="G260" i="6"/>
  <c r="G261" i="6" a="1"/>
  <c r="G261" i="6"/>
  <c r="G262" i="6" a="1"/>
  <c r="G262" i="6"/>
  <c r="G263" i="6" a="1"/>
  <c r="G263" i="6"/>
  <c r="G264" i="6" a="1"/>
  <c r="G264" i="6"/>
  <c r="G265" i="6" a="1"/>
  <c r="G265" i="6"/>
  <c r="G266" i="6" a="1"/>
  <c r="G266" i="6"/>
  <c r="G267" i="6" a="1"/>
  <c r="G267" i="6"/>
  <c r="G268" i="6" a="1"/>
  <c r="G268" i="6"/>
  <c r="G269" i="6" a="1"/>
  <c r="G269" i="6"/>
  <c r="G270" i="6" a="1"/>
  <c r="G270" i="6"/>
  <c r="G271" i="6" a="1"/>
  <c r="G271" i="6"/>
  <c r="G272" i="6" a="1"/>
  <c r="G272" i="6"/>
  <c r="G273" i="6" a="1"/>
  <c r="G273" i="6"/>
  <c r="G274" i="6" a="1"/>
  <c r="G274" i="6"/>
  <c r="G275" i="6" a="1"/>
  <c r="G275" i="6"/>
  <c r="G276" i="6" a="1"/>
  <c r="G276" i="6"/>
  <c r="G277" i="6" a="1"/>
  <c r="G277" i="6"/>
  <c r="G278" i="6" a="1"/>
  <c r="G278" i="6"/>
  <c r="G279" i="6" a="1"/>
  <c r="G279" i="6"/>
  <c r="G280" i="6" a="1"/>
  <c r="G280" i="6"/>
  <c r="G281" i="6" a="1"/>
  <c r="G281" i="6"/>
  <c r="G282" i="6" a="1"/>
  <c r="G282" i="6"/>
  <c r="G283" i="6" a="1"/>
  <c r="G283" i="6"/>
  <c r="G284" i="6" a="1"/>
  <c r="G284" i="6"/>
  <c r="G285" i="6" a="1"/>
  <c r="G285" i="6"/>
  <c r="G286" i="6" a="1"/>
  <c r="G286" i="6"/>
  <c r="G287" i="6" a="1"/>
  <c r="G287" i="6"/>
  <c r="G288" i="6" a="1"/>
  <c r="G288" i="6"/>
  <c r="G289" i="6" a="1"/>
  <c r="G289" i="6"/>
  <c r="G290" i="6" a="1"/>
  <c r="G290" i="6"/>
  <c r="G291" i="6" a="1"/>
  <c r="G291" i="6"/>
  <c r="G292" i="6" a="1"/>
  <c r="G292" i="6"/>
  <c r="G293" i="6" a="1"/>
  <c r="G293" i="6"/>
  <c r="G294" i="6" a="1"/>
  <c r="G294" i="6"/>
  <c r="G295" i="6" a="1"/>
  <c r="G295" i="6"/>
  <c r="G296" i="6" a="1"/>
  <c r="G296" i="6"/>
  <c r="G297" i="6" a="1"/>
  <c r="G297" i="6"/>
  <c r="G189" i="6" a="1"/>
  <c r="G189" i="6"/>
  <c r="G190" i="6" a="1"/>
  <c r="G190" i="6"/>
  <c r="G191" i="6" a="1"/>
  <c r="G191" i="6"/>
  <c r="G192" i="6" a="1"/>
  <c r="G192" i="6"/>
  <c r="G193" i="6" a="1"/>
  <c r="G193" i="6"/>
  <c r="G194" i="6" a="1"/>
  <c r="G194" i="6"/>
  <c r="G195" i="6" a="1"/>
  <c r="G195" i="6"/>
  <c r="G196" i="6" a="1"/>
  <c r="G196" i="6"/>
  <c r="G197" i="6" a="1"/>
  <c r="G197" i="6"/>
  <c r="G198" i="6" a="1"/>
  <c r="G198" i="6"/>
  <c r="G199" i="6" a="1"/>
  <c r="G199" i="6"/>
  <c r="G200" i="6" a="1"/>
  <c r="G200" i="6"/>
  <c r="G201" i="6" a="1"/>
  <c r="G201" i="6"/>
  <c r="G202" i="6" a="1"/>
  <c r="G202" i="6"/>
  <c r="G203" i="6" a="1"/>
  <c r="G203" i="6"/>
  <c r="G204" i="6" a="1"/>
  <c r="G204" i="6"/>
  <c r="G205" i="6" a="1"/>
  <c r="G205" i="6"/>
  <c r="G206" i="6" a="1"/>
  <c r="G206" i="6"/>
  <c r="G207" i="6" a="1"/>
  <c r="G207" i="6"/>
  <c r="G208" i="6" a="1"/>
  <c r="G208" i="6"/>
  <c r="G209" i="6" a="1"/>
  <c r="G209" i="6"/>
  <c r="G210" i="6" a="1"/>
  <c r="G210" i="6"/>
  <c r="G211" i="6" a="1"/>
  <c r="G211" i="6"/>
  <c r="G212" i="6" a="1"/>
  <c r="G212" i="6"/>
  <c r="G213" i="6" a="1"/>
  <c r="G213" i="6"/>
  <c r="G214" i="6" a="1"/>
  <c r="G214" i="6"/>
  <c r="G215" i="6" a="1"/>
  <c r="G215" i="6"/>
  <c r="G216" i="6" a="1"/>
  <c r="G216" i="6"/>
  <c r="G217" i="6" a="1"/>
  <c r="G217" i="6"/>
  <c r="G218" i="6" a="1"/>
  <c r="G218" i="6"/>
  <c r="G219" i="6" a="1"/>
  <c r="G219" i="6"/>
  <c r="G220" i="6" a="1"/>
  <c r="G220" i="6"/>
  <c r="G221" i="6" a="1"/>
  <c r="G221" i="6"/>
  <c r="G222" i="6" a="1"/>
  <c r="G222" i="6"/>
  <c r="G223" i="6" a="1"/>
  <c r="G223" i="6"/>
  <c r="G224" i="6" a="1"/>
  <c r="G224" i="6"/>
  <c r="G225" i="6" a="1"/>
  <c r="G225" i="6"/>
  <c r="G226" i="6" a="1"/>
  <c r="G226" i="6"/>
  <c r="G227" i="6" a="1"/>
  <c r="G227" i="6"/>
  <c r="G228" i="6" a="1"/>
  <c r="G228" i="6"/>
  <c r="G229" i="6" a="1"/>
  <c r="G229" i="6"/>
  <c r="G230" i="6" a="1"/>
  <c r="G230" i="6"/>
  <c r="G231" i="6" a="1"/>
  <c r="G231" i="6"/>
  <c r="G232" i="6" a="1"/>
  <c r="G232" i="6"/>
  <c r="G233" i="6" a="1"/>
  <c r="G233" i="6"/>
  <c r="G234" i="6" a="1"/>
  <c r="G234" i="6"/>
  <c r="G235" i="6" a="1"/>
  <c r="G235" i="6"/>
  <c r="G236" i="6" a="1"/>
  <c r="G236" i="6"/>
  <c r="G237" i="6" a="1"/>
  <c r="G237" i="6"/>
  <c r="G238" i="6" a="1"/>
  <c r="G238" i="6"/>
  <c r="G239" i="6" a="1"/>
  <c r="G239" i="6"/>
  <c r="G240" i="6" a="1"/>
  <c r="G240" i="6"/>
  <c r="G241" i="6" a="1"/>
  <c r="G241" i="6"/>
  <c r="G242" i="6" a="1"/>
  <c r="G242" i="6"/>
  <c r="G243" i="6" a="1"/>
  <c r="G243" i="6"/>
  <c r="G244" i="6" a="1"/>
  <c r="G244" i="6"/>
  <c r="G245" i="6" a="1"/>
  <c r="G245" i="6"/>
  <c r="G246" i="6" a="1"/>
  <c r="G246" i="6"/>
  <c r="G247" i="6" a="1"/>
  <c r="G247" i="6"/>
  <c r="G140" i="6" a="1"/>
  <c r="G140" i="6"/>
  <c r="G141" i="6" a="1"/>
  <c r="G141" i="6"/>
  <c r="G142" i="6" a="1"/>
  <c r="G142" i="6"/>
  <c r="G143" i="6" a="1"/>
  <c r="G143" i="6"/>
  <c r="G144" i="6" a="1"/>
  <c r="G144" i="6"/>
  <c r="G145" i="6" a="1"/>
  <c r="G145" i="6"/>
  <c r="G146" i="6" a="1"/>
  <c r="G146" i="6"/>
  <c r="G147" i="6" a="1"/>
  <c r="G147" i="6"/>
  <c r="G148" i="6" a="1"/>
  <c r="G148" i="6"/>
  <c r="G149" i="6" a="1"/>
  <c r="G149" i="6"/>
  <c r="G150" i="6" a="1"/>
  <c r="G150" i="6"/>
  <c r="G151" i="6" a="1"/>
  <c r="G151" i="6"/>
  <c r="G152" i="6" a="1"/>
  <c r="G152" i="6"/>
  <c r="G153" i="6" a="1"/>
  <c r="G153" i="6"/>
  <c r="G154" i="6" a="1"/>
  <c r="G154" i="6"/>
  <c r="G155" i="6" a="1"/>
  <c r="G155" i="6"/>
  <c r="G156" i="6" a="1"/>
  <c r="G156" i="6"/>
  <c r="G157" i="6" a="1"/>
  <c r="G157" i="6"/>
  <c r="G158" i="6" a="1"/>
  <c r="G158" i="6"/>
  <c r="G159" i="6" a="1"/>
  <c r="G159" i="6"/>
  <c r="G160" i="6" a="1"/>
  <c r="G160" i="6"/>
  <c r="G161" i="6" a="1"/>
  <c r="G161" i="6"/>
  <c r="G162" i="6" a="1"/>
  <c r="G162" i="6"/>
  <c r="G163" i="6" a="1"/>
  <c r="G163" i="6"/>
  <c r="G164" i="6" a="1"/>
  <c r="G164" i="6"/>
  <c r="G165" i="6" a="1"/>
  <c r="G165" i="6"/>
  <c r="G166" i="6" a="1"/>
  <c r="G166" i="6"/>
  <c r="G167" i="6" a="1"/>
  <c r="G167" i="6"/>
  <c r="G168" i="6" a="1"/>
  <c r="G168" i="6"/>
  <c r="G169" i="6" a="1"/>
  <c r="G169" i="6"/>
  <c r="G170" i="6" a="1"/>
  <c r="G170" i="6"/>
  <c r="G171" i="6" a="1"/>
  <c r="G171" i="6"/>
  <c r="G172" i="6" a="1"/>
  <c r="G172" i="6"/>
  <c r="G173" i="6" a="1"/>
  <c r="G173" i="6"/>
  <c r="G174" i="6" a="1"/>
  <c r="G174" i="6"/>
  <c r="G175" i="6" a="1"/>
  <c r="G175" i="6"/>
  <c r="G176" i="6" a="1"/>
  <c r="G176" i="6"/>
  <c r="G177" i="6" a="1"/>
  <c r="G177" i="6"/>
  <c r="G178" i="6" a="1"/>
  <c r="G178" i="6"/>
  <c r="G179" i="6" a="1"/>
  <c r="G179" i="6"/>
  <c r="G180" i="6" a="1"/>
  <c r="G180" i="6"/>
  <c r="G181" i="6" a="1"/>
  <c r="G181" i="6"/>
  <c r="G182" i="6" a="1"/>
  <c r="G182" i="6"/>
  <c r="G183" i="6" a="1"/>
  <c r="G183" i="6"/>
  <c r="G184" i="6" a="1"/>
  <c r="G184" i="6"/>
  <c r="G185" i="6" a="1"/>
  <c r="G185" i="6"/>
  <c r="G186" i="6" a="1"/>
  <c r="G186" i="6"/>
  <c r="G187" i="6" a="1"/>
  <c r="G187" i="6"/>
  <c r="G188" i="6" a="1"/>
  <c r="G188" i="6"/>
  <c r="G3" i="6" a="1"/>
  <c r="G3" i="6"/>
  <c r="G4" i="6" a="1"/>
  <c r="G4" i="6"/>
  <c r="G5" i="6" a="1"/>
  <c r="G5" i="6"/>
  <c r="G6" i="6" a="1"/>
  <c r="G6" i="6"/>
  <c r="G7" i="6" a="1"/>
  <c r="G7" i="6"/>
  <c r="G8" i="6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G16" i="6" a="1"/>
  <c r="G16" i="6"/>
  <c r="G17" i="6" a="1"/>
  <c r="G17" i="6"/>
  <c r="G18" i="6" a="1"/>
  <c r="G18" i="6"/>
  <c r="G19" i="6" a="1"/>
  <c r="G19" i="6"/>
  <c r="G20" i="6" a="1"/>
  <c r="G20" i="6"/>
  <c r="G21" i="6" a="1"/>
  <c r="G21" i="6"/>
  <c r="G22" i="6" a="1"/>
  <c r="G22" i="6"/>
  <c r="G23" i="6" a="1"/>
  <c r="G23" i="6"/>
  <c r="G24" i="6" a="1"/>
  <c r="G24" i="6"/>
  <c r="G25" i="6" a="1"/>
  <c r="G25" i="6"/>
  <c r="G26" i="6" a="1"/>
  <c r="G26" i="6"/>
  <c r="G27" i="6" a="1"/>
  <c r="G27" i="6"/>
  <c r="G28" i="6" a="1"/>
  <c r="G28" i="6"/>
  <c r="G29" i="6" a="1"/>
  <c r="G29" i="6"/>
  <c r="G30" i="6" a="1"/>
  <c r="G30" i="6"/>
  <c r="G31" i="6" a="1"/>
  <c r="G31" i="6"/>
  <c r="G32" i="6" a="1"/>
  <c r="G32" i="6"/>
  <c r="G33" i="6" a="1"/>
  <c r="G33" i="6"/>
  <c r="G34" i="6" a="1"/>
  <c r="G34" i="6"/>
  <c r="G35" i="6" a="1"/>
  <c r="G35" i="6"/>
  <c r="G36" i="6" a="1"/>
  <c r="G36" i="6"/>
  <c r="G37" i="6" a="1"/>
  <c r="G37" i="6"/>
  <c r="G38" i="6" a="1"/>
  <c r="G38" i="6"/>
  <c r="G39" i="6" a="1"/>
  <c r="G39" i="6"/>
  <c r="G40" i="6" a="1"/>
  <c r="G40" i="6"/>
  <c r="G41" i="6" a="1"/>
  <c r="G41" i="6"/>
  <c r="G42" i="6" a="1"/>
  <c r="G42" i="6"/>
  <c r="G43" i="6" a="1"/>
  <c r="G43" i="6"/>
  <c r="G44" i="6" a="1"/>
  <c r="G44" i="6"/>
  <c r="G45" i="6" a="1"/>
  <c r="G45" i="6"/>
  <c r="G46" i="6" a="1"/>
  <c r="G46" i="6"/>
  <c r="G47" i="6" a="1"/>
  <c r="G47" i="6"/>
  <c r="G48" i="6" a="1"/>
  <c r="G48" i="6"/>
  <c r="G49" i="6" a="1"/>
  <c r="G49" i="6"/>
  <c r="G50" i="6" a="1"/>
  <c r="G50" i="6"/>
  <c r="G51" i="6" a="1"/>
  <c r="G51" i="6"/>
  <c r="G52" i="6" a="1"/>
  <c r="G52" i="6"/>
  <c r="G53" i="6" a="1"/>
  <c r="G53" i="6"/>
  <c r="G54" i="6" a="1"/>
  <c r="G54" i="6"/>
  <c r="G55" i="6" a="1"/>
  <c r="G55" i="6"/>
  <c r="G56" i="6" a="1"/>
  <c r="G56" i="6"/>
  <c r="G57" i="6" a="1"/>
  <c r="G57" i="6"/>
  <c r="G58" i="6" a="1"/>
  <c r="G58" i="6"/>
  <c r="G59" i="6" a="1"/>
  <c r="G59" i="6"/>
  <c r="G60" i="6" a="1"/>
  <c r="G60" i="6"/>
  <c r="G61" i="6" a="1"/>
  <c r="G61" i="6"/>
  <c r="G62" i="6" a="1"/>
  <c r="G62" i="6"/>
  <c r="G63" i="6" a="1"/>
  <c r="G63" i="6"/>
  <c r="G64" i="6" a="1"/>
  <c r="G64" i="6"/>
  <c r="G65" i="6" a="1"/>
  <c r="G65" i="6"/>
  <c r="G66" i="6" a="1"/>
  <c r="G66" i="6"/>
  <c r="G67" i="6" a="1"/>
  <c r="G67" i="6"/>
  <c r="G68" i="6" a="1"/>
  <c r="G68" i="6"/>
  <c r="G69" i="6" a="1"/>
  <c r="G69" i="6"/>
  <c r="G70" i="6" a="1"/>
  <c r="G70" i="6"/>
  <c r="G71" i="6" a="1"/>
  <c r="G71" i="6"/>
  <c r="G72" i="6" a="1"/>
  <c r="G72" i="6"/>
  <c r="G73" i="6" a="1"/>
  <c r="G73" i="6"/>
  <c r="G74" i="6" a="1"/>
  <c r="G74" i="6"/>
  <c r="G75" i="6" a="1"/>
  <c r="G75" i="6"/>
  <c r="G76" i="6" a="1"/>
  <c r="G76" i="6"/>
  <c r="G77" i="6" a="1"/>
  <c r="G77" i="6"/>
  <c r="G78" i="6" a="1"/>
  <c r="G78" i="6"/>
  <c r="G79" i="6" a="1"/>
  <c r="G79" i="6"/>
  <c r="G80" i="6" a="1"/>
  <c r="G80" i="6"/>
  <c r="G81" i="6" a="1"/>
  <c r="G81" i="6"/>
  <c r="G82" i="6" a="1"/>
  <c r="G82" i="6"/>
  <c r="G83" i="6" a="1"/>
  <c r="G83" i="6"/>
  <c r="G84" i="6" a="1"/>
  <c r="G84" i="6"/>
  <c r="G85" i="6" a="1"/>
  <c r="G85" i="6"/>
  <c r="G86" i="6" a="1"/>
  <c r="G86" i="6"/>
  <c r="G87" i="6" a="1"/>
  <c r="G87" i="6"/>
  <c r="G88" i="6" a="1"/>
  <c r="G88" i="6"/>
  <c r="G89" i="6" a="1"/>
  <c r="G89" i="6"/>
  <c r="G90" i="6" a="1"/>
  <c r="G90" i="6"/>
  <c r="G91" i="6" a="1"/>
  <c r="G91" i="6"/>
  <c r="G92" i="6" a="1"/>
  <c r="G92" i="6"/>
  <c r="G93" i="6" a="1"/>
  <c r="G93" i="6"/>
  <c r="G94" i="6" a="1"/>
  <c r="G94" i="6"/>
  <c r="G95" i="6" a="1"/>
  <c r="G95" i="6"/>
  <c r="G96" i="6" a="1"/>
  <c r="G96" i="6"/>
  <c r="G97" i="6" a="1"/>
  <c r="G97" i="6"/>
  <c r="G98" i="6" a="1"/>
  <c r="G98" i="6"/>
  <c r="G99" i="6" a="1"/>
  <c r="G99" i="6"/>
  <c r="G100" i="6" a="1"/>
  <c r="G100" i="6"/>
  <c r="G101" i="6" a="1"/>
  <c r="G101" i="6"/>
  <c r="G102" i="6" a="1"/>
  <c r="G102" i="6"/>
  <c r="G103" i="6" a="1"/>
  <c r="G103" i="6"/>
  <c r="G104" i="6" a="1"/>
  <c r="G104" i="6"/>
  <c r="G105" i="6" a="1"/>
  <c r="G105" i="6"/>
  <c r="G106" i="6" a="1"/>
  <c r="G106" i="6"/>
  <c r="G107" i="6" a="1"/>
  <c r="G107" i="6"/>
  <c r="G108" i="6" a="1"/>
  <c r="G108" i="6"/>
  <c r="G109" i="6" a="1"/>
  <c r="G109" i="6"/>
  <c r="G110" i="6" a="1"/>
  <c r="G110" i="6"/>
  <c r="G111" i="6" a="1"/>
  <c r="G111" i="6"/>
  <c r="G112" i="6" a="1"/>
  <c r="G112" i="6"/>
  <c r="G113" i="6" a="1"/>
  <c r="G113" i="6"/>
  <c r="G114" i="6" a="1"/>
  <c r="G114" i="6"/>
  <c r="G115" i="6" a="1"/>
  <c r="G115" i="6"/>
  <c r="G116" i="6" a="1"/>
  <c r="G116" i="6"/>
  <c r="G117" i="6" a="1"/>
  <c r="G117" i="6"/>
  <c r="G118" i="6" a="1"/>
  <c r="G118" i="6"/>
  <c r="G119" i="6" a="1"/>
  <c r="G119" i="6"/>
  <c r="G120" i="6" a="1"/>
  <c r="G120" i="6"/>
  <c r="G121" i="6" a="1"/>
  <c r="G121" i="6"/>
  <c r="G122" i="6" a="1"/>
  <c r="G122" i="6"/>
  <c r="G123" i="6" a="1"/>
  <c r="G123" i="6"/>
  <c r="G124" i="6" a="1"/>
  <c r="G124" i="6"/>
  <c r="G125" i="6" a="1"/>
  <c r="G125" i="6"/>
  <c r="G126" i="6" a="1"/>
  <c r="G126" i="6"/>
  <c r="G127" i="6" a="1"/>
  <c r="G127" i="6"/>
  <c r="G128" i="6" a="1"/>
  <c r="G128" i="6"/>
  <c r="G129" i="6" a="1"/>
  <c r="G129" i="6"/>
  <c r="G130" i="6" a="1"/>
  <c r="G130" i="6"/>
  <c r="G131" i="6" a="1"/>
  <c r="G131" i="6"/>
  <c r="G132" i="6" a="1"/>
  <c r="G132" i="6"/>
  <c r="G133" i="6" a="1"/>
  <c r="G133" i="6"/>
  <c r="G134" i="6" a="1"/>
  <c r="G134" i="6"/>
  <c r="G135" i="6" a="1"/>
  <c r="G135" i="6"/>
  <c r="G136" i="6" a="1"/>
  <c r="G136" i="6"/>
  <c r="G137" i="6" a="1"/>
  <c r="G137" i="6"/>
  <c r="G138" i="6" a="1"/>
  <c r="G138" i="6"/>
  <c r="G139" i="6" a="1"/>
  <c r="G139" i="6"/>
  <c r="C12" i="6"/>
  <c r="C11" i="6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2" i="1"/>
  <c r="D8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2" i="4"/>
  <c r="C6" i="6" s="1"/>
  <c r="C5" i="6"/>
  <c r="D4" i="6"/>
  <c r="BJ3" i="6" l="1"/>
  <c r="AW3" i="6"/>
  <c r="BL3" i="6"/>
  <c r="AW601" i="6"/>
  <c r="BL601" i="6"/>
  <c r="AW600" i="6"/>
  <c r="BL600" i="6"/>
  <c r="AW599" i="6"/>
  <c r="BL599" i="6"/>
  <c r="AW598" i="6"/>
  <c r="BL598" i="6"/>
  <c r="AW597" i="6"/>
  <c r="BL597" i="6"/>
  <c r="AW596" i="6"/>
  <c r="BL596" i="6"/>
  <c r="AW595" i="6"/>
  <c r="BL595" i="6"/>
  <c r="AW594" i="6"/>
  <c r="BL594" i="6"/>
  <c r="AW593" i="6"/>
  <c r="BL593" i="6"/>
  <c r="AW592" i="6"/>
  <c r="BL592" i="6"/>
  <c r="AW591" i="6"/>
  <c r="BL591" i="6"/>
  <c r="AW590" i="6"/>
  <c r="BL590" i="6"/>
  <c r="AW589" i="6"/>
  <c r="BL589" i="6"/>
  <c r="AW588" i="6"/>
  <c r="BL588" i="6"/>
  <c r="AW587" i="6"/>
  <c r="BL587" i="6"/>
  <c r="AW586" i="6"/>
  <c r="BL586" i="6"/>
  <c r="AW585" i="6"/>
  <c r="BL585" i="6"/>
  <c r="AW584" i="6"/>
  <c r="BL584" i="6"/>
  <c r="AW583" i="6"/>
  <c r="BL583" i="6"/>
  <c r="AW582" i="6"/>
  <c r="BL582" i="6"/>
  <c r="AW581" i="6"/>
  <c r="BL581" i="6"/>
  <c r="AW580" i="6"/>
  <c r="BL580" i="6"/>
  <c r="AW579" i="6"/>
  <c r="BL579" i="6"/>
  <c r="AW578" i="6"/>
  <c r="BL578" i="6"/>
  <c r="AW577" i="6"/>
  <c r="BL577" i="6"/>
  <c r="AW576" i="6"/>
  <c r="BL576" i="6"/>
  <c r="AW575" i="6"/>
  <c r="BL575" i="6"/>
  <c r="AW574" i="6"/>
  <c r="BL574" i="6"/>
  <c r="AW573" i="6"/>
  <c r="BL573" i="6"/>
  <c r="AW572" i="6"/>
  <c r="BL572" i="6"/>
  <c r="AW571" i="6"/>
  <c r="BL571" i="6"/>
  <c r="AW570" i="6"/>
  <c r="BL570" i="6"/>
  <c r="AW569" i="6"/>
  <c r="BL569" i="6"/>
  <c r="AW568" i="6"/>
  <c r="BL568" i="6"/>
  <c r="AW567" i="6"/>
  <c r="BL567" i="6"/>
  <c r="AW566" i="6"/>
  <c r="BL566" i="6"/>
  <c r="AW565" i="6"/>
  <c r="BL565" i="6"/>
  <c r="AW564" i="6"/>
  <c r="BL564" i="6"/>
  <c r="AW563" i="6"/>
  <c r="BL563" i="6"/>
  <c r="AW562" i="6"/>
  <c r="BL562" i="6"/>
  <c r="AW561" i="6"/>
  <c r="BL561" i="6"/>
  <c r="AW560" i="6"/>
  <c r="BL560" i="6"/>
  <c r="AW559" i="6"/>
  <c r="BL559" i="6"/>
  <c r="AW558" i="6"/>
  <c r="BL558" i="6"/>
  <c r="AW557" i="6"/>
  <c r="BL557" i="6"/>
  <c r="AW556" i="6"/>
  <c r="BL556" i="6"/>
  <c r="AW555" i="6"/>
  <c r="BL555" i="6"/>
  <c r="AW554" i="6"/>
  <c r="BL554" i="6"/>
  <c r="AW553" i="6"/>
  <c r="BL553" i="6"/>
  <c r="AW552" i="6"/>
  <c r="BL552" i="6"/>
  <c r="AW551" i="6"/>
  <c r="BL551" i="6"/>
  <c r="AW550" i="6"/>
  <c r="BL550" i="6"/>
  <c r="AW549" i="6"/>
  <c r="BL549" i="6"/>
  <c r="AW548" i="6"/>
  <c r="BL548" i="6"/>
  <c r="AW547" i="6"/>
  <c r="BL547" i="6"/>
  <c r="AW546" i="6"/>
  <c r="BL546" i="6"/>
  <c r="AW545" i="6"/>
  <c r="BL545" i="6"/>
  <c r="AW544" i="6"/>
  <c r="BL544" i="6"/>
  <c r="AW543" i="6"/>
  <c r="BL543" i="6"/>
  <c r="AW542" i="6"/>
  <c r="BL542" i="6"/>
  <c r="AW541" i="6"/>
  <c r="BL541" i="6"/>
  <c r="AW540" i="6"/>
  <c r="BL540" i="6"/>
  <c r="AW539" i="6"/>
  <c r="BL539" i="6"/>
  <c r="AW538" i="6"/>
  <c r="BL538" i="6"/>
  <c r="AW537" i="6"/>
  <c r="BL537" i="6"/>
  <c r="AW536" i="6"/>
  <c r="BL536" i="6"/>
  <c r="AW535" i="6"/>
  <c r="BL535" i="6"/>
  <c r="AW534" i="6"/>
  <c r="BL534" i="6"/>
  <c r="AW533" i="6"/>
  <c r="BL533" i="6"/>
  <c r="AW532" i="6"/>
  <c r="BL532" i="6"/>
  <c r="AW531" i="6"/>
  <c r="BL531" i="6"/>
  <c r="AW530" i="6"/>
  <c r="BL530" i="6"/>
  <c r="AW529" i="6"/>
  <c r="BL529" i="6"/>
  <c r="AW528" i="6"/>
  <c r="BL528" i="6"/>
  <c r="AW527" i="6"/>
  <c r="BL527" i="6"/>
  <c r="AW526" i="6"/>
  <c r="BL526" i="6"/>
  <c r="AW525" i="6"/>
  <c r="BL525" i="6"/>
  <c r="AW524" i="6"/>
  <c r="BL524" i="6"/>
  <c r="AW523" i="6"/>
  <c r="BL523" i="6"/>
  <c r="AW522" i="6"/>
  <c r="BL522" i="6"/>
  <c r="AW521" i="6"/>
  <c r="BL521" i="6"/>
  <c r="AW520" i="6"/>
  <c r="BL520" i="6"/>
  <c r="AW519" i="6"/>
  <c r="BL519" i="6"/>
  <c r="AW518" i="6"/>
  <c r="BL518" i="6"/>
  <c r="AW517" i="6"/>
  <c r="BL517" i="6"/>
  <c r="AW516" i="6"/>
  <c r="BL516" i="6"/>
  <c r="AW515" i="6"/>
  <c r="BL515" i="6"/>
  <c r="AW514" i="6"/>
  <c r="BL514" i="6"/>
  <c r="AW513" i="6"/>
  <c r="BL513" i="6"/>
  <c r="AW512" i="6"/>
  <c r="BL512" i="6"/>
  <c r="AW511" i="6"/>
  <c r="BL511" i="6"/>
  <c r="AW510" i="6"/>
  <c r="BL510" i="6"/>
  <c r="AW509" i="6"/>
  <c r="BL509" i="6"/>
  <c r="AW508" i="6"/>
  <c r="BL508" i="6"/>
  <c r="AW507" i="6"/>
  <c r="BL507" i="6"/>
  <c r="AW506" i="6"/>
  <c r="BL506" i="6"/>
  <c r="AW505" i="6"/>
  <c r="BL505" i="6"/>
  <c r="AW504" i="6"/>
  <c r="BL504" i="6"/>
  <c r="AW503" i="6"/>
  <c r="BL503" i="6"/>
  <c r="AW502" i="6"/>
  <c r="BL502" i="6"/>
  <c r="AW501" i="6"/>
  <c r="BL501" i="6"/>
  <c r="AW500" i="6"/>
  <c r="BL500" i="6"/>
  <c r="AW499" i="6"/>
  <c r="BL499" i="6"/>
  <c r="AW498" i="6"/>
  <c r="BL498" i="6"/>
  <c r="AW497" i="6"/>
  <c r="BL497" i="6"/>
  <c r="AW496" i="6"/>
  <c r="BL496" i="6"/>
  <c r="AW495" i="6"/>
  <c r="BL495" i="6"/>
  <c r="AW494" i="6"/>
  <c r="BL494" i="6"/>
  <c r="AW493" i="6"/>
  <c r="BL493" i="6"/>
  <c r="AW492" i="6"/>
  <c r="BL492" i="6"/>
  <c r="AW491" i="6"/>
  <c r="BL491" i="6"/>
  <c r="AW490" i="6"/>
  <c r="BL490" i="6"/>
  <c r="AW489" i="6"/>
  <c r="BL489" i="6"/>
  <c r="AW488" i="6"/>
  <c r="BL488" i="6"/>
  <c r="AW487" i="6"/>
  <c r="BL487" i="6"/>
  <c r="AW486" i="6"/>
  <c r="BL486" i="6"/>
  <c r="AW485" i="6"/>
  <c r="BL485" i="6"/>
  <c r="AW484" i="6"/>
  <c r="BL484" i="6"/>
  <c r="AW483" i="6"/>
  <c r="BL483" i="6"/>
  <c r="AW482" i="6"/>
  <c r="BL482" i="6"/>
  <c r="AW481" i="6"/>
  <c r="BL481" i="6"/>
  <c r="AW480" i="6"/>
  <c r="BL480" i="6"/>
  <c r="AW479" i="6"/>
  <c r="BL479" i="6"/>
  <c r="AW478" i="6"/>
  <c r="BL478" i="6"/>
  <c r="AW477" i="6"/>
  <c r="BL477" i="6"/>
  <c r="AW476" i="6"/>
  <c r="BL476" i="6"/>
  <c r="AW475" i="6"/>
  <c r="BL475" i="6"/>
  <c r="AW474" i="6"/>
  <c r="BL474" i="6"/>
  <c r="AW473" i="6"/>
  <c r="BL473" i="6"/>
  <c r="AW472" i="6"/>
  <c r="BL472" i="6"/>
  <c r="AW471" i="6"/>
  <c r="BL471" i="6"/>
  <c r="AW470" i="6"/>
  <c r="BL470" i="6"/>
  <c r="AW469" i="6"/>
  <c r="BL469" i="6"/>
  <c r="AW468" i="6"/>
  <c r="BL468" i="6"/>
  <c r="AW467" i="6"/>
  <c r="BL467" i="6"/>
  <c r="AW466" i="6"/>
  <c r="BL466" i="6"/>
  <c r="AW465" i="6"/>
  <c r="BL465" i="6"/>
  <c r="AW464" i="6"/>
  <c r="BL464" i="6"/>
  <c r="AW463" i="6"/>
  <c r="BL463" i="6"/>
  <c r="AW462" i="6"/>
  <c r="BL462" i="6"/>
  <c r="AW461" i="6"/>
  <c r="BL461" i="6"/>
  <c r="AW460" i="6"/>
  <c r="BL460" i="6"/>
  <c r="AW459" i="6"/>
  <c r="BL459" i="6"/>
  <c r="AW458" i="6"/>
  <c r="BL458" i="6"/>
  <c r="AW457" i="6"/>
  <c r="BL457" i="6"/>
  <c r="AW456" i="6"/>
  <c r="BL456" i="6"/>
  <c r="AW455" i="6"/>
  <c r="BL455" i="6"/>
  <c r="AW454" i="6"/>
  <c r="BL454" i="6"/>
  <c r="AW453" i="6"/>
  <c r="BL453" i="6"/>
  <c r="AW452" i="6"/>
  <c r="BL452" i="6"/>
  <c r="AW451" i="6"/>
  <c r="BL451" i="6"/>
  <c r="AW450" i="6"/>
  <c r="BL450" i="6"/>
  <c r="AW449" i="6"/>
  <c r="BL449" i="6"/>
  <c r="AW448" i="6"/>
  <c r="BL448" i="6"/>
  <c r="AW447" i="6"/>
  <c r="BL447" i="6"/>
  <c r="AW446" i="6"/>
  <c r="BL446" i="6"/>
  <c r="AW445" i="6"/>
  <c r="BL445" i="6"/>
  <c r="AW444" i="6"/>
  <c r="BL444" i="6"/>
  <c r="AW443" i="6"/>
  <c r="BL443" i="6"/>
  <c r="AW442" i="6"/>
  <c r="BL442" i="6"/>
  <c r="AW441" i="6"/>
  <c r="BL441" i="6"/>
  <c r="AW440" i="6"/>
  <c r="BL440" i="6"/>
  <c r="AW439" i="6"/>
  <c r="BL439" i="6"/>
  <c r="AW438" i="6"/>
  <c r="BL438" i="6"/>
  <c r="AW437" i="6"/>
  <c r="BL437" i="6"/>
  <c r="AW436" i="6"/>
  <c r="BL436" i="6"/>
  <c r="AW435" i="6"/>
  <c r="BL435" i="6"/>
  <c r="AW434" i="6"/>
  <c r="BL434" i="6"/>
  <c r="AW433" i="6"/>
  <c r="BL433" i="6"/>
  <c r="AW432" i="6"/>
  <c r="BL432" i="6"/>
  <c r="AW431" i="6"/>
  <c r="BL431" i="6"/>
  <c r="AW430" i="6"/>
  <c r="BL430" i="6"/>
  <c r="AW429" i="6"/>
  <c r="BL429" i="6"/>
  <c r="AW428" i="6"/>
  <c r="BL428" i="6"/>
  <c r="AW427" i="6"/>
  <c r="BL427" i="6"/>
  <c r="AW426" i="6"/>
  <c r="BL426" i="6"/>
  <c r="AW425" i="6"/>
  <c r="BL425" i="6"/>
  <c r="AW424" i="6"/>
  <c r="BL424" i="6"/>
  <c r="AW423" i="6"/>
  <c r="BL423" i="6"/>
  <c r="AW422" i="6"/>
  <c r="BL422" i="6"/>
  <c r="AW421" i="6"/>
  <c r="BL421" i="6"/>
  <c r="AW420" i="6"/>
  <c r="BL420" i="6"/>
  <c r="AW419" i="6"/>
  <c r="BL419" i="6"/>
  <c r="AW418" i="6"/>
  <c r="BL418" i="6"/>
  <c r="AW417" i="6"/>
  <c r="BL417" i="6"/>
  <c r="AW416" i="6"/>
  <c r="BL416" i="6"/>
  <c r="AW415" i="6"/>
  <c r="BL415" i="6"/>
  <c r="AW414" i="6"/>
  <c r="BL414" i="6"/>
  <c r="AW413" i="6"/>
  <c r="BL413" i="6"/>
  <c r="AW412" i="6"/>
  <c r="BL412" i="6"/>
  <c r="AW411" i="6"/>
  <c r="BL411" i="6"/>
  <c r="AW410" i="6"/>
  <c r="BL410" i="6"/>
  <c r="AW409" i="6"/>
  <c r="BL409" i="6"/>
  <c r="AW408" i="6"/>
  <c r="BL408" i="6"/>
  <c r="AW407" i="6"/>
  <c r="BL407" i="6"/>
  <c r="AW406" i="6"/>
  <c r="BL406" i="6"/>
  <c r="AW405" i="6"/>
  <c r="BL405" i="6"/>
  <c r="AW404" i="6"/>
  <c r="BL404" i="6"/>
  <c r="AW403" i="6"/>
  <c r="BL403" i="6"/>
  <c r="AW402" i="6"/>
  <c r="BL402" i="6"/>
  <c r="AW401" i="6"/>
  <c r="BL401" i="6"/>
  <c r="AW400" i="6"/>
  <c r="BL400" i="6"/>
  <c r="AW399" i="6"/>
  <c r="BL399" i="6"/>
  <c r="AW398" i="6"/>
  <c r="BL398" i="6"/>
  <c r="AW397" i="6"/>
  <c r="BL397" i="6"/>
  <c r="AW396" i="6"/>
  <c r="BL396" i="6"/>
  <c r="AW395" i="6"/>
  <c r="BL395" i="6"/>
  <c r="AW394" i="6"/>
  <c r="BL394" i="6"/>
  <c r="AW393" i="6"/>
  <c r="BL393" i="6"/>
  <c r="AW392" i="6"/>
  <c r="BL392" i="6"/>
  <c r="AW391" i="6"/>
  <c r="BL391" i="6"/>
  <c r="AW390" i="6"/>
  <c r="BL390" i="6"/>
  <c r="AW389" i="6"/>
  <c r="BL389" i="6"/>
  <c r="AW388" i="6"/>
  <c r="BL388" i="6"/>
  <c r="AW387" i="6"/>
  <c r="BL387" i="6"/>
  <c r="AW386" i="6"/>
  <c r="BL386" i="6"/>
  <c r="AW385" i="6"/>
  <c r="BL385" i="6"/>
  <c r="AW384" i="6"/>
  <c r="BL384" i="6"/>
  <c r="AW383" i="6"/>
  <c r="BL383" i="6"/>
  <c r="AW382" i="6"/>
  <c r="BL382" i="6"/>
  <c r="AW381" i="6"/>
  <c r="BL381" i="6"/>
  <c r="AW380" i="6"/>
  <c r="BL380" i="6"/>
  <c r="AW379" i="6"/>
  <c r="BL379" i="6"/>
  <c r="AW378" i="6"/>
  <c r="BL378" i="6"/>
  <c r="AW377" i="6"/>
  <c r="BL377" i="6"/>
  <c r="AW376" i="6"/>
  <c r="BL376" i="6"/>
  <c r="AW375" i="6"/>
  <c r="BL375" i="6"/>
  <c r="AW374" i="6"/>
  <c r="BL374" i="6"/>
  <c r="AW373" i="6"/>
  <c r="BL373" i="6"/>
  <c r="AW372" i="6"/>
  <c r="BL372" i="6"/>
  <c r="AW371" i="6"/>
  <c r="BL371" i="6"/>
  <c r="AW370" i="6"/>
  <c r="BL370" i="6"/>
  <c r="AW369" i="6"/>
  <c r="BL369" i="6"/>
  <c r="AW368" i="6"/>
  <c r="BL368" i="6"/>
  <c r="AW367" i="6"/>
  <c r="BL367" i="6"/>
  <c r="AW366" i="6"/>
  <c r="BL366" i="6"/>
  <c r="AW365" i="6"/>
  <c r="BL365" i="6"/>
  <c r="AW364" i="6"/>
  <c r="BL364" i="6"/>
  <c r="AW363" i="6"/>
  <c r="BL363" i="6"/>
  <c r="AW362" i="6"/>
  <c r="BL362" i="6"/>
  <c r="AW361" i="6"/>
  <c r="BL361" i="6"/>
  <c r="AW360" i="6"/>
  <c r="BL360" i="6"/>
  <c r="AW359" i="6"/>
  <c r="BL359" i="6"/>
  <c r="AW358" i="6"/>
  <c r="BL358" i="6"/>
  <c r="AW357" i="6"/>
  <c r="BL357" i="6"/>
  <c r="AW356" i="6"/>
  <c r="BL356" i="6"/>
  <c r="AW355" i="6"/>
  <c r="BL355" i="6"/>
  <c r="AW354" i="6"/>
  <c r="BL354" i="6"/>
  <c r="AW353" i="6"/>
  <c r="BL353" i="6"/>
  <c r="AW352" i="6"/>
  <c r="BL352" i="6"/>
  <c r="AW351" i="6"/>
  <c r="BL351" i="6"/>
  <c r="AW350" i="6"/>
  <c r="BL350" i="6"/>
  <c r="AW349" i="6"/>
  <c r="BL349" i="6"/>
  <c r="AW348" i="6"/>
  <c r="BL348" i="6"/>
  <c r="AW347" i="6"/>
  <c r="BL347" i="6"/>
  <c r="AW346" i="6"/>
  <c r="BL346" i="6"/>
  <c r="AW345" i="6"/>
  <c r="BL345" i="6"/>
  <c r="AW344" i="6"/>
  <c r="BL344" i="6"/>
  <c r="AW343" i="6"/>
  <c r="BL343" i="6"/>
  <c r="AW342" i="6"/>
  <c r="BL342" i="6"/>
  <c r="AW341" i="6"/>
  <c r="BL341" i="6"/>
  <c r="AW340" i="6"/>
  <c r="BL340" i="6"/>
  <c r="AW339" i="6"/>
  <c r="BL339" i="6"/>
  <c r="AW338" i="6"/>
  <c r="BL338" i="6"/>
  <c r="AW337" i="6"/>
  <c r="BL337" i="6"/>
  <c r="AW336" i="6"/>
  <c r="BL336" i="6"/>
  <c r="AW335" i="6"/>
  <c r="BL335" i="6"/>
  <c r="AW334" i="6"/>
  <c r="BL334" i="6"/>
  <c r="AW333" i="6"/>
  <c r="BL333" i="6"/>
  <c r="AW332" i="6"/>
  <c r="BL332" i="6"/>
  <c r="AW331" i="6"/>
  <c r="BL331" i="6"/>
  <c r="AW330" i="6"/>
  <c r="BL330" i="6"/>
  <c r="AW329" i="6"/>
  <c r="BL329" i="6"/>
  <c r="AW328" i="6"/>
  <c r="BL328" i="6"/>
  <c r="AW327" i="6"/>
  <c r="BL327" i="6"/>
  <c r="AW326" i="6"/>
  <c r="BL326" i="6"/>
  <c r="AW325" i="6"/>
  <c r="BL325" i="6"/>
  <c r="AW324" i="6"/>
  <c r="BL324" i="6"/>
  <c r="AW323" i="6"/>
  <c r="BL323" i="6"/>
  <c r="AW322" i="6"/>
  <c r="BL322" i="6"/>
  <c r="AW321" i="6"/>
  <c r="BL321" i="6"/>
  <c r="AW320" i="6"/>
  <c r="BL320" i="6"/>
  <c r="AW319" i="6"/>
  <c r="BL319" i="6"/>
  <c r="AW318" i="6"/>
  <c r="BL318" i="6"/>
  <c r="AW317" i="6"/>
  <c r="BL317" i="6"/>
  <c r="AW316" i="6"/>
  <c r="BL316" i="6"/>
  <c r="AW315" i="6"/>
  <c r="BL315" i="6"/>
  <c r="AW314" i="6"/>
  <c r="BL314" i="6"/>
  <c r="AW313" i="6"/>
  <c r="BL313" i="6"/>
  <c r="AW312" i="6"/>
  <c r="BL312" i="6"/>
  <c r="AW311" i="6"/>
  <c r="BL311" i="6"/>
  <c r="AW310" i="6"/>
  <c r="BL310" i="6"/>
  <c r="AW309" i="6"/>
  <c r="BL309" i="6"/>
  <c r="AW308" i="6"/>
  <c r="BL308" i="6"/>
  <c r="AW307" i="6"/>
  <c r="BL307" i="6"/>
  <c r="AW306" i="6"/>
  <c r="BL306" i="6"/>
  <c r="AW305" i="6"/>
  <c r="BL305" i="6"/>
  <c r="AW304" i="6"/>
  <c r="BL304" i="6"/>
  <c r="AW303" i="6"/>
  <c r="BL303" i="6"/>
  <c r="AW302" i="6"/>
  <c r="BL302" i="6"/>
  <c r="AW301" i="6"/>
  <c r="BL301" i="6"/>
  <c r="AW300" i="6"/>
  <c r="BL300" i="6"/>
  <c r="AW299" i="6"/>
  <c r="BL299" i="6"/>
  <c r="AW298" i="6"/>
  <c r="BL298" i="6"/>
  <c r="AW297" i="6"/>
  <c r="BL297" i="6"/>
  <c r="AW296" i="6"/>
  <c r="BL296" i="6"/>
  <c r="AW295" i="6"/>
  <c r="BL295" i="6"/>
  <c r="AW294" i="6"/>
  <c r="BL294" i="6"/>
  <c r="AW293" i="6"/>
  <c r="BL293" i="6"/>
  <c r="AW292" i="6"/>
  <c r="BL292" i="6"/>
  <c r="AW291" i="6"/>
  <c r="BL291" i="6"/>
  <c r="AW290" i="6"/>
  <c r="BL290" i="6"/>
  <c r="AW289" i="6"/>
  <c r="BL289" i="6"/>
  <c r="AW288" i="6"/>
  <c r="BL288" i="6"/>
  <c r="AW287" i="6"/>
  <c r="BL287" i="6"/>
  <c r="AW286" i="6"/>
  <c r="BL286" i="6"/>
  <c r="AW285" i="6"/>
  <c r="BL285" i="6"/>
  <c r="AW284" i="6"/>
  <c r="BL284" i="6"/>
  <c r="AW283" i="6"/>
  <c r="BL283" i="6"/>
  <c r="AW282" i="6"/>
  <c r="BL282" i="6"/>
  <c r="AW281" i="6"/>
  <c r="BL281" i="6"/>
  <c r="AW280" i="6"/>
  <c r="BL280" i="6"/>
  <c r="AW279" i="6"/>
  <c r="BL279" i="6"/>
  <c r="AW278" i="6"/>
  <c r="BL278" i="6"/>
  <c r="AW277" i="6"/>
  <c r="BL277" i="6"/>
  <c r="AW276" i="6"/>
  <c r="BL276" i="6"/>
  <c r="AW275" i="6"/>
  <c r="BL275" i="6"/>
  <c r="AW274" i="6"/>
  <c r="BL274" i="6"/>
  <c r="AW273" i="6"/>
  <c r="BL273" i="6"/>
  <c r="AW272" i="6"/>
  <c r="BL272" i="6"/>
  <c r="AW271" i="6"/>
  <c r="BL271" i="6"/>
  <c r="AW270" i="6"/>
  <c r="BL270" i="6"/>
  <c r="AW269" i="6"/>
  <c r="BL269" i="6"/>
  <c r="AW268" i="6"/>
  <c r="BL268" i="6"/>
  <c r="AW267" i="6"/>
  <c r="BL267" i="6"/>
  <c r="AW266" i="6"/>
  <c r="BL266" i="6"/>
  <c r="AW265" i="6"/>
  <c r="BL265" i="6"/>
  <c r="AW264" i="6"/>
  <c r="BL264" i="6"/>
  <c r="AW263" i="6"/>
  <c r="BL263" i="6"/>
  <c r="AW262" i="6"/>
  <c r="BL262" i="6"/>
  <c r="AW261" i="6"/>
  <c r="BL261" i="6"/>
  <c r="AW260" i="6"/>
  <c r="BL260" i="6"/>
  <c r="AW259" i="6"/>
  <c r="BL259" i="6"/>
  <c r="AW258" i="6"/>
  <c r="BL258" i="6"/>
  <c r="AW257" i="6"/>
  <c r="BL257" i="6"/>
  <c r="AW256" i="6"/>
  <c r="BL256" i="6"/>
  <c r="AW255" i="6"/>
  <c r="BL255" i="6"/>
  <c r="AW254" i="6"/>
  <c r="BL254" i="6"/>
  <c r="AW253" i="6"/>
  <c r="BL253" i="6"/>
  <c r="AW252" i="6"/>
  <c r="BL252" i="6"/>
  <c r="AW251" i="6"/>
  <c r="BL251" i="6"/>
  <c r="AW250" i="6"/>
  <c r="BL250" i="6"/>
  <c r="AW249" i="6"/>
  <c r="BL249" i="6"/>
  <c r="AW248" i="6"/>
  <c r="BL248" i="6"/>
  <c r="AW247" i="6"/>
  <c r="BL247" i="6"/>
  <c r="AW246" i="6"/>
  <c r="BL246" i="6"/>
  <c r="AW245" i="6"/>
  <c r="BL245" i="6"/>
  <c r="AW244" i="6"/>
  <c r="BL244" i="6"/>
  <c r="AW243" i="6"/>
  <c r="BL243" i="6"/>
  <c r="AW242" i="6"/>
  <c r="BL242" i="6"/>
  <c r="AW241" i="6"/>
  <c r="BL241" i="6"/>
  <c r="AW240" i="6"/>
  <c r="BL240" i="6"/>
  <c r="AW239" i="6"/>
  <c r="BL239" i="6"/>
  <c r="AW238" i="6"/>
  <c r="BL238" i="6"/>
  <c r="AW237" i="6"/>
  <c r="BL237" i="6"/>
  <c r="AW236" i="6"/>
  <c r="BL236" i="6"/>
  <c r="AW235" i="6"/>
  <c r="BL235" i="6"/>
  <c r="AW234" i="6"/>
  <c r="BL234" i="6"/>
  <c r="AW233" i="6"/>
  <c r="BL233" i="6"/>
  <c r="AW232" i="6"/>
  <c r="BL232" i="6"/>
  <c r="AW231" i="6"/>
  <c r="BL231" i="6"/>
  <c r="AW230" i="6"/>
  <c r="BL230" i="6"/>
  <c r="AW229" i="6"/>
  <c r="BL229" i="6"/>
  <c r="AW228" i="6"/>
  <c r="BL228" i="6"/>
  <c r="AW227" i="6"/>
  <c r="BL227" i="6"/>
  <c r="AW226" i="6"/>
  <c r="BL226" i="6"/>
  <c r="AW225" i="6"/>
  <c r="BL225" i="6"/>
  <c r="AW224" i="6"/>
  <c r="BL224" i="6"/>
  <c r="AW223" i="6"/>
  <c r="BL223" i="6"/>
  <c r="AW222" i="6"/>
  <c r="BL222" i="6"/>
  <c r="AW221" i="6"/>
  <c r="BL221" i="6"/>
  <c r="AW220" i="6"/>
  <c r="BL220" i="6"/>
  <c r="AW219" i="6"/>
  <c r="BL219" i="6"/>
  <c r="AW218" i="6"/>
  <c r="BL218" i="6"/>
  <c r="AW217" i="6"/>
  <c r="BL217" i="6"/>
  <c r="AW216" i="6"/>
  <c r="BL216" i="6"/>
  <c r="AW215" i="6"/>
  <c r="BL215" i="6"/>
  <c r="AW214" i="6"/>
  <c r="BL214" i="6"/>
  <c r="AW213" i="6"/>
  <c r="BL213" i="6"/>
  <c r="AW212" i="6"/>
  <c r="BL212" i="6"/>
  <c r="AW211" i="6"/>
  <c r="BL211" i="6"/>
  <c r="AW210" i="6"/>
  <c r="BL210" i="6"/>
  <c r="AW209" i="6"/>
  <c r="BL209" i="6"/>
  <c r="AW208" i="6"/>
  <c r="BL208" i="6"/>
  <c r="AW207" i="6"/>
  <c r="BL207" i="6"/>
  <c r="AW206" i="6"/>
  <c r="BL206" i="6"/>
  <c r="AW205" i="6"/>
  <c r="BL205" i="6"/>
  <c r="AW204" i="6"/>
  <c r="BL204" i="6"/>
  <c r="AW203" i="6"/>
  <c r="BL203" i="6"/>
  <c r="AW202" i="6"/>
  <c r="BL202" i="6"/>
  <c r="AW201" i="6"/>
  <c r="BL201" i="6"/>
  <c r="AW200" i="6"/>
  <c r="BL200" i="6"/>
  <c r="AW199" i="6"/>
  <c r="BL199" i="6"/>
  <c r="AW198" i="6"/>
  <c r="BL198" i="6"/>
  <c r="AW197" i="6"/>
  <c r="BL197" i="6"/>
  <c r="AW196" i="6"/>
  <c r="BL196" i="6"/>
  <c r="AW195" i="6"/>
  <c r="BL195" i="6"/>
  <c r="AW194" i="6"/>
  <c r="BL194" i="6"/>
  <c r="AW193" i="6"/>
  <c r="BL193" i="6"/>
  <c r="AW192" i="6"/>
  <c r="BL192" i="6"/>
  <c r="AW191" i="6"/>
  <c r="BL191" i="6"/>
  <c r="AW190" i="6"/>
  <c r="BL190" i="6"/>
  <c r="AW189" i="6"/>
  <c r="BL189" i="6"/>
  <c r="AW188" i="6"/>
  <c r="BL188" i="6"/>
  <c r="AW187" i="6"/>
  <c r="BL187" i="6"/>
  <c r="AW186" i="6"/>
  <c r="BL186" i="6"/>
  <c r="AW185" i="6"/>
  <c r="BL185" i="6"/>
  <c r="AW184" i="6"/>
  <c r="BL184" i="6"/>
  <c r="AW183" i="6"/>
  <c r="BL183" i="6"/>
  <c r="AW182" i="6"/>
  <c r="BL182" i="6"/>
  <c r="AW181" i="6"/>
  <c r="BL181" i="6"/>
  <c r="AW180" i="6"/>
  <c r="BL180" i="6"/>
  <c r="AW179" i="6"/>
  <c r="BL179" i="6"/>
  <c r="AW178" i="6"/>
  <c r="BL178" i="6"/>
  <c r="AW177" i="6"/>
  <c r="BL177" i="6"/>
  <c r="AW176" i="6"/>
  <c r="BL176" i="6"/>
  <c r="AW175" i="6"/>
  <c r="BL175" i="6"/>
  <c r="AW174" i="6"/>
  <c r="BL174" i="6"/>
  <c r="AW173" i="6"/>
  <c r="BL173" i="6"/>
  <c r="AW172" i="6"/>
  <c r="BL172" i="6"/>
  <c r="AW171" i="6"/>
  <c r="BL171" i="6"/>
  <c r="AW170" i="6"/>
  <c r="BL170" i="6"/>
  <c r="AW169" i="6"/>
  <c r="BL169" i="6"/>
  <c r="AW168" i="6"/>
  <c r="BL168" i="6"/>
  <c r="AW167" i="6"/>
  <c r="BL167" i="6"/>
  <c r="AW166" i="6"/>
  <c r="BL166" i="6"/>
  <c r="AW165" i="6"/>
  <c r="BL165" i="6"/>
  <c r="AW164" i="6"/>
  <c r="BL164" i="6"/>
  <c r="AW163" i="6"/>
  <c r="BL163" i="6"/>
  <c r="AW162" i="6"/>
  <c r="BL162" i="6"/>
  <c r="AW161" i="6"/>
  <c r="BL161" i="6"/>
  <c r="AW160" i="6"/>
  <c r="BL160" i="6"/>
  <c r="AW159" i="6"/>
  <c r="BL159" i="6"/>
  <c r="AW158" i="6"/>
  <c r="BL158" i="6"/>
  <c r="AW157" i="6"/>
  <c r="BL157" i="6"/>
  <c r="AW156" i="6"/>
  <c r="BL156" i="6"/>
  <c r="AW155" i="6"/>
  <c r="BL155" i="6"/>
  <c r="AW154" i="6"/>
  <c r="BL154" i="6"/>
  <c r="AW153" i="6"/>
  <c r="BL153" i="6"/>
  <c r="AW152" i="6"/>
  <c r="BL152" i="6"/>
  <c r="AW151" i="6"/>
  <c r="BL151" i="6"/>
  <c r="AW150" i="6"/>
  <c r="BL150" i="6"/>
  <c r="AW149" i="6"/>
  <c r="BL149" i="6"/>
  <c r="AW148" i="6"/>
  <c r="BL148" i="6"/>
  <c r="AW147" i="6"/>
  <c r="BL147" i="6"/>
  <c r="AW146" i="6"/>
  <c r="BL146" i="6"/>
  <c r="AW145" i="6"/>
  <c r="BL145" i="6"/>
  <c r="AW144" i="6"/>
  <c r="BL144" i="6"/>
  <c r="AW143" i="6"/>
  <c r="BL143" i="6"/>
  <c r="AW142" i="6"/>
  <c r="BL142" i="6"/>
  <c r="AW141" i="6"/>
  <c r="BL141" i="6"/>
  <c r="AW140" i="6"/>
  <c r="BL140" i="6"/>
  <c r="AW139" i="6"/>
  <c r="BL139" i="6"/>
  <c r="AW138" i="6"/>
  <c r="BL138" i="6"/>
  <c r="AW137" i="6"/>
  <c r="BL137" i="6"/>
  <c r="AW136" i="6"/>
  <c r="BL136" i="6"/>
  <c r="AW135" i="6"/>
  <c r="BL135" i="6"/>
  <c r="AW134" i="6"/>
  <c r="BL134" i="6"/>
  <c r="AW133" i="6"/>
  <c r="BL133" i="6"/>
  <c r="AW132" i="6"/>
  <c r="BL132" i="6"/>
  <c r="AW131" i="6"/>
  <c r="BL131" i="6"/>
  <c r="AW130" i="6"/>
  <c r="BL130" i="6"/>
  <c r="AW129" i="6"/>
  <c r="BL129" i="6"/>
  <c r="AW128" i="6"/>
  <c r="BL128" i="6"/>
  <c r="AW127" i="6"/>
  <c r="BL127" i="6"/>
  <c r="AW126" i="6"/>
  <c r="BL126" i="6"/>
  <c r="AW125" i="6"/>
  <c r="BL125" i="6"/>
  <c r="AW124" i="6"/>
  <c r="BL124" i="6"/>
  <c r="AW123" i="6"/>
  <c r="BL123" i="6"/>
  <c r="AW122" i="6"/>
  <c r="BL122" i="6"/>
  <c r="AW121" i="6"/>
  <c r="BL121" i="6"/>
  <c r="AW120" i="6"/>
  <c r="BL120" i="6"/>
  <c r="AW119" i="6"/>
  <c r="BL119" i="6"/>
  <c r="AW118" i="6"/>
  <c r="BL118" i="6"/>
  <c r="AW117" i="6"/>
  <c r="BL117" i="6"/>
  <c r="AW116" i="6"/>
  <c r="BL116" i="6"/>
  <c r="AW115" i="6"/>
  <c r="BL115" i="6"/>
  <c r="AW114" i="6"/>
  <c r="BL114" i="6"/>
  <c r="AW113" i="6"/>
  <c r="BL113" i="6"/>
  <c r="AW112" i="6"/>
  <c r="BL112" i="6"/>
  <c r="AW111" i="6"/>
  <c r="BL111" i="6"/>
  <c r="AW110" i="6"/>
  <c r="BL110" i="6"/>
  <c r="AW109" i="6"/>
  <c r="BL109" i="6"/>
  <c r="AW108" i="6"/>
  <c r="BL108" i="6"/>
  <c r="AW107" i="6"/>
  <c r="BL107" i="6"/>
  <c r="AW106" i="6"/>
  <c r="BL106" i="6"/>
  <c r="AW105" i="6"/>
  <c r="BL105" i="6"/>
  <c r="AW104" i="6"/>
  <c r="BL104" i="6"/>
  <c r="AW103" i="6"/>
  <c r="BL103" i="6"/>
  <c r="AW102" i="6"/>
  <c r="BL102" i="6"/>
  <c r="AW101" i="6"/>
  <c r="BL101" i="6"/>
  <c r="AW100" i="6"/>
  <c r="BL100" i="6"/>
  <c r="AW99" i="6"/>
  <c r="BL99" i="6"/>
  <c r="AW98" i="6"/>
  <c r="BL98" i="6"/>
  <c r="AW97" i="6"/>
  <c r="BL97" i="6"/>
  <c r="AW96" i="6"/>
  <c r="BL96" i="6"/>
  <c r="AW95" i="6"/>
  <c r="BL95" i="6"/>
  <c r="AW94" i="6"/>
  <c r="BL94" i="6"/>
  <c r="AW93" i="6"/>
  <c r="BL93" i="6"/>
  <c r="AW92" i="6"/>
  <c r="BL92" i="6"/>
  <c r="AW91" i="6"/>
  <c r="BL91" i="6"/>
  <c r="AW90" i="6"/>
  <c r="BL90" i="6"/>
  <c r="AW89" i="6"/>
  <c r="BL89" i="6"/>
  <c r="AW88" i="6"/>
  <c r="BL88" i="6"/>
  <c r="AW87" i="6"/>
  <c r="BL87" i="6"/>
  <c r="AW86" i="6"/>
  <c r="BL86" i="6"/>
  <c r="AW85" i="6"/>
  <c r="BL85" i="6"/>
  <c r="AW84" i="6"/>
  <c r="BL84" i="6"/>
  <c r="AW83" i="6"/>
  <c r="BL83" i="6"/>
  <c r="AW82" i="6"/>
  <c r="BL82" i="6"/>
  <c r="AW81" i="6"/>
  <c r="BL81" i="6"/>
  <c r="AW80" i="6"/>
  <c r="BL80" i="6"/>
  <c r="AW79" i="6"/>
  <c r="BL79" i="6"/>
  <c r="AW78" i="6"/>
  <c r="BL78" i="6"/>
  <c r="AW77" i="6"/>
  <c r="BL77" i="6"/>
  <c r="AW76" i="6"/>
  <c r="BL76" i="6"/>
  <c r="AW75" i="6"/>
  <c r="BL75" i="6"/>
  <c r="AW74" i="6"/>
  <c r="BL74" i="6"/>
  <c r="AW73" i="6"/>
  <c r="BL73" i="6"/>
  <c r="AW72" i="6"/>
  <c r="BL72" i="6"/>
  <c r="AW71" i="6"/>
  <c r="BL71" i="6"/>
  <c r="AW70" i="6"/>
  <c r="BL70" i="6"/>
  <c r="AW69" i="6"/>
  <c r="BL69" i="6"/>
  <c r="AW68" i="6"/>
  <c r="BL68" i="6"/>
  <c r="AW67" i="6"/>
  <c r="BL67" i="6"/>
  <c r="AW66" i="6"/>
  <c r="BL66" i="6"/>
  <c r="AW65" i="6"/>
  <c r="BL65" i="6"/>
  <c r="AW64" i="6"/>
  <c r="BL64" i="6"/>
  <c r="AW63" i="6"/>
  <c r="BL63" i="6"/>
  <c r="AW62" i="6"/>
  <c r="BL62" i="6"/>
  <c r="AW61" i="6"/>
  <c r="BL61" i="6"/>
  <c r="AW60" i="6"/>
  <c r="BL60" i="6"/>
  <c r="AW59" i="6"/>
  <c r="BL59" i="6"/>
  <c r="AW58" i="6"/>
  <c r="BL58" i="6"/>
  <c r="AW57" i="6"/>
  <c r="BL57" i="6"/>
  <c r="AW56" i="6"/>
  <c r="BL56" i="6"/>
  <c r="AW55" i="6"/>
  <c r="BL55" i="6"/>
  <c r="AW54" i="6"/>
  <c r="BL54" i="6"/>
  <c r="AW53" i="6"/>
  <c r="BL53" i="6"/>
  <c r="AW52" i="6"/>
  <c r="BL52" i="6"/>
  <c r="AW51" i="6"/>
  <c r="BL51" i="6"/>
  <c r="AW50" i="6"/>
  <c r="BL50" i="6"/>
  <c r="AW49" i="6"/>
  <c r="BL49" i="6"/>
  <c r="AW48" i="6"/>
  <c r="BL48" i="6"/>
  <c r="AW47" i="6"/>
  <c r="BL47" i="6"/>
  <c r="AW46" i="6"/>
  <c r="BL46" i="6"/>
  <c r="AW45" i="6"/>
  <c r="BL45" i="6"/>
  <c r="AW44" i="6"/>
  <c r="BL44" i="6"/>
  <c r="AW43" i="6"/>
  <c r="BL43" i="6"/>
  <c r="AW42" i="6"/>
  <c r="BL42" i="6"/>
  <c r="AW41" i="6"/>
  <c r="BL41" i="6"/>
  <c r="AW40" i="6"/>
  <c r="BL40" i="6"/>
  <c r="AW39" i="6"/>
  <c r="BL39" i="6"/>
  <c r="AW38" i="6"/>
  <c r="BL38" i="6"/>
  <c r="AW37" i="6"/>
  <c r="BL37" i="6"/>
  <c r="AW36" i="6"/>
  <c r="BL36" i="6"/>
  <c r="AW35" i="6"/>
  <c r="BL35" i="6"/>
  <c r="AW34" i="6"/>
  <c r="BL34" i="6"/>
  <c r="AW33" i="6"/>
  <c r="BL33" i="6"/>
  <c r="AW32" i="6"/>
  <c r="BL32" i="6"/>
  <c r="AW31" i="6"/>
  <c r="BL31" i="6"/>
  <c r="AW30" i="6"/>
  <c r="BL30" i="6"/>
  <c r="AW29" i="6"/>
  <c r="BL29" i="6"/>
  <c r="AW28" i="6"/>
  <c r="BL28" i="6"/>
  <c r="AW27" i="6"/>
  <c r="BL27" i="6"/>
  <c r="AW26" i="6"/>
  <c r="BL26" i="6"/>
  <c r="AW25" i="6"/>
  <c r="BL25" i="6"/>
  <c r="AW24" i="6"/>
  <c r="BL24" i="6"/>
  <c r="AW23" i="6"/>
  <c r="BL23" i="6"/>
  <c r="AW22" i="6"/>
  <c r="BL22" i="6"/>
  <c r="AW21" i="6"/>
  <c r="BL21" i="6"/>
  <c r="AW20" i="6"/>
  <c r="BL20" i="6"/>
  <c r="AW19" i="6"/>
  <c r="BL19" i="6"/>
  <c r="AW18" i="6"/>
  <c r="BL18" i="6"/>
  <c r="AW17" i="6"/>
  <c r="BL17" i="6"/>
  <c r="AW16" i="6"/>
  <c r="BL16" i="6"/>
  <c r="AW15" i="6"/>
  <c r="BL15" i="6"/>
  <c r="AW14" i="6"/>
  <c r="BL14" i="6"/>
  <c r="AW13" i="6"/>
  <c r="BL13" i="6"/>
  <c r="AW12" i="6"/>
  <c r="BL12" i="6"/>
  <c r="AW11" i="6"/>
  <c r="BL11" i="6"/>
  <c r="AW10" i="6"/>
  <c r="BL10" i="6"/>
  <c r="AW9" i="6"/>
  <c r="BL9" i="6"/>
  <c r="AW8" i="6"/>
  <c r="BL8" i="6"/>
  <c r="AW7" i="6"/>
  <c r="BL7" i="6"/>
  <c r="AW6" i="6"/>
  <c r="BL6" i="6"/>
  <c r="AW5" i="6"/>
  <c r="BL5" i="6"/>
  <c r="AW4" i="6"/>
  <c r="BL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<sst xmlns="http://schemas.openxmlformats.org/spreadsheetml/2006/main" count="49761" uniqueCount="5954">
  <si>
    <t>Employee_ID</t>
  </si>
  <si>
    <t>Full_Name</t>
  </si>
  <si>
    <t>Gender</t>
  </si>
  <si>
    <t>Department</t>
  </si>
  <si>
    <t>Designation</t>
  </si>
  <si>
    <t>Company</t>
  </si>
  <si>
    <t>City</t>
  </si>
  <si>
    <t>Salary_Monthly</t>
  </si>
  <si>
    <t>Joining_Date</t>
  </si>
  <si>
    <t>Experience_Years</t>
  </si>
  <si>
    <t>Performance_Rating</t>
  </si>
  <si>
    <t>Employment_Status</t>
  </si>
  <si>
    <t>Manager_ID</t>
  </si>
  <si>
    <t>EMP0001</t>
  </si>
  <si>
    <t>Priyanka Jena</t>
  </si>
  <si>
    <t>F</t>
  </si>
  <si>
    <t>DevOps</t>
  </si>
  <si>
    <t>SRE</t>
  </si>
  <si>
    <t>CoastalDev Studio</t>
  </si>
  <si>
    <t>Bhubaneswar</t>
  </si>
  <si>
    <t>Bikash Biswal</t>
  </si>
  <si>
    <t>EMP0002</t>
  </si>
  <si>
    <t>Ranjit Samal</t>
  </si>
  <si>
    <t>female</t>
  </si>
  <si>
    <t>Design</t>
  </si>
  <si>
    <t>UI Designer</t>
  </si>
  <si>
    <t>InfySoft Bhubaneswar</t>
  </si>
  <si>
    <t>Puri</t>
  </si>
  <si>
    <t>05-03-2022</t>
  </si>
  <si>
    <t>Resigned</t>
  </si>
  <si>
    <t>EMP0003</t>
  </si>
  <si>
    <t>Subhasree Dhal</t>
  </si>
  <si>
    <t>NilGiri Digitals</t>
  </si>
  <si>
    <t>Berhampur</t>
  </si>
  <si>
    <t>07-03-2021</t>
  </si>
  <si>
    <t>Active</t>
  </si>
  <si>
    <t>EMP0004</t>
  </si>
  <si>
    <t>Bikash Jena</t>
  </si>
  <si>
    <t>male</t>
  </si>
  <si>
    <t>Engineering</t>
  </si>
  <si>
    <t>Tech Lead</t>
  </si>
  <si>
    <t>21-03-2021</t>
  </si>
  <si>
    <t>On Leave</t>
  </si>
  <si>
    <t>EMP0005</t>
  </si>
  <si>
    <t>Bikash Nanda</t>
  </si>
  <si>
    <t>Design Lead</t>
  </si>
  <si>
    <t>SambalpurNet</t>
  </si>
  <si>
    <t>Cuttack</t>
  </si>
  <si>
    <t>21-07-2023</t>
  </si>
  <si>
    <t>EMP0006</t>
  </si>
  <si>
    <t>Tapas Sahu</t>
  </si>
  <si>
    <t>Sales</t>
  </si>
  <si>
    <t>Account Manager</t>
  </si>
  <si>
    <t>BlueLotus IT</t>
  </si>
  <si>
    <t>31-07-2022</t>
  </si>
  <si>
    <t>EMP0007</t>
  </si>
  <si>
    <t>Jyotirmayee Ratha</t>
  </si>
  <si>
    <t>Female</t>
  </si>
  <si>
    <t>Rourkela</t>
  </si>
  <si>
    <t>28-12-2018</t>
  </si>
  <si>
    <t>EMP0008</t>
  </si>
  <si>
    <t>Tanmay Nanda</t>
  </si>
  <si>
    <t>Male</t>
  </si>
  <si>
    <t>Product</t>
  </si>
  <si>
    <t>Associate PM</t>
  </si>
  <si>
    <t>TributeAI</t>
  </si>
  <si>
    <t>2023-01-31</t>
  </si>
  <si>
    <t>EMP0009</t>
  </si>
  <si>
    <t>Bikash Routray</t>
  </si>
  <si>
    <t>Business Developer</t>
  </si>
  <si>
    <t>OdishaCode Labs</t>
  </si>
  <si>
    <t>14-11-2018</t>
  </si>
  <si>
    <t>EMP0010</t>
  </si>
  <si>
    <t>Sudhansu Dhal</t>
  </si>
  <si>
    <t>UX Researcher</t>
  </si>
  <si>
    <t>KalingaTech Pvt Ltd</t>
  </si>
  <si>
    <t>21-02-2022</t>
  </si>
  <si>
    <t>EMP0011</t>
  </si>
  <si>
    <t>Lipsa Prusty</t>
  </si>
  <si>
    <t>Software Engineer</t>
  </si>
  <si>
    <t>22-03-2020</t>
  </si>
  <si>
    <t>EMP0012</t>
  </si>
  <si>
    <t>Puspita Mahapatra</t>
  </si>
  <si>
    <t>M</t>
  </si>
  <si>
    <t>HR</t>
  </si>
  <si>
    <t>Talent Acquisition</t>
  </si>
  <si>
    <t>03-09-2023</t>
  </si>
  <si>
    <t>EMP0013</t>
  </si>
  <si>
    <t>Nirmal Samal</t>
  </si>
  <si>
    <t>Data Science</t>
  </si>
  <si>
    <t>Data Analyst</t>
  </si>
  <si>
    <t>01-08-2022</t>
  </si>
  <si>
    <t>EMP0014</t>
  </si>
  <si>
    <t>Chinmaya Ratha</t>
  </si>
  <si>
    <t>Visual Designer</t>
  </si>
  <si>
    <t>26-01-2020</t>
  </si>
  <si>
    <t>EMP0015</t>
  </si>
  <si>
    <t>Tanmay Jena</t>
  </si>
  <si>
    <t>Cloud Architect</t>
  </si>
  <si>
    <t>10-11-2019</t>
  </si>
  <si>
    <t>EMP0016</t>
  </si>
  <si>
    <t>Sudhansu Behura</t>
  </si>
  <si>
    <t>2021-05-06</t>
  </si>
  <si>
    <t>EMP0017</t>
  </si>
  <si>
    <t>Sangita Padhi</t>
  </si>
  <si>
    <t>Sales Manager</t>
  </si>
  <si>
    <t>08-11-2023</t>
  </si>
  <si>
    <t>EMP0018</t>
  </si>
  <si>
    <t>Barsha Prusty</t>
  </si>
  <si>
    <t>Architect</t>
  </si>
  <si>
    <t>20-08-2021</t>
  </si>
  <si>
    <t>EMP0019</t>
  </si>
  <si>
    <t>Lipsa Behura</t>
  </si>
  <si>
    <t>Data Scientist</t>
  </si>
  <si>
    <t>UtkalSoft Technologies</t>
  </si>
  <si>
    <t>20-02-2020</t>
  </si>
  <si>
    <t>EMP0020</t>
  </si>
  <si>
    <t>Namita Sahu</t>
  </si>
  <si>
    <t>Marketing</t>
  </si>
  <si>
    <t>Digital Marketer</t>
  </si>
  <si>
    <t>09-10-2019</t>
  </si>
  <si>
    <t>EMP0021</t>
  </si>
  <si>
    <t>Sudhansu Choudhury</t>
  </si>
  <si>
    <t>Sr DevOps</t>
  </si>
  <si>
    <t>09-03-2020</t>
  </si>
  <si>
    <t>EMP0022</t>
  </si>
  <si>
    <t>Sudhansu Mohapatra</t>
  </si>
  <si>
    <t>28-02-2024</t>
  </si>
  <si>
    <t>EMP0023</t>
  </si>
  <si>
    <t>Barsha Choudhury</t>
  </si>
  <si>
    <t>22-06-2022</t>
  </si>
  <si>
    <t>EMP0024</t>
  </si>
  <si>
    <t>Smita Tripathy</t>
  </si>
  <si>
    <t>QA</t>
  </si>
  <si>
    <t>Test Analyst</t>
  </si>
  <si>
    <t>15-12-2019</t>
  </si>
  <si>
    <t>EMP0025</t>
  </si>
  <si>
    <t>Alka Padhi</t>
  </si>
  <si>
    <t>HR Executive</t>
  </si>
  <si>
    <t>18-04-2019</t>
  </si>
  <si>
    <t>EMP0026</t>
  </si>
  <si>
    <t>Saurav Routray</t>
  </si>
  <si>
    <t>30-08-2020</t>
  </si>
  <si>
    <t>EMP0027</t>
  </si>
  <si>
    <t>Ranjit Dhal</t>
  </si>
  <si>
    <t>Product Owner</t>
  </si>
  <si>
    <t>09-04-2019</t>
  </si>
  <si>
    <t>EMP0028</t>
  </si>
  <si>
    <t>Soumya Senapati</t>
  </si>
  <si>
    <t>SilverByte Systems</t>
  </si>
  <si>
    <t>05-02-2020</t>
  </si>
  <si>
    <t>EMP0029</t>
  </si>
  <si>
    <t>Dibya Senapati</t>
  </si>
  <si>
    <t>QA Engineer</t>
  </si>
  <si>
    <t>EMP0030</t>
  </si>
  <si>
    <t>Puspita Mohapatra</t>
  </si>
  <si>
    <t>09-11-2022</t>
  </si>
  <si>
    <t>EMP0031</t>
  </si>
  <si>
    <t>Barsha Mohapatra</t>
  </si>
  <si>
    <t>25-11-2019</t>
  </si>
  <si>
    <t>EMP0032</t>
  </si>
  <si>
    <t>Satyajit Mahapatra</t>
  </si>
  <si>
    <t>QA Lead</t>
  </si>
  <si>
    <t>18-02-2018</t>
  </si>
  <si>
    <t>EMP0033</t>
  </si>
  <si>
    <t>Priyanka Ratha</t>
  </si>
  <si>
    <t>22-02-2024</t>
  </si>
  <si>
    <t>EMP0034</t>
  </si>
  <si>
    <t>Chinmaya Prusty</t>
  </si>
  <si>
    <t>19-07-2020</t>
  </si>
  <si>
    <t>EMP0035</t>
  </si>
  <si>
    <t>Tanmay Padhi</t>
  </si>
  <si>
    <t>TechNova Solutions</t>
  </si>
  <si>
    <t>05-02-2023</t>
  </si>
  <si>
    <t>EMP0036</t>
  </si>
  <si>
    <t>Saurav Biswal</t>
  </si>
  <si>
    <t>Finance</t>
  </si>
  <si>
    <t>Finance Analyst</t>
  </si>
  <si>
    <t>16-09-2018</t>
  </si>
  <si>
    <t>EMP0037</t>
  </si>
  <si>
    <t>Saurav Nanda</t>
  </si>
  <si>
    <t>Content Strategist</t>
  </si>
  <si>
    <t>21-09-2018</t>
  </si>
  <si>
    <t>EMP0038</t>
  </si>
  <si>
    <t>Alka Nanda</t>
  </si>
  <si>
    <t>07-12-2022</t>
  </si>
  <si>
    <t>EMP0039</t>
  </si>
  <si>
    <t>Puspita Nanda</t>
  </si>
  <si>
    <t>15-06-2021</t>
  </si>
  <si>
    <t>EMP0040</t>
  </si>
  <si>
    <t>Chinmaya Biswal</t>
  </si>
  <si>
    <t>10-08-2023</t>
  </si>
  <si>
    <t>EMP0041</t>
  </si>
  <si>
    <t>Sangita Ratha</t>
  </si>
  <si>
    <t>20-09-2019</t>
  </si>
  <si>
    <t>EMP0042</t>
  </si>
  <si>
    <t>Sangita Jena</t>
  </si>
  <si>
    <t>Senior Developer</t>
  </si>
  <si>
    <t>04-12-2021</t>
  </si>
  <si>
    <t>EMP0043</t>
  </si>
  <si>
    <t>Rahul Ratha</t>
  </si>
  <si>
    <t>18-01-2020</t>
  </si>
  <si>
    <t>EMP0044</t>
  </si>
  <si>
    <t>Nirmal Padhi</t>
  </si>
  <si>
    <t>HR Manager</t>
  </si>
  <si>
    <t>2020-05-30</t>
  </si>
  <si>
    <t>EMP0045</t>
  </si>
  <si>
    <t>Dibya Prusty</t>
  </si>
  <si>
    <t>11-03-2020</t>
  </si>
  <si>
    <t>EMP0046</t>
  </si>
  <si>
    <t>Ipsita Routray</t>
  </si>
  <si>
    <t>21-11-2021</t>
  </si>
  <si>
    <t>EMP0047</t>
  </si>
  <si>
    <t>Puspita Jena</t>
  </si>
  <si>
    <t>ZeroOneSystems</t>
  </si>
  <si>
    <t>13-07-2020</t>
  </si>
  <si>
    <t>EMP0048</t>
  </si>
  <si>
    <t>Sangita Biswal</t>
  </si>
  <si>
    <t>30-06-2019</t>
  </si>
  <si>
    <t>EMP0049</t>
  </si>
  <si>
    <t>Debasmita Mishra</t>
  </si>
  <si>
    <t>BI Developer</t>
  </si>
  <si>
    <t>06-03-2021</t>
  </si>
  <si>
    <t>EMP0050</t>
  </si>
  <si>
    <t>Bikash Dhal</t>
  </si>
  <si>
    <t>Product Manager</t>
  </si>
  <si>
    <t>16-06-2024</t>
  </si>
  <si>
    <t>EMP0051</t>
  </si>
  <si>
    <t>Sudhansu Nanda</t>
  </si>
  <si>
    <t>Accountant</t>
  </si>
  <si>
    <t>31-08-2020</t>
  </si>
  <si>
    <t>EMP0052</t>
  </si>
  <si>
    <t>Ranjit Mishra</t>
  </si>
  <si>
    <t>26-03-2021</t>
  </si>
  <si>
    <t>EMP0053</t>
  </si>
  <si>
    <t>Jyotirmayee Dhal</t>
  </si>
  <si>
    <t>15-01-2022</t>
  </si>
  <si>
    <t>EMP0054</t>
  </si>
  <si>
    <t>Ankita Nanda</t>
  </si>
  <si>
    <t>18-08-2020</t>
  </si>
  <si>
    <t>EMP0055</t>
  </si>
  <si>
    <t>Soumya Nanda</t>
  </si>
  <si>
    <t>Junior Developer</t>
  </si>
  <si>
    <t>04-09-2020</t>
  </si>
  <si>
    <t>EMP0056</t>
  </si>
  <si>
    <t>14-05-2022</t>
  </si>
  <si>
    <t>EMP0057</t>
  </si>
  <si>
    <t>Prasant Mahapatra</t>
  </si>
  <si>
    <t>01-06-2018</t>
  </si>
  <si>
    <t>EMP0058</t>
  </si>
  <si>
    <t>Aditya Choudhury</t>
  </si>
  <si>
    <t>30-11-2018</t>
  </si>
  <si>
    <t>EMP0059</t>
  </si>
  <si>
    <t>Debasmita Samal</t>
  </si>
  <si>
    <t>Brand Manager</t>
  </si>
  <si>
    <t>04-09-2018</t>
  </si>
  <si>
    <t>EMP0060</t>
  </si>
  <si>
    <t>design</t>
  </si>
  <si>
    <t>29-01-2023</t>
  </si>
  <si>
    <t>EMP0061</t>
  </si>
  <si>
    <t>Aditya Prusty</t>
  </si>
  <si>
    <t>26-11-2019</t>
  </si>
  <si>
    <t>EMP0062</t>
  </si>
  <si>
    <t>Satyajit Choudhury</t>
  </si>
  <si>
    <t>15-02-2023</t>
  </si>
  <si>
    <t>EMP0063</t>
  </si>
  <si>
    <t>Nirmal Sahoo</t>
  </si>
  <si>
    <t>06-04-2023</t>
  </si>
  <si>
    <t>EMP0064</t>
  </si>
  <si>
    <t>Prasant Mishra</t>
  </si>
  <si>
    <t>03-01-2024</t>
  </si>
  <si>
    <t>EMP0065</t>
  </si>
  <si>
    <t>Priyanka Behura</t>
  </si>
  <si>
    <t>09-03-2024</t>
  </si>
  <si>
    <t>EMP0066</t>
  </si>
  <si>
    <t>02-12-2018</t>
  </si>
  <si>
    <t>EMP0067</t>
  </si>
  <si>
    <t>Debasmita Routray</t>
  </si>
  <si>
    <t>20-06-2019</t>
  </si>
  <si>
    <t>EMP0068</t>
  </si>
  <si>
    <t>Amlan Behura</t>
  </si>
  <si>
    <t>2023-04-12</t>
  </si>
  <si>
    <t>EMP0069</t>
  </si>
  <si>
    <t>Jyotirmayee Mishra</t>
  </si>
  <si>
    <t>13-04-2024</t>
  </si>
  <si>
    <t>EMP0070</t>
  </si>
  <si>
    <t>Debasmita Ratha</t>
  </si>
  <si>
    <t>04-12-2018</t>
  </si>
  <si>
    <t>EMP0071</t>
  </si>
  <si>
    <t>Sudhansu Senapati</t>
  </si>
  <si>
    <t>16-06-2022</t>
  </si>
  <si>
    <t>EMP0072</t>
  </si>
  <si>
    <t>Puspita Padhi</t>
  </si>
  <si>
    <t>03-11-2021</t>
  </si>
  <si>
    <t>EMP0073</t>
  </si>
  <si>
    <t>06-04-2020</t>
  </si>
  <si>
    <t>EMP0074</t>
  </si>
  <si>
    <t>Debasmita Sahoo</t>
  </si>
  <si>
    <t>15-01-2021</t>
  </si>
  <si>
    <t>EMP0075</t>
  </si>
  <si>
    <t>Ipsita Mishra</t>
  </si>
  <si>
    <t>qa</t>
  </si>
  <si>
    <t>16-04-2022</t>
  </si>
  <si>
    <t>EMP0076</t>
  </si>
  <si>
    <t>05-08-2020</t>
  </si>
  <si>
    <t>EMP0077</t>
  </si>
  <si>
    <t>Bikash Behura</t>
  </si>
  <si>
    <t>2020-03-26</t>
  </si>
  <si>
    <t>EMP0078</t>
  </si>
  <si>
    <t>05-08-2023</t>
  </si>
  <si>
    <t>EMP0079</t>
  </si>
  <si>
    <t>Sudhansu Jena</t>
  </si>
  <si>
    <t>21-10-2020</t>
  </si>
  <si>
    <t>EMP0080</t>
  </si>
  <si>
    <t>Ipsita Dhal</t>
  </si>
  <si>
    <t>09-06-2024</t>
  </si>
  <si>
    <t>EMP0081</t>
  </si>
  <si>
    <t>Soumya Behura</t>
  </si>
  <si>
    <t>29-06-2021</t>
  </si>
  <si>
    <t>EMP0082</t>
  </si>
  <si>
    <t>Rajan Prusty</t>
  </si>
  <si>
    <t>03-08-2021</t>
  </si>
  <si>
    <t>EMP0083</t>
  </si>
  <si>
    <t>Subhasree Senapati</t>
  </si>
  <si>
    <t>10-11-2020</t>
  </si>
  <si>
    <t>EMP0084</t>
  </si>
  <si>
    <t>08-10-2019</t>
  </si>
  <si>
    <t>EMP0085</t>
  </si>
  <si>
    <t>Prasant Biswal</t>
  </si>
  <si>
    <t>13-12-2018</t>
  </si>
  <si>
    <t>EMP0086</t>
  </si>
  <si>
    <t>Tapas Sahoo</t>
  </si>
  <si>
    <t>05-02-2021</t>
  </si>
  <si>
    <t>EMP0087</t>
  </si>
  <si>
    <t>Ipsita Ratha</t>
  </si>
  <si>
    <t>DevOps Engineer</t>
  </si>
  <si>
    <t>26-05-2021</t>
  </si>
  <si>
    <t>EMP0088</t>
  </si>
  <si>
    <t>Ankita Ratha</t>
  </si>
  <si>
    <t>20-11-2021</t>
  </si>
  <si>
    <t>EMP0089</t>
  </si>
  <si>
    <t>Jyotirmayee Sahoo</t>
  </si>
  <si>
    <t>25-08-2023</t>
  </si>
  <si>
    <t>EMP0090</t>
  </si>
  <si>
    <t>Namita Pattnaik</t>
  </si>
  <si>
    <t>05-02-2019</t>
  </si>
  <si>
    <t>EMP0091</t>
  </si>
  <si>
    <t>28-03-2021</t>
  </si>
  <si>
    <t>EMP0092</t>
  </si>
  <si>
    <t>Sudhansu Samal</t>
  </si>
  <si>
    <t>29-09-2022</t>
  </si>
  <si>
    <t>EMP0093</t>
  </si>
  <si>
    <t>11-04-2024</t>
  </si>
  <si>
    <t>EMP0094</t>
  </si>
  <si>
    <t>Abhishek Parida</t>
  </si>
  <si>
    <t>20-08-2022</t>
  </si>
  <si>
    <t>EMP0095</t>
  </si>
  <si>
    <t>14-07-2022</t>
  </si>
  <si>
    <t>EMP0096</t>
  </si>
  <si>
    <t>CFO</t>
  </si>
  <si>
    <t>28-05-2023</t>
  </si>
  <si>
    <t>EMP0097</t>
  </si>
  <si>
    <t>30-11-2020</t>
  </si>
  <si>
    <t>EMP0098</t>
  </si>
  <si>
    <t>Jyotirmayee Nanda</t>
  </si>
  <si>
    <t>10-02-2018</t>
  </si>
  <si>
    <t>EMP0099</t>
  </si>
  <si>
    <t>Tapas Padhi</t>
  </si>
  <si>
    <t>17-11-2021</t>
  </si>
  <si>
    <t>EMP0100</t>
  </si>
  <si>
    <t>23-05-2022</t>
  </si>
  <si>
    <t>EMP0101</t>
  </si>
  <si>
    <t>Saurav Mahapatra</t>
  </si>
  <si>
    <t>17-03-2018</t>
  </si>
  <si>
    <t>EMP0102</t>
  </si>
  <si>
    <t>Sangita Parida</t>
  </si>
  <si>
    <t>ML Engineer</t>
  </si>
  <si>
    <t>EMP0103</t>
  </si>
  <si>
    <t>Tapas Samal</t>
  </si>
  <si>
    <t>19-08-2022</t>
  </si>
  <si>
    <t>EMP0104</t>
  </si>
  <si>
    <t>06-05-2020</t>
  </si>
  <si>
    <t>EMP0105</t>
  </si>
  <si>
    <t>Barsha Mahapatra</t>
  </si>
  <si>
    <t>29-08-2021</t>
  </si>
  <si>
    <t>EMP0106</t>
  </si>
  <si>
    <t>Namita Sahoo</t>
  </si>
  <si>
    <t>14-06-2020</t>
  </si>
  <si>
    <t>EMP0107</t>
  </si>
  <si>
    <t>Rahul Prusty</t>
  </si>
  <si>
    <t>EMP0108</t>
  </si>
  <si>
    <t>Chinmaya Jena</t>
  </si>
  <si>
    <t>09-03-2021</t>
  </si>
  <si>
    <t>EMP0109</t>
  </si>
  <si>
    <t>10-05-2019</t>
  </si>
  <si>
    <t>EMP0110</t>
  </si>
  <si>
    <t>14-11-2019</t>
  </si>
  <si>
    <t>EMP0111</t>
  </si>
  <si>
    <t>Tanmay Prusty</t>
  </si>
  <si>
    <t>29-04-2021</t>
  </si>
  <si>
    <t>EMP0112</t>
  </si>
  <si>
    <t>Namita Mishra</t>
  </si>
  <si>
    <t>09-03-2018</t>
  </si>
  <si>
    <t>EMP0113</t>
  </si>
  <si>
    <t>Nirmal Choudhury</t>
  </si>
  <si>
    <t>03-05-2020</t>
  </si>
  <si>
    <t>EMP0114</t>
  </si>
  <si>
    <t>26-02-2023</t>
  </si>
  <si>
    <t>EMP0115</t>
  </si>
  <si>
    <t>Puspita Behura</t>
  </si>
  <si>
    <t>sales</t>
  </si>
  <si>
    <t>30-04-2018</t>
  </si>
  <si>
    <t>EMP0116</t>
  </si>
  <si>
    <t>Smita Nanda</t>
  </si>
  <si>
    <t>devops</t>
  </si>
  <si>
    <t>13-03-2018</t>
  </si>
  <si>
    <t>EMP0117</t>
  </si>
  <si>
    <t>Dibya Parida</t>
  </si>
  <si>
    <t>11-01-2018</t>
  </si>
  <si>
    <t>EMP0118</t>
  </si>
  <si>
    <t>Satyajit Mishra</t>
  </si>
  <si>
    <t>26-09-2020</t>
  </si>
  <si>
    <t>EMP0119</t>
  </si>
  <si>
    <t>25-07-2018</t>
  </si>
  <si>
    <t>EMP0120</t>
  </si>
  <si>
    <t>Sangita Senapati</t>
  </si>
  <si>
    <t>15-09-2022</t>
  </si>
  <si>
    <t>EMP0121</t>
  </si>
  <si>
    <t>Puspita Pattnaik</t>
  </si>
  <si>
    <t>01-05-2022</t>
  </si>
  <si>
    <t>EMP0122</t>
  </si>
  <si>
    <t>21-11-2020</t>
  </si>
  <si>
    <t>EMP0123</t>
  </si>
  <si>
    <t>Namita Mahapatra</t>
  </si>
  <si>
    <t>EMP0124</t>
  </si>
  <si>
    <t>Namita Nanda</t>
  </si>
  <si>
    <t>28-01-2024</t>
  </si>
  <si>
    <t>EMP0125</t>
  </si>
  <si>
    <t>24-06-2024</t>
  </si>
  <si>
    <t>EMP0126</t>
  </si>
  <si>
    <t>Satyajit Jena</t>
  </si>
  <si>
    <t>26-07-2019</t>
  </si>
  <si>
    <t>EMP0127</t>
  </si>
  <si>
    <t>Rajan Mishra</t>
  </si>
  <si>
    <t>04-08-2021</t>
  </si>
  <si>
    <t>EMP0128</t>
  </si>
  <si>
    <t>Saurav Dhal</t>
  </si>
  <si>
    <t>07-03-2020</t>
  </si>
  <si>
    <t>EMP0129</t>
  </si>
  <si>
    <t>Debasmita Tripathy</t>
  </si>
  <si>
    <t>19-09-2020</t>
  </si>
  <si>
    <t>EMP0130</t>
  </si>
  <si>
    <t>Lipsa Nanda</t>
  </si>
  <si>
    <t>09-04-2023</t>
  </si>
  <si>
    <t>EMP0131</t>
  </si>
  <si>
    <t>17-05-2018</t>
  </si>
  <si>
    <t>EMP0132</t>
  </si>
  <si>
    <t>Ipsita Pattnaik</t>
  </si>
  <si>
    <t>23-02-2018</t>
  </si>
  <si>
    <t>EMP0133</t>
  </si>
  <si>
    <t>Debasmita Prusty</t>
  </si>
  <si>
    <t>20-09-2018</t>
  </si>
  <si>
    <t>EMP0134</t>
  </si>
  <si>
    <t>26-12-2021</t>
  </si>
  <si>
    <t>EMP0135</t>
  </si>
  <si>
    <t>Rahul Mishra</t>
  </si>
  <si>
    <t>03-03-2019</t>
  </si>
  <si>
    <t>EMP0136</t>
  </si>
  <si>
    <t>Dibya Behura</t>
  </si>
  <si>
    <t>19-09-2022</t>
  </si>
  <si>
    <t>EMP0137</t>
  </si>
  <si>
    <t>Saurav Sahoo</t>
  </si>
  <si>
    <t>13-11-2022</t>
  </si>
  <si>
    <t>EMP0138</t>
  </si>
  <si>
    <t>23-01-2024</t>
  </si>
  <si>
    <t>EMP0139</t>
  </si>
  <si>
    <t>Prasant Pattnaik</t>
  </si>
  <si>
    <t>06-02-2024</t>
  </si>
  <si>
    <t>EMP0140</t>
  </si>
  <si>
    <t>Puspita Routray</t>
  </si>
  <si>
    <t>26-09-2023</t>
  </si>
  <si>
    <t>EMP0141</t>
  </si>
  <si>
    <t>Alka Senapati</t>
  </si>
  <si>
    <t>17-02-2021</t>
  </si>
  <si>
    <t>EMP0142</t>
  </si>
  <si>
    <t>Satyajit Dhal</t>
  </si>
  <si>
    <t>Senior QA</t>
  </si>
  <si>
    <t>21-12-2019</t>
  </si>
  <si>
    <t>EMP0143</t>
  </si>
  <si>
    <t>31-10-2021</t>
  </si>
  <si>
    <t>EMP0144</t>
  </si>
  <si>
    <t>11-04-2020</t>
  </si>
  <si>
    <t>EMP0145</t>
  </si>
  <si>
    <t>marketing</t>
  </si>
  <si>
    <t>26-08-2023</t>
  </si>
  <si>
    <t>EMP0146</t>
  </si>
  <si>
    <t>Alka Choudhury</t>
  </si>
  <si>
    <t>11-04-2021</t>
  </si>
  <si>
    <t>EMP0147</t>
  </si>
  <si>
    <t>Chinmaya Samal</t>
  </si>
  <si>
    <t>31-03-2021</t>
  </si>
  <si>
    <t>EMP0148</t>
  </si>
  <si>
    <t>Rajan Dhal</t>
  </si>
  <si>
    <t>data science</t>
  </si>
  <si>
    <t>16-09-2019</t>
  </si>
  <si>
    <t>EMP0149</t>
  </si>
  <si>
    <t>Chinmaya Mahapatra</t>
  </si>
  <si>
    <t>06-11-2020</t>
  </si>
  <si>
    <t>EMP0150</t>
  </si>
  <si>
    <t>Priyanka Biswal</t>
  </si>
  <si>
    <t>17-11-2023</t>
  </si>
  <si>
    <t>EMP0151</t>
  </si>
  <si>
    <t>Lipsa Ratha</t>
  </si>
  <si>
    <t>EMP0152</t>
  </si>
  <si>
    <t>12-09-2022</t>
  </si>
  <si>
    <t>EMP0153</t>
  </si>
  <si>
    <t>Soumya Padhi</t>
  </si>
  <si>
    <t>25-10-2018</t>
  </si>
  <si>
    <t>EMP0154</t>
  </si>
  <si>
    <t>Tanmay Sahu</t>
  </si>
  <si>
    <t>26-01-2021</t>
  </si>
  <si>
    <t>EMP0155</t>
  </si>
  <si>
    <t>Jyotirmayee Prusty</t>
  </si>
  <si>
    <t>14-10-2023</t>
  </si>
  <si>
    <t>EMP0156</t>
  </si>
  <si>
    <t>Ranjit Mohapatra</t>
  </si>
  <si>
    <t>26-03-2020</t>
  </si>
  <si>
    <t>EMP0157</t>
  </si>
  <si>
    <t>Ankita Prusty</t>
  </si>
  <si>
    <t>24-01-2018</t>
  </si>
  <si>
    <t>EMP0158</t>
  </si>
  <si>
    <t>Debasmita Pattnaik</t>
  </si>
  <si>
    <t>27-05-2022</t>
  </si>
  <si>
    <t>EMP0159</t>
  </si>
  <si>
    <t>Tanmay Pattnaik</t>
  </si>
  <si>
    <t>17-09-2018</t>
  </si>
  <si>
    <t>EMP0160</t>
  </si>
  <si>
    <t>2020-09-08</t>
  </si>
  <si>
    <t>EMP0161</t>
  </si>
  <si>
    <t>Tapas Behura</t>
  </si>
  <si>
    <t>2019-09-25</t>
  </si>
  <si>
    <t>EMP0162</t>
  </si>
  <si>
    <t>Saurav Padhi</t>
  </si>
  <si>
    <t>09-06-2019</t>
  </si>
  <si>
    <t>EMP0163</t>
  </si>
  <si>
    <t>Sudhansu Prusty</t>
  </si>
  <si>
    <t>28-04-2019</t>
  </si>
  <si>
    <t>EMP0164</t>
  </si>
  <si>
    <t>Barsha Pattnaik</t>
  </si>
  <si>
    <t>2018-10-21</t>
  </si>
  <si>
    <t>EMP0165</t>
  </si>
  <si>
    <t>Ipsita Choudhury</t>
  </si>
  <si>
    <t>11-09-2021</t>
  </si>
  <si>
    <t>EMP0166</t>
  </si>
  <si>
    <t>Barsha Parida</t>
  </si>
  <si>
    <t>26-08-2018</t>
  </si>
  <si>
    <t>EMP0167</t>
  </si>
  <si>
    <t>Lipsa Biswal</t>
  </si>
  <si>
    <t>finance</t>
  </si>
  <si>
    <t>28-06-2019</t>
  </si>
  <si>
    <t>EMP0168</t>
  </si>
  <si>
    <t>Soumya Tripathy</t>
  </si>
  <si>
    <t>07-09-2021</t>
  </si>
  <si>
    <t>EMP0169</t>
  </si>
  <si>
    <t>Lipsa Pattnaik</t>
  </si>
  <si>
    <t>27-02-2023</t>
  </si>
  <si>
    <t>EMP0170</t>
  </si>
  <si>
    <t>Abhishek Sahu</t>
  </si>
  <si>
    <t>20-06-2020</t>
  </si>
  <si>
    <t>EMP0171</t>
  </si>
  <si>
    <t>Rahul Parida</t>
  </si>
  <si>
    <t>01-04-2023</t>
  </si>
  <si>
    <t>EMP0172</t>
  </si>
  <si>
    <t>Alka Sahoo</t>
  </si>
  <si>
    <t>2023-01-16</t>
  </si>
  <si>
    <t>EMP0173</t>
  </si>
  <si>
    <t>Prasant Samal</t>
  </si>
  <si>
    <t>21-01-2023</t>
  </si>
  <si>
    <t>EMP0174</t>
  </si>
  <si>
    <t>Ipsita Mohapatra</t>
  </si>
  <si>
    <t>29-07-2018</t>
  </si>
  <si>
    <t>EMP0175</t>
  </si>
  <si>
    <t>Dibya Ratha</t>
  </si>
  <si>
    <t>24-10-2019</t>
  </si>
  <si>
    <t>EMP0176</t>
  </si>
  <si>
    <t>10-03-2023</t>
  </si>
  <si>
    <t>EMP0177</t>
  </si>
  <si>
    <t>19-08-2019</t>
  </si>
  <si>
    <t>EMP0178</t>
  </si>
  <si>
    <t>Lipsa Routray</t>
  </si>
  <si>
    <t>28-12-2023</t>
  </si>
  <si>
    <t>EMP0179</t>
  </si>
  <si>
    <t>Satyajit Nanda</t>
  </si>
  <si>
    <t>25-11-2021</t>
  </si>
  <si>
    <t>EMP0180</t>
  </si>
  <si>
    <t>Abhishek Pattnaik</t>
  </si>
  <si>
    <t>11-07-2022</t>
  </si>
  <si>
    <t>EMP0181</t>
  </si>
  <si>
    <t>Ipsita Samal</t>
  </si>
  <si>
    <t>29-05-2018</t>
  </si>
  <si>
    <t>EMP0182</t>
  </si>
  <si>
    <t>Priyanka Mishra</t>
  </si>
  <si>
    <t>11-08-2022</t>
  </si>
  <si>
    <t>EMP0183</t>
  </si>
  <si>
    <t>Jyotirmayee Mahapatra</t>
  </si>
  <si>
    <t>12-06-2023</t>
  </si>
  <si>
    <t>EMP0184</t>
  </si>
  <si>
    <t>Ranjit Sahoo</t>
  </si>
  <si>
    <t>03-02-2021</t>
  </si>
  <si>
    <t>EMP0185</t>
  </si>
  <si>
    <t>09-08-2019</t>
  </si>
  <si>
    <t>EMP0186</t>
  </si>
  <si>
    <t>EMP0187</t>
  </si>
  <si>
    <t>Ankita Parida</t>
  </si>
  <si>
    <t>20-03-2023</t>
  </si>
  <si>
    <t>EMP0188</t>
  </si>
  <si>
    <t>Dibya Jena</t>
  </si>
  <si>
    <t>27-08-2021</t>
  </si>
  <si>
    <t>EMP0189</t>
  </si>
  <si>
    <t>19-06-2023</t>
  </si>
  <si>
    <t>EMP0190</t>
  </si>
  <si>
    <t>08-08-2020</t>
  </si>
  <si>
    <t>EMP0191</t>
  </si>
  <si>
    <t>16-04-2020</t>
  </si>
  <si>
    <t>EMP0192</t>
  </si>
  <si>
    <t>Ankita Pattnaik</t>
  </si>
  <si>
    <t>15-04-2023</t>
  </si>
  <si>
    <t>EMP0193</t>
  </si>
  <si>
    <t>Subhasree Parida</t>
  </si>
  <si>
    <t>17-08-2020</t>
  </si>
  <si>
    <t>EMP0194</t>
  </si>
  <si>
    <t>Nirmal Mishra</t>
  </si>
  <si>
    <t>15-11-2022</t>
  </si>
  <si>
    <t>EMP0195</t>
  </si>
  <si>
    <t>Abhishek Padhi</t>
  </si>
  <si>
    <t>22-12-2022</t>
  </si>
  <si>
    <t>EMP0196</t>
  </si>
  <si>
    <t>Tanmay Choudhury</t>
  </si>
  <si>
    <t>EMP0197</t>
  </si>
  <si>
    <t>22-02-2020</t>
  </si>
  <si>
    <t>EMP0198</t>
  </si>
  <si>
    <t>Amlan Senapati</t>
  </si>
  <si>
    <t>18-04-2022</t>
  </si>
  <si>
    <t>EMP0199</t>
  </si>
  <si>
    <t>Alka Tripathy</t>
  </si>
  <si>
    <t>04-11-2023</t>
  </si>
  <si>
    <t>EMP0200</t>
  </si>
  <si>
    <t>Ipsita Prusty</t>
  </si>
  <si>
    <t>16-10-2019</t>
  </si>
  <si>
    <t>EMP0201</t>
  </si>
  <si>
    <t>Puspita Parida</t>
  </si>
  <si>
    <t>07-12-2020</t>
  </si>
  <si>
    <t>EMP0202</t>
  </si>
  <si>
    <t>06-04-2024</t>
  </si>
  <si>
    <t>EMP0203</t>
  </si>
  <si>
    <t>Ipsita Behura</t>
  </si>
  <si>
    <t>05-05-2019</t>
  </si>
  <si>
    <t>EMP0204</t>
  </si>
  <si>
    <t>Abhishek Mohapatra</t>
  </si>
  <si>
    <t>EMP0205</t>
  </si>
  <si>
    <t>17-07-2018</t>
  </si>
  <si>
    <t>EMP0206</t>
  </si>
  <si>
    <t>Chinmaya Mishra</t>
  </si>
  <si>
    <t>2019-02-03</t>
  </si>
  <si>
    <t>EMP0207</t>
  </si>
  <si>
    <t>Amlan Nanda</t>
  </si>
  <si>
    <t>14-08-2019</t>
  </si>
  <si>
    <t>EMP0208</t>
  </si>
  <si>
    <t>Chinmaya Dhal</t>
  </si>
  <si>
    <t>12-04-2024</t>
  </si>
  <si>
    <t>EMP0209</t>
  </si>
  <si>
    <t>08-11-2022</t>
  </si>
  <si>
    <t>EMP0210</t>
  </si>
  <si>
    <t>Sudhansu Mishra</t>
  </si>
  <si>
    <t>11-06-2024</t>
  </si>
  <si>
    <t>EMP0211</t>
  </si>
  <si>
    <t>27-04-2024</t>
  </si>
  <si>
    <t>EMP0212</t>
  </si>
  <si>
    <t>Saurav Sahu</t>
  </si>
  <si>
    <t>09-02-2019</t>
  </si>
  <si>
    <t>EMP0213</t>
  </si>
  <si>
    <t>Namita Prusty</t>
  </si>
  <si>
    <t>15-08-2021</t>
  </si>
  <si>
    <t>EMP0214</t>
  </si>
  <si>
    <t>Chinmaya Behura</t>
  </si>
  <si>
    <t>16-12-2021</t>
  </si>
  <si>
    <t>EMP0215</t>
  </si>
  <si>
    <t>05-08-2019</t>
  </si>
  <si>
    <t>EMP0216</t>
  </si>
  <si>
    <t>Abhishek Nanda</t>
  </si>
  <si>
    <t>11-11-2021</t>
  </si>
  <si>
    <t>EMP0217</t>
  </si>
  <si>
    <t>Sudhansu Pattnaik</t>
  </si>
  <si>
    <t>27-11-2018</t>
  </si>
  <si>
    <t>EMP0218</t>
  </si>
  <si>
    <t>27-01-2019</t>
  </si>
  <si>
    <t>EMP0219</t>
  </si>
  <si>
    <t>04-04-2023</t>
  </si>
  <si>
    <t>EMP0220</t>
  </si>
  <si>
    <t>Ipsita Sahu</t>
  </si>
  <si>
    <t>09-09-2018</t>
  </si>
  <si>
    <t>EMP0221</t>
  </si>
  <si>
    <t>Sangita Samal</t>
  </si>
  <si>
    <t>EMP0222</t>
  </si>
  <si>
    <t>11-07-2023</t>
  </si>
  <si>
    <t>EMP0223</t>
  </si>
  <si>
    <t>Puspita Ratha</t>
  </si>
  <si>
    <t>04-02-2020</t>
  </si>
  <si>
    <t>EMP0224</t>
  </si>
  <si>
    <t>02-09-2023</t>
  </si>
  <si>
    <t>EMP0225</t>
  </si>
  <si>
    <t>06-01-2023</t>
  </si>
  <si>
    <t>EMP0226</t>
  </si>
  <si>
    <t>23-07-2021</t>
  </si>
  <si>
    <t>EMP0227</t>
  </si>
  <si>
    <t>Namita Tripathy</t>
  </si>
  <si>
    <t>31-10-2023</t>
  </si>
  <si>
    <t>EMP0228</t>
  </si>
  <si>
    <t>Ranjit Nanda</t>
  </si>
  <si>
    <t>08-07-2019</t>
  </si>
  <si>
    <t>EMP0229</t>
  </si>
  <si>
    <t>Debasmita Behura</t>
  </si>
  <si>
    <t>20-06-2023</t>
  </si>
  <si>
    <t>EMP0230</t>
  </si>
  <si>
    <t>Rajan Choudhury</t>
  </si>
  <si>
    <t>2023-05-15</t>
  </si>
  <si>
    <t>EMP0231</t>
  </si>
  <si>
    <t>Amlan Biswal</t>
  </si>
  <si>
    <t>01-09-2022</t>
  </si>
  <si>
    <t>EMP0232</t>
  </si>
  <si>
    <t>Satyajit Ratha</t>
  </si>
  <si>
    <t>27-02-2018</t>
  </si>
  <si>
    <t>EMP0233</t>
  </si>
  <si>
    <t>Chinmaya Sahu</t>
  </si>
  <si>
    <t>03-06-2022</t>
  </si>
  <si>
    <t>EMP0234</t>
  </si>
  <si>
    <t>Soumya Pattnaik</t>
  </si>
  <si>
    <t>08-01-2020</t>
  </si>
  <si>
    <t>EMP0235</t>
  </si>
  <si>
    <t>Tanmay Behura</t>
  </si>
  <si>
    <t>23-10-2020</t>
  </si>
  <si>
    <t>EMP0236</t>
  </si>
  <si>
    <t>Lipsa Sahu</t>
  </si>
  <si>
    <t>13-01-2019</t>
  </si>
  <si>
    <t>EMP0237</t>
  </si>
  <si>
    <t>18-12-2020</t>
  </si>
  <si>
    <t>EMP0238</t>
  </si>
  <si>
    <t>Tapas Prusty</t>
  </si>
  <si>
    <t>02-04-2021</t>
  </si>
  <si>
    <t>EMP0239</t>
  </si>
  <si>
    <t>Alka Pattnaik</t>
  </si>
  <si>
    <t>15-08-2019</t>
  </si>
  <si>
    <t>EMP0240</t>
  </si>
  <si>
    <t>Namita Dhal</t>
  </si>
  <si>
    <t>07-08-2023</t>
  </si>
  <si>
    <t>EMP0241</t>
  </si>
  <si>
    <t>Tapas Parida</t>
  </si>
  <si>
    <t>01-04-2022</t>
  </si>
  <si>
    <t>EMP0242</t>
  </si>
  <si>
    <t>Rajan Behura</t>
  </si>
  <si>
    <t>04-06-2022</t>
  </si>
  <si>
    <t>EMP0243</t>
  </si>
  <si>
    <t>02-06-2022</t>
  </si>
  <si>
    <t>EMP0244</t>
  </si>
  <si>
    <t>16-08-2018</t>
  </si>
  <si>
    <t>EMP0245</t>
  </si>
  <si>
    <t>Amlan Choudhury</t>
  </si>
  <si>
    <t>30-08-2022</t>
  </si>
  <si>
    <t>EMP0246</t>
  </si>
  <si>
    <t>Tanmay Tripathy</t>
  </si>
  <si>
    <t>18-10-2023</t>
  </si>
  <si>
    <t>EMP0247</t>
  </si>
  <si>
    <t>Nirmal Tripathy</t>
  </si>
  <si>
    <t>13-05-2023</t>
  </si>
  <si>
    <t>EMP0248</t>
  </si>
  <si>
    <t>Sudhansu Biswal</t>
  </si>
  <si>
    <t>20-09-2022</t>
  </si>
  <si>
    <t>EMP0249</t>
  </si>
  <si>
    <t>product</t>
  </si>
  <si>
    <t>04-10-2018</t>
  </si>
  <si>
    <t>EMP0250</t>
  </si>
  <si>
    <t>04-04-2024</t>
  </si>
  <si>
    <t>EMP0251</t>
  </si>
  <si>
    <t>12-09-2019</t>
  </si>
  <si>
    <t>EMP0252</t>
  </si>
  <si>
    <t>Alka Behura</t>
  </si>
  <si>
    <t>05-03-2020</t>
  </si>
  <si>
    <t>EMP0253</t>
  </si>
  <si>
    <t>Subhasree Padhi</t>
  </si>
  <si>
    <t>19-05-2018</t>
  </si>
  <si>
    <t>EMP0254</t>
  </si>
  <si>
    <t>Ranjit Biswal</t>
  </si>
  <si>
    <t>21-01-2024</t>
  </si>
  <si>
    <t>EMP0255</t>
  </si>
  <si>
    <t>07-01-2018</t>
  </si>
  <si>
    <t>EMP0256</t>
  </si>
  <si>
    <t>23-02-2024</t>
  </si>
  <si>
    <t>EMP0257</t>
  </si>
  <si>
    <t>Sudhansu Ratha</t>
  </si>
  <si>
    <t>EMP0258</t>
  </si>
  <si>
    <t>26-04-2020</t>
  </si>
  <si>
    <t>EMP0259</t>
  </si>
  <si>
    <t>Tanmay Senapati</t>
  </si>
  <si>
    <t>23-04-2023</t>
  </si>
  <si>
    <t>EMP0260</t>
  </si>
  <si>
    <t>06-08-2022</t>
  </si>
  <si>
    <t>EMP0261</t>
  </si>
  <si>
    <t>13-12-2022</t>
  </si>
  <si>
    <t>EMP0262</t>
  </si>
  <si>
    <t>02-01-2024</t>
  </si>
  <si>
    <t>EMP0263</t>
  </si>
  <si>
    <t>Abhishek Tripathy</t>
  </si>
  <si>
    <t>02-12-2022</t>
  </si>
  <si>
    <t>EMP0264</t>
  </si>
  <si>
    <t>Prasant Choudhury</t>
  </si>
  <si>
    <t>28-10-2023</t>
  </si>
  <si>
    <t>EMP0265</t>
  </si>
  <si>
    <t>07-12-2021</t>
  </si>
  <si>
    <t>EMP0266</t>
  </si>
  <si>
    <t>07-04-2023</t>
  </si>
  <si>
    <t>EMP0267</t>
  </si>
  <si>
    <t>09-07-2021</t>
  </si>
  <si>
    <t>EMP0268</t>
  </si>
  <si>
    <t>Chinmaya Senapati</t>
  </si>
  <si>
    <t>25-08-2021</t>
  </si>
  <si>
    <t>EMP0269</t>
  </si>
  <si>
    <t>Soumya Jena</t>
  </si>
  <si>
    <t>2023-10-13</t>
  </si>
  <si>
    <t>EMP0270</t>
  </si>
  <si>
    <t>Puspita Tripathy</t>
  </si>
  <si>
    <t>12-04-2021</t>
  </si>
  <si>
    <t>EMP0271</t>
  </si>
  <si>
    <t>Rajan Senapati</t>
  </si>
  <si>
    <t>14-12-2022</t>
  </si>
  <si>
    <t>EMP0272</t>
  </si>
  <si>
    <t>Prasant Padhi</t>
  </si>
  <si>
    <t>18-11-2018</t>
  </si>
  <si>
    <t>EMP0273</t>
  </si>
  <si>
    <t>17-03-2024</t>
  </si>
  <si>
    <t>EMP0274</t>
  </si>
  <si>
    <t>10-01-2018</t>
  </si>
  <si>
    <t>EMP0275</t>
  </si>
  <si>
    <t>Soumya Sahoo</t>
  </si>
  <si>
    <t>02-08-2022</t>
  </si>
  <si>
    <t>EMP0276</t>
  </si>
  <si>
    <t>Rajan Samal</t>
  </si>
  <si>
    <t>28-09-2021</t>
  </si>
  <si>
    <t>EMP0277</t>
  </si>
  <si>
    <t>Satyajit Senapati</t>
  </si>
  <si>
    <t>12-10-2022</t>
  </si>
  <si>
    <t>EMP0278</t>
  </si>
  <si>
    <t>Subhasree Samal</t>
  </si>
  <si>
    <t>15-10-2023</t>
  </si>
  <si>
    <t>EMP0279</t>
  </si>
  <si>
    <t>Tanmay Mishra</t>
  </si>
  <si>
    <t>28-12-2021</t>
  </si>
  <si>
    <t>EMP0280</t>
  </si>
  <si>
    <t>2023-12-24</t>
  </si>
  <si>
    <t>EMP0281</t>
  </si>
  <si>
    <t>Ranjit Ratha</t>
  </si>
  <si>
    <t>2022-01-13</t>
  </si>
  <si>
    <t>EMP0282</t>
  </si>
  <si>
    <t>Smita Mohapatra</t>
  </si>
  <si>
    <t>22-07-2022</t>
  </si>
  <si>
    <t>EMP0283</t>
  </si>
  <si>
    <t>Aditya Ratha</t>
  </si>
  <si>
    <t>2021-02-02</t>
  </si>
  <si>
    <t>EMP0284</t>
  </si>
  <si>
    <t>Tanmay Samal</t>
  </si>
  <si>
    <t>26-05-2024</t>
  </si>
  <si>
    <t>EMP0285</t>
  </si>
  <si>
    <t>Barsha Behura</t>
  </si>
  <si>
    <t>05-09-2023</t>
  </si>
  <si>
    <t>EMP0286</t>
  </si>
  <si>
    <t>Rajan Mahapatra</t>
  </si>
  <si>
    <t>03-02-2019</t>
  </si>
  <si>
    <t>EMP0287</t>
  </si>
  <si>
    <t>11-10-2020</t>
  </si>
  <si>
    <t>EMP0288</t>
  </si>
  <si>
    <t>Satyajit Samal</t>
  </si>
  <si>
    <t>EMP0289</t>
  </si>
  <si>
    <t>Priyanka Tripathy</t>
  </si>
  <si>
    <t>15-08-2023</t>
  </si>
  <si>
    <t>EMP0290</t>
  </si>
  <si>
    <t>28-01-2019</t>
  </si>
  <si>
    <t>EMP0291</t>
  </si>
  <si>
    <t>Rajan Routray</t>
  </si>
  <si>
    <t>06-06-2019</t>
  </si>
  <si>
    <t>EMP0292</t>
  </si>
  <si>
    <t>29-04-2024</t>
  </si>
  <si>
    <t>EMP0293</t>
  </si>
  <si>
    <t>17-04-2022</t>
  </si>
  <si>
    <t>EMP0294</t>
  </si>
  <si>
    <t>14-11-2021</t>
  </si>
  <si>
    <t>EMP0295</t>
  </si>
  <si>
    <t>2019-04-15</t>
  </si>
  <si>
    <t>EMP0296</t>
  </si>
  <si>
    <t>06-10-2020</t>
  </si>
  <si>
    <t>EMP0297</t>
  </si>
  <si>
    <t>11-01-2021</t>
  </si>
  <si>
    <t>EMP0298</t>
  </si>
  <si>
    <t>Ankita Dhal</t>
  </si>
  <si>
    <t>29-10-2022</t>
  </si>
  <si>
    <t>EMP0299</t>
  </si>
  <si>
    <t>Sangita Choudhury</t>
  </si>
  <si>
    <t>03-08-2019</t>
  </si>
  <si>
    <t>EMP0300</t>
  </si>
  <si>
    <t>Amlan Pattnaik</t>
  </si>
  <si>
    <t>2023-04-13</t>
  </si>
  <si>
    <t>EMP0301</t>
  </si>
  <si>
    <t>11-10-2019</t>
  </si>
  <si>
    <t>EMP0302</t>
  </si>
  <si>
    <t>Subhasree Jena</t>
  </si>
  <si>
    <t>14-04-2021</t>
  </si>
  <si>
    <t>EMP0303</t>
  </si>
  <si>
    <t>26-06-2023</t>
  </si>
  <si>
    <t>EMP0304</t>
  </si>
  <si>
    <t>16-08-2023</t>
  </si>
  <si>
    <t>EMP0305</t>
  </si>
  <si>
    <t>Nirmal Dhal</t>
  </si>
  <si>
    <t>21-03-2024</t>
  </si>
  <si>
    <t>EMP0306</t>
  </si>
  <si>
    <t>Dibya Biswal</t>
  </si>
  <si>
    <t>01-10-2022</t>
  </si>
  <si>
    <t>EMP0307</t>
  </si>
  <si>
    <t>14-09-2020</t>
  </si>
  <si>
    <t>EMP0308</t>
  </si>
  <si>
    <t>11-08-2023</t>
  </si>
  <si>
    <t>EMP0309</t>
  </si>
  <si>
    <t>Rajan Pattnaik</t>
  </si>
  <si>
    <t>24-06-2019</t>
  </si>
  <si>
    <t>EMP0310</t>
  </si>
  <si>
    <t>Nirmal Routray</t>
  </si>
  <si>
    <t>24-09-2018</t>
  </si>
  <si>
    <t>EMP0311</t>
  </si>
  <si>
    <t>Dibya Tripathy</t>
  </si>
  <si>
    <t>EMP0312</t>
  </si>
  <si>
    <t>Sangita Mishra</t>
  </si>
  <si>
    <t>22-05-2022</t>
  </si>
  <si>
    <t>EMP0313</t>
  </si>
  <si>
    <t>11-02-2018</t>
  </si>
  <si>
    <t>EMP0314</t>
  </si>
  <si>
    <t>11-03-2021</t>
  </si>
  <si>
    <t>EMP0315</t>
  </si>
  <si>
    <t>Lipsa Padhi</t>
  </si>
  <si>
    <t>14-09-2021</t>
  </si>
  <si>
    <t>EMP0316</t>
  </si>
  <si>
    <t>Puspita Senapati</t>
  </si>
  <si>
    <t>05-03-2024</t>
  </si>
  <si>
    <t>EMP0317</t>
  </si>
  <si>
    <t>02-08-2018</t>
  </si>
  <si>
    <t>EMP0318</t>
  </si>
  <si>
    <t>06-02-2022</t>
  </si>
  <si>
    <t>EMP0319</t>
  </si>
  <si>
    <t>11-08-2018</t>
  </si>
  <si>
    <t>EMP0320</t>
  </si>
  <si>
    <t>16-03-2022</t>
  </si>
  <si>
    <t>EMP0321</t>
  </si>
  <si>
    <t>Bikash Parida</t>
  </si>
  <si>
    <t>16-11-2022</t>
  </si>
  <si>
    <t>EMP0322</t>
  </si>
  <si>
    <t>Aditya Parida</t>
  </si>
  <si>
    <t>02-04-2022</t>
  </si>
  <si>
    <t>EMP0323</t>
  </si>
  <si>
    <t>Aditya Sahu</t>
  </si>
  <si>
    <t>EMP0324</t>
  </si>
  <si>
    <t>Aditya Sahoo</t>
  </si>
  <si>
    <t>engineering</t>
  </si>
  <si>
    <t>07-10-2019</t>
  </si>
  <si>
    <t>EMP0325</t>
  </si>
  <si>
    <t>Alka Mishra</t>
  </si>
  <si>
    <t>31-01-2020</t>
  </si>
  <si>
    <t>EMP0326</t>
  </si>
  <si>
    <t>09-02-2022</t>
  </si>
  <si>
    <t>EMP0327</t>
  </si>
  <si>
    <t>Priyanka Choudhury</t>
  </si>
  <si>
    <t>hr</t>
  </si>
  <si>
    <t>14-07-2023</t>
  </si>
  <si>
    <t>EMP0328</t>
  </si>
  <si>
    <t>EMP0329</t>
  </si>
  <si>
    <t>Tanmay Biswal</t>
  </si>
  <si>
    <t>30-06-2021</t>
  </si>
  <si>
    <t>EMP0330</t>
  </si>
  <si>
    <t>EMP0331</t>
  </si>
  <si>
    <t>Jyotirmayee Mohapatra</t>
  </si>
  <si>
    <t>01-01-2019</t>
  </si>
  <si>
    <t>EMP0332</t>
  </si>
  <si>
    <t>Rahul Jena</t>
  </si>
  <si>
    <t>07-02-2023</t>
  </si>
  <si>
    <t>EMP0333</t>
  </si>
  <si>
    <t>Tapas Mishra</t>
  </si>
  <si>
    <t>EMP0334</t>
  </si>
  <si>
    <t>13-10-2018</t>
  </si>
  <si>
    <t>EMP0335</t>
  </si>
  <si>
    <t>09-10-2022</t>
  </si>
  <si>
    <t>EMP0336</t>
  </si>
  <si>
    <t>Ranjit Padhi</t>
  </si>
  <si>
    <t>EMP0337</t>
  </si>
  <si>
    <t>14-08-2020</t>
  </si>
  <si>
    <t>EMP0338</t>
  </si>
  <si>
    <t>Subhasree Pattnaik</t>
  </si>
  <si>
    <t>EMP0339</t>
  </si>
  <si>
    <t>EMP0340</t>
  </si>
  <si>
    <t>14-08-2021</t>
  </si>
  <si>
    <t>EMP0341</t>
  </si>
  <si>
    <t>Abhishek Behura</t>
  </si>
  <si>
    <t>15-10-2020</t>
  </si>
  <si>
    <t>EMP0342</t>
  </si>
  <si>
    <t>05-06-2023</t>
  </si>
  <si>
    <t>EMP0343</t>
  </si>
  <si>
    <t>Namita Mohapatra</t>
  </si>
  <si>
    <t>08-01-2023</t>
  </si>
  <si>
    <t>EMP0344</t>
  </si>
  <si>
    <t>05-01-2023</t>
  </si>
  <si>
    <t>EMP0345</t>
  </si>
  <si>
    <t>06-01-2019</t>
  </si>
  <si>
    <t>EMP0346</t>
  </si>
  <si>
    <t>Debasmita Sahu</t>
  </si>
  <si>
    <t>09-08-2018</t>
  </si>
  <si>
    <t>EMP0347</t>
  </si>
  <si>
    <t>Tapas Biswal</t>
  </si>
  <si>
    <t>19-10-2019</t>
  </si>
  <si>
    <t>EMP0348</t>
  </si>
  <si>
    <t>Rahul Choudhury</t>
  </si>
  <si>
    <t>23-10-2022</t>
  </si>
  <si>
    <t>EMP0349</t>
  </si>
  <si>
    <t>Aditya Dhal</t>
  </si>
  <si>
    <t>16-07-2021</t>
  </si>
  <si>
    <t>EMP0350</t>
  </si>
  <si>
    <t>04-12-2020</t>
  </si>
  <si>
    <t>EMP0351</t>
  </si>
  <si>
    <t>09-01-2018</t>
  </si>
  <si>
    <t>EMP0352</t>
  </si>
  <si>
    <t>03-09-2019</t>
  </si>
  <si>
    <t>EMP0353</t>
  </si>
  <si>
    <t>Rahul Tripathy</t>
  </si>
  <si>
    <t>29-04-2020</t>
  </si>
  <si>
    <t>EMP0354</t>
  </si>
  <si>
    <t>Priyanka Senapati</t>
  </si>
  <si>
    <t>01-03-2019</t>
  </si>
  <si>
    <t>EMP0355</t>
  </si>
  <si>
    <t>Ranjit Pattnaik</t>
  </si>
  <si>
    <t>28-04-2023</t>
  </si>
  <si>
    <t>EMP0356</t>
  </si>
  <si>
    <t>EMP0357</t>
  </si>
  <si>
    <t>Lipsa Senapati</t>
  </si>
  <si>
    <t>EMP0358</t>
  </si>
  <si>
    <t>EMP0359</t>
  </si>
  <si>
    <t>Prasant Behura</t>
  </si>
  <si>
    <t>27-12-2020</t>
  </si>
  <si>
    <t>EMP0360</t>
  </si>
  <si>
    <t>Sangita Sahu</t>
  </si>
  <si>
    <t>17-04-2020</t>
  </si>
  <si>
    <t>EMP0361</t>
  </si>
  <si>
    <t>Saurav Samal</t>
  </si>
  <si>
    <t>01-01-2024</t>
  </si>
  <si>
    <t>EMP0362</t>
  </si>
  <si>
    <t>Namita Choudhury</t>
  </si>
  <si>
    <t>19-08-2020</t>
  </si>
  <si>
    <t>EMP0363</t>
  </si>
  <si>
    <t>Dibya Sahu</t>
  </si>
  <si>
    <t>05-06-2024</t>
  </si>
  <si>
    <t>EMP0364</t>
  </si>
  <si>
    <t>19-02-2020</t>
  </si>
  <si>
    <t>EMP0365</t>
  </si>
  <si>
    <t>16-07-2019</t>
  </si>
  <si>
    <t>EMP0366</t>
  </si>
  <si>
    <t>Namita Routray</t>
  </si>
  <si>
    <t>08-04-2024</t>
  </si>
  <si>
    <t>EMP0367</t>
  </si>
  <si>
    <t>12-12-2022</t>
  </si>
  <si>
    <t>EMP0368</t>
  </si>
  <si>
    <t>Jyotirmayee Pattnaik</t>
  </si>
  <si>
    <t>07-08-2021</t>
  </si>
  <si>
    <t>EMP0369</t>
  </si>
  <si>
    <t>16-01-2024</t>
  </si>
  <si>
    <t>EMP0370</t>
  </si>
  <si>
    <t>23-02-2021</t>
  </si>
  <si>
    <t>EMP0371</t>
  </si>
  <si>
    <t>Amlan Sahu</t>
  </si>
  <si>
    <t>EMP0372</t>
  </si>
  <si>
    <t>2018-01-23</t>
  </si>
  <si>
    <t>EMP0373</t>
  </si>
  <si>
    <t>Subhasree Prusty</t>
  </si>
  <si>
    <t>2024-01-03</t>
  </si>
  <si>
    <t>EMP0374</t>
  </si>
  <si>
    <t>Satyajit Sahoo</t>
  </si>
  <si>
    <t>07-12-2018</t>
  </si>
  <si>
    <t>EMP0375</t>
  </si>
  <si>
    <t>Aditya Nanda</t>
  </si>
  <si>
    <t>08-03-2022</t>
  </si>
  <si>
    <t>EMP0376</t>
  </si>
  <si>
    <t>30-07-2023</t>
  </si>
  <si>
    <t>EMP0377</t>
  </si>
  <si>
    <t>03-10-2019</t>
  </si>
  <si>
    <t>EMP0378</t>
  </si>
  <si>
    <t>Ankita Mahapatra</t>
  </si>
  <si>
    <t>31-08-2023</t>
  </si>
  <si>
    <t>EMP0379</t>
  </si>
  <si>
    <t>24-12-2022</t>
  </si>
  <si>
    <t>EMP0380</t>
  </si>
  <si>
    <t>26-12-2020</t>
  </si>
  <si>
    <t>EMP0381</t>
  </si>
  <si>
    <t>Dibya Mohapatra</t>
  </si>
  <si>
    <t>18-07-2022</t>
  </si>
  <si>
    <t>EMP0382</t>
  </si>
  <si>
    <t>10-05-2023</t>
  </si>
  <si>
    <t>EMP0383</t>
  </si>
  <si>
    <t>Chinmaya Pattnaik</t>
  </si>
  <si>
    <t>EMP0384</t>
  </si>
  <si>
    <t>17-02-2020</t>
  </si>
  <si>
    <t>EMP0385</t>
  </si>
  <si>
    <t>Amlan Sahoo</t>
  </si>
  <si>
    <t>15-12-2023</t>
  </si>
  <si>
    <t>EMP0386</t>
  </si>
  <si>
    <t>EMP0387</t>
  </si>
  <si>
    <t>16-03-2018</t>
  </si>
  <si>
    <t>EMP0388</t>
  </si>
  <si>
    <t>05-06-2020</t>
  </si>
  <si>
    <t>EMP0389</t>
  </si>
  <si>
    <t>Tanmay Ratha</t>
  </si>
  <si>
    <t>17-01-2021</t>
  </si>
  <si>
    <t>EMP0390</t>
  </si>
  <si>
    <t>Soumya Mohapatra</t>
  </si>
  <si>
    <t>EMP0391</t>
  </si>
  <si>
    <t>Priyanka Samal</t>
  </si>
  <si>
    <t>2018-04-04</t>
  </si>
  <si>
    <t>EMP0392</t>
  </si>
  <si>
    <t>Debasmita Jena</t>
  </si>
  <si>
    <t>15-03-2021</t>
  </si>
  <si>
    <t>EMP0393</t>
  </si>
  <si>
    <t>Alka Biswal</t>
  </si>
  <si>
    <t>14-11-2020</t>
  </si>
  <si>
    <t>EMP0394</t>
  </si>
  <si>
    <t>Satyajit Biswal</t>
  </si>
  <si>
    <t>EMP0395</t>
  </si>
  <si>
    <t>Barsha Nanda</t>
  </si>
  <si>
    <t>02-05-2020</t>
  </si>
  <si>
    <t>EMP0396</t>
  </si>
  <si>
    <t>Sudhansu Mahapatra</t>
  </si>
  <si>
    <t>EMP0397</t>
  </si>
  <si>
    <t>16-12-2019</t>
  </si>
  <si>
    <t>EMP0398</t>
  </si>
  <si>
    <t>30-11-2021</t>
  </si>
  <si>
    <t>EMP0399</t>
  </si>
  <si>
    <t>Satyajit Pattnaik</t>
  </si>
  <si>
    <t>24-09-2019</t>
  </si>
  <si>
    <t>EMP0400</t>
  </si>
  <si>
    <t>Jyotirmayee Sahu</t>
  </si>
  <si>
    <t>26-04-2023</t>
  </si>
  <si>
    <t>EMP0401</t>
  </si>
  <si>
    <t>21-11-2018</t>
  </si>
  <si>
    <t>EMP0402</t>
  </si>
  <si>
    <t>Tapas Ratha</t>
  </si>
  <si>
    <t>04-06-2021</t>
  </si>
  <si>
    <t>EMP0403</t>
  </si>
  <si>
    <t>Lipsa Jena</t>
  </si>
  <si>
    <t>04-01-2021</t>
  </si>
  <si>
    <t>EMP0404</t>
  </si>
  <si>
    <t>Debasmita Padhi</t>
  </si>
  <si>
    <t>21-04-2021</t>
  </si>
  <si>
    <t>EMP0405</t>
  </si>
  <si>
    <t>21-07-2021</t>
  </si>
  <si>
    <t>EMP0406</t>
  </si>
  <si>
    <t>Saurav Prusty</t>
  </si>
  <si>
    <t>20-02-2021</t>
  </si>
  <si>
    <t>EMP0407</t>
  </si>
  <si>
    <t>Subhasree Choudhury</t>
  </si>
  <si>
    <t>25-07-2021</t>
  </si>
  <si>
    <t>EMP0408</t>
  </si>
  <si>
    <t>11-07-2020</t>
  </si>
  <si>
    <t>EMP0409</t>
  </si>
  <si>
    <t>09-08-2023</t>
  </si>
  <si>
    <t>EMP0410</t>
  </si>
  <si>
    <t>EMP0411</t>
  </si>
  <si>
    <t>Aditya Samal</t>
  </si>
  <si>
    <t>01-01-2018</t>
  </si>
  <si>
    <t>EMP0412</t>
  </si>
  <si>
    <t>07-02-2021</t>
  </si>
  <si>
    <t>EMP0413</t>
  </si>
  <si>
    <t>Bikash Ratha</t>
  </si>
  <si>
    <t>23-07-2022</t>
  </si>
  <si>
    <t>EMP0414</t>
  </si>
  <si>
    <t>Alka Prusty</t>
  </si>
  <si>
    <t>20-08-2023</t>
  </si>
  <si>
    <t>EMP0415</t>
  </si>
  <si>
    <t>15-12-2020</t>
  </si>
  <si>
    <t>EMP0416</t>
  </si>
  <si>
    <t>Sudhansu Sahu</t>
  </si>
  <si>
    <t>24-03-2019</t>
  </si>
  <si>
    <t>EMP0417</t>
  </si>
  <si>
    <t>Ankita Samal</t>
  </si>
  <si>
    <t>01-07-2023</t>
  </si>
  <si>
    <t>EMP0418</t>
  </si>
  <si>
    <t>Dibya Pattnaik</t>
  </si>
  <si>
    <t>17-07-2019</t>
  </si>
  <si>
    <t>EMP0419</t>
  </si>
  <si>
    <t>28-09-2023</t>
  </si>
  <si>
    <t>EMP0420</t>
  </si>
  <si>
    <t>22-04-2021</t>
  </si>
  <si>
    <t>EMP0421</t>
  </si>
  <si>
    <t>11-10-2022</t>
  </si>
  <si>
    <t>EMP0422</t>
  </si>
  <si>
    <t>Alka Jena</t>
  </si>
  <si>
    <t>24-02-2023</t>
  </si>
  <si>
    <t>EMP0423</t>
  </si>
  <si>
    <t>Aditya Jena</t>
  </si>
  <si>
    <t>13-01-2023</t>
  </si>
  <si>
    <t>EMP0424</t>
  </si>
  <si>
    <t>Ankita Jena</t>
  </si>
  <si>
    <t>19-10-2022</t>
  </si>
  <si>
    <t>EMP0425</t>
  </si>
  <si>
    <t>11-09-2019</t>
  </si>
  <si>
    <t>EMP0426</t>
  </si>
  <si>
    <t>18-06-2024</t>
  </si>
  <si>
    <t>EMP0427</t>
  </si>
  <si>
    <t>Alka Mahapatra</t>
  </si>
  <si>
    <t>19-01-2024</t>
  </si>
  <si>
    <t>EMP0428</t>
  </si>
  <si>
    <t>Sudhansu Parida</t>
  </si>
  <si>
    <t>10-04-2024</t>
  </si>
  <si>
    <t>EMP0429</t>
  </si>
  <si>
    <t>03-03-2022</t>
  </si>
  <si>
    <t>EMP0430</t>
  </si>
  <si>
    <t>Prasant Parida</t>
  </si>
  <si>
    <t>23-11-2021</t>
  </si>
  <si>
    <t>EMP0431</t>
  </si>
  <si>
    <t>2018-09-06</t>
  </si>
  <si>
    <t>EMP0432</t>
  </si>
  <si>
    <t>EMP0433</t>
  </si>
  <si>
    <t>15-05-2022</t>
  </si>
  <si>
    <t>EMP0434</t>
  </si>
  <si>
    <t>24-08-2022</t>
  </si>
  <si>
    <t>EMP0435</t>
  </si>
  <si>
    <t>EMP0436</t>
  </si>
  <si>
    <t>Jyotirmayee Samal</t>
  </si>
  <si>
    <t>17-10-2019</t>
  </si>
  <si>
    <t>EMP0437</t>
  </si>
  <si>
    <t>04-07-2023</t>
  </si>
  <si>
    <t>EMP0438</t>
  </si>
  <si>
    <t>Bikash Senapati</t>
  </si>
  <si>
    <t>2018-01-11</t>
  </si>
  <si>
    <t>EMP0439</t>
  </si>
  <si>
    <t>Rahul Samal</t>
  </si>
  <si>
    <t>EMP0440</t>
  </si>
  <si>
    <t>Saurav Choudhury</t>
  </si>
  <si>
    <t>2022-01-09</t>
  </si>
  <si>
    <t>EMP0441</t>
  </si>
  <si>
    <t>EMP0442</t>
  </si>
  <si>
    <t>2023-01-10</t>
  </si>
  <si>
    <t>EMP0443</t>
  </si>
  <si>
    <t>Puspita Choudhury</t>
  </si>
  <si>
    <t>05-07-2018</t>
  </si>
  <si>
    <t>EMP0444</t>
  </si>
  <si>
    <t>Sangita Mahapatra</t>
  </si>
  <si>
    <t>27-06-2024</t>
  </si>
  <si>
    <t>EMP0445</t>
  </si>
  <si>
    <t>Puspita Dhal</t>
  </si>
  <si>
    <t>EMP0446</t>
  </si>
  <si>
    <t>Smita Mahapatra</t>
  </si>
  <si>
    <t>16-05-2023</t>
  </si>
  <si>
    <t>EMP0447</t>
  </si>
  <si>
    <t>07-09-2020</t>
  </si>
  <si>
    <t>EMP0448</t>
  </si>
  <si>
    <t>Barsha Routray</t>
  </si>
  <si>
    <t>2022-11-19</t>
  </si>
  <si>
    <t>EMP0449</t>
  </si>
  <si>
    <t>Amlan Routray</t>
  </si>
  <si>
    <t>14-10-2022</t>
  </si>
  <si>
    <t>EMP0450</t>
  </si>
  <si>
    <t>30-04-2024</t>
  </si>
  <si>
    <t>EMP0451</t>
  </si>
  <si>
    <t>08-09-2023</t>
  </si>
  <si>
    <t>EMP0452</t>
  </si>
  <si>
    <t>Rajan Jena</t>
  </si>
  <si>
    <t>02-10-2022</t>
  </si>
  <si>
    <t>EMP0453</t>
  </si>
  <si>
    <t>22-02-2022</t>
  </si>
  <si>
    <t>EMP0454</t>
  </si>
  <si>
    <t>2023-02-13</t>
  </si>
  <si>
    <t>EMP0455</t>
  </si>
  <si>
    <t>24-11-2020</t>
  </si>
  <si>
    <t>EMP0456</t>
  </si>
  <si>
    <t>Dibya Samal</t>
  </si>
  <si>
    <t>09-07-2019</t>
  </si>
  <si>
    <t>EMP0457</t>
  </si>
  <si>
    <t>Nirmal Mohapatra</t>
  </si>
  <si>
    <t>2024-06-25</t>
  </si>
  <si>
    <t>EMP0458</t>
  </si>
  <si>
    <t>01-10-2021</t>
  </si>
  <si>
    <t>EMP0459</t>
  </si>
  <si>
    <t>Dibya Padhi</t>
  </si>
  <si>
    <t>EMP0460</t>
  </si>
  <si>
    <t>Aditya Mahapatra</t>
  </si>
  <si>
    <t>EMP0461</t>
  </si>
  <si>
    <t>Namita Samal</t>
  </si>
  <si>
    <t>EMP0462</t>
  </si>
  <si>
    <t>Ranjit Parida</t>
  </si>
  <si>
    <t>EMP0463</t>
  </si>
  <si>
    <t>30-09-2021</t>
  </si>
  <si>
    <t>EMP0464</t>
  </si>
  <si>
    <t>07-04-2018</t>
  </si>
  <si>
    <t>EMP0465</t>
  </si>
  <si>
    <t>EMP0466</t>
  </si>
  <si>
    <t>22-12-2018</t>
  </si>
  <si>
    <t>EMP0467</t>
  </si>
  <si>
    <t>2019-10-22</t>
  </si>
  <si>
    <t>EMP0468</t>
  </si>
  <si>
    <t>Priyanka Pattnaik</t>
  </si>
  <si>
    <t>EMP0469</t>
  </si>
  <si>
    <t>2021-08-16</t>
  </si>
  <si>
    <t>EMP0470</t>
  </si>
  <si>
    <t>Namita Padhi</t>
  </si>
  <si>
    <t>EMP0471</t>
  </si>
  <si>
    <t>23-03-2020</t>
  </si>
  <si>
    <t>EMP0472</t>
  </si>
  <si>
    <t>27-09-2018</t>
  </si>
  <si>
    <t>EMP0473</t>
  </si>
  <si>
    <t>EMP0474</t>
  </si>
  <si>
    <t>EMP0475</t>
  </si>
  <si>
    <t>Aditya Mishra</t>
  </si>
  <si>
    <t>29-02-2024</t>
  </si>
  <si>
    <t>EMP0476</t>
  </si>
  <si>
    <t>Namita Ratha</t>
  </si>
  <si>
    <t>16-08-2021</t>
  </si>
  <si>
    <t>EMP0477</t>
  </si>
  <si>
    <t>05-10-2020</t>
  </si>
  <si>
    <t>EMP0478</t>
  </si>
  <si>
    <t>Bikash Mahapatra</t>
  </si>
  <si>
    <t>22-11-2023</t>
  </si>
  <si>
    <t>EMP0479</t>
  </si>
  <si>
    <t>31-05-2022</t>
  </si>
  <si>
    <t>EMP0480</t>
  </si>
  <si>
    <t>02-11-2018</t>
  </si>
  <si>
    <t>EMP0481</t>
  </si>
  <si>
    <t>22-06-2019</t>
  </si>
  <si>
    <t>EMP0482</t>
  </si>
  <si>
    <t>04-06-2024</t>
  </si>
  <si>
    <t>EMP0483</t>
  </si>
  <si>
    <t>EMP0484</t>
  </si>
  <si>
    <t>Chinmaya Mohapatra</t>
  </si>
  <si>
    <t>EMP0485</t>
  </si>
  <si>
    <t>01-11-2019</t>
  </si>
  <si>
    <t>EMP0486</t>
  </si>
  <si>
    <t>Rahul Biswal</t>
  </si>
  <si>
    <t>18-03-2023</t>
  </si>
  <si>
    <t>EMP0487</t>
  </si>
  <si>
    <t>Prasant Mohapatra</t>
  </si>
  <si>
    <t>26-04-2022</t>
  </si>
  <si>
    <t>EMP0488</t>
  </si>
  <si>
    <t>EMP0489</t>
  </si>
  <si>
    <t>Sangita Behura</t>
  </si>
  <si>
    <t>21-02-2020</t>
  </si>
  <si>
    <t>EMP0490</t>
  </si>
  <si>
    <t>08-07-2020</t>
  </si>
  <si>
    <t>EMP0491</t>
  </si>
  <si>
    <t>12-12-2021</t>
  </si>
  <si>
    <t>EMP0492</t>
  </si>
  <si>
    <t>18-04-2020</t>
  </si>
  <si>
    <t>EMP0493</t>
  </si>
  <si>
    <t>Alka Dhal</t>
  </si>
  <si>
    <t>24-01-2019</t>
  </si>
  <si>
    <t>EMP0494</t>
  </si>
  <si>
    <t>Alka Mohapatra</t>
  </si>
  <si>
    <t>01-01-2022</t>
  </si>
  <si>
    <t>EMP0495</t>
  </si>
  <si>
    <t>Priyanka Mohapatra</t>
  </si>
  <si>
    <t>24-09-2022</t>
  </si>
  <si>
    <t>EMP0496</t>
  </si>
  <si>
    <t>19-11-2019</t>
  </si>
  <si>
    <t>EMP0497</t>
  </si>
  <si>
    <t>26-11-2021</t>
  </si>
  <si>
    <t>EMP0498</t>
  </si>
  <si>
    <t>Saurav Jena</t>
  </si>
  <si>
    <t>25-10-2020</t>
  </si>
  <si>
    <t>EMP0499</t>
  </si>
  <si>
    <t>Puspita Prusty</t>
  </si>
  <si>
    <t>12-02-2021</t>
  </si>
  <si>
    <t>EMP0500</t>
  </si>
  <si>
    <t>23-08-2022</t>
  </si>
  <si>
    <t>EMP0501</t>
  </si>
  <si>
    <t>30-01-2023</t>
  </si>
  <si>
    <t>EMP0502</t>
  </si>
  <si>
    <t>Tapas Choudhury</t>
  </si>
  <si>
    <t>22-03-2022</t>
  </si>
  <si>
    <t>EMP0503</t>
  </si>
  <si>
    <t>Abhishek Prusty</t>
  </si>
  <si>
    <t>31-03-2022</t>
  </si>
  <si>
    <t>EMP0504</t>
  </si>
  <si>
    <t>12-01-2018</t>
  </si>
  <si>
    <t>EMP0505</t>
  </si>
  <si>
    <t>Rahul Behura</t>
  </si>
  <si>
    <t>06-04-2018</t>
  </si>
  <si>
    <t>EMP0506</t>
  </si>
  <si>
    <t>07-11-2019</t>
  </si>
  <si>
    <t>EMP0507</t>
  </si>
  <si>
    <t>Dibya Mishra</t>
  </si>
  <si>
    <t>19-08-2018</t>
  </si>
  <si>
    <t>EMP0508</t>
  </si>
  <si>
    <t>EMP0509</t>
  </si>
  <si>
    <t>Barsha Mishra</t>
  </si>
  <si>
    <t>06-05-2022</t>
  </si>
  <si>
    <t>EMP0510</t>
  </si>
  <si>
    <t>Sangita Routray</t>
  </si>
  <si>
    <t>19-10-2023</t>
  </si>
  <si>
    <t>EMP0511</t>
  </si>
  <si>
    <t>26-12-2019</t>
  </si>
  <si>
    <t>EMP0512</t>
  </si>
  <si>
    <t>Saurav Pattnaik</t>
  </si>
  <si>
    <t>24-12-2021</t>
  </si>
  <si>
    <t>EMP0513</t>
  </si>
  <si>
    <t>EMP0514</t>
  </si>
  <si>
    <t>28-08-2021</t>
  </si>
  <si>
    <t>EMP0515</t>
  </si>
  <si>
    <t>Puspita Biswal</t>
  </si>
  <si>
    <t>01-07-2020</t>
  </si>
  <si>
    <t>EMP0516</t>
  </si>
  <si>
    <t>29-05-2021</t>
  </si>
  <si>
    <t>EMP0517</t>
  </si>
  <si>
    <t>Puspita Samal</t>
  </si>
  <si>
    <t>01-05-2024</t>
  </si>
  <si>
    <t>EMP0518</t>
  </si>
  <si>
    <t>24-07-2018</t>
  </si>
  <si>
    <t>EMP0519</t>
  </si>
  <si>
    <t>27-03-2023</t>
  </si>
  <si>
    <t>EMP0520</t>
  </si>
  <si>
    <t>20-03-2024</t>
  </si>
  <si>
    <t>EMP0521</t>
  </si>
  <si>
    <t>09-12-2018</t>
  </si>
  <si>
    <t>EMP0522</t>
  </si>
  <si>
    <t>02-04-2023</t>
  </si>
  <si>
    <t>EMP0523</t>
  </si>
  <si>
    <t>13-07-2019</t>
  </si>
  <si>
    <t>EMP0524</t>
  </si>
  <si>
    <t>Tapas Routray</t>
  </si>
  <si>
    <t>22-06-2024</t>
  </si>
  <si>
    <t>EMP0525</t>
  </si>
  <si>
    <t>11-11-2023</t>
  </si>
  <si>
    <t>EMP0526</t>
  </si>
  <si>
    <t>Ipsita Biswal</t>
  </si>
  <si>
    <t>18-02-2022</t>
  </si>
  <si>
    <t>EMP0527</t>
  </si>
  <si>
    <t>05-09-2019</t>
  </si>
  <si>
    <t>EMP0528</t>
  </si>
  <si>
    <t>EMP0529</t>
  </si>
  <si>
    <t>13-04-2021</t>
  </si>
  <si>
    <t>EMP0530</t>
  </si>
  <si>
    <t>Ankita Choudhury</t>
  </si>
  <si>
    <t>EMP0531</t>
  </si>
  <si>
    <t>09-09-2022</t>
  </si>
  <si>
    <t>EMP0532</t>
  </si>
  <si>
    <t>Ankita Mohapatra</t>
  </si>
  <si>
    <t>30-05-2020</t>
  </si>
  <si>
    <t>EMP0533</t>
  </si>
  <si>
    <t>06-12-2022</t>
  </si>
  <si>
    <t>EMP0534</t>
  </si>
  <si>
    <t>02-07-2020</t>
  </si>
  <si>
    <t>EMP0535</t>
  </si>
  <si>
    <t>2021-09-04</t>
  </si>
  <si>
    <t>EMP0536</t>
  </si>
  <si>
    <t>Soumya Prusty</t>
  </si>
  <si>
    <t>03-05-2022</t>
  </si>
  <si>
    <t>EMP0537</t>
  </si>
  <si>
    <t>EMP0538</t>
  </si>
  <si>
    <t>09-03-2022</t>
  </si>
  <si>
    <t>EMP0539</t>
  </si>
  <si>
    <t>18-07-2021</t>
  </si>
  <si>
    <t>EMP0540</t>
  </si>
  <si>
    <t>25-02-2024</t>
  </si>
  <si>
    <t>EMP0541</t>
  </si>
  <si>
    <t>2022-06-28</t>
  </si>
  <si>
    <t>EMP0542</t>
  </si>
  <si>
    <t>08-04-2019</t>
  </si>
  <si>
    <t>EMP0543</t>
  </si>
  <si>
    <t>Soumya Samal</t>
  </si>
  <si>
    <t>2018-08-13</t>
  </si>
  <si>
    <t>EMP0544</t>
  </si>
  <si>
    <t>24-03-2024</t>
  </si>
  <si>
    <t>EMP0545</t>
  </si>
  <si>
    <t>EMP0546</t>
  </si>
  <si>
    <t>11-03-2018</t>
  </si>
  <si>
    <t>EMP0547</t>
  </si>
  <si>
    <t>Lipsa Samal</t>
  </si>
  <si>
    <t>10-04-2018</t>
  </si>
  <si>
    <t>EMP0548</t>
  </si>
  <si>
    <t>24-06-2018</t>
  </si>
  <si>
    <t>EMP0549</t>
  </si>
  <si>
    <t>31-05-2020</t>
  </si>
  <si>
    <t>EMP0550</t>
  </si>
  <si>
    <t>09-05-2022</t>
  </si>
  <si>
    <t>EMP0551</t>
  </si>
  <si>
    <t>Ranjit Jena</t>
  </si>
  <si>
    <t>18-07-2018</t>
  </si>
  <si>
    <t>EMP0552</t>
  </si>
  <si>
    <t>07-02-2020</t>
  </si>
  <si>
    <t>EMP0553</t>
  </si>
  <si>
    <t>Ipsita Parida</t>
  </si>
  <si>
    <t>16-10-2021</t>
  </si>
  <si>
    <t>EMP0554</t>
  </si>
  <si>
    <t>05-04-2020</t>
  </si>
  <si>
    <t>EMP0555</t>
  </si>
  <si>
    <t>EMP0556</t>
  </si>
  <si>
    <t>16-01-2022</t>
  </si>
  <si>
    <t>EMP0557</t>
  </si>
  <si>
    <t>25-02-2022</t>
  </si>
  <si>
    <t>EMP0558</t>
  </si>
  <si>
    <t>18-03-2022</t>
  </si>
  <si>
    <t>EMP0559</t>
  </si>
  <si>
    <t>EMP0560</t>
  </si>
  <si>
    <t>08-03-2021</t>
  </si>
  <si>
    <t>EMP0561</t>
  </si>
  <si>
    <t>26-03-2024</t>
  </si>
  <si>
    <t>EMP0562</t>
  </si>
  <si>
    <t>EMP0563</t>
  </si>
  <si>
    <t>EMP0564</t>
  </si>
  <si>
    <t>05-06-2018</t>
  </si>
  <si>
    <t>EMP0565</t>
  </si>
  <si>
    <t>EMP0566</t>
  </si>
  <si>
    <t>Saurav Senapati</t>
  </si>
  <si>
    <t>08-11-2020</t>
  </si>
  <si>
    <t>EMP0567</t>
  </si>
  <si>
    <t>14-01-2023</t>
  </si>
  <si>
    <t>EMP0568</t>
  </si>
  <si>
    <t>Smita Jena</t>
  </si>
  <si>
    <t>28-02-2019</t>
  </si>
  <si>
    <t>EMP0569</t>
  </si>
  <si>
    <t>02-05-2022</t>
  </si>
  <si>
    <t>EMP0570</t>
  </si>
  <si>
    <t>15-11-2018</t>
  </si>
  <si>
    <t>EMP0571</t>
  </si>
  <si>
    <t>Satyajit Tripathy</t>
  </si>
  <si>
    <t>06-05-2019</t>
  </si>
  <si>
    <t>EMP0572</t>
  </si>
  <si>
    <t>EMP0573</t>
  </si>
  <si>
    <t>Tapas Tripathy</t>
  </si>
  <si>
    <t>EMP0574</t>
  </si>
  <si>
    <t>18-07-2020</t>
  </si>
  <si>
    <t>EMP0575</t>
  </si>
  <si>
    <t>Namita Jena</t>
  </si>
  <si>
    <t>19-05-2019</t>
  </si>
  <si>
    <t>EMP0576</t>
  </si>
  <si>
    <t>22-04-2019</t>
  </si>
  <si>
    <t>EMP0577</t>
  </si>
  <si>
    <t>Amlan Mahapatra</t>
  </si>
  <si>
    <t>12-07-2021</t>
  </si>
  <si>
    <t>EMP0578</t>
  </si>
  <si>
    <t>Abhishek Senapati</t>
  </si>
  <si>
    <t>19-11-2018</t>
  </si>
  <si>
    <t>EMP0579</t>
  </si>
  <si>
    <t>02-08-2020</t>
  </si>
  <si>
    <t>EMP0580</t>
  </si>
  <si>
    <t>31-01-2018</t>
  </si>
  <si>
    <t>EMP0581</t>
  </si>
  <si>
    <t>12-12-2020</t>
  </si>
  <si>
    <t>EMP0582</t>
  </si>
  <si>
    <t>30-11-2019</t>
  </si>
  <si>
    <t>EMP0583</t>
  </si>
  <si>
    <t>EMP0584</t>
  </si>
  <si>
    <t>26-02-2018</t>
  </si>
  <si>
    <t>EMP0585</t>
  </si>
  <si>
    <t>16-07-2022</t>
  </si>
  <si>
    <t>EMP0586</t>
  </si>
  <si>
    <t>27-01-2020</t>
  </si>
  <si>
    <t>EMP0587</t>
  </si>
  <si>
    <t>Nirmal Parida</t>
  </si>
  <si>
    <t>EMP0588</t>
  </si>
  <si>
    <t>Prasant Routray</t>
  </si>
  <si>
    <t>28-01-2018</t>
  </si>
  <si>
    <t>EMP0589</t>
  </si>
  <si>
    <t>Ipsita Tripathy</t>
  </si>
  <si>
    <t>09-05-2023</t>
  </si>
  <si>
    <t>EMP0590</t>
  </si>
  <si>
    <t>EMP0591</t>
  </si>
  <si>
    <t>Ankita Padhi</t>
  </si>
  <si>
    <t>30-07-2018</t>
  </si>
  <si>
    <t>EMP0592</t>
  </si>
  <si>
    <t>Sudhansu Padhi</t>
  </si>
  <si>
    <t>18-04-2023</t>
  </si>
  <si>
    <t>EMP0593</t>
  </si>
  <si>
    <t>Saurav Ratha</t>
  </si>
  <si>
    <t>23-09-2023</t>
  </si>
  <si>
    <t>EMP0594</t>
  </si>
  <si>
    <t>10-01-2023</t>
  </si>
  <si>
    <t>EMP0595</t>
  </si>
  <si>
    <t>EMP0596</t>
  </si>
  <si>
    <t>12-05-2022</t>
  </si>
  <si>
    <t>EMP0597</t>
  </si>
  <si>
    <t>Priyanka Nanda</t>
  </si>
  <si>
    <t>EMP0598</t>
  </si>
  <si>
    <t>12-01-2023</t>
  </si>
  <si>
    <t>EMP0599</t>
  </si>
  <si>
    <t>Alka Routray</t>
  </si>
  <si>
    <t>21-09-2021</t>
  </si>
  <si>
    <t>EMP0600</t>
  </si>
  <si>
    <t>17-06-2020</t>
  </si>
  <si>
    <t>Project_ID</t>
  </si>
  <si>
    <t>Project_Name</t>
  </si>
  <si>
    <t>Client_Name</t>
  </si>
  <si>
    <t>Technology_Stack</t>
  </si>
  <si>
    <t>Budget_Lakhs</t>
  </si>
  <si>
    <t>Actual_Cost_Lakhs</t>
  </si>
  <si>
    <t>Start_Date</t>
  </si>
  <si>
    <t>Deadline</t>
  </si>
  <si>
    <t>Completion_Date</t>
  </si>
  <si>
    <t>Status</t>
  </si>
  <si>
    <t>Team_Size</t>
  </si>
  <si>
    <t>Billable_Hours</t>
  </si>
  <si>
    <t>Lead_Employee_ID</t>
  </si>
  <si>
    <t>PROJ001</t>
  </si>
  <si>
    <t>Supply Chain Optimizer</t>
  </si>
  <si>
    <t>GreenEnergy Co</t>
  </si>
  <si>
    <t>Android Kotlin</t>
  </si>
  <si>
    <t>30-03-2022</t>
  </si>
  <si>
    <t>20-11-2022</t>
  </si>
  <si>
    <t>Cancelled</t>
  </si>
  <si>
    <t>PROJ002</t>
  </si>
  <si>
    <t>TravelNest</t>
  </si>
  <si>
    <t>ML/AI</t>
  </si>
  <si>
    <t>01-11-2023</t>
  </si>
  <si>
    <t>28-04-2024</t>
  </si>
  <si>
    <t>PROJ003</t>
  </si>
  <si>
    <t>Data Warehouse Migration</t>
  </si>
  <si>
    <t>FinServPro</t>
  </si>
  <si>
    <t>Angular</t>
  </si>
  <si>
    <t>13-05-2022</t>
  </si>
  <si>
    <t>Under Review</t>
  </si>
  <si>
    <t>PROJ004</t>
  </si>
  <si>
    <t>IoT Gateway</t>
  </si>
  <si>
    <t>GlobalTrade Inc</t>
  </si>
  <si>
    <t>AWS</t>
  </si>
  <si>
    <t>04-08-2024</t>
  </si>
  <si>
    <t>03-11-2024</t>
  </si>
  <si>
    <t>In Progress</t>
  </si>
  <si>
    <t>PROJ005</t>
  </si>
  <si>
    <t>SmartCity Gov</t>
  </si>
  <si>
    <t>Flutter</t>
  </si>
  <si>
    <t>20-07-2023</t>
  </si>
  <si>
    <t>19-07-2023</t>
  </si>
  <si>
    <t>Completed</t>
  </si>
  <si>
    <t>PROJ006</t>
  </si>
  <si>
    <t>Smart Grid System</t>
  </si>
  <si>
    <t>EduSpark</t>
  </si>
  <si>
    <t>Node.js</t>
  </si>
  <si>
    <t>05-03-2021</t>
  </si>
  <si>
    <t>06-10-2021</t>
  </si>
  <si>
    <t>PROJ007</t>
  </si>
  <si>
    <t>Fleet Management</t>
  </si>
  <si>
    <t>04-09-2021</t>
  </si>
  <si>
    <t>10-11-2021</t>
  </si>
  <si>
    <t>PROJ008</t>
  </si>
  <si>
    <t>iOS Swift</t>
  </si>
  <si>
    <t>26-10-2023</t>
  </si>
  <si>
    <t>PROJ009</t>
  </si>
  <si>
    <t>Analytics Dashboard</t>
  </si>
  <si>
    <t>Data Engineering</t>
  </si>
  <si>
    <t>18-01-2023</t>
  </si>
  <si>
    <t>On Hold</t>
  </si>
  <si>
    <t>PROJ010</t>
  </si>
  <si>
    <t>LogiTrack</t>
  </si>
  <si>
    <t>.NET</t>
  </si>
  <si>
    <t>23-07-2024</t>
  </si>
  <si>
    <t>06-12-2024</t>
  </si>
  <si>
    <t>PROJ011</t>
  </si>
  <si>
    <t>DigitalBank Portal</t>
  </si>
  <si>
    <t>Azure</t>
  </si>
  <si>
    <t>07-10-2022</t>
  </si>
  <si>
    <t>08-08-2023</t>
  </si>
  <si>
    <t>PROJ012</t>
  </si>
  <si>
    <t>DevOps/K8s</t>
  </si>
  <si>
    <t>17-02-2023</t>
  </si>
  <si>
    <t>16-06-2023</t>
  </si>
  <si>
    <t>PROJ013</t>
  </si>
  <si>
    <t>HR Automation Suite</t>
  </si>
  <si>
    <t>21-03-2023</t>
  </si>
  <si>
    <t>PROJ014</t>
  </si>
  <si>
    <t>MediCare Systems</t>
  </si>
  <si>
    <t>04-03-2023</t>
  </si>
  <si>
    <t>20-12-2023</t>
  </si>
  <si>
    <t>PROJ015</t>
  </si>
  <si>
    <t>06-05-2023</t>
  </si>
  <si>
    <t>15-07-2023</t>
  </si>
  <si>
    <t>PROJ016</t>
  </si>
  <si>
    <t>Salesforce</t>
  </si>
  <si>
    <t>12-02-2023</t>
  </si>
  <si>
    <t>08-05-2023</t>
  </si>
  <si>
    <t>PROJ017</t>
  </si>
  <si>
    <t>AutoDrive</t>
  </si>
  <si>
    <t>React</t>
  </si>
  <si>
    <t>10-02-2021</t>
  </si>
  <si>
    <t>PROJ018</t>
  </si>
  <si>
    <t>BankFirst Ltd</t>
  </si>
  <si>
    <t>30-08-2024</t>
  </si>
  <si>
    <t>PROJ019</t>
  </si>
  <si>
    <t>Talent Management</t>
  </si>
  <si>
    <t>21-06-2022</t>
  </si>
  <si>
    <t>PROJ020</t>
  </si>
  <si>
    <t>25-03-2021</t>
  </si>
  <si>
    <t>22-01-2022</t>
  </si>
  <si>
    <t>PROJ021</t>
  </si>
  <si>
    <t>Mobile Banking App</t>
  </si>
  <si>
    <t>28-05-2024</t>
  </si>
  <si>
    <t>PROJ022</t>
  </si>
  <si>
    <t>Inventory Tracker</t>
  </si>
  <si>
    <t>23-12-2023</t>
  </si>
  <si>
    <t>PROJ023</t>
  </si>
  <si>
    <t>Smart Parking</t>
  </si>
  <si>
    <t>21-04-2024</t>
  </si>
  <si>
    <t>21-01-2025</t>
  </si>
  <si>
    <t>PROJ024</t>
  </si>
  <si>
    <t>ML Fraud Detection</t>
  </si>
  <si>
    <t>25-06-2022</t>
  </si>
  <si>
    <t>05-09-2022</t>
  </si>
  <si>
    <t>PROJ025</t>
  </si>
  <si>
    <t>05-07-2023</t>
  </si>
  <si>
    <t>27-03-2024</t>
  </si>
  <si>
    <t>PROJ026</t>
  </si>
  <si>
    <t>Customer 360 View</t>
  </si>
  <si>
    <t>03-11-2023</t>
  </si>
  <si>
    <t>26-10-2024</t>
  </si>
  <si>
    <t>PROJ027</t>
  </si>
  <si>
    <t>LMS Portal</t>
  </si>
  <si>
    <t>01-01-2023</t>
  </si>
  <si>
    <t>PROJ028</t>
  </si>
  <si>
    <t>18-06-2022</t>
  </si>
  <si>
    <t>12-04-2023</t>
  </si>
  <si>
    <t>PROJ029</t>
  </si>
  <si>
    <t>11-05-2021</t>
  </si>
  <si>
    <t>10-08-2021</t>
  </si>
  <si>
    <t>PROJ030</t>
  </si>
  <si>
    <t>ERP Implementation</t>
  </si>
  <si>
    <t>SportsPro</t>
  </si>
  <si>
    <t>10-06-2024</t>
  </si>
  <si>
    <t>12-12-2024</t>
  </si>
  <si>
    <t>PROJ031</t>
  </si>
  <si>
    <t>Java</t>
  </si>
  <si>
    <t>PROJ032</t>
  </si>
  <si>
    <t>PROJ033</t>
  </si>
  <si>
    <t>14-05-2024</t>
  </si>
  <si>
    <t>PROJ034</t>
  </si>
  <si>
    <t>AI Chatbot</t>
  </si>
  <si>
    <t>Python</t>
  </si>
  <si>
    <t>13-04-2023</t>
  </si>
  <si>
    <t>PROJ035</t>
  </si>
  <si>
    <t>10-02-2022</t>
  </si>
  <si>
    <t>PROJ036</t>
  </si>
  <si>
    <t>21-07-2022</t>
  </si>
  <si>
    <t>06-07-2023</t>
  </si>
  <si>
    <t>PROJ037</t>
  </si>
  <si>
    <t>21-11-2022</t>
  </si>
  <si>
    <t>02-06-2023</t>
  </si>
  <si>
    <t>PROJ038</t>
  </si>
  <si>
    <t>InsureNow</t>
  </si>
  <si>
    <t>24-12-2023</t>
  </si>
  <si>
    <t>28-06-2024</t>
  </si>
  <si>
    <t>PROJ039</t>
  </si>
  <si>
    <t>RetailPlus</t>
  </si>
  <si>
    <t>18-09-2021</t>
  </si>
  <si>
    <t>PROJ040</t>
  </si>
  <si>
    <t>03-07-2021</t>
  </si>
  <si>
    <t>PROJ041</t>
  </si>
  <si>
    <t>01-07-2022</t>
  </si>
  <si>
    <t>12-11-2022</t>
  </si>
  <si>
    <t>PROJ042</t>
  </si>
  <si>
    <t>E-Commerce Platform</t>
  </si>
  <si>
    <t>14-03-2024</t>
  </si>
  <si>
    <t>22-08-2024</t>
  </si>
  <si>
    <t>PROJ043</t>
  </si>
  <si>
    <t>04-08-2023</t>
  </si>
  <si>
    <t>PROJ044</t>
  </si>
  <si>
    <t>09-06-2021</t>
  </si>
  <si>
    <t>08-05-2022</t>
  </si>
  <si>
    <t>PROJ045</t>
  </si>
  <si>
    <t>28-04-2025</t>
  </si>
  <si>
    <t>PROJ046</t>
  </si>
  <si>
    <t>15-01-2024</t>
  </si>
  <si>
    <t>05-08-2024</t>
  </si>
  <si>
    <t>PROJ047</t>
  </si>
  <si>
    <t>15-12-2024</t>
  </si>
  <si>
    <t>01-11-2025</t>
  </si>
  <si>
    <t>PROJ048</t>
  </si>
  <si>
    <t>31-05-2023</t>
  </si>
  <si>
    <t>02-10-2023</t>
  </si>
  <si>
    <t>PROJ049</t>
  </si>
  <si>
    <t>28-12-2024</t>
  </si>
  <si>
    <t>16-10-2025</t>
  </si>
  <si>
    <t>PROJ050</t>
  </si>
  <si>
    <t>Cloud Migration</t>
  </si>
  <si>
    <t>20-12-2022</t>
  </si>
  <si>
    <t>PROJ051</t>
  </si>
  <si>
    <t>31-12-2023</t>
  </si>
  <si>
    <t>17-12-2023</t>
  </si>
  <si>
    <t>PROJ052</t>
  </si>
  <si>
    <t>Real-Time Reporting</t>
  </si>
  <si>
    <t>13-02-2025</t>
  </si>
  <si>
    <t>PROJ053</t>
  </si>
  <si>
    <t>12-04-2022</t>
  </si>
  <si>
    <t>PROJ054</t>
  </si>
  <si>
    <t>PROJ055</t>
  </si>
  <si>
    <t>19-12-2022</t>
  </si>
  <si>
    <t>PROJ056</t>
  </si>
  <si>
    <t>17-01-2023</t>
  </si>
  <si>
    <t>22-09-2023</t>
  </si>
  <si>
    <t>PROJ057</t>
  </si>
  <si>
    <t>30-05-2024</t>
  </si>
  <si>
    <t>PROJ058</t>
  </si>
  <si>
    <t>10-01-2024</t>
  </si>
  <si>
    <t>23-11-2024</t>
  </si>
  <si>
    <t>PROJ059</t>
  </si>
  <si>
    <t>28-11-2022</t>
  </si>
  <si>
    <t>30-09-2023</t>
  </si>
  <si>
    <t>PROJ060</t>
  </si>
  <si>
    <t>18-05-2024</t>
  </si>
  <si>
    <t>30-04-2025</t>
  </si>
  <si>
    <t>PROJ061</t>
  </si>
  <si>
    <t>AgroTech Farms</t>
  </si>
  <si>
    <t>19-11-2021</t>
  </si>
  <si>
    <t>30-06-2022</t>
  </si>
  <si>
    <t>PROJ062</t>
  </si>
  <si>
    <t>02-12-2023</t>
  </si>
  <si>
    <t>18-09-2024</t>
  </si>
  <si>
    <t>PROJ063</t>
  </si>
  <si>
    <t>17-09-2021</t>
  </si>
  <si>
    <t>09-12-2021</t>
  </si>
  <si>
    <t>PROJ064</t>
  </si>
  <si>
    <t>14-05-2023</t>
  </si>
  <si>
    <t>PROJ065</t>
  </si>
  <si>
    <t>05-07-2022</t>
  </si>
  <si>
    <t>PROJ066</t>
  </si>
  <si>
    <t>06-01-2022</t>
  </si>
  <si>
    <t>05-04-2022</t>
  </si>
  <si>
    <t>PROJ067</t>
  </si>
  <si>
    <t>PayQuick</t>
  </si>
  <si>
    <t>12-08-2022</t>
  </si>
  <si>
    <t>PROJ068</t>
  </si>
  <si>
    <t>27-06-2023</t>
  </si>
  <si>
    <t>16-02-2024</t>
  </si>
  <si>
    <t>PROJ069</t>
  </si>
  <si>
    <t>03-03-2023</t>
  </si>
  <si>
    <t>11-06-2023</t>
  </si>
  <si>
    <t>PROJ070</t>
  </si>
  <si>
    <t>23-05-2021</t>
  </si>
  <si>
    <t>03-02-2022</t>
  </si>
  <si>
    <t>PROJ071</t>
  </si>
  <si>
    <t>20-09-2024</t>
  </si>
  <si>
    <t>19-03-2025</t>
  </si>
  <si>
    <t>08-04-2025</t>
  </si>
  <si>
    <t>PROJ072</t>
  </si>
  <si>
    <t>20-03-2021</t>
  </si>
  <si>
    <t>29-11-2021</t>
  </si>
  <si>
    <t>19-12-2021</t>
  </si>
  <si>
    <t>PROJ073</t>
  </si>
  <si>
    <t>08-09-2021</t>
  </si>
  <si>
    <t>PROJ074</t>
  </si>
  <si>
    <t>06-04-2021</t>
  </si>
  <si>
    <t>28-07-2021</t>
  </si>
  <si>
    <t>PROJ075</t>
  </si>
  <si>
    <t>PROJ076</t>
  </si>
  <si>
    <t>27-07-2022</t>
  </si>
  <si>
    <t>PROJ077</t>
  </si>
  <si>
    <t>17-09-2023</t>
  </si>
  <si>
    <t>12-08-2024</t>
  </si>
  <si>
    <t>PROJ078</t>
  </si>
  <si>
    <t>15-03-2022</t>
  </si>
  <si>
    <t>21-08-2022</t>
  </si>
  <si>
    <t>PROJ079</t>
  </si>
  <si>
    <t>18-08-2023</t>
  </si>
  <si>
    <t>PROJ080</t>
  </si>
  <si>
    <t>01-02-2023</t>
  </si>
  <si>
    <t>PROJ081</t>
  </si>
  <si>
    <t>16-12-2022</t>
  </si>
  <si>
    <t>PROJ082</t>
  </si>
  <si>
    <t>19-04-2021</t>
  </si>
  <si>
    <t>28-10-2021</t>
  </si>
  <si>
    <t>PROJ083</t>
  </si>
  <si>
    <t>23-01-2023</t>
  </si>
  <si>
    <t>06-12-2023</t>
  </si>
  <si>
    <t>14-12-2023</t>
  </si>
  <si>
    <t>PROJ084</t>
  </si>
  <si>
    <t>15-07-2022</t>
  </si>
  <si>
    <t>PROJ085</t>
  </si>
  <si>
    <t>29-05-2023</t>
  </si>
  <si>
    <t>24-11-2023</t>
  </si>
  <si>
    <t>PROJ086</t>
  </si>
  <si>
    <t>14-01-2021</t>
  </si>
  <si>
    <t>03-10-2021</t>
  </si>
  <si>
    <t>PROJ087</t>
  </si>
  <si>
    <t>27-05-2024</t>
  </si>
  <si>
    <t>01-01-2025</t>
  </si>
  <si>
    <t>PROJ088</t>
  </si>
  <si>
    <t>18-01-2024</t>
  </si>
  <si>
    <t>PROJ089</t>
  </si>
  <si>
    <t>02-03-2023</t>
  </si>
  <si>
    <t>18-05-2023</t>
  </si>
  <si>
    <t>PROJ090</t>
  </si>
  <si>
    <t>25-03-2023</t>
  </si>
  <si>
    <t>PROJ091</t>
  </si>
  <si>
    <t>PROJ092</t>
  </si>
  <si>
    <t>11-01-2023</t>
  </si>
  <si>
    <t>04-09-2023</t>
  </si>
  <si>
    <t>PROJ093</t>
  </si>
  <si>
    <t>02-04-2024</t>
  </si>
  <si>
    <t>PROJ094</t>
  </si>
  <si>
    <t>24-02-2021</t>
  </si>
  <si>
    <t>13-02-2022</t>
  </si>
  <si>
    <t>PROJ095</t>
  </si>
  <si>
    <t>PROJ096</t>
  </si>
  <si>
    <t>07-12-2024</t>
  </si>
  <si>
    <t>18-06-2025</t>
  </si>
  <si>
    <t>17-08-2025</t>
  </si>
  <si>
    <t>PROJ097</t>
  </si>
  <si>
    <t>09-08-2022</t>
  </si>
  <si>
    <t>PROJ098</t>
  </si>
  <si>
    <t>31-07-2024</t>
  </si>
  <si>
    <t>26-12-2024</t>
  </si>
  <si>
    <t>PROJ099</t>
  </si>
  <si>
    <t>13-11-2021</t>
  </si>
  <si>
    <t>24-07-2022</t>
  </si>
  <si>
    <t>PROJ100</t>
  </si>
  <si>
    <t>16-12-2024</t>
  </si>
  <si>
    <t>PROJ101</t>
  </si>
  <si>
    <t>19-05-2024</t>
  </si>
  <si>
    <t>PROJ102</t>
  </si>
  <si>
    <t>25-04-2023</t>
  </si>
  <si>
    <t>22-04-2024</t>
  </si>
  <si>
    <t>PROJ103</t>
  </si>
  <si>
    <t>03-11-2022</t>
  </si>
  <si>
    <t>15-05-2023</t>
  </si>
  <si>
    <t>PROJ104</t>
  </si>
  <si>
    <t>02-02-2022</t>
  </si>
  <si>
    <t>PROJ105</t>
  </si>
  <si>
    <t>PROJ106</t>
  </si>
  <si>
    <t>09-06-2022</t>
  </si>
  <si>
    <t>09-02-2023</t>
  </si>
  <si>
    <t>PROJ107</t>
  </si>
  <si>
    <t>24-05-2022</t>
  </si>
  <si>
    <t>28-12-2022</t>
  </si>
  <si>
    <t>PROJ108</t>
  </si>
  <si>
    <t>05-09-2024</t>
  </si>
  <si>
    <t>29-12-2024</t>
  </si>
  <si>
    <t>20-02-2025</t>
  </si>
  <si>
    <t>PROJ109</t>
  </si>
  <si>
    <t>09-02-2025</t>
  </si>
  <si>
    <t>PROJ110</t>
  </si>
  <si>
    <t>12-05-2024</t>
  </si>
  <si>
    <t>PROJ111</t>
  </si>
  <si>
    <t>11-09-2024</t>
  </si>
  <si>
    <t>PROJ112</t>
  </si>
  <si>
    <t>24-07-2024</t>
  </si>
  <si>
    <t>14-10-2024</t>
  </si>
  <si>
    <t>PROJ113</t>
  </si>
  <si>
    <t>PROJ114</t>
  </si>
  <si>
    <t>28-02-2023</t>
  </si>
  <si>
    <t>09-10-2023</t>
  </si>
  <si>
    <t>PROJ115</t>
  </si>
  <si>
    <t>30-07-2022</t>
  </si>
  <si>
    <t>PROJ116</t>
  </si>
  <si>
    <t>PROJ117</t>
  </si>
  <si>
    <t>09-05-2021</t>
  </si>
  <si>
    <t>PROJ118</t>
  </si>
  <si>
    <t>06-07-2022</t>
  </si>
  <si>
    <t>PROJ119</t>
  </si>
  <si>
    <t>25-11-2023</t>
  </si>
  <si>
    <t>PROJ120</t>
  </si>
  <si>
    <t>04-12-2022</t>
  </si>
  <si>
    <t>PROJ121</t>
  </si>
  <si>
    <t>16-02-2023</t>
  </si>
  <si>
    <t>PROJ122</t>
  </si>
  <si>
    <t>22-07-2023</t>
  </si>
  <si>
    <t>05-12-2023</t>
  </si>
  <si>
    <t>PROJ123</t>
  </si>
  <si>
    <t>13-05-2024</t>
  </si>
  <si>
    <t>25-07-2024</t>
  </si>
  <si>
    <t>PROJ124</t>
  </si>
  <si>
    <t>PROJ125</t>
  </si>
  <si>
    <t>19-01-2022</t>
  </si>
  <si>
    <t>PROJ126</t>
  </si>
  <si>
    <t>15-06-2024</t>
  </si>
  <si>
    <t>PROJ127</t>
  </si>
  <si>
    <t>29-03-2021</t>
  </si>
  <si>
    <t>19-06-2021</t>
  </si>
  <si>
    <t>PROJ128</t>
  </si>
  <si>
    <t>08-10-2023</t>
  </si>
  <si>
    <t>10-03-2024</t>
  </si>
  <si>
    <t>PROJ129</t>
  </si>
  <si>
    <t>08-09-2024</t>
  </si>
  <si>
    <t>20-04-2025</t>
  </si>
  <si>
    <t>PROJ130</t>
  </si>
  <si>
    <t>26-01-2024</t>
  </si>
  <si>
    <t>10-08-2024</t>
  </si>
  <si>
    <t>PROJ131</t>
  </si>
  <si>
    <t>PROJ132</t>
  </si>
  <si>
    <t>23-03-2021</t>
  </si>
  <si>
    <t>PROJ133</t>
  </si>
  <si>
    <t>PROJ134</t>
  </si>
  <si>
    <t>04-01-2024</t>
  </si>
  <si>
    <t>19-03-2024</t>
  </si>
  <si>
    <t>PROJ135</t>
  </si>
  <si>
    <t>23-01-2025</t>
  </si>
  <si>
    <t>PROJ136</t>
  </si>
  <si>
    <t>PROJ137</t>
  </si>
  <si>
    <t>10-07-2023</t>
  </si>
  <si>
    <t>PROJ138</t>
  </si>
  <si>
    <t>11-09-2023</t>
  </si>
  <si>
    <t>PROJ139</t>
  </si>
  <si>
    <t>05-12-2022</t>
  </si>
  <si>
    <t>02-08-2023</t>
  </si>
  <si>
    <t>PROJ140</t>
  </si>
  <si>
    <t>28-06-2022</t>
  </si>
  <si>
    <t>PROJ141</t>
  </si>
  <si>
    <t>09-12-2022</t>
  </si>
  <si>
    <t>02-01-2023</t>
  </si>
  <si>
    <t>PROJ142</t>
  </si>
  <si>
    <t>13-08-2024</t>
  </si>
  <si>
    <t>25-05-2025</t>
  </si>
  <si>
    <t>PROJ143</t>
  </si>
  <si>
    <t>20-05-2022</t>
  </si>
  <si>
    <t>04-10-2022</t>
  </si>
  <si>
    <t>PROJ144</t>
  </si>
  <si>
    <t>21-11-2024</t>
  </si>
  <si>
    <t>01-08-2025</t>
  </si>
  <si>
    <t>PROJ145</t>
  </si>
  <si>
    <t>06-01-2021</t>
  </si>
  <si>
    <t>04-01-2022</t>
  </si>
  <si>
    <t>PROJ146</t>
  </si>
  <si>
    <t>14-11-2022</t>
  </si>
  <si>
    <t>PROJ147</t>
  </si>
  <si>
    <t>05-07-2021</t>
  </si>
  <si>
    <t>30-05-2022</t>
  </si>
  <si>
    <t>PROJ148</t>
  </si>
  <si>
    <t>02-03-2025</t>
  </si>
  <si>
    <t>PROJ149</t>
  </si>
  <si>
    <t>02-10-2021</t>
  </si>
  <si>
    <t>03-07-2022</t>
  </si>
  <si>
    <t>20-07-2022</t>
  </si>
  <si>
    <t>PROJ150</t>
  </si>
  <si>
    <t>26-07-2023</t>
  </si>
  <si>
    <t>PROJ151</t>
  </si>
  <si>
    <t>13-10-2023</t>
  </si>
  <si>
    <t>02-09-2024</t>
  </si>
  <si>
    <t>PROJ152</t>
  </si>
  <si>
    <t>29-04-2022</t>
  </si>
  <si>
    <t>PROJ153</t>
  </si>
  <si>
    <t>24-07-2023</t>
  </si>
  <si>
    <t>PROJ154</t>
  </si>
  <si>
    <t>07-05-2024</t>
  </si>
  <si>
    <t>PROJ155</t>
  </si>
  <si>
    <t>10-03-2021</t>
  </si>
  <si>
    <t>14-07-2021</t>
  </si>
  <si>
    <t>PROJ156</t>
  </si>
  <si>
    <t>28-07-2022</t>
  </si>
  <si>
    <t>19-04-2023</t>
  </si>
  <si>
    <t>PROJ157</t>
  </si>
  <si>
    <t>PROJ158</t>
  </si>
  <si>
    <t>13-01-2022</t>
  </si>
  <si>
    <t>PROJ159</t>
  </si>
  <si>
    <t>18-04-2025</t>
  </si>
  <si>
    <t>PROJ160</t>
  </si>
  <si>
    <t>06-04-2022</t>
  </si>
  <si>
    <t>PROJ161</t>
  </si>
  <si>
    <t>08-04-2022</t>
  </si>
  <si>
    <t>15-06-2022</t>
  </si>
  <si>
    <t>19-06-2022</t>
  </si>
  <si>
    <t>PROJ162</t>
  </si>
  <si>
    <t>06-02-2023</t>
  </si>
  <si>
    <t>07-11-2023</t>
  </si>
  <si>
    <t>PROJ163</t>
  </si>
  <si>
    <t>13-12-2023</t>
  </si>
  <si>
    <t>PROJ164</t>
  </si>
  <si>
    <t>PROJ165</t>
  </si>
  <si>
    <t>07-03-2023</t>
  </si>
  <si>
    <t>PROJ166</t>
  </si>
  <si>
    <t>PROJ167</t>
  </si>
  <si>
    <t>05-05-2025</t>
  </si>
  <si>
    <t>PROJ168</t>
  </si>
  <si>
    <t>22-10-2021</t>
  </si>
  <si>
    <t>PROJ169</t>
  </si>
  <si>
    <t>06-07-2021</t>
  </si>
  <si>
    <t>05-02-2022</t>
  </si>
  <si>
    <t>PROJ170</t>
  </si>
  <si>
    <t>05-09-2021</t>
  </si>
  <si>
    <t>PROJ171</t>
  </si>
  <si>
    <t>15-02-2021</t>
  </si>
  <si>
    <t>01-07-2021</t>
  </si>
  <si>
    <t>PROJ172</t>
  </si>
  <si>
    <t>PROJ173</t>
  </si>
  <si>
    <t>28-11-2021</t>
  </si>
  <si>
    <t>PROJ174</t>
  </si>
  <si>
    <t>16-04-2023</t>
  </si>
  <si>
    <t>19-02-2024</t>
  </si>
  <si>
    <t>PROJ175</t>
  </si>
  <si>
    <t>PROJ176</t>
  </si>
  <si>
    <t>11-02-2023</t>
  </si>
  <si>
    <t>PROJ177</t>
  </si>
  <si>
    <t>01-10-2023</t>
  </si>
  <si>
    <t>PROJ178</t>
  </si>
  <si>
    <t>PROJ179</t>
  </si>
  <si>
    <t>06-12-2021</t>
  </si>
  <si>
    <t>10-05-2022</t>
  </si>
  <si>
    <t>PROJ180</t>
  </si>
  <si>
    <t>PROJ181</t>
  </si>
  <si>
    <t>15-07-2021</t>
  </si>
  <si>
    <t>PROJ182</t>
  </si>
  <si>
    <t>07-09-2023</t>
  </si>
  <si>
    <t>PROJ183</t>
  </si>
  <si>
    <t>22-04-2022</t>
  </si>
  <si>
    <t>PROJ184</t>
  </si>
  <si>
    <t>25-04-2022</t>
  </si>
  <si>
    <t>08-10-2022</t>
  </si>
  <si>
    <t>PROJ185</t>
  </si>
  <si>
    <t>29-11-2022</t>
  </si>
  <si>
    <t>01-06-2023</t>
  </si>
  <si>
    <t>PROJ186</t>
  </si>
  <si>
    <t>PROJ187</t>
  </si>
  <si>
    <t>13-01-2024</t>
  </si>
  <si>
    <t>PROJ188</t>
  </si>
  <si>
    <t>22-01-2023</t>
  </si>
  <si>
    <t>03-10-2023</t>
  </si>
  <si>
    <t>PROJ189</t>
  </si>
  <si>
    <t>24-09-2021</t>
  </si>
  <si>
    <t>PROJ190</t>
  </si>
  <si>
    <t>14-09-2022</t>
  </si>
  <si>
    <t>PROJ191</t>
  </si>
  <si>
    <t>18-11-2021</t>
  </si>
  <si>
    <t>PROJ192</t>
  </si>
  <si>
    <t>28-10-2022</t>
  </si>
  <si>
    <t>PROJ193</t>
  </si>
  <si>
    <t>04-09-2022</t>
  </si>
  <si>
    <t>03-12-2022</t>
  </si>
  <si>
    <t>PROJ194</t>
  </si>
  <si>
    <t>PROJ195</t>
  </si>
  <si>
    <t>03-04-2023</t>
  </si>
  <si>
    <t>21-10-2023</t>
  </si>
  <si>
    <t>PROJ196</t>
  </si>
  <si>
    <t>01-12-2021</t>
  </si>
  <si>
    <t>16-10-2022</t>
  </si>
  <si>
    <t>PROJ197</t>
  </si>
  <si>
    <t>17-03-2021</t>
  </si>
  <si>
    <t>10-07-2021</t>
  </si>
  <si>
    <t>PROJ198</t>
  </si>
  <si>
    <t>PROJ199</t>
  </si>
  <si>
    <t>07-05-2021</t>
  </si>
  <si>
    <t>15-02-2022</t>
  </si>
  <si>
    <t>PROJ200</t>
  </si>
  <si>
    <t>15-05-2024</t>
  </si>
  <si>
    <t>28-10-2024</t>
  </si>
  <si>
    <t>20-11-2024</t>
  </si>
  <si>
    <t>Record_ID</t>
  </si>
  <si>
    <t>Date</t>
  </si>
  <si>
    <t>Login_Time</t>
  </si>
  <si>
    <t>Logout_Time</t>
  </si>
  <si>
    <t>Work_Hours</t>
  </si>
  <si>
    <t>WFH_Flag</t>
  </si>
  <si>
    <t>ATT00001</t>
  </si>
  <si>
    <t>14:21</t>
  </si>
  <si>
    <t>Present</t>
  </si>
  <si>
    <t>no</t>
  </si>
  <si>
    <t>ATT00002</t>
  </si>
  <si>
    <t>03-09-2024</t>
  </si>
  <si>
    <t>10:30</t>
  </si>
  <si>
    <t>17:30</t>
  </si>
  <si>
    <t>yes</t>
  </si>
  <si>
    <t>ATT00003</t>
  </si>
  <si>
    <t>04-09-2024</t>
  </si>
  <si>
    <t>Absent</t>
  </si>
  <si>
    <t>ATT00004</t>
  </si>
  <si>
    <t>08:40</t>
  </si>
  <si>
    <t>17:40</t>
  </si>
  <si>
    <t>ATT00005</t>
  </si>
  <si>
    <t>06-09-2024</t>
  </si>
  <si>
    <t>09:22</t>
  </si>
  <si>
    <t>19:22</t>
  </si>
  <si>
    <t>Yes</t>
  </si>
  <si>
    <t>ATT00006</t>
  </si>
  <si>
    <t>09-09-2024</t>
  </si>
  <si>
    <t>09:57</t>
  </si>
  <si>
    <t>16:57</t>
  </si>
  <si>
    <t>ATT00007</t>
  </si>
  <si>
    <t>10-09-2024</t>
  </si>
  <si>
    <t>10:02</t>
  </si>
  <si>
    <t>21:02</t>
  </si>
  <si>
    <t>ATT00008</t>
  </si>
  <si>
    <t>10:11</t>
  </si>
  <si>
    <t>16:11</t>
  </si>
  <si>
    <t>ATT00009</t>
  </si>
  <si>
    <t>12-09-2024</t>
  </si>
  <si>
    <t>08:47</t>
  </si>
  <si>
    <t>17:47</t>
  </si>
  <si>
    <t>No</t>
  </si>
  <si>
    <t>ATT00010</t>
  </si>
  <si>
    <t>13-09-2024</t>
  </si>
  <si>
    <t>08:52</t>
  </si>
  <si>
    <t>14:52</t>
  </si>
  <si>
    <t>ATT00011</t>
  </si>
  <si>
    <t>16-09-2024</t>
  </si>
  <si>
    <t>10:47</t>
  </si>
  <si>
    <t>19:47</t>
  </si>
  <si>
    <t>ATT00012</t>
  </si>
  <si>
    <t>17-09-2024</t>
  </si>
  <si>
    <t>10:06</t>
  </si>
  <si>
    <t>20:06</t>
  </si>
  <si>
    <t>ATT00013</t>
  </si>
  <si>
    <t>08:51</t>
  </si>
  <si>
    <t>17:51</t>
  </si>
  <si>
    <t>ATT00014</t>
  </si>
  <si>
    <t>19-09-2024</t>
  </si>
  <si>
    <t>10:55</t>
  </si>
  <si>
    <t>21:55</t>
  </si>
  <si>
    <t>ATT00015</t>
  </si>
  <si>
    <t>10:08</t>
  </si>
  <si>
    <t>20:08</t>
  </si>
  <si>
    <t>ATT00016</t>
  </si>
  <si>
    <t>23-09-2024</t>
  </si>
  <si>
    <t>09:54</t>
  </si>
  <si>
    <t>19:54</t>
  </si>
  <si>
    <t>ATT00017</t>
  </si>
  <si>
    <t>24-09-2024</t>
  </si>
  <si>
    <t>09:39</t>
  </si>
  <si>
    <t>17:39</t>
  </si>
  <si>
    <t>ATT00018</t>
  </si>
  <si>
    <t>25-09-2024</t>
  </si>
  <si>
    <t>Half Day</t>
  </si>
  <si>
    <t>ATT00019</t>
  </si>
  <si>
    <t>26-09-2024</t>
  </si>
  <si>
    <t>08:30</t>
  </si>
  <si>
    <t>19:30</t>
  </si>
  <si>
    <t>ATT00020</t>
  </si>
  <si>
    <t>27-09-2024</t>
  </si>
  <si>
    <t>09:53</t>
  </si>
  <si>
    <t>16:53</t>
  </si>
  <si>
    <t>ATT00021</t>
  </si>
  <si>
    <t>30-09-2024</t>
  </si>
  <si>
    <t>08:21</t>
  </si>
  <si>
    <t>18:21</t>
  </si>
  <si>
    <t>ATT00022</t>
  </si>
  <si>
    <t>01-10-2024</t>
  </si>
  <si>
    <t>09:09</t>
  </si>
  <si>
    <t>16:09</t>
  </si>
  <si>
    <t>ATT00023</t>
  </si>
  <si>
    <t>02-10-2024</t>
  </si>
  <si>
    <t>18:39</t>
  </si>
  <si>
    <t>ATT00024</t>
  </si>
  <si>
    <t>03-10-2024</t>
  </si>
  <si>
    <t>08:00</t>
  </si>
  <si>
    <t>17:00</t>
  </si>
  <si>
    <t>ATT00025</t>
  </si>
  <si>
    <t>04-10-2024</t>
  </si>
  <si>
    <t>08:32</t>
  </si>
  <si>
    <t>15:32</t>
  </si>
  <si>
    <t>ATT00026</t>
  </si>
  <si>
    <t>07-10-2024</t>
  </si>
  <si>
    <t>17:55</t>
  </si>
  <si>
    <t>ATT00027</t>
  </si>
  <si>
    <t>08-10-2024</t>
  </si>
  <si>
    <t>09:36</t>
  </si>
  <si>
    <t>18:36</t>
  </si>
  <si>
    <t>ATT00028</t>
  </si>
  <si>
    <t>2024/10/09</t>
  </si>
  <si>
    <t>09:05</t>
  </si>
  <si>
    <t>17:05</t>
  </si>
  <si>
    <t>ATT00029</t>
  </si>
  <si>
    <t>10-10-2024</t>
  </si>
  <si>
    <t>09:52</t>
  </si>
  <si>
    <t>16:52</t>
  </si>
  <si>
    <t>ATT00030</t>
  </si>
  <si>
    <t>11-10-2024</t>
  </si>
  <si>
    <t>ATT00031</t>
  </si>
  <si>
    <t>10:35</t>
  </si>
  <si>
    <t>18:35</t>
  </si>
  <si>
    <t>ATT00032</t>
  </si>
  <si>
    <t>15-10-2024</t>
  </si>
  <si>
    <t>08:54</t>
  </si>
  <si>
    <t>17:54</t>
  </si>
  <si>
    <t>ATT00033</t>
  </si>
  <si>
    <t>16-10-2024</t>
  </si>
  <si>
    <t>10:01</t>
  </si>
  <si>
    <t>17:01</t>
  </si>
  <si>
    <t>ATT00034</t>
  </si>
  <si>
    <t>17-10-2024</t>
  </si>
  <si>
    <t>09:13</t>
  </si>
  <si>
    <t>15:13</t>
  </si>
  <si>
    <t>ATT00035</t>
  </si>
  <si>
    <t>18-10-2024</t>
  </si>
  <si>
    <t>08:13</t>
  </si>
  <si>
    <t>17:13</t>
  </si>
  <si>
    <t>ATT00036</t>
  </si>
  <si>
    <t>2024/10/21</t>
  </si>
  <si>
    <t>09:44</t>
  </si>
  <si>
    <t>20:44</t>
  </si>
  <si>
    <t>ATT00037</t>
  </si>
  <si>
    <t>22-10-2024</t>
  </si>
  <si>
    <t>10:21</t>
  </si>
  <si>
    <t>19:21</t>
  </si>
  <si>
    <t>ATT00038</t>
  </si>
  <si>
    <t>23-10-2024</t>
  </si>
  <si>
    <t>18:53</t>
  </si>
  <si>
    <t>ATT00039</t>
  </si>
  <si>
    <t>24-10-2024</t>
  </si>
  <si>
    <t>08:26</t>
  </si>
  <si>
    <t>15:26</t>
  </si>
  <si>
    <t>ATT00040</t>
  </si>
  <si>
    <t>25-10-2024</t>
  </si>
  <si>
    <t>10:48</t>
  </si>
  <si>
    <t>16:48</t>
  </si>
  <si>
    <t>ATT00041</t>
  </si>
  <si>
    <t>09:19</t>
  </si>
  <si>
    <t>18:19</t>
  </si>
  <si>
    <t>ATT00042</t>
  </si>
  <si>
    <t>29-10-2024</t>
  </si>
  <si>
    <t>08:16</t>
  </si>
  <si>
    <t>14:16</t>
  </si>
  <si>
    <t>ATT00043</t>
  </si>
  <si>
    <t>30-10-2024</t>
  </si>
  <si>
    <t>20:11</t>
  </si>
  <si>
    <t>ATT00044</t>
  </si>
  <si>
    <t>08:37</t>
  </si>
  <si>
    <t>17:37</t>
  </si>
  <si>
    <t>ATT00045</t>
  </si>
  <si>
    <t>16:39</t>
  </si>
  <si>
    <t>ATT00046</t>
  </si>
  <si>
    <t>10:00</t>
  </si>
  <si>
    <t>20:00</t>
  </si>
  <si>
    <t>ATT00047</t>
  </si>
  <si>
    <t>ATT00048</t>
  </si>
  <si>
    <t>09:28</t>
  </si>
  <si>
    <t>15:28</t>
  </si>
  <si>
    <t>ATT00049</t>
  </si>
  <si>
    <t>09:21</t>
  </si>
  <si>
    <t>16:21</t>
  </si>
  <si>
    <t>ATT00050</t>
  </si>
  <si>
    <t>18:22</t>
  </si>
  <si>
    <t>ATT00051</t>
  </si>
  <si>
    <t>10:20</t>
  </si>
  <si>
    <t>19:20</t>
  </si>
  <si>
    <t>ATT00052</t>
  </si>
  <si>
    <t>16:37</t>
  </si>
  <si>
    <t>ATT00053</t>
  </si>
  <si>
    <t>ATT00054</t>
  </si>
  <si>
    <t>09:04</t>
  </si>
  <si>
    <t>16:04</t>
  </si>
  <si>
    <t>ATT00055</t>
  </si>
  <si>
    <t>10:59</t>
  </si>
  <si>
    <t>16:59</t>
  </si>
  <si>
    <t>ATT00056</t>
  </si>
  <si>
    <t>Leave</t>
  </si>
  <si>
    <t>ATT00057</t>
  </si>
  <si>
    <t>10:05</t>
  </si>
  <si>
    <t>ATT00058</t>
  </si>
  <si>
    <t>ATT00059</t>
  </si>
  <si>
    <t>09:00</t>
  </si>
  <si>
    <t>18:00</t>
  </si>
  <si>
    <t>ATT00060</t>
  </si>
  <si>
    <t>10:33</t>
  </si>
  <si>
    <t>20:33</t>
  </si>
  <si>
    <t>ATT00061</t>
  </si>
  <si>
    <t>ATT00062</t>
  </si>
  <si>
    <t>ATT00063</t>
  </si>
  <si>
    <t>10:57</t>
  </si>
  <si>
    <t>20:57</t>
  </si>
  <si>
    <t>ATT00064</t>
  </si>
  <si>
    <t>08:08</t>
  </si>
  <si>
    <t>19:08</t>
  </si>
  <si>
    <t>ATT00065</t>
  </si>
  <si>
    <t>08:01</t>
  </si>
  <si>
    <t>18:01</t>
  </si>
  <si>
    <t>ATT00066</t>
  </si>
  <si>
    <t>09:01</t>
  </si>
  <si>
    <t>16:01</t>
  </si>
  <si>
    <t>ATT00067</t>
  </si>
  <si>
    <t>ATT00068</t>
  </si>
  <si>
    <t>ATT00069</t>
  </si>
  <si>
    <t>10:36</t>
  </si>
  <si>
    <t>20:36</t>
  </si>
  <si>
    <t>ATT00070</t>
  </si>
  <si>
    <t>09:12</t>
  </si>
  <si>
    <t>20:12</t>
  </si>
  <si>
    <t>ATT00071</t>
  </si>
  <si>
    <t>09-10-2024</t>
  </si>
  <si>
    <t>10:18</t>
  </si>
  <si>
    <t>18:18</t>
  </si>
  <si>
    <t>ATT00072</t>
  </si>
  <si>
    <t>08:46</t>
  </si>
  <si>
    <t>15:46</t>
  </si>
  <si>
    <t>ATT00073</t>
  </si>
  <si>
    <t>09:49</t>
  </si>
  <si>
    <t>15:49</t>
  </si>
  <si>
    <t>ATT00074</t>
  </si>
  <si>
    <t>ATT00075</t>
  </si>
  <si>
    <t>08:06</t>
  </si>
  <si>
    <t>15:06</t>
  </si>
  <si>
    <t>ATT00076</t>
  </si>
  <si>
    <t>ATT00077</t>
  </si>
  <si>
    <t>17:59</t>
  </si>
  <si>
    <t>ATT00078</t>
  </si>
  <si>
    <t>10:42</t>
  </si>
  <si>
    <t>16:42</t>
  </si>
  <si>
    <t>ATT00079</t>
  </si>
  <si>
    <t>21-10-2024</t>
  </si>
  <si>
    <t>09:31</t>
  </si>
  <si>
    <t>15:31</t>
  </si>
  <si>
    <t>ATT00080</t>
  </si>
  <si>
    <t>08:24</t>
  </si>
  <si>
    <t>16:24</t>
  </si>
  <si>
    <t>ATT00081</t>
  </si>
  <si>
    <t>10:28</t>
  </si>
  <si>
    <t>17:28</t>
  </si>
  <si>
    <t>ATT00082</t>
  </si>
  <si>
    <t>18:54</t>
  </si>
  <si>
    <t>ATT00083</t>
  </si>
  <si>
    <t>09:16</t>
  </si>
  <si>
    <t>20:16</t>
  </si>
  <si>
    <t>ATT00084</t>
  </si>
  <si>
    <t>ATT00085</t>
  </si>
  <si>
    <t>ATT00086</t>
  </si>
  <si>
    <t>08:33</t>
  </si>
  <si>
    <t>15:33</t>
  </si>
  <si>
    <t>ATT00087</t>
  </si>
  <si>
    <t>08:38</t>
  </si>
  <si>
    <t>18:38</t>
  </si>
  <si>
    <t>ATT00088</t>
  </si>
  <si>
    <t>10:45</t>
  </si>
  <si>
    <t>20:45</t>
  </si>
  <si>
    <t>ATT00089</t>
  </si>
  <si>
    <t>ATT00090</t>
  </si>
  <si>
    <t>09:45</t>
  </si>
  <si>
    <t>17:45</t>
  </si>
  <si>
    <t>ATT00091</t>
  </si>
  <si>
    <t>08:22</t>
  </si>
  <si>
    <t>ATT00092</t>
  </si>
  <si>
    <t>08:59</t>
  </si>
  <si>
    <t>18:59</t>
  </si>
  <si>
    <t>ATT00093</t>
  </si>
  <si>
    <t>10:09</t>
  </si>
  <si>
    <t>19:09</t>
  </si>
  <si>
    <t>ATT00094</t>
  </si>
  <si>
    <t>18:32</t>
  </si>
  <si>
    <t>ATT00095</t>
  </si>
  <si>
    <t>2024/09/12</t>
  </si>
  <si>
    <t>09:48</t>
  </si>
  <si>
    <t>17:48</t>
  </si>
  <si>
    <t>ATT00096</t>
  </si>
  <si>
    <t>09:14</t>
  </si>
  <si>
    <t>16:14</t>
  </si>
  <si>
    <t>ATT00097</t>
  </si>
  <si>
    <t>10:03</t>
  </si>
  <si>
    <t>20:03</t>
  </si>
  <si>
    <t>ATT00098</t>
  </si>
  <si>
    <t>ATT00099</t>
  </si>
  <si>
    <t>18:47</t>
  </si>
  <si>
    <t>ATT00100</t>
  </si>
  <si>
    <t>10:14</t>
  </si>
  <si>
    <t>18:14</t>
  </si>
  <si>
    <t>ATT00101</t>
  </si>
  <si>
    <t>08:17</t>
  </si>
  <si>
    <t>15:17</t>
  </si>
  <si>
    <t>ATT00102</t>
  </si>
  <si>
    <t>19:48</t>
  </si>
  <si>
    <t>ATT00103</t>
  </si>
  <si>
    <t>09:27</t>
  </si>
  <si>
    <t>15:27</t>
  </si>
  <si>
    <t>ATT00104</t>
  </si>
  <si>
    <t>10:10</t>
  </si>
  <si>
    <t>17:10</t>
  </si>
  <si>
    <t>ATT00105</t>
  </si>
  <si>
    <t>ATT00106</t>
  </si>
  <si>
    <t>10:31</t>
  </si>
  <si>
    <t>16:31</t>
  </si>
  <si>
    <t>ATT00107</t>
  </si>
  <si>
    <t>ATT00108</t>
  </si>
  <si>
    <t>15:01</t>
  </si>
  <si>
    <t>ATT00109</t>
  </si>
  <si>
    <t>10:32</t>
  </si>
  <si>
    <t>21:32</t>
  </si>
  <si>
    <t>ATT00110</t>
  </si>
  <si>
    <t>10:58</t>
  </si>
  <si>
    <t>17:58</t>
  </si>
  <si>
    <t>ATT00111</t>
  </si>
  <si>
    <t>2024/10/04</t>
  </si>
  <si>
    <t>18:30</t>
  </si>
  <si>
    <t>ATT00112</t>
  </si>
  <si>
    <t>08:19</t>
  </si>
  <si>
    <t>16:19</t>
  </si>
  <si>
    <t>ATT00113</t>
  </si>
  <si>
    <t>08:56</t>
  </si>
  <si>
    <t>15:56</t>
  </si>
  <si>
    <t>ATT00114</t>
  </si>
  <si>
    <t>10:41</t>
  </si>
  <si>
    <t>18:41</t>
  </si>
  <si>
    <t>ATT00115</t>
  </si>
  <si>
    <t>10:49</t>
  </si>
  <si>
    <t>18:49</t>
  </si>
  <si>
    <t>ATT00116</t>
  </si>
  <si>
    <t>09:30</t>
  </si>
  <si>
    <t>16:30</t>
  </si>
  <si>
    <t>ATT00117</t>
  </si>
  <si>
    <t>09:43</t>
  </si>
  <si>
    <t>15:43</t>
  </si>
  <si>
    <t>ATT00118</t>
  </si>
  <si>
    <t>ATT00119</t>
  </si>
  <si>
    <t>ATT00120</t>
  </si>
  <si>
    <t>16:54</t>
  </si>
  <si>
    <t>ATT00121</t>
  </si>
  <si>
    <t>17:31</t>
  </si>
  <si>
    <t>ATT00122</t>
  </si>
  <si>
    <t>10:54</t>
  </si>
  <si>
    <t>ATT00123</t>
  </si>
  <si>
    <t>20:55</t>
  </si>
  <si>
    <t>ATT00124</t>
  </si>
  <si>
    <t>19:32</t>
  </si>
  <si>
    <t>ATT00125</t>
  </si>
  <si>
    <t>20:28</t>
  </si>
  <si>
    <t>ATT00126</t>
  </si>
  <si>
    <t>16:49</t>
  </si>
  <si>
    <t>ATT00127</t>
  </si>
  <si>
    <t>08:35</t>
  </si>
  <si>
    <t>15:35</t>
  </si>
  <si>
    <t>ATT00128</t>
  </si>
  <si>
    <t>08:09</t>
  </si>
  <si>
    <t>ATT00129</t>
  </si>
  <si>
    <t>ATT00130</t>
  </si>
  <si>
    <t>18:44</t>
  </si>
  <si>
    <t>ATT00131</t>
  </si>
  <si>
    <t>09:25</t>
  </si>
  <si>
    <t>19:25</t>
  </si>
  <si>
    <t>ATT00132</t>
  </si>
  <si>
    <t>08:31</t>
  </si>
  <si>
    <t>ATT00133</t>
  </si>
  <si>
    <t>16:28</t>
  </si>
  <si>
    <t>ATT00134</t>
  </si>
  <si>
    <t>09:07</t>
  </si>
  <si>
    <t>17:07</t>
  </si>
  <si>
    <t>ATT00135</t>
  </si>
  <si>
    <t>18:24</t>
  </si>
  <si>
    <t>ATT00136</t>
  </si>
  <si>
    <t>ATT00137</t>
  </si>
  <si>
    <t>10:44</t>
  </si>
  <si>
    <t>ATT00138</t>
  </si>
  <si>
    <t>10:07</t>
  </si>
  <si>
    <t>18:07</t>
  </si>
  <si>
    <t>ATT00139</t>
  </si>
  <si>
    <t>19:33</t>
  </si>
  <si>
    <t>ATT00140</t>
  </si>
  <si>
    <t>09:11</t>
  </si>
  <si>
    <t>15:11</t>
  </si>
  <si>
    <t>ATT00141</t>
  </si>
  <si>
    <t>ATT00142</t>
  </si>
  <si>
    <t>09:41</t>
  </si>
  <si>
    <t>20:41</t>
  </si>
  <si>
    <t>ATT00143</t>
  </si>
  <si>
    <t>10:29</t>
  </si>
  <si>
    <t>20:29</t>
  </si>
  <si>
    <t>ATT00144</t>
  </si>
  <si>
    <t>18:42</t>
  </si>
  <si>
    <t>ATT00145</t>
  </si>
  <si>
    <t>10:23</t>
  </si>
  <si>
    <t>17:23</t>
  </si>
  <si>
    <t>ATT00146</t>
  </si>
  <si>
    <t>ATT00147</t>
  </si>
  <si>
    <t>08:14</t>
  </si>
  <si>
    <t>15:14</t>
  </si>
  <si>
    <t>ATT00148</t>
  </si>
  <si>
    <t>ATT00149</t>
  </si>
  <si>
    <t>09:56</t>
  </si>
  <si>
    <t>20:56</t>
  </si>
  <si>
    <t>ATT00150</t>
  </si>
  <si>
    <t>ATT00151</t>
  </si>
  <si>
    <t>16:00</t>
  </si>
  <si>
    <t>ATT00152</t>
  </si>
  <si>
    <t>09:42</t>
  </si>
  <si>
    <t>19:42</t>
  </si>
  <si>
    <t>ATT00153</t>
  </si>
  <si>
    <t>17:57</t>
  </si>
  <si>
    <t>ATT00154</t>
  </si>
  <si>
    <t>09:10</t>
  </si>
  <si>
    <t>20:10</t>
  </si>
  <si>
    <t>ATT00155</t>
  </si>
  <si>
    <t>08:15</t>
  </si>
  <si>
    <t>18:15</t>
  </si>
  <si>
    <t>ATT00156</t>
  </si>
  <si>
    <t>08:02</t>
  </si>
  <si>
    <t>16:02</t>
  </si>
  <si>
    <t>ATT00157</t>
  </si>
  <si>
    <t>09:20</t>
  </si>
  <si>
    <t>18:20</t>
  </si>
  <si>
    <t>ATT00158</t>
  </si>
  <si>
    <t>10:38</t>
  </si>
  <si>
    <t>19:38</t>
  </si>
  <si>
    <t>ATT00159</t>
  </si>
  <si>
    <t>16:06</t>
  </si>
  <si>
    <t>ATT00160</t>
  </si>
  <si>
    <t>10:46</t>
  </si>
  <si>
    <t>19:46</t>
  </si>
  <si>
    <t>ATT00161</t>
  </si>
  <si>
    <t>09:51</t>
  </si>
  <si>
    <t>ATT00162</t>
  </si>
  <si>
    <t>08:50</t>
  </si>
  <si>
    <t>16:50</t>
  </si>
  <si>
    <t>ATT00163</t>
  </si>
  <si>
    <t>09:15</t>
  </si>
  <si>
    <t>19:15</t>
  </si>
  <si>
    <t>ATT00164</t>
  </si>
  <si>
    <t>09:46</t>
  </si>
  <si>
    <t>18:46</t>
  </si>
  <si>
    <t>ATT00165</t>
  </si>
  <si>
    <t>09:59</t>
  </si>
  <si>
    <t>19:59</t>
  </si>
  <si>
    <t>ATT00166</t>
  </si>
  <si>
    <t>08:36</t>
  </si>
  <si>
    <t>14:36</t>
  </si>
  <si>
    <t>ATT00167</t>
  </si>
  <si>
    <t>19:18</t>
  </si>
  <si>
    <t>ATT00168</t>
  </si>
  <si>
    <t>08:39</t>
  </si>
  <si>
    <t>15:39</t>
  </si>
  <si>
    <t>ATT00169</t>
  </si>
  <si>
    <t>18:48</t>
  </si>
  <si>
    <t>ATT00170</t>
  </si>
  <si>
    <t>09:34</t>
  </si>
  <si>
    <t>15:34</t>
  </si>
  <si>
    <t>ATT00171</t>
  </si>
  <si>
    <t>08:55</t>
  </si>
  <si>
    <t>15:55</t>
  </si>
  <si>
    <t>ATT00172</t>
  </si>
  <si>
    <t>17:46</t>
  </si>
  <si>
    <t>ATT00173</t>
  </si>
  <si>
    <t>08:49</t>
  </si>
  <si>
    <t>ATT00174</t>
  </si>
  <si>
    <t>ATT00175</t>
  </si>
  <si>
    <t>ATT00176</t>
  </si>
  <si>
    <t>ATT00177</t>
  </si>
  <si>
    <t>20:01</t>
  </si>
  <si>
    <t>ATT00178</t>
  </si>
  <si>
    <t>ATT00179</t>
  </si>
  <si>
    <t>08:11</t>
  </si>
  <si>
    <t>18:11</t>
  </si>
  <si>
    <t>ATT00180</t>
  </si>
  <si>
    <t>09:17</t>
  </si>
  <si>
    <t>18:17</t>
  </si>
  <si>
    <t>ATT00181</t>
  </si>
  <si>
    <t>21:30</t>
  </si>
  <si>
    <t>ATT00182</t>
  </si>
  <si>
    <t>10:51</t>
  </si>
  <si>
    <t>19:51</t>
  </si>
  <si>
    <t>ATT00183</t>
  </si>
  <si>
    <t>2024/09/16</t>
  </si>
  <si>
    <t>17:04</t>
  </si>
  <si>
    <t>ATT00184</t>
  </si>
  <si>
    <t>2024/09/17</t>
  </si>
  <si>
    <t>ATT00185</t>
  </si>
  <si>
    <t>21:01</t>
  </si>
  <si>
    <t>ATT00186</t>
  </si>
  <si>
    <t>ATT00187</t>
  </si>
  <si>
    <t>ATT00188</t>
  </si>
  <si>
    <t>08:41</t>
  </si>
  <si>
    <t>17:41</t>
  </si>
  <si>
    <t>ATT00189</t>
  </si>
  <si>
    <t>14:54</t>
  </si>
  <si>
    <t>ATT00190</t>
  </si>
  <si>
    <t>ATT00191</t>
  </si>
  <si>
    <t>19:50</t>
  </si>
  <si>
    <t>ATT00192</t>
  </si>
  <si>
    <t>20:35</t>
  </si>
  <si>
    <t>ATT00193</t>
  </si>
  <si>
    <t>09:38</t>
  </si>
  <si>
    <t>16:38</t>
  </si>
  <si>
    <t>ATT00194</t>
  </si>
  <si>
    <t>21:21</t>
  </si>
  <si>
    <t>ATT00195</t>
  </si>
  <si>
    <t>20:46</t>
  </si>
  <si>
    <t>ATT00196</t>
  </si>
  <si>
    <t>ATT00197</t>
  </si>
  <si>
    <t>17:36</t>
  </si>
  <si>
    <t>ATT00198</t>
  </si>
  <si>
    <t>17:32</t>
  </si>
  <si>
    <t>ATT00199</t>
  </si>
  <si>
    <t>ATT00200</t>
  </si>
  <si>
    <t>19:58</t>
  </si>
  <si>
    <t>ATT00201</t>
  </si>
  <si>
    <t>ATT00202</t>
  </si>
  <si>
    <t>17:02</t>
  </si>
  <si>
    <t>ATT00203</t>
  </si>
  <si>
    <t>10:53</t>
  </si>
  <si>
    <t>ATT00204</t>
  </si>
  <si>
    <t>ATT00205</t>
  </si>
  <si>
    <t>ATT00206</t>
  </si>
  <si>
    <t>10:19</t>
  </si>
  <si>
    <t>17:19</t>
  </si>
  <si>
    <t>ATT00207</t>
  </si>
  <si>
    <t>16:29</t>
  </si>
  <si>
    <t>ATT00208</t>
  </si>
  <si>
    <t>ATT00209</t>
  </si>
  <si>
    <t>08:20</t>
  </si>
  <si>
    <t>14:20</t>
  </si>
  <si>
    <t>ATT00210</t>
  </si>
  <si>
    <t>10:24</t>
  </si>
  <si>
    <t>20:24</t>
  </si>
  <si>
    <t>ATT00211</t>
  </si>
  <si>
    <t>09:32</t>
  </si>
  <si>
    <t>ATT00212</t>
  </si>
  <si>
    <t>2024/10/25</t>
  </si>
  <si>
    <t>ATT00213</t>
  </si>
  <si>
    <t>10:37</t>
  </si>
  <si>
    <t>18:37</t>
  </si>
  <si>
    <t>ATT00214</t>
  </si>
  <si>
    <t>08:44</t>
  </si>
  <si>
    <t>15:44</t>
  </si>
  <si>
    <t>ATT00215</t>
  </si>
  <si>
    <t>16:17</t>
  </si>
  <si>
    <t>ATT00216</t>
  </si>
  <si>
    <t>ATT00217</t>
  </si>
  <si>
    <t>09:06</t>
  </si>
  <si>
    <t>17:06</t>
  </si>
  <si>
    <t>ATT00218</t>
  </si>
  <si>
    <t>16:32</t>
  </si>
  <si>
    <t>ATT00219</t>
  </si>
  <si>
    <t>17:21</t>
  </si>
  <si>
    <t>ATT00220</t>
  </si>
  <si>
    <t>08:07</t>
  </si>
  <si>
    <t>ATT00221</t>
  </si>
  <si>
    <t>ATT00222</t>
  </si>
  <si>
    <t>14:14</t>
  </si>
  <si>
    <t>ATT00223</t>
  </si>
  <si>
    <t>ATT00224</t>
  </si>
  <si>
    <t>ATT00225</t>
  </si>
  <si>
    <t>ATT00226</t>
  </si>
  <si>
    <t>18:51</t>
  </si>
  <si>
    <t>ATT00227</t>
  </si>
  <si>
    <t>17:03</t>
  </si>
  <si>
    <t>ATT00228</t>
  </si>
  <si>
    <t>ATT00229</t>
  </si>
  <si>
    <t>10:04</t>
  </si>
  <si>
    <t>ATT00230</t>
  </si>
  <si>
    <t>ATT00231</t>
  </si>
  <si>
    <t>15:59</t>
  </si>
  <si>
    <t>ATT00232</t>
  </si>
  <si>
    <t>09:47</t>
  </si>
  <si>
    <t>ATT00233</t>
  </si>
  <si>
    <t>18:05</t>
  </si>
  <si>
    <t>ATT00234</t>
  </si>
  <si>
    <t>17:16</t>
  </si>
  <si>
    <t>ATT00235</t>
  </si>
  <si>
    <t>15:08</t>
  </si>
  <si>
    <t>ATT00236</t>
  </si>
  <si>
    <t>2024/09/30</t>
  </si>
  <si>
    <t>16:10</t>
  </si>
  <si>
    <t>ATT00237</t>
  </si>
  <si>
    <t>19:39</t>
  </si>
  <si>
    <t>ATT00238</t>
  </si>
  <si>
    <t>ATT00239</t>
  </si>
  <si>
    <t>ATT00240</t>
  </si>
  <si>
    <t>19:06</t>
  </si>
  <si>
    <t>ATT00241</t>
  </si>
  <si>
    <t>ATT00242</t>
  </si>
  <si>
    <t>ATT00243</t>
  </si>
  <si>
    <t>17:27</t>
  </si>
  <si>
    <t>ATT00244</t>
  </si>
  <si>
    <t>ATT00245</t>
  </si>
  <si>
    <t>ATT00246</t>
  </si>
  <si>
    <t>ATT00247</t>
  </si>
  <si>
    <t>21:29</t>
  </si>
  <si>
    <t>ATT00248</t>
  </si>
  <si>
    <t>ATT00249</t>
  </si>
  <si>
    <t>10:27</t>
  </si>
  <si>
    <t>18:27</t>
  </si>
  <si>
    <t>ATT00250</t>
  </si>
  <si>
    <t>ATT00251</t>
  </si>
  <si>
    <t>ATT00252</t>
  </si>
  <si>
    <t>10:26</t>
  </si>
  <si>
    <t>21:26</t>
  </si>
  <si>
    <t>ATT00253</t>
  </si>
  <si>
    <t>ATT00254</t>
  </si>
  <si>
    <t>09:40</t>
  </si>
  <si>
    <t>15:40</t>
  </si>
  <si>
    <t>ATT00255</t>
  </si>
  <si>
    <t>15:52</t>
  </si>
  <si>
    <t>ATT00256</t>
  </si>
  <si>
    <t>20:23</t>
  </si>
  <si>
    <t>ATT00257</t>
  </si>
  <si>
    <t>14:13</t>
  </si>
  <si>
    <t>ATT00258</t>
  </si>
  <si>
    <t>19:26</t>
  </si>
  <si>
    <t>ATT00259</t>
  </si>
  <si>
    <t>19:55</t>
  </si>
  <si>
    <t>ATT00260</t>
  </si>
  <si>
    <t>09:37</t>
  </si>
  <si>
    <t>ATT00261</t>
  </si>
  <si>
    <t>ATT00262</t>
  </si>
  <si>
    <t>08:23</t>
  </si>
  <si>
    <t>19:23</t>
  </si>
  <si>
    <t>ATT00263</t>
  </si>
  <si>
    <t>08:58</t>
  </si>
  <si>
    <t>15:58</t>
  </si>
  <si>
    <t>ATT00264</t>
  </si>
  <si>
    <t>ATT00265</t>
  </si>
  <si>
    <t>09:55</t>
  </si>
  <si>
    <t>ATT00266</t>
  </si>
  <si>
    <t>ATT00267</t>
  </si>
  <si>
    <t>09:29</t>
  </si>
  <si>
    <t>17:29</t>
  </si>
  <si>
    <t>ATT00268</t>
  </si>
  <si>
    <t>16:22</t>
  </si>
  <si>
    <t>ATT00269</t>
  </si>
  <si>
    <t>09:33</t>
  </si>
  <si>
    <t>17:33</t>
  </si>
  <si>
    <t>ATT00270</t>
  </si>
  <si>
    <t>20:31</t>
  </si>
  <si>
    <t>ATT00271</t>
  </si>
  <si>
    <t>ATT00272</t>
  </si>
  <si>
    <t>09:03</t>
  </si>
  <si>
    <t>18:03</t>
  </si>
  <si>
    <t>ATT00273</t>
  </si>
  <si>
    <t>19:29</t>
  </si>
  <si>
    <t>ATT00274</t>
  </si>
  <si>
    <t>ATT00275</t>
  </si>
  <si>
    <t>ATT00276</t>
  </si>
  <si>
    <t>08:29</t>
  </si>
  <si>
    <t>ATT00277</t>
  </si>
  <si>
    <t>ATT00278</t>
  </si>
  <si>
    <t>16:20</t>
  </si>
  <si>
    <t>ATT00279</t>
  </si>
  <si>
    <t>18:40</t>
  </si>
  <si>
    <t>ATT00280</t>
  </si>
  <si>
    <t>ATT00281</t>
  </si>
  <si>
    <t>ATT00282</t>
  </si>
  <si>
    <t>10:40</t>
  </si>
  <si>
    <t>21:40</t>
  </si>
  <si>
    <t>ATT00283</t>
  </si>
  <si>
    <t>18:31</t>
  </si>
  <si>
    <t>ATT00284</t>
  </si>
  <si>
    <t>ATT00285</t>
  </si>
  <si>
    <t>ATT00286</t>
  </si>
  <si>
    <t>09:23</t>
  </si>
  <si>
    <t>18:23</t>
  </si>
  <si>
    <t>ATT00287</t>
  </si>
  <si>
    <t>ATT00288</t>
  </si>
  <si>
    <t>ATT00289</t>
  </si>
  <si>
    <t>10:17</t>
  </si>
  <si>
    <t>ATT00290</t>
  </si>
  <si>
    <t>ATT00291</t>
  </si>
  <si>
    <t>ATT00292</t>
  </si>
  <si>
    <t>ATT00293</t>
  </si>
  <si>
    <t>ATT00294</t>
  </si>
  <si>
    <t>15:10</t>
  </si>
  <si>
    <t>ATT00295</t>
  </si>
  <si>
    <t>16:47</t>
  </si>
  <si>
    <t>ATT00296</t>
  </si>
  <si>
    <t>16:23</t>
  </si>
  <si>
    <t>ATT00297</t>
  </si>
  <si>
    <t>17:24</t>
  </si>
  <si>
    <t>ATT00298</t>
  </si>
  <si>
    <t>10:16</t>
  </si>
  <si>
    <t>18:16</t>
  </si>
  <si>
    <t>ATT00299</t>
  </si>
  <si>
    <t>ATT00300</t>
  </si>
  <si>
    <t>ATT00301</t>
  </si>
  <si>
    <t>ATT00302</t>
  </si>
  <si>
    <t>ATT00303</t>
  </si>
  <si>
    <t>2024/09/03</t>
  </si>
  <si>
    <t>ATT00304</t>
  </si>
  <si>
    <t>16:27</t>
  </si>
  <si>
    <t>ATT00305</t>
  </si>
  <si>
    <t>ATT00306</t>
  </si>
  <si>
    <t>18:13</t>
  </si>
  <si>
    <t>ATT00307</t>
  </si>
  <si>
    <t>15:09</t>
  </si>
  <si>
    <t>ATT00308</t>
  </si>
  <si>
    <t>10:12</t>
  </si>
  <si>
    <t>18:12</t>
  </si>
  <si>
    <t>ATT00309</t>
  </si>
  <si>
    <t>ATT00310</t>
  </si>
  <si>
    <t>ATT00311</t>
  </si>
  <si>
    <t>ATT00312</t>
  </si>
  <si>
    <t>15:02</t>
  </si>
  <si>
    <t>ATT00313</t>
  </si>
  <si>
    <t>21:14</t>
  </si>
  <si>
    <t>ATT00314</t>
  </si>
  <si>
    <t>ATT00315</t>
  </si>
  <si>
    <t>ATT00316</t>
  </si>
  <si>
    <t>09:02</t>
  </si>
  <si>
    <t>ATT00317</t>
  </si>
  <si>
    <t>ATT00318</t>
  </si>
  <si>
    <t>10:15</t>
  </si>
  <si>
    <t>ATT00319</t>
  </si>
  <si>
    <t>17:56</t>
  </si>
  <si>
    <t>ATT00320</t>
  </si>
  <si>
    <t>ATT00321</t>
  </si>
  <si>
    <t>08:03</t>
  </si>
  <si>
    <t>ATT00322</t>
  </si>
  <si>
    <t>ATT00323</t>
  </si>
  <si>
    <t>08:48</t>
  </si>
  <si>
    <t>15:48</t>
  </si>
  <si>
    <t>ATT00324</t>
  </si>
  <si>
    <t>ATT00325</t>
  </si>
  <si>
    <t>ATT00326</t>
  </si>
  <si>
    <t>19:52</t>
  </si>
  <si>
    <t>ATT00327</t>
  </si>
  <si>
    <t>16:51</t>
  </si>
  <si>
    <t>ATT00328</t>
  </si>
  <si>
    <t>19:37</t>
  </si>
  <si>
    <t>ATT00329</t>
  </si>
  <si>
    <t>17:15</t>
  </si>
  <si>
    <t>ATT00330</t>
  </si>
  <si>
    <t>ATT00331</t>
  </si>
  <si>
    <t>ATT00332</t>
  </si>
  <si>
    <t>ATT00333</t>
  </si>
  <si>
    <t>ATT00334</t>
  </si>
  <si>
    <t>ATT00335</t>
  </si>
  <si>
    <t>ATT00336</t>
  </si>
  <si>
    <t>21:16</t>
  </si>
  <si>
    <t>ATT00337</t>
  </si>
  <si>
    <t>ATT00338</t>
  </si>
  <si>
    <t>ATT00339</t>
  </si>
  <si>
    <t>19:07</t>
  </si>
  <si>
    <t>ATT00340</t>
  </si>
  <si>
    <t>18:33</t>
  </si>
  <si>
    <t>ATT00341</t>
  </si>
  <si>
    <t>ATT00342</t>
  </si>
  <si>
    <t>2024/10/28</t>
  </si>
  <si>
    <t>ATT00343</t>
  </si>
  <si>
    <t>ATT00344</t>
  </si>
  <si>
    <t>14:39</t>
  </si>
  <si>
    <t>ATT00345</t>
  </si>
  <si>
    <t>15:16</t>
  </si>
  <si>
    <t>ATT00346</t>
  </si>
  <si>
    <t>ATT00347</t>
  </si>
  <si>
    <t>20:26</t>
  </si>
  <si>
    <t>ATT00348</t>
  </si>
  <si>
    <t>19:16</t>
  </si>
  <si>
    <t>ATT00349</t>
  </si>
  <si>
    <t>21:46</t>
  </si>
  <si>
    <t>ATT00350</t>
  </si>
  <si>
    <t>ATT00351</t>
  </si>
  <si>
    <t>19:53</t>
  </si>
  <si>
    <t>ATT00352</t>
  </si>
  <si>
    <t>ATT00353</t>
  </si>
  <si>
    <t>16:46</t>
  </si>
  <si>
    <t>ATT00354</t>
  </si>
  <si>
    <t>21:11</t>
  </si>
  <si>
    <t>ATT00355</t>
  </si>
  <si>
    <t>17:11</t>
  </si>
  <si>
    <t>ATT00356</t>
  </si>
  <si>
    <t>ATT00357</t>
  </si>
  <si>
    <t>ATT00358</t>
  </si>
  <si>
    <t>17:49</t>
  </si>
  <si>
    <t>ATT00359</t>
  </si>
  <si>
    <t>16:36</t>
  </si>
  <si>
    <t>ATT00360</t>
  </si>
  <si>
    <t>20:42</t>
  </si>
  <si>
    <t>ATT00361</t>
  </si>
  <si>
    <t>10:25</t>
  </si>
  <si>
    <t>21:25</t>
  </si>
  <si>
    <t>ATT00362</t>
  </si>
  <si>
    <t>08:12</t>
  </si>
  <si>
    <t>16:12</t>
  </si>
  <si>
    <t>ATT00363</t>
  </si>
  <si>
    <t>ATT00364</t>
  </si>
  <si>
    <t>09:58</t>
  </si>
  <si>
    <t>ATT00365</t>
  </si>
  <si>
    <t>ATT00366</t>
  </si>
  <si>
    <t>ATT00367</t>
  </si>
  <si>
    <t>ATT00368</t>
  </si>
  <si>
    <t>ATT00369</t>
  </si>
  <si>
    <t>ATT00370</t>
  </si>
  <si>
    <t>20:22</t>
  </si>
  <si>
    <t>ATT00371</t>
  </si>
  <si>
    <t>ATT00372</t>
  </si>
  <si>
    <t>ATT00373</t>
  </si>
  <si>
    <t>10:50</t>
  </si>
  <si>
    <t>ATT00374</t>
  </si>
  <si>
    <t>ATT00375</t>
  </si>
  <si>
    <t>17:38</t>
  </si>
  <si>
    <t>ATT00376</t>
  </si>
  <si>
    <t>ATT00377</t>
  </si>
  <si>
    <t>ATT00378</t>
  </si>
  <si>
    <t>ATT00379</t>
  </si>
  <si>
    <t>20:05</t>
  </si>
  <si>
    <t>ATT00380</t>
  </si>
  <si>
    <t>ATT00381</t>
  </si>
  <si>
    <t>2024/10/22</t>
  </si>
  <si>
    <t>ATT00382</t>
  </si>
  <si>
    <t>10:13</t>
  </si>
  <si>
    <t>ATT00383</t>
  </si>
  <si>
    <t>14:47</t>
  </si>
  <si>
    <t>ATT00384</t>
  </si>
  <si>
    <t>ATT00385</t>
  </si>
  <si>
    <t>14:44</t>
  </si>
  <si>
    <t>ATT00386</t>
  </si>
  <si>
    <t>ATT00387</t>
  </si>
  <si>
    <t>ATT00388</t>
  </si>
  <si>
    <t>ATT00389</t>
  </si>
  <si>
    <t>ATT00390</t>
  </si>
  <si>
    <t>ATT00391</t>
  </si>
  <si>
    <t>ATT00392</t>
  </si>
  <si>
    <t>08:43</t>
  </si>
  <si>
    <t>17:43</t>
  </si>
  <si>
    <t>ATT00393</t>
  </si>
  <si>
    <t>16:41</t>
  </si>
  <si>
    <t>ATT00394</t>
  </si>
  <si>
    <t>ATT00395</t>
  </si>
  <si>
    <t>17:26</t>
  </si>
  <si>
    <t>ATT00396</t>
  </si>
  <si>
    <t>ATT00397</t>
  </si>
  <si>
    <t>08:27</t>
  </si>
  <si>
    <t>ATT00398</t>
  </si>
  <si>
    <t>19:01</t>
  </si>
  <si>
    <t>ATT00399</t>
  </si>
  <si>
    <t>ATT00400</t>
  </si>
  <si>
    <t>16:15</t>
  </si>
  <si>
    <t>ATT00401</t>
  </si>
  <si>
    <t>19:19</t>
  </si>
  <si>
    <t>ATT00402</t>
  </si>
  <si>
    <t>09:08</t>
  </si>
  <si>
    <t>17:08</t>
  </si>
  <si>
    <t>ATT00403</t>
  </si>
  <si>
    <t>16:05</t>
  </si>
  <si>
    <t>ATT00404</t>
  </si>
  <si>
    <t>ATT00405</t>
  </si>
  <si>
    <t>ATT00406</t>
  </si>
  <si>
    <t>ATT00407</t>
  </si>
  <si>
    <t>ATT00408</t>
  </si>
  <si>
    <t>ATT00409</t>
  </si>
  <si>
    <t>08:34</t>
  </si>
  <si>
    <t>19:34</t>
  </si>
  <si>
    <t>ATT00410</t>
  </si>
  <si>
    <t>ATT00411</t>
  </si>
  <si>
    <t>18:28</t>
  </si>
  <si>
    <t>ATT00412</t>
  </si>
  <si>
    <t>ATT00413</t>
  </si>
  <si>
    <t>19:12</t>
  </si>
  <si>
    <t>ATT00414</t>
  </si>
  <si>
    <t>20:20</t>
  </si>
  <si>
    <t>ATT00415</t>
  </si>
  <si>
    <t>ATT00416</t>
  </si>
  <si>
    <t>ATT00417</t>
  </si>
  <si>
    <t>18:55</t>
  </si>
  <si>
    <t>ATT00418</t>
  </si>
  <si>
    <t>ATT00419</t>
  </si>
  <si>
    <t>ATT00420</t>
  </si>
  <si>
    <t>ATT00421</t>
  </si>
  <si>
    <t>ATT00422</t>
  </si>
  <si>
    <t>ATT00423</t>
  </si>
  <si>
    <t>ATT00424</t>
  </si>
  <si>
    <t>ATT00425</t>
  </si>
  <si>
    <t>ATT00426</t>
  </si>
  <si>
    <t>17:44</t>
  </si>
  <si>
    <t>ATT00427</t>
  </si>
  <si>
    <t>ATT00428</t>
  </si>
  <si>
    <t>ATT00429</t>
  </si>
  <si>
    <t>ATT00430</t>
  </si>
  <si>
    <t>ATT00431</t>
  </si>
  <si>
    <t>ATT00432</t>
  </si>
  <si>
    <t>ATT00433</t>
  </si>
  <si>
    <t>09:50</t>
  </si>
  <si>
    <t>ATT00434</t>
  </si>
  <si>
    <t>ATT00435</t>
  </si>
  <si>
    <t>2024/09/06</t>
  </si>
  <si>
    <t>20:49</t>
  </si>
  <si>
    <t>ATT00436</t>
  </si>
  <si>
    <t>ATT00437</t>
  </si>
  <si>
    <t>20:02</t>
  </si>
  <si>
    <t>ATT00438</t>
  </si>
  <si>
    <t>17:09</t>
  </si>
  <si>
    <t>ATT00439</t>
  </si>
  <si>
    <t>ATT00440</t>
  </si>
  <si>
    <t>ATT00441</t>
  </si>
  <si>
    <t>19:57</t>
  </si>
  <si>
    <t>ATT00442</t>
  </si>
  <si>
    <t>08:45</t>
  </si>
  <si>
    <t>16:45</t>
  </si>
  <si>
    <t>ATT00443</t>
  </si>
  <si>
    <t>ATT00444</t>
  </si>
  <si>
    <t>ATT00445</t>
  </si>
  <si>
    <t>19:14</t>
  </si>
  <si>
    <t>ATT00446</t>
  </si>
  <si>
    <t>ATT00447</t>
  </si>
  <si>
    <t>ATT00448</t>
  </si>
  <si>
    <t>14:35</t>
  </si>
  <si>
    <t>ATT00449</t>
  </si>
  <si>
    <t>08:25</t>
  </si>
  <si>
    <t>18:25</t>
  </si>
  <si>
    <t>ATT00450</t>
  </si>
  <si>
    <t>ATT00451</t>
  </si>
  <si>
    <t>20:59</t>
  </si>
  <si>
    <t>ATT00452</t>
  </si>
  <si>
    <t>ATT00453</t>
  </si>
  <si>
    <t>ATT00454</t>
  </si>
  <si>
    <t>10:52</t>
  </si>
  <si>
    <t>21:52</t>
  </si>
  <si>
    <t>ATT00455</t>
  </si>
  <si>
    <t>ATT00456</t>
  </si>
  <si>
    <t>08:04</t>
  </si>
  <si>
    <t>ATT00457</t>
  </si>
  <si>
    <t>ATT00458</t>
  </si>
  <si>
    <t>ATT00459</t>
  </si>
  <si>
    <t>20:30</t>
  </si>
  <si>
    <t>ATT00460</t>
  </si>
  <si>
    <t>ATT00461</t>
  </si>
  <si>
    <t>ATT00462</t>
  </si>
  <si>
    <t>21:12</t>
  </si>
  <si>
    <t>ATT00463</t>
  </si>
  <si>
    <t>ATT00464</t>
  </si>
  <si>
    <t>08:42</t>
  </si>
  <si>
    <t>17:42</t>
  </si>
  <si>
    <t>ATT00465</t>
  </si>
  <si>
    <t>16:03</t>
  </si>
  <si>
    <t>ATT00466</t>
  </si>
  <si>
    <t>ATT00467</t>
  </si>
  <si>
    <t>10:43</t>
  </si>
  <si>
    <t>18:43</t>
  </si>
  <si>
    <t>ATT00468</t>
  </si>
  <si>
    <t>2024/10/23</t>
  </si>
  <si>
    <t>ATT00469</t>
  </si>
  <si>
    <t>ATT00470</t>
  </si>
  <si>
    <t>ATT00471</t>
  </si>
  <si>
    <t>ATT00472</t>
  </si>
  <si>
    <t>2024/10/29</t>
  </si>
  <si>
    <t>ATT00473</t>
  </si>
  <si>
    <t>19:43</t>
  </si>
  <si>
    <t>ATT00474</t>
  </si>
  <si>
    <t>19:49</t>
  </si>
  <si>
    <t>ATT00475</t>
  </si>
  <si>
    <t>08:28</t>
  </si>
  <si>
    <t>ATT00476</t>
  </si>
  <si>
    <t>ATT00477</t>
  </si>
  <si>
    <t>10:39</t>
  </si>
  <si>
    <t>ATT00478</t>
  </si>
  <si>
    <t>ATT00479</t>
  </si>
  <si>
    <t>ATT00480</t>
  </si>
  <si>
    <t>ATT00481</t>
  </si>
  <si>
    <t>ATT00482</t>
  </si>
  <si>
    <t>ATT00483</t>
  </si>
  <si>
    <t>14:29</t>
  </si>
  <si>
    <t>ATT00484</t>
  </si>
  <si>
    <t>20:47</t>
  </si>
  <si>
    <t>ATT00485</t>
  </si>
  <si>
    <t>ATT00486</t>
  </si>
  <si>
    <t>ATT00487</t>
  </si>
  <si>
    <t>ATT00488</t>
  </si>
  <si>
    <t>17:25</t>
  </si>
  <si>
    <t>ATT00489</t>
  </si>
  <si>
    <t>ATT00490</t>
  </si>
  <si>
    <t>ATT00491</t>
  </si>
  <si>
    <t>ATT00492</t>
  </si>
  <si>
    <t>ATT00493</t>
  </si>
  <si>
    <t>17:34</t>
  </si>
  <si>
    <t>ATT00494</t>
  </si>
  <si>
    <t>10:22</t>
  </si>
  <si>
    <t>ATT00495</t>
  </si>
  <si>
    <t>ATT00496</t>
  </si>
  <si>
    <t>ATT00497</t>
  </si>
  <si>
    <t>18:04</t>
  </si>
  <si>
    <t>ATT00498</t>
  </si>
  <si>
    <t>16:55</t>
  </si>
  <si>
    <t>ATT00499</t>
  </si>
  <si>
    <t>19:27</t>
  </si>
  <si>
    <t>ATT00500</t>
  </si>
  <si>
    <t>ATT00501</t>
  </si>
  <si>
    <t>ATT00502</t>
  </si>
  <si>
    <t>17:50</t>
  </si>
  <si>
    <t>ATT00503</t>
  </si>
  <si>
    <t>2024/10/11</t>
  </si>
  <si>
    <t>ATT00504</t>
  </si>
  <si>
    <t>19:40</t>
  </si>
  <si>
    <t>ATT00505</t>
  </si>
  <si>
    <t>ATT00506</t>
  </si>
  <si>
    <t>ATT00507</t>
  </si>
  <si>
    <t>19:56</t>
  </si>
  <si>
    <t>ATT00508</t>
  </si>
  <si>
    <t>ATT00509</t>
  </si>
  <si>
    <t>ATT00510</t>
  </si>
  <si>
    <t>19:17</t>
  </si>
  <si>
    <t>ATT00511</t>
  </si>
  <si>
    <t>ATT00512</t>
  </si>
  <si>
    <t>ATT00513</t>
  </si>
  <si>
    <t>20:14</t>
  </si>
  <si>
    <t>ATT00514</t>
  </si>
  <si>
    <t>19:45</t>
  </si>
  <si>
    <t>ATT00515</t>
  </si>
  <si>
    <t>ATT00516</t>
  </si>
  <si>
    <t>ATT00517</t>
  </si>
  <si>
    <t>ATT00518</t>
  </si>
  <si>
    <t>10:34</t>
  </si>
  <si>
    <t>16:34</t>
  </si>
  <si>
    <t>ATT00519</t>
  </si>
  <si>
    <t>08:18</t>
  </si>
  <si>
    <t>ATT00520</t>
  </si>
  <si>
    <t>ATT00521</t>
  </si>
  <si>
    <t>ATT00522</t>
  </si>
  <si>
    <t>20:18</t>
  </si>
  <si>
    <t>ATT00523</t>
  </si>
  <si>
    <t>ATT00524</t>
  </si>
  <si>
    <t>ATT00525</t>
  </si>
  <si>
    <t>19:02</t>
  </si>
  <si>
    <t>ATT00526</t>
  </si>
  <si>
    <t>15:45</t>
  </si>
  <si>
    <t>ATT00527</t>
  </si>
  <si>
    <t>20:13</t>
  </si>
  <si>
    <t>ATT00528</t>
  </si>
  <si>
    <t>20:53</t>
  </si>
  <si>
    <t>ATT00529</t>
  </si>
  <si>
    <t>ATT00530</t>
  </si>
  <si>
    <t>ATT00531</t>
  </si>
  <si>
    <t>19:13</t>
  </si>
  <si>
    <t>ATT00532</t>
  </si>
  <si>
    <t>ATT00533</t>
  </si>
  <si>
    <t>20:39</t>
  </si>
  <si>
    <t>ATT00534</t>
  </si>
  <si>
    <t>ATT00535</t>
  </si>
  <si>
    <t>ATT00536</t>
  </si>
  <si>
    <t>ATT00537</t>
  </si>
  <si>
    <t>ATT00538</t>
  </si>
  <si>
    <t>ATT00539</t>
  </si>
  <si>
    <t>ATT00540</t>
  </si>
  <si>
    <t>ATT00541</t>
  </si>
  <si>
    <t>19:44</t>
  </si>
  <si>
    <t>ATT00542</t>
  </si>
  <si>
    <t>ATT00543</t>
  </si>
  <si>
    <t>17:35</t>
  </si>
  <si>
    <t>ATT00544</t>
  </si>
  <si>
    <t>17:14</t>
  </si>
  <si>
    <t>ATT00545</t>
  </si>
  <si>
    <t>2024/10/10</t>
  </si>
  <si>
    <t>ATT00546</t>
  </si>
  <si>
    <t>ATT00547</t>
  </si>
  <si>
    <t>ATT00548</t>
  </si>
  <si>
    <t>ATT00549</t>
  </si>
  <si>
    <t>ATT00550</t>
  </si>
  <si>
    <t>15:19</t>
  </si>
  <si>
    <t>ATT00551</t>
  </si>
  <si>
    <t>ATT00552</t>
  </si>
  <si>
    <t>ATT00553</t>
  </si>
  <si>
    <t>ATT00554</t>
  </si>
  <si>
    <t>ATT00555</t>
  </si>
  <si>
    <t>18:02</t>
  </si>
  <si>
    <t>ATT00556</t>
  </si>
  <si>
    <t>ATT00557</t>
  </si>
  <si>
    <t>18:56</t>
  </si>
  <si>
    <t>ATT00558</t>
  </si>
  <si>
    <t>ATT00559</t>
  </si>
  <si>
    <t>ATT00560</t>
  </si>
  <si>
    <t>08:05</t>
  </si>
  <si>
    <t>ATT00561</t>
  </si>
  <si>
    <t>19:31</t>
  </si>
  <si>
    <t>ATT00562</t>
  </si>
  <si>
    <t>ATT00563</t>
  </si>
  <si>
    <t>ATT00564</t>
  </si>
  <si>
    <t>17:53</t>
  </si>
  <si>
    <t>ATT00565</t>
  </si>
  <si>
    <t>ATT00566</t>
  </si>
  <si>
    <t>15:07</t>
  </si>
  <si>
    <t>ATT00567</t>
  </si>
  <si>
    <t>ATT00568</t>
  </si>
  <si>
    <t>10:56</t>
  </si>
  <si>
    <t>ATT00569</t>
  </si>
  <si>
    <t>08:53</t>
  </si>
  <si>
    <t>15:53</t>
  </si>
  <si>
    <t>ATT00570</t>
  </si>
  <si>
    <t>ATT00571</t>
  </si>
  <si>
    <t>18:29</t>
  </si>
  <si>
    <t>ATT00572</t>
  </si>
  <si>
    <t>20:50</t>
  </si>
  <si>
    <t>ATT00573</t>
  </si>
  <si>
    <t>09:26</t>
  </si>
  <si>
    <t>16:26</t>
  </si>
  <si>
    <t>ATT00574</t>
  </si>
  <si>
    <t>ATT00575</t>
  </si>
  <si>
    <t>ATT00576</t>
  </si>
  <si>
    <t>17:20</t>
  </si>
  <si>
    <t>ATT00577</t>
  </si>
  <si>
    <t>ATT00578</t>
  </si>
  <si>
    <t>ATT00579</t>
  </si>
  <si>
    <t>ATT00580</t>
  </si>
  <si>
    <t>ATT00581</t>
  </si>
  <si>
    <t>ATT00582</t>
  </si>
  <si>
    <t>ATT00583</t>
  </si>
  <si>
    <t>ATT00584</t>
  </si>
  <si>
    <t>ATT00585</t>
  </si>
  <si>
    <t>ATT00586</t>
  </si>
  <si>
    <t>ATT00587</t>
  </si>
  <si>
    <t>08:10</t>
  </si>
  <si>
    <t>19:10</t>
  </si>
  <si>
    <t>ATT00588</t>
  </si>
  <si>
    <t>ATT00589</t>
  </si>
  <si>
    <t>ATT00590</t>
  </si>
  <si>
    <t>ATT00591</t>
  </si>
  <si>
    <t>15:05</t>
  </si>
  <si>
    <t>ATT00592</t>
  </si>
  <si>
    <t>ATT00593</t>
  </si>
  <si>
    <t>ATT00594</t>
  </si>
  <si>
    <t>18:52</t>
  </si>
  <si>
    <t>ATT00595</t>
  </si>
  <si>
    <t>ATT00596</t>
  </si>
  <si>
    <t>ATT00597</t>
  </si>
  <si>
    <t>ATT00598</t>
  </si>
  <si>
    <t>ATT00599</t>
  </si>
  <si>
    <t>ATT00600</t>
  </si>
  <si>
    <t>ATT00601</t>
  </si>
  <si>
    <t>ATT00602</t>
  </si>
  <si>
    <t>ATT00603</t>
  </si>
  <si>
    <t>ATT00604</t>
  </si>
  <si>
    <t>08:57</t>
  </si>
  <si>
    <t>ATT00605</t>
  </si>
  <si>
    <t>ATT00606</t>
  </si>
  <si>
    <t>20:54</t>
  </si>
  <si>
    <t>ATT00607</t>
  </si>
  <si>
    <t>17:17</t>
  </si>
  <si>
    <t>ATT00608</t>
  </si>
  <si>
    <t>09:24</t>
  </si>
  <si>
    <t>ATT00609</t>
  </si>
  <si>
    <t>21:13</t>
  </si>
  <si>
    <t>ATT00610</t>
  </si>
  <si>
    <t>ATT00611</t>
  </si>
  <si>
    <t>ATT00612</t>
  </si>
  <si>
    <t>ATT00613</t>
  </si>
  <si>
    <t>ATT00614</t>
  </si>
  <si>
    <t>ATT00615</t>
  </si>
  <si>
    <t>20:15</t>
  </si>
  <si>
    <t>ATT00616</t>
  </si>
  <si>
    <t>ATT00617</t>
  </si>
  <si>
    <t>ATT00618</t>
  </si>
  <si>
    <t>ATT00619</t>
  </si>
  <si>
    <t>ATT00620</t>
  </si>
  <si>
    <t>ATT00621</t>
  </si>
  <si>
    <t>14:48</t>
  </si>
  <si>
    <t>ATT00622</t>
  </si>
  <si>
    <t>ATT00623</t>
  </si>
  <si>
    <t>ATT00624</t>
  </si>
  <si>
    <t>15:36</t>
  </si>
  <si>
    <t>ATT00625</t>
  </si>
  <si>
    <t>ATT00626</t>
  </si>
  <si>
    <t>ATT00627</t>
  </si>
  <si>
    <t>ATT00628</t>
  </si>
  <si>
    <t>19:28</t>
  </si>
  <si>
    <t>ATT00629</t>
  </si>
  <si>
    <t>ATT00630</t>
  </si>
  <si>
    <t>ATT00631</t>
  </si>
  <si>
    <t>ATT00632</t>
  </si>
  <si>
    <t>ATT00633</t>
  </si>
  <si>
    <t>ATT00634</t>
  </si>
  <si>
    <t>ATT00635</t>
  </si>
  <si>
    <t>ATT00636</t>
  </si>
  <si>
    <t>14:04</t>
  </si>
  <si>
    <t>ATT00637</t>
  </si>
  <si>
    <t>ATT00638</t>
  </si>
  <si>
    <t>ATT00639</t>
  </si>
  <si>
    <t>ATT00640</t>
  </si>
  <si>
    <t>ATT00641</t>
  </si>
  <si>
    <t>ATT00642</t>
  </si>
  <si>
    <t>ATT00643</t>
  </si>
  <si>
    <t>ATT00644</t>
  </si>
  <si>
    <t>ATT00645</t>
  </si>
  <si>
    <t>ATT00646</t>
  </si>
  <si>
    <t>18:10</t>
  </si>
  <si>
    <t>ATT00647</t>
  </si>
  <si>
    <t>ATT00648</t>
  </si>
  <si>
    <t>ATT00649</t>
  </si>
  <si>
    <t>15:03</t>
  </si>
  <si>
    <t>ATT00650</t>
  </si>
  <si>
    <t>ATT00651</t>
  </si>
  <si>
    <t>ATT00652</t>
  </si>
  <si>
    <t>ATT00653</t>
  </si>
  <si>
    <t>ATT00654</t>
  </si>
  <si>
    <t>ATT00655</t>
  </si>
  <si>
    <t>ATT00656</t>
  </si>
  <si>
    <t>ATT00657</t>
  </si>
  <si>
    <t>14:43</t>
  </si>
  <si>
    <t>ATT00658</t>
  </si>
  <si>
    <t>18:50</t>
  </si>
  <si>
    <t>ATT00659</t>
  </si>
  <si>
    <t>ATT00660</t>
  </si>
  <si>
    <t>15:20</t>
  </si>
  <si>
    <t>ATT00661</t>
  </si>
  <si>
    <t>ATT00662</t>
  </si>
  <si>
    <t>15:29</t>
  </si>
  <si>
    <t>ATT00663</t>
  </si>
  <si>
    <t>ATT00664</t>
  </si>
  <si>
    <t>ATT00665</t>
  </si>
  <si>
    <t>ATT00666</t>
  </si>
  <si>
    <t>ATT00667</t>
  </si>
  <si>
    <t>ATT00668</t>
  </si>
  <si>
    <t>20:38</t>
  </si>
  <si>
    <t>ATT00669</t>
  </si>
  <si>
    <t>14:38</t>
  </si>
  <si>
    <t>ATT00670</t>
  </si>
  <si>
    <t>ATT00671</t>
  </si>
  <si>
    <t>ATT00672</t>
  </si>
  <si>
    <t>2024/10/08</t>
  </si>
  <si>
    <t>ATT00673</t>
  </si>
  <si>
    <t>ATT00674</t>
  </si>
  <si>
    <t>21:53</t>
  </si>
  <si>
    <t>ATT00675</t>
  </si>
  <si>
    <t>ATT00676</t>
  </si>
  <si>
    <t>18:58</t>
  </si>
  <si>
    <t>ATT00677</t>
  </si>
  <si>
    <t>20:37</t>
  </si>
  <si>
    <t>ATT00678</t>
  </si>
  <si>
    <t>ATT00679</t>
  </si>
  <si>
    <t>19:05</t>
  </si>
  <si>
    <t>ATT00680</t>
  </si>
  <si>
    <t>ATT00681</t>
  </si>
  <si>
    <t>ATT00682</t>
  </si>
  <si>
    <t>16:07</t>
  </si>
  <si>
    <t>ATT00683</t>
  </si>
  <si>
    <t>ATT00684</t>
  </si>
  <si>
    <t>ATT00685</t>
  </si>
  <si>
    <t>18:45</t>
  </si>
  <si>
    <t>ATT00686</t>
  </si>
  <si>
    <t>ATT00687</t>
  </si>
  <si>
    <t>ATT00688</t>
  </si>
  <si>
    <t>15:18</t>
  </si>
  <si>
    <t>ATT00689</t>
  </si>
  <si>
    <t>15:23</t>
  </si>
  <si>
    <t>ATT00690</t>
  </si>
  <si>
    <t>20:32</t>
  </si>
  <si>
    <t>ATT00691</t>
  </si>
  <si>
    <t>2024/09/04</t>
  </si>
  <si>
    <t>ATT00692</t>
  </si>
  <si>
    <t>ATT00693</t>
  </si>
  <si>
    <t>ATT00694</t>
  </si>
  <si>
    <t>ATT00695</t>
  </si>
  <si>
    <t>ATT00696</t>
  </si>
  <si>
    <t>ATT00697</t>
  </si>
  <si>
    <t>ATT00698</t>
  </si>
  <si>
    <t>19:04</t>
  </si>
  <si>
    <t>ATT00699</t>
  </si>
  <si>
    <t>ATT00700</t>
  </si>
  <si>
    <t>16:40</t>
  </si>
  <si>
    <t>ATT00701</t>
  </si>
  <si>
    <t>ATT00702</t>
  </si>
  <si>
    <t>ATT00703</t>
  </si>
  <si>
    <t>ATT00704</t>
  </si>
  <si>
    <t>ATT00705</t>
  </si>
  <si>
    <t>ATT00706</t>
  </si>
  <si>
    <t>ATT00707</t>
  </si>
  <si>
    <t>ATT00708</t>
  </si>
  <si>
    <t>ATT00709</t>
  </si>
  <si>
    <t>21:18</t>
  </si>
  <si>
    <t>ATT00710</t>
  </si>
  <si>
    <t>16:08</t>
  </si>
  <si>
    <t>ATT00711</t>
  </si>
  <si>
    <t>17:22</t>
  </si>
  <si>
    <t>ATT00712</t>
  </si>
  <si>
    <t>ATT00713</t>
  </si>
  <si>
    <t>21:23</t>
  </si>
  <si>
    <t>ATT00714</t>
  </si>
  <si>
    <t>ATT00715</t>
  </si>
  <si>
    <t>ATT00716</t>
  </si>
  <si>
    <t>ATT00717</t>
  </si>
  <si>
    <t>ATT00718</t>
  </si>
  <si>
    <t>ATT00719</t>
  </si>
  <si>
    <t>ATT00720</t>
  </si>
  <si>
    <t>ATT00721</t>
  </si>
  <si>
    <t>ATT00722</t>
  </si>
  <si>
    <t>ATT00723</t>
  </si>
  <si>
    <t>ATT00724</t>
  </si>
  <si>
    <t>ATT00725</t>
  </si>
  <si>
    <t>ATT00726</t>
  </si>
  <si>
    <t>ATT00727</t>
  </si>
  <si>
    <t>18:26</t>
  </si>
  <si>
    <t>ATT00728</t>
  </si>
  <si>
    <t>ATT00729</t>
  </si>
  <si>
    <t>ATT00730</t>
  </si>
  <si>
    <t>ATT00731</t>
  </si>
  <si>
    <t>ATT00732</t>
  </si>
  <si>
    <t>17:18</t>
  </si>
  <si>
    <t>ATT00733</t>
  </si>
  <si>
    <t>ATT00734</t>
  </si>
  <si>
    <t>ATT00735</t>
  </si>
  <si>
    <t>ATT00736</t>
  </si>
  <si>
    <t>ATT00737</t>
  </si>
  <si>
    <t>ATT00738</t>
  </si>
  <si>
    <t>ATT00739</t>
  </si>
  <si>
    <t>ATT00740</t>
  </si>
  <si>
    <t>ATT00741</t>
  </si>
  <si>
    <t>ATT00742</t>
  </si>
  <si>
    <t>ATT00743</t>
  </si>
  <si>
    <t>ATT00744</t>
  </si>
  <si>
    <t>ATT00745</t>
  </si>
  <si>
    <t>ATT00746</t>
  </si>
  <si>
    <t>ATT00747</t>
  </si>
  <si>
    <t>ATT00748</t>
  </si>
  <si>
    <t>ATT00749</t>
  </si>
  <si>
    <t>ATT00750</t>
  </si>
  <si>
    <t>ATT00751</t>
  </si>
  <si>
    <t>ATT00752</t>
  </si>
  <si>
    <t>ATT00753</t>
  </si>
  <si>
    <t>ATT00754</t>
  </si>
  <si>
    <t>ATT00755</t>
  </si>
  <si>
    <t>ATT00756</t>
  </si>
  <si>
    <t>ATT00757</t>
  </si>
  <si>
    <t>ATT00758</t>
  </si>
  <si>
    <t>ATT00759</t>
  </si>
  <si>
    <t>ATT00760</t>
  </si>
  <si>
    <t>ATT00761</t>
  </si>
  <si>
    <t>ATT00762</t>
  </si>
  <si>
    <t>ATT00763</t>
  </si>
  <si>
    <t>ATT00764</t>
  </si>
  <si>
    <t>09:18</t>
  </si>
  <si>
    <t>16:18</t>
  </si>
  <si>
    <t>ATT00765</t>
  </si>
  <si>
    <t>ATT00766</t>
  </si>
  <si>
    <t>ATT00767</t>
  </si>
  <si>
    <t>ATT00768</t>
  </si>
  <si>
    <t>ATT00769</t>
  </si>
  <si>
    <t>14:09</t>
  </si>
  <si>
    <t>ATT00770</t>
  </si>
  <si>
    <t>ATT00771</t>
  </si>
  <si>
    <t>ATT00772</t>
  </si>
  <si>
    <t>ATT00773</t>
  </si>
  <si>
    <t>ATT00774</t>
  </si>
  <si>
    <t>ATT00775</t>
  </si>
  <si>
    <t>20:52</t>
  </si>
  <si>
    <t>ATT00776</t>
  </si>
  <si>
    <t>ATT00777</t>
  </si>
  <si>
    <t>14:45</t>
  </si>
  <si>
    <t>ATT00778</t>
  </si>
  <si>
    <t>ATT00779</t>
  </si>
  <si>
    <t>ATT00780</t>
  </si>
  <si>
    <t>2024/09/09</t>
  </si>
  <si>
    <t>20:27</t>
  </si>
  <si>
    <t>ATT00781</t>
  </si>
  <si>
    <t>ATT00782</t>
  </si>
  <si>
    <t>ATT00783</t>
  </si>
  <si>
    <t>ATT00784</t>
  </si>
  <si>
    <t>ATT00785</t>
  </si>
  <si>
    <t>ATT00786</t>
  </si>
  <si>
    <t>ATT00787</t>
  </si>
  <si>
    <t>ATT00788</t>
  </si>
  <si>
    <t>ATT00789</t>
  </si>
  <si>
    <t>ATT00790</t>
  </si>
  <si>
    <t>ATT00791</t>
  </si>
  <si>
    <t>ATT00792</t>
  </si>
  <si>
    <t>ATT00793</t>
  </si>
  <si>
    <t>ATT00794</t>
  </si>
  <si>
    <t>ATT00795</t>
  </si>
  <si>
    <t>ATT00796</t>
  </si>
  <si>
    <t>ATT00797</t>
  </si>
  <si>
    <t>21:49</t>
  </si>
  <si>
    <t>ATT00798</t>
  </si>
  <si>
    <t>ATT00799</t>
  </si>
  <si>
    <t>ATT00800</t>
  </si>
  <si>
    <t>ATT00801</t>
  </si>
  <si>
    <t>ATT00802</t>
  </si>
  <si>
    <t>ATT00803</t>
  </si>
  <si>
    <t>14:26</t>
  </si>
  <si>
    <t>ATT00804</t>
  </si>
  <si>
    <t>15:50</t>
  </si>
  <si>
    <t>ATT00805</t>
  </si>
  <si>
    <t>ATT00806</t>
  </si>
  <si>
    <t>ATT00807</t>
  </si>
  <si>
    <t>18:34</t>
  </si>
  <si>
    <t>ATT00808</t>
  </si>
  <si>
    <t>ATT00809</t>
  </si>
  <si>
    <t>21:34</t>
  </si>
  <si>
    <t>ATT00810</t>
  </si>
  <si>
    <t>ATT00811</t>
  </si>
  <si>
    <t>19:24</t>
  </si>
  <si>
    <t>ATT00812</t>
  </si>
  <si>
    <t>ATT00813</t>
  </si>
  <si>
    <t>ATT00814</t>
  </si>
  <si>
    <t>ATT00815</t>
  </si>
  <si>
    <t>ATT00816</t>
  </si>
  <si>
    <t>ATT00817</t>
  </si>
  <si>
    <t>ATT00818</t>
  </si>
  <si>
    <t>15:57</t>
  </si>
  <si>
    <t>ATT00819</t>
  </si>
  <si>
    <t>ATT00820</t>
  </si>
  <si>
    <t>ATT00821</t>
  </si>
  <si>
    <t>15:47</t>
  </si>
  <si>
    <t>ATT00822</t>
  </si>
  <si>
    <t>ATT00823</t>
  </si>
  <si>
    <t>ATT00824</t>
  </si>
  <si>
    <t>ATT00825</t>
  </si>
  <si>
    <t>ATT00826</t>
  </si>
  <si>
    <t>ATT00827</t>
  </si>
  <si>
    <t>ATT00828</t>
  </si>
  <si>
    <t>ATT00829</t>
  </si>
  <si>
    <t>ATT00830</t>
  </si>
  <si>
    <t>21:05</t>
  </si>
  <si>
    <t>ATT00831</t>
  </si>
  <si>
    <t>ATT00832</t>
  </si>
  <si>
    <t>ATT00833</t>
  </si>
  <si>
    <t>ATT00834</t>
  </si>
  <si>
    <t>ATT00835</t>
  </si>
  <si>
    <t>2024/09/25</t>
  </si>
  <si>
    <t>ATT00836</t>
  </si>
  <si>
    <t>ATT00837</t>
  </si>
  <si>
    <t>ATT00838</t>
  </si>
  <si>
    <t>ATT00839</t>
  </si>
  <si>
    <t>ATT00840</t>
  </si>
  <si>
    <t>ATT00841</t>
  </si>
  <si>
    <t>ATT00842</t>
  </si>
  <si>
    <t>ATT00843</t>
  </si>
  <si>
    <t>ATT00844</t>
  </si>
  <si>
    <t>18:09</t>
  </si>
  <si>
    <t>ATT00845</t>
  </si>
  <si>
    <t>ATT00846</t>
  </si>
  <si>
    <t>ATT00847</t>
  </si>
  <si>
    <t>09:35</t>
  </si>
  <si>
    <t>ATT00848</t>
  </si>
  <si>
    <t>19:11</t>
  </si>
  <si>
    <t>ATT00849</t>
  </si>
  <si>
    <t>ATT00850</t>
  </si>
  <si>
    <t>ATT00851</t>
  </si>
  <si>
    <t>ATT00852</t>
  </si>
  <si>
    <t>ATT00853</t>
  </si>
  <si>
    <t>ATT00854</t>
  </si>
  <si>
    <t>ATT00855</t>
  </si>
  <si>
    <t>ATT00856</t>
  </si>
  <si>
    <t>ATT00857</t>
  </si>
  <si>
    <t>ATT00858</t>
  </si>
  <si>
    <t>ATT00859</t>
  </si>
  <si>
    <t>16:43</t>
  </si>
  <si>
    <t>ATT00860</t>
  </si>
  <si>
    <t>ATT00861</t>
  </si>
  <si>
    <t>ATT00862</t>
  </si>
  <si>
    <t>15:25</t>
  </si>
  <si>
    <t>ATT00863</t>
  </si>
  <si>
    <t>ATT00864</t>
  </si>
  <si>
    <t>ATT00865</t>
  </si>
  <si>
    <t>ATT00866</t>
  </si>
  <si>
    <t>19:36</t>
  </si>
  <si>
    <t>ATT00867</t>
  </si>
  <si>
    <t>ATT00868</t>
  </si>
  <si>
    <t>ATT00869</t>
  </si>
  <si>
    <t>ATT00870</t>
  </si>
  <si>
    <t>ATT00871</t>
  </si>
  <si>
    <t>ATT00872</t>
  </si>
  <si>
    <t>ATT00873</t>
  </si>
  <si>
    <t>ATT00874</t>
  </si>
  <si>
    <t>ATT00875</t>
  </si>
  <si>
    <t>ATT00876</t>
  </si>
  <si>
    <t>ATT00877</t>
  </si>
  <si>
    <t>ATT00878</t>
  </si>
  <si>
    <t>ATT00879</t>
  </si>
  <si>
    <t>2024/09/26</t>
  </si>
  <si>
    <t>16:16</t>
  </si>
  <si>
    <t>ATT00880</t>
  </si>
  <si>
    <t>ATT00881</t>
  </si>
  <si>
    <t>ATT00882</t>
  </si>
  <si>
    <t>ATT00883</t>
  </si>
  <si>
    <t>ATT00884</t>
  </si>
  <si>
    <t>ATT00885</t>
  </si>
  <si>
    <t>ATT00886</t>
  </si>
  <si>
    <t>21:09</t>
  </si>
  <si>
    <t>ATT00887</t>
  </si>
  <si>
    <t>ATT00888</t>
  </si>
  <si>
    <t>ATT00889</t>
  </si>
  <si>
    <t>ATT00890</t>
  </si>
  <si>
    <t>ATT00891</t>
  </si>
  <si>
    <t>ATT00892</t>
  </si>
  <si>
    <t>ATT00893</t>
  </si>
  <si>
    <t>ATT00894</t>
  </si>
  <si>
    <t>ATT00895</t>
  </si>
  <si>
    <t>ATT00896</t>
  </si>
  <si>
    <t>ATT00897</t>
  </si>
  <si>
    <t>ATT00898</t>
  </si>
  <si>
    <t>ATT00899</t>
  </si>
  <si>
    <t>ATT00900</t>
  </si>
  <si>
    <t>ATT00901</t>
  </si>
  <si>
    <t>ATT00902</t>
  </si>
  <si>
    <t>ATT00903</t>
  </si>
  <si>
    <t>ATT00904</t>
  </si>
  <si>
    <t>ATT00905</t>
  </si>
  <si>
    <t>16:13</t>
  </si>
  <si>
    <t>ATT00906</t>
  </si>
  <si>
    <t>ATT00907</t>
  </si>
  <si>
    <t>ATT00908</t>
  </si>
  <si>
    <t>ATT00909</t>
  </si>
  <si>
    <t>ATT00910</t>
  </si>
  <si>
    <t>ATT00911</t>
  </si>
  <si>
    <t>ATT00912</t>
  </si>
  <si>
    <t>18:08</t>
  </si>
  <si>
    <t>ATT00913</t>
  </si>
  <si>
    <t>2024/09/13</t>
  </si>
  <si>
    <t>ATT00914</t>
  </si>
  <si>
    <t>ATT00915</t>
  </si>
  <si>
    <t>ATT00916</t>
  </si>
  <si>
    <t>ATT00917</t>
  </si>
  <si>
    <t>ATT00918</t>
  </si>
  <si>
    <t>ATT00919</t>
  </si>
  <si>
    <t>ATT00920</t>
  </si>
  <si>
    <t>ATT00921</t>
  </si>
  <si>
    <t>ATT00922</t>
  </si>
  <si>
    <t>ATT00923</t>
  </si>
  <si>
    <t>ATT00924</t>
  </si>
  <si>
    <t>ATT00925</t>
  </si>
  <si>
    <t>ATT00926</t>
  </si>
  <si>
    <t>ATT00927</t>
  </si>
  <si>
    <t>ATT00928</t>
  </si>
  <si>
    <t>14:31</t>
  </si>
  <si>
    <t>ATT00929</t>
  </si>
  <si>
    <t>ATT00930</t>
  </si>
  <si>
    <t>ATT00931</t>
  </si>
  <si>
    <t>ATT00932</t>
  </si>
  <si>
    <t>ATT00933</t>
  </si>
  <si>
    <t>ATT00934</t>
  </si>
  <si>
    <t>16:25</t>
  </si>
  <si>
    <t>ATT00935</t>
  </si>
  <si>
    <t>ATT00936</t>
  </si>
  <si>
    <t>ATT00937</t>
  </si>
  <si>
    <t>ATT00938</t>
  </si>
  <si>
    <t>ATT00939</t>
  </si>
  <si>
    <t>ATT00940</t>
  </si>
  <si>
    <t>ATT00941</t>
  </si>
  <si>
    <t>15:04</t>
  </si>
  <si>
    <t>ATT00942</t>
  </si>
  <si>
    <t>ATT00943</t>
  </si>
  <si>
    <t>ATT00944</t>
  </si>
  <si>
    <t>ATT00945</t>
  </si>
  <si>
    <t>ATT00946</t>
  </si>
  <si>
    <t>19:03</t>
  </si>
  <si>
    <t>ATT00947</t>
  </si>
  <si>
    <t>ATT00948</t>
  </si>
  <si>
    <t>ATT00949</t>
  </si>
  <si>
    <t>ATT00950</t>
  </si>
  <si>
    <t>ATT00951</t>
  </si>
  <si>
    <t>ATT00952</t>
  </si>
  <si>
    <t>ATT00953</t>
  </si>
  <si>
    <t>ATT00954</t>
  </si>
  <si>
    <t>ATT00955</t>
  </si>
  <si>
    <t>ATT00956</t>
  </si>
  <si>
    <t>ATT00957</t>
  </si>
  <si>
    <t>ATT00958</t>
  </si>
  <si>
    <t>ATT00959</t>
  </si>
  <si>
    <t>ATT00960</t>
  </si>
  <si>
    <t>ATT00961</t>
  </si>
  <si>
    <t>ATT00962</t>
  </si>
  <si>
    <t>15:37</t>
  </si>
  <si>
    <t>ATT00963</t>
  </si>
  <si>
    <t>ATT00964</t>
  </si>
  <si>
    <t>ATT00965</t>
  </si>
  <si>
    <t>ATT00966</t>
  </si>
  <si>
    <t>ATT00967</t>
  </si>
  <si>
    <t>19:00</t>
  </si>
  <si>
    <t>ATT00968</t>
  </si>
  <si>
    <t>ATT00969</t>
  </si>
  <si>
    <t>ATT00970</t>
  </si>
  <si>
    <t>ATT00971</t>
  </si>
  <si>
    <t>ATT00972</t>
  </si>
  <si>
    <t>ATT00973</t>
  </si>
  <si>
    <t>ATT00974</t>
  </si>
  <si>
    <t>16:58</t>
  </si>
  <si>
    <t>ATT00975</t>
  </si>
  <si>
    <t>ATT00976</t>
  </si>
  <si>
    <t>ATT00977</t>
  </si>
  <si>
    <t>ATT00978</t>
  </si>
  <si>
    <t>21:50</t>
  </si>
  <si>
    <t>ATT00979</t>
  </si>
  <si>
    <t>ATT00980</t>
  </si>
  <si>
    <t>ATT00981</t>
  </si>
  <si>
    <t>ATT00982</t>
  </si>
  <si>
    <t>ATT00983</t>
  </si>
  <si>
    <t>ATT00984</t>
  </si>
  <si>
    <t>ATT00985</t>
  </si>
  <si>
    <t>ATT00986</t>
  </si>
  <si>
    <t>ATT00987</t>
  </si>
  <si>
    <t>ATT00988</t>
  </si>
  <si>
    <t>ATT00989</t>
  </si>
  <si>
    <t>14:05</t>
  </si>
  <si>
    <t>ATT00990</t>
  </si>
  <si>
    <t>ATT00991</t>
  </si>
  <si>
    <t>ATT00992</t>
  </si>
  <si>
    <t>ATT00993</t>
  </si>
  <si>
    <t>ATT00994</t>
  </si>
  <si>
    <t>ATT00995</t>
  </si>
  <si>
    <t>ATT00996</t>
  </si>
  <si>
    <t>ATT00997</t>
  </si>
  <si>
    <t>ATT00998</t>
  </si>
  <si>
    <t>ATT00999</t>
  </si>
  <si>
    <t>ATT01000</t>
  </si>
  <si>
    <t>ATT01001</t>
  </si>
  <si>
    <t>ATT01002</t>
  </si>
  <si>
    <t>ATT01003</t>
  </si>
  <si>
    <t>2024/09/19</t>
  </si>
  <si>
    <t>ATT01004</t>
  </si>
  <si>
    <t>ATT01005</t>
  </si>
  <si>
    <t>ATT01006</t>
  </si>
  <si>
    <t>ATT01007</t>
  </si>
  <si>
    <t>ATT01008</t>
  </si>
  <si>
    <t>21:06</t>
  </si>
  <si>
    <t>ATT01009</t>
  </si>
  <si>
    <t>2024/09/27</t>
  </si>
  <si>
    <t>ATT01010</t>
  </si>
  <si>
    <t>ATT01011</t>
  </si>
  <si>
    <t>ATT01012</t>
  </si>
  <si>
    <t>ATT01013</t>
  </si>
  <si>
    <t>ATT01014</t>
  </si>
  <si>
    <t>ATT01015</t>
  </si>
  <si>
    <t>ATT01016</t>
  </si>
  <si>
    <t>ATT01017</t>
  </si>
  <si>
    <t>20:19</t>
  </si>
  <si>
    <t>ATT01018</t>
  </si>
  <si>
    <t>ATT01019</t>
  </si>
  <si>
    <t>ATT01020</t>
  </si>
  <si>
    <t>ATT01021</t>
  </si>
  <si>
    <t>ATT01022</t>
  </si>
  <si>
    <t>ATT01023</t>
  </si>
  <si>
    <t>ATT01024</t>
  </si>
  <si>
    <t>ATT01025</t>
  </si>
  <si>
    <t>ATT01026</t>
  </si>
  <si>
    <t>ATT01027</t>
  </si>
  <si>
    <t>ATT01028</t>
  </si>
  <si>
    <t>ATT01029</t>
  </si>
  <si>
    <t>ATT01030</t>
  </si>
  <si>
    <t>ATT01031</t>
  </si>
  <si>
    <t>ATT01032</t>
  </si>
  <si>
    <t>ATT01033</t>
  </si>
  <si>
    <t>ATT01034</t>
  </si>
  <si>
    <t>ATT01035</t>
  </si>
  <si>
    <t>ATT01036</t>
  </si>
  <si>
    <t>ATT01037</t>
  </si>
  <si>
    <t>ATT01038</t>
  </si>
  <si>
    <t>ATT01039</t>
  </si>
  <si>
    <t>ATT01040</t>
  </si>
  <si>
    <t>ATT01041</t>
  </si>
  <si>
    <t>ATT01042</t>
  </si>
  <si>
    <t>ATT01043</t>
  </si>
  <si>
    <t>ATT01044</t>
  </si>
  <si>
    <t>ATT01045</t>
  </si>
  <si>
    <t>ATT01046</t>
  </si>
  <si>
    <t>ATT01047</t>
  </si>
  <si>
    <t>ATT01048</t>
  </si>
  <si>
    <t>ATT01049</t>
  </si>
  <si>
    <t>17:12</t>
  </si>
  <si>
    <t>ATT01050</t>
  </si>
  <si>
    <t>ATT01051</t>
  </si>
  <si>
    <t>ATT01052</t>
  </si>
  <si>
    <t>ATT01053</t>
  </si>
  <si>
    <t>ATT01054</t>
  </si>
  <si>
    <t>ATT01055</t>
  </si>
  <si>
    <t>ATT01056</t>
  </si>
  <si>
    <t>ATT01057</t>
  </si>
  <si>
    <t>ATT01058</t>
  </si>
  <si>
    <t>ATT01059</t>
  </si>
  <si>
    <t>ATT01060</t>
  </si>
  <si>
    <t>ATT01061</t>
  </si>
  <si>
    <t>ATT01062</t>
  </si>
  <si>
    <t>ATT01063</t>
  </si>
  <si>
    <t>ATT01064</t>
  </si>
  <si>
    <t>ATT01065</t>
  </si>
  <si>
    <t>ATT01066</t>
  </si>
  <si>
    <t>ATT01067</t>
  </si>
  <si>
    <t>ATT01068</t>
  </si>
  <si>
    <t>ATT01069</t>
  </si>
  <si>
    <t>18:06</t>
  </si>
  <si>
    <t>ATT01070</t>
  </si>
  <si>
    <t>ATT01071</t>
  </si>
  <si>
    <t>ATT01072</t>
  </si>
  <si>
    <t>ATT01073</t>
  </si>
  <si>
    <t>ATT01074</t>
  </si>
  <si>
    <t>ATT01075</t>
  </si>
  <si>
    <t>ATT01076</t>
  </si>
  <si>
    <t>ATT01077</t>
  </si>
  <si>
    <t>ATT01078</t>
  </si>
  <si>
    <t>ATT01079</t>
  </si>
  <si>
    <t>ATT01080</t>
  </si>
  <si>
    <t>ATT01081</t>
  </si>
  <si>
    <t>21:38</t>
  </si>
  <si>
    <t>ATT01082</t>
  </si>
  <si>
    <t>ATT01083</t>
  </si>
  <si>
    <t>14:24</t>
  </si>
  <si>
    <t>ATT01084</t>
  </si>
  <si>
    <t>ATT01085</t>
  </si>
  <si>
    <t>ATT01086</t>
  </si>
  <si>
    <t>ATT01087</t>
  </si>
  <si>
    <t>ATT01088</t>
  </si>
  <si>
    <t>ATT01089</t>
  </si>
  <si>
    <t>21:28</t>
  </si>
  <si>
    <t>ATT01090</t>
  </si>
  <si>
    <t>ATT01091</t>
  </si>
  <si>
    <t>ATT01092</t>
  </si>
  <si>
    <t>14:41</t>
  </si>
  <si>
    <t>ATT01093</t>
  </si>
  <si>
    <t>ATT01094</t>
  </si>
  <si>
    <t>ATT01095</t>
  </si>
  <si>
    <t>15:42</t>
  </si>
  <si>
    <t>ATT01096</t>
  </si>
  <si>
    <t>ATT01097</t>
  </si>
  <si>
    <t>ATT01098</t>
  </si>
  <si>
    <t>ATT01099</t>
  </si>
  <si>
    <t>ATT01100</t>
  </si>
  <si>
    <t>ATT01101</t>
  </si>
  <si>
    <t>ATT01102</t>
  </si>
  <si>
    <t>ATT01103</t>
  </si>
  <si>
    <t>ATT01104</t>
  </si>
  <si>
    <t>ATT01105</t>
  </si>
  <si>
    <t>14:49</t>
  </si>
  <si>
    <t>ATT01106</t>
  </si>
  <si>
    <t>ATT01107</t>
  </si>
  <si>
    <t>21:15</t>
  </si>
  <si>
    <t>ATT01108</t>
  </si>
  <si>
    <t>15:30</t>
  </si>
  <si>
    <t>ATT01109</t>
  </si>
  <si>
    <t>ATT01110</t>
  </si>
  <si>
    <t>15:00</t>
  </si>
  <si>
    <t>ATT01111</t>
  </si>
  <si>
    <t>ATT01112</t>
  </si>
  <si>
    <t>ATT01113</t>
  </si>
  <si>
    <t>ATT01114</t>
  </si>
  <si>
    <t>ATT01115</t>
  </si>
  <si>
    <t>15:12</t>
  </si>
  <si>
    <t>ATT01116</t>
  </si>
  <si>
    <t>ATT01117</t>
  </si>
  <si>
    <t>15:41</t>
  </si>
  <si>
    <t>ATT01118</t>
  </si>
  <si>
    <t>ATT01119</t>
  </si>
  <si>
    <t>ATT01120</t>
  </si>
  <si>
    <t>ATT01121</t>
  </si>
  <si>
    <t>ATT01122</t>
  </si>
  <si>
    <t>ATT01123</t>
  </si>
  <si>
    <t>ATT01124</t>
  </si>
  <si>
    <t>ATT01125</t>
  </si>
  <si>
    <t>21:54</t>
  </si>
  <si>
    <t>ATT01126</t>
  </si>
  <si>
    <t>2024/09/11</t>
  </si>
  <si>
    <t>ATT01127</t>
  </si>
  <si>
    <t>21:24</t>
  </si>
  <si>
    <t>ATT01128</t>
  </si>
  <si>
    <t>ATT01129</t>
  </si>
  <si>
    <t>ATT01130</t>
  </si>
  <si>
    <t>16:56</t>
  </si>
  <si>
    <t>ATT01131</t>
  </si>
  <si>
    <t>ATT01132</t>
  </si>
  <si>
    <t>ATT01133</t>
  </si>
  <si>
    <t>ATT01134</t>
  </si>
  <si>
    <t>ATT01135</t>
  </si>
  <si>
    <t>ATT01136</t>
  </si>
  <si>
    <t>ATT01137</t>
  </si>
  <si>
    <t>ATT01138</t>
  </si>
  <si>
    <t>ATT01139</t>
  </si>
  <si>
    <t>ATT01140</t>
  </si>
  <si>
    <t>ATT01141</t>
  </si>
  <si>
    <t>ATT01142</t>
  </si>
  <si>
    <t>ATT01143</t>
  </si>
  <si>
    <t>ATT01144</t>
  </si>
  <si>
    <t>ATT01145</t>
  </si>
  <si>
    <t>ATT01146</t>
  </si>
  <si>
    <t>ATT01147</t>
  </si>
  <si>
    <t>ATT01148</t>
  </si>
  <si>
    <t>ATT01149</t>
  </si>
  <si>
    <t>ATT01150</t>
  </si>
  <si>
    <t>14:08</t>
  </si>
  <si>
    <t>ATT01151</t>
  </si>
  <si>
    <t>ATT01152</t>
  </si>
  <si>
    <t>ATT01153</t>
  </si>
  <si>
    <t>ATT01154</t>
  </si>
  <si>
    <t>ATT01155</t>
  </si>
  <si>
    <t>ATT01156</t>
  </si>
  <si>
    <t>ATT01157</t>
  </si>
  <si>
    <t>ATT01158</t>
  </si>
  <si>
    <t>ATT01159</t>
  </si>
  <si>
    <t>ATT01160</t>
  </si>
  <si>
    <t>ATT01161</t>
  </si>
  <si>
    <t>ATT01162</t>
  </si>
  <si>
    <t>ATT01163</t>
  </si>
  <si>
    <t>ATT01164</t>
  </si>
  <si>
    <t>14:53</t>
  </si>
  <si>
    <t>ATT01165</t>
  </si>
  <si>
    <t>ATT01166</t>
  </si>
  <si>
    <t>ATT01167</t>
  </si>
  <si>
    <t>16:44</t>
  </si>
  <si>
    <t>ATT01168</t>
  </si>
  <si>
    <t>ATT01169</t>
  </si>
  <si>
    <t>ATT01170</t>
  </si>
  <si>
    <t>ATT01171</t>
  </si>
  <si>
    <t>ATT01172</t>
  </si>
  <si>
    <t>14:50</t>
  </si>
  <si>
    <t>ATT01173</t>
  </si>
  <si>
    <t>ATT01174</t>
  </si>
  <si>
    <t>ATT01175</t>
  </si>
  <si>
    <t>ATT01176</t>
  </si>
  <si>
    <t>ATT01177</t>
  </si>
  <si>
    <t>ATT01178</t>
  </si>
  <si>
    <t>ATT01179</t>
  </si>
  <si>
    <t>ATT01180</t>
  </si>
  <si>
    <t>ATT01181</t>
  </si>
  <si>
    <t>ATT01182</t>
  </si>
  <si>
    <t>ATT01183</t>
  </si>
  <si>
    <t>ATT01184</t>
  </si>
  <si>
    <t>ATT01185</t>
  </si>
  <si>
    <t>14:06</t>
  </si>
  <si>
    <t>ATT01186</t>
  </si>
  <si>
    <t>ATT01187</t>
  </si>
  <si>
    <t>ATT01188</t>
  </si>
  <si>
    <t>ATT01189</t>
  </si>
  <si>
    <t>ATT01190</t>
  </si>
  <si>
    <t>ATT01191</t>
  </si>
  <si>
    <t>ATT01192</t>
  </si>
  <si>
    <t>ATT01193</t>
  </si>
  <si>
    <t>ATT01194</t>
  </si>
  <si>
    <t>ATT01195</t>
  </si>
  <si>
    <t>ATT01196</t>
  </si>
  <si>
    <t>ATT01197</t>
  </si>
  <si>
    <t>ATT01198</t>
  </si>
  <si>
    <t>ATT01199</t>
  </si>
  <si>
    <t>ATT01200</t>
  </si>
  <si>
    <t>ATT01201</t>
  </si>
  <si>
    <t>ATT01202</t>
  </si>
  <si>
    <t>ATT01203</t>
  </si>
  <si>
    <t>ATT01204</t>
  </si>
  <si>
    <t>ATT01205</t>
  </si>
  <si>
    <t>ATT01206</t>
  </si>
  <si>
    <t>ATT01207</t>
  </si>
  <si>
    <t>ATT01208</t>
  </si>
  <si>
    <t>ATT01209</t>
  </si>
  <si>
    <t>ATT01210</t>
  </si>
  <si>
    <t>ATT01211</t>
  </si>
  <si>
    <t>21:04</t>
  </si>
  <si>
    <t>ATT01212</t>
  </si>
  <si>
    <t>ATT01213</t>
  </si>
  <si>
    <t>ATT01214</t>
  </si>
  <si>
    <t>20:58</t>
  </si>
  <si>
    <t>ATT01215</t>
  </si>
  <si>
    <t>ATT01216</t>
  </si>
  <si>
    <t>ATT01217</t>
  </si>
  <si>
    <t>ATT01218</t>
  </si>
  <si>
    <t>ATT01219</t>
  </si>
  <si>
    <t>ATT01220</t>
  </si>
  <si>
    <t>ATT01221</t>
  </si>
  <si>
    <t>ATT01222</t>
  </si>
  <si>
    <t>ATT01223</t>
  </si>
  <si>
    <t>ATT01224</t>
  </si>
  <si>
    <t>ATT01225</t>
  </si>
  <si>
    <t>ATT01226</t>
  </si>
  <si>
    <t>ATT01227</t>
  </si>
  <si>
    <t>ATT01228</t>
  </si>
  <si>
    <t>ATT01229</t>
  </si>
  <si>
    <t>ATT01230</t>
  </si>
  <si>
    <t>2024/10/07</t>
  </si>
  <si>
    <t>ATT01231</t>
  </si>
  <si>
    <t>ATT01232</t>
  </si>
  <si>
    <t>ATT01233</t>
  </si>
  <si>
    <t>ATT01234</t>
  </si>
  <si>
    <t>ATT01235</t>
  </si>
  <si>
    <t>21:03</t>
  </si>
  <si>
    <t>ATT01236</t>
  </si>
  <si>
    <t>14:25</t>
  </si>
  <si>
    <t>ATT01237</t>
  </si>
  <si>
    <t>ATT01238</t>
  </si>
  <si>
    <t>ATT01239</t>
  </si>
  <si>
    <t>ATT01240</t>
  </si>
  <si>
    <t>ATT01241</t>
  </si>
  <si>
    <t>ATT01242</t>
  </si>
  <si>
    <t>ATT01243</t>
  </si>
  <si>
    <t>ATT01244</t>
  </si>
  <si>
    <t>ATT01245</t>
  </si>
  <si>
    <t>ATT01246</t>
  </si>
  <si>
    <t>ATT01247</t>
  </si>
  <si>
    <t>ATT01248</t>
  </si>
  <si>
    <t>ATT01249</t>
  </si>
  <si>
    <t>ATT01250</t>
  </si>
  <si>
    <t>ATT01251</t>
  </si>
  <si>
    <t>ATT01252</t>
  </si>
  <si>
    <t>ATT01253</t>
  </si>
  <si>
    <t>ATT01254</t>
  </si>
  <si>
    <t>ATT01255</t>
  </si>
  <si>
    <t>ATT01256</t>
  </si>
  <si>
    <t>ATT01257</t>
  </si>
  <si>
    <t>ATT01258</t>
  </si>
  <si>
    <t>ATT01259</t>
  </si>
  <si>
    <t>ATT01260</t>
  </si>
  <si>
    <t>ATT01261</t>
  </si>
  <si>
    <t>ATT01262</t>
  </si>
  <si>
    <t>ATT01263</t>
  </si>
  <si>
    <t>ATT01264</t>
  </si>
  <si>
    <t>ATT01265</t>
  </si>
  <si>
    <t>15:51</t>
  </si>
  <si>
    <t>ATT01266</t>
  </si>
  <si>
    <t>ATT01267</t>
  </si>
  <si>
    <t>ATT01268</t>
  </si>
  <si>
    <t>ATT01269</t>
  </si>
  <si>
    <t>ATT01270</t>
  </si>
  <si>
    <t>ATT01271</t>
  </si>
  <si>
    <t>14:42</t>
  </si>
  <si>
    <t>ATT01272</t>
  </si>
  <si>
    <t>ATT01273</t>
  </si>
  <si>
    <t>ATT01274</t>
  </si>
  <si>
    <t>ATT01275</t>
  </si>
  <si>
    <t>ATT01276</t>
  </si>
  <si>
    <t>21:35</t>
  </si>
  <si>
    <t>ATT01277</t>
  </si>
  <si>
    <t>ATT01278</t>
  </si>
  <si>
    <t>ATT01279</t>
  </si>
  <si>
    <t>ATT01280</t>
  </si>
  <si>
    <t>ATT01281</t>
  </si>
  <si>
    <t>ATT01282</t>
  </si>
  <si>
    <t>ATT01283</t>
  </si>
  <si>
    <t>ATT01284</t>
  </si>
  <si>
    <t>ATT01285</t>
  </si>
  <si>
    <t>ATT01286</t>
  </si>
  <si>
    <t>ATT01287</t>
  </si>
  <si>
    <t>20:34</t>
  </si>
  <si>
    <t>ATT01288</t>
  </si>
  <si>
    <t>ATT01289</t>
  </si>
  <si>
    <t>ATT01290</t>
  </si>
  <si>
    <t>ATT01291</t>
  </si>
  <si>
    <t>ATT01292</t>
  </si>
  <si>
    <t>ATT01293</t>
  </si>
  <si>
    <t>ATT01294</t>
  </si>
  <si>
    <t>ATT01295</t>
  </si>
  <si>
    <t>ATT01296</t>
  </si>
  <si>
    <t>ATT01297</t>
  </si>
  <si>
    <t>ATT01298</t>
  </si>
  <si>
    <t>ATT01299</t>
  </si>
  <si>
    <t>14:11</t>
  </si>
  <si>
    <t>ATT01300</t>
  </si>
  <si>
    <t>ATT01301</t>
  </si>
  <si>
    <t>ATT01302</t>
  </si>
  <si>
    <t>15:24</t>
  </si>
  <si>
    <t>ATT01303</t>
  </si>
  <si>
    <t>ATT01304</t>
  </si>
  <si>
    <t>ATT01305</t>
  </si>
  <si>
    <t>ATT01306</t>
  </si>
  <si>
    <t>ATT01307</t>
  </si>
  <si>
    <t>ATT01308</t>
  </si>
  <si>
    <t>20:04</t>
  </si>
  <si>
    <t>ATT01309</t>
  </si>
  <si>
    <t>ATT01310</t>
  </si>
  <si>
    <t>ATT01311</t>
  </si>
  <si>
    <t>ATT01312</t>
  </si>
  <si>
    <t>ATT01313</t>
  </si>
  <si>
    <t>ATT01314</t>
  </si>
  <si>
    <t>ATT01315</t>
  </si>
  <si>
    <t>ATT01316</t>
  </si>
  <si>
    <t>ATT01317</t>
  </si>
  <si>
    <t>ATT01318</t>
  </si>
  <si>
    <t>ATT01319</t>
  </si>
  <si>
    <t>ATT01320</t>
  </si>
  <si>
    <t>ATT01321</t>
  </si>
  <si>
    <t>ATT01322</t>
  </si>
  <si>
    <t>ATT01323</t>
  </si>
  <si>
    <t>ATT01324</t>
  </si>
  <si>
    <t>2024/10/17</t>
  </si>
  <si>
    <t>ATT01325</t>
  </si>
  <si>
    <t>ATT01326</t>
  </si>
  <si>
    <t>ATT01327</t>
  </si>
  <si>
    <t>ATT01328</t>
  </si>
  <si>
    <t>ATT01329</t>
  </si>
  <si>
    <t>ATT01330</t>
  </si>
  <si>
    <t>ATT01331</t>
  </si>
  <si>
    <t>ATT01332</t>
  </si>
  <si>
    <t>ATT01333</t>
  </si>
  <si>
    <t>ATT01334</t>
  </si>
  <si>
    <t>ATT01335</t>
  </si>
  <si>
    <t>ATT01336</t>
  </si>
  <si>
    <t>ATT01337</t>
  </si>
  <si>
    <t>ATT01338</t>
  </si>
  <si>
    <t>ATT01339</t>
  </si>
  <si>
    <t>ATT01340</t>
  </si>
  <si>
    <t>ATT01341</t>
  </si>
  <si>
    <t>ATT01342</t>
  </si>
  <si>
    <t>ATT01343</t>
  </si>
  <si>
    <t>ATT01344</t>
  </si>
  <si>
    <t>ATT01345</t>
  </si>
  <si>
    <t>ATT01346</t>
  </si>
  <si>
    <t>ATT01347</t>
  </si>
  <si>
    <t>ATT01348</t>
  </si>
  <si>
    <t>ATT01349</t>
  </si>
  <si>
    <t>ATT01350</t>
  </si>
  <si>
    <t>ATT01351</t>
  </si>
  <si>
    <t>ATT01352</t>
  </si>
  <si>
    <t>ATT01353</t>
  </si>
  <si>
    <t>20:40</t>
  </si>
  <si>
    <t>ATT01354</t>
  </si>
  <si>
    <t>ATT01355</t>
  </si>
  <si>
    <t>ATT01356</t>
  </si>
  <si>
    <t>ATT01357</t>
  </si>
  <si>
    <t>ATT01358</t>
  </si>
  <si>
    <t>ATT01359</t>
  </si>
  <si>
    <t>14:33</t>
  </si>
  <si>
    <t>ATT01360</t>
  </si>
  <si>
    <t>ATT01361</t>
  </si>
  <si>
    <t>ATT01362</t>
  </si>
  <si>
    <t>ATT01363</t>
  </si>
  <si>
    <t>ATT01364</t>
  </si>
  <si>
    <t>ATT01365</t>
  </si>
  <si>
    <t>2024/10/15</t>
  </si>
  <si>
    <t>ATT01366</t>
  </si>
  <si>
    <t>2024/10/16</t>
  </si>
  <si>
    <t>ATT01367</t>
  </si>
  <si>
    <t>ATT01368</t>
  </si>
  <si>
    <t>20:43</t>
  </si>
  <si>
    <t>ATT01369</t>
  </si>
  <si>
    <t>ATT01370</t>
  </si>
  <si>
    <t>ATT01371</t>
  </si>
  <si>
    <t>ATT01372</t>
  </si>
  <si>
    <t>ATT01373</t>
  </si>
  <si>
    <t>ATT01374</t>
  </si>
  <si>
    <t>ATT01375</t>
  </si>
  <si>
    <t>ATT01376</t>
  </si>
  <si>
    <t>ATT01377</t>
  </si>
  <si>
    <t>ATT01378</t>
  </si>
  <si>
    <t>ATT01379</t>
  </si>
  <si>
    <t>ATT01380</t>
  </si>
  <si>
    <t>ATT01381</t>
  </si>
  <si>
    <t>20:17</t>
  </si>
  <si>
    <t>ATT01382</t>
  </si>
  <si>
    <t>ATT01383</t>
  </si>
  <si>
    <t>ATT01384</t>
  </si>
  <si>
    <t>ATT01385</t>
  </si>
  <si>
    <t>ATT01386</t>
  </si>
  <si>
    <t>ATT01387</t>
  </si>
  <si>
    <t>ATT01388</t>
  </si>
  <si>
    <t>ATT01389</t>
  </si>
  <si>
    <t>ATT01390</t>
  </si>
  <si>
    <t>ATT01391</t>
  </si>
  <si>
    <t>ATT01392</t>
  </si>
  <si>
    <t>ATT01393</t>
  </si>
  <si>
    <t>ATT01394</t>
  </si>
  <si>
    <t>ATT01395</t>
  </si>
  <si>
    <t>ATT01396</t>
  </si>
  <si>
    <t>ATT01397</t>
  </si>
  <si>
    <t>ATT01398</t>
  </si>
  <si>
    <t>ATT01399</t>
  </si>
  <si>
    <t>ATT01400</t>
  </si>
  <si>
    <t>ATT01401</t>
  </si>
  <si>
    <t>ATT01402</t>
  </si>
  <si>
    <t>ATT01403</t>
  </si>
  <si>
    <t>ATT01404</t>
  </si>
  <si>
    <t>ATT01405</t>
  </si>
  <si>
    <t>ATT01406</t>
  </si>
  <si>
    <t>ATT01407</t>
  </si>
  <si>
    <t>ATT01408</t>
  </si>
  <si>
    <t>ATT01409</t>
  </si>
  <si>
    <t>ATT01410</t>
  </si>
  <si>
    <t>ATT01411</t>
  </si>
  <si>
    <t>ATT01412</t>
  </si>
  <si>
    <t>ATT01413</t>
  </si>
  <si>
    <t>ATT01414</t>
  </si>
  <si>
    <t>ATT01415</t>
  </si>
  <si>
    <t>ATT01416</t>
  </si>
  <si>
    <t>ATT01417</t>
  </si>
  <si>
    <t>ATT01418</t>
  </si>
  <si>
    <t>ATT01419</t>
  </si>
  <si>
    <t>ATT01420</t>
  </si>
  <si>
    <t>ATT01421</t>
  </si>
  <si>
    <t>ATT01422</t>
  </si>
  <si>
    <t>ATT01423</t>
  </si>
  <si>
    <t>ATT01424</t>
  </si>
  <si>
    <t>ATT01425</t>
  </si>
  <si>
    <t>ATT01426</t>
  </si>
  <si>
    <t>21:58</t>
  </si>
  <si>
    <t>ATT01427</t>
  </si>
  <si>
    <t>ATT01428</t>
  </si>
  <si>
    <t>ATT01429</t>
  </si>
  <si>
    <t>ATT01430</t>
  </si>
  <si>
    <t>ATT01431</t>
  </si>
  <si>
    <t>ATT01432</t>
  </si>
  <si>
    <t>ATT01433</t>
  </si>
  <si>
    <t>ATT01434</t>
  </si>
  <si>
    <t>ATT01435</t>
  </si>
  <si>
    <t>ATT01436</t>
  </si>
  <si>
    <t>ATT01437</t>
  </si>
  <si>
    <t>ATT01438</t>
  </si>
  <si>
    <t>ATT01439</t>
  </si>
  <si>
    <t>ATT01440</t>
  </si>
  <si>
    <t>ATT01441</t>
  </si>
  <si>
    <t>ATT01442</t>
  </si>
  <si>
    <t>ATT01443</t>
  </si>
  <si>
    <t>ATT01444</t>
  </si>
  <si>
    <t>ATT01445</t>
  </si>
  <si>
    <t>ATT01446</t>
  </si>
  <si>
    <t>ATT01447</t>
  </si>
  <si>
    <t>ATT01448</t>
  </si>
  <si>
    <t>ATT01449</t>
  </si>
  <si>
    <t>ATT01450</t>
  </si>
  <si>
    <t>ATT01451</t>
  </si>
  <si>
    <t>ATT01452</t>
  </si>
  <si>
    <t>ATT01453</t>
  </si>
  <si>
    <t>ATT01454</t>
  </si>
  <si>
    <t>ATT01455</t>
  </si>
  <si>
    <t>ATT01456</t>
  </si>
  <si>
    <t>ATT01457</t>
  </si>
  <si>
    <t>ATT01458</t>
  </si>
  <si>
    <t>ATT01459</t>
  </si>
  <si>
    <t>ATT01460</t>
  </si>
  <si>
    <t>ATT01461</t>
  </si>
  <si>
    <t>ATT01462</t>
  </si>
  <si>
    <t>ATT01463</t>
  </si>
  <si>
    <t>ATT01464</t>
  </si>
  <si>
    <t>ATT01465</t>
  </si>
  <si>
    <t>ATT01466</t>
  </si>
  <si>
    <t>ATT01467</t>
  </si>
  <si>
    <t>ATT01468</t>
  </si>
  <si>
    <t>ATT01469</t>
  </si>
  <si>
    <t>ATT01470</t>
  </si>
  <si>
    <t>ATT01471</t>
  </si>
  <si>
    <t>ATT01472</t>
  </si>
  <si>
    <t>ATT01473</t>
  </si>
  <si>
    <t>ATT01474</t>
  </si>
  <si>
    <t>15:54</t>
  </si>
  <si>
    <t>ATT01475</t>
  </si>
  <si>
    <t>ATT01476</t>
  </si>
  <si>
    <t>ATT01477</t>
  </si>
  <si>
    <t>ATT01478</t>
  </si>
  <si>
    <t>ATT01479</t>
  </si>
  <si>
    <t>ATT01480</t>
  </si>
  <si>
    <t>ATT01481</t>
  </si>
  <si>
    <t>ATT01482</t>
  </si>
  <si>
    <t>ATT01483</t>
  </si>
  <si>
    <t>ATT01484</t>
  </si>
  <si>
    <t>ATT01485</t>
  </si>
  <si>
    <t>16:33</t>
  </si>
  <si>
    <t>ATT01486</t>
  </si>
  <si>
    <t>ATT01487</t>
  </si>
  <si>
    <t>ATT01488</t>
  </si>
  <si>
    <t>20:09</t>
  </si>
  <si>
    <t>ATT01489</t>
  </si>
  <si>
    <t>ATT01490</t>
  </si>
  <si>
    <t>ATT01491</t>
  </si>
  <si>
    <t>ATT01492</t>
  </si>
  <si>
    <t>ATT01493</t>
  </si>
  <si>
    <t>ATT01494</t>
  </si>
  <si>
    <t>ATT01495</t>
  </si>
  <si>
    <t>ATT01496</t>
  </si>
  <si>
    <t>ATT01497</t>
  </si>
  <si>
    <t>ATT01498</t>
  </si>
  <si>
    <t>ATT01499</t>
  </si>
  <si>
    <t>ATT01500</t>
  </si>
  <si>
    <t>ATT01501</t>
  </si>
  <si>
    <t>ATT01502</t>
  </si>
  <si>
    <t>ATT01503</t>
  </si>
  <si>
    <t>ATT01504</t>
  </si>
  <si>
    <t>ATT01505</t>
  </si>
  <si>
    <t>ATT01506</t>
  </si>
  <si>
    <t>ATT01507</t>
  </si>
  <si>
    <t>ATT01508</t>
  </si>
  <si>
    <t>ATT01509</t>
  </si>
  <si>
    <t>ATT01510</t>
  </si>
  <si>
    <t>ATT01511</t>
  </si>
  <si>
    <t>ATT01512</t>
  </si>
  <si>
    <t>ATT01513</t>
  </si>
  <si>
    <t>ATT01514</t>
  </si>
  <si>
    <t>ATT01515</t>
  </si>
  <si>
    <t>ATT01516</t>
  </si>
  <si>
    <t>ATT01517</t>
  </si>
  <si>
    <t>ATT01518</t>
  </si>
  <si>
    <t>ATT01519</t>
  </si>
  <si>
    <t>16:35</t>
  </si>
  <si>
    <t>ATT01520</t>
  </si>
  <si>
    <t>2024/09/20</t>
  </si>
  <si>
    <t>ATT01521</t>
  </si>
  <si>
    <t>ATT01522</t>
  </si>
  <si>
    <t>ATT01523</t>
  </si>
  <si>
    <t>21:57</t>
  </si>
  <si>
    <t>ATT01524</t>
  </si>
  <si>
    <t>ATT01525</t>
  </si>
  <si>
    <t>ATT01526</t>
  </si>
  <si>
    <t>ATT01527</t>
  </si>
  <si>
    <t>ATT01528</t>
  </si>
  <si>
    <t>ATT01529</t>
  </si>
  <si>
    <t>ATT01530</t>
  </si>
  <si>
    <t>ATT01531</t>
  </si>
  <si>
    <t>ATT01532</t>
  </si>
  <si>
    <t>ATT01533</t>
  </si>
  <si>
    <t>ATT01534</t>
  </si>
  <si>
    <t>ATT01535</t>
  </si>
  <si>
    <t>ATT01536</t>
  </si>
  <si>
    <t>ATT01537</t>
  </si>
  <si>
    <t>ATT01538</t>
  </si>
  <si>
    <t>ATT01539</t>
  </si>
  <si>
    <t>18:57</t>
  </si>
  <si>
    <t>ATT01540</t>
  </si>
  <si>
    <t>ATT01541</t>
  </si>
  <si>
    <t>ATT01542</t>
  </si>
  <si>
    <t>ATT01543</t>
  </si>
  <si>
    <t>ATT01544</t>
  </si>
  <si>
    <t>ATT01545</t>
  </si>
  <si>
    <t>20:48</t>
  </si>
  <si>
    <t>ATT01546</t>
  </si>
  <si>
    <t>ATT01547</t>
  </si>
  <si>
    <t>ATT01548</t>
  </si>
  <si>
    <t>ATT01549</t>
  </si>
  <si>
    <t>2024/09/02</t>
  </si>
  <si>
    <t>ATT01550</t>
  </si>
  <si>
    <t>ATT01551</t>
  </si>
  <si>
    <t>ATT01552</t>
  </si>
  <si>
    <t>ATT01553</t>
  </si>
  <si>
    <t>ATT01554</t>
  </si>
  <si>
    <t>ATT01555</t>
  </si>
  <si>
    <t>ATT01556</t>
  </si>
  <si>
    <t>ATT01557</t>
  </si>
  <si>
    <t>ATT01558</t>
  </si>
  <si>
    <t>ATT01559</t>
  </si>
  <si>
    <t>ATT01560</t>
  </si>
  <si>
    <t>ATT01561</t>
  </si>
  <si>
    <t>ATT01562</t>
  </si>
  <si>
    <t>ATT01563</t>
  </si>
  <si>
    <t>ATT01564</t>
  </si>
  <si>
    <t>2024/09/23</t>
  </si>
  <si>
    <t>ATT01565</t>
  </si>
  <si>
    <t>ATT01566</t>
  </si>
  <si>
    <t>ATT01567</t>
  </si>
  <si>
    <t>ATT01568</t>
  </si>
  <si>
    <t>ATT01569</t>
  </si>
  <si>
    <t>ATT01570</t>
  </si>
  <si>
    <t>2024/10/01</t>
  </si>
  <si>
    <t>ATT01571</t>
  </si>
  <si>
    <t>ATT01572</t>
  </si>
  <si>
    <t>ATT01573</t>
  </si>
  <si>
    <t>ATT01574</t>
  </si>
  <si>
    <t>ATT01575</t>
  </si>
  <si>
    <t>ATT01576</t>
  </si>
  <si>
    <t>ATT01577</t>
  </si>
  <si>
    <t>ATT01578</t>
  </si>
  <si>
    <t>ATT01579</t>
  </si>
  <si>
    <t>ATT01580</t>
  </si>
  <si>
    <t>14:40</t>
  </si>
  <si>
    <t>ATT01581</t>
  </si>
  <si>
    <t>ATT01582</t>
  </si>
  <si>
    <t>ATT01583</t>
  </si>
  <si>
    <t>ATT01584</t>
  </si>
  <si>
    <t>ATT01585</t>
  </si>
  <si>
    <t>ATT01586</t>
  </si>
  <si>
    <t>ATT01587</t>
  </si>
  <si>
    <t>ATT01588</t>
  </si>
  <si>
    <t>ATT01589</t>
  </si>
  <si>
    <t>ATT01590</t>
  </si>
  <si>
    <t>ATT01591</t>
  </si>
  <si>
    <t>ATT01592</t>
  </si>
  <si>
    <t>ATT01593</t>
  </si>
  <si>
    <t>ATT01594</t>
  </si>
  <si>
    <t>ATT01595</t>
  </si>
  <si>
    <t>2024/09/05</t>
  </si>
  <si>
    <t>ATT01596</t>
  </si>
  <si>
    <t>ATT01597</t>
  </si>
  <si>
    <t>ATT01598</t>
  </si>
  <si>
    <t>14:17</t>
  </si>
  <si>
    <t>ATT01599</t>
  </si>
  <si>
    <t>14:27</t>
  </si>
  <si>
    <t>ATT01600</t>
  </si>
  <si>
    <t>ATT01601</t>
  </si>
  <si>
    <t>ATT01602</t>
  </si>
  <si>
    <t>ATT01603</t>
  </si>
  <si>
    <t>15:21</t>
  </si>
  <si>
    <t>ATT01604</t>
  </si>
  <si>
    <t>ATT01605</t>
  </si>
  <si>
    <t>ATT01606</t>
  </si>
  <si>
    <t>ATT01607</t>
  </si>
  <si>
    <t>ATT01608</t>
  </si>
  <si>
    <t>ATT01609</t>
  </si>
  <si>
    <t>ATT01610</t>
  </si>
  <si>
    <t>ATT01611</t>
  </si>
  <si>
    <t>ATT01612</t>
  </si>
  <si>
    <t>ATT01613</t>
  </si>
  <si>
    <t>ATT01614</t>
  </si>
  <si>
    <t>ATT01615</t>
  </si>
  <si>
    <t>ATT01616</t>
  </si>
  <si>
    <t>ATT01617</t>
  </si>
  <si>
    <t>ATT01618</t>
  </si>
  <si>
    <t>ATT01619</t>
  </si>
  <si>
    <t>ATT01620</t>
  </si>
  <si>
    <t>ATT01621</t>
  </si>
  <si>
    <t>ATT01622</t>
  </si>
  <si>
    <t>ATT01623</t>
  </si>
  <si>
    <t>ATT01624</t>
  </si>
  <si>
    <t>ATT01625</t>
  </si>
  <si>
    <t>ATT01626</t>
  </si>
  <si>
    <t>ATT01627</t>
  </si>
  <si>
    <t>ATT01628</t>
  </si>
  <si>
    <t>ATT01629</t>
  </si>
  <si>
    <t>ATT01630</t>
  </si>
  <si>
    <t>ATT01631</t>
  </si>
  <si>
    <t>ATT01632</t>
  </si>
  <si>
    <t>ATT01633</t>
  </si>
  <si>
    <t>ATT01634</t>
  </si>
  <si>
    <t>ATT01635</t>
  </si>
  <si>
    <t>ATT01636</t>
  </si>
  <si>
    <t>ATT01637</t>
  </si>
  <si>
    <t>ATT01638</t>
  </si>
  <si>
    <t>ATT01639</t>
  </si>
  <si>
    <t>ATT01640</t>
  </si>
  <si>
    <t>ATT01641</t>
  </si>
  <si>
    <t>ATT01642</t>
  </si>
  <si>
    <t>ATT01643</t>
  </si>
  <si>
    <t>ATT01644</t>
  </si>
  <si>
    <t>ATT01645</t>
  </si>
  <si>
    <t>ATT01646</t>
  </si>
  <si>
    <t>ATT01647</t>
  </si>
  <si>
    <t>ATT01648</t>
  </si>
  <si>
    <t>ATT01649</t>
  </si>
  <si>
    <t>ATT01650</t>
  </si>
  <si>
    <t>ATT01651</t>
  </si>
  <si>
    <t>ATT01652</t>
  </si>
  <si>
    <t>ATT01653</t>
  </si>
  <si>
    <t>ATT01654</t>
  </si>
  <si>
    <t>ATT01655</t>
  </si>
  <si>
    <t>ATT01656</t>
  </si>
  <si>
    <t>ATT01657</t>
  </si>
  <si>
    <t>ATT01658</t>
  </si>
  <si>
    <t>ATT01659</t>
  </si>
  <si>
    <t>ATT01660</t>
  </si>
  <si>
    <t>ATT01661</t>
  </si>
  <si>
    <t>ATT01662</t>
  </si>
  <si>
    <t>ATT01663</t>
  </si>
  <si>
    <t>ATT01664</t>
  </si>
  <si>
    <t>ATT01665</t>
  </si>
  <si>
    <t>ATT01666</t>
  </si>
  <si>
    <t>ATT01667</t>
  </si>
  <si>
    <t>ATT01668</t>
  </si>
  <si>
    <t>ATT01669</t>
  </si>
  <si>
    <t>ATT01670</t>
  </si>
  <si>
    <t>ATT01671</t>
  </si>
  <si>
    <t>ATT01672</t>
  </si>
  <si>
    <t>ATT01673</t>
  </si>
  <si>
    <t>ATT01674</t>
  </si>
  <si>
    <t>ATT01675</t>
  </si>
  <si>
    <t>ATT01676</t>
  </si>
  <si>
    <t>ATT01677</t>
  </si>
  <si>
    <t>21:44</t>
  </si>
  <si>
    <t>ATT01678</t>
  </si>
  <si>
    <t>ATT01679</t>
  </si>
  <si>
    <t>ATT01680</t>
  </si>
  <si>
    <t>ATT01681</t>
  </si>
  <si>
    <t>ATT01682</t>
  </si>
  <si>
    <t>ATT01683</t>
  </si>
  <si>
    <t>ATT01684</t>
  </si>
  <si>
    <t>ATT01685</t>
  </si>
  <si>
    <t>ATT01686</t>
  </si>
  <si>
    <t>ATT01687</t>
  </si>
  <si>
    <t>ATT01688</t>
  </si>
  <si>
    <t>ATT01689</t>
  </si>
  <si>
    <t>ATT01690</t>
  </si>
  <si>
    <t>ATT01691</t>
  </si>
  <si>
    <t>ATT01692</t>
  </si>
  <si>
    <t>ATT01693</t>
  </si>
  <si>
    <t>ATT01694</t>
  </si>
  <si>
    <t>ATT01695</t>
  </si>
  <si>
    <t>ATT01696</t>
  </si>
  <si>
    <t>ATT01697</t>
  </si>
  <si>
    <t>ATT01698</t>
  </si>
  <si>
    <t>ATT01699</t>
  </si>
  <si>
    <t>ATT01700</t>
  </si>
  <si>
    <t>ATT01701</t>
  </si>
  <si>
    <t>ATT01702</t>
  </si>
  <si>
    <t>ATT01703</t>
  </si>
  <si>
    <t>ATT01704</t>
  </si>
  <si>
    <t>ATT01705</t>
  </si>
  <si>
    <t>ATT01706</t>
  </si>
  <si>
    <t>ATT01707</t>
  </si>
  <si>
    <t>ATT01708</t>
  </si>
  <si>
    <t>ATT01709</t>
  </si>
  <si>
    <t>ATT01710</t>
  </si>
  <si>
    <t>ATT01711</t>
  </si>
  <si>
    <t>ATT01712</t>
  </si>
  <si>
    <t>ATT01713</t>
  </si>
  <si>
    <t>ATT01714</t>
  </si>
  <si>
    <t>ATT01715</t>
  </si>
  <si>
    <t>ATT01716</t>
  </si>
  <si>
    <t>ATT01717</t>
  </si>
  <si>
    <t>ATT01718</t>
  </si>
  <si>
    <t>ATT01719</t>
  </si>
  <si>
    <t>ATT01720</t>
  </si>
  <si>
    <t>ATT01721</t>
  </si>
  <si>
    <t>ATT01722</t>
  </si>
  <si>
    <t>ATT01723</t>
  </si>
  <si>
    <t>ATT01724</t>
  </si>
  <si>
    <t>ATT01725</t>
  </si>
  <si>
    <t>ATT01726</t>
  </si>
  <si>
    <t>ATT01727</t>
  </si>
  <si>
    <t>ATT01728</t>
  </si>
  <si>
    <t>ATT01729</t>
  </si>
  <si>
    <t>ATT01730</t>
  </si>
  <si>
    <t>ATT01731</t>
  </si>
  <si>
    <t>ATT01732</t>
  </si>
  <si>
    <t>ATT01733</t>
  </si>
  <si>
    <t>ATT01734</t>
  </si>
  <si>
    <t>ATT01735</t>
  </si>
  <si>
    <t>ATT01736</t>
  </si>
  <si>
    <t>ATT01737</t>
  </si>
  <si>
    <t>ATT01738</t>
  </si>
  <si>
    <t>ATT01739</t>
  </si>
  <si>
    <t>ATT01740</t>
  </si>
  <si>
    <t>ATT01741</t>
  </si>
  <si>
    <t>21:19</t>
  </si>
  <si>
    <t>ATT01742</t>
  </si>
  <si>
    <t>ATT01743</t>
  </si>
  <si>
    <t>ATT01744</t>
  </si>
  <si>
    <t>ATT01745</t>
  </si>
  <si>
    <t>ATT01746</t>
  </si>
  <si>
    <t>ATT01747</t>
  </si>
  <si>
    <t>ATT01748</t>
  </si>
  <si>
    <t>ATT01749</t>
  </si>
  <si>
    <t>ATT01750</t>
  </si>
  <si>
    <t>ATT01751</t>
  </si>
  <si>
    <t>ATT01752</t>
  </si>
  <si>
    <t>ATT01753</t>
  </si>
  <si>
    <t>ATT01754</t>
  </si>
  <si>
    <t>ATT01755</t>
  </si>
  <si>
    <t>ATT01756</t>
  </si>
  <si>
    <t>ATT01757</t>
  </si>
  <si>
    <t>ATT01758</t>
  </si>
  <si>
    <t>ATT01759</t>
  </si>
  <si>
    <t>ATT01760</t>
  </si>
  <si>
    <t>ATT01761</t>
  </si>
  <si>
    <t>ATT01762</t>
  </si>
  <si>
    <t>ATT01763</t>
  </si>
  <si>
    <t>ATT01764</t>
  </si>
  <si>
    <t>ATT01765</t>
  </si>
  <si>
    <t>ATT01766</t>
  </si>
  <si>
    <t>ATT01767</t>
  </si>
  <si>
    <t>ATT01768</t>
  </si>
  <si>
    <t>ATT01769</t>
  </si>
  <si>
    <t>ATT01770</t>
  </si>
  <si>
    <t>ATT01771</t>
  </si>
  <si>
    <t>ATT01772</t>
  </si>
  <si>
    <t>ATT01773</t>
  </si>
  <si>
    <t>ATT01774</t>
  </si>
  <si>
    <t>ATT01775</t>
  </si>
  <si>
    <t>ATT01776</t>
  </si>
  <si>
    <t>ATT01777</t>
  </si>
  <si>
    <t>ATT01778</t>
  </si>
  <si>
    <t>ATT01779</t>
  </si>
  <si>
    <t>ATT01780</t>
  </si>
  <si>
    <t>ATT01781</t>
  </si>
  <si>
    <t>ATT01782</t>
  </si>
  <si>
    <t>ATT01783</t>
  </si>
  <si>
    <t>ATT01784</t>
  </si>
  <si>
    <t>ATT01785</t>
  </si>
  <si>
    <t>ATT01786</t>
  </si>
  <si>
    <t>ATT01787</t>
  </si>
  <si>
    <t>ATT01788</t>
  </si>
  <si>
    <t>ATT01789</t>
  </si>
  <si>
    <t>ATT01790</t>
  </si>
  <si>
    <t>ATT01791</t>
  </si>
  <si>
    <t>ATT01792</t>
  </si>
  <si>
    <t>ATT01793</t>
  </si>
  <si>
    <t>ATT01794</t>
  </si>
  <si>
    <t>ATT01795</t>
  </si>
  <si>
    <t>ATT01796</t>
  </si>
  <si>
    <t>ATT01797</t>
  </si>
  <si>
    <t>ATT01798</t>
  </si>
  <si>
    <t>ATT01799</t>
  </si>
  <si>
    <t>ATT01800</t>
  </si>
  <si>
    <t>ATT01801</t>
  </si>
  <si>
    <t>ATT01802</t>
  </si>
  <si>
    <t>ATT01803</t>
  </si>
  <si>
    <t>ATT01804</t>
  </si>
  <si>
    <t>ATT01805</t>
  </si>
  <si>
    <t>ATT01806</t>
  </si>
  <si>
    <t>19:41</t>
  </si>
  <si>
    <t>ATT01807</t>
  </si>
  <si>
    <t>ATT01808</t>
  </si>
  <si>
    <t>ATT01809</t>
  </si>
  <si>
    <t>ATT01810</t>
  </si>
  <si>
    <t>ATT01811</t>
  </si>
  <si>
    <t>ATT01812</t>
  </si>
  <si>
    <t>ATT01813</t>
  </si>
  <si>
    <t>ATT01814</t>
  </si>
  <si>
    <t>ATT01815</t>
  </si>
  <si>
    <t>ATT01816</t>
  </si>
  <si>
    <t>ATT01817</t>
  </si>
  <si>
    <t>ATT01818</t>
  </si>
  <si>
    <t>21:00</t>
  </si>
  <si>
    <t>ATT01819</t>
  </si>
  <si>
    <t>ATT01820</t>
  </si>
  <si>
    <t>ATT01821</t>
  </si>
  <si>
    <t>ATT01822</t>
  </si>
  <si>
    <t>ATT01823</t>
  </si>
  <si>
    <t>ATT01824</t>
  </si>
  <si>
    <t>ATT01825</t>
  </si>
  <si>
    <t>ATT01826</t>
  </si>
  <si>
    <t>ATT01827</t>
  </si>
  <si>
    <t>ATT01828</t>
  </si>
  <si>
    <t>ATT01829</t>
  </si>
  <si>
    <t>ATT01830</t>
  </si>
  <si>
    <t>ATT01831</t>
  </si>
  <si>
    <t>ATT01832</t>
  </si>
  <si>
    <t>ATT01833</t>
  </si>
  <si>
    <t>ATT01834</t>
  </si>
  <si>
    <t>ATT01835</t>
  </si>
  <si>
    <t>ATT01836</t>
  </si>
  <si>
    <t>ATT01837</t>
  </si>
  <si>
    <t>2024/10/14</t>
  </si>
  <si>
    <t>ATT01838</t>
  </si>
  <si>
    <t>ATT01839</t>
  </si>
  <si>
    <t>ATT01840</t>
  </si>
  <si>
    <t>ATT01841</t>
  </si>
  <si>
    <t>ATT01842</t>
  </si>
  <si>
    <t>ATT01843</t>
  </si>
  <si>
    <t>ATT01844</t>
  </si>
  <si>
    <t>ATT01845</t>
  </si>
  <si>
    <t>ATT01846</t>
  </si>
  <si>
    <t>ATT01847</t>
  </si>
  <si>
    <t>ATT01848</t>
  </si>
  <si>
    <t>ATT01849</t>
  </si>
  <si>
    <t>ATT01850</t>
  </si>
  <si>
    <t>ATT01851</t>
  </si>
  <si>
    <t>14:59</t>
  </si>
  <si>
    <t>ATT01852</t>
  </si>
  <si>
    <t>ATT01853</t>
  </si>
  <si>
    <t>ATT01854</t>
  </si>
  <si>
    <t>ATT01855</t>
  </si>
  <si>
    <t>ATT01856</t>
  </si>
  <si>
    <t>ATT01857</t>
  </si>
  <si>
    <t>ATT01858</t>
  </si>
  <si>
    <t>ATT01859</t>
  </si>
  <si>
    <t>ATT01860</t>
  </si>
  <si>
    <t>ATT01861</t>
  </si>
  <si>
    <t>ATT01862</t>
  </si>
  <si>
    <t>ATT01863</t>
  </si>
  <si>
    <t>ATT01864</t>
  </si>
  <si>
    <t>ATT01865</t>
  </si>
  <si>
    <t>ATT01866</t>
  </si>
  <si>
    <t>ATT01867</t>
  </si>
  <si>
    <t>ATT01868</t>
  </si>
  <si>
    <t>ATT01869</t>
  </si>
  <si>
    <t>ATT01870</t>
  </si>
  <si>
    <t>ATT01871</t>
  </si>
  <si>
    <t>ATT01872</t>
  </si>
  <si>
    <t>ATT01873</t>
  </si>
  <si>
    <t>ATT01874</t>
  </si>
  <si>
    <t>ATT01875</t>
  </si>
  <si>
    <t>ATT01876</t>
  </si>
  <si>
    <t>ATT01877</t>
  </si>
  <si>
    <t>ATT01878</t>
  </si>
  <si>
    <t>ATT01879</t>
  </si>
  <si>
    <t>ATT01880</t>
  </si>
  <si>
    <t>ATT01881</t>
  </si>
  <si>
    <t>ATT01882</t>
  </si>
  <si>
    <t>ATT01883</t>
  </si>
  <si>
    <t>ATT01884</t>
  </si>
  <si>
    <t>ATT01885</t>
  </si>
  <si>
    <t>ATT01886</t>
  </si>
  <si>
    <t>ATT01887</t>
  </si>
  <si>
    <t>ATT01888</t>
  </si>
  <si>
    <t>21:22</t>
  </si>
  <si>
    <t>ATT01889</t>
  </si>
  <si>
    <t>ATT01890</t>
  </si>
  <si>
    <t>ATT01891</t>
  </si>
  <si>
    <t>ATT01892</t>
  </si>
  <si>
    <t>ATT01893</t>
  </si>
  <si>
    <t>ATT01894</t>
  </si>
  <si>
    <t>ATT01895</t>
  </si>
  <si>
    <t>ATT01896</t>
  </si>
  <si>
    <t>ATT01897</t>
  </si>
  <si>
    <t>ATT01898</t>
  </si>
  <si>
    <t>ATT01899</t>
  </si>
  <si>
    <t>ATT01900</t>
  </si>
  <si>
    <t>ATT01901</t>
  </si>
  <si>
    <t>ATT01902</t>
  </si>
  <si>
    <t>ATT01903</t>
  </si>
  <si>
    <t>ATT01904</t>
  </si>
  <si>
    <t>ATT01905</t>
  </si>
  <si>
    <t>ATT01906</t>
  </si>
  <si>
    <t>ATT01907</t>
  </si>
  <si>
    <t>ATT01908</t>
  </si>
  <si>
    <t>ATT01909</t>
  </si>
  <si>
    <t>14:07</t>
  </si>
  <si>
    <t>ATT01910</t>
  </si>
  <si>
    <t>ATT01911</t>
  </si>
  <si>
    <t>ATT01912</t>
  </si>
  <si>
    <t>ATT01913</t>
  </si>
  <si>
    <t>ATT01914</t>
  </si>
  <si>
    <t>ATT01915</t>
  </si>
  <si>
    <t>ATT01916</t>
  </si>
  <si>
    <t>ATT01917</t>
  </si>
  <si>
    <t>ATT01918</t>
  </si>
  <si>
    <t>ATT01919</t>
  </si>
  <si>
    <t>ATT01920</t>
  </si>
  <si>
    <t>ATT01921</t>
  </si>
  <si>
    <t>ATT01922</t>
  </si>
  <si>
    <t>ATT01923</t>
  </si>
  <si>
    <t>ATT01924</t>
  </si>
  <si>
    <t>ATT01925</t>
  </si>
  <si>
    <t>ATT01926</t>
  </si>
  <si>
    <t>ATT01927</t>
  </si>
  <si>
    <t>ATT01928</t>
  </si>
  <si>
    <t>ATT01929</t>
  </si>
  <si>
    <t>14:51</t>
  </si>
  <si>
    <t>ATT01930</t>
  </si>
  <si>
    <t>ATT01931</t>
  </si>
  <si>
    <t>ATT01932</t>
  </si>
  <si>
    <t>ATT01933</t>
  </si>
  <si>
    <t>ATT01934</t>
  </si>
  <si>
    <t>ATT01935</t>
  </si>
  <si>
    <t>ATT01936</t>
  </si>
  <si>
    <t>ATT01937</t>
  </si>
  <si>
    <t>ATT01938</t>
  </si>
  <si>
    <t>ATT01939</t>
  </si>
  <si>
    <t>ATT01940</t>
  </si>
  <si>
    <t>ATT01941</t>
  </si>
  <si>
    <t>ATT01942</t>
  </si>
  <si>
    <t>ATT01943</t>
  </si>
  <si>
    <t>ATT01944</t>
  </si>
  <si>
    <t>ATT01945</t>
  </si>
  <si>
    <t>ATT01946</t>
  </si>
  <si>
    <t>ATT01947</t>
  </si>
  <si>
    <t>21:20</t>
  </si>
  <si>
    <t>ATT01948</t>
  </si>
  <si>
    <t>ATT01949</t>
  </si>
  <si>
    <t>ATT01950</t>
  </si>
  <si>
    <t>ATT01951</t>
  </si>
  <si>
    <t>ATT01952</t>
  </si>
  <si>
    <t>ATT01953</t>
  </si>
  <si>
    <t>ATT01954</t>
  </si>
  <si>
    <t>ATT01955</t>
  </si>
  <si>
    <t>ATT01956</t>
  </si>
  <si>
    <t>ATT01957</t>
  </si>
  <si>
    <t>ATT01958</t>
  </si>
  <si>
    <t>ATT01959</t>
  </si>
  <si>
    <t>ATT01960</t>
  </si>
  <si>
    <t>ATT01961</t>
  </si>
  <si>
    <t>ATT01962</t>
  </si>
  <si>
    <t>ATT01963</t>
  </si>
  <si>
    <t>ATT01964</t>
  </si>
  <si>
    <t>ATT01965</t>
  </si>
  <si>
    <t>ATT01966</t>
  </si>
  <si>
    <t>ATT01967</t>
  </si>
  <si>
    <t>ATT01968</t>
  </si>
  <si>
    <t>ATT01969</t>
  </si>
  <si>
    <t>ATT01970</t>
  </si>
  <si>
    <t>21:31</t>
  </si>
  <si>
    <t>ATT01971</t>
  </si>
  <si>
    <t>ATT01972</t>
  </si>
  <si>
    <t>ATT01973</t>
  </si>
  <si>
    <t>ATT01974</t>
  </si>
  <si>
    <t>ATT01975</t>
  </si>
  <si>
    <t>ATT01976</t>
  </si>
  <si>
    <t>ATT01977</t>
  </si>
  <si>
    <t>ATT01978</t>
  </si>
  <si>
    <t>ATT01979</t>
  </si>
  <si>
    <t>ATT01980</t>
  </si>
  <si>
    <t>ATT01981</t>
  </si>
  <si>
    <t>ATT01982</t>
  </si>
  <si>
    <t>ATT01983</t>
  </si>
  <si>
    <t>ATT01984</t>
  </si>
  <si>
    <t>15:38</t>
  </si>
  <si>
    <t>ATT01985</t>
  </si>
  <si>
    <t>ATT01986</t>
  </si>
  <si>
    <t>ATT01987</t>
  </si>
  <si>
    <t>ATT01988</t>
  </si>
  <si>
    <t>ATT01989</t>
  </si>
  <si>
    <t>ATT01990</t>
  </si>
  <si>
    <t>ATT01991</t>
  </si>
  <si>
    <t>ATT01992</t>
  </si>
  <si>
    <t>ATT01993</t>
  </si>
  <si>
    <t>ATT01994</t>
  </si>
  <si>
    <t>ATT01995</t>
  </si>
  <si>
    <t>ATT01996</t>
  </si>
  <si>
    <t>ATT01997</t>
  </si>
  <si>
    <t>ATT01998</t>
  </si>
  <si>
    <t>ATT01999</t>
  </si>
  <si>
    <t>ATT02000</t>
  </si>
  <si>
    <t>ATT02001</t>
  </si>
  <si>
    <t>ATT02002</t>
  </si>
  <si>
    <t>ATT02003</t>
  </si>
  <si>
    <t>ATT02004</t>
  </si>
  <si>
    <t>ATT02005</t>
  </si>
  <si>
    <t>ATT02006</t>
  </si>
  <si>
    <t>ATT02007</t>
  </si>
  <si>
    <t>ATT02008</t>
  </si>
  <si>
    <t>ATT02009</t>
  </si>
  <si>
    <t>ATT02010</t>
  </si>
  <si>
    <t>ATT02011</t>
  </si>
  <si>
    <t>ATT02012</t>
  </si>
  <si>
    <t>ATT02013</t>
  </si>
  <si>
    <t>ATT02014</t>
  </si>
  <si>
    <t>ATT02015</t>
  </si>
  <si>
    <t>ATT02016</t>
  </si>
  <si>
    <t>ATT02017</t>
  </si>
  <si>
    <t>ATT02018</t>
  </si>
  <si>
    <t>ATT02019</t>
  </si>
  <si>
    <t>ATT02020</t>
  </si>
  <si>
    <t>ATT02021</t>
  </si>
  <si>
    <t>ATT02022</t>
  </si>
  <si>
    <t>ATT02023</t>
  </si>
  <si>
    <t>ATT02024</t>
  </si>
  <si>
    <t>ATT02025</t>
  </si>
  <si>
    <t>ATT02026</t>
  </si>
  <si>
    <t>ATT02027</t>
  </si>
  <si>
    <t>ATT02028</t>
  </si>
  <si>
    <t>ATT02029</t>
  </si>
  <si>
    <t>ATT02030</t>
  </si>
  <si>
    <t>ATT02031</t>
  </si>
  <si>
    <t>ATT02032</t>
  </si>
  <si>
    <t>ATT02033</t>
  </si>
  <si>
    <t>ATT02034</t>
  </si>
  <si>
    <t>ATT02035</t>
  </si>
  <si>
    <t>ATT02036</t>
  </si>
  <si>
    <t>ATT02037</t>
  </si>
  <si>
    <t>ATT02038</t>
  </si>
  <si>
    <t>ATT02039</t>
  </si>
  <si>
    <t>ATT02040</t>
  </si>
  <si>
    <t>ATT02041</t>
  </si>
  <si>
    <t>ATT02042</t>
  </si>
  <si>
    <t>ATT02043</t>
  </si>
  <si>
    <t>ATT02044</t>
  </si>
  <si>
    <t>ATT02045</t>
  </si>
  <si>
    <t>ATT02046</t>
  </si>
  <si>
    <t>ATT02047</t>
  </si>
  <si>
    <t>ATT02048</t>
  </si>
  <si>
    <t>ATT02049</t>
  </si>
  <si>
    <t>ATT02050</t>
  </si>
  <si>
    <t>ATT02051</t>
  </si>
  <si>
    <t>ATT02052</t>
  </si>
  <si>
    <t>ATT02053</t>
  </si>
  <si>
    <t>ATT02054</t>
  </si>
  <si>
    <t>20:07</t>
  </si>
  <si>
    <t>ATT02055</t>
  </si>
  <si>
    <t>14:22</t>
  </si>
  <si>
    <t>ATT02056</t>
  </si>
  <si>
    <t>ATT02057</t>
  </si>
  <si>
    <t>ATT02058</t>
  </si>
  <si>
    <t>ATT02059</t>
  </si>
  <si>
    <t>ATT02060</t>
  </si>
  <si>
    <t>2024/10/24</t>
  </si>
  <si>
    <t>21:36</t>
  </si>
  <si>
    <t>ATT02061</t>
  </si>
  <si>
    <t>ATT02062</t>
  </si>
  <si>
    <t>ATT02063</t>
  </si>
  <si>
    <t>ATT02064</t>
  </si>
  <si>
    <t>ATT02065</t>
  </si>
  <si>
    <t>ATT02066</t>
  </si>
  <si>
    <t>ATT02067</t>
  </si>
  <si>
    <t>ATT02068</t>
  </si>
  <si>
    <t>ATT02069</t>
  </si>
  <si>
    <t>ATT02070</t>
  </si>
  <si>
    <t>ATT02071</t>
  </si>
  <si>
    <t>ATT02072</t>
  </si>
  <si>
    <t>ATT02073</t>
  </si>
  <si>
    <t>14:18</t>
  </si>
  <si>
    <t>ATT02074</t>
  </si>
  <si>
    <t>ATT02075</t>
  </si>
  <si>
    <t>ATT02076</t>
  </si>
  <si>
    <t>ATT02077</t>
  </si>
  <si>
    <t>ATT02078</t>
  </si>
  <si>
    <t>ATT02079</t>
  </si>
  <si>
    <t>ATT02080</t>
  </si>
  <si>
    <t>ATT02081</t>
  </si>
  <si>
    <t>ATT02082</t>
  </si>
  <si>
    <t>ATT02083</t>
  </si>
  <si>
    <t>ATT02084</t>
  </si>
  <si>
    <t>ATT02085</t>
  </si>
  <si>
    <t>20:25</t>
  </si>
  <si>
    <t>ATT02086</t>
  </si>
  <si>
    <t>ATT02087</t>
  </si>
  <si>
    <t>ATT02088</t>
  </si>
  <si>
    <t>ATT02089</t>
  </si>
  <si>
    <t>ATT02090</t>
  </si>
  <si>
    <t>ATT02091</t>
  </si>
  <si>
    <t>ATT02092</t>
  </si>
  <si>
    <t>ATT02093</t>
  </si>
  <si>
    <t>ATT02094</t>
  </si>
  <si>
    <t>ATT02095</t>
  </si>
  <si>
    <t>ATT02096</t>
  </si>
  <si>
    <t>ATT02097</t>
  </si>
  <si>
    <t>ATT02098</t>
  </si>
  <si>
    <t>ATT02099</t>
  </si>
  <si>
    <t>ATT02100</t>
  </si>
  <si>
    <t>ATT02101</t>
  </si>
  <si>
    <t>ATT02102</t>
  </si>
  <si>
    <t>ATT02103</t>
  </si>
  <si>
    <t>ATT02104</t>
  </si>
  <si>
    <t>ATT02105</t>
  </si>
  <si>
    <t>ATT02106</t>
  </si>
  <si>
    <t>ATT02107</t>
  </si>
  <si>
    <t>ATT02108</t>
  </si>
  <si>
    <t>ATT02109</t>
  </si>
  <si>
    <t>ATT02110</t>
  </si>
  <si>
    <t>ATT02111</t>
  </si>
  <si>
    <t>ATT02112</t>
  </si>
  <si>
    <t>ATT02113</t>
  </si>
  <si>
    <t>ATT02114</t>
  </si>
  <si>
    <t>ATT02115</t>
  </si>
  <si>
    <t>ATT02116</t>
  </si>
  <si>
    <t>ATT02117</t>
  </si>
  <si>
    <t>ATT02118</t>
  </si>
  <si>
    <t>ATT02119</t>
  </si>
  <si>
    <t>ATT02120</t>
  </si>
  <si>
    <t>ATT02121</t>
  </si>
  <si>
    <t>ATT02122</t>
  </si>
  <si>
    <t>ATT02123</t>
  </si>
  <si>
    <t>ATT02124</t>
  </si>
  <si>
    <t>ATT02125</t>
  </si>
  <si>
    <t>ATT02126</t>
  </si>
  <si>
    <t>ATT02127</t>
  </si>
  <si>
    <t>14:19</t>
  </si>
  <si>
    <t>ATT02128</t>
  </si>
  <si>
    <t>ATT02129</t>
  </si>
  <si>
    <t>ATT02130</t>
  </si>
  <si>
    <t>ATT02131</t>
  </si>
  <si>
    <t>ATT02132</t>
  </si>
  <si>
    <t>ATT02133</t>
  </si>
  <si>
    <t>ATT02134</t>
  </si>
  <si>
    <t>ATT02135</t>
  </si>
  <si>
    <t>ATT02136</t>
  </si>
  <si>
    <t>ATT02137</t>
  </si>
  <si>
    <t>19:35</t>
  </si>
  <si>
    <t>ATT02138</t>
  </si>
  <si>
    <t>ATT02139</t>
  </si>
  <si>
    <t>ATT02140</t>
  </si>
  <si>
    <t>ATT02141</t>
  </si>
  <si>
    <t>21:47</t>
  </si>
  <si>
    <t>ATT02142</t>
  </si>
  <si>
    <t>ATT02143</t>
  </si>
  <si>
    <t>ATT02144</t>
  </si>
  <si>
    <t>ATT02145</t>
  </si>
  <si>
    <t>ATT02146</t>
  </si>
  <si>
    <t>ATT02147</t>
  </si>
  <si>
    <t>ATT02148</t>
  </si>
  <si>
    <t>ATT02149</t>
  </si>
  <si>
    <t>ATT02150</t>
  </si>
  <si>
    <t>Candidate_ID</t>
  </si>
  <si>
    <t>Applied_Role</t>
  </si>
  <si>
    <t>Source</t>
  </si>
  <si>
    <t>Interview_Round1_Score</t>
  </si>
  <si>
    <t>Interview_Round2_Score</t>
  </si>
  <si>
    <t>Final_Score</t>
  </si>
  <si>
    <t>Expected_Salary</t>
  </si>
  <si>
    <t>Offered_Salary</t>
  </si>
  <si>
    <t>Offer_Status</t>
  </si>
  <si>
    <t>Interview_Date</t>
  </si>
  <si>
    <t>Years_Experience</t>
  </si>
  <si>
    <t>CAND0001</t>
  </si>
  <si>
    <t>Abhishek Ratha</t>
  </si>
  <si>
    <t>Job Portal</t>
  </si>
  <si>
    <t>Pending</t>
  </si>
  <si>
    <t>CAND0002</t>
  </si>
  <si>
    <t>LinkedIn</t>
  </si>
  <si>
    <t>Accepted</t>
  </si>
  <si>
    <t>CAND0003</t>
  </si>
  <si>
    <t>Ankita Behura</t>
  </si>
  <si>
    <t>linkedin</t>
  </si>
  <si>
    <t>CAND0004</t>
  </si>
  <si>
    <t>Campus</t>
  </si>
  <si>
    <t>11-12-2023</t>
  </si>
  <si>
    <t>CAND0005</t>
  </si>
  <si>
    <t>Withdrawn</t>
  </si>
  <si>
    <t>13-12-2024</t>
  </si>
  <si>
    <t>CAND0006</t>
  </si>
  <si>
    <t>Walk-in</t>
  </si>
  <si>
    <t>CAND0007</t>
  </si>
  <si>
    <t>Satyajit Padhi</t>
  </si>
  <si>
    <t>CAND0008</t>
  </si>
  <si>
    <t>Rejected</t>
  </si>
  <si>
    <t>CAND0009</t>
  </si>
  <si>
    <t>Smita Sahu</t>
  </si>
  <si>
    <t>CAND0010</t>
  </si>
  <si>
    <t>Nirmal Ratha</t>
  </si>
  <si>
    <t>Business Analyst</t>
  </si>
  <si>
    <t>28-08-2024</t>
  </si>
  <si>
    <t>CAND0011</t>
  </si>
  <si>
    <t>13-10-2024</t>
  </si>
  <si>
    <t>CAND0012</t>
  </si>
  <si>
    <t>Negotiating</t>
  </si>
  <si>
    <t>20-10-2024</t>
  </si>
  <si>
    <t>CAND0013</t>
  </si>
  <si>
    <t>Tapas Dhal</t>
  </si>
  <si>
    <t>13-07-2023</t>
  </si>
  <si>
    <t>CAND0014</t>
  </si>
  <si>
    <t>Naukri</t>
  </si>
  <si>
    <t>CAND0015</t>
  </si>
  <si>
    <t>Smita Prusty</t>
  </si>
  <si>
    <t>13-03-2023</t>
  </si>
  <si>
    <t>CAND0016</t>
  </si>
  <si>
    <t>08-12-2023</t>
  </si>
  <si>
    <t>CAND0017</t>
  </si>
  <si>
    <t>27-08-2023</t>
  </si>
  <si>
    <t>CAND0018</t>
  </si>
  <si>
    <t>naukri</t>
  </si>
  <si>
    <t>29-10-2023</t>
  </si>
  <si>
    <t>CAND0019</t>
  </si>
  <si>
    <t>08-05-2024</t>
  </si>
  <si>
    <t>CAND0020</t>
  </si>
  <si>
    <t>Dibya Routray</t>
  </si>
  <si>
    <t>CAND0021</t>
  </si>
  <si>
    <t>CAND0022</t>
  </si>
  <si>
    <t>CAND0023</t>
  </si>
  <si>
    <t>Rahul Nanda</t>
  </si>
  <si>
    <t>26-11-2023</t>
  </si>
  <si>
    <t>CAND0024</t>
  </si>
  <si>
    <t>05-04-2024</t>
  </si>
  <si>
    <t>CAND0025</t>
  </si>
  <si>
    <t>03-04-2024</t>
  </si>
  <si>
    <t>CAND0026</t>
  </si>
  <si>
    <t>Ankita Mishra</t>
  </si>
  <si>
    <t>Referral</t>
  </si>
  <si>
    <t>23-10-2023</t>
  </si>
  <si>
    <t>CAND0027</t>
  </si>
  <si>
    <t>Namita Biswal</t>
  </si>
  <si>
    <t>21-09-2023</t>
  </si>
  <si>
    <t>CAND0028</t>
  </si>
  <si>
    <t>30-11-2024</t>
  </si>
  <si>
    <t>CAND0029</t>
  </si>
  <si>
    <t>Namita Behura</t>
  </si>
  <si>
    <t>CAND0030</t>
  </si>
  <si>
    <t>17-06-2023</t>
  </si>
  <si>
    <t>CAND0031</t>
  </si>
  <si>
    <t>CAND0032</t>
  </si>
  <si>
    <t>CAND0033</t>
  </si>
  <si>
    <t>Debasmita Mohapatra</t>
  </si>
  <si>
    <t>21-05-2023</t>
  </si>
  <si>
    <t>CAND0034</t>
  </si>
  <si>
    <t>CAND0035</t>
  </si>
  <si>
    <t>Lipsa Tripathy</t>
  </si>
  <si>
    <t>09-04-2024</t>
  </si>
  <si>
    <t>CAND0036</t>
  </si>
  <si>
    <t>18-04-2024</t>
  </si>
  <si>
    <t>CAND0037</t>
  </si>
  <si>
    <t>CAND0038</t>
  </si>
  <si>
    <t>06-07-2024</t>
  </si>
  <si>
    <t>CAND0039</t>
  </si>
  <si>
    <t>Subhasree Sahu</t>
  </si>
  <si>
    <t>05-01-2024</t>
  </si>
  <si>
    <t>CAND0040</t>
  </si>
  <si>
    <t>19-10-2024</t>
  </si>
  <si>
    <t>CAND0041</t>
  </si>
  <si>
    <t>19-07-2024</t>
  </si>
  <si>
    <t>CAND0042</t>
  </si>
  <si>
    <t>Lipsa Mohapatra</t>
  </si>
  <si>
    <t>29-07-2024</t>
  </si>
  <si>
    <t>CAND0043</t>
  </si>
  <si>
    <t>29-09-2023</t>
  </si>
  <si>
    <t>CAND0044</t>
  </si>
  <si>
    <t>Debasmita Parida</t>
  </si>
  <si>
    <t>03-08-2023</t>
  </si>
  <si>
    <t>CAND0045</t>
  </si>
  <si>
    <t>24-08-2024</t>
  </si>
  <si>
    <t>CAND0046</t>
  </si>
  <si>
    <t>CAND0047</t>
  </si>
  <si>
    <t>Namita Parida</t>
  </si>
  <si>
    <t>CAND0048</t>
  </si>
  <si>
    <t>Rahul Mohapatra</t>
  </si>
  <si>
    <t>23-06-2023</t>
  </si>
  <si>
    <t>CAND0049</t>
  </si>
  <si>
    <t>Tapas Mohapatra</t>
  </si>
  <si>
    <t>03-02-2024</t>
  </si>
  <si>
    <t>CAND0050</t>
  </si>
  <si>
    <t>Abhishek Mishra</t>
  </si>
  <si>
    <t>06-06-2023</t>
  </si>
  <si>
    <t>CAND0051</t>
  </si>
  <si>
    <t>Soumya Biswal</t>
  </si>
  <si>
    <t>CAND0052</t>
  </si>
  <si>
    <t>Saurav Mishra</t>
  </si>
  <si>
    <t>CAND0053</t>
  </si>
  <si>
    <t>26-05-2023</t>
  </si>
  <si>
    <t>CAND0054</t>
  </si>
  <si>
    <t>15-09-2023</t>
  </si>
  <si>
    <t>CAND0055</t>
  </si>
  <si>
    <t>20-09-2023</t>
  </si>
  <si>
    <t>CAND0056</t>
  </si>
  <si>
    <t>Amlan Mishra</t>
  </si>
  <si>
    <t>04-02-2023</t>
  </si>
  <si>
    <t>CAND0057</t>
  </si>
  <si>
    <t>02-11-2023</t>
  </si>
  <si>
    <t>CAND0058</t>
  </si>
  <si>
    <t>CAND0059</t>
  </si>
  <si>
    <t>CAND0060</t>
  </si>
  <si>
    <t>05-02-2024</t>
  </si>
  <si>
    <t>CAND0061</t>
  </si>
  <si>
    <t>CAND0062</t>
  </si>
  <si>
    <t>Rahul Routray</t>
  </si>
  <si>
    <t>17-12-2024</t>
  </si>
  <si>
    <t>CAND0063</t>
  </si>
  <si>
    <t>Subhasree Mohapatra</t>
  </si>
  <si>
    <t>14-01-2024</t>
  </si>
  <si>
    <t>CAND0064</t>
  </si>
  <si>
    <t>CAND0065</t>
  </si>
  <si>
    <t>CAND0066</t>
  </si>
  <si>
    <t>CAND0067</t>
  </si>
  <si>
    <t>CAND0068</t>
  </si>
  <si>
    <t>Bikash Choudhury</t>
  </si>
  <si>
    <t>01-02-2024</t>
  </si>
  <si>
    <t>CAND0069</t>
  </si>
  <si>
    <t>Alka Samal</t>
  </si>
  <si>
    <t>30-05-2023</t>
  </si>
  <si>
    <t>CAND0070</t>
  </si>
  <si>
    <t>23-05-2024</t>
  </si>
  <si>
    <t>CAND0071</t>
  </si>
  <si>
    <t>CAND0072</t>
  </si>
  <si>
    <t>27-05-2023</t>
  </si>
  <si>
    <t>CAND0073</t>
  </si>
  <si>
    <t>CAND0074</t>
  </si>
  <si>
    <t>25-11-2024</t>
  </si>
  <si>
    <t>CAND0075</t>
  </si>
  <si>
    <t>Aditya Mohapatra</t>
  </si>
  <si>
    <t>08-04-2023</t>
  </si>
  <si>
    <t>CAND0076</t>
  </si>
  <si>
    <t>Rajan Mohapatra</t>
  </si>
  <si>
    <t>CAND0077</t>
  </si>
  <si>
    <t>13-06-2023</t>
  </si>
  <si>
    <t>CAND0078</t>
  </si>
  <si>
    <t>Subhasree Mishra</t>
  </si>
  <si>
    <t>04-06-2023</t>
  </si>
  <si>
    <t>CAND0079</t>
  </si>
  <si>
    <t>Smita Mishra</t>
  </si>
  <si>
    <t>CAND0080</t>
  </si>
  <si>
    <t>CAND0081</t>
  </si>
  <si>
    <t>CAND0082</t>
  </si>
  <si>
    <t>Namita Senapati</t>
  </si>
  <si>
    <t>02-12-2024</t>
  </si>
  <si>
    <t>CAND0083</t>
  </si>
  <si>
    <t>CAND0084</t>
  </si>
  <si>
    <t>04-10-2023</t>
  </si>
  <si>
    <t>CAND0085</t>
  </si>
  <si>
    <t>Bikash Pattnaik</t>
  </si>
  <si>
    <t>CAND0086</t>
  </si>
  <si>
    <t>12-08-2023</t>
  </si>
  <si>
    <t>CAND0087</t>
  </si>
  <si>
    <t>CAND0088</t>
  </si>
  <si>
    <t>Nirmal Nanda</t>
  </si>
  <si>
    <t>CAND0089</t>
  </si>
  <si>
    <t>05-05-2023</t>
  </si>
  <si>
    <t>CAND0090</t>
  </si>
  <si>
    <t>31-01-2023</t>
  </si>
  <si>
    <t>CAND0091</t>
  </si>
  <si>
    <t>CAND0092</t>
  </si>
  <si>
    <t>CAND0093</t>
  </si>
  <si>
    <t>CAND0094</t>
  </si>
  <si>
    <t>22-05-2023</t>
  </si>
  <si>
    <t>CAND0095</t>
  </si>
  <si>
    <t>Sangita Pattnaik</t>
  </si>
  <si>
    <t>CAND0096</t>
  </si>
  <si>
    <t>Amlan Prusty</t>
  </si>
  <si>
    <t>20-04-2023</t>
  </si>
  <si>
    <t>CAND0097</t>
  </si>
  <si>
    <t>08-11-2024</t>
  </si>
  <si>
    <t>CAND0098</t>
  </si>
  <si>
    <t>Smita Choudhury</t>
  </si>
  <si>
    <t>02-02-2024</t>
  </si>
  <si>
    <t>CAND0099</t>
  </si>
  <si>
    <t>10-02-2024</t>
  </si>
  <si>
    <t>CAND0100</t>
  </si>
  <si>
    <t>Smita Ratha</t>
  </si>
  <si>
    <t>03-03-2024</t>
  </si>
  <si>
    <t>CAND0101</t>
  </si>
  <si>
    <t>03-06-2023</t>
  </si>
  <si>
    <t>CAND0102</t>
  </si>
  <si>
    <t>CAND0103</t>
  </si>
  <si>
    <t>Rajan Ratha</t>
  </si>
  <si>
    <t>19-06-2024</t>
  </si>
  <si>
    <t>CAND0104</t>
  </si>
  <si>
    <t>Prasant Tripathy</t>
  </si>
  <si>
    <t>26-06-2024</t>
  </si>
  <si>
    <t>CAND0105</t>
  </si>
  <si>
    <t>CAND0106</t>
  </si>
  <si>
    <t>CAND0107</t>
  </si>
  <si>
    <t>CAND0108</t>
  </si>
  <si>
    <t>14-12-2024</t>
  </si>
  <si>
    <t>CAND0109</t>
  </si>
  <si>
    <t>CAND0110</t>
  </si>
  <si>
    <t>Barsha Jena</t>
  </si>
  <si>
    <t>16-03-2023</t>
  </si>
  <si>
    <t>CAND0111</t>
  </si>
  <si>
    <t>22-12-2023</t>
  </si>
  <si>
    <t>CAND0112</t>
  </si>
  <si>
    <t>23-02-2023</t>
  </si>
  <si>
    <t>CAND0113</t>
  </si>
  <si>
    <t>Ankita Sahoo</t>
  </si>
  <si>
    <t>CAND0114</t>
  </si>
  <si>
    <t>04-05-2023</t>
  </si>
  <si>
    <t>CAND0115</t>
  </si>
  <si>
    <t>CAND0116</t>
  </si>
  <si>
    <t>Jyotirmayee Biswal</t>
  </si>
  <si>
    <t>CAND0117</t>
  </si>
  <si>
    <t>18-07-2023</t>
  </si>
  <si>
    <t>CAND0118</t>
  </si>
  <si>
    <t>15-11-2023</t>
  </si>
  <si>
    <t>CAND0119</t>
  </si>
  <si>
    <t>CAND0120</t>
  </si>
  <si>
    <t>Sangita Tripathy</t>
  </si>
  <si>
    <t>15-04-2024</t>
  </si>
  <si>
    <t>CAND0121</t>
  </si>
  <si>
    <t>12-11-2024</t>
  </si>
  <si>
    <t>CAND0122</t>
  </si>
  <si>
    <t>24-04-2023</t>
  </si>
  <si>
    <t>CAND0123</t>
  </si>
  <si>
    <t>16-11-2023</t>
  </si>
  <si>
    <t>CAND0124</t>
  </si>
  <si>
    <t>18-03-2024</t>
  </si>
  <si>
    <t>CAND0125</t>
  </si>
  <si>
    <t>22-06-2023</t>
  </si>
  <si>
    <t>CAND0126</t>
  </si>
  <si>
    <t>08-06-2024</t>
  </si>
  <si>
    <t>CAND0127</t>
  </si>
  <si>
    <t>Lipsa Mishra</t>
  </si>
  <si>
    <t>CAND0128</t>
  </si>
  <si>
    <t>31-10-2024</t>
  </si>
  <si>
    <t>CAND0129</t>
  </si>
  <si>
    <t>Nirmal Prusty</t>
  </si>
  <si>
    <t>CAND0130</t>
  </si>
  <si>
    <t>10-04-2023</t>
  </si>
  <si>
    <t>CAND0131</t>
  </si>
  <si>
    <t>04-12-2023</t>
  </si>
  <si>
    <t>CAND0132</t>
  </si>
  <si>
    <t>25-06-2024</t>
  </si>
  <si>
    <t>CAND0133</t>
  </si>
  <si>
    <t>CAND0134</t>
  </si>
  <si>
    <t>27-11-2023</t>
  </si>
  <si>
    <t>CAND0135</t>
  </si>
  <si>
    <t>CAND0136</t>
  </si>
  <si>
    <t>Chinmaya Choudhury</t>
  </si>
  <si>
    <t>11-11-2024</t>
  </si>
  <si>
    <t>CAND0137</t>
  </si>
  <si>
    <t>14-09-2023</t>
  </si>
  <si>
    <t>CAND0138</t>
  </si>
  <si>
    <t>CAND0139</t>
  </si>
  <si>
    <t>CAND0140</t>
  </si>
  <si>
    <t>Smita Sahoo</t>
  </si>
  <si>
    <t>26-01-2023</t>
  </si>
  <si>
    <t>CAND0141</t>
  </si>
  <si>
    <t>Sangita Sahoo</t>
  </si>
  <si>
    <t>20-04-2024</t>
  </si>
  <si>
    <t>CAND0142</t>
  </si>
  <si>
    <t>Nirmal Mahapatra</t>
  </si>
  <si>
    <t>CAND0143</t>
  </si>
  <si>
    <t>Jyotirmayee Choudhury</t>
  </si>
  <si>
    <t>CAND0144</t>
  </si>
  <si>
    <t>12-11-2023</t>
  </si>
  <si>
    <t>CAND0145</t>
  </si>
  <si>
    <t>CAND0146</t>
  </si>
  <si>
    <t>14-06-2024</t>
  </si>
  <si>
    <t>CAND0147</t>
  </si>
  <si>
    <t>Tanmay Dhal</t>
  </si>
  <si>
    <t>16-05-2024</t>
  </si>
  <si>
    <t>CAND0148</t>
  </si>
  <si>
    <t>Lipsa Dhal</t>
  </si>
  <si>
    <t>03-07-2024</t>
  </si>
  <si>
    <t>CAND0149</t>
  </si>
  <si>
    <t>24-11-2024</t>
  </si>
  <si>
    <t>CAND0150</t>
  </si>
  <si>
    <t>30-08-2023</t>
  </si>
  <si>
    <t>CAND0151</t>
  </si>
  <si>
    <t>08-03-2024</t>
  </si>
  <si>
    <t>CAND0152</t>
  </si>
  <si>
    <t>28-06-2023</t>
  </si>
  <si>
    <t>CAND0153</t>
  </si>
  <si>
    <t>CAND0154</t>
  </si>
  <si>
    <t>25-09-2023</t>
  </si>
  <si>
    <t>CAND0155</t>
  </si>
  <si>
    <t>CAND0156</t>
  </si>
  <si>
    <t>Smita Parida</t>
  </si>
  <si>
    <t>06-10-2024</t>
  </si>
  <si>
    <t>CAND0157</t>
  </si>
  <si>
    <t>CAND0158</t>
  </si>
  <si>
    <t>CAND0159</t>
  </si>
  <si>
    <t>CAND0160</t>
  </si>
  <si>
    <t>Satyajit Mohapatra</t>
  </si>
  <si>
    <t>29-09-2024</t>
  </si>
  <si>
    <t>CAND0161</t>
  </si>
  <si>
    <t>Chinmaya Sahoo</t>
  </si>
  <si>
    <t>22-01-2024</t>
  </si>
  <si>
    <t>CAND0162</t>
  </si>
  <si>
    <t>Prasant Jena</t>
  </si>
  <si>
    <t>17-05-2023</t>
  </si>
  <si>
    <t>CAND0163</t>
  </si>
  <si>
    <t>13-02-2023</t>
  </si>
  <si>
    <t>CAND0164</t>
  </si>
  <si>
    <t>CAND0165</t>
  </si>
  <si>
    <t>CAND0166</t>
  </si>
  <si>
    <t>CAND0167</t>
  </si>
  <si>
    <t>27-10-2024</t>
  </si>
  <si>
    <t>CAND0168</t>
  </si>
  <si>
    <t>Jyotirmayee Routray</t>
  </si>
  <si>
    <t>CAND0169</t>
  </si>
  <si>
    <t>CAND0170</t>
  </si>
  <si>
    <t>Sangita Prusty</t>
  </si>
  <si>
    <t>CAND0171</t>
  </si>
  <si>
    <t>CAND0172</t>
  </si>
  <si>
    <t>CAND0173</t>
  </si>
  <si>
    <t>Bikash Tripathy</t>
  </si>
  <si>
    <t>CAND0174</t>
  </si>
  <si>
    <t>17-03-2023</t>
  </si>
  <si>
    <t>CAND0175</t>
  </si>
  <si>
    <t>CAND0176</t>
  </si>
  <si>
    <t>CAND0177</t>
  </si>
  <si>
    <t>09-11-2023</t>
  </si>
  <si>
    <t>CAND0178</t>
  </si>
  <si>
    <t>Rajan Sahoo</t>
  </si>
  <si>
    <t>02-07-2023</t>
  </si>
  <si>
    <t>CAND0179</t>
  </si>
  <si>
    <t>CAND0180</t>
  </si>
  <si>
    <t>Lipsa Parida</t>
  </si>
  <si>
    <t>05-04-2023</t>
  </si>
  <si>
    <t>CAND0181</t>
  </si>
  <si>
    <t>CAND0182</t>
  </si>
  <si>
    <t>CAND0183</t>
  </si>
  <si>
    <t>19-12-2023</t>
  </si>
  <si>
    <t>CAND0184</t>
  </si>
  <si>
    <t>CAND0185</t>
  </si>
  <si>
    <t>CAND0186</t>
  </si>
  <si>
    <t>Debasmita Nanda</t>
  </si>
  <si>
    <t>CAND0187</t>
  </si>
  <si>
    <t>CAND0188</t>
  </si>
  <si>
    <t>CAND0189</t>
  </si>
  <si>
    <t>CAND0190</t>
  </si>
  <si>
    <t>13-09-2023</t>
  </si>
  <si>
    <t>CAND0191</t>
  </si>
  <si>
    <t>CAND0192</t>
  </si>
  <si>
    <t>CAND0193</t>
  </si>
  <si>
    <t>12-10-2023</t>
  </si>
  <si>
    <t>CAND0194</t>
  </si>
  <si>
    <t>Priyanka Padhi</t>
  </si>
  <si>
    <t>CAND0195</t>
  </si>
  <si>
    <t>Abhishek Dhal</t>
  </si>
  <si>
    <t>30-07-2024</t>
  </si>
  <si>
    <t>CAND0196</t>
  </si>
  <si>
    <t>Dibya Choudhury</t>
  </si>
  <si>
    <t>06-05-2024</t>
  </si>
  <si>
    <t>CAND0197</t>
  </si>
  <si>
    <t>Tapas Senapati</t>
  </si>
  <si>
    <t>14-07-2024</t>
  </si>
  <si>
    <t>CAND0198</t>
  </si>
  <si>
    <t>Sangita Mohapatra</t>
  </si>
  <si>
    <t>20-01-2023</t>
  </si>
  <si>
    <t>CAND0199</t>
  </si>
  <si>
    <t>CAND0200</t>
  </si>
  <si>
    <t>CAND0201</t>
  </si>
  <si>
    <t>CAND0202</t>
  </si>
  <si>
    <t>25-01-2024</t>
  </si>
  <si>
    <t>CAND0203</t>
  </si>
  <si>
    <t>CAND0204</t>
  </si>
  <si>
    <t>Rajan Tripathy</t>
  </si>
  <si>
    <t>CAND0205</t>
  </si>
  <si>
    <t>CAND0206</t>
  </si>
  <si>
    <t>29-04-2023</t>
  </si>
  <si>
    <t>CAND0207</t>
  </si>
  <si>
    <t>Tapas Pattnaik</t>
  </si>
  <si>
    <t>CAND0208</t>
  </si>
  <si>
    <t>19-04-2024</t>
  </si>
  <si>
    <t>CAND0209</t>
  </si>
  <si>
    <t>Amlan Mohapatra</t>
  </si>
  <si>
    <t>02-06-2024</t>
  </si>
  <si>
    <t>CAND0210</t>
  </si>
  <si>
    <t>CAND0211</t>
  </si>
  <si>
    <t>Aditya Tripathy</t>
  </si>
  <si>
    <t>10-12-2024</t>
  </si>
  <si>
    <t>CAND0212</t>
  </si>
  <si>
    <t>Nirmal Senapati</t>
  </si>
  <si>
    <t>20-11-2023</t>
  </si>
  <si>
    <t>CAND0213</t>
  </si>
  <si>
    <t>18-02-2024</t>
  </si>
  <si>
    <t>CAND0214</t>
  </si>
  <si>
    <t>CAND0215</t>
  </si>
  <si>
    <t>16-07-2024</t>
  </si>
  <si>
    <t>CAND0216</t>
  </si>
  <si>
    <t>Puspita Sahoo</t>
  </si>
  <si>
    <t>CAND0217</t>
  </si>
  <si>
    <t>27-10-2023</t>
  </si>
  <si>
    <t>CAND0218</t>
  </si>
  <si>
    <t>10-06-2023</t>
  </si>
  <si>
    <t>CAND0219</t>
  </si>
  <si>
    <t>Smita Samal</t>
  </si>
  <si>
    <t>CAND0220</t>
  </si>
  <si>
    <t>CAND0221</t>
  </si>
  <si>
    <t>Bikash Mohapatra</t>
  </si>
  <si>
    <t>CAND0222</t>
  </si>
  <si>
    <t>29-12-2023</t>
  </si>
  <si>
    <t>CAND0223</t>
  </si>
  <si>
    <t>Puspita Mishra</t>
  </si>
  <si>
    <t>02-11-2024</t>
  </si>
  <si>
    <t>CAND0224</t>
  </si>
  <si>
    <t>14-08-2023</t>
  </si>
  <si>
    <t>CAND0225</t>
  </si>
  <si>
    <t>CAND0226</t>
  </si>
  <si>
    <t>09-02-2024</t>
  </si>
  <si>
    <t>CAND0227</t>
  </si>
  <si>
    <t>CAND0228</t>
  </si>
  <si>
    <t>20-12-2024</t>
  </si>
  <si>
    <t>CAND0229</t>
  </si>
  <si>
    <t>CAND0230</t>
  </si>
  <si>
    <t>Rajan Biswal</t>
  </si>
  <si>
    <t>28-07-2024</t>
  </si>
  <si>
    <t>CAND0231</t>
  </si>
  <si>
    <t>CAND0232</t>
  </si>
  <si>
    <t>17-01-2024</t>
  </si>
  <si>
    <t>CAND0233</t>
  </si>
  <si>
    <t>CAND0234</t>
  </si>
  <si>
    <t>CAND0235</t>
  </si>
  <si>
    <t>CAND0236</t>
  </si>
  <si>
    <t>Rajan Nanda</t>
  </si>
  <si>
    <t>06-03-2023</t>
  </si>
  <si>
    <t>CAND0237</t>
  </si>
  <si>
    <t>25-12-2023</t>
  </si>
  <si>
    <t>CAND0238</t>
  </si>
  <si>
    <t>Amlan Tripathy</t>
  </si>
  <si>
    <t>14-11-2023</t>
  </si>
  <si>
    <t>CAND0239</t>
  </si>
  <si>
    <t>Rajan Parida</t>
  </si>
  <si>
    <t>CAND0240</t>
  </si>
  <si>
    <t>Tapas Mahapatra</t>
  </si>
  <si>
    <t>CAND0241</t>
  </si>
  <si>
    <t>28-09-2024</t>
  </si>
  <si>
    <t>CAND0242</t>
  </si>
  <si>
    <t>Smita Padhi</t>
  </si>
  <si>
    <t>CAND0243</t>
  </si>
  <si>
    <t>Alka Parida</t>
  </si>
  <si>
    <t>CAND0244</t>
  </si>
  <si>
    <t>CAND0245</t>
  </si>
  <si>
    <t>14-09-2024</t>
  </si>
  <si>
    <t>CAND0246</t>
  </si>
  <si>
    <t>Satyajit Prusty</t>
  </si>
  <si>
    <t>02-03-2024</t>
  </si>
  <si>
    <t>CAND0247</t>
  </si>
  <si>
    <t>CAND0248</t>
  </si>
  <si>
    <t>Ranjit Senapati</t>
  </si>
  <si>
    <t>13-06-2024</t>
  </si>
  <si>
    <t>CAND0249</t>
  </si>
  <si>
    <t>Satyajit Behura</t>
  </si>
  <si>
    <t>30-10-2023</t>
  </si>
  <si>
    <t>CAND0250</t>
  </si>
  <si>
    <t>Puspita Sahu</t>
  </si>
  <si>
    <t>26-02-2024</t>
  </si>
  <si>
    <t>CAND0251</t>
  </si>
  <si>
    <t>CAND0252</t>
  </si>
  <si>
    <t>15-08-2024</t>
  </si>
  <si>
    <t>CAND0253</t>
  </si>
  <si>
    <t>CAND0254</t>
  </si>
  <si>
    <t>Rahul Padhi</t>
  </si>
  <si>
    <t>29-06-2023</t>
  </si>
  <si>
    <t>CAND0255</t>
  </si>
  <si>
    <t>Ankita Biswal</t>
  </si>
  <si>
    <t>CAND0256</t>
  </si>
  <si>
    <t>Alka Sahu</t>
  </si>
  <si>
    <t>CAND0257</t>
  </si>
  <si>
    <t>CAND0258</t>
  </si>
  <si>
    <t>13-11-2024</t>
  </si>
  <si>
    <t>CAND0259</t>
  </si>
  <si>
    <t>27-07-2024</t>
  </si>
  <si>
    <t>CAND0260</t>
  </si>
  <si>
    <t>Rahul Senapati</t>
  </si>
  <si>
    <t>CAND0261</t>
  </si>
  <si>
    <t>Satyajit Parida</t>
  </si>
  <si>
    <t>22-02-2023</t>
  </si>
  <si>
    <t>CAND0262</t>
  </si>
  <si>
    <t>08-12-2024</t>
  </si>
  <si>
    <t>CAND0263</t>
  </si>
  <si>
    <t>13-03-2024</t>
  </si>
  <si>
    <t>CAND0264</t>
  </si>
  <si>
    <t>Amlan Padhi</t>
  </si>
  <si>
    <t>21-02-2024</t>
  </si>
  <si>
    <t>CAND0265</t>
  </si>
  <si>
    <t>Chinmaya Padhi</t>
  </si>
  <si>
    <t>CAND0266</t>
  </si>
  <si>
    <t>CAND0267</t>
  </si>
  <si>
    <t>CAND0268</t>
  </si>
  <si>
    <t>31-08-2024</t>
  </si>
  <si>
    <t>CAND0269</t>
  </si>
  <si>
    <t>Subhasree Sahoo</t>
  </si>
  <si>
    <t>01-08-2024</t>
  </si>
  <si>
    <t>CAND0270</t>
  </si>
  <si>
    <t>CAND0271</t>
  </si>
  <si>
    <t>CAND0272</t>
  </si>
  <si>
    <t>CAND0273</t>
  </si>
  <si>
    <t>Ipsita Nanda</t>
  </si>
  <si>
    <t>CAND0274</t>
  </si>
  <si>
    <t>25-03-2024</t>
  </si>
  <si>
    <t>CAND0275</t>
  </si>
  <si>
    <t>Dibya Nanda</t>
  </si>
  <si>
    <t>CAND0276</t>
  </si>
  <si>
    <t>Barsha Dhal</t>
  </si>
  <si>
    <t>28-08-2023</t>
  </si>
  <si>
    <t>CAND0277</t>
  </si>
  <si>
    <t>CAND0278</t>
  </si>
  <si>
    <t>CAND0279</t>
  </si>
  <si>
    <t>CAND0280</t>
  </si>
  <si>
    <t>CAND0281</t>
  </si>
  <si>
    <t>CAND0282</t>
  </si>
  <si>
    <t>Debasmita Senapati</t>
  </si>
  <si>
    <t>30-12-2023</t>
  </si>
  <si>
    <t>CAND0283</t>
  </si>
  <si>
    <t>Priyanka Sahu</t>
  </si>
  <si>
    <t>CAND0284</t>
  </si>
  <si>
    <t>14-11-2024</t>
  </si>
  <si>
    <t>CAND0285</t>
  </si>
  <si>
    <t>CAND0286</t>
  </si>
  <si>
    <t>Smita Pattnaik</t>
  </si>
  <si>
    <t>CAND0287</t>
  </si>
  <si>
    <t>CAND0288</t>
  </si>
  <si>
    <t>CAND0289</t>
  </si>
  <si>
    <t>25-10-2023</t>
  </si>
  <si>
    <t>CAND0290</t>
  </si>
  <si>
    <t>Amlan Parida</t>
  </si>
  <si>
    <t>18-11-2024</t>
  </si>
  <si>
    <t>CAND0291</t>
  </si>
  <si>
    <t>Ranjit Prusty</t>
  </si>
  <si>
    <t>15-01-2023</t>
  </si>
  <si>
    <t>CAND0292</t>
  </si>
  <si>
    <t>CAND0293</t>
  </si>
  <si>
    <t>CAND0294</t>
  </si>
  <si>
    <t>CAND0295</t>
  </si>
  <si>
    <t>CAND0296</t>
  </si>
  <si>
    <t>CAND0297</t>
  </si>
  <si>
    <t>CAND0298</t>
  </si>
  <si>
    <t>CAND0299</t>
  </si>
  <si>
    <t>CAND0300</t>
  </si>
  <si>
    <t>Abhishek Sahoo</t>
  </si>
  <si>
    <t>CAND0301</t>
  </si>
  <si>
    <t>Subhasree Nanda</t>
  </si>
  <si>
    <t>30-01-2024</t>
  </si>
  <si>
    <t>CAND0302</t>
  </si>
  <si>
    <t>CAND0303</t>
  </si>
  <si>
    <t>CAND0304</t>
  </si>
  <si>
    <t>Priyanka Parida</t>
  </si>
  <si>
    <t>17-04-2024</t>
  </si>
  <si>
    <t>CAND0305</t>
  </si>
  <si>
    <t>17-07-2023</t>
  </si>
  <si>
    <t>CAND0306</t>
  </si>
  <si>
    <t>CAND0307</t>
  </si>
  <si>
    <t>CAND0308</t>
  </si>
  <si>
    <t>24-05-2023</t>
  </si>
  <si>
    <t>CAND0309</t>
  </si>
  <si>
    <t>CAND0310</t>
  </si>
  <si>
    <t>Saurav Tripathy</t>
  </si>
  <si>
    <t>CAND0311</t>
  </si>
  <si>
    <t>12-07-2024</t>
  </si>
  <si>
    <t>CAND0312</t>
  </si>
  <si>
    <t>05-11-2024</t>
  </si>
  <si>
    <t>CAND0313</t>
  </si>
  <si>
    <t>06-10-2023</t>
  </si>
  <si>
    <t>CAND0314</t>
  </si>
  <si>
    <t>Sudhansu Tripathy</t>
  </si>
  <si>
    <t>CAND0315</t>
  </si>
  <si>
    <t>20-01-2024</t>
  </si>
  <si>
    <t>CAND0316</t>
  </si>
  <si>
    <t>CAND0317</t>
  </si>
  <si>
    <t>10-11-2023</t>
  </si>
  <si>
    <t>CAND0318</t>
  </si>
  <si>
    <t>30-06-2023</t>
  </si>
  <si>
    <t>CAND0319</t>
  </si>
  <si>
    <t>24-01-2023</t>
  </si>
  <si>
    <t>CAND0320</t>
  </si>
  <si>
    <t>CAND0321</t>
  </si>
  <si>
    <t>Chinmaya Routray</t>
  </si>
  <si>
    <t>CAND0322</t>
  </si>
  <si>
    <t>CAND0323</t>
  </si>
  <si>
    <t>CAND0324</t>
  </si>
  <si>
    <t>Abhishek Biswal</t>
  </si>
  <si>
    <t>CAND0325</t>
  </si>
  <si>
    <t>CAND0326</t>
  </si>
  <si>
    <t>CAND0327</t>
  </si>
  <si>
    <t>Aditya Padhi</t>
  </si>
  <si>
    <t>CAND0328</t>
  </si>
  <si>
    <t>CAND0329</t>
  </si>
  <si>
    <t>01-09-2024</t>
  </si>
  <si>
    <t>CAND0330</t>
  </si>
  <si>
    <t>CAND0331</t>
  </si>
  <si>
    <t>CAND0332</t>
  </si>
  <si>
    <t>17-10-2023</t>
  </si>
  <si>
    <t>CAND0333</t>
  </si>
  <si>
    <t>09-08-2024</t>
  </si>
  <si>
    <t>CAND0334</t>
  </si>
  <si>
    <t>CAND0335</t>
  </si>
  <si>
    <t>Barsha Senapati</t>
  </si>
  <si>
    <t>CAND0336</t>
  </si>
  <si>
    <t>Barsha Ratha</t>
  </si>
  <si>
    <t>CAND0337</t>
  </si>
  <si>
    <t>CAND0338</t>
  </si>
  <si>
    <t>Satyajit Routray</t>
  </si>
  <si>
    <t>06-11-2024</t>
  </si>
  <si>
    <t>CAND0339</t>
  </si>
  <si>
    <t>CAND0340</t>
  </si>
  <si>
    <t>Abhishek Jena</t>
  </si>
  <si>
    <t>CAND0341</t>
  </si>
  <si>
    <t>CAND0342</t>
  </si>
  <si>
    <t>08-02-2023</t>
  </si>
  <si>
    <t>CAND0343</t>
  </si>
  <si>
    <t>CAND0344</t>
  </si>
  <si>
    <t>CAND0345</t>
  </si>
  <si>
    <t>CAND0346</t>
  </si>
  <si>
    <t>CAND0347</t>
  </si>
  <si>
    <t>05-12-2024</t>
  </si>
  <si>
    <t>CAND0348</t>
  </si>
  <si>
    <t>Prasant Sahoo</t>
  </si>
  <si>
    <t>10-10-2023</t>
  </si>
  <si>
    <t>CAND0349</t>
  </si>
  <si>
    <t>Nirmal Jena</t>
  </si>
  <si>
    <t>CAND0350</t>
  </si>
  <si>
    <t>CAND0351</t>
  </si>
  <si>
    <t>CAND0352</t>
  </si>
  <si>
    <t>13-11-2023</t>
  </si>
  <si>
    <t>CAND0353</t>
  </si>
  <si>
    <t>Prasant Dhal</t>
  </si>
  <si>
    <t>CAND0354</t>
  </si>
  <si>
    <t>CAND0355</t>
  </si>
  <si>
    <t>Subhasree Routray</t>
  </si>
  <si>
    <t>10-07-2024</t>
  </si>
  <si>
    <t>CAND0356</t>
  </si>
  <si>
    <t>Bikash Sahu</t>
  </si>
  <si>
    <t>CAND0357</t>
  </si>
  <si>
    <t>CAND0358</t>
  </si>
  <si>
    <t>CAND0359</t>
  </si>
  <si>
    <t>CAND0360</t>
  </si>
  <si>
    <t>CAND0361</t>
  </si>
  <si>
    <t>09-06-2023</t>
  </si>
  <si>
    <t>CAND0362</t>
  </si>
  <si>
    <t>Dibya Sahoo</t>
  </si>
  <si>
    <t>CAND0363</t>
  </si>
  <si>
    <t>CAND0364</t>
  </si>
  <si>
    <t>04-02-2024</t>
  </si>
  <si>
    <t>CAND0365</t>
  </si>
  <si>
    <t>CAND0366</t>
  </si>
  <si>
    <t>Tanmay Parida</t>
  </si>
  <si>
    <t>CAND0367</t>
  </si>
  <si>
    <t>CAND0368</t>
  </si>
  <si>
    <t>19-08-2023</t>
  </si>
  <si>
    <t>CAND0369</t>
  </si>
  <si>
    <t>CAND0370</t>
  </si>
  <si>
    <t>26-04-2024</t>
  </si>
  <si>
    <t>CAND0371</t>
  </si>
  <si>
    <t>CAND0372</t>
  </si>
  <si>
    <t>CAND0373</t>
  </si>
  <si>
    <t>Soumya Parida</t>
  </si>
  <si>
    <t>CAND0374</t>
  </si>
  <si>
    <t>CAND0375</t>
  </si>
  <si>
    <t>CAND0376</t>
  </si>
  <si>
    <t>04-07-2024</t>
  </si>
  <si>
    <t>CAND0377</t>
  </si>
  <si>
    <t>Bikash Padhi</t>
  </si>
  <si>
    <t>CAND0378</t>
  </si>
  <si>
    <t>CAND0379</t>
  </si>
  <si>
    <t>CAND0380</t>
  </si>
  <si>
    <t>11-02-2024</t>
  </si>
  <si>
    <t>CAND0381</t>
  </si>
  <si>
    <t>CAND0382</t>
  </si>
  <si>
    <t>14-04-2024</t>
  </si>
  <si>
    <t>CAND0383</t>
  </si>
  <si>
    <t>Bikash Prusty</t>
  </si>
  <si>
    <t>CAND0384</t>
  </si>
  <si>
    <t>CAND0385</t>
  </si>
  <si>
    <t>Tapas Jena</t>
  </si>
  <si>
    <t>CAND0386</t>
  </si>
  <si>
    <t>CAND0387</t>
  </si>
  <si>
    <t>CAND0388</t>
  </si>
  <si>
    <t>Abhishek Samal</t>
  </si>
  <si>
    <t>CAND0389</t>
  </si>
  <si>
    <t>CAND0390</t>
  </si>
  <si>
    <t>Amlan Ratha</t>
  </si>
  <si>
    <t>CAND0391</t>
  </si>
  <si>
    <t>22-08-2023</t>
  </si>
  <si>
    <t>CAND0392</t>
  </si>
  <si>
    <t>14-02-2023</t>
  </si>
  <si>
    <t>CAND0393</t>
  </si>
  <si>
    <t>CAND0394</t>
  </si>
  <si>
    <t>31-01-2024</t>
  </si>
  <si>
    <t>CAND0395</t>
  </si>
  <si>
    <t>CAND0396</t>
  </si>
  <si>
    <t>09-09-2023</t>
  </si>
  <si>
    <t>CAND0397</t>
  </si>
  <si>
    <t>CAND0398</t>
  </si>
  <si>
    <t>CAND0399</t>
  </si>
  <si>
    <t>Lipsa Choudhury</t>
  </si>
  <si>
    <t>CAND0400</t>
  </si>
  <si>
    <t>Tanmay Mahapatra</t>
  </si>
  <si>
    <t>📊 BHUBANESWAR TECH — TEAM &amp; COMPANY KPI METRICS</t>
  </si>
  <si>
    <t>Quarter</t>
  </si>
  <si>
    <t>Year</t>
  </si>
  <si>
    <t>Total_Employees</t>
  </si>
  <si>
    <t>Active_Employees</t>
  </si>
  <si>
    <t>Resigned_Employees</t>
  </si>
  <si>
    <t>Attrition_Pct</t>
  </si>
  <si>
    <t>New_Hires</t>
  </si>
  <si>
    <t>Avg_Performance_Rating</t>
  </si>
  <si>
    <t>Billable_Hours_Total</t>
  </si>
  <si>
    <t>Revenue_Contribution_Lakhs</t>
  </si>
  <si>
    <t>Avg_Salary_Monthly</t>
  </si>
  <si>
    <t>Avg_Interview_Score</t>
  </si>
  <si>
    <t>Q1</t>
  </si>
  <si>
    <t>Q2</t>
  </si>
  <si>
    <t>Q3</t>
  </si>
  <si>
    <t>Q4</t>
  </si>
  <si>
    <t>📋 BHUBANESWAR TECH DATASET — PRACTICE QUESTIONS</t>
  </si>
  <si>
    <t>(9)Create a column 'Performance_Band': Rating ≥ 4.5 → 'Excellent', 3.5–4.4 → 'Good', &lt; 3.5 → 'Needs Improvement'. Use IFS.</t>
  </si>
  <si>
    <t>(10)In Projects sheet, flag projects where Actual_Cost &gt; Budget as 'Over Budget', else 'Within Budget'. Use IF.</t>
  </si>
  <si>
    <t>(11)In Hiring sheet, create 'Salary_Negotiated' column: Yes if Offered_Salary ≠ Expected_Salary, else No.  ( Salary_Negotiated)</t>
  </si>
  <si>
    <t>(12)Flag attendance records where Work_Hours is blank. Use IF + ISBLANK.</t>
  </si>
  <si>
    <t>(13)In KPI sheet, create a column: If Attrition_Pct &gt; 10 → 'High Attrition', else 'Normal'. Use IF.</t>
  </si>
  <si>
    <t>(14)Use IFERROR with VLOOKUP to fetch employee name from Employee_ID in Attendance sheet. Handle errors.</t>
  </si>
  <si>
    <t>(15)Extract the numeric part of Employee_ID (e.g., EMP0001 → 0001). Use MID or RIGHT.</t>
  </si>
  <si>
    <t>(16)Standardize the Department column — some values are lowercase. Use PROPER or UPPER. Create a helper column.</t>
  </si>
  <si>
    <t>(17)Create a full label: 'Saurav Mohapatra | Engineering | TechNova Solutions'. Use CONCAT or &amp;.</t>
  </si>
  <si>
    <t>(18)Extract initials from employee Full_Name (e.g., Saurav Mohapatra → S.M.). Use LEFT + FIND + MID.</t>
  </si>
  <si>
    <t>(19)Standardize the 'Source' column in Hiring sheet (linkedin → LinkedIn, naukri → Naukri). Use IF + UPPER.</t>
  </si>
  <si>
    <t>(20)Find all employees whose surname is 'Mishra'. Use SEARCH or RIGHT in combination with IF.</t>
  </si>
  <si>
    <t>(21)Count characters in Project_Name to identify unusually short names. Use LEN.</t>
  </si>
  <si>
    <t>(22)Calculate tenure (in years) for each employee from their Joining_Date to today. Use DATEDIF.</t>
  </si>
  <si>
    <t>Modified Interview date</t>
  </si>
  <si>
    <t>(23)Extract Month and Year from Interview_Date in Hiring sheet.</t>
  </si>
  <si>
    <t>Modified Deadline</t>
  </si>
  <si>
    <t>(24)Find projects that are overdue: Deadline has passed but Status ≠ 'Completed'. Use TODAY() + IF.</t>
  </si>
  <si>
    <t>Modified Joining Date</t>
  </si>
  <si>
    <t>(25)Calculate working days each employee has been with the company. Use NETWORKDAYS.</t>
  </si>
  <si>
    <t>(26)Find employees who joined in Q1 (Jan–Mar) of any year. Use MONTH() + IF.</t>
  </si>
  <si>
    <t>(27)Calculate the gap between Interview_Date and Joining_Date for placed candidates. Use DATEDIF.</t>
  </si>
  <si>
    <t>(28)For each Attendance record, fetch the Employee's Department using VLOOKUP (from Employees sheet).</t>
  </si>
  <si>
    <t>(29)For each Project, fetch the Lead Employee's Name using XLOOKUP (from Employees sheet).</t>
  </si>
  <si>
    <t>Full_Name (Hiring)</t>
  </si>
  <si>
    <t>Full_Name (employees)</t>
  </si>
  <si>
    <t>(31)Fetch the Designation of each employee who appears in the Hiring sheet as a candidate.</t>
  </si>
  <si>
    <t>(32)Use XLOOKUP with IFERROR to find a Candidate by ID. Return 'Not Found' if not present.</t>
  </si>
  <si>
    <t xml:space="preserve"> </t>
  </si>
  <si>
    <t>SECTION A — AGGREGATE &amp; CONDITIONAL FUNCTIONS</t>
  </si>
  <si>
    <t>Monthly Salary</t>
  </si>
  <si>
    <t>Calculate total monthly salary bill for each Department. Use SUMIF on Employees sheet.</t>
  </si>
  <si>
    <t>Count how many employees have a Performance_Rating above 4.0. Use COUNTIF.</t>
  </si>
  <si>
    <t>Find the average Final Interview Score for candidates hired from 'LinkedIn'. Use AVERAGEIF on Hiring sheet.</t>
  </si>
  <si>
    <t>Calculate total Billable Hours per Company using SUMIF on KPI sheet.</t>
  </si>
  <si>
    <t>Billable Hours_Total</t>
  </si>
  <si>
    <t>Q5</t>
  </si>
  <si>
    <t>Using SUMIFS, find total salary paid to 'Data Science' employees in 'Bhubaneswar' with salary &gt; 50000.</t>
  </si>
  <si>
    <t>Q6</t>
  </si>
  <si>
    <t>Count employees who are 'Active' AND have performance rating ≥ 4.5. Use COUNTIFS.</t>
  </si>
  <si>
    <t>Q7</t>
  </si>
  <si>
    <t>Find the project with the highest Budget. Use MAX + INDEX-MATCH.</t>
  </si>
  <si>
    <t>Q8</t>
  </si>
  <si>
    <t>Calculate average work hours for employees working more than 9 hours/day. Use AVERAGEIF on Attendance sheet.</t>
  </si>
  <si>
    <t>SECTION B — LOGICAL FUNCTIONS</t>
  </si>
  <si>
    <t>Q9</t>
  </si>
  <si>
    <t>Create a column 'Performance_Band': Rating ≥ 4.5 → 'Excellent', 3.5–4.4 → 'Good', &lt; 3.5 → 'Needs Improvement'. Use IFS.</t>
  </si>
  <si>
    <t>Done</t>
  </si>
  <si>
    <t>Q10</t>
  </si>
  <si>
    <t>In Projects sheet, flag projects where Actual_Cost &gt; Budget as 'Over Budget', else 'Within Budget'. Use IF.</t>
  </si>
  <si>
    <t>Q11</t>
  </si>
  <si>
    <t>In Hiring sheet, create 'Salary_Negotiated' column: Yes if Offered_Salary ≠ Expected_Salary, else No.</t>
  </si>
  <si>
    <t>Q12</t>
  </si>
  <si>
    <t>Flag attendance records where Work_Hours is blank. Use IF + ISBLANK.</t>
  </si>
  <si>
    <t>Q13</t>
  </si>
  <si>
    <t>In KPI sheet, create a column: If Attrition_Pct &gt; 10 → 'High Attrition', else 'Normal'. Use IF.</t>
  </si>
  <si>
    <t>Q14</t>
  </si>
  <si>
    <t>Use IFERROR with VLOOKUP to fetch employee name from Employee_ID in Attendance sheet. Handle errors.</t>
  </si>
  <si>
    <t>SECTION C — TEXT FUNCTIONS</t>
  </si>
  <si>
    <t>Q15</t>
  </si>
  <si>
    <t>Extract the numeric part of Employee_ID (e.g., EMP0001 → 0001). Use MID or RIGHT.</t>
  </si>
  <si>
    <t>Q16</t>
  </si>
  <si>
    <t>Standardize the Department column — some values are lowercase. Use PROPER or UPPER. Create a helper column.</t>
  </si>
  <si>
    <t>Q17</t>
  </si>
  <si>
    <t>Create a full label: 'Saurav Mohapatra | Engineering | TechNova Solutions'. Use CONCAT or &amp;.</t>
  </si>
  <si>
    <t>Q18</t>
  </si>
  <si>
    <t>Extract initials from employee Full_Name (e.g., Saurav Mohapatra → S.M.). Use LEFT + FIND + MID.</t>
  </si>
  <si>
    <t>Q19</t>
  </si>
  <si>
    <t>Standardize the 'Source' column in Hiring sheet (linkedin → LinkedIn, naukri → Naukri). Use IF + UPPER.</t>
  </si>
  <si>
    <t>Q20</t>
  </si>
  <si>
    <t>Find all employees whose surname is 'Mishra'. Use SEARCH or RIGHT in combination with IF.</t>
  </si>
  <si>
    <t>Q21</t>
  </si>
  <si>
    <t>Count characters in Project_Name to identify unusually short names. Use LEN.</t>
  </si>
  <si>
    <t>SECTION D — DATE FUNCTIONS</t>
  </si>
  <si>
    <t>Q22</t>
  </si>
  <si>
    <t>Calculate tenure (in years) for each employee from their Joining_Date to today. Use DATEDIF.</t>
  </si>
  <si>
    <t>Q23</t>
  </si>
  <si>
    <t>Extract Month and Year from Interview_Date in Hiring sheet.</t>
  </si>
  <si>
    <t>Q24</t>
  </si>
  <si>
    <t>Find projects that are overdue: Deadline has passed but Status ≠ 'Completed'. Use TODAY() + IF.</t>
  </si>
  <si>
    <t>Q25</t>
  </si>
  <si>
    <t>Calculate working days each employee has been with the company. Use NETWORKDAYS.</t>
  </si>
  <si>
    <t>Q26</t>
  </si>
  <si>
    <t>Find employees who joined in Q1 (Jan–Mar) of any year. Use MONTH() + IF.</t>
  </si>
  <si>
    <t>Q27</t>
  </si>
  <si>
    <t>Calculate the gap between Interview_Date and Joining_Date for placed candidates. Use DATEDIF.</t>
  </si>
  <si>
    <t>SECTION E — LOOKUP FUNCTIONS</t>
  </si>
  <si>
    <t>Q28</t>
  </si>
  <si>
    <t>For each Attendance record, fetch the Employee's Department using VLOOKUP (from Employees sheet).</t>
  </si>
  <si>
    <t>Q29</t>
  </si>
  <si>
    <t>For each Project, fetch the Lead Employee's Name using XLOOKUP (from Employees sheet).</t>
  </si>
  <si>
    <t>Q30</t>
  </si>
  <si>
    <t>Use INDEX-MATCH to find which Company employs the highest-paid employee.</t>
  </si>
  <si>
    <t>Q31</t>
  </si>
  <si>
    <t>Fetch the Designation of each employee who appears in the Hiring sheet as a candidate.</t>
  </si>
  <si>
    <t>Q32</t>
  </si>
  <si>
    <t>Use XLOOKUP with IFERROR to find a Candidate by ID. Return 'Not Found' if not present.</t>
  </si>
  <si>
    <t>SECTION F — PIVOT TABLES &amp; CHARTS</t>
  </si>
  <si>
    <t>Q33</t>
  </si>
  <si>
    <t>Create a Pivot Table: Department vs Average Salary. Which department has the highest average pay?</t>
  </si>
  <si>
    <t>Q34</t>
  </si>
  <si>
    <t>Build a Pivot Table showing Hiring Source vs Offer Acceptance rate.</t>
  </si>
  <si>
    <t>Q35</t>
  </si>
  <si>
    <t>Create a Pivot Chart (Bar) showing Attrition % by Company across 2022–2024.</t>
  </si>
  <si>
    <t>Q36</t>
  </si>
  <si>
    <t>Create a Pivot Table: Project Status count by Technology. Which tech has most cancelled projects?</t>
  </si>
  <si>
    <t>Q37</t>
  </si>
  <si>
    <t>Build a Pivot Chart showing monthly Billable Hours trend per Company (Line Chart).</t>
  </si>
  <si>
    <t>Q38</t>
  </si>
  <si>
    <t>Summarize Attendance: Average Work Hours by Department (requires VLOOKUP to merge sheets first).</t>
  </si>
  <si>
    <t>SECTION G — DASHBOARD PREPARATION</t>
  </si>
  <si>
    <t>Q39</t>
  </si>
  <si>
    <t>Build a summary dashboard card: Total Employees | Active | Resigned | Avg Rating | Avg Salary.</t>
  </si>
  <si>
    <t>Q40</t>
  </si>
  <si>
    <t>Create a Department-wise headcount and salary bubble chart using Pivot Table data.</t>
  </si>
  <si>
    <t>Q41</t>
  </si>
  <si>
    <t>Design a Hiring Funnel: Applications → Round1 Pass → Round2 Pass → Offers → Accepted. Use COUNTIF chain.</t>
  </si>
  <si>
    <t>Q42</t>
  </si>
  <si>
    <t>Apply Conditional Formatting on Employees sheet: Highlight top 10% earners in green, bottom 10% in red.</t>
  </si>
  <si>
    <t>Average of Salary_Monthly</t>
  </si>
  <si>
    <t>(33)Create a Pivot Table: Department vs Average Salary. Which department has the highest average pay?</t>
  </si>
  <si>
    <t>Grand Total</t>
  </si>
  <si>
    <t>Count of Offer_Status</t>
  </si>
  <si>
    <t>Sum of Attrition_Pct</t>
  </si>
  <si>
    <t>Count of Project_ID</t>
  </si>
  <si>
    <t>(36)Create a Pivot Table: Project Status count by Technology. Which tech has most cancelled projects?</t>
  </si>
  <si>
    <t>Helper column</t>
  </si>
  <si>
    <t>Helper column 2</t>
  </si>
  <si>
    <t>Billable hours by department</t>
  </si>
  <si>
    <t>Average of Billable hours by department</t>
  </si>
  <si>
    <t>Count of Employee_ID</t>
  </si>
  <si>
    <t>Count of Employment_Status</t>
  </si>
  <si>
    <t>Average of Performance_Rating</t>
  </si>
  <si>
    <t>Head Count</t>
  </si>
  <si>
    <t>Stage</t>
  </si>
  <si>
    <t>Count of Employee</t>
  </si>
  <si>
    <t>Apllications</t>
  </si>
  <si>
    <t>Round1 Pass</t>
  </si>
  <si>
    <t>Round2 Pass</t>
  </si>
  <si>
    <t>Sum of Billable_Hours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</si>
  <si>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</si>
  <si>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</si>
  <si>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</si>
  <si>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</si>
  <si>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</si>
  <si>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</si>
  <si>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</si>
  <si>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</si>
  <si>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</si>
  <si>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</si>
  <si>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</si>
  <si>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</si>
  <si>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 Term</t>
  </si>
  <si>
    <t>Definition</t>
  </si>
  <si>
    <t>Excel Hint</t>
  </si>
  <si>
    <t>Attrition %</t>
  </si>
  <si>
    <t>Percentage of employees who left the company in a given period</t>
  </si>
  <si>
    <t>Billable Utilization %</t>
  </si>
  <si>
    <t>Hours billed to clients vs total available working hours</t>
  </si>
  <si>
    <t>Billable_Hours / (@Total_Employees *@ Working_Days * 8) * 100</t>
  </si>
  <si>
    <t>Offer Acceptance Rate</t>
  </si>
  <si>
    <t>% of job offers accepted by candidates</t>
  </si>
  <si>
    <t>Revenue per Employee</t>
  </si>
  <si>
    <t>How much revenue each employee generates on average</t>
  </si>
  <si>
    <t>Revenue_Contribution /@ Active_Employees</t>
  </si>
  <si>
    <t>Performance Score</t>
  </si>
  <si>
    <t>Average team performance rating — track per quarter/department</t>
  </si>
  <si>
    <t>Salary Hike %</t>
  </si>
  <si>
    <t>% increase between Expected and Offered salary</t>
  </si>
  <si>
    <t>@Offered_Salary -@ Expected_Salary) /@ Expected_Salary * 100</t>
  </si>
  <si>
    <t>Project Overrun %</t>
  </si>
  <si>
    <t>% of projects where Actual_Cost exceeded Budget</t>
  </si>
  <si>
    <t>On-Time Delivery %</t>
  </si>
  <si>
    <t>% of projects completed on or before deadline</t>
  </si>
  <si>
    <t>Projects where Completion_Date &lt;= Deadline divided by Completed projects</t>
  </si>
  <si>
    <t>Avg Hiring TAT</t>
  </si>
  <si>
    <t>Average days from interview to offer (Turnaround Time)</t>
  </si>
  <si>
    <t>AVERAGEIF on days between Interview_Date and offer date</t>
  </si>
  <si>
    <t>Employee Tenure</t>
  </si>
  <si>
    <t>Average time employees stay before resigning</t>
  </si>
  <si>
    <t>Absenteeism Rate</t>
  </si>
  <si>
    <t>% of working days an employee was absent</t>
  </si>
  <si>
    <t>Avg Work Hours/Day</t>
  </si>
  <si>
    <t>Mean login-to-logout hours across a period</t>
  </si>
  <si>
    <t>Interview Conversion</t>
  </si>
  <si>
    <t>% of candidates who moved from Round 1 to final offer</t>
  </si>
  <si>
    <t>Budget Variance</t>
  </si>
  <si>
    <t>Difference between planned and actual project costs</t>
  </si>
  <si>
    <t>Team Size Adequacy</t>
  </si>
  <si>
    <t>Average team size per project — compare to industry norms</t>
  </si>
  <si>
    <t>Use AVERAGE(Team_Size) filtered by Technology or Company using 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</si>
</sst>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mmmm\ d\,\ yyyy;@"/>
    <numFmt numFmtId="166" formatCode="[$-409]mmmmm\-yy;@"/>
  </numFmts>
  <fonts count="1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3"/>
      <color rgb="FF7030A0"/>
      <name val="Arial"/>
    </font>
    <font>
      <b/>
      <sz val="14"/>
      <color rgb="FF7030A0"/>
      <name val="Arial"/>
    </font>
    <font>
      <b/>
      <sz val="10"/>
      <color rgb="FF7030A0"/>
      <name val="Arial"/>
    </font>
    <font>
      <b/>
      <sz val="10"/>
      <name val="Arial"/>
    </font>
    <font>
      <b/>
      <sz val="11"/>
      <color theme="4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7F3F00"/>
      <name val="Courier New"/>
    </font>
  </fonts>
  <fills count="17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3EAFD"/>
        <bgColor rgb="FFF3EAF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0F5"/>
        <bgColor rgb="FFEDE0F5"/>
      </patternFill>
    </fill>
    <fill>
      <patternFill patternType="solid">
        <fgColor rgb="FFF9F5FF"/>
        <bgColor rgb="FFF9F5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2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Fill="1"/>
    <xf numFmtId="14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0" xfId="0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2" fillId="12" borderId="0" xfId="0" applyFont="1" applyFill="1" applyAlignment="1">
      <alignment vertical="center" wrapText="1"/>
    </xf>
    <xf numFmtId="0" fontId="2" fillId="12" borderId="0" xfId="0" applyFont="1" applyFill="1" applyAlignment="1">
      <alignment wrapText="1"/>
    </xf>
    <xf numFmtId="165" fontId="0" fillId="0" borderId="0" xfId="0" applyNumberFormat="1" applyAlignment="1">
      <alignment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14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9" fillId="15" borderId="0" xfId="0" applyFont="1" applyFill="1" applyAlignment="1">
      <alignment wrapText="1"/>
    </xf>
    <xf numFmtId="0" fontId="9" fillId="15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6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  <xf numFmtId="0" fontId="9" fillId="16" borderId="0" xfId="0" applyFont="1" applyFill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6" fontId="0" fillId="3" borderId="1" xfId="0" applyNumberFormat="1" applyFill="1" applyBorder="1"/>
    <xf numFmtId="165" fontId="0" fillId="3" borderId="1" xfId="0" applyNumberFormat="1" applyFill="1" applyBorder="1"/>
    <xf numFmtId="2" fontId="0" fillId="0" borderId="0" xfId="0" applyNumberFormat="1"/>
    <xf numFmtId="0" fontId="9" fillId="16" borderId="0" xfId="0" applyFont="1" applyFill="1" applyAlignment="1">
      <alignment horizontal="center"/>
    </xf>
    <xf numFmtId="0" fontId="9" fillId="1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2" fontId="2" fillId="9" borderId="0" xfId="0" applyNumberFormat="1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/>
    <xf numFmtId="0" fontId="0" fillId="0" borderId="0" xfId="0" applyAlignment="1"/>
    <xf numFmtId="0" fontId="5" fillId="5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% by company Across 2022-2024</a:t>
            </a:r>
          </a:p>
        </c:rich>
      </c:tx>
      <c:overlay val="0"/>
      <c:spPr>
        <a:solidFill>
          <a:srgbClr val="C6591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8CBAD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'35'!$B$3:$B$4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833C0C"/>
            </a:solidFill>
            <a:ln>
              <a:noFill/>
            </a:ln>
            <a:effectLst/>
          </c:spPr>
          <c:invertIfNegative val="0"/>
          <c:cat>
            <c:strRef>
              <c:f>'35'!$A$5:$A$17</c:f>
              <c:strCache>
                <c:ptCount val="12"/>
                <c:pt idx="0">
                  <c:v>BlueLotus IT</c:v>
                </c:pt>
                <c:pt idx="1">
                  <c:v>CoastalDev Studio</c:v>
                </c:pt>
                <c:pt idx="2">
                  <c:v>InfySoft Bhubaneswar</c:v>
                </c:pt>
                <c:pt idx="3">
                  <c:v>KalingaTech Pvt Ltd</c:v>
                </c:pt>
                <c:pt idx="4">
                  <c:v>NilGiri Digitals</c:v>
                </c:pt>
                <c:pt idx="5">
                  <c:v>OdishaCode Labs</c:v>
                </c:pt>
                <c:pt idx="6">
                  <c:v>SambalpurNet</c:v>
                </c:pt>
                <c:pt idx="7">
                  <c:v>SilverByte Systems</c:v>
                </c:pt>
                <c:pt idx="8">
                  <c:v>TechNova Solutions</c:v>
                </c:pt>
                <c:pt idx="9">
                  <c:v>TributeAI</c:v>
                </c:pt>
                <c:pt idx="10">
                  <c:v>UtkalSoft Technologies</c:v>
                </c:pt>
                <c:pt idx="11">
                  <c:v>ZeroOneSystems</c:v>
                </c:pt>
              </c:strCache>
            </c:strRef>
          </c:cat>
          <c:val>
            <c:numRef>
              <c:f>'35'!$B$5:$B$17</c:f>
              <c:numCache>
                <c:formatCode>General</c:formatCode>
                <c:ptCount val="12"/>
                <c:pt idx="0">
                  <c:v>6.76</c:v>
                </c:pt>
                <c:pt idx="1">
                  <c:v>22.599999999999998</c:v>
                </c:pt>
                <c:pt idx="2">
                  <c:v>33.29</c:v>
                </c:pt>
                <c:pt idx="4">
                  <c:v>6.43</c:v>
                </c:pt>
                <c:pt idx="5">
                  <c:v>14.379999999999999</c:v>
                </c:pt>
                <c:pt idx="6">
                  <c:v>15.87</c:v>
                </c:pt>
                <c:pt idx="7">
                  <c:v>7.43</c:v>
                </c:pt>
                <c:pt idx="8">
                  <c:v>31.200000000000003</c:v>
                </c:pt>
                <c:pt idx="9">
                  <c:v>4.49</c:v>
                </c:pt>
                <c:pt idx="10">
                  <c:v>6.63</c:v>
                </c:pt>
                <c:pt idx="11">
                  <c:v>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D-4A35-AFD6-4BD13694A9EF}"/>
            </c:ext>
          </c:extLst>
        </c:ser>
        <c:ser>
          <c:idx val="1"/>
          <c:order val="1"/>
          <c:tx>
            <c:strRef>
              <c:f>'35'!$C$3:$C$4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'35'!$A$5:$A$17</c:f>
              <c:strCache>
                <c:ptCount val="12"/>
                <c:pt idx="0">
                  <c:v>BlueLotus IT</c:v>
                </c:pt>
                <c:pt idx="1">
                  <c:v>CoastalDev Studio</c:v>
                </c:pt>
                <c:pt idx="2">
                  <c:v>InfySoft Bhubaneswar</c:v>
                </c:pt>
                <c:pt idx="3">
                  <c:v>KalingaTech Pvt Ltd</c:v>
                </c:pt>
                <c:pt idx="4">
                  <c:v>NilGiri Digitals</c:v>
                </c:pt>
                <c:pt idx="5">
                  <c:v>OdishaCode Labs</c:v>
                </c:pt>
                <c:pt idx="6">
                  <c:v>SambalpurNet</c:v>
                </c:pt>
                <c:pt idx="7">
                  <c:v>SilverByte Systems</c:v>
                </c:pt>
                <c:pt idx="8">
                  <c:v>TechNova Solutions</c:v>
                </c:pt>
                <c:pt idx="9">
                  <c:v>TributeAI</c:v>
                </c:pt>
                <c:pt idx="10">
                  <c:v>UtkalSoft Technologies</c:v>
                </c:pt>
                <c:pt idx="11">
                  <c:v>ZeroOneSystems</c:v>
                </c:pt>
              </c:strCache>
            </c:strRef>
          </c:cat>
          <c:val>
            <c:numRef>
              <c:f>'35'!$C$5:$C$17</c:f>
              <c:numCache>
                <c:formatCode>General</c:formatCode>
                <c:ptCount val="12"/>
                <c:pt idx="0">
                  <c:v>2.6</c:v>
                </c:pt>
                <c:pt idx="1">
                  <c:v>24.76</c:v>
                </c:pt>
                <c:pt idx="2">
                  <c:v>35.58</c:v>
                </c:pt>
                <c:pt idx="4">
                  <c:v>67.509999999999991</c:v>
                </c:pt>
                <c:pt idx="5">
                  <c:v>40</c:v>
                </c:pt>
                <c:pt idx="6">
                  <c:v>12.16</c:v>
                </c:pt>
                <c:pt idx="7">
                  <c:v>5.6</c:v>
                </c:pt>
                <c:pt idx="8">
                  <c:v>7.92</c:v>
                </c:pt>
                <c:pt idx="9">
                  <c:v>10.06</c:v>
                </c:pt>
                <c:pt idx="10">
                  <c:v>16.39</c:v>
                </c:pt>
                <c:pt idx="11">
                  <c:v>16.53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9-4279-A3D0-F4CFC4FEF1C9}"/>
            </c:ext>
          </c:extLst>
        </c:ser>
        <c:ser>
          <c:idx val="2"/>
          <c:order val="2"/>
          <c:tx>
            <c:strRef>
              <c:f>'35'!$D$3:$D$4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'35'!$A$5:$A$17</c:f>
              <c:strCache>
                <c:ptCount val="12"/>
                <c:pt idx="0">
                  <c:v>BlueLotus IT</c:v>
                </c:pt>
                <c:pt idx="1">
                  <c:v>CoastalDev Studio</c:v>
                </c:pt>
                <c:pt idx="2">
                  <c:v>InfySoft Bhubaneswar</c:v>
                </c:pt>
                <c:pt idx="3">
                  <c:v>KalingaTech Pvt Ltd</c:v>
                </c:pt>
                <c:pt idx="4">
                  <c:v>NilGiri Digitals</c:v>
                </c:pt>
                <c:pt idx="5">
                  <c:v>OdishaCode Labs</c:v>
                </c:pt>
                <c:pt idx="6">
                  <c:v>SambalpurNet</c:v>
                </c:pt>
                <c:pt idx="7">
                  <c:v>SilverByte Systems</c:v>
                </c:pt>
                <c:pt idx="8">
                  <c:v>TechNova Solutions</c:v>
                </c:pt>
                <c:pt idx="9">
                  <c:v>TributeAI</c:v>
                </c:pt>
                <c:pt idx="10">
                  <c:v>UtkalSoft Technologies</c:v>
                </c:pt>
                <c:pt idx="11">
                  <c:v>ZeroOneSystems</c:v>
                </c:pt>
              </c:strCache>
            </c:strRef>
          </c:cat>
          <c:val>
            <c:numRef>
              <c:f>'35'!$D$5:$D$17</c:f>
              <c:numCache>
                <c:formatCode>General</c:formatCode>
                <c:ptCount val="12"/>
                <c:pt idx="0">
                  <c:v>24.68</c:v>
                </c:pt>
                <c:pt idx="1">
                  <c:v>2.2200000000000002</c:v>
                </c:pt>
                <c:pt idx="2">
                  <c:v>12.45</c:v>
                </c:pt>
                <c:pt idx="3">
                  <c:v>31.919999999999998</c:v>
                </c:pt>
                <c:pt idx="4">
                  <c:v>12.5</c:v>
                </c:pt>
                <c:pt idx="5">
                  <c:v>9.3000000000000007</c:v>
                </c:pt>
                <c:pt idx="6">
                  <c:v>26.98</c:v>
                </c:pt>
                <c:pt idx="7">
                  <c:v>7.81</c:v>
                </c:pt>
                <c:pt idx="8">
                  <c:v>0.71</c:v>
                </c:pt>
                <c:pt idx="9">
                  <c:v>47.32</c:v>
                </c:pt>
                <c:pt idx="10">
                  <c:v>8.4700000000000006</c:v>
                </c:pt>
                <c:pt idx="11">
                  <c:v>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9-4279-A3D0-F4CFC4FEF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917768"/>
        <c:axId val="1628919816"/>
      </c:barChart>
      <c:catAx>
        <c:axId val="162891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9816"/>
        <c:crosses val="autoZero"/>
        <c:auto val="1"/>
        <c:lblAlgn val="ctr"/>
        <c:lblOffset val="100"/>
        <c:noMultiLvlLbl val="0"/>
      </c:catAx>
      <c:valAx>
        <c:axId val="162891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75717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776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2.xlsx]39!PivotTable1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Employee_ID</a:t>
            </a:r>
          </a:p>
        </c:rich>
      </c:tx>
      <c:overlay val="0"/>
      <c:spPr>
        <a:solidFill>
          <a:srgbClr val="F4B084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'39'!$A$4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'39'!$A$4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9-4F88-BA94-6E098FA32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343367"/>
        <c:axId val="1499346951"/>
      </c:barChart>
      <c:catAx>
        <c:axId val="149934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6951"/>
        <c:crosses val="autoZero"/>
        <c:auto val="1"/>
        <c:lblAlgn val="ctr"/>
        <c:lblOffset val="100"/>
        <c:noMultiLvlLbl val="0"/>
      </c:catAx>
      <c:valAx>
        <c:axId val="1499346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2.xlsx]39!PivotTable4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Employment Active status</a:t>
            </a:r>
          </a:p>
        </c:rich>
      </c:tx>
      <c:overlay val="0"/>
      <c:spPr>
        <a:solidFill>
          <a:srgbClr val="A9D08E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3C0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33C0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'39'!$C$3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3C0C"/>
            </a:solidFill>
          </c:spPr>
          <c:dPt>
            <c:idx val="0"/>
            <c:bubble3D val="0"/>
            <c:spPr>
              <a:solidFill>
                <a:srgbClr val="833C0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7F-45E0-8FC2-377E1F58FF32}"/>
              </c:ext>
            </c:extLst>
          </c:dPt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|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'39'!$C$4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'39'!$C$4</c:f>
              <c:numCache>
                <c:formatCode>General</c:formatCode>
                <c:ptCount val="1"/>
                <c:pt idx="0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A-4529-9A8E-6A390F0D2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2.xlsx]39!PivotTable5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Employment Resigned Status</a:t>
            </a:r>
          </a:p>
        </c:rich>
      </c:tx>
      <c:overlay val="0"/>
      <c:spPr>
        <a:solidFill>
          <a:srgbClr val="F4B084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'39'!$F$3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30549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87-4544-B656-16D68222648E}"/>
              </c:ext>
            </c:extLst>
          </c:dPt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'39'!$F$4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'39'!$F$4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D45-A34F-9498DCC56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2.xlsx]39!PivotTable6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Performance Rating</a:t>
            </a:r>
          </a:p>
        </c:rich>
      </c:tx>
      <c:overlay val="0"/>
      <c:spPr>
        <a:solidFill>
          <a:srgbClr val="FFD96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'39'!$J$3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'39'!$I$4:$I$604</c:f>
              <c:strCache>
                <c:ptCount val="600"/>
                <c:pt idx="0">
                  <c:v>EMP0001</c:v>
                </c:pt>
                <c:pt idx="1">
                  <c:v>EMP0002</c:v>
                </c:pt>
                <c:pt idx="2">
                  <c:v>EMP0003</c:v>
                </c:pt>
                <c:pt idx="3">
                  <c:v>EMP0004</c:v>
                </c:pt>
                <c:pt idx="4">
                  <c:v>EMP0005</c:v>
                </c:pt>
                <c:pt idx="5">
                  <c:v>EMP0006</c:v>
                </c:pt>
                <c:pt idx="6">
                  <c:v>EMP0007</c:v>
                </c:pt>
                <c:pt idx="7">
                  <c:v>EMP0008</c:v>
                </c:pt>
                <c:pt idx="8">
                  <c:v>EMP0009</c:v>
                </c:pt>
                <c:pt idx="9">
                  <c:v>EMP0010</c:v>
                </c:pt>
                <c:pt idx="10">
                  <c:v>EMP0011</c:v>
                </c:pt>
                <c:pt idx="11">
                  <c:v>EMP0012</c:v>
                </c:pt>
                <c:pt idx="12">
                  <c:v>EMP0013</c:v>
                </c:pt>
                <c:pt idx="13">
                  <c:v>EMP0014</c:v>
                </c:pt>
                <c:pt idx="14">
                  <c:v>EMP0015</c:v>
                </c:pt>
                <c:pt idx="15">
                  <c:v>EMP0016</c:v>
                </c:pt>
                <c:pt idx="16">
                  <c:v>EMP0017</c:v>
                </c:pt>
                <c:pt idx="17">
                  <c:v>EMP0018</c:v>
                </c:pt>
                <c:pt idx="18">
                  <c:v>EMP0019</c:v>
                </c:pt>
                <c:pt idx="19">
                  <c:v>EMP0020</c:v>
                </c:pt>
                <c:pt idx="20">
                  <c:v>EMP0021</c:v>
                </c:pt>
                <c:pt idx="21">
                  <c:v>EMP0022</c:v>
                </c:pt>
                <c:pt idx="22">
                  <c:v>EMP0023</c:v>
                </c:pt>
                <c:pt idx="23">
                  <c:v>EMP0024</c:v>
                </c:pt>
                <c:pt idx="24">
                  <c:v>EMP0025</c:v>
                </c:pt>
                <c:pt idx="25">
                  <c:v>EMP0026</c:v>
                </c:pt>
                <c:pt idx="26">
                  <c:v>EMP0027</c:v>
                </c:pt>
                <c:pt idx="27">
                  <c:v>EMP0028</c:v>
                </c:pt>
                <c:pt idx="28">
                  <c:v>EMP0029</c:v>
                </c:pt>
                <c:pt idx="29">
                  <c:v>EMP0030</c:v>
                </c:pt>
                <c:pt idx="30">
                  <c:v>EMP0031</c:v>
                </c:pt>
                <c:pt idx="31">
                  <c:v>EMP0032</c:v>
                </c:pt>
                <c:pt idx="32">
                  <c:v>EMP0033</c:v>
                </c:pt>
                <c:pt idx="33">
                  <c:v>EMP0034</c:v>
                </c:pt>
                <c:pt idx="34">
                  <c:v>EMP0035</c:v>
                </c:pt>
                <c:pt idx="35">
                  <c:v>EMP0036</c:v>
                </c:pt>
                <c:pt idx="36">
                  <c:v>EMP0037</c:v>
                </c:pt>
                <c:pt idx="37">
                  <c:v>EMP0038</c:v>
                </c:pt>
                <c:pt idx="38">
                  <c:v>EMP0039</c:v>
                </c:pt>
                <c:pt idx="39">
                  <c:v>EMP0040</c:v>
                </c:pt>
                <c:pt idx="40">
                  <c:v>EMP0041</c:v>
                </c:pt>
                <c:pt idx="41">
                  <c:v>EMP0042</c:v>
                </c:pt>
                <c:pt idx="42">
                  <c:v>EMP0043</c:v>
                </c:pt>
                <c:pt idx="43">
                  <c:v>EMP0044</c:v>
                </c:pt>
                <c:pt idx="44">
                  <c:v>EMP0045</c:v>
                </c:pt>
                <c:pt idx="45">
                  <c:v>EMP0046</c:v>
                </c:pt>
                <c:pt idx="46">
                  <c:v>EMP0047</c:v>
                </c:pt>
                <c:pt idx="47">
                  <c:v>EMP0048</c:v>
                </c:pt>
                <c:pt idx="48">
                  <c:v>EMP0049</c:v>
                </c:pt>
                <c:pt idx="49">
                  <c:v>EMP0050</c:v>
                </c:pt>
                <c:pt idx="50">
                  <c:v>EMP0051</c:v>
                </c:pt>
                <c:pt idx="51">
                  <c:v>EMP0052</c:v>
                </c:pt>
                <c:pt idx="52">
                  <c:v>EMP0053</c:v>
                </c:pt>
                <c:pt idx="53">
                  <c:v>EMP0054</c:v>
                </c:pt>
                <c:pt idx="54">
                  <c:v>EMP0055</c:v>
                </c:pt>
                <c:pt idx="55">
                  <c:v>EMP0056</c:v>
                </c:pt>
                <c:pt idx="56">
                  <c:v>EMP0057</c:v>
                </c:pt>
                <c:pt idx="57">
                  <c:v>EMP0058</c:v>
                </c:pt>
                <c:pt idx="58">
                  <c:v>EMP0059</c:v>
                </c:pt>
                <c:pt idx="59">
                  <c:v>EMP0060</c:v>
                </c:pt>
                <c:pt idx="60">
                  <c:v>EMP0061</c:v>
                </c:pt>
                <c:pt idx="61">
                  <c:v>EMP0062</c:v>
                </c:pt>
                <c:pt idx="62">
                  <c:v>EMP0063</c:v>
                </c:pt>
                <c:pt idx="63">
                  <c:v>EMP0064</c:v>
                </c:pt>
                <c:pt idx="64">
                  <c:v>EMP0065</c:v>
                </c:pt>
                <c:pt idx="65">
                  <c:v>EMP0066</c:v>
                </c:pt>
                <c:pt idx="66">
                  <c:v>EMP0067</c:v>
                </c:pt>
                <c:pt idx="67">
                  <c:v>EMP0068</c:v>
                </c:pt>
                <c:pt idx="68">
                  <c:v>EMP0069</c:v>
                </c:pt>
                <c:pt idx="69">
                  <c:v>EMP0070</c:v>
                </c:pt>
                <c:pt idx="70">
                  <c:v>EMP0071</c:v>
                </c:pt>
                <c:pt idx="71">
                  <c:v>EMP0072</c:v>
                </c:pt>
                <c:pt idx="72">
                  <c:v>EMP0073</c:v>
                </c:pt>
                <c:pt idx="73">
                  <c:v>EMP0074</c:v>
                </c:pt>
                <c:pt idx="74">
                  <c:v>EMP0075</c:v>
                </c:pt>
                <c:pt idx="75">
                  <c:v>EMP0076</c:v>
                </c:pt>
                <c:pt idx="76">
                  <c:v>EMP0077</c:v>
                </c:pt>
                <c:pt idx="77">
                  <c:v>EMP0078</c:v>
                </c:pt>
                <c:pt idx="78">
                  <c:v>EMP0079</c:v>
                </c:pt>
                <c:pt idx="79">
                  <c:v>EMP0080</c:v>
                </c:pt>
                <c:pt idx="80">
                  <c:v>EMP0081</c:v>
                </c:pt>
                <c:pt idx="81">
                  <c:v>EMP0082</c:v>
                </c:pt>
                <c:pt idx="82">
                  <c:v>EMP0083</c:v>
                </c:pt>
                <c:pt idx="83">
                  <c:v>EMP0084</c:v>
                </c:pt>
                <c:pt idx="84">
                  <c:v>EMP0085</c:v>
                </c:pt>
                <c:pt idx="85">
                  <c:v>EMP0086</c:v>
                </c:pt>
                <c:pt idx="86">
                  <c:v>EMP0087</c:v>
                </c:pt>
                <c:pt idx="87">
                  <c:v>EMP0088</c:v>
                </c:pt>
                <c:pt idx="88">
                  <c:v>EMP0089</c:v>
                </c:pt>
                <c:pt idx="89">
                  <c:v>EMP0090</c:v>
                </c:pt>
                <c:pt idx="90">
                  <c:v>EMP0091</c:v>
                </c:pt>
                <c:pt idx="91">
                  <c:v>EMP0092</c:v>
                </c:pt>
                <c:pt idx="92">
                  <c:v>EMP0093</c:v>
                </c:pt>
                <c:pt idx="93">
                  <c:v>EMP0094</c:v>
                </c:pt>
                <c:pt idx="94">
                  <c:v>EMP0095</c:v>
                </c:pt>
                <c:pt idx="95">
                  <c:v>EMP0096</c:v>
                </c:pt>
                <c:pt idx="96">
                  <c:v>EMP0097</c:v>
                </c:pt>
                <c:pt idx="97">
                  <c:v>EMP0098</c:v>
                </c:pt>
                <c:pt idx="98">
                  <c:v>EMP0099</c:v>
                </c:pt>
                <c:pt idx="99">
                  <c:v>EMP0100</c:v>
                </c:pt>
                <c:pt idx="100">
                  <c:v>EMP0101</c:v>
                </c:pt>
                <c:pt idx="101">
                  <c:v>EMP0102</c:v>
                </c:pt>
                <c:pt idx="102">
                  <c:v>EMP0103</c:v>
                </c:pt>
                <c:pt idx="103">
                  <c:v>EMP0104</c:v>
                </c:pt>
                <c:pt idx="104">
                  <c:v>EMP0105</c:v>
                </c:pt>
                <c:pt idx="105">
                  <c:v>EMP0106</c:v>
                </c:pt>
                <c:pt idx="106">
                  <c:v>EMP0107</c:v>
                </c:pt>
                <c:pt idx="107">
                  <c:v>EMP0108</c:v>
                </c:pt>
                <c:pt idx="108">
                  <c:v>EMP0109</c:v>
                </c:pt>
                <c:pt idx="109">
                  <c:v>EMP0110</c:v>
                </c:pt>
                <c:pt idx="110">
                  <c:v>EMP0111</c:v>
                </c:pt>
                <c:pt idx="111">
                  <c:v>EMP0112</c:v>
                </c:pt>
                <c:pt idx="112">
                  <c:v>EMP0113</c:v>
                </c:pt>
                <c:pt idx="113">
                  <c:v>EMP0114</c:v>
                </c:pt>
                <c:pt idx="114">
                  <c:v>EMP0115</c:v>
                </c:pt>
                <c:pt idx="115">
                  <c:v>EMP0116</c:v>
                </c:pt>
                <c:pt idx="116">
                  <c:v>EMP0117</c:v>
                </c:pt>
                <c:pt idx="117">
                  <c:v>EMP0118</c:v>
                </c:pt>
                <c:pt idx="118">
                  <c:v>EMP0119</c:v>
                </c:pt>
                <c:pt idx="119">
                  <c:v>EMP0120</c:v>
                </c:pt>
                <c:pt idx="120">
                  <c:v>EMP0121</c:v>
                </c:pt>
                <c:pt idx="121">
                  <c:v>EMP0122</c:v>
                </c:pt>
                <c:pt idx="122">
                  <c:v>EMP0123</c:v>
                </c:pt>
                <c:pt idx="123">
                  <c:v>EMP0124</c:v>
                </c:pt>
                <c:pt idx="124">
                  <c:v>EMP0125</c:v>
                </c:pt>
                <c:pt idx="125">
                  <c:v>EMP0126</c:v>
                </c:pt>
                <c:pt idx="126">
                  <c:v>EMP0127</c:v>
                </c:pt>
                <c:pt idx="127">
                  <c:v>EMP0128</c:v>
                </c:pt>
                <c:pt idx="128">
                  <c:v>EMP0129</c:v>
                </c:pt>
                <c:pt idx="129">
                  <c:v>EMP0130</c:v>
                </c:pt>
                <c:pt idx="130">
                  <c:v>EMP0131</c:v>
                </c:pt>
                <c:pt idx="131">
                  <c:v>EMP0132</c:v>
                </c:pt>
                <c:pt idx="132">
                  <c:v>EMP0133</c:v>
                </c:pt>
                <c:pt idx="133">
                  <c:v>EMP0134</c:v>
                </c:pt>
                <c:pt idx="134">
                  <c:v>EMP0135</c:v>
                </c:pt>
                <c:pt idx="135">
                  <c:v>EMP0136</c:v>
                </c:pt>
                <c:pt idx="136">
                  <c:v>EMP0137</c:v>
                </c:pt>
                <c:pt idx="137">
                  <c:v>EMP0138</c:v>
                </c:pt>
                <c:pt idx="138">
                  <c:v>EMP0139</c:v>
                </c:pt>
                <c:pt idx="139">
                  <c:v>EMP0140</c:v>
                </c:pt>
                <c:pt idx="140">
                  <c:v>EMP0141</c:v>
                </c:pt>
                <c:pt idx="141">
                  <c:v>EMP0142</c:v>
                </c:pt>
                <c:pt idx="142">
                  <c:v>EMP0143</c:v>
                </c:pt>
                <c:pt idx="143">
                  <c:v>EMP0144</c:v>
                </c:pt>
                <c:pt idx="144">
                  <c:v>EMP0145</c:v>
                </c:pt>
                <c:pt idx="145">
                  <c:v>EMP0146</c:v>
                </c:pt>
                <c:pt idx="146">
                  <c:v>EMP0147</c:v>
                </c:pt>
                <c:pt idx="147">
                  <c:v>EMP0148</c:v>
                </c:pt>
                <c:pt idx="148">
                  <c:v>EMP0149</c:v>
                </c:pt>
                <c:pt idx="149">
                  <c:v>EMP0150</c:v>
                </c:pt>
                <c:pt idx="150">
                  <c:v>EMP0151</c:v>
                </c:pt>
                <c:pt idx="151">
                  <c:v>EMP0152</c:v>
                </c:pt>
                <c:pt idx="152">
                  <c:v>EMP0153</c:v>
                </c:pt>
                <c:pt idx="153">
                  <c:v>EMP0154</c:v>
                </c:pt>
                <c:pt idx="154">
                  <c:v>EMP0155</c:v>
                </c:pt>
                <c:pt idx="155">
                  <c:v>EMP0156</c:v>
                </c:pt>
                <c:pt idx="156">
                  <c:v>EMP0157</c:v>
                </c:pt>
                <c:pt idx="157">
                  <c:v>EMP0158</c:v>
                </c:pt>
                <c:pt idx="158">
                  <c:v>EMP0159</c:v>
                </c:pt>
                <c:pt idx="159">
                  <c:v>EMP0160</c:v>
                </c:pt>
                <c:pt idx="160">
                  <c:v>EMP0161</c:v>
                </c:pt>
                <c:pt idx="161">
                  <c:v>EMP0162</c:v>
                </c:pt>
                <c:pt idx="162">
                  <c:v>EMP0163</c:v>
                </c:pt>
                <c:pt idx="163">
                  <c:v>EMP0164</c:v>
                </c:pt>
                <c:pt idx="164">
                  <c:v>EMP0165</c:v>
                </c:pt>
                <c:pt idx="165">
                  <c:v>EMP0166</c:v>
                </c:pt>
                <c:pt idx="166">
                  <c:v>EMP0167</c:v>
                </c:pt>
                <c:pt idx="167">
                  <c:v>EMP0168</c:v>
                </c:pt>
                <c:pt idx="168">
                  <c:v>EMP0169</c:v>
                </c:pt>
                <c:pt idx="169">
                  <c:v>EMP0170</c:v>
                </c:pt>
                <c:pt idx="170">
                  <c:v>EMP0171</c:v>
                </c:pt>
                <c:pt idx="171">
                  <c:v>EMP0172</c:v>
                </c:pt>
                <c:pt idx="172">
                  <c:v>EMP0173</c:v>
                </c:pt>
                <c:pt idx="173">
                  <c:v>EMP0174</c:v>
                </c:pt>
                <c:pt idx="174">
                  <c:v>EMP0175</c:v>
                </c:pt>
                <c:pt idx="175">
                  <c:v>EMP0176</c:v>
                </c:pt>
                <c:pt idx="176">
                  <c:v>EMP0177</c:v>
                </c:pt>
                <c:pt idx="177">
                  <c:v>EMP0178</c:v>
                </c:pt>
                <c:pt idx="178">
                  <c:v>EMP0179</c:v>
                </c:pt>
                <c:pt idx="179">
                  <c:v>EMP0180</c:v>
                </c:pt>
                <c:pt idx="180">
                  <c:v>EMP0181</c:v>
                </c:pt>
                <c:pt idx="181">
                  <c:v>EMP0182</c:v>
                </c:pt>
                <c:pt idx="182">
                  <c:v>EMP0183</c:v>
                </c:pt>
                <c:pt idx="183">
                  <c:v>EMP0184</c:v>
                </c:pt>
                <c:pt idx="184">
                  <c:v>EMP0185</c:v>
                </c:pt>
                <c:pt idx="185">
                  <c:v>EMP0186</c:v>
                </c:pt>
                <c:pt idx="186">
                  <c:v>EMP0187</c:v>
                </c:pt>
                <c:pt idx="187">
                  <c:v>EMP0188</c:v>
                </c:pt>
                <c:pt idx="188">
                  <c:v>EMP0189</c:v>
                </c:pt>
                <c:pt idx="189">
                  <c:v>EMP0190</c:v>
                </c:pt>
                <c:pt idx="190">
                  <c:v>EMP0191</c:v>
                </c:pt>
                <c:pt idx="191">
                  <c:v>EMP0192</c:v>
                </c:pt>
                <c:pt idx="192">
                  <c:v>EMP0193</c:v>
                </c:pt>
                <c:pt idx="193">
                  <c:v>EMP0194</c:v>
                </c:pt>
                <c:pt idx="194">
                  <c:v>EMP0195</c:v>
                </c:pt>
                <c:pt idx="195">
                  <c:v>EMP0196</c:v>
                </c:pt>
                <c:pt idx="196">
                  <c:v>EMP0197</c:v>
                </c:pt>
                <c:pt idx="197">
                  <c:v>EMP0198</c:v>
                </c:pt>
                <c:pt idx="198">
                  <c:v>EMP0199</c:v>
                </c:pt>
                <c:pt idx="199">
                  <c:v>EMP0200</c:v>
                </c:pt>
                <c:pt idx="200">
                  <c:v>EMP0201</c:v>
                </c:pt>
                <c:pt idx="201">
                  <c:v>EMP0202</c:v>
                </c:pt>
                <c:pt idx="202">
                  <c:v>EMP0203</c:v>
                </c:pt>
                <c:pt idx="203">
                  <c:v>EMP0204</c:v>
                </c:pt>
                <c:pt idx="204">
                  <c:v>EMP0205</c:v>
                </c:pt>
                <c:pt idx="205">
                  <c:v>EMP0206</c:v>
                </c:pt>
                <c:pt idx="206">
                  <c:v>EMP0207</c:v>
                </c:pt>
                <c:pt idx="207">
                  <c:v>EMP0208</c:v>
                </c:pt>
                <c:pt idx="208">
                  <c:v>EMP0209</c:v>
                </c:pt>
                <c:pt idx="209">
                  <c:v>EMP0210</c:v>
                </c:pt>
                <c:pt idx="210">
                  <c:v>EMP0211</c:v>
                </c:pt>
                <c:pt idx="211">
                  <c:v>EMP0212</c:v>
                </c:pt>
                <c:pt idx="212">
                  <c:v>EMP0213</c:v>
                </c:pt>
                <c:pt idx="213">
                  <c:v>EMP0214</c:v>
                </c:pt>
                <c:pt idx="214">
                  <c:v>EMP0215</c:v>
                </c:pt>
                <c:pt idx="215">
                  <c:v>EMP0216</c:v>
                </c:pt>
                <c:pt idx="216">
                  <c:v>EMP0217</c:v>
                </c:pt>
                <c:pt idx="217">
                  <c:v>EMP0218</c:v>
                </c:pt>
                <c:pt idx="218">
                  <c:v>EMP0219</c:v>
                </c:pt>
                <c:pt idx="219">
                  <c:v>EMP0220</c:v>
                </c:pt>
                <c:pt idx="220">
                  <c:v>EMP0221</c:v>
                </c:pt>
                <c:pt idx="221">
                  <c:v>EMP0222</c:v>
                </c:pt>
                <c:pt idx="222">
                  <c:v>EMP0223</c:v>
                </c:pt>
                <c:pt idx="223">
                  <c:v>EMP0224</c:v>
                </c:pt>
                <c:pt idx="224">
                  <c:v>EMP0225</c:v>
                </c:pt>
                <c:pt idx="225">
                  <c:v>EMP0226</c:v>
                </c:pt>
                <c:pt idx="226">
                  <c:v>EMP0227</c:v>
                </c:pt>
                <c:pt idx="227">
                  <c:v>EMP0228</c:v>
                </c:pt>
                <c:pt idx="228">
                  <c:v>EMP0229</c:v>
                </c:pt>
                <c:pt idx="229">
                  <c:v>EMP0230</c:v>
                </c:pt>
                <c:pt idx="230">
                  <c:v>EMP0231</c:v>
                </c:pt>
                <c:pt idx="231">
                  <c:v>EMP0232</c:v>
                </c:pt>
                <c:pt idx="232">
                  <c:v>EMP0233</c:v>
                </c:pt>
                <c:pt idx="233">
                  <c:v>EMP0234</c:v>
                </c:pt>
                <c:pt idx="234">
                  <c:v>EMP0235</c:v>
                </c:pt>
                <c:pt idx="235">
                  <c:v>EMP0236</c:v>
                </c:pt>
                <c:pt idx="236">
                  <c:v>EMP0237</c:v>
                </c:pt>
                <c:pt idx="237">
                  <c:v>EMP0238</c:v>
                </c:pt>
                <c:pt idx="238">
                  <c:v>EMP0239</c:v>
                </c:pt>
                <c:pt idx="239">
                  <c:v>EMP0240</c:v>
                </c:pt>
                <c:pt idx="240">
                  <c:v>EMP0241</c:v>
                </c:pt>
                <c:pt idx="241">
                  <c:v>EMP0242</c:v>
                </c:pt>
                <c:pt idx="242">
                  <c:v>EMP0243</c:v>
                </c:pt>
                <c:pt idx="243">
                  <c:v>EMP0244</c:v>
                </c:pt>
                <c:pt idx="244">
                  <c:v>EMP0245</c:v>
                </c:pt>
                <c:pt idx="245">
                  <c:v>EMP0246</c:v>
                </c:pt>
                <c:pt idx="246">
                  <c:v>EMP0247</c:v>
                </c:pt>
                <c:pt idx="247">
                  <c:v>EMP0248</c:v>
                </c:pt>
                <c:pt idx="248">
                  <c:v>EMP0249</c:v>
                </c:pt>
                <c:pt idx="249">
                  <c:v>EMP0250</c:v>
                </c:pt>
                <c:pt idx="250">
                  <c:v>EMP0251</c:v>
                </c:pt>
                <c:pt idx="251">
                  <c:v>EMP0252</c:v>
                </c:pt>
                <c:pt idx="252">
                  <c:v>EMP0253</c:v>
                </c:pt>
                <c:pt idx="253">
                  <c:v>EMP0254</c:v>
                </c:pt>
                <c:pt idx="254">
                  <c:v>EMP0255</c:v>
                </c:pt>
                <c:pt idx="255">
                  <c:v>EMP0256</c:v>
                </c:pt>
                <c:pt idx="256">
                  <c:v>EMP0257</c:v>
                </c:pt>
                <c:pt idx="257">
                  <c:v>EMP0258</c:v>
                </c:pt>
                <c:pt idx="258">
                  <c:v>EMP0259</c:v>
                </c:pt>
                <c:pt idx="259">
                  <c:v>EMP0260</c:v>
                </c:pt>
                <c:pt idx="260">
                  <c:v>EMP0261</c:v>
                </c:pt>
                <c:pt idx="261">
                  <c:v>EMP0262</c:v>
                </c:pt>
                <c:pt idx="262">
                  <c:v>EMP0263</c:v>
                </c:pt>
                <c:pt idx="263">
                  <c:v>EMP0264</c:v>
                </c:pt>
                <c:pt idx="264">
                  <c:v>EMP0265</c:v>
                </c:pt>
                <c:pt idx="265">
                  <c:v>EMP0266</c:v>
                </c:pt>
                <c:pt idx="266">
                  <c:v>EMP0267</c:v>
                </c:pt>
                <c:pt idx="267">
                  <c:v>EMP0268</c:v>
                </c:pt>
                <c:pt idx="268">
                  <c:v>EMP0269</c:v>
                </c:pt>
                <c:pt idx="269">
                  <c:v>EMP0270</c:v>
                </c:pt>
                <c:pt idx="270">
                  <c:v>EMP0271</c:v>
                </c:pt>
                <c:pt idx="271">
                  <c:v>EMP0272</c:v>
                </c:pt>
                <c:pt idx="272">
                  <c:v>EMP0273</c:v>
                </c:pt>
                <c:pt idx="273">
                  <c:v>EMP0274</c:v>
                </c:pt>
                <c:pt idx="274">
                  <c:v>EMP0275</c:v>
                </c:pt>
                <c:pt idx="275">
                  <c:v>EMP0276</c:v>
                </c:pt>
                <c:pt idx="276">
                  <c:v>EMP0277</c:v>
                </c:pt>
                <c:pt idx="277">
                  <c:v>EMP0278</c:v>
                </c:pt>
                <c:pt idx="278">
                  <c:v>EMP0279</c:v>
                </c:pt>
                <c:pt idx="279">
                  <c:v>EMP0280</c:v>
                </c:pt>
                <c:pt idx="280">
                  <c:v>EMP0281</c:v>
                </c:pt>
                <c:pt idx="281">
                  <c:v>EMP0282</c:v>
                </c:pt>
                <c:pt idx="282">
                  <c:v>EMP0283</c:v>
                </c:pt>
                <c:pt idx="283">
                  <c:v>EMP0284</c:v>
                </c:pt>
                <c:pt idx="284">
                  <c:v>EMP0285</c:v>
                </c:pt>
                <c:pt idx="285">
                  <c:v>EMP0286</c:v>
                </c:pt>
                <c:pt idx="286">
                  <c:v>EMP0287</c:v>
                </c:pt>
                <c:pt idx="287">
                  <c:v>EMP0288</c:v>
                </c:pt>
                <c:pt idx="288">
                  <c:v>EMP0289</c:v>
                </c:pt>
                <c:pt idx="289">
                  <c:v>EMP0290</c:v>
                </c:pt>
                <c:pt idx="290">
                  <c:v>EMP0291</c:v>
                </c:pt>
                <c:pt idx="291">
                  <c:v>EMP0292</c:v>
                </c:pt>
                <c:pt idx="292">
                  <c:v>EMP0293</c:v>
                </c:pt>
                <c:pt idx="293">
                  <c:v>EMP0294</c:v>
                </c:pt>
                <c:pt idx="294">
                  <c:v>EMP0295</c:v>
                </c:pt>
                <c:pt idx="295">
                  <c:v>EMP0296</c:v>
                </c:pt>
                <c:pt idx="296">
                  <c:v>EMP0297</c:v>
                </c:pt>
                <c:pt idx="297">
                  <c:v>EMP0298</c:v>
                </c:pt>
                <c:pt idx="298">
                  <c:v>EMP0299</c:v>
                </c:pt>
                <c:pt idx="299">
                  <c:v>EMP0300</c:v>
                </c:pt>
                <c:pt idx="300">
                  <c:v>EMP0301</c:v>
                </c:pt>
                <c:pt idx="301">
                  <c:v>EMP0302</c:v>
                </c:pt>
                <c:pt idx="302">
                  <c:v>EMP0303</c:v>
                </c:pt>
                <c:pt idx="303">
                  <c:v>EMP0304</c:v>
                </c:pt>
                <c:pt idx="304">
                  <c:v>EMP0305</c:v>
                </c:pt>
                <c:pt idx="305">
                  <c:v>EMP0306</c:v>
                </c:pt>
                <c:pt idx="306">
                  <c:v>EMP0307</c:v>
                </c:pt>
                <c:pt idx="307">
                  <c:v>EMP0308</c:v>
                </c:pt>
                <c:pt idx="308">
                  <c:v>EMP0309</c:v>
                </c:pt>
                <c:pt idx="309">
                  <c:v>EMP0310</c:v>
                </c:pt>
                <c:pt idx="310">
                  <c:v>EMP0311</c:v>
                </c:pt>
                <c:pt idx="311">
                  <c:v>EMP0312</c:v>
                </c:pt>
                <c:pt idx="312">
                  <c:v>EMP0313</c:v>
                </c:pt>
                <c:pt idx="313">
                  <c:v>EMP0314</c:v>
                </c:pt>
                <c:pt idx="314">
                  <c:v>EMP0315</c:v>
                </c:pt>
                <c:pt idx="315">
                  <c:v>EMP0316</c:v>
                </c:pt>
                <c:pt idx="316">
                  <c:v>EMP0317</c:v>
                </c:pt>
                <c:pt idx="317">
                  <c:v>EMP0318</c:v>
                </c:pt>
                <c:pt idx="318">
                  <c:v>EMP0319</c:v>
                </c:pt>
                <c:pt idx="319">
                  <c:v>EMP0320</c:v>
                </c:pt>
                <c:pt idx="320">
                  <c:v>EMP0321</c:v>
                </c:pt>
                <c:pt idx="321">
                  <c:v>EMP0322</c:v>
                </c:pt>
                <c:pt idx="322">
                  <c:v>EMP0323</c:v>
                </c:pt>
                <c:pt idx="323">
                  <c:v>EMP0324</c:v>
                </c:pt>
                <c:pt idx="324">
                  <c:v>EMP0325</c:v>
                </c:pt>
                <c:pt idx="325">
                  <c:v>EMP0326</c:v>
                </c:pt>
                <c:pt idx="326">
                  <c:v>EMP0327</c:v>
                </c:pt>
                <c:pt idx="327">
                  <c:v>EMP0328</c:v>
                </c:pt>
                <c:pt idx="328">
                  <c:v>EMP0329</c:v>
                </c:pt>
                <c:pt idx="329">
                  <c:v>EMP0330</c:v>
                </c:pt>
                <c:pt idx="330">
                  <c:v>EMP0331</c:v>
                </c:pt>
                <c:pt idx="331">
                  <c:v>EMP0332</c:v>
                </c:pt>
                <c:pt idx="332">
                  <c:v>EMP0333</c:v>
                </c:pt>
                <c:pt idx="333">
                  <c:v>EMP0334</c:v>
                </c:pt>
                <c:pt idx="334">
                  <c:v>EMP0335</c:v>
                </c:pt>
                <c:pt idx="335">
                  <c:v>EMP0336</c:v>
                </c:pt>
                <c:pt idx="336">
                  <c:v>EMP0337</c:v>
                </c:pt>
                <c:pt idx="337">
                  <c:v>EMP0338</c:v>
                </c:pt>
                <c:pt idx="338">
                  <c:v>EMP0339</c:v>
                </c:pt>
                <c:pt idx="339">
                  <c:v>EMP0340</c:v>
                </c:pt>
                <c:pt idx="340">
                  <c:v>EMP0341</c:v>
                </c:pt>
                <c:pt idx="341">
                  <c:v>EMP0342</c:v>
                </c:pt>
                <c:pt idx="342">
                  <c:v>EMP0343</c:v>
                </c:pt>
                <c:pt idx="343">
                  <c:v>EMP0344</c:v>
                </c:pt>
                <c:pt idx="344">
                  <c:v>EMP0345</c:v>
                </c:pt>
                <c:pt idx="345">
                  <c:v>EMP0346</c:v>
                </c:pt>
                <c:pt idx="346">
                  <c:v>EMP0347</c:v>
                </c:pt>
                <c:pt idx="347">
                  <c:v>EMP0348</c:v>
                </c:pt>
                <c:pt idx="348">
                  <c:v>EMP0349</c:v>
                </c:pt>
                <c:pt idx="349">
                  <c:v>EMP0350</c:v>
                </c:pt>
                <c:pt idx="350">
                  <c:v>EMP0351</c:v>
                </c:pt>
                <c:pt idx="351">
                  <c:v>EMP0352</c:v>
                </c:pt>
                <c:pt idx="352">
                  <c:v>EMP0353</c:v>
                </c:pt>
                <c:pt idx="353">
                  <c:v>EMP0354</c:v>
                </c:pt>
                <c:pt idx="354">
                  <c:v>EMP0355</c:v>
                </c:pt>
                <c:pt idx="355">
                  <c:v>EMP0356</c:v>
                </c:pt>
                <c:pt idx="356">
                  <c:v>EMP0357</c:v>
                </c:pt>
                <c:pt idx="357">
                  <c:v>EMP0358</c:v>
                </c:pt>
                <c:pt idx="358">
                  <c:v>EMP0359</c:v>
                </c:pt>
                <c:pt idx="359">
                  <c:v>EMP0360</c:v>
                </c:pt>
                <c:pt idx="360">
                  <c:v>EMP0361</c:v>
                </c:pt>
                <c:pt idx="361">
                  <c:v>EMP0362</c:v>
                </c:pt>
                <c:pt idx="362">
                  <c:v>EMP0363</c:v>
                </c:pt>
                <c:pt idx="363">
                  <c:v>EMP0364</c:v>
                </c:pt>
                <c:pt idx="364">
                  <c:v>EMP0365</c:v>
                </c:pt>
                <c:pt idx="365">
                  <c:v>EMP0366</c:v>
                </c:pt>
                <c:pt idx="366">
                  <c:v>EMP0367</c:v>
                </c:pt>
                <c:pt idx="367">
                  <c:v>EMP0368</c:v>
                </c:pt>
                <c:pt idx="368">
                  <c:v>EMP0369</c:v>
                </c:pt>
                <c:pt idx="369">
                  <c:v>EMP0370</c:v>
                </c:pt>
                <c:pt idx="370">
                  <c:v>EMP0371</c:v>
                </c:pt>
                <c:pt idx="371">
                  <c:v>EMP0372</c:v>
                </c:pt>
                <c:pt idx="372">
                  <c:v>EMP0373</c:v>
                </c:pt>
                <c:pt idx="373">
                  <c:v>EMP0374</c:v>
                </c:pt>
                <c:pt idx="374">
                  <c:v>EMP0375</c:v>
                </c:pt>
                <c:pt idx="375">
                  <c:v>EMP0376</c:v>
                </c:pt>
                <c:pt idx="376">
                  <c:v>EMP0377</c:v>
                </c:pt>
                <c:pt idx="377">
                  <c:v>EMP0378</c:v>
                </c:pt>
                <c:pt idx="378">
                  <c:v>EMP0379</c:v>
                </c:pt>
                <c:pt idx="379">
                  <c:v>EMP0380</c:v>
                </c:pt>
                <c:pt idx="380">
                  <c:v>EMP0381</c:v>
                </c:pt>
                <c:pt idx="381">
                  <c:v>EMP0382</c:v>
                </c:pt>
                <c:pt idx="382">
                  <c:v>EMP0383</c:v>
                </c:pt>
                <c:pt idx="383">
                  <c:v>EMP0384</c:v>
                </c:pt>
                <c:pt idx="384">
                  <c:v>EMP0385</c:v>
                </c:pt>
                <c:pt idx="385">
                  <c:v>EMP0386</c:v>
                </c:pt>
                <c:pt idx="386">
                  <c:v>EMP0387</c:v>
                </c:pt>
                <c:pt idx="387">
                  <c:v>EMP0388</c:v>
                </c:pt>
                <c:pt idx="388">
                  <c:v>EMP0389</c:v>
                </c:pt>
                <c:pt idx="389">
                  <c:v>EMP0390</c:v>
                </c:pt>
                <c:pt idx="390">
                  <c:v>EMP0391</c:v>
                </c:pt>
                <c:pt idx="391">
                  <c:v>EMP0392</c:v>
                </c:pt>
                <c:pt idx="392">
                  <c:v>EMP0393</c:v>
                </c:pt>
                <c:pt idx="393">
                  <c:v>EMP0394</c:v>
                </c:pt>
                <c:pt idx="394">
                  <c:v>EMP0395</c:v>
                </c:pt>
                <c:pt idx="395">
                  <c:v>EMP0396</c:v>
                </c:pt>
                <c:pt idx="396">
                  <c:v>EMP0397</c:v>
                </c:pt>
                <c:pt idx="397">
                  <c:v>EMP0398</c:v>
                </c:pt>
                <c:pt idx="398">
                  <c:v>EMP0399</c:v>
                </c:pt>
                <c:pt idx="399">
                  <c:v>EMP0400</c:v>
                </c:pt>
                <c:pt idx="400">
                  <c:v>EMP0401</c:v>
                </c:pt>
                <c:pt idx="401">
                  <c:v>EMP0402</c:v>
                </c:pt>
                <c:pt idx="402">
                  <c:v>EMP0403</c:v>
                </c:pt>
                <c:pt idx="403">
                  <c:v>EMP0404</c:v>
                </c:pt>
                <c:pt idx="404">
                  <c:v>EMP0405</c:v>
                </c:pt>
                <c:pt idx="405">
                  <c:v>EMP0406</c:v>
                </c:pt>
                <c:pt idx="406">
                  <c:v>EMP0407</c:v>
                </c:pt>
                <c:pt idx="407">
                  <c:v>EMP0408</c:v>
                </c:pt>
                <c:pt idx="408">
                  <c:v>EMP0409</c:v>
                </c:pt>
                <c:pt idx="409">
                  <c:v>EMP0410</c:v>
                </c:pt>
                <c:pt idx="410">
                  <c:v>EMP0411</c:v>
                </c:pt>
                <c:pt idx="411">
                  <c:v>EMP0412</c:v>
                </c:pt>
                <c:pt idx="412">
                  <c:v>EMP0413</c:v>
                </c:pt>
                <c:pt idx="413">
                  <c:v>EMP0414</c:v>
                </c:pt>
                <c:pt idx="414">
                  <c:v>EMP0415</c:v>
                </c:pt>
                <c:pt idx="415">
                  <c:v>EMP0416</c:v>
                </c:pt>
                <c:pt idx="416">
                  <c:v>EMP0417</c:v>
                </c:pt>
                <c:pt idx="417">
                  <c:v>EMP0418</c:v>
                </c:pt>
                <c:pt idx="418">
                  <c:v>EMP0419</c:v>
                </c:pt>
                <c:pt idx="419">
                  <c:v>EMP0420</c:v>
                </c:pt>
                <c:pt idx="420">
                  <c:v>EMP0421</c:v>
                </c:pt>
                <c:pt idx="421">
                  <c:v>EMP0422</c:v>
                </c:pt>
                <c:pt idx="422">
                  <c:v>EMP0423</c:v>
                </c:pt>
                <c:pt idx="423">
                  <c:v>EMP0424</c:v>
                </c:pt>
                <c:pt idx="424">
                  <c:v>EMP0425</c:v>
                </c:pt>
                <c:pt idx="425">
                  <c:v>EMP0426</c:v>
                </c:pt>
                <c:pt idx="426">
                  <c:v>EMP0427</c:v>
                </c:pt>
                <c:pt idx="427">
                  <c:v>EMP0428</c:v>
                </c:pt>
                <c:pt idx="428">
                  <c:v>EMP0429</c:v>
                </c:pt>
                <c:pt idx="429">
                  <c:v>EMP0430</c:v>
                </c:pt>
                <c:pt idx="430">
                  <c:v>EMP0431</c:v>
                </c:pt>
                <c:pt idx="431">
                  <c:v>EMP0432</c:v>
                </c:pt>
                <c:pt idx="432">
                  <c:v>EMP0433</c:v>
                </c:pt>
                <c:pt idx="433">
                  <c:v>EMP0434</c:v>
                </c:pt>
                <c:pt idx="434">
                  <c:v>EMP0435</c:v>
                </c:pt>
                <c:pt idx="435">
                  <c:v>EMP0436</c:v>
                </c:pt>
                <c:pt idx="436">
                  <c:v>EMP0437</c:v>
                </c:pt>
                <c:pt idx="437">
                  <c:v>EMP0438</c:v>
                </c:pt>
                <c:pt idx="438">
                  <c:v>EMP0439</c:v>
                </c:pt>
                <c:pt idx="439">
                  <c:v>EMP0440</c:v>
                </c:pt>
                <c:pt idx="440">
                  <c:v>EMP0441</c:v>
                </c:pt>
                <c:pt idx="441">
                  <c:v>EMP0442</c:v>
                </c:pt>
                <c:pt idx="442">
                  <c:v>EMP0443</c:v>
                </c:pt>
                <c:pt idx="443">
                  <c:v>EMP0444</c:v>
                </c:pt>
                <c:pt idx="444">
                  <c:v>EMP0445</c:v>
                </c:pt>
                <c:pt idx="445">
                  <c:v>EMP0446</c:v>
                </c:pt>
                <c:pt idx="446">
                  <c:v>EMP0447</c:v>
                </c:pt>
                <c:pt idx="447">
                  <c:v>EMP0448</c:v>
                </c:pt>
                <c:pt idx="448">
                  <c:v>EMP0449</c:v>
                </c:pt>
                <c:pt idx="449">
                  <c:v>EMP0450</c:v>
                </c:pt>
                <c:pt idx="450">
                  <c:v>EMP0451</c:v>
                </c:pt>
                <c:pt idx="451">
                  <c:v>EMP0452</c:v>
                </c:pt>
                <c:pt idx="452">
                  <c:v>EMP0453</c:v>
                </c:pt>
                <c:pt idx="453">
                  <c:v>EMP0454</c:v>
                </c:pt>
                <c:pt idx="454">
                  <c:v>EMP0455</c:v>
                </c:pt>
                <c:pt idx="455">
                  <c:v>EMP0456</c:v>
                </c:pt>
                <c:pt idx="456">
                  <c:v>EMP0457</c:v>
                </c:pt>
                <c:pt idx="457">
                  <c:v>EMP0458</c:v>
                </c:pt>
                <c:pt idx="458">
                  <c:v>EMP0459</c:v>
                </c:pt>
                <c:pt idx="459">
                  <c:v>EMP0460</c:v>
                </c:pt>
                <c:pt idx="460">
                  <c:v>EMP0461</c:v>
                </c:pt>
                <c:pt idx="461">
                  <c:v>EMP0462</c:v>
                </c:pt>
                <c:pt idx="462">
                  <c:v>EMP0463</c:v>
                </c:pt>
                <c:pt idx="463">
                  <c:v>EMP0464</c:v>
                </c:pt>
                <c:pt idx="464">
                  <c:v>EMP0465</c:v>
                </c:pt>
                <c:pt idx="465">
                  <c:v>EMP0466</c:v>
                </c:pt>
                <c:pt idx="466">
                  <c:v>EMP0467</c:v>
                </c:pt>
                <c:pt idx="467">
                  <c:v>EMP0468</c:v>
                </c:pt>
                <c:pt idx="468">
                  <c:v>EMP0469</c:v>
                </c:pt>
                <c:pt idx="469">
                  <c:v>EMP0470</c:v>
                </c:pt>
                <c:pt idx="470">
                  <c:v>EMP0471</c:v>
                </c:pt>
                <c:pt idx="471">
                  <c:v>EMP0472</c:v>
                </c:pt>
                <c:pt idx="472">
                  <c:v>EMP0473</c:v>
                </c:pt>
                <c:pt idx="473">
                  <c:v>EMP0474</c:v>
                </c:pt>
                <c:pt idx="474">
                  <c:v>EMP0475</c:v>
                </c:pt>
                <c:pt idx="475">
                  <c:v>EMP0476</c:v>
                </c:pt>
                <c:pt idx="476">
                  <c:v>EMP0477</c:v>
                </c:pt>
                <c:pt idx="477">
                  <c:v>EMP0478</c:v>
                </c:pt>
                <c:pt idx="478">
                  <c:v>EMP0479</c:v>
                </c:pt>
                <c:pt idx="479">
                  <c:v>EMP0480</c:v>
                </c:pt>
                <c:pt idx="480">
                  <c:v>EMP0481</c:v>
                </c:pt>
                <c:pt idx="481">
                  <c:v>EMP0482</c:v>
                </c:pt>
                <c:pt idx="482">
                  <c:v>EMP0483</c:v>
                </c:pt>
                <c:pt idx="483">
                  <c:v>EMP0484</c:v>
                </c:pt>
                <c:pt idx="484">
                  <c:v>EMP0485</c:v>
                </c:pt>
                <c:pt idx="485">
                  <c:v>EMP0486</c:v>
                </c:pt>
                <c:pt idx="486">
                  <c:v>EMP0487</c:v>
                </c:pt>
                <c:pt idx="487">
                  <c:v>EMP0488</c:v>
                </c:pt>
                <c:pt idx="488">
                  <c:v>EMP0489</c:v>
                </c:pt>
                <c:pt idx="489">
                  <c:v>EMP0490</c:v>
                </c:pt>
                <c:pt idx="490">
                  <c:v>EMP0491</c:v>
                </c:pt>
                <c:pt idx="491">
                  <c:v>EMP0492</c:v>
                </c:pt>
                <c:pt idx="492">
                  <c:v>EMP0493</c:v>
                </c:pt>
                <c:pt idx="493">
                  <c:v>EMP0494</c:v>
                </c:pt>
                <c:pt idx="494">
                  <c:v>EMP0495</c:v>
                </c:pt>
                <c:pt idx="495">
                  <c:v>EMP0496</c:v>
                </c:pt>
                <c:pt idx="496">
                  <c:v>EMP0497</c:v>
                </c:pt>
                <c:pt idx="497">
                  <c:v>EMP0498</c:v>
                </c:pt>
                <c:pt idx="498">
                  <c:v>EMP0499</c:v>
                </c:pt>
                <c:pt idx="499">
                  <c:v>EMP0500</c:v>
                </c:pt>
                <c:pt idx="500">
                  <c:v>EMP0501</c:v>
                </c:pt>
                <c:pt idx="501">
                  <c:v>EMP0502</c:v>
                </c:pt>
                <c:pt idx="502">
                  <c:v>EMP0503</c:v>
                </c:pt>
                <c:pt idx="503">
                  <c:v>EMP0504</c:v>
                </c:pt>
                <c:pt idx="504">
                  <c:v>EMP0505</c:v>
                </c:pt>
                <c:pt idx="505">
                  <c:v>EMP0506</c:v>
                </c:pt>
                <c:pt idx="506">
                  <c:v>EMP0507</c:v>
                </c:pt>
                <c:pt idx="507">
                  <c:v>EMP0508</c:v>
                </c:pt>
                <c:pt idx="508">
                  <c:v>EMP0509</c:v>
                </c:pt>
                <c:pt idx="509">
                  <c:v>EMP0510</c:v>
                </c:pt>
                <c:pt idx="510">
                  <c:v>EMP0511</c:v>
                </c:pt>
                <c:pt idx="511">
                  <c:v>EMP0512</c:v>
                </c:pt>
                <c:pt idx="512">
                  <c:v>EMP0513</c:v>
                </c:pt>
                <c:pt idx="513">
                  <c:v>EMP0514</c:v>
                </c:pt>
                <c:pt idx="514">
                  <c:v>EMP0515</c:v>
                </c:pt>
                <c:pt idx="515">
                  <c:v>EMP0516</c:v>
                </c:pt>
                <c:pt idx="516">
                  <c:v>EMP0517</c:v>
                </c:pt>
                <c:pt idx="517">
                  <c:v>EMP0518</c:v>
                </c:pt>
                <c:pt idx="518">
                  <c:v>EMP0519</c:v>
                </c:pt>
                <c:pt idx="519">
                  <c:v>EMP0520</c:v>
                </c:pt>
                <c:pt idx="520">
                  <c:v>EMP0521</c:v>
                </c:pt>
                <c:pt idx="521">
                  <c:v>EMP0522</c:v>
                </c:pt>
                <c:pt idx="522">
                  <c:v>EMP0523</c:v>
                </c:pt>
                <c:pt idx="523">
                  <c:v>EMP0524</c:v>
                </c:pt>
                <c:pt idx="524">
                  <c:v>EMP0525</c:v>
                </c:pt>
                <c:pt idx="525">
                  <c:v>EMP0526</c:v>
                </c:pt>
                <c:pt idx="526">
                  <c:v>EMP0527</c:v>
                </c:pt>
                <c:pt idx="527">
                  <c:v>EMP0528</c:v>
                </c:pt>
                <c:pt idx="528">
                  <c:v>EMP0529</c:v>
                </c:pt>
                <c:pt idx="529">
                  <c:v>EMP0530</c:v>
                </c:pt>
                <c:pt idx="530">
                  <c:v>EMP0531</c:v>
                </c:pt>
                <c:pt idx="531">
                  <c:v>EMP0532</c:v>
                </c:pt>
                <c:pt idx="532">
                  <c:v>EMP0533</c:v>
                </c:pt>
                <c:pt idx="533">
                  <c:v>EMP0534</c:v>
                </c:pt>
                <c:pt idx="534">
                  <c:v>EMP0535</c:v>
                </c:pt>
                <c:pt idx="535">
                  <c:v>EMP0536</c:v>
                </c:pt>
                <c:pt idx="536">
                  <c:v>EMP0537</c:v>
                </c:pt>
                <c:pt idx="537">
                  <c:v>EMP0538</c:v>
                </c:pt>
                <c:pt idx="538">
                  <c:v>EMP0539</c:v>
                </c:pt>
                <c:pt idx="539">
                  <c:v>EMP0540</c:v>
                </c:pt>
                <c:pt idx="540">
                  <c:v>EMP0541</c:v>
                </c:pt>
                <c:pt idx="541">
                  <c:v>EMP0542</c:v>
                </c:pt>
                <c:pt idx="542">
                  <c:v>EMP0543</c:v>
                </c:pt>
                <c:pt idx="543">
                  <c:v>EMP0544</c:v>
                </c:pt>
                <c:pt idx="544">
                  <c:v>EMP0545</c:v>
                </c:pt>
                <c:pt idx="545">
                  <c:v>EMP0546</c:v>
                </c:pt>
                <c:pt idx="546">
                  <c:v>EMP0547</c:v>
                </c:pt>
                <c:pt idx="547">
                  <c:v>EMP0548</c:v>
                </c:pt>
                <c:pt idx="548">
                  <c:v>EMP0549</c:v>
                </c:pt>
                <c:pt idx="549">
                  <c:v>EMP0550</c:v>
                </c:pt>
                <c:pt idx="550">
                  <c:v>EMP0551</c:v>
                </c:pt>
                <c:pt idx="551">
                  <c:v>EMP0552</c:v>
                </c:pt>
                <c:pt idx="552">
                  <c:v>EMP0553</c:v>
                </c:pt>
                <c:pt idx="553">
                  <c:v>EMP0554</c:v>
                </c:pt>
                <c:pt idx="554">
                  <c:v>EMP0555</c:v>
                </c:pt>
                <c:pt idx="555">
                  <c:v>EMP0556</c:v>
                </c:pt>
                <c:pt idx="556">
                  <c:v>EMP0557</c:v>
                </c:pt>
                <c:pt idx="557">
                  <c:v>EMP0558</c:v>
                </c:pt>
                <c:pt idx="558">
                  <c:v>EMP0559</c:v>
                </c:pt>
                <c:pt idx="559">
                  <c:v>EMP0560</c:v>
                </c:pt>
                <c:pt idx="560">
                  <c:v>EMP0561</c:v>
                </c:pt>
                <c:pt idx="561">
                  <c:v>EMP0562</c:v>
                </c:pt>
                <c:pt idx="562">
                  <c:v>EMP0563</c:v>
                </c:pt>
                <c:pt idx="563">
                  <c:v>EMP0564</c:v>
                </c:pt>
                <c:pt idx="564">
                  <c:v>EMP0565</c:v>
                </c:pt>
                <c:pt idx="565">
                  <c:v>EMP0566</c:v>
                </c:pt>
                <c:pt idx="566">
                  <c:v>EMP0567</c:v>
                </c:pt>
                <c:pt idx="567">
                  <c:v>EMP0568</c:v>
                </c:pt>
                <c:pt idx="568">
                  <c:v>EMP0569</c:v>
                </c:pt>
                <c:pt idx="569">
                  <c:v>EMP0570</c:v>
                </c:pt>
                <c:pt idx="570">
                  <c:v>EMP0571</c:v>
                </c:pt>
                <c:pt idx="571">
                  <c:v>EMP0572</c:v>
                </c:pt>
                <c:pt idx="572">
                  <c:v>EMP0573</c:v>
                </c:pt>
                <c:pt idx="573">
                  <c:v>EMP0574</c:v>
                </c:pt>
                <c:pt idx="574">
                  <c:v>EMP0575</c:v>
                </c:pt>
                <c:pt idx="575">
                  <c:v>EMP0576</c:v>
                </c:pt>
                <c:pt idx="576">
                  <c:v>EMP0577</c:v>
                </c:pt>
                <c:pt idx="577">
                  <c:v>EMP0578</c:v>
                </c:pt>
                <c:pt idx="578">
                  <c:v>EMP0579</c:v>
                </c:pt>
                <c:pt idx="579">
                  <c:v>EMP0580</c:v>
                </c:pt>
                <c:pt idx="580">
                  <c:v>EMP0581</c:v>
                </c:pt>
                <c:pt idx="581">
                  <c:v>EMP0582</c:v>
                </c:pt>
                <c:pt idx="582">
                  <c:v>EMP0583</c:v>
                </c:pt>
                <c:pt idx="583">
                  <c:v>EMP0584</c:v>
                </c:pt>
                <c:pt idx="584">
                  <c:v>EMP0585</c:v>
                </c:pt>
                <c:pt idx="585">
                  <c:v>EMP0586</c:v>
                </c:pt>
                <c:pt idx="586">
                  <c:v>EMP0587</c:v>
                </c:pt>
                <c:pt idx="587">
                  <c:v>EMP0588</c:v>
                </c:pt>
                <c:pt idx="588">
                  <c:v>EMP0589</c:v>
                </c:pt>
                <c:pt idx="589">
                  <c:v>EMP0590</c:v>
                </c:pt>
                <c:pt idx="590">
                  <c:v>EMP0591</c:v>
                </c:pt>
                <c:pt idx="591">
                  <c:v>EMP0592</c:v>
                </c:pt>
                <c:pt idx="592">
                  <c:v>EMP0593</c:v>
                </c:pt>
                <c:pt idx="593">
                  <c:v>EMP0594</c:v>
                </c:pt>
                <c:pt idx="594">
                  <c:v>EMP0595</c:v>
                </c:pt>
                <c:pt idx="595">
                  <c:v>EMP0596</c:v>
                </c:pt>
                <c:pt idx="596">
                  <c:v>EMP0597</c:v>
                </c:pt>
                <c:pt idx="597">
                  <c:v>EMP0598</c:v>
                </c:pt>
                <c:pt idx="598">
                  <c:v>EMP0599</c:v>
                </c:pt>
                <c:pt idx="599">
                  <c:v>EMP0600</c:v>
                </c:pt>
              </c:strCache>
            </c:strRef>
          </c:cat>
          <c:val>
            <c:numRef>
              <c:f>'39'!$J$4:$J$604</c:f>
              <c:numCache>
                <c:formatCode>0.00</c:formatCode>
                <c:ptCount val="600"/>
                <c:pt idx="0">
                  <c:v>4.5</c:v>
                </c:pt>
                <c:pt idx="1">
                  <c:v>1.5</c:v>
                </c:pt>
                <c:pt idx="2">
                  <c:v>3.4</c:v>
                </c:pt>
                <c:pt idx="3">
                  <c:v>2.7</c:v>
                </c:pt>
                <c:pt idx="4">
                  <c:v>4.9000000000000004</c:v>
                </c:pt>
                <c:pt idx="5">
                  <c:v>2.9</c:v>
                </c:pt>
                <c:pt idx="7">
                  <c:v>2.2999999999999998</c:v>
                </c:pt>
                <c:pt idx="8">
                  <c:v>3.2</c:v>
                </c:pt>
                <c:pt idx="10">
                  <c:v>4.7</c:v>
                </c:pt>
                <c:pt idx="11">
                  <c:v>2.6</c:v>
                </c:pt>
                <c:pt idx="12">
                  <c:v>4.5999999999999996</c:v>
                </c:pt>
                <c:pt idx="13">
                  <c:v>3.5</c:v>
                </c:pt>
                <c:pt idx="14">
                  <c:v>1.7</c:v>
                </c:pt>
                <c:pt idx="15">
                  <c:v>4.0999999999999996</c:v>
                </c:pt>
                <c:pt idx="16">
                  <c:v>4.8</c:v>
                </c:pt>
                <c:pt idx="17">
                  <c:v>1.8</c:v>
                </c:pt>
                <c:pt idx="18">
                  <c:v>3</c:v>
                </c:pt>
                <c:pt idx="19">
                  <c:v>4.3</c:v>
                </c:pt>
                <c:pt idx="20">
                  <c:v>4.4000000000000004</c:v>
                </c:pt>
                <c:pt idx="21">
                  <c:v>3</c:v>
                </c:pt>
                <c:pt idx="22">
                  <c:v>3.9</c:v>
                </c:pt>
                <c:pt idx="23">
                  <c:v>4.5</c:v>
                </c:pt>
                <c:pt idx="24">
                  <c:v>4.9000000000000004</c:v>
                </c:pt>
                <c:pt idx="25">
                  <c:v>4.0999999999999996</c:v>
                </c:pt>
                <c:pt idx="26">
                  <c:v>3.9</c:v>
                </c:pt>
                <c:pt idx="27">
                  <c:v>2.8</c:v>
                </c:pt>
                <c:pt idx="28">
                  <c:v>4.7</c:v>
                </c:pt>
                <c:pt idx="29">
                  <c:v>3.1</c:v>
                </c:pt>
                <c:pt idx="30">
                  <c:v>2.2999999999999998</c:v>
                </c:pt>
                <c:pt idx="31">
                  <c:v>2.2000000000000002</c:v>
                </c:pt>
                <c:pt idx="32">
                  <c:v>4.8</c:v>
                </c:pt>
                <c:pt idx="33">
                  <c:v>3.8</c:v>
                </c:pt>
                <c:pt idx="34">
                  <c:v>4.9000000000000004</c:v>
                </c:pt>
                <c:pt idx="35">
                  <c:v>2.4</c:v>
                </c:pt>
                <c:pt idx="36">
                  <c:v>3.1</c:v>
                </c:pt>
                <c:pt idx="37">
                  <c:v>4.7</c:v>
                </c:pt>
                <c:pt idx="38">
                  <c:v>3.4</c:v>
                </c:pt>
                <c:pt idx="39">
                  <c:v>2.9</c:v>
                </c:pt>
                <c:pt idx="40">
                  <c:v>3.1</c:v>
                </c:pt>
                <c:pt idx="41">
                  <c:v>2.6</c:v>
                </c:pt>
                <c:pt idx="42">
                  <c:v>3.3</c:v>
                </c:pt>
                <c:pt idx="43">
                  <c:v>2.7</c:v>
                </c:pt>
                <c:pt idx="44">
                  <c:v>4.3</c:v>
                </c:pt>
                <c:pt idx="45">
                  <c:v>2.2999999999999998</c:v>
                </c:pt>
                <c:pt idx="46">
                  <c:v>4.5</c:v>
                </c:pt>
                <c:pt idx="47">
                  <c:v>2.9</c:v>
                </c:pt>
                <c:pt idx="48">
                  <c:v>2.8</c:v>
                </c:pt>
                <c:pt idx="49">
                  <c:v>5</c:v>
                </c:pt>
                <c:pt idx="50">
                  <c:v>4.5999999999999996</c:v>
                </c:pt>
                <c:pt idx="51">
                  <c:v>3.6</c:v>
                </c:pt>
                <c:pt idx="52">
                  <c:v>1.5</c:v>
                </c:pt>
                <c:pt idx="53">
                  <c:v>4.9000000000000004</c:v>
                </c:pt>
                <c:pt idx="54">
                  <c:v>3.4</c:v>
                </c:pt>
                <c:pt idx="55">
                  <c:v>1.6</c:v>
                </c:pt>
                <c:pt idx="56">
                  <c:v>1.5</c:v>
                </c:pt>
                <c:pt idx="57">
                  <c:v>1.5</c:v>
                </c:pt>
                <c:pt idx="58">
                  <c:v>4.5999999999999996</c:v>
                </c:pt>
                <c:pt idx="59">
                  <c:v>2.4</c:v>
                </c:pt>
                <c:pt idx="60">
                  <c:v>4.5</c:v>
                </c:pt>
                <c:pt idx="61">
                  <c:v>3.8</c:v>
                </c:pt>
                <c:pt idx="62">
                  <c:v>3.6</c:v>
                </c:pt>
                <c:pt idx="63">
                  <c:v>1.5</c:v>
                </c:pt>
                <c:pt idx="64">
                  <c:v>3.7</c:v>
                </c:pt>
                <c:pt idx="65">
                  <c:v>1.8</c:v>
                </c:pt>
                <c:pt idx="66">
                  <c:v>2.7</c:v>
                </c:pt>
                <c:pt idx="67">
                  <c:v>4.2</c:v>
                </c:pt>
                <c:pt idx="68">
                  <c:v>4.3</c:v>
                </c:pt>
                <c:pt idx="69">
                  <c:v>4.3</c:v>
                </c:pt>
                <c:pt idx="70">
                  <c:v>3.9</c:v>
                </c:pt>
                <c:pt idx="71">
                  <c:v>1.8</c:v>
                </c:pt>
                <c:pt idx="72">
                  <c:v>3.6</c:v>
                </c:pt>
                <c:pt idx="73">
                  <c:v>2.7</c:v>
                </c:pt>
                <c:pt idx="74">
                  <c:v>5</c:v>
                </c:pt>
                <c:pt idx="75">
                  <c:v>4.4000000000000004</c:v>
                </c:pt>
                <c:pt idx="76">
                  <c:v>3.1</c:v>
                </c:pt>
                <c:pt idx="77">
                  <c:v>4.2</c:v>
                </c:pt>
                <c:pt idx="78">
                  <c:v>3.3</c:v>
                </c:pt>
                <c:pt idx="79">
                  <c:v>2.2000000000000002</c:v>
                </c:pt>
                <c:pt idx="80">
                  <c:v>3.3</c:v>
                </c:pt>
                <c:pt idx="81">
                  <c:v>1.9</c:v>
                </c:pt>
                <c:pt idx="82">
                  <c:v>3.1</c:v>
                </c:pt>
                <c:pt idx="83">
                  <c:v>4.3</c:v>
                </c:pt>
                <c:pt idx="84">
                  <c:v>4.5999999999999996</c:v>
                </c:pt>
                <c:pt idx="85">
                  <c:v>4.4000000000000004</c:v>
                </c:pt>
                <c:pt idx="86">
                  <c:v>4.9000000000000004</c:v>
                </c:pt>
                <c:pt idx="87">
                  <c:v>1.9</c:v>
                </c:pt>
                <c:pt idx="88">
                  <c:v>1.7</c:v>
                </c:pt>
                <c:pt idx="89">
                  <c:v>2.5</c:v>
                </c:pt>
                <c:pt idx="90">
                  <c:v>4</c:v>
                </c:pt>
                <c:pt idx="91">
                  <c:v>2.9</c:v>
                </c:pt>
                <c:pt idx="92">
                  <c:v>4.5999999999999996</c:v>
                </c:pt>
                <c:pt idx="93">
                  <c:v>4.7</c:v>
                </c:pt>
                <c:pt idx="94">
                  <c:v>2</c:v>
                </c:pt>
                <c:pt idx="95">
                  <c:v>4.4000000000000004</c:v>
                </c:pt>
                <c:pt idx="96">
                  <c:v>2.9</c:v>
                </c:pt>
                <c:pt idx="97">
                  <c:v>2.9</c:v>
                </c:pt>
                <c:pt idx="98">
                  <c:v>2.9</c:v>
                </c:pt>
                <c:pt idx="99">
                  <c:v>2.5</c:v>
                </c:pt>
                <c:pt idx="100">
                  <c:v>1.9</c:v>
                </c:pt>
                <c:pt idx="101">
                  <c:v>3.4</c:v>
                </c:pt>
                <c:pt idx="102">
                  <c:v>3.8</c:v>
                </c:pt>
                <c:pt idx="103">
                  <c:v>3</c:v>
                </c:pt>
                <c:pt idx="104">
                  <c:v>2.5</c:v>
                </c:pt>
                <c:pt idx="105">
                  <c:v>3.9</c:v>
                </c:pt>
                <c:pt idx="106">
                  <c:v>4.3</c:v>
                </c:pt>
                <c:pt idx="107">
                  <c:v>3.7</c:v>
                </c:pt>
                <c:pt idx="108">
                  <c:v>3.1</c:v>
                </c:pt>
                <c:pt idx="109">
                  <c:v>4</c:v>
                </c:pt>
                <c:pt idx="110">
                  <c:v>4.5</c:v>
                </c:pt>
                <c:pt idx="111">
                  <c:v>4.8</c:v>
                </c:pt>
                <c:pt idx="112">
                  <c:v>3.8</c:v>
                </c:pt>
                <c:pt idx="114">
                  <c:v>4.7</c:v>
                </c:pt>
                <c:pt idx="115">
                  <c:v>3.1</c:v>
                </c:pt>
                <c:pt idx="116">
                  <c:v>3.8</c:v>
                </c:pt>
                <c:pt idx="117">
                  <c:v>2.4</c:v>
                </c:pt>
                <c:pt idx="118">
                  <c:v>3.3</c:v>
                </c:pt>
                <c:pt idx="119">
                  <c:v>2.5</c:v>
                </c:pt>
                <c:pt idx="120">
                  <c:v>2.6</c:v>
                </c:pt>
                <c:pt idx="121">
                  <c:v>4.7</c:v>
                </c:pt>
                <c:pt idx="122">
                  <c:v>1.9</c:v>
                </c:pt>
                <c:pt idx="123">
                  <c:v>3.8</c:v>
                </c:pt>
                <c:pt idx="124">
                  <c:v>3.8</c:v>
                </c:pt>
                <c:pt idx="125">
                  <c:v>3.4</c:v>
                </c:pt>
                <c:pt idx="126">
                  <c:v>4.4000000000000004</c:v>
                </c:pt>
                <c:pt idx="128">
                  <c:v>4.5999999999999996</c:v>
                </c:pt>
                <c:pt idx="129">
                  <c:v>1.7</c:v>
                </c:pt>
                <c:pt idx="130">
                  <c:v>1.7</c:v>
                </c:pt>
                <c:pt idx="131">
                  <c:v>3.2</c:v>
                </c:pt>
                <c:pt idx="132">
                  <c:v>2.9</c:v>
                </c:pt>
                <c:pt idx="133">
                  <c:v>2.6</c:v>
                </c:pt>
                <c:pt idx="134">
                  <c:v>1.9</c:v>
                </c:pt>
                <c:pt idx="135">
                  <c:v>1.6</c:v>
                </c:pt>
                <c:pt idx="136">
                  <c:v>1.7</c:v>
                </c:pt>
                <c:pt idx="137">
                  <c:v>2.4</c:v>
                </c:pt>
                <c:pt idx="139">
                  <c:v>2.8</c:v>
                </c:pt>
                <c:pt idx="140">
                  <c:v>4.2</c:v>
                </c:pt>
                <c:pt idx="141">
                  <c:v>4</c:v>
                </c:pt>
                <c:pt idx="142">
                  <c:v>1.7</c:v>
                </c:pt>
                <c:pt idx="143">
                  <c:v>2.1</c:v>
                </c:pt>
                <c:pt idx="144">
                  <c:v>3</c:v>
                </c:pt>
                <c:pt idx="145">
                  <c:v>2.2000000000000002</c:v>
                </c:pt>
                <c:pt idx="146">
                  <c:v>4.8</c:v>
                </c:pt>
                <c:pt idx="147">
                  <c:v>1.5</c:v>
                </c:pt>
                <c:pt idx="148">
                  <c:v>4</c:v>
                </c:pt>
                <c:pt idx="149">
                  <c:v>4.4000000000000004</c:v>
                </c:pt>
                <c:pt idx="150">
                  <c:v>3.3</c:v>
                </c:pt>
                <c:pt idx="151">
                  <c:v>3.7</c:v>
                </c:pt>
                <c:pt idx="152">
                  <c:v>3</c:v>
                </c:pt>
                <c:pt idx="153">
                  <c:v>2.2000000000000002</c:v>
                </c:pt>
                <c:pt idx="154">
                  <c:v>2.1</c:v>
                </c:pt>
                <c:pt idx="155">
                  <c:v>3.2</c:v>
                </c:pt>
                <c:pt idx="156">
                  <c:v>2.1</c:v>
                </c:pt>
                <c:pt idx="157">
                  <c:v>1.9</c:v>
                </c:pt>
                <c:pt idx="158">
                  <c:v>3.6</c:v>
                </c:pt>
                <c:pt idx="159">
                  <c:v>3.3</c:v>
                </c:pt>
                <c:pt idx="160">
                  <c:v>3.5</c:v>
                </c:pt>
                <c:pt idx="161">
                  <c:v>1.7</c:v>
                </c:pt>
                <c:pt idx="162">
                  <c:v>4.7</c:v>
                </c:pt>
                <c:pt idx="163">
                  <c:v>3.2</c:v>
                </c:pt>
                <c:pt idx="164">
                  <c:v>3.2</c:v>
                </c:pt>
                <c:pt idx="165">
                  <c:v>4.5</c:v>
                </c:pt>
                <c:pt idx="166">
                  <c:v>3.9</c:v>
                </c:pt>
                <c:pt idx="167">
                  <c:v>3</c:v>
                </c:pt>
                <c:pt idx="168">
                  <c:v>2.4</c:v>
                </c:pt>
                <c:pt idx="170">
                  <c:v>2.5</c:v>
                </c:pt>
                <c:pt idx="171">
                  <c:v>1.6</c:v>
                </c:pt>
                <c:pt idx="172">
                  <c:v>2.8</c:v>
                </c:pt>
                <c:pt idx="173">
                  <c:v>4.0999999999999996</c:v>
                </c:pt>
                <c:pt idx="174">
                  <c:v>4.5999999999999996</c:v>
                </c:pt>
                <c:pt idx="175">
                  <c:v>2.9</c:v>
                </c:pt>
                <c:pt idx="176">
                  <c:v>4.3</c:v>
                </c:pt>
                <c:pt idx="177">
                  <c:v>4.7</c:v>
                </c:pt>
                <c:pt idx="178">
                  <c:v>3.5</c:v>
                </c:pt>
                <c:pt idx="179">
                  <c:v>1.6</c:v>
                </c:pt>
                <c:pt idx="180">
                  <c:v>2.8</c:v>
                </c:pt>
                <c:pt idx="181">
                  <c:v>2.1</c:v>
                </c:pt>
                <c:pt idx="182">
                  <c:v>4.0999999999999996</c:v>
                </c:pt>
                <c:pt idx="183">
                  <c:v>4.8</c:v>
                </c:pt>
                <c:pt idx="184">
                  <c:v>4</c:v>
                </c:pt>
                <c:pt idx="185">
                  <c:v>4</c:v>
                </c:pt>
                <c:pt idx="186">
                  <c:v>3.2</c:v>
                </c:pt>
                <c:pt idx="188">
                  <c:v>2.9</c:v>
                </c:pt>
                <c:pt idx="189">
                  <c:v>2.6</c:v>
                </c:pt>
                <c:pt idx="190">
                  <c:v>1.6</c:v>
                </c:pt>
                <c:pt idx="191">
                  <c:v>4.5</c:v>
                </c:pt>
                <c:pt idx="192">
                  <c:v>2.1</c:v>
                </c:pt>
                <c:pt idx="193">
                  <c:v>3.1</c:v>
                </c:pt>
                <c:pt idx="194">
                  <c:v>4.2</c:v>
                </c:pt>
                <c:pt idx="195">
                  <c:v>4.9000000000000004</c:v>
                </c:pt>
                <c:pt idx="196">
                  <c:v>3.9</c:v>
                </c:pt>
                <c:pt idx="197">
                  <c:v>2.7</c:v>
                </c:pt>
                <c:pt idx="198">
                  <c:v>2.7</c:v>
                </c:pt>
                <c:pt idx="199">
                  <c:v>4.8</c:v>
                </c:pt>
                <c:pt idx="200">
                  <c:v>4.2</c:v>
                </c:pt>
                <c:pt idx="201">
                  <c:v>1.7</c:v>
                </c:pt>
                <c:pt idx="202">
                  <c:v>4.5999999999999996</c:v>
                </c:pt>
                <c:pt idx="203">
                  <c:v>3.8</c:v>
                </c:pt>
                <c:pt idx="204">
                  <c:v>4.9000000000000004</c:v>
                </c:pt>
                <c:pt idx="205">
                  <c:v>3</c:v>
                </c:pt>
                <c:pt idx="206">
                  <c:v>2</c:v>
                </c:pt>
                <c:pt idx="207">
                  <c:v>2.4</c:v>
                </c:pt>
                <c:pt idx="208">
                  <c:v>4.9000000000000004</c:v>
                </c:pt>
                <c:pt idx="209">
                  <c:v>4.5</c:v>
                </c:pt>
                <c:pt idx="210">
                  <c:v>2.2000000000000002</c:v>
                </c:pt>
                <c:pt idx="211">
                  <c:v>3.8</c:v>
                </c:pt>
                <c:pt idx="212">
                  <c:v>2.2000000000000002</c:v>
                </c:pt>
                <c:pt idx="213">
                  <c:v>4.7</c:v>
                </c:pt>
                <c:pt idx="214">
                  <c:v>3</c:v>
                </c:pt>
                <c:pt idx="215">
                  <c:v>3.7</c:v>
                </c:pt>
                <c:pt idx="216">
                  <c:v>1.6</c:v>
                </c:pt>
                <c:pt idx="217">
                  <c:v>4.4000000000000004</c:v>
                </c:pt>
                <c:pt idx="218">
                  <c:v>3.7</c:v>
                </c:pt>
                <c:pt idx="219">
                  <c:v>3.4</c:v>
                </c:pt>
                <c:pt idx="220">
                  <c:v>2.2000000000000002</c:v>
                </c:pt>
                <c:pt idx="221">
                  <c:v>4.2</c:v>
                </c:pt>
                <c:pt idx="222">
                  <c:v>4.8</c:v>
                </c:pt>
                <c:pt idx="223">
                  <c:v>2.1</c:v>
                </c:pt>
                <c:pt idx="224">
                  <c:v>1.7</c:v>
                </c:pt>
                <c:pt idx="225">
                  <c:v>1.8</c:v>
                </c:pt>
                <c:pt idx="226">
                  <c:v>3.5</c:v>
                </c:pt>
                <c:pt idx="227">
                  <c:v>1.7</c:v>
                </c:pt>
                <c:pt idx="228">
                  <c:v>2</c:v>
                </c:pt>
                <c:pt idx="229">
                  <c:v>3.7</c:v>
                </c:pt>
                <c:pt idx="230">
                  <c:v>2.9</c:v>
                </c:pt>
                <c:pt idx="231">
                  <c:v>1.5</c:v>
                </c:pt>
                <c:pt idx="232">
                  <c:v>4</c:v>
                </c:pt>
                <c:pt idx="233">
                  <c:v>4.5</c:v>
                </c:pt>
                <c:pt idx="234">
                  <c:v>4.3</c:v>
                </c:pt>
                <c:pt idx="235">
                  <c:v>3.1</c:v>
                </c:pt>
                <c:pt idx="236">
                  <c:v>2.9</c:v>
                </c:pt>
                <c:pt idx="237">
                  <c:v>2.8</c:v>
                </c:pt>
                <c:pt idx="238">
                  <c:v>2.6</c:v>
                </c:pt>
                <c:pt idx="239">
                  <c:v>3.9</c:v>
                </c:pt>
                <c:pt idx="240">
                  <c:v>3.6</c:v>
                </c:pt>
                <c:pt idx="241">
                  <c:v>2.4</c:v>
                </c:pt>
                <c:pt idx="242">
                  <c:v>2</c:v>
                </c:pt>
                <c:pt idx="243">
                  <c:v>4.4000000000000004</c:v>
                </c:pt>
                <c:pt idx="244">
                  <c:v>2.1</c:v>
                </c:pt>
                <c:pt idx="245">
                  <c:v>4</c:v>
                </c:pt>
                <c:pt idx="248">
                  <c:v>2.1</c:v>
                </c:pt>
                <c:pt idx="249">
                  <c:v>2</c:v>
                </c:pt>
                <c:pt idx="250">
                  <c:v>3.4</c:v>
                </c:pt>
                <c:pt idx="251">
                  <c:v>4.7</c:v>
                </c:pt>
                <c:pt idx="252">
                  <c:v>2</c:v>
                </c:pt>
                <c:pt idx="253">
                  <c:v>2.9</c:v>
                </c:pt>
                <c:pt idx="254">
                  <c:v>3.7</c:v>
                </c:pt>
                <c:pt idx="255">
                  <c:v>2.8</c:v>
                </c:pt>
                <c:pt idx="256">
                  <c:v>2.2999999999999998</c:v>
                </c:pt>
                <c:pt idx="257">
                  <c:v>3.7</c:v>
                </c:pt>
                <c:pt idx="258">
                  <c:v>3</c:v>
                </c:pt>
                <c:pt idx="259">
                  <c:v>3.5</c:v>
                </c:pt>
                <c:pt idx="260">
                  <c:v>3.3</c:v>
                </c:pt>
                <c:pt idx="261">
                  <c:v>2.4</c:v>
                </c:pt>
                <c:pt idx="262">
                  <c:v>1.8</c:v>
                </c:pt>
                <c:pt idx="263">
                  <c:v>2.8</c:v>
                </c:pt>
                <c:pt idx="264">
                  <c:v>3</c:v>
                </c:pt>
                <c:pt idx="265">
                  <c:v>2</c:v>
                </c:pt>
                <c:pt idx="266">
                  <c:v>4.4000000000000004</c:v>
                </c:pt>
                <c:pt idx="267">
                  <c:v>3.3</c:v>
                </c:pt>
                <c:pt idx="268">
                  <c:v>4.5</c:v>
                </c:pt>
                <c:pt idx="269">
                  <c:v>2.8</c:v>
                </c:pt>
                <c:pt idx="270">
                  <c:v>4</c:v>
                </c:pt>
                <c:pt idx="271">
                  <c:v>3</c:v>
                </c:pt>
                <c:pt idx="272">
                  <c:v>4.5999999999999996</c:v>
                </c:pt>
                <c:pt idx="273">
                  <c:v>4.0999999999999996</c:v>
                </c:pt>
                <c:pt idx="274">
                  <c:v>3.1</c:v>
                </c:pt>
                <c:pt idx="275">
                  <c:v>3.5</c:v>
                </c:pt>
                <c:pt idx="276">
                  <c:v>3.5</c:v>
                </c:pt>
                <c:pt idx="277">
                  <c:v>3</c:v>
                </c:pt>
                <c:pt idx="278">
                  <c:v>2.4</c:v>
                </c:pt>
                <c:pt idx="279">
                  <c:v>4.0999999999999996</c:v>
                </c:pt>
                <c:pt idx="280">
                  <c:v>3.7</c:v>
                </c:pt>
                <c:pt idx="281">
                  <c:v>3.3</c:v>
                </c:pt>
                <c:pt idx="282">
                  <c:v>3.8</c:v>
                </c:pt>
                <c:pt idx="283">
                  <c:v>1.6</c:v>
                </c:pt>
                <c:pt idx="284">
                  <c:v>4.7</c:v>
                </c:pt>
                <c:pt idx="285">
                  <c:v>3.3</c:v>
                </c:pt>
                <c:pt idx="286">
                  <c:v>1.6</c:v>
                </c:pt>
                <c:pt idx="287">
                  <c:v>1.9</c:v>
                </c:pt>
                <c:pt idx="288">
                  <c:v>4.5999999999999996</c:v>
                </c:pt>
                <c:pt idx="289">
                  <c:v>1.9</c:v>
                </c:pt>
                <c:pt idx="290">
                  <c:v>3.6</c:v>
                </c:pt>
                <c:pt idx="291">
                  <c:v>3.7</c:v>
                </c:pt>
                <c:pt idx="292">
                  <c:v>4.4000000000000004</c:v>
                </c:pt>
                <c:pt idx="293">
                  <c:v>3.3</c:v>
                </c:pt>
                <c:pt idx="294">
                  <c:v>4.8</c:v>
                </c:pt>
                <c:pt idx="295">
                  <c:v>4.8</c:v>
                </c:pt>
                <c:pt idx="297">
                  <c:v>4.4000000000000004</c:v>
                </c:pt>
                <c:pt idx="298">
                  <c:v>2.7</c:v>
                </c:pt>
                <c:pt idx="299">
                  <c:v>2.9</c:v>
                </c:pt>
                <c:pt idx="300">
                  <c:v>2.4</c:v>
                </c:pt>
                <c:pt idx="301">
                  <c:v>3.4</c:v>
                </c:pt>
                <c:pt idx="302">
                  <c:v>4.5999999999999996</c:v>
                </c:pt>
                <c:pt idx="303">
                  <c:v>2.2000000000000002</c:v>
                </c:pt>
                <c:pt idx="304">
                  <c:v>2.2999999999999998</c:v>
                </c:pt>
                <c:pt idx="305">
                  <c:v>1.7</c:v>
                </c:pt>
                <c:pt idx="306">
                  <c:v>3.4</c:v>
                </c:pt>
                <c:pt idx="307">
                  <c:v>2.1</c:v>
                </c:pt>
                <c:pt idx="308">
                  <c:v>4.7</c:v>
                </c:pt>
                <c:pt idx="309">
                  <c:v>2.5</c:v>
                </c:pt>
                <c:pt idx="311">
                  <c:v>4.3</c:v>
                </c:pt>
                <c:pt idx="312">
                  <c:v>4.8</c:v>
                </c:pt>
                <c:pt idx="313">
                  <c:v>3.3</c:v>
                </c:pt>
                <c:pt idx="314">
                  <c:v>2</c:v>
                </c:pt>
                <c:pt idx="315">
                  <c:v>4.5</c:v>
                </c:pt>
                <c:pt idx="316">
                  <c:v>4.3</c:v>
                </c:pt>
                <c:pt idx="317">
                  <c:v>2.5</c:v>
                </c:pt>
                <c:pt idx="318">
                  <c:v>1.9</c:v>
                </c:pt>
                <c:pt idx="319">
                  <c:v>3.5</c:v>
                </c:pt>
                <c:pt idx="320">
                  <c:v>2.1</c:v>
                </c:pt>
                <c:pt idx="321">
                  <c:v>1.7</c:v>
                </c:pt>
                <c:pt idx="322">
                  <c:v>4.2</c:v>
                </c:pt>
                <c:pt idx="323">
                  <c:v>5</c:v>
                </c:pt>
                <c:pt idx="324">
                  <c:v>4.9000000000000004</c:v>
                </c:pt>
                <c:pt idx="325">
                  <c:v>3</c:v>
                </c:pt>
                <c:pt idx="326">
                  <c:v>3.9</c:v>
                </c:pt>
                <c:pt idx="327">
                  <c:v>4.0999999999999996</c:v>
                </c:pt>
                <c:pt idx="328">
                  <c:v>4.5999999999999996</c:v>
                </c:pt>
                <c:pt idx="329">
                  <c:v>2.6</c:v>
                </c:pt>
                <c:pt idx="330">
                  <c:v>2.9</c:v>
                </c:pt>
                <c:pt idx="331">
                  <c:v>4.8</c:v>
                </c:pt>
                <c:pt idx="332">
                  <c:v>2</c:v>
                </c:pt>
                <c:pt idx="333">
                  <c:v>2.4</c:v>
                </c:pt>
                <c:pt idx="334">
                  <c:v>4.5999999999999996</c:v>
                </c:pt>
                <c:pt idx="335">
                  <c:v>4</c:v>
                </c:pt>
                <c:pt idx="336">
                  <c:v>3</c:v>
                </c:pt>
                <c:pt idx="337">
                  <c:v>3.7</c:v>
                </c:pt>
                <c:pt idx="338">
                  <c:v>4.4000000000000004</c:v>
                </c:pt>
                <c:pt idx="339">
                  <c:v>4.9000000000000004</c:v>
                </c:pt>
                <c:pt idx="340">
                  <c:v>3.6</c:v>
                </c:pt>
                <c:pt idx="341">
                  <c:v>2.6</c:v>
                </c:pt>
                <c:pt idx="342">
                  <c:v>1.6</c:v>
                </c:pt>
                <c:pt idx="343">
                  <c:v>2.9</c:v>
                </c:pt>
                <c:pt idx="344">
                  <c:v>4.5</c:v>
                </c:pt>
                <c:pt idx="345">
                  <c:v>4.3</c:v>
                </c:pt>
                <c:pt idx="346">
                  <c:v>4.8</c:v>
                </c:pt>
                <c:pt idx="347">
                  <c:v>2.1</c:v>
                </c:pt>
                <c:pt idx="348">
                  <c:v>2.2999999999999998</c:v>
                </c:pt>
                <c:pt idx="349">
                  <c:v>3.8</c:v>
                </c:pt>
                <c:pt idx="350">
                  <c:v>3.5</c:v>
                </c:pt>
                <c:pt idx="351">
                  <c:v>4</c:v>
                </c:pt>
                <c:pt idx="352">
                  <c:v>1.6</c:v>
                </c:pt>
                <c:pt idx="353">
                  <c:v>2</c:v>
                </c:pt>
                <c:pt idx="354">
                  <c:v>4.2</c:v>
                </c:pt>
                <c:pt idx="355">
                  <c:v>4.8</c:v>
                </c:pt>
                <c:pt idx="356">
                  <c:v>2.8</c:v>
                </c:pt>
                <c:pt idx="358">
                  <c:v>2.6</c:v>
                </c:pt>
                <c:pt idx="359">
                  <c:v>3.4</c:v>
                </c:pt>
                <c:pt idx="360">
                  <c:v>3.2</c:v>
                </c:pt>
                <c:pt idx="361">
                  <c:v>1.6</c:v>
                </c:pt>
                <c:pt idx="362">
                  <c:v>1.7</c:v>
                </c:pt>
                <c:pt idx="363">
                  <c:v>1.7</c:v>
                </c:pt>
                <c:pt idx="364">
                  <c:v>4.5999999999999996</c:v>
                </c:pt>
                <c:pt idx="365">
                  <c:v>3.2</c:v>
                </c:pt>
                <c:pt idx="366">
                  <c:v>1.9</c:v>
                </c:pt>
                <c:pt idx="368">
                  <c:v>4.4000000000000004</c:v>
                </c:pt>
                <c:pt idx="370">
                  <c:v>1.6</c:v>
                </c:pt>
                <c:pt idx="371">
                  <c:v>1.5</c:v>
                </c:pt>
                <c:pt idx="372">
                  <c:v>2.7</c:v>
                </c:pt>
                <c:pt idx="373">
                  <c:v>3.4</c:v>
                </c:pt>
                <c:pt idx="374">
                  <c:v>3.9</c:v>
                </c:pt>
                <c:pt idx="375">
                  <c:v>3.7</c:v>
                </c:pt>
                <c:pt idx="376">
                  <c:v>1.9</c:v>
                </c:pt>
                <c:pt idx="377">
                  <c:v>4.2</c:v>
                </c:pt>
                <c:pt idx="378">
                  <c:v>2.5</c:v>
                </c:pt>
                <c:pt idx="379">
                  <c:v>2.5</c:v>
                </c:pt>
                <c:pt idx="380">
                  <c:v>4.9000000000000004</c:v>
                </c:pt>
                <c:pt idx="381">
                  <c:v>2.4</c:v>
                </c:pt>
                <c:pt idx="382">
                  <c:v>1.9</c:v>
                </c:pt>
                <c:pt idx="383">
                  <c:v>2.1</c:v>
                </c:pt>
                <c:pt idx="384">
                  <c:v>3</c:v>
                </c:pt>
                <c:pt idx="385">
                  <c:v>3.8</c:v>
                </c:pt>
                <c:pt idx="386">
                  <c:v>2.8</c:v>
                </c:pt>
                <c:pt idx="387">
                  <c:v>4.8</c:v>
                </c:pt>
                <c:pt idx="388">
                  <c:v>1.5</c:v>
                </c:pt>
                <c:pt idx="389">
                  <c:v>3.5</c:v>
                </c:pt>
                <c:pt idx="390">
                  <c:v>4.7</c:v>
                </c:pt>
                <c:pt idx="391">
                  <c:v>2.8</c:v>
                </c:pt>
                <c:pt idx="392">
                  <c:v>3.2</c:v>
                </c:pt>
                <c:pt idx="393">
                  <c:v>2.7</c:v>
                </c:pt>
                <c:pt idx="394">
                  <c:v>3.8</c:v>
                </c:pt>
                <c:pt idx="395">
                  <c:v>2.1</c:v>
                </c:pt>
                <c:pt idx="396">
                  <c:v>2.6</c:v>
                </c:pt>
                <c:pt idx="397">
                  <c:v>1.8</c:v>
                </c:pt>
                <c:pt idx="398">
                  <c:v>4.8</c:v>
                </c:pt>
                <c:pt idx="399">
                  <c:v>2.2999999999999998</c:v>
                </c:pt>
                <c:pt idx="400">
                  <c:v>3.5</c:v>
                </c:pt>
                <c:pt idx="401">
                  <c:v>4</c:v>
                </c:pt>
                <c:pt idx="402">
                  <c:v>1.8</c:v>
                </c:pt>
                <c:pt idx="404">
                  <c:v>1.8</c:v>
                </c:pt>
                <c:pt idx="405">
                  <c:v>3.9</c:v>
                </c:pt>
                <c:pt idx="407">
                  <c:v>1.8</c:v>
                </c:pt>
                <c:pt idx="408">
                  <c:v>1.5</c:v>
                </c:pt>
                <c:pt idx="409">
                  <c:v>4.5999999999999996</c:v>
                </c:pt>
                <c:pt idx="410">
                  <c:v>2.2000000000000002</c:v>
                </c:pt>
                <c:pt idx="411">
                  <c:v>1.8</c:v>
                </c:pt>
                <c:pt idx="412">
                  <c:v>4.9000000000000004</c:v>
                </c:pt>
                <c:pt idx="413">
                  <c:v>2.7</c:v>
                </c:pt>
                <c:pt idx="414">
                  <c:v>3.9</c:v>
                </c:pt>
                <c:pt idx="415">
                  <c:v>2.6</c:v>
                </c:pt>
                <c:pt idx="416">
                  <c:v>2.1</c:v>
                </c:pt>
                <c:pt idx="417">
                  <c:v>4.7</c:v>
                </c:pt>
                <c:pt idx="418">
                  <c:v>4.9000000000000004</c:v>
                </c:pt>
                <c:pt idx="419">
                  <c:v>4.7</c:v>
                </c:pt>
                <c:pt idx="420">
                  <c:v>3.2</c:v>
                </c:pt>
                <c:pt idx="421">
                  <c:v>2.6</c:v>
                </c:pt>
                <c:pt idx="422">
                  <c:v>3.4</c:v>
                </c:pt>
                <c:pt idx="423">
                  <c:v>3.9</c:v>
                </c:pt>
                <c:pt idx="424">
                  <c:v>2.1</c:v>
                </c:pt>
                <c:pt idx="425">
                  <c:v>3.9</c:v>
                </c:pt>
                <c:pt idx="427">
                  <c:v>2</c:v>
                </c:pt>
                <c:pt idx="428">
                  <c:v>3.7</c:v>
                </c:pt>
                <c:pt idx="429">
                  <c:v>2.9</c:v>
                </c:pt>
                <c:pt idx="430">
                  <c:v>2.1</c:v>
                </c:pt>
                <c:pt idx="431">
                  <c:v>4.7</c:v>
                </c:pt>
                <c:pt idx="432">
                  <c:v>2.5</c:v>
                </c:pt>
                <c:pt idx="434">
                  <c:v>4.5999999999999996</c:v>
                </c:pt>
                <c:pt idx="435">
                  <c:v>3</c:v>
                </c:pt>
                <c:pt idx="436">
                  <c:v>3.2</c:v>
                </c:pt>
                <c:pt idx="437">
                  <c:v>2.7</c:v>
                </c:pt>
                <c:pt idx="438">
                  <c:v>3</c:v>
                </c:pt>
                <c:pt idx="439">
                  <c:v>4.4000000000000004</c:v>
                </c:pt>
                <c:pt idx="440">
                  <c:v>4.7</c:v>
                </c:pt>
                <c:pt idx="441">
                  <c:v>3.1</c:v>
                </c:pt>
                <c:pt idx="442">
                  <c:v>2</c:v>
                </c:pt>
                <c:pt idx="443">
                  <c:v>2.2000000000000002</c:v>
                </c:pt>
                <c:pt idx="444">
                  <c:v>1.9</c:v>
                </c:pt>
                <c:pt idx="445">
                  <c:v>4.2</c:v>
                </c:pt>
                <c:pt idx="446">
                  <c:v>3.5</c:v>
                </c:pt>
                <c:pt idx="447">
                  <c:v>3</c:v>
                </c:pt>
                <c:pt idx="448">
                  <c:v>3.3</c:v>
                </c:pt>
                <c:pt idx="449">
                  <c:v>1.8</c:v>
                </c:pt>
                <c:pt idx="450">
                  <c:v>4.5999999999999996</c:v>
                </c:pt>
                <c:pt idx="451">
                  <c:v>3.5</c:v>
                </c:pt>
                <c:pt idx="452">
                  <c:v>3.9</c:v>
                </c:pt>
                <c:pt idx="453">
                  <c:v>3.1</c:v>
                </c:pt>
                <c:pt idx="454">
                  <c:v>3.4</c:v>
                </c:pt>
                <c:pt idx="455">
                  <c:v>2.1</c:v>
                </c:pt>
                <c:pt idx="456">
                  <c:v>3.9</c:v>
                </c:pt>
                <c:pt idx="457">
                  <c:v>4.4000000000000004</c:v>
                </c:pt>
                <c:pt idx="458">
                  <c:v>1.8</c:v>
                </c:pt>
                <c:pt idx="459">
                  <c:v>3.6</c:v>
                </c:pt>
                <c:pt idx="460">
                  <c:v>3.3</c:v>
                </c:pt>
                <c:pt idx="461">
                  <c:v>3.6</c:v>
                </c:pt>
                <c:pt idx="462">
                  <c:v>3</c:v>
                </c:pt>
                <c:pt idx="463">
                  <c:v>5</c:v>
                </c:pt>
                <c:pt idx="464">
                  <c:v>3.8</c:v>
                </c:pt>
                <c:pt idx="465">
                  <c:v>2.8</c:v>
                </c:pt>
                <c:pt idx="466">
                  <c:v>3.2</c:v>
                </c:pt>
                <c:pt idx="467">
                  <c:v>3</c:v>
                </c:pt>
                <c:pt idx="468">
                  <c:v>4.8</c:v>
                </c:pt>
                <c:pt idx="469">
                  <c:v>1.5</c:v>
                </c:pt>
                <c:pt idx="470">
                  <c:v>2.9</c:v>
                </c:pt>
                <c:pt idx="471">
                  <c:v>4.3</c:v>
                </c:pt>
                <c:pt idx="472">
                  <c:v>2.4</c:v>
                </c:pt>
                <c:pt idx="473">
                  <c:v>2.5</c:v>
                </c:pt>
                <c:pt idx="474">
                  <c:v>3.2</c:v>
                </c:pt>
                <c:pt idx="475">
                  <c:v>4.3</c:v>
                </c:pt>
                <c:pt idx="476">
                  <c:v>5</c:v>
                </c:pt>
                <c:pt idx="477">
                  <c:v>4.7</c:v>
                </c:pt>
                <c:pt idx="478">
                  <c:v>4.7</c:v>
                </c:pt>
                <c:pt idx="480">
                  <c:v>3.3</c:v>
                </c:pt>
                <c:pt idx="481">
                  <c:v>2.8</c:v>
                </c:pt>
                <c:pt idx="482">
                  <c:v>2.5</c:v>
                </c:pt>
                <c:pt idx="483">
                  <c:v>4.8</c:v>
                </c:pt>
                <c:pt idx="484">
                  <c:v>1.9</c:v>
                </c:pt>
                <c:pt idx="485">
                  <c:v>3.1</c:v>
                </c:pt>
                <c:pt idx="486">
                  <c:v>2.1</c:v>
                </c:pt>
                <c:pt idx="487">
                  <c:v>4.0999999999999996</c:v>
                </c:pt>
                <c:pt idx="488">
                  <c:v>3.7</c:v>
                </c:pt>
                <c:pt idx="489">
                  <c:v>4.7</c:v>
                </c:pt>
                <c:pt idx="490">
                  <c:v>3.6</c:v>
                </c:pt>
                <c:pt idx="491">
                  <c:v>3.8</c:v>
                </c:pt>
                <c:pt idx="492">
                  <c:v>2.8</c:v>
                </c:pt>
                <c:pt idx="493">
                  <c:v>4.4000000000000004</c:v>
                </c:pt>
                <c:pt idx="494">
                  <c:v>3.6</c:v>
                </c:pt>
                <c:pt idx="495">
                  <c:v>4.7</c:v>
                </c:pt>
                <c:pt idx="496">
                  <c:v>2.4</c:v>
                </c:pt>
                <c:pt idx="497">
                  <c:v>2.4</c:v>
                </c:pt>
                <c:pt idx="499">
                  <c:v>1.5</c:v>
                </c:pt>
                <c:pt idx="500">
                  <c:v>1.6</c:v>
                </c:pt>
                <c:pt idx="501">
                  <c:v>4.9000000000000004</c:v>
                </c:pt>
                <c:pt idx="502">
                  <c:v>3.1</c:v>
                </c:pt>
                <c:pt idx="503">
                  <c:v>2.6</c:v>
                </c:pt>
                <c:pt idx="504">
                  <c:v>4.4000000000000004</c:v>
                </c:pt>
                <c:pt idx="505">
                  <c:v>1.5</c:v>
                </c:pt>
                <c:pt idx="506">
                  <c:v>4.5</c:v>
                </c:pt>
                <c:pt idx="507">
                  <c:v>4.4000000000000004</c:v>
                </c:pt>
                <c:pt idx="508">
                  <c:v>3.4</c:v>
                </c:pt>
                <c:pt idx="509">
                  <c:v>3.1</c:v>
                </c:pt>
                <c:pt idx="510">
                  <c:v>2.4</c:v>
                </c:pt>
                <c:pt idx="512">
                  <c:v>2.5</c:v>
                </c:pt>
                <c:pt idx="513">
                  <c:v>2.5</c:v>
                </c:pt>
                <c:pt idx="514">
                  <c:v>3.8</c:v>
                </c:pt>
                <c:pt idx="515">
                  <c:v>2.6</c:v>
                </c:pt>
                <c:pt idx="516">
                  <c:v>5</c:v>
                </c:pt>
                <c:pt idx="517">
                  <c:v>4.4000000000000004</c:v>
                </c:pt>
                <c:pt idx="518">
                  <c:v>4.4000000000000004</c:v>
                </c:pt>
                <c:pt idx="519">
                  <c:v>5</c:v>
                </c:pt>
                <c:pt idx="520">
                  <c:v>4.0999999999999996</c:v>
                </c:pt>
                <c:pt idx="521">
                  <c:v>3.8</c:v>
                </c:pt>
                <c:pt idx="522">
                  <c:v>4.3</c:v>
                </c:pt>
                <c:pt idx="523">
                  <c:v>3.9</c:v>
                </c:pt>
                <c:pt idx="524">
                  <c:v>1.9</c:v>
                </c:pt>
                <c:pt idx="525">
                  <c:v>2.4</c:v>
                </c:pt>
                <c:pt idx="526">
                  <c:v>4</c:v>
                </c:pt>
                <c:pt idx="528">
                  <c:v>4.5</c:v>
                </c:pt>
                <c:pt idx="529">
                  <c:v>4.5999999999999996</c:v>
                </c:pt>
                <c:pt idx="530">
                  <c:v>2.2000000000000002</c:v>
                </c:pt>
                <c:pt idx="531">
                  <c:v>4.2</c:v>
                </c:pt>
                <c:pt idx="532">
                  <c:v>3.6</c:v>
                </c:pt>
                <c:pt idx="533">
                  <c:v>4.5</c:v>
                </c:pt>
                <c:pt idx="534">
                  <c:v>2</c:v>
                </c:pt>
                <c:pt idx="535">
                  <c:v>3.3</c:v>
                </c:pt>
                <c:pt idx="536">
                  <c:v>3.8</c:v>
                </c:pt>
                <c:pt idx="537">
                  <c:v>4.3</c:v>
                </c:pt>
                <c:pt idx="538">
                  <c:v>3.9</c:v>
                </c:pt>
                <c:pt idx="539">
                  <c:v>4.2</c:v>
                </c:pt>
                <c:pt idx="541">
                  <c:v>2.1</c:v>
                </c:pt>
                <c:pt idx="542">
                  <c:v>2.2999999999999998</c:v>
                </c:pt>
                <c:pt idx="543">
                  <c:v>4.2</c:v>
                </c:pt>
                <c:pt idx="544">
                  <c:v>2.7</c:v>
                </c:pt>
                <c:pt idx="545">
                  <c:v>4</c:v>
                </c:pt>
                <c:pt idx="546">
                  <c:v>1.9</c:v>
                </c:pt>
                <c:pt idx="548">
                  <c:v>4.8</c:v>
                </c:pt>
                <c:pt idx="549">
                  <c:v>1.8</c:v>
                </c:pt>
                <c:pt idx="550">
                  <c:v>3.5</c:v>
                </c:pt>
                <c:pt idx="551">
                  <c:v>2.6</c:v>
                </c:pt>
                <c:pt idx="552">
                  <c:v>2.2999999999999998</c:v>
                </c:pt>
                <c:pt idx="553">
                  <c:v>3.7</c:v>
                </c:pt>
                <c:pt idx="554">
                  <c:v>3.6</c:v>
                </c:pt>
                <c:pt idx="555">
                  <c:v>4</c:v>
                </c:pt>
                <c:pt idx="556">
                  <c:v>2.8</c:v>
                </c:pt>
                <c:pt idx="557">
                  <c:v>1.9</c:v>
                </c:pt>
                <c:pt idx="558">
                  <c:v>2.9</c:v>
                </c:pt>
                <c:pt idx="559">
                  <c:v>4.0999999999999996</c:v>
                </c:pt>
                <c:pt idx="560">
                  <c:v>1.8</c:v>
                </c:pt>
                <c:pt idx="561">
                  <c:v>4.7</c:v>
                </c:pt>
                <c:pt idx="562">
                  <c:v>4</c:v>
                </c:pt>
                <c:pt idx="563">
                  <c:v>3.6</c:v>
                </c:pt>
                <c:pt idx="564">
                  <c:v>3</c:v>
                </c:pt>
                <c:pt idx="565">
                  <c:v>3.1</c:v>
                </c:pt>
                <c:pt idx="566">
                  <c:v>2.7</c:v>
                </c:pt>
                <c:pt idx="568">
                  <c:v>2.9</c:v>
                </c:pt>
                <c:pt idx="569">
                  <c:v>5</c:v>
                </c:pt>
                <c:pt idx="571">
                  <c:v>3.9</c:v>
                </c:pt>
                <c:pt idx="572">
                  <c:v>4.5</c:v>
                </c:pt>
                <c:pt idx="573">
                  <c:v>3.3</c:v>
                </c:pt>
                <c:pt idx="574">
                  <c:v>2.6</c:v>
                </c:pt>
                <c:pt idx="575">
                  <c:v>2.4</c:v>
                </c:pt>
                <c:pt idx="576">
                  <c:v>3.1</c:v>
                </c:pt>
                <c:pt idx="577">
                  <c:v>5</c:v>
                </c:pt>
                <c:pt idx="578">
                  <c:v>3.5</c:v>
                </c:pt>
                <c:pt idx="579">
                  <c:v>2.4</c:v>
                </c:pt>
                <c:pt idx="580">
                  <c:v>1.8</c:v>
                </c:pt>
                <c:pt idx="582">
                  <c:v>4.8</c:v>
                </c:pt>
                <c:pt idx="583">
                  <c:v>3.8</c:v>
                </c:pt>
                <c:pt idx="584">
                  <c:v>3</c:v>
                </c:pt>
                <c:pt idx="585">
                  <c:v>4.2</c:v>
                </c:pt>
                <c:pt idx="586">
                  <c:v>3.5</c:v>
                </c:pt>
                <c:pt idx="587">
                  <c:v>1.5</c:v>
                </c:pt>
                <c:pt idx="588">
                  <c:v>3.9</c:v>
                </c:pt>
                <c:pt idx="589">
                  <c:v>1.8</c:v>
                </c:pt>
                <c:pt idx="590">
                  <c:v>2.4</c:v>
                </c:pt>
                <c:pt idx="591">
                  <c:v>4.7</c:v>
                </c:pt>
                <c:pt idx="592">
                  <c:v>3.1</c:v>
                </c:pt>
                <c:pt idx="593">
                  <c:v>3.3</c:v>
                </c:pt>
                <c:pt idx="594">
                  <c:v>2.1</c:v>
                </c:pt>
                <c:pt idx="595">
                  <c:v>1.6</c:v>
                </c:pt>
                <c:pt idx="596">
                  <c:v>5</c:v>
                </c:pt>
                <c:pt idx="597">
                  <c:v>4.9000000000000004</c:v>
                </c:pt>
                <c:pt idx="598">
                  <c:v>4</c:v>
                </c:pt>
                <c:pt idx="59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F-479C-8610-31A9F5141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725895"/>
        <c:axId val="185901064"/>
      </c:barChart>
      <c:catAx>
        <c:axId val="1938725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01064"/>
        <c:crosses val="autoZero"/>
        <c:auto val="1"/>
        <c:lblAlgn val="ctr"/>
        <c:lblOffset val="100"/>
        <c:noMultiLvlLbl val="0"/>
      </c:catAx>
      <c:valAx>
        <c:axId val="18590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25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2.xlsx]39!PivotTable7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Salary</a:t>
            </a:r>
          </a:p>
        </c:rich>
      </c:tx>
      <c:overlay val="0"/>
      <c:spPr>
        <a:solidFill>
          <a:srgbClr val="5B9BD5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A9D08E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'39'!$M$1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9D08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'39'!$L$2:$L$602</c:f>
              <c:strCache>
                <c:ptCount val="600"/>
                <c:pt idx="0">
                  <c:v>EMP0001</c:v>
                </c:pt>
                <c:pt idx="1">
                  <c:v>EMP0002</c:v>
                </c:pt>
                <c:pt idx="2">
                  <c:v>EMP0003</c:v>
                </c:pt>
                <c:pt idx="3">
                  <c:v>EMP0004</c:v>
                </c:pt>
                <c:pt idx="4">
                  <c:v>EMP0005</c:v>
                </c:pt>
                <c:pt idx="5">
                  <c:v>EMP0006</c:v>
                </c:pt>
                <c:pt idx="6">
                  <c:v>EMP0007</c:v>
                </c:pt>
                <c:pt idx="7">
                  <c:v>EMP0008</c:v>
                </c:pt>
                <c:pt idx="8">
                  <c:v>EMP0009</c:v>
                </c:pt>
                <c:pt idx="9">
                  <c:v>EMP0010</c:v>
                </c:pt>
                <c:pt idx="10">
                  <c:v>EMP0011</c:v>
                </c:pt>
                <c:pt idx="11">
                  <c:v>EMP0012</c:v>
                </c:pt>
                <c:pt idx="12">
                  <c:v>EMP0013</c:v>
                </c:pt>
                <c:pt idx="13">
                  <c:v>EMP0014</c:v>
                </c:pt>
                <c:pt idx="14">
                  <c:v>EMP0015</c:v>
                </c:pt>
                <c:pt idx="15">
                  <c:v>EMP0016</c:v>
                </c:pt>
                <c:pt idx="16">
                  <c:v>EMP0017</c:v>
                </c:pt>
                <c:pt idx="17">
                  <c:v>EMP0018</c:v>
                </c:pt>
                <c:pt idx="18">
                  <c:v>EMP0019</c:v>
                </c:pt>
                <c:pt idx="19">
                  <c:v>EMP0020</c:v>
                </c:pt>
                <c:pt idx="20">
                  <c:v>EMP0021</c:v>
                </c:pt>
                <c:pt idx="21">
                  <c:v>EMP0022</c:v>
                </c:pt>
                <c:pt idx="22">
                  <c:v>EMP0023</c:v>
                </c:pt>
                <c:pt idx="23">
                  <c:v>EMP0024</c:v>
                </c:pt>
                <c:pt idx="24">
                  <c:v>EMP0025</c:v>
                </c:pt>
                <c:pt idx="25">
                  <c:v>EMP0026</c:v>
                </c:pt>
                <c:pt idx="26">
                  <c:v>EMP0027</c:v>
                </c:pt>
                <c:pt idx="27">
                  <c:v>EMP0028</c:v>
                </c:pt>
                <c:pt idx="28">
                  <c:v>EMP0029</c:v>
                </c:pt>
                <c:pt idx="29">
                  <c:v>EMP0030</c:v>
                </c:pt>
                <c:pt idx="30">
                  <c:v>EMP0031</c:v>
                </c:pt>
                <c:pt idx="31">
                  <c:v>EMP0032</c:v>
                </c:pt>
                <c:pt idx="32">
                  <c:v>EMP0033</c:v>
                </c:pt>
                <c:pt idx="33">
                  <c:v>EMP0034</c:v>
                </c:pt>
                <c:pt idx="34">
                  <c:v>EMP0035</c:v>
                </c:pt>
                <c:pt idx="35">
                  <c:v>EMP0036</c:v>
                </c:pt>
                <c:pt idx="36">
                  <c:v>EMP0037</c:v>
                </c:pt>
                <c:pt idx="37">
                  <c:v>EMP0038</c:v>
                </c:pt>
                <c:pt idx="38">
                  <c:v>EMP0039</c:v>
                </c:pt>
                <c:pt idx="39">
                  <c:v>EMP0040</c:v>
                </c:pt>
                <c:pt idx="40">
                  <c:v>EMP0041</c:v>
                </c:pt>
                <c:pt idx="41">
                  <c:v>EMP0042</c:v>
                </c:pt>
                <c:pt idx="42">
                  <c:v>EMP0043</c:v>
                </c:pt>
                <c:pt idx="43">
                  <c:v>EMP0044</c:v>
                </c:pt>
                <c:pt idx="44">
                  <c:v>EMP0045</c:v>
                </c:pt>
                <c:pt idx="45">
                  <c:v>EMP0046</c:v>
                </c:pt>
                <c:pt idx="46">
                  <c:v>EMP0047</c:v>
                </c:pt>
                <c:pt idx="47">
                  <c:v>EMP0048</c:v>
                </c:pt>
                <c:pt idx="48">
                  <c:v>EMP0049</c:v>
                </c:pt>
                <c:pt idx="49">
                  <c:v>EMP0050</c:v>
                </c:pt>
                <c:pt idx="50">
                  <c:v>EMP0051</c:v>
                </c:pt>
                <c:pt idx="51">
                  <c:v>EMP0052</c:v>
                </c:pt>
                <c:pt idx="52">
                  <c:v>EMP0053</c:v>
                </c:pt>
                <c:pt idx="53">
                  <c:v>EMP0054</c:v>
                </c:pt>
                <c:pt idx="54">
                  <c:v>EMP0055</c:v>
                </c:pt>
                <c:pt idx="55">
                  <c:v>EMP0056</c:v>
                </c:pt>
                <c:pt idx="56">
                  <c:v>EMP0057</c:v>
                </c:pt>
                <c:pt idx="57">
                  <c:v>EMP0058</c:v>
                </c:pt>
                <c:pt idx="58">
                  <c:v>EMP0059</c:v>
                </c:pt>
                <c:pt idx="59">
                  <c:v>EMP0060</c:v>
                </c:pt>
                <c:pt idx="60">
                  <c:v>EMP0061</c:v>
                </c:pt>
                <c:pt idx="61">
                  <c:v>EMP0062</c:v>
                </c:pt>
                <c:pt idx="62">
                  <c:v>EMP0063</c:v>
                </c:pt>
                <c:pt idx="63">
                  <c:v>EMP0064</c:v>
                </c:pt>
                <c:pt idx="64">
                  <c:v>EMP0065</c:v>
                </c:pt>
                <c:pt idx="65">
                  <c:v>EMP0066</c:v>
                </c:pt>
                <c:pt idx="66">
                  <c:v>EMP0067</c:v>
                </c:pt>
                <c:pt idx="67">
                  <c:v>EMP0068</c:v>
                </c:pt>
                <c:pt idx="68">
                  <c:v>EMP0069</c:v>
                </c:pt>
                <c:pt idx="69">
                  <c:v>EMP0070</c:v>
                </c:pt>
                <c:pt idx="70">
                  <c:v>EMP0071</c:v>
                </c:pt>
                <c:pt idx="71">
                  <c:v>EMP0072</c:v>
                </c:pt>
                <c:pt idx="72">
                  <c:v>EMP0073</c:v>
                </c:pt>
                <c:pt idx="73">
                  <c:v>EMP0074</c:v>
                </c:pt>
                <c:pt idx="74">
                  <c:v>EMP0075</c:v>
                </c:pt>
                <c:pt idx="75">
                  <c:v>EMP0076</c:v>
                </c:pt>
                <c:pt idx="76">
                  <c:v>EMP0077</c:v>
                </c:pt>
                <c:pt idx="77">
                  <c:v>EMP0078</c:v>
                </c:pt>
                <c:pt idx="78">
                  <c:v>EMP0079</c:v>
                </c:pt>
                <c:pt idx="79">
                  <c:v>EMP0080</c:v>
                </c:pt>
                <c:pt idx="80">
                  <c:v>EMP0081</c:v>
                </c:pt>
                <c:pt idx="81">
                  <c:v>EMP0082</c:v>
                </c:pt>
                <c:pt idx="82">
                  <c:v>EMP0083</c:v>
                </c:pt>
                <c:pt idx="83">
                  <c:v>EMP0084</c:v>
                </c:pt>
                <c:pt idx="84">
                  <c:v>EMP0085</c:v>
                </c:pt>
                <c:pt idx="85">
                  <c:v>EMP0086</c:v>
                </c:pt>
                <c:pt idx="86">
                  <c:v>EMP0087</c:v>
                </c:pt>
                <c:pt idx="87">
                  <c:v>EMP0088</c:v>
                </c:pt>
                <c:pt idx="88">
                  <c:v>EMP0089</c:v>
                </c:pt>
                <c:pt idx="89">
                  <c:v>EMP0090</c:v>
                </c:pt>
                <c:pt idx="90">
                  <c:v>EMP0091</c:v>
                </c:pt>
                <c:pt idx="91">
                  <c:v>EMP0092</c:v>
                </c:pt>
                <c:pt idx="92">
                  <c:v>EMP0093</c:v>
                </c:pt>
                <c:pt idx="93">
                  <c:v>EMP0094</c:v>
                </c:pt>
                <c:pt idx="94">
                  <c:v>EMP0095</c:v>
                </c:pt>
                <c:pt idx="95">
                  <c:v>EMP0096</c:v>
                </c:pt>
                <c:pt idx="96">
                  <c:v>EMP0097</c:v>
                </c:pt>
                <c:pt idx="97">
                  <c:v>EMP0098</c:v>
                </c:pt>
                <c:pt idx="98">
                  <c:v>EMP0099</c:v>
                </c:pt>
                <c:pt idx="99">
                  <c:v>EMP0100</c:v>
                </c:pt>
                <c:pt idx="100">
                  <c:v>EMP0101</c:v>
                </c:pt>
                <c:pt idx="101">
                  <c:v>EMP0102</c:v>
                </c:pt>
                <c:pt idx="102">
                  <c:v>EMP0103</c:v>
                </c:pt>
                <c:pt idx="103">
                  <c:v>EMP0104</c:v>
                </c:pt>
                <c:pt idx="104">
                  <c:v>EMP0105</c:v>
                </c:pt>
                <c:pt idx="105">
                  <c:v>EMP0106</c:v>
                </c:pt>
                <c:pt idx="106">
                  <c:v>EMP0107</c:v>
                </c:pt>
                <c:pt idx="107">
                  <c:v>EMP0108</c:v>
                </c:pt>
                <c:pt idx="108">
                  <c:v>EMP0109</c:v>
                </c:pt>
                <c:pt idx="109">
                  <c:v>EMP0110</c:v>
                </c:pt>
                <c:pt idx="110">
                  <c:v>EMP0111</c:v>
                </c:pt>
                <c:pt idx="111">
                  <c:v>EMP0112</c:v>
                </c:pt>
                <c:pt idx="112">
                  <c:v>EMP0113</c:v>
                </c:pt>
                <c:pt idx="113">
                  <c:v>EMP0114</c:v>
                </c:pt>
                <c:pt idx="114">
                  <c:v>EMP0115</c:v>
                </c:pt>
                <c:pt idx="115">
                  <c:v>EMP0116</c:v>
                </c:pt>
                <c:pt idx="116">
                  <c:v>EMP0117</c:v>
                </c:pt>
                <c:pt idx="117">
                  <c:v>EMP0118</c:v>
                </c:pt>
                <c:pt idx="118">
                  <c:v>EMP0119</c:v>
                </c:pt>
                <c:pt idx="119">
                  <c:v>EMP0120</c:v>
                </c:pt>
                <c:pt idx="120">
                  <c:v>EMP0121</c:v>
                </c:pt>
                <c:pt idx="121">
                  <c:v>EMP0122</c:v>
                </c:pt>
                <c:pt idx="122">
                  <c:v>EMP0123</c:v>
                </c:pt>
                <c:pt idx="123">
                  <c:v>EMP0124</c:v>
                </c:pt>
                <c:pt idx="124">
                  <c:v>EMP0125</c:v>
                </c:pt>
                <c:pt idx="125">
                  <c:v>EMP0126</c:v>
                </c:pt>
                <c:pt idx="126">
                  <c:v>EMP0127</c:v>
                </c:pt>
                <c:pt idx="127">
                  <c:v>EMP0128</c:v>
                </c:pt>
                <c:pt idx="128">
                  <c:v>EMP0129</c:v>
                </c:pt>
                <c:pt idx="129">
                  <c:v>EMP0130</c:v>
                </c:pt>
                <c:pt idx="130">
                  <c:v>EMP0131</c:v>
                </c:pt>
                <c:pt idx="131">
                  <c:v>EMP0132</c:v>
                </c:pt>
                <c:pt idx="132">
                  <c:v>EMP0133</c:v>
                </c:pt>
                <c:pt idx="133">
                  <c:v>EMP0134</c:v>
                </c:pt>
                <c:pt idx="134">
                  <c:v>EMP0135</c:v>
                </c:pt>
                <c:pt idx="135">
                  <c:v>EMP0136</c:v>
                </c:pt>
                <c:pt idx="136">
                  <c:v>EMP0137</c:v>
                </c:pt>
                <c:pt idx="137">
                  <c:v>EMP0138</c:v>
                </c:pt>
                <c:pt idx="138">
                  <c:v>EMP0139</c:v>
                </c:pt>
                <c:pt idx="139">
                  <c:v>EMP0140</c:v>
                </c:pt>
                <c:pt idx="140">
                  <c:v>EMP0141</c:v>
                </c:pt>
                <c:pt idx="141">
                  <c:v>EMP0142</c:v>
                </c:pt>
                <c:pt idx="142">
                  <c:v>EMP0143</c:v>
                </c:pt>
                <c:pt idx="143">
                  <c:v>EMP0144</c:v>
                </c:pt>
                <c:pt idx="144">
                  <c:v>EMP0145</c:v>
                </c:pt>
                <c:pt idx="145">
                  <c:v>EMP0146</c:v>
                </c:pt>
                <c:pt idx="146">
                  <c:v>EMP0147</c:v>
                </c:pt>
                <c:pt idx="147">
                  <c:v>EMP0148</c:v>
                </c:pt>
                <c:pt idx="148">
                  <c:v>EMP0149</c:v>
                </c:pt>
                <c:pt idx="149">
                  <c:v>EMP0150</c:v>
                </c:pt>
                <c:pt idx="150">
                  <c:v>EMP0151</c:v>
                </c:pt>
                <c:pt idx="151">
                  <c:v>EMP0152</c:v>
                </c:pt>
                <c:pt idx="152">
                  <c:v>EMP0153</c:v>
                </c:pt>
                <c:pt idx="153">
                  <c:v>EMP0154</c:v>
                </c:pt>
                <c:pt idx="154">
                  <c:v>EMP0155</c:v>
                </c:pt>
                <c:pt idx="155">
                  <c:v>EMP0156</c:v>
                </c:pt>
                <c:pt idx="156">
                  <c:v>EMP0157</c:v>
                </c:pt>
                <c:pt idx="157">
                  <c:v>EMP0158</c:v>
                </c:pt>
                <c:pt idx="158">
                  <c:v>EMP0159</c:v>
                </c:pt>
                <c:pt idx="159">
                  <c:v>EMP0160</c:v>
                </c:pt>
                <c:pt idx="160">
                  <c:v>EMP0161</c:v>
                </c:pt>
                <c:pt idx="161">
                  <c:v>EMP0162</c:v>
                </c:pt>
                <c:pt idx="162">
                  <c:v>EMP0163</c:v>
                </c:pt>
                <c:pt idx="163">
                  <c:v>EMP0164</c:v>
                </c:pt>
                <c:pt idx="164">
                  <c:v>EMP0165</c:v>
                </c:pt>
                <c:pt idx="165">
                  <c:v>EMP0166</c:v>
                </c:pt>
                <c:pt idx="166">
                  <c:v>EMP0167</c:v>
                </c:pt>
                <c:pt idx="167">
                  <c:v>EMP0168</c:v>
                </c:pt>
                <c:pt idx="168">
                  <c:v>EMP0169</c:v>
                </c:pt>
                <c:pt idx="169">
                  <c:v>EMP0170</c:v>
                </c:pt>
                <c:pt idx="170">
                  <c:v>EMP0171</c:v>
                </c:pt>
                <c:pt idx="171">
                  <c:v>EMP0172</c:v>
                </c:pt>
                <c:pt idx="172">
                  <c:v>EMP0173</c:v>
                </c:pt>
                <c:pt idx="173">
                  <c:v>EMP0174</c:v>
                </c:pt>
                <c:pt idx="174">
                  <c:v>EMP0175</c:v>
                </c:pt>
                <c:pt idx="175">
                  <c:v>EMP0176</c:v>
                </c:pt>
                <c:pt idx="176">
                  <c:v>EMP0177</c:v>
                </c:pt>
                <c:pt idx="177">
                  <c:v>EMP0178</c:v>
                </c:pt>
                <c:pt idx="178">
                  <c:v>EMP0179</c:v>
                </c:pt>
                <c:pt idx="179">
                  <c:v>EMP0180</c:v>
                </c:pt>
                <c:pt idx="180">
                  <c:v>EMP0181</c:v>
                </c:pt>
                <c:pt idx="181">
                  <c:v>EMP0182</c:v>
                </c:pt>
                <c:pt idx="182">
                  <c:v>EMP0183</c:v>
                </c:pt>
                <c:pt idx="183">
                  <c:v>EMP0184</c:v>
                </c:pt>
                <c:pt idx="184">
                  <c:v>EMP0185</c:v>
                </c:pt>
                <c:pt idx="185">
                  <c:v>EMP0186</c:v>
                </c:pt>
                <c:pt idx="186">
                  <c:v>EMP0187</c:v>
                </c:pt>
                <c:pt idx="187">
                  <c:v>EMP0188</c:v>
                </c:pt>
                <c:pt idx="188">
                  <c:v>EMP0189</c:v>
                </c:pt>
                <c:pt idx="189">
                  <c:v>EMP0190</c:v>
                </c:pt>
                <c:pt idx="190">
                  <c:v>EMP0191</c:v>
                </c:pt>
                <c:pt idx="191">
                  <c:v>EMP0192</c:v>
                </c:pt>
                <c:pt idx="192">
                  <c:v>EMP0193</c:v>
                </c:pt>
                <c:pt idx="193">
                  <c:v>EMP0194</c:v>
                </c:pt>
                <c:pt idx="194">
                  <c:v>EMP0195</c:v>
                </c:pt>
                <c:pt idx="195">
                  <c:v>EMP0196</c:v>
                </c:pt>
                <c:pt idx="196">
                  <c:v>EMP0197</c:v>
                </c:pt>
                <c:pt idx="197">
                  <c:v>EMP0198</c:v>
                </c:pt>
                <c:pt idx="198">
                  <c:v>EMP0199</c:v>
                </c:pt>
                <c:pt idx="199">
                  <c:v>EMP0200</c:v>
                </c:pt>
                <c:pt idx="200">
                  <c:v>EMP0201</c:v>
                </c:pt>
                <c:pt idx="201">
                  <c:v>EMP0202</c:v>
                </c:pt>
                <c:pt idx="202">
                  <c:v>EMP0203</c:v>
                </c:pt>
                <c:pt idx="203">
                  <c:v>EMP0204</c:v>
                </c:pt>
                <c:pt idx="204">
                  <c:v>EMP0205</c:v>
                </c:pt>
                <c:pt idx="205">
                  <c:v>EMP0206</c:v>
                </c:pt>
                <c:pt idx="206">
                  <c:v>EMP0207</c:v>
                </c:pt>
                <c:pt idx="207">
                  <c:v>EMP0208</c:v>
                </c:pt>
                <c:pt idx="208">
                  <c:v>EMP0209</c:v>
                </c:pt>
                <c:pt idx="209">
                  <c:v>EMP0210</c:v>
                </c:pt>
                <c:pt idx="210">
                  <c:v>EMP0211</c:v>
                </c:pt>
                <c:pt idx="211">
                  <c:v>EMP0212</c:v>
                </c:pt>
                <c:pt idx="212">
                  <c:v>EMP0213</c:v>
                </c:pt>
                <c:pt idx="213">
                  <c:v>EMP0214</c:v>
                </c:pt>
                <c:pt idx="214">
                  <c:v>EMP0215</c:v>
                </c:pt>
                <c:pt idx="215">
                  <c:v>EMP0216</c:v>
                </c:pt>
                <c:pt idx="216">
                  <c:v>EMP0217</c:v>
                </c:pt>
                <c:pt idx="217">
                  <c:v>EMP0218</c:v>
                </c:pt>
                <c:pt idx="218">
                  <c:v>EMP0219</c:v>
                </c:pt>
                <c:pt idx="219">
                  <c:v>EMP0220</c:v>
                </c:pt>
                <c:pt idx="220">
                  <c:v>EMP0221</c:v>
                </c:pt>
                <c:pt idx="221">
                  <c:v>EMP0222</c:v>
                </c:pt>
                <c:pt idx="222">
                  <c:v>EMP0223</c:v>
                </c:pt>
                <c:pt idx="223">
                  <c:v>EMP0224</c:v>
                </c:pt>
                <c:pt idx="224">
                  <c:v>EMP0225</c:v>
                </c:pt>
                <c:pt idx="225">
                  <c:v>EMP0226</c:v>
                </c:pt>
                <c:pt idx="226">
                  <c:v>EMP0227</c:v>
                </c:pt>
                <c:pt idx="227">
                  <c:v>EMP0228</c:v>
                </c:pt>
                <c:pt idx="228">
                  <c:v>EMP0229</c:v>
                </c:pt>
                <c:pt idx="229">
                  <c:v>EMP0230</c:v>
                </c:pt>
                <c:pt idx="230">
                  <c:v>EMP0231</c:v>
                </c:pt>
                <c:pt idx="231">
                  <c:v>EMP0232</c:v>
                </c:pt>
                <c:pt idx="232">
                  <c:v>EMP0233</c:v>
                </c:pt>
                <c:pt idx="233">
                  <c:v>EMP0234</c:v>
                </c:pt>
                <c:pt idx="234">
                  <c:v>EMP0235</c:v>
                </c:pt>
                <c:pt idx="235">
                  <c:v>EMP0236</c:v>
                </c:pt>
                <c:pt idx="236">
                  <c:v>EMP0237</c:v>
                </c:pt>
                <c:pt idx="237">
                  <c:v>EMP0238</c:v>
                </c:pt>
                <c:pt idx="238">
                  <c:v>EMP0239</c:v>
                </c:pt>
                <c:pt idx="239">
                  <c:v>EMP0240</c:v>
                </c:pt>
                <c:pt idx="240">
                  <c:v>EMP0241</c:v>
                </c:pt>
                <c:pt idx="241">
                  <c:v>EMP0242</c:v>
                </c:pt>
                <c:pt idx="242">
                  <c:v>EMP0243</c:v>
                </c:pt>
                <c:pt idx="243">
                  <c:v>EMP0244</c:v>
                </c:pt>
                <c:pt idx="244">
                  <c:v>EMP0245</c:v>
                </c:pt>
                <c:pt idx="245">
                  <c:v>EMP0246</c:v>
                </c:pt>
                <c:pt idx="246">
                  <c:v>EMP0247</c:v>
                </c:pt>
                <c:pt idx="247">
                  <c:v>EMP0248</c:v>
                </c:pt>
                <c:pt idx="248">
                  <c:v>EMP0249</c:v>
                </c:pt>
                <c:pt idx="249">
                  <c:v>EMP0250</c:v>
                </c:pt>
                <c:pt idx="250">
                  <c:v>EMP0251</c:v>
                </c:pt>
                <c:pt idx="251">
                  <c:v>EMP0252</c:v>
                </c:pt>
                <c:pt idx="252">
                  <c:v>EMP0253</c:v>
                </c:pt>
                <c:pt idx="253">
                  <c:v>EMP0254</c:v>
                </c:pt>
                <c:pt idx="254">
                  <c:v>EMP0255</c:v>
                </c:pt>
                <c:pt idx="255">
                  <c:v>EMP0256</c:v>
                </c:pt>
                <c:pt idx="256">
                  <c:v>EMP0257</c:v>
                </c:pt>
                <c:pt idx="257">
                  <c:v>EMP0258</c:v>
                </c:pt>
                <c:pt idx="258">
                  <c:v>EMP0259</c:v>
                </c:pt>
                <c:pt idx="259">
                  <c:v>EMP0260</c:v>
                </c:pt>
                <c:pt idx="260">
                  <c:v>EMP0261</c:v>
                </c:pt>
                <c:pt idx="261">
                  <c:v>EMP0262</c:v>
                </c:pt>
                <c:pt idx="262">
                  <c:v>EMP0263</c:v>
                </c:pt>
                <c:pt idx="263">
                  <c:v>EMP0264</c:v>
                </c:pt>
                <c:pt idx="264">
                  <c:v>EMP0265</c:v>
                </c:pt>
                <c:pt idx="265">
                  <c:v>EMP0266</c:v>
                </c:pt>
                <c:pt idx="266">
                  <c:v>EMP0267</c:v>
                </c:pt>
                <c:pt idx="267">
                  <c:v>EMP0268</c:v>
                </c:pt>
                <c:pt idx="268">
                  <c:v>EMP0269</c:v>
                </c:pt>
                <c:pt idx="269">
                  <c:v>EMP0270</c:v>
                </c:pt>
                <c:pt idx="270">
                  <c:v>EMP0271</c:v>
                </c:pt>
                <c:pt idx="271">
                  <c:v>EMP0272</c:v>
                </c:pt>
                <c:pt idx="272">
                  <c:v>EMP0273</c:v>
                </c:pt>
                <c:pt idx="273">
                  <c:v>EMP0274</c:v>
                </c:pt>
                <c:pt idx="274">
                  <c:v>EMP0275</c:v>
                </c:pt>
                <c:pt idx="275">
                  <c:v>EMP0276</c:v>
                </c:pt>
                <c:pt idx="276">
                  <c:v>EMP0277</c:v>
                </c:pt>
                <c:pt idx="277">
                  <c:v>EMP0278</c:v>
                </c:pt>
                <c:pt idx="278">
                  <c:v>EMP0279</c:v>
                </c:pt>
                <c:pt idx="279">
                  <c:v>EMP0280</c:v>
                </c:pt>
                <c:pt idx="280">
                  <c:v>EMP0281</c:v>
                </c:pt>
                <c:pt idx="281">
                  <c:v>EMP0282</c:v>
                </c:pt>
                <c:pt idx="282">
                  <c:v>EMP0283</c:v>
                </c:pt>
                <c:pt idx="283">
                  <c:v>EMP0284</c:v>
                </c:pt>
                <c:pt idx="284">
                  <c:v>EMP0285</c:v>
                </c:pt>
                <c:pt idx="285">
                  <c:v>EMP0286</c:v>
                </c:pt>
                <c:pt idx="286">
                  <c:v>EMP0287</c:v>
                </c:pt>
                <c:pt idx="287">
                  <c:v>EMP0288</c:v>
                </c:pt>
                <c:pt idx="288">
                  <c:v>EMP0289</c:v>
                </c:pt>
                <c:pt idx="289">
                  <c:v>EMP0290</c:v>
                </c:pt>
                <c:pt idx="290">
                  <c:v>EMP0291</c:v>
                </c:pt>
                <c:pt idx="291">
                  <c:v>EMP0292</c:v>
                </c:pt>
                <c:pt idx="292">
                  <c:v>EMP0293</c:v>
                </c:pt>
                <c:pt idx="293">
                  <c:v>EMP0294</c:v>
                </c:pt>
                <c:pt idx="294">
                  <c:v>EMP0295</c:v>
                </c:pt>
                <c:pt idx="295">
                  <c:v>EMP0296</c:v>
                </c:pt>
                <c:pt idx="296">
                  <c:v>EMP0297</c:v>
                </c:pt>
                <c:pt idx="297">
                  <c:v>EMP0298</c:v>
                </c:pt>
                <c:pt idx="298">
                  <c:v>EMP0299</c:v>
                </c:pt>
                <c:pt idx="299">
                  <c:v>EMP0300</c:v>
                </c:pt>
                <c:pt idx="300">
                  <c:v>EMP0301</c:v>
                </c:pt>
                <c:pt idx="301">
                  <c:v>EMP0302</c:v>
                </c:pt>
                <c:pt idx="302">
                  <c:v>EMP0303</c:v>
                </c:pt>
                <c:pt idx="303">
                  <c:v>EMP0304</c:v>
                </c:pt>
                <c:pt idx="304">
                  <c:v>EMP0305</c:v>
                </c:pt>
                <c:pt idx="305">
                  <c:v>EMP0306</c:v>
                </c:pt>
                <c:pt idx="306">
                  <c:v>EMP0307</c:v>
                </c:pt>
                <c:pt idx="307">
                  <c:v>EMP0308</c:v>
                </c:pt>
                <c:pt idx="308">
                  <c:v>EMP0309</c:v>
                </c:pt>
                <c:pt idx="309">
                  <c:v>EMP0310</c:v>
                </c:pt>
                <c:pt idx="310">
                  <c:v>EMP0311</c:v>
                </c:pt>
                <c:pt idx="311">
                  <c:v>EMP0312</c:v>
                </c:pt>
                <c:pt idx="312">
                  <c:v>EMP0313</c:v>
                </c:pt>
                <c:pt idx="313">
                  <c:v>EMP0314</c:v>
                </c:pt>
                <c:pt idx="314">
                  <c:v>EMP0315</c:v>
                </c:pt>
                <c:pt idx="315">
                  <c:v>EMP0316</c:v>
                </c:pt>
                <c:pt idx="316">
                  <c:v>EMP0317</c:v>
                </c:pt>
                <c:pt idx="317">
                  <c:v>EMP0318</c:v>
                </c:pt>
                <c:pt idx="318">
                  <c:v>EMP0319</c:v>
                </c:pt>
                <c:pt idx="319">
                  <c:v>EMP0320</c:v>
                </c:pt>
                <c:pt idx="320">
                  <c:v>EMP0321</c:v>
                </c:pt>
                <c:pt idx="321">
                  <c:v>EMP0322</c:v>
                </c:pt>
                <c:pt idx="322">
                  <c:v>EMP0323</c:v>
                </c:pt>
                <c:pt idx="323">
                  <c:v>EMP0324</c:v>
                </c:pt>
                <c:pt idx="324">
                  <c:v>EMP0325</c:v>
                </c:pt>
                <c:pt idx="325">
                  <c:v>EMP0326</c:v>
                </c:pt>
                <c:pt idx="326">
                  <c:v>EMP0327</c:v>
                </c:pt>
                <c:pt idx="327">
                  <c:v>EMP0328</c:v>
                </c:pt>
                <c:pt idx="328">
                  <c:v>EMP0329</c:v>
                </c:pt>
                <c:pt idx="329">
                  <c:v>EMP0330</c:v>
                </c:pt>
                <c:pt idx="330">
                  <c:v>EMP0331</c:v>
                </c:pt>
                <c:pt idx="331">
                  <c:v>EMP0332</c:v>
                </c:pt>
                <c:pt idx="332">
                  <c:v>EMP0333</c:v>
                </c:pt>
                <c:pt idx="333">
                  <c:v>EMP0334</c:v>
                </c:pt>
                <c:pt idx="334">
                  <c:v>EMP0335</c:v>
                </c:pt>
                <c:pt idx="335">
                  <c:v>EMP0336</c:v>
                </c:pt>
                <c:pt idx="336">
                  <c:v>EMP0337</c:v>
                </c:pt>
                <c:pt idx="337">
                  <c:v>EMP0338</c:v>
                </c:pt>
                <c:pt idx="338">
                  <c:v>EMP0339</c:v>
                </c:pt>
                <c:pt idx="339">
                  <c:v>EMP0340</c:v>
                </c:pt>
                <c:pt idx="340">
                  <c:v>EMP0341</c:v>
                </c:pt>
                <c:pt idx="341">
                  <c:v>EMP0342</c:v>
                </c:pt>
                <c:pt idx="342">
                  <c:v>EMP0343</c:v>
                </c:pt>
                <c:pt idx="343">
                  <c:v>EMP0344</c:v>
                </c:pt>
                <c:pt idx="344">
                  <c:v>EMP0345</c:v>
                </c:pt>
                <c:pt idx="345">
                  <c:v>EMP0346</c:v>
                </c:pt>
                <c:pt idx="346">
                  <c:v>EMP0347</c:v>
                </c:pt>
                <c:pt idx="347">
                  <c:v>EMP0348</c:v>
                </c:pt>
                <c:pt idx="348">
                  <c:v>EMP0349</c:v>
                </c:pt>
                <c:pt idx="349">
                  <c:v>EMP0350</c:v>
                </c:pt>
                <c:pt idx="350">
                  <c:v>EMP0351</c:v>
                </c:pt>
                <c:pt idx="351">
                  <c:v>EMP0352</c:v>
                </c:pt>
                <c:pt idx="352">
                  <c:v>EMP0353</c:v>
                </c:pt>
                <c:pt idx="353">
                  <c:v>EMP0354</c:v>
                </c:pt>
                <c:pt idx="354">
                  <c:v>EMP0355</c:v>
                </c:pt>
                <c:pt idx="355">
                  <c:v>EMP0356</c:v>
                </c:pt>
                <c:pt idx="356">
                  <c:v>EMP0357</c:v>
                </c:pt>
                <c:pt idx="357">
                  <c:v>EMP0358</c:v>
                </c:pt>
                <c:pt idx="358">
                  <c:v>EMP0359</c:v>
                </c:pt>
                <c:pt idx="359">
                  <c:v>EMP0360</c:v>
                </c:pt>
                <c:pt idx="360">
                  <c:v>EMP0361</c:v>
                </c:pt>
                <c:pt idx="361">
                  <c:v>EMP0362</c:v>
                </c:pt>
                <c:pt idx="362">
                  <c:v>EMP0363</c:v>
                </c:pt>
                <c:pt idx="363">
                  <c:v>EMP0364</c:v>
                </c:pt>
                <c:pt idx="364">
                  <c:v>EMP0365</c:v>
                </c:pt>
                <c:pt idx="365">
                  <c:v>EMP0366</c:v>
                </c:pt>
                <c:pt idx="366">
                  <c:v>EMP0367</c:v>
                </c:pt>
                <c:pt idx="367">
                  <c:v>EMP0368</c:v>
                </c:pt>
                <c:pt idx="368">
                  <c:v>EMP0369</c:v>
                </c:pt>
                <c:pt idx="369">
                  <c:v>EMP0370</c:v>
                </c:pt>
                <c:pt idx="370">
                  <c:v>EMP0371</c:v>
                </c:pt>
                <c:pt idx="371">
                  <c:v>EMP0372</c:v>
                </c:pt>
                <c:pt idx="372">
                  <c:v>EMP0373</c:v>
                </c:pt>
                <c:pt idx="373">
                  <c:v>EMP0374</c:v>
                </c:pt>
                <c:pt idx="374">
                  <c:v>EMP0375</c:v>
                </c:pt>
                <c:pt idx="375">
                  <c:v>EMP0376</c:v>
                </c:pt>
                <c:pt idx="376">
                  <c:v>EMP0377</c:v>
                </c:pt>
                <c:pt idx="377">
                  <c:v>EMP0378</c:v>
                </c:pt>
                <c:pt idx="378">
                  <c:v>EMP0379</c:v>
                </c:pt>
                <c:pt idx="379">
                  <c:v>EMP0380</c:v>
                </c:pt>
                <c:pt idx="380">
                  <c:v>EMP0381</c:v>
                </c:pt>
                <c:pt idx="381">
                  <c:v>EMP0382</c:v>
                </c:pt>
                <c:pt idx="382">
                  <c:v>EMP0383</c:v>
                </c:pt>
                <c:pt idx="383">
                  <c:v>EMP0384</c:v>
                </c:pt>
                <c:pt idx="384">
                  <c:v>EMP0385</c:v>
                </c:pt>
                <c:pt idx="385">
                  <c:v>EMP0386</c:v>
                </c:pt>
                <c:pt idx="386">
                  <c:v>EMP0387</c:v>
                </c:pt>
                <c:pt idx="387">
                  <c:v>EMP0388</c:v>
                </c:pt>
                <c:pt idx="388">
                  <c:v>EMP0389</c:v>
                </c:pt>
                <c:pt idx="389">
                  <c:v>EMP0390</c:v>
                </c:pt>
                <c:pt idx="390">
                  <c:v>EMP0391</c:v>
                </c:pt>
                <c:pt idx="391">
                  <c:v>EMP0392</c:v>
                </c:pt>
                <c:pt idx="392">
                  <c:v>EMP0393</c:v>
                </c:pt>
                <c:pt idx="393">
                  <c:v>EMP0394</c:v>
                </c:pt>
                <c:pt idx="394">
                  <c:v>EMP0395</c:v>
                </c:pt>
                <c:pt idx="395">
                  <c:v>EMP0396</c:v>
                </c:pt>
                <c:pt idx="396">
                  <c:v>EMP0397</c:v>
                </c:pt>
                <c:pt idx="397">
                  <c:v>EMP0398</c:v>
                </c:pt>
                <c:pt idx="398">
                  <c:v>EMP0399</c:v>
                </c:pt>
                <c:pt idx="399">
                  <c:v>EMP0400</c:v>
                </c:pt>
                <c:pt idx="400">
                  <c:v>EMP0401</c:v>
                </c:pt>
                <c:pt idx="401">
                  <c:v>EMP0402</c:v>
                </c:pt>
                <c:pt idx="402">
                  <c:v>EMP0403</c:v>
                </c:pt>
                <c:pt idx="403">
                  <c:v>EMP0404</c:v>
                </c:pt>
                <c:pt idx="404">
                  <c:v>EMP0405</c:v>
                </c:pt>
                <c:pt idx="405">
                  <c:v>EMP0406</c:v>
                </c:pt>
                <c:pt idx="406">
                  <c:v>EMP0407</c:v>
                </c:pt>
                <c:pt idx="407">
                  <c:v>EMP0408</c:v>
                </c:pt>
                <c:pt idx="408">
                  <c:v>EMP0409</c:v>
                </c:pt>
                <c:pt idx="409">
                  <c:v>EMP0410</c:v>
                </c:pt>
                <c:pt idx="410">
                  <c:v>EMP0411</c:v>
                </c:pt>
                <c:pt idx="411">
                  <c:v>EMP0412</c:v>
                </c:pt>
                <c:pt idx="412">
                  <c:v>EMP0413</c:v>
                </c:pt>
                <c:pt idx="413">
                  <c:v>EMP0414</c:v>
                </c:pt>
                <c:pt idx="414">
                  <c:v>EMP0415</c:v>
                </c:pt>
                <c:pt idx="415">
                  <c:v>EMP0416</c:v>
                </c:pt>
                <c:pt idx="416">
                  <c:v>EMP0417</c:v>
                </c:pt>
                <c:pt idx="417">
                  <c:v>EMP0418</c:v>
                </c:pt>
                <c:pt idx="418">
                  <c:v>EMP0419</c:v>
                </c:pt>
                <c:pt idx="419">
                  <c:v>EMP0420</c:v>
                </c:pt>
                <c:pt idx="420">
                  <c:v>EMP0421</c:v>
                </c:pt>
                <c:pt idx="421">
                  <c:v>EMP0422</c:v>
                </c:pt>
                <c:pt idx="422">
                  <c:v>EMP0423</c:v>
                </c:pt>
                <c:pt idx="423">
                  <c:v>EMP0424</c:v>
                </c:pt>
                <c:pt idx="424">
                  <c:v>EMP0425</c:v>
                </c:pt>
                <c:pt idx="425">
                  <c:v>EMP0426</c:v>
                </c:pt>
                <c:pt idx="426">
                  <c:v>EMP0427</c:v>
                </c:pt>
                <c:pt idx="427">
                  <c:v>EMP0428</c:v>
                </c:pt>
                <c:pt idx="428">
                  <c:v>EMP0429</c:v>
                </c:pt>
                <c:pt idx="429">
                  <c:v>EMP0430</c:v>
                </c:pt>
                <c:pt idx="430">
                  <c:v>EMP0431</c:v>
                </c:pt>
                <c:pt idx="431">
                  <c:v>EMP0432</c:v>
                </c:pt>
                <c:pt idx="432">
                  <c:v>EMP0433</c:v>
                </c:pt>
                <c:pt idx="433">
                  <c:v>EMP0434</c:v>
                </c:pt>
                <c:pt idx="434">
                  <c:v>EMP0435</c:v>
                </c:pt>
                <c:pt idx="435">
                  <c:v>EMP0436</c:v>
                </c:pt>
                <c:pt idx="436">
                  <c:v>EMP0437</c:v>
                </c:pt>
                <c:pt idx="437">
                  <c:v>EMP0438</c:v>
                </c:pt>
                <c:pt idx="438">
                  <c:v>EMP0439</c:v>
                </c:pt>
                <c:pt idx="439">
                  <c:v>EMP0440</c:v>
                </c:pt>
                <c:pt idx="440">
                  <c:v>EMP0441</c:v>
                </c:pt>
                <c:pt idx="441">
                  <c:v>EMP0442</c:v>
                </c:pt>
                <c:pt idx="442">
                  <c:v>EMP0443</c:v>
                </c:pt>
                <c:pt idx="443">
                  <c:v>EMP0444</c:v>
                </c:pt>
                <c:pt idx="444">
                  <c:v>EMP0445</c:v>
                </c:pt>
                <c:pt idx="445">
                  <c:v>EMP0446</c:v>
                </c:pt>
                <c:pt idx="446">
                  <c:v>EMP0447</c:v>
                </c:pt>
                <c:pt idx="447">
                  <c:v>EMP0448</c:v>
                </c:pt>
                <c:pt idx="448">
                  <c:v>EMP0449</c:v>
                </c:pt>
                <c:pt idx="449">
                  <c:v>EMP0450</c:v>
                </c:pt>
                <c:pt idx="450">
                  <c:v>EMP0451</c:v>
                </c:pt>
                <c:pt idx="451">
                  <c:v>EMP0452</c:v>
                </c:pt>
                <c:pt idx="452">
                  <c:v>EMP0453</c:v>
                </c:pt>
                <c:pt idx="453">
                  <c:v>EMP0454</c:v>
                </c:pt>
                <c:pt idx="454">
                  <c:v>EMP0455</c:v>
                </c:pt>
                <c:pt idx="455">
                  <c:v>EMP0456</c:v>
                </c:pt>
                <c:pt idx="456">
                  <c:v>EMP0457</c:v>
                </c:pt>
                <c:pt idx="457">
                  <c:v>EMP0458</c:v>
                </c:pt>
                <c:pt idx="458">
                  <c:v>EMP0459</c:v>
                </c:pt>
                <c:pt idx="459">
                  <c:v>EMP0460</c:v>
                </c:pt>
                <c:pt idx="460">
                  <c:v>EMP0461</c:v>
                </c:pt>
                <c:pt idx="461">
                  <c:v>EMP0462</c:v>
                </c:pt>
                <c:pt idx="462">
                  <c:v>EMP0463</c:v>
                </c:pt>
                <c:pt idx="463">
                  <c:v>EMP0464</c:v>
                </c:pt>
                <c:pt idx="464">
                  <c:v>EMP0465</c:v>
                </c:pt>
                <c:pt idx="465">
                  <c:v>EMP0466</c:v>
                </c:pt>
                <c:pt idx="466">
                  <c:v>EMP0467</c:v>
                </c:pt>
                <c:pt idx="467">
                  <c:v>EMP0468</c:v>
                </c:pt>
                <c:pt idx="468">
                  <c:v>EMP0469</c:v>
                </c:pt>
                <c:pt idx="469">
                  <c:v>EMP0470</c:v>
                </c:pt>
                <c:pt idx="470">
                  <c:v>EMP0471</c:v>
                </c:pt>
                <c:pt idx="471">
                  <c:v>EMP0472</c:v>
                </c:pt>
                <c:pt idx="472">
                  <c:v>EMP0473</c:v>
                </c:pt>
                <c:pt idx="473">
                  <c:v>EMP0474</c:v>
                </c:pt>
                <c:pt idx="474">
                  <c:v>EMP0475</c:v>
                </c:pt>
                <c:pt idx="475">
                  <c:v>EMP0476</c:v>
                </c:pt>
                <c:pt idx="476">
                  <c:v>EMP0477</c:v>
                </c:pt>
                <c:pt idx="477">
                  <c:v>EMP0478</c:v>
                </c:pt>
                <c:pt idx="478">
                  <c:v>EMP0479</c:v>
                </c:pt>
                <c:pt idx="479">
                  <c:v>EMP0480</c:v>
                </c:pt>
                <c:pt idx="480">
                  <c:v>EMP0481</c:v>
                </c:pt>
                <c:pt idx="481">
                  <c:v>EMP0482</c:v>
                </c:pt>
                <c:pt idx="482">
                  <c:v>EMP0483</c:v>
                </c:pt>
                <c:pt idx="483">
                  <c:v>EMP0484</c:v>
                </c:pt>
                <c:pt idx="484">
                  <c:v>EMP0485</c:v>
                </c:pt>
                <c:pt idx="485">
                  <c:v>EMP0486</c:v>
                </c:pt>
                <c:pt idx="486">
                  <c:v>EMP0487</c:v>
                </c:pt>
                <c:pt idx="487">
                  <c:v>EMP0488</c:v>
                </c:pt>
                <c:pt idx="488">
                  <c:v>EMP0489</c:v>
                </c:pt>
                <c:pt idx="489">
                  <c:v>EMP0490</c:v>
                </c:pt>
                <c:pt idx="490">
                  <c:v>EMP0491</c:v>
                </c:pt>
                <c:pt idx="491">
                  <c:v>EMP0492</c:v>
                </c:pt>
                <c:pt idx="492">
                  <c:v>EMP0493</c:v>
                </c:pt>
                <c:pt idx="493">
                  <c:v>EMP0494</c:v>
                </c:pt>
                <c:pt idx="494">
                  <c:v>EMP0495</c:v>
                </c:pt>
                <c:pt idx="495">
                  <c:v>EMP0496</c:v>
                </c:pt>
                <c:pt idx="496">
                  <c:v>EMP0497</c:v>
                </c:pt>
                <c:pt idx="497">
                  <c:v>EMP0498</c:v>
                </c:pt>
                <c:pt idx="498">
                  <c:v>EMP0499</c:v>
                </c:pt>
                <c:pt idx="499">
                  <c:v>EMP0500</c:v>
                </c:pt>
                <c:pt idx="500">
                  <c:v>EMP0501</c:v>
                </c:pt>
                <c:pt idx="501">
                  <c:v>EMP0502</c:v>
                </c:pt>
                <c:pt idx="502">
                  <c:v>EMP0503</c:v>
                </c:pt>
                <c:pt idx="503">
                  <c:v>EMP0504</c:v>
                </c:pt>
                <c:pt idx="504">
                  <c:v>EMP0505</c:v>
                </c:pt>
                <c:pt idx="505">
                  <c:v>EMP0506</c:v>
                </c:pt>
                <c:pt idx="506">
                  <c:v>EMP0507</c:v>
                </c:pt>
                <c:pt idx="507">
                  <c:v>EMP0508</c:v>
                </c:pt>
                <c:pt idx="508">
                  <c:v>EMP0509</c:v>
                </c:pt>
                <c:pt idx="509">
                  <c:v>EMP0510</c:v>
                </c:pt>
                <c:pt idx="510">
                  <c:v>EMP0511</c:v>
                </c:pt>
                <c:pt idx="511">
                  <c:v>EMP0512</c:v>
                </c:pt>
                <c:pt idx="512">
                  <c:v>EMP0513</c:v>
                </c:pt>
                <c:pt idx="513">
                  <c:v>EMP0514</c:v>
                </c:pt>
                <c:pt idx="514">
                  <c:v>EMP0515</c:v>
                </c:pt>
                <c:pt idx="515">
                  <c:v>EMP0516</c:v>
                </c:pt>
                <c:pt idx="516">
                  <c:v>EMP0517</c:v>
                </c:pt>
                <c:pt idx="517">
                  <c:v>EMP0518</c:v>
                </c:pt>
                <c:pt idx="518">
                  <c:v>EMP0519</c:v>
                </c:pt>
                <c:pt idx="519">
                  <c:v>EMP0520</c:v>
                </c:pt>
                <c:pt idx="520">
                  <c:v>EMP0521</c:v>
                </c:pt>
                <c:pt idx="521">
                  <c:v>EMP0522</c:v>
                </c:pt>
                <c:pt idx="522">
                  <c:v>EMP0523</c:v>
                </c:pt>
                <c:pt idx="523">
                  <c:v>EMP0524</c:v>
                </c:pt>
                <c:pt idx="524">
                  <c:v>EMP0525</c:v>
                </c:pt>
                <c:pt idx="525">
                  <c:v>EMP0526</c:v>
                </c:pt>
                <c:pt idx="526">
                  <c:v>EMP0527</c:v>
                </c:pt>
                <c:pt idx="527">
                  <c:v>EMP0528</c:v>
                </c:pt>
                <c:pt idx="528">
                  <c:v>EMP0529</c:v>
                </c:pt>
                <c:pt idx="529">
                  <c:v>EMP0530</c:v>
                </c:pt>
                <c:pt idx="530">
                  <c:v>EMP0531</c:v>
                </c:pt>
                <c:pt idx="531">
                  <c:v>EMP0532</c:v>
                </c:pt>
                <c:pt idx="532">
                  <c:v>EMP0533</c:v>
                </c:pt>
                <c:pt idx="533">
                  <c:v>EMP0534</c:v>
                </c:pt>
                <c:pt idx="534">
                  <c:v>EMP0535</c:v>
                </c:pt>
                <c:pt idx="535">
                  <c:v>EMP0536</c:v>
                </c:pt>
                <c:pt idx="536">
                  <c:v>EMP0537</c:v>
                </c:pt>
                <c:pt idx="537">
                  <c:v>EMP0538</c:v>
                </c:pt>
                <c:pt idx="538">
                  <c:v>EMP0539</c:v>
                </c:pt>
                <c:pt idx="539">
                  <c:v>EMP0540</c:v>
                </c:pt>
                <c:pt idx="540">
                  <c:v>EMP0541</c:v>
                </c:pt>
                <c:pt idx="541">
                  <c:v>EMP0542</c:v>
                </c:pt>
                <c:pt idx="542">
                  <c:v>EMP0543</c:v>
                </c:pt>
                <c:pt idx="543">
                  <c:v>EMP0544</c:v>
                </c:pt>
                <c:pt idx="544">
                  <c:v>EMP0545</c:v>
                </c:pt>
                <c:pt idx="545">
                  <c:v>EMP0546</c:v>
                </c:pt>
                <c:pt idx="546">
                  <c:v>EMP0547</c:v>
                </c:pt>
                <c:pt idx="547">
                  <c:v>EMP0548</c:v>
                </c:pt>
                <c:pt idx="548">
                  <c:v>EMP0549</c:v>
                </c:pt>
                <c:pt idx="549">
                  <c:v>EMP0550</c:v>
                </c:pt>
                <c:pt idx="550">
                  <c:v>EMP0551</c:v>
                </c:pt>
                <c:pt idx="551">
                  <c:v>EMP0552</c:v>
                </c:pt>
                <c:pt idx="552">
                  <c:v>EMP0553</c:v>
                </c:pt>
                <c:pt idx="553">
                  <c:v>EMP0554</c:v>
                </c:pt>
                <c:pt idx="554">
                  <c:v>EMP0555</c:v>
                </c:pt>
                <c:pt idx="555">
                  <c:v>EMP0556</c:v>
                </c:pt>
                <c:pt idx="556">
                  <c:v>EMP0557</c:v>
                </c:pt>
                <c:pt idx="557">
                  <c:v>EMP0558</c:v>
                </c:pt>
                <c:pt idx="558">
                  <c:v>EMP0559</c:v>
                </c:pt>
                <c:pt idx="559">
                  <c:v>EMP0560</c:v>
                </c:pt>
                <c:pt idx="560">
                  <c:v>EMP0561</c:v>
                </c:pt>
                <c:pt idx="561">
                  <c:v>EMP0562</c:v>
                </c:pt>
                <c:pt idx="562">
                  <c:v>EMP0563</c:v>
                </c:pt>
                <c:pt idx="563">
                  <c:v>EMP0564</c:v>
                </c:pt>
                <c:pt idx="564">
                  <c:v>EMP0565</c:v>
                </c:pt>
                <c:pt idx="565">
                  <c:v>EMP0566</c:v>
                </c:pt>
                <c:pt idx="566">
                  <c:v>EMP0567</c:v>
                </c:pt>
                <c:pt idx="567">
                  <c:v>EMP0568</c:v>
                </c:pt>
                <c:pt idx="568">
                  <c:v>EMP0569</c:v>
                </c:pt>
                <c:pt idx="569">
                  <c:v>EMP0570</c:v>
                </c:pt>
                <c:pt idx="570">
                  <c:v>EMP0571</c:v>
                </c:pt>
                <c:pt idx="571">
                  <c:v>EMP0572</c:v>
                </c:pt>
                <c:pt idx="572">
                  <c:v>EMP0573</c:v>
                </c:pt>
                <c:pt idx="573">
                  <c:v>EMP0574</c:v>
                </c:pt>
                <c:pt idx="574">
                  <c:v>EMP0575</c:v>
                </c:pt>
                <c:pt idx="575">
                  <c:v>EMP0576</c:v>
                </c:pt>
                <c:pt idx="576">
                  <c:v>EMP0577</c:v>
                </c:pt>
                <c:pt idx="577">
                  <c:v>EMP0578</c:v>
                </c:pt>
                <c:pt idx="578">
                  <c:v>EMP0579</c:v>
                </c:pt>
                <c:pt idx="579">
                  <c:v>EMP0580</c:v>
                </c:pt>
                <c:pt idx="580">
                  <c:v>EMP0581</c:v>
                </c:pt>
                <c:pt idx="581">
                  <c:v>EMP0582</c:v>
                </c:pt>
                <c:pt idx="582">
                  <c:v>EMP0583</c:v>
                </c:pt>
                <c:pt idx="583">
                  <c:v>EMP0584</c:v>
                </c:pt>
                <c:pt idx="584">
                  <c:v>EMP0585</c:v>
                </c:pt>
                <c:pt idx="585">
                  <c:v>EMP0586</c:v>
                </c:pt>
                <c:pt idx="586">
                  <c:v>EMP0587</c:v>
                </c:pt>
                <c:pt idx="587">
                  <c:v>EMP0588</c:v>
                </c:pt>
                <c:pt idx="588">
                  <c:v>EMP0589</c:v>
                </c:pt>
                <c:pt idx="589">
                  <c:v>EMP0590</c:v>
                </c:pt>
                <c:pt idx="590">
                  <c:v>EMP0591</c:v>
                </c:pt>
                <c:pt idx="591">
                  <c:v>EMP0592</c:v>
                </c:pt>
                <c:pt idx="592">
                  <c:v>EMP0593</c:v>
                </c:pt>
                <c:pt idx="593">
                  <c:v>EMP0594</c:v>
                </c:pt>
                <c:pt idx="594">
                  <c:v>EMP0595</c:v>
                </c:pt>
                <c:pt idx="595">
                  <c:v>EMP0596</c:v>
                </c:pt>
                <c:pt idx="596">
                  <c:v>EMP0597</c:v>
                </c:pt>
                <c:pt idx="597">
                  <c:v>EMP0598</c:v>
                </c:pt>
                <c:pt idx="598">
                  <c:v>EMP0599</c:v>
                </c:pt>
                <c:pt idx="599">
                  <c:v>EMP0600</c:v>
                </c:pt>
              </c:strCache>
            </c:strRef>
          </c:cat>
          <c:val>
            <c:numRef>
              <c:f>'39'!$M$2:$M$602</c:f>
              <c:numCache>
                <c:formatCode>0.00</c:formatCode>
                <c:ptCount val="600"/>
                <c:pt idx="0">
                  <c:v>82466</c:v>
                </c:pt>
                <c:pt idx="1">
                  <c:v>56048</c:v>
                </c:pt>
                <c:pt idx="2">
                  <c:v>196711</c:v>
                </c:pt>
                <c:pt idx="3">
                  <c:v>55130</c:v>
                </c:pt>
                <c:pt idx="4">
                  <c:v>112039</c:v>
                </c:pt>
                <c:pt idx="5">
                  <c:v>90908</c:v>
                </c:pt>
                <c:pt idx="6">
                  <c:v>146760</c:v>
                </c:pt>
                <c:pt idx="7">
                  <c:v>163509</c:v>
                </c:pt>
                <c:pt idx="8">
                  <c:v>27340</c:v>
                </c:pt>
                <c:pt idx="9">
                  <c:v>48871</c:v>
                </c:pt>
                <c:pt idx="10">
                  <c:v>181618</c:v>
                </c:pt>
                <c:pt idx="11">
                  <c:v>215352</c:v>
                </c:pt>
                <c:pt idx="12">
                  <c:v>60493</c:v>
                </c:pt>
                <c:pt idx="13">
                  <c:v>114298</c:v>
                </c:pt>
                <c:pt idx="14">
                  <c:v>204206</c:v>
                </c:pt>
                <c:pt idx="15">
                  <c:v>89394</c:v>
                </c:pt>
                <c:pt idx="16">
                  <c:v>123031</c:v>
                </c:pt>
                <c:pt idx="17">
                  <c:v>104303</c:v>
                </c:pt>
                <c:pt idx="18">
                  <c:v>135019</c:v>
                </c:pt>
                <c:pt idx="19">
                  <c:v>18476</c:v>
                </c:pt>
                <c:pt idx="20">
                  <c:v>61682</c:v>
                </c:pt>
                <c:pt idx="21">
                  <c:v>67370</c:v>
                </c:pt>
                <c:pt idx="22">
                  <c:v>146392</c:v>
                </c:pt>
                <c:pt idx="23">
                  <c:v>60938</c:v>
                </c:pt>
                <c:pt idx="24">
                  <c:v>79498</c:v>
                </c:pt>
                <c:pt idx="25">
                  <c:v>27411</c:v>
                </c:pt>
                <c:pt idx="26">
                  <c:v>59389</c:v>
                </c:pt>
                <c:pt idx="27">
                  <c:v>170334</c:v>
                </c:pt>
                <c:pt idx="28">
                  <c:v>164560</c:v>
                </c:pt>
                <c:pt idx="29">
                  <c:v>40814</c:v>
                </c:pt>
                <c:pt idx="30">
                  <c:v>69831</c:v>
                </c:pt>
                <c:pt idx="31">
                  <c:v>75148</c:v>
                </c:pt>
                <c:pt idx="32">
                  <c:v>82622</c:v>
                </c:pt>
                <c:pt idx="34">
                  <c:v>107257</c:v>
                </c:pt>
                <c:pt idx="35">
                  <c:v>169784</c:v>
                </c:pt>
                <c:pt idx="36">
                  <c:v>99048</c:v>
                </c:pt>
                <c:pt idx="37">
                  <c:v>182023</c:v>
                </c:pt>
                <c:pt idx="38">
                  <c:v>140041</c:v>
                </c:pt>
                <c:pt idx="39">
                  <c:v>159138</c:v>
                </c:pt>
                <c:pt idx="40">
                  <c:v>25880</c:v>
                </c:pt>
                <c:pt idx="41">
                  <c:v>68820</c:v>
                </c:pt>
                <c:pt idx="42">
                  <c:v>148155</c:v>
                </c:pt>
                <c:pt idx="43">
                  <c:v>209821</c:v>
                </c:pt>
                <c:pt idx="44">
                  <c:v>152528</c:v>
                </c:pt>
                <c:pt idx="45">
                  <c:v>97366</c:v>
                </c:pt>
                <c:pt idx="46">
                  <c:v>216086</c:v>
                </c:pt>
                <c:pt idx="47">
                  <c:v>70884</c:v>
                </c:pt>
                <c:pt idx="48">
                  <c:v>110793</c:v>
                </c:pt>
                <c:pt idx="49">
                  <c:v>86586</c:v>
                </c:pt>
                <c:pt idx="50">
                  <c:v>78651</c:v>
                </c:pt>
                <c:pt idx="51">
                  <c:v>151447</c:v>
                </c:pt>
                <c:pt idx="52">
                  <c:v>182020</c:v>
                </c:pt>
                <c:pt idx="53">
                  <c:v>156848</c:v>
                </c:pt>
                <c:pt idx="54">
                  <c:v>78572</c:v>
                </c:pt>
                <c:pt idx="55">
                  <c:v>104006</c:v>
                </c:pt>
                <c:pt idx="56">
                  <c:v>138740</c:v>
                </c:pt>
                <c:pt idx="57">
                  <c:v>218169</c:v>
                </c:pt>
                <c:pt idx="58">
                  <c:v>204952</c:v>
                </c:pt>
                <c:pt idx="59">
                  <c:v>146603</c:v>
                </c:pt>
                <c:pt idx="60">
                  <c:v>188122</c:v>
                </c:pt>
                <c:pt idx="61">
                  <c:v>139124</c:v>
                </c:pt>
                <c:pt idx="62">
                  <c:v>114528</c:v>
                </c:pt>
                <c:pt idx="63">
                  <c:v>140259</c:v>
                </c:pt>
                <c:pt idx="64">
                  <c:v>125209</c:v>
                </c:pt>
                <c:pt idx="65">
                  <c:v>83984</c:v>
                </c:pt>
                <c:pt idx="66">
                  <c:v>195043</c:v>
                </c:pt>
                <c:pt idx="67">
                  <c:v>147464</c:v>
                </c:pt>
                <c:pt idx="68">
                  <c:v>191662</c:v>
                </c:pt>
                <c:pt idx="69">
                  <c:v>147325</c:v>
                </c:pt>
                <c:pt idx="70">
                  <c:v>60223</c:v>
                </c:pt>
                <c:pt idx="71">
                  <c:v>171441</c:v>
                </c:pt>
                <c:pt idx="72">
                  <c:v>160848</c:v>
                </c:pt>
                <c:pt idx="73">
                  <c:v>51851</c:v>
                </c:pt>
                <c:pt idx="74">
                  <c:v>54271</c:v>
                </c:pt>
                <c:pt idx="75">
                  <c:v>185311</c:v>
                </c:pt>
                <c:pt idx="76">
                  <c:v>21210</c:v>
                </c:pt>
                <c:pt idx="77">
                  <c:v>206224</c:v>
                </c:pt>
                <c:pt idx="78">
                  <c:v>29751</c:v>
                </c:pt>
                <c:pt idx="79">
                  <c:v>144101</c:v>
                </c:pt>
                <c:pt idx="80">
                  <c:v>216646</c:v>
                </c:pt>
                <c:pt idx="81">
                  <c:v>162895</c:v>
                </c:pt>
                <c:pt idx="82">
                  <c:v>166422</c:v>
                </c:pt>
                <c:pt idx="83">
                  <c:v>152673</c:v>
                </c:pt>
                <c:pt idx="84">
                  <c:v>172835</c:v>
                </c:pt>
                <c:pt idx="85">
                  <c:v>135640</c:v>
                </c:pt>
                <c:pt idx="86">
                  <c:v>92821</c:v>
                </c:pt>
                <c:pt idx="87">
                  <c:v>171943</c:v>
                </c:pt>
                <c:pt idx="88">
                  <c:v>168067</c:v>
                </c:pt>
                <c:pt idx="89">
                  <c:v>39381</c:v>
                </c:pt>
                <c:pt idx="90">
                  <c:v>116535</c:v>
                </c:pt>
                <c:pt idx="91">
                  <c:v>155371</c:v>
                </c:pt>
                <c:pt idx="92">
                  <c:v>103116</c:v>
                </c:pt>
                <c:pt idx="93">
                  <c:v>81344</c:v>
                </c:pt>
                <c:pt idx="94">
                  <c:v>97775</c:v>
                </c:pt>
                <c:pt idx="95">
                  <c:v>79443</c:v>
                </c:pt>
                <c:pt idx="96">
                  <c:v>144649</c:v>
                </c:pt>
                <c:pt idx="97">
                  <c:v>74877</c:v>
                </c:pt>
                <c:pt idx="98">
                  <c:v>91290</c:v>
                </c:pt>
                <c:pt idx="99">
                  <c:v>109864</c:v>
                </c:pt>
                <c:pt idx="100">
                  <c:v>112692</c:v>
                </c:pt>
                <c:pt idx="101">
                  <c:v>176983</c:v>
                </c:pt>
                <c:pt idx="102">
                  <c:v>84562</c:v>
                </c:pt>
                <c:pt idx="103">
                  <c:v>24064</c:v>
                </c:pt>
                <c:pt idx="104">
                  <c:v>210235</c:v>
                </c:pt>
                <c:pt idx="105">
                  <c:v>117095</c:v>
                </c:pt>
                <c:pt idx="106">
                  <c:v>185754</c:v>
                </c:pt>
                <c:pt idx="107">
                  <c:v>84612</c:v>
                </c:pt>
                <c:pt idx="108">
                  <c:v>32915</c:v>
                </c:pt>
                <c:pt idx="109">
                  <c:v>45809</c:v>
                </c:pt>
                <c:pt idx="110">
                  <c:v>190882</c:v>
                </c:pt>
                <c:pt idx="111">
                  <c:v>144317</c:v>
                </c:pt>
                <c:pt idx="112">
                  <c:v>46613</c:v>
                </c:pt>
                <c:pt idx="113">
                  <c:v>49155</c:v>
                </c:pt>
                <c:pt idx="114">
                  <c:v>153126</c:v>
                </c:pt>
                <c:pt idx="115">
                  <c:v>107461</c:v>
                </c:pt>
                <c:pt idx="116">
                  <c:v>145043</c:v>
                </c:pt>
                <c:pt idx="117">
                  <c:v>58648</c:v>
                </c:pt>
                <c:pt idx="118">
                  <c:v>66700</c:v>
                </c:pt>
                <c:pt idx="119">
                  <c:v>103329</c:v>
                </c:pt>
                <c:pt idx="120">
                  <c:v>175475</c:v>
                </c:pt>
                <c:pt idx="121">
                  <c:v>207513</c:v>
                </c:pt>
                <c:pt idx="122">
                  <c:v>130003</c:v>
                </c:pt>
                <c:pt idx="123">
                  <c:v>43422</c:v>
                </c:pt>
                <c:pt idx="124">
                  <c:v>169094</c:v>
                </c:pt>
                <c:pt idx="125">
                  <c:v>171587</c:v>
                </c:pt>
                <c:pt idx="126">
                  <c:v>134602</c:v>
                </c:pt>
                <c:pt idx="127">
                  <c:v>75928</c:v>
                </c:pt>
                <c:pt idx="128">
                  <c:v>169926</c:v>
                </c:pt>
                <c:pt idx="129">
                  <c:v>33691</c:v>
                </c:pt>
                <c:pt idx="130">
                  <c:v>45224</c:v>
                </c:pt>
                <c:pt idx="131">
                  <c:v>60261</c:v>
                </c:pt>
                <c:pt idx="132">
                  <c:v>195850</c:v>
                </c:pt>
                <c:pt idx="133">
                  <c:v>172635</c:v>
                </c:pt>
                <c:pt idx="134">
                  <c:v>91791</c:v>
                </c:pt>
                <c:pt idx="135">
                  <c:v>75944</c:v>
                </c:pt>
                <c:pt idx="136">
                  <c:v>63115</c:v>
                </c:pt>
                <c:pt idx="137">
                  <c:v>190530</c:v>
                </c:pt>
                <c:pt idx="138">
                  <c:v>56860</c:v>
                </c:pt>
                <c:pt idx="139">
                  <c:v>174126</c:v>
                </c:pt>
                <c:pt idx="140">
                  <c:v>149593</c:v>
                </c:pt>
                <c:pt idx="141">
                  <c:v>74665</c:v>
                </c:pt>
                <c:pt idx="142">
                  <c:v>90827</c:v>
                </c:pt>
                <c:pt idx="143">
                  <c:v>63381</c:v>
                </c:pt>
                <c:pt idx="144">
                  <c:v>38253</c:v>
                </c:pt>
                <c:pt idx="145">
                  <c:v>81373</c:v>
                </c:pt>
                <c:pt idx="146">
                  <c:v>123174</c:v>
                </c:pt>
                <c:pt idx="147">
                  <c:v>168332</c:v>
                </c:pt>
                <c:pt idx="148">
                  <c:v>219745</c:v>
                </c:pt>
                <c:pt idx="149">
                  <c:v>214161</c:v>
                </c:pt>
                <c:pt idx="150">
                  <c:v>89103</c:v>
                </c:pt>
                <c:pt idx="151">
                  <c:v>19238</c:v>
                </c:pt>
                <c:pt idx="152">
                  <c:v>81077</c:v>
                </c:pt>
                <c:pt idx="153">
                  <c:v>194720</c:v>
                </c:pt>
                <c:pt idx="154">
                  <c:v>170702</c:v>
                </c:pt>
                <c:pt idx="155">
                  <c:v>205879</c:v>
                </c:pt>
                <c:pt idx="156">
                  <c:v>53910</c:v>
                </c:pt>
                <c:pt idx="157">
                  <c:v>106978</c:v>
                </c:pt>
                <c:pt idx="158">
                  <c:v>45446</c:v>
                </c:pt>
                <c:pt idx="159">
                  <c:v>48696</c:v>
                </c:pt>
                <c:pt idx="160">
                  <c:v>137558</c:v>
                </c:pt>
                <c:pt idx="161">
                  <c:v>67650</c:v>
                </c:pt>
                <c:pt idx="162">
                  <c:v>186926</c:v>
                </c:pt>
                <c:pt idx="163">
                  <c:v>132736</c:v>
                </c:pt>
                <c:pt idx="164">
                  <c:v>125051</c:v>
                </c:pt>
                <c:pt idx="165">
                  <c:v>94446</c:v>
                </c:pt>
                <c:pt idx="166">
                  <c:v>49078</c:v>
                </c:pt>
                <c:pt idx="167">
                  <c:v>140755</c:v>
                </c:pt>
                <c:pt idx="168">
                  <c:v>123694</c:v>
                </c:pt>
                <c:pt idx="169">
                  <c:v>122059</c:v>
                </c:pt>
                <c:pt idx="170">
                  <c:v>180770</c:v>
                </c:pt>
                <c:pt idx="171">
                  <c:v>116868</c:v>
                </c:pt>
                <c:pt idx="172">
                  <c:v>114814</c:v>
                </c:pt>
                <c:pt idx="173">
                  <c:v>37507</c:v>
                </c:pt>
                <c:pt idx="174">
                  <c:v>162109</c:v>
                </c:pt>
                <c:pt idx="175">
                  <c:v>82695</c:v>
                </c:pt>
                <c:pt idx="176">
                  <c:v>40296</c:v>
                </c:pt>
                <c:pt idx="177">
                  <c:v>147550</c:v>
                </c:pt>
                <c:pt idx="178">
                  <c:v>163247</c:v>
                </c:pt>
                <c:pt idx="179">
                  <c:v>92419</c:v>
                </c:pt>
                <c:pt idx="180">
                  <c:v>166315</c:v>
                </c:pt>
                <c:pt idx="181">
                  <c:v>116226</c:v>
                </c:pt>
                <c:pt idx="182">
                  <c:v>136915</c:v>
                </c:pt>
                <c:pt idx="183">
                  <c:v>82984</c:v>
                </c:pt>
                <c:pt idx="184">
                  <c:v>136568</c:v>
                </c:pt>
                <c:pt idx="185">
                  <c:v>39577</c:v>
                </c:pt>
                <c:pt idx="186">
                  <c:v>189038</c:v>
                </c:pt>
                <c:pt idx="187">
                  <c:v>104855</c:v>
                </c:pt>
                <c:pt idx="188">
                  <c:v>145073</c:v>
                </c:pt>
                <c:pt idx="189">
                  <c:v>98046</c:v>
                </c:pt>
                <c:pt idx="190">
                  <c:v>149981</c:v>
                </c:pt>
                <c:pt idx="191">
                  <c:v>144014</c:v>
                </c:pt>
                <c:pt idx="193">
                  <c:v>213196</c:v>
                </c:pt>
                <c:pt idx="194">
                  <c:v>94389</c:v>
                </c:pt>
                <c:pt idx="195">
                  <c:v>218566</c:v>
                </c:pt>
                <c:pt idx="196">
                  <c:v>36707</c:v>
                </c:pt>
                <c:pt idx="197">
                  <c:v>23041</c:v>
                </c:pt>
                <c:pt idx="198">
                  <c:v>113874</c:v>
                </c:pt>
                <c:pt idx="199">
                  <c:v>117488</c:v>
                </c:pt>
                <c:pt idx="200">
                  <c:v>46510</c:v>
                </c:pt>
                <c:pt idx="201">
                  <c:v>32605</c:v>
                </c:pt>
                <c:pt idx="202">
                  <c:v>192636</c:v>
                </c:pt>
                <c:pt idx="203">
                  <c:v>137740</c:v>
                </c:pt>
                <c:pt idx="204">
                  <c:v>167697</c:v>
                </c:pt>
                <c:pt idx="205">
                  <c:v>219929</c:v>
                </c:pt>
                <c:pt idx="206">
                  <c:v>174708</c:v>
                </c:pt>
                <c:pt idx="207">
                  <c:v>143623</c:v>
                </c:pt>
                <c:pt idx="208">
                  <c:v>188373</c:v>
                </c:pt>
                <c:pt idx="209">
                  <c:v>75653</c:v>
                </c:pt>
                <c:pt idx="210">
                  <c:v>95895</c:v>
                </c:pt>
                <c:pt idx="211">
                  <c:v>55643</c:v>
                </c:pt>
                <c:pt idx="213">
                  <c:v>122022</c:v>
                </c:pt>
                <c:pt idx="214">
                  <c:v>138776</c:v>
                </c:pt>
                <c:pt idx="215">
                  <c:v>141830</c:v>
                </c:pt>
                <c:pt idx="216">
                  <c:v>109779</c:v>
                </c:pt>
                <c:pt idx="217">
                  <c:v>61137</c:v>
                </c:pt>
                <c:pt idx="218">
                  <c:v>169180</c:v>
                </c:pt>
                <c:pt idx="219">
                  <c:v>34054</c:v>
                </c:pt>
                <c:pt idx="220">
                  <c:v>161737</c:v>
                </c:pt>
                <c:pt idx="221">
                  <c:v>196785</c:v>
                </c:pt>
                <c:pt idx="222">
                  <c:v>195207</c:v>
                </c:pt>
                <c:pt idx="223">
                  <c:v>127488</c:v>
                </c:pt>
                <c:pt idx="224">
                  <c:v>138000</c:v>
                </c:pt>
                <c:pt idx="225">
                  <c:v>29023</c:v>
                </c:pt>
                <c:pt idx="226">
                  <c:v>178207</c:v>
                </c:pt>
                <c:pt idx="227">
                  <c:v>146717</c:v>
                </c:pt>
                <c:pt idx="228">
                  <c:v>61180</c:v>
                </c:pt>
                <c:pt idx="229">
                  <c:v>133179</c:v>
                </c:pt>
                <c:pt idx="230">
                  <c:v>183033</c:v>
                </c:pt>
                <c:pt idx="231">
                  <c:v>37827</c:v>
                </c:pt>
                <c:pt idx="232">
                  <c:v>147504</c:v>
                </c:pt>
                <c:pt idx="233">
                  <c:v>85041</c:v>
                </c:pt>
                <c:pt idx="234">
                  <c:v>107744</c:v>
                </c:pt>
                <c:pt idx="235">
                  <c:v>106396</c:v>
                </c:pt>
                <c:pt idx="236">
                  <c:v>115237</c:v>
                </c:pt>
                <c:pt idx="237">
                  <c:v>207018</c:v>
                </c:pt>
                <c:pt idx="238">
                  <c:v>93086</c:v>
                </c:pt>
                <c:pt idx="239">
                  <c:v>29188</c:v>
                </c:pt>
                <c:pt idx="240">
                  <c:v>32539</c:v>
                </c:pt>
                <c:pt idx="241">
                  <c:v>107162</c:v>
                </c:pt>
                <c:pt idx="242">
                  <c:v>30456</c:v>
                </c:pt>
                <c:pt idx="243">
                  <c:v>212941</c:v>
                </c:pt>
                <c:pt idx="244">
                  <c:v>145462</c:v>
                </c:pt>
                <c:pt idx="245">
                  <c:v>90829</c:v>
                </c:pt>
                <c:pt idx="246">
                  <c:v>128917</c:v>
                </c:pt>
                <c:pt idx="247">
                  <c:v>182705</c:v>
                </c:pt>
                <c:pt idx="248">
                  <c:v>140721</c:v>
                </c:pt>
                <c:pt idx="249">
                  <c:v>91647</c:v>
                </c:pt>
                <c:pt idx="251">
                  <c:v>93662</c:v>
                </c:pt>
                <c:pt idx="252">
                  <c:v>90707</c:v>
                </c:pt>
                <c:pt idx="253">
                  <c:v>27922</c:v>
                </c:pt>
                <c:pt idx="255">
                  <c:v>181886</c:v>
                </c:pt>
                <c:pt idx="256">
                  <c:v>73853</c:v>
                </c:pt>
                <c:pt idx="257">
                  <c:v>115955</c:v>
                </c:pt>
                <c:pt idx="259">
                  <c:v>65721</c:v>
                </c:pt>
                <c:pt idx="260">
                  <c:v>91697</c:v>
                </c:pt>
                <c:pt idx="261">
                  <c:v>179557</c:v>
                </c:pt>
                <c:pt idx="262">
                  <c:v>74089</c:v>
                </c:pt>
                <c:pt idx="263">
                  <c:v>170703</c:v>
                </c:pt>
                <c:pt idx="264">
                  <c:v>82577</c:v>
                </c:pt>
                <c:pt idx="265">
                  <c:v>43388</c:v>
                </c:pt>
                <c:pt idx="266">
                  <c:v>208868</c:v>
                </c:pt>
                <c:pt idx="267">
                  <c:v>172309</c:v>
                </c:pt>
                <c:pt idx="268">
                  <c:v>147528</c:v>
                </c:pt>
                <c:pt idx="269">
                  <c:v>170324</c:v>
                </c:pt>
                <c:pt idx="270">
                  <c:v>21478</c:v>
                </c:pt>
                <c:pt idx="271">
                  <c:v>79466</c:v>
                </c:pt>
                <c:pt idx="272">
                  <c:v>146777</c:v>
                </c:pt>
                <c:pt idx="273">
                  <c:v>129225</c:v>
                </c:pt>
                <c:pt idx="274">
                  <c:v>190115</c:v>
                </c:pt>
                <c:pt idx="275">
                  <c:v>123180</c:v>
                </c:pt>
                <c:pt idx="277">
                  <c:v>206549</c:v>
                </c:pt>
                <c:pt idx="278">
                  <c:v>88679</c:v>
                </c:pt>
                <c:pt idx="279">
                  <c:v>54125</c:v>
                </c:pt>
                <c:pt idx="280">
                  <c:v>76976</c:v>
                </c:pt>
                <c:pt idx="281">
                  <c:v>67428</c:v>
                </c:pt>
                <c:pt idx="282">
                  <c:v>21362</c:v>
                </c:pt>
                <c:pt idx="283">
                  <c:v>194576</c:v>
                </c:pt>
                <c:pt idx="284">
                  <c:v>149194</c:v>
                </c:pt>
                <c:pt idx="285">
                  <c:v>121017</c:v>
                </c:pt>
                <c:pt idx="286">
                  <c:v>100208</c:v>
                </c:pt>
                <c:pt idx="287">
                  <c:v>118155</c:v>
                </c:pt>
                <c:pt idx="288">
                  <c:v>20810</c:v>
                </c:pt>
                <c:pt idx="289">
                  <c:v>54488</c:v>
                </c:pt>
                <c:pt idx="290">
                  <c:v>103184</c:v>
                </c:pt>
                <c:pt idx="291">
                  <c:v>130185</c:v>
                </c:pt>
                <c:pt idx="292">
                  <c:v>74105</c:v>
                </c:pt>
                <c:pt idx="293">
                  <c:v>75354</c:v>
                </c:pt>
                <c:pt idx="294">
                  <c:v>187534</c:v>
                </c:pt>
                <c:pt idx="295">
                  <c:v>56851</c:v>
                </c:pt>
                <c:pt idx="296">
                  <c:v>106185</c:v>
                </c:pt>
                <c:pt idx="297">
                  <c:v>57886</c:v>
                </c:pt>
                <c:pt idx="298">
                  <c:v>144943</c:v>
                </c:pt>
                <c:pt idx="299">
                  <c:v>106598</c:v>
                </c:pt>
                <c:pt idx="300">
                  <c:v>100155</c:v>
                </c:pt>
                <c:pt idx="301">
                  <c:v>191704</c:v>
                </c:pt>
                <c:pt idx="302">
                  <c:v>58653</c:v>
                </c:pt>
                <c:pt idx="303">
                  <c:v>199308</c:v>
                </c:pt>
                <c:pt idx="304">
                  <c:v>202858</c:v>
                </c:pt>
                <c:pt idx="305">
                  <c:v>49819</c:v>
                </c:pt>
                <c:pt idx="306">
                  <c:v>196830</c:v>
                </c:pt>
                <c:pt idx="307">
                  <c:v>104114</c:v>
                </c:pt>
                <c:pt idx="308">
                  <c:v>117880</c:v>
                </c:pt>
                <c:pt idx="309">
                  <c:v>101994</c:v>
                </c:pt>
                <c:pt idx="310">
                  <c:v>196624</c:v>
                </c:pt>
                <c:pt idx="311">
                  <c:v>129574</c:v>
                </c:pt>
                <c:pt idx="312">
                  <c:v>21614</c:v>
                </c:pt>
                <c:pt idx="313">
                  <c:v>216959</c:v>
                </c:pt>
                <c:pt idx="314">
                  <c:v>41675</c:v>
                </c:pt>
                <c:pt idx="315">
                  <c:v>154546</c:v>
                </c:pt>
                <c:pt idx="316">
                  <c:v>109813</c:v>
                </c:pt>
                <c:pt idx="317">
                  <c:v>215570</c:v>
                </c:pt>
                <c:pt idx="318">
                  <c:v>142649</c:v>
                </c:pt>
                <c:pt idx="319">
                  <c:v>40218</c:v>
                </c:pt>
                <c:pt idx="321">
                  <c:v>64683</c:v>
                </c:pt>
                <c:pt idx="322">
                  <c:v>81920</c:v>
                </c:pt>
                <c:pt idx="323">
                  <c:v>146813</c:v>
                </c:pt>
                <c:pt idx="324">
                  <c:v>23682</c:v>
                </c:pt>
                <c:pt idx="325">
                  <c:v>213306</c:v>
                </c:pt>
                <c:pt idx="326">
                  <c:v>192476</c:v>
                </c:pt>
                <c:pt idx="327">
                  <c:v>204754</c:v>
                </c:pt>
                <c:pt idx="328">
                  <c:v>180805</c:v>
                </c:pt>
                <c:pt idx="329">
                  <c:v>204255</c:v>
                </c:pt>
                <c:pt idx="330">
                  <c:v>117570</c:v>
                </c:pt>
                <c:pt idx="331">
                  <c:v>149295</c:v>
                </c:pt>
                <c:pt idx="332">
                  <c:v>149292</c:v>
                </c:pt>
                <c:pt idx="333">
                  <c:v>52851</c:v>
                </c:pt>
                <c:pt idx="334">
                  <c:v>30614</c:v>
                </c:pt>
                <c:pt idx="335">
                  <c:v>138715</c:v>
                </c:pt>
                <c:pt idx="336">
                  <c:v>56042</c:v>
                </c:pt>
                <c:pt idx="337">
                  <c:v>61065</c:v>
                </c:pt>
                <c:pt idx="338">
                  <c:v>147073</c:v>
                </c:pt>
                <c:pt idx="339">
                  <c:v>158491</c:v>
                </c:pt>
                <c:pt idx="340">
                  <c:v>140959</c:v>
                </c:pt>
                <c:pt idx="341">
                  <c:v>188030</c:v>
                </c:pt>
                <c:pt idx="342">
                  <c:v>130516</c:v>
                </c:pt>
                <c:pt idx="343">
                  <c:v>125189</c:v>
                </c:pt>
                <c:pt idx="344">
                  <c:v>146360</c:v>
                </c:pt>
                <c:pt idx="345">
                  <c:v>219373</c:v>
                </c:pt>
                <c:pt idx="346">
                  <c:v>48001</c:v>
                </c:pt>
                <c:pt idx="347">
                  <c:v>170847</c:v>
                </c:pt>
                <c:pt idx="348">
                  <c:v>47083</c:v>
                </c:pt>
                <c:pt idx="349">
                  <c:v>199069</c:v>
                </c:pt>
                <c:pt idx="350">
                  <c:v>63697</c:v>
                </c:pt>
                <c:pt idx="351">
                  <c:v>88344</c:v>
                </c:pt>
                <c:pt idx="352">
                  <c:v>32878</c:v>
                </c:pt>
                <c:pt idx="353">
                  <c:v>182126</c:v>
                </c:pt>
                <c:pt idx="354">
                  <c:v>160182</c:v>
                </c:pt>
                <c:pt idx="355">
                  <c:v>59431</c:v>
                </c:pt>
                <c:pt idx="356">
                  <c:v>181561</c:v>
                </c:pt>
                <c:pt idx="357">
                  <c:v>180425</c:v>
                </c:pt>
                <c:pt idx="358">
                  <c:v>68542</c:v>
                </c:pt>
                <c:pt idx="359">
                  <c:v>122794</c:v>
                </c:pt>
                <c:pt idx="360">
                  <c:v>205957</c:v>
                </c:pt>
                <c:pt idx="361">
                  <c:v>82868</c:v>
                </c:pt>
                <c:pt idx="362">
                  <c:v>36303</c:v>
                </c:pt>
                <c:pt idx="363">
                  <c:v>164732</c:v>
                </c:pt>
                <c:pt idx="364">
                  <c:v>181772</c:v>
                </c:pt>
                <c:pt idx="365">
                  <c:v>78308</c:v>
                </c:pt>
                <c:pt idx="366">
                  <c:v>95687</c:v>
                </c:pt>
                <c:pt idx="367">
                  <c:v>65299</c:v>
                </c:pt>
                <c:pt idx="368">
                  <c:v>168312</c:v>
                </c:pt>
                <c:pt idx="369">
                  <c:v>102805</c:v>
                </c:pt>
                <c:pt idx="370">
                  <c:v>196621</c:v>
                </c:pt>
                <c:pt idx="371">
                  <c:v>122868</c:v>
                </c:pt>
                <c:pt idx="372">
                  <c:v>77730</c:v>
                </c:pt>
                <c:pt idx="373">
                  <c:v>103254</c:v>
                </c:pt>
                <c:pt idx="374">
                  <c:v>89287</c:v>
                </c:pt>
                <c:pt idx="375">
                  <c:v>189763</c:v>
                </c:pt>
                <c:pt idx="376">
                  <c:v>198328</c:v>
                </c:pt>
                <c:pt idx="377">
                  <c:v>75137</c:v>
                </c:pt>
                <c:pt idx="378">
                  <c:v>66900</c:v>
                </c:pt>
                <c:pt idx="379">
                  <c:v>134088</c:v>
                </c:pt>
                <c:pt idx="380">
                  <c:v>127972</c:v>
                </c:pt>
                <c:pt idx="381">
                  <c:v>98254</c:v>
                </c:pt>
                <c:pt idx="382">
                  <c:v>190711</c:v>
                </c:pt>
                <c:pt idx="383">
                  <c:v>136842</c:v>
                </c:pt>
                <c:pt idx="384">
                  <c:v>189060</c:v>
                </c:pt>
                <c:pt idx="385">
                  <c:v>184497</c:v>
                </c:pt>
                <c:pt idx="386">
                  <c:v>219196</c:v>
                </c:pt>
                <c:pt idx="387">
                  <c:v>92781</c:v>
                </c:pt>
                <c:pt idx="388">
                  <c:v>86329</c:v>
                </c:pt>
                <c:pt idx="389">
                  <c:v>160769</c:v>
                </c:pt>
                <c:pt idx="390">
                  <c:v>183015</c:v>
                </c:pt>
                <c:pt idx="391">
                  <c:v>200703</c:v>
                </c:pt>
                <c:pt idx="392">
                  <c:v>155514</c:v>
                </c:pt>
                <c:pt idx="393">
                  <c:v>190615</c:v>
                </c:pt>
                <c:pt idx="394">
                  <c:v>120944</c:v>
                </c:pt>
                <c:pt idx="395">
                  <c:v>217420</c:v>
                </c:pt>
                <c:pt idx="396">
                  <c:v>41833</c:v>
                </c:pt>
                <c:pt idx="397">
                  <c:v>90160</c:v>
                </c:pt>
                <c:pt idx="398">
                  <c:v>135092</c:v>
                </c:pt>
                <c:pt idx="399">
                  <c:v>95751</c:v>
                </c:pt>
                <c:pt idx="400">
                  <c:v>156124</c:v>
                </c:pt>
                <c:pt idx="401">
                  <c:v>74140</c:v>
                </c:pt>
                <c:pt idx="402">
                  <c:v>124353</c:v>
                </c:pt>
                <c:pt idx="403">
                  <c:v>34860</c:v>
                </c:pt>
                <c:pt idx="404">
                  <c:v>74903</c:v>
                </c:pt>
                <c:pt idx="405">
                  <c:v>31950</c:v>
                </c:pt>
                <c:pt idx="406">
                  <c:v>179674</c:v>
                </c:pt>
                <c:pt idx="407">
                  <c:v>107470</c:v>
                </c:pt>
                <c:pt idx="408">
                  <c:v>210218</c:v>
                </c:pt>
                <c:pt idx="409">
                  <c:v>187975</c:v>
                </c:pt>
                <c:pt idx="410">
                  <c:v>21141</c:v>
                </c:pt>
                <c:pt idx="411">
                  <c:v>163817</c:v>
                </c:pt>
                <c:pt idx="412">
                  <c:v>208633</c:v>
                </c:pt>
                <c:pt idx="413">
                  <c:v>84122</c:v>
                </c:pt>
                <c:pt idx="414">
                  <c:v>137314</c:v>
                </c:pt>
                <c:pt idx="415">
                  <c:v>174989</c:v>
                </c:pt>
                <c:pt idx="416">
                  <c:v>84724</c:v>
                </c:pt>
                <c:pt idx="417">
                  <c:v>74357</c:v>
                </c:pt>
                <c:pt idx="418">
                  <c:v>63921</c:v>
                </c:pt>
                <c:pt idx="419">
                  <c:v>119992</c:v>
                </c:pt>
                <c:pt idx="420">
                  <c:v>71465</c:v>
                </c:pt>
                <c:pt idx="421">
                  <c:v>42543</c:v>
                </c:pt>
                <c:pt idx="422">
                  <c:v>19205</c:v>
                </c:pt>
                <c:pt idx="423">
                  <c:v>27240</c:v>
                </c:pt>
                <c:pt idx="425">
                  <c:v>198852</c:v>
                </c:pt>
                <c:pt idx="426">
                  <c:v>217771</c:v>
                </c:pt>
                <c:pt idx="428">
                  <c:v>63750</c:v>
                </c:pt>
                <c:pt idx="429">
                  <c:v>180650</c:v>
                </c:pt>
                <c:pt idx="430">
                  <c:v>47147</c:v>
                </c:pt>
                <c:pt idx="431">
                  <c:v>206153</c:v>
                </c:pt>
                <c:pt idx="433">
                  <c:v>186981</c:v>
                </c:pt>
                <c:pt idx="434">
                  <c:v>178954</c:v>
                </c:pt>
                <c:pt idx="435">
                  <c:v>134544</c:v>
                </c:pt>
                <c:pt idx="436">
                  <c:v>210082</c:v>
                </c:pt>
                <c:pt idx="437">
                  <c:v>83752</c:v>
                </c:pt>
                <c:pt idx="438">
                  <c:v>69084</c:v>
                </c:pt>
                <c:pt idx="439">
                  <c:v>121602</c:v>
                </c:pt>
                <c:pt idx="440">
                  <c:v>31685</c:v>
                </c:pt>
                <c:pt idx="441">
                  <c:v>135951</c:v>
                </c:pt>
                <c:pt idx="442">
                  <c:v>58136</c:v>
                </c:pt>
                <c:pt idx="443">
                  <c:v>104911</c:v>
                </c:pt>
                <c:pt idx="444">
                  <c:v>74550</c:v>
                </c:pt>
                <c:pt idx="445">
                  <c:v>129219</c:v>
                </c:pt>
                <c:pt idx="446">
                  <c:v>122666</c:v>
                </c:pt>
                <c:pt idx="447">
                  <c:v>128346</c:v>
                </c:pt>
                <c:pt idx="448">
                  <c:v>140407</c:v>
                </c:pt>
                <c:pt idx="449">
                  <c:v>190598</c:v>
                </c:pt>
                <c:pt idx="450">
                  <c:v>18643</c:v>
                </c:pt>
                <c:pt idx="451">
                  <c:v>31740</c:v>
                </c:pt>
                <c:pt idx="452">
                  <c:v>192849</c:v>
                </c:pt>
                <c:pt idx="453">
                  <c:v>152497</c:v>
                </c:pt>
                <c:pt idx="454">
                  <c:v>87841</c:v>
                </c:pt>
                <c:pt idx="455">
                  <c:v>157794</c:v>
                </c:pt>
                <c:pt idx="456">
                  <c:v>82676</c:v>
                </c:pt>
                <c:pt idx="457">
                  <c:v>215077</c:v>
                </c:pt>
                <c:pt idx="458">
                  <c:v>82647</c:v>
                </c:pt>
                <c:pt idx="459">
                  <c:v>216401</c:v>
                </c:pt>
                <c:pt idx="460">
                  <c:v>114474</c:v>
                </c:pt>
                <c:pt idx="461">
                  <c:v>100069</c:v>
                </c:pt>
                <c:pt idx="462">
                  <c:v>48237</c:v>
                </c:pt>
                <c:pt idx="463">
                  <c:v>26822</c:v>
                </c:pt>
                <c:pt idx="464">
                  <c:v>142462</c:v>
                </c:pt>
                <c:pt idx="465">
                  <c:v>198475</c:v>
                </c:pt>
                <c:pt idx="466">
                  <c:v>173949</c:v>
                </c:pt>
                <c:pt idx="467">
                  <c:v>96853</c:v>
                </c:pt>
                <c:pt idx="468">
                  <c:v>137761</c:v>
                </c:pt>
                <c:pt idx="469">
                  <c:v>164890</c:v>
                </c:pt>
                <c:pt idx="470">
                  <c:v>118813</c:v>
                </c:pt>
                <c:pt idx="471">
                  <c:v>99611</c:v>
                </c:pt>
                <c:pt idx="472">
                  <c:v>110593</c:v>
                </c:pt>
                <c:pt idx="473">
                  <c:v>30296</c:v>
                </c:pt>
                <c:pt idx="474">
                  <c:v>56834</c:v>
                </c:pt>
                <c:pt idx="475">
                  <c:v>153967</c:v>
                </c:pt>
                <c:pt idx="476">
                  <c:v>22135</c:v>
                </c:pt>
                <c:pt idx="477">
                  <c:v>155179</c:v>
                </c:pt>
                <c:pt idx="478">
                  <c:v>146564</c:v>
                </c:pt>
                <c:pt idx="479">
                  <c:v>100835</c:v>
                </c:pt>
                <c:pt idx="480">
                  <c:v>146483</c:v>
                </c:pt>
                <c:pt idx="481">
                  <c:v>112854</c:v>
                </c:pt>
                <c:pt idx="482">
                  <c:v>63037</c:v>
                </c:pt>
                <c:pt idx="483">
                  <c:v>84413</c:v>
                </c:pt>
                <c:pt idx="484">
                  <c:v>49521</c:v>
                </c:pt>
                <c:pt idx="485">
                  <c:v>61917</c:v>
                </c:pt>
                <c:pt idx="486">
                  <c:v>206394</c:v>
                </c:pt>
                <c:pt idx="487">
                  <c:v>118199</c:v>
                </c:pt>
                <c:pt idx="488">
                  <c:v>50943</c:v>
                </c:pt>
                <c:pt idx="489">
                  <c:v>136418</c:v>
                </c:pt>
                <c:pt idx="490">
                  <c:v>180261</c:v>
                </c:pt>
                <c:pt idx="491">
                  <c:v>57000</c:v>
                </c:pt>
                <c:pt idx="492">
                  <c:v>103450</c:v>
                </c:pt>
                <c:pt idx="493">
                  <c:v>173765</c:v>
                </c:pt>
                <c:pt idx="494">
                  <c:v>149673</c:v>
                </c:pt>
                <c:pt idx="495">
                  <c:v>201186</c:v>
                </c:pt>
                <c:pt idx="496">
                  <c:v>168866</c:v>
                </c:pt>
                <c:pt idx="497">
                  <c:v>149503</c:v>
                </c:pt>
                <c:pt idx="498">
                  <c:v>58907</c:v>
                </c:pt>
                <c:pt idx="499">
                  <c:v>64161</c:v>
                </c:pt>
                <c:pt idx="500">
                  <c:v>125313</c:v>
                </c:pt>
                <c:pt idx="501">
                  <c:v>165096</c:v>
                </c:pt>
                <c:pt idx="502">
                  <c:v>87117</c:v>
                </c:pt>
                <c:pt idx="503">
                  <c:v>29849</c:v>
                </c:pt>
                <c:pt idx="504">
                  <c:v>160001</c:v>
                </c:pt>
                <c:pt idx="505">
                  <c:v>194497</c:v>
                </c:pt>
                <c:pt idx="506">
                  <c:v>40509</c:v>
                </c:pt>
                <c:pt idx="507">
                  <c:v>72377</c:v>
                </c:pt>
                <c:pt idx="508">
                  <c:v>205877</c:v>
                </c:pt>
                <c:pt idx="509">
                  <c:v>116998</c:v>
                </c:pt>
                <c:pt idx="510">
                  <c:v>156685</c:v>
                </c:pt>
                <c:pt idx="511">
                  <c:v>85256</c:v>
                </c:pt>
                <c:pt idx="512">
                  <c:v>108108</c:v>
                </c:pt>
                <c:pt idx="513">
                  <c:v>34105</c:v>
                </c:pt>
                <c:pt idx="514">
                  <c:v>126814</c:v>
                </c:pt>
                <c:pt idx="515">
                  <c:v>138017</c:v>
                </c:pt>
                <c:pt idx="516">
                  <c:v>117892</c:v>
                </c:pt>
                <c:pt idx="517">
                  <c:v>104042</c:v>
                </c:pt>
                <c:pt idx="518">
                  <c:v>114335</c:v>
                </c:pt>
                <c:pt idx="519">
                  <c:v>215689</c:v>
                </c:pt>
                <c:pt idx="520">
                  <c:v>29861</c:v>
                </c:pt>
                <c:pt idx="521">
                  <c:v>146001</c:v>
                </c:pt>
                <c:pt idx="522">
                  <c:v>34716</c:v>
                </c:pt>
                <c:pt idx="523">
                  <c:v>125364</c:v>
                </c:pt>
                <c:pt idx="524">
                  <c:v>36463</c:v>
                </c:pt>
                <c:pt idx="525">
                  <c:v>198369</c:v>
                </c:pt>
                <c:pt idx="526">
                  <c:v>182794</c:v>
                </c:pt>
                <c:pt idx="527">
                  <c:v>106309</c:v>
                </c:pt>
                <c:pt idx="528">
                  <c:v>141846</c:v>
                </c:pt>
                <c:pt idx="529">
                  <c:v>169329</c:v>
                </c:pt>
                <c:pt idx="530">
                  <c:v>154641</c:v>
                </c:pt>
                <c:pt idx="531">
                  <c:v>217617</c:v>
                </c:pt>
                <c:pt idx="532">
                  <c:v>36129</c:v>
                </c:pt>
                <c:pt idx="533">
                  <c:v>176130</c:v>
                </c:pt>
                <c:pt idx="534">
                  <c:v>40982</c:v>
                </c:pt>
                <c:pt idx="535">
                  <c:v>136793</c:v>
                </c:pt>
                <c:pt idx="536">
                  <c:v>86654</c:v>
                </c:pt>
                <c:pt idx="537">
                  <c:v>115918</c:v>
                </c:pt>
                <c:pt idx="538">
                  <c:v>202409</c:v>
                </c:pt>
                <c:pt idx="539">
                  <c:v>18338</c:v>
                </c:pt>
                <c:pt idx="540">
                  <c:v>211686</c:v>
                </c:pt>
                <c:pt idx="541">
                  <c:v>45135</c:v>
                </c:pt>
                <c:pt idx="542">
                  <c:v>204291</c:v>
                </c:pt>
                <c:pt idx="543">
                  <c:v>53668</c:v>
                </c:pt>
                <c:pt idx="544">
                  <c:v>39169</c:v>
                </c:pt>
                <c:pt idx="545">
                  <c:v>40892</c:v>
                </c:pt>
                <c:pt idx="546">
                  <c:v>101730</c:v>
                </c:pt>
                <c:pt idx="547">
                  <c:v>37567</c:v>
                </c:pt>
                <c:pt idx="548">
                  <c:v>21637</c:v>
                </c:pt>
                <c:pt idx="549">
                  <c:v>170625</c:v>
                </c:pt>
                <c:pt idx="550">
                  <c:v>75032</c:v>
                </c:pt>
                <c:pt idx="551">
                  <c:v>99254</c:v>
                </c:pt>
                <c:pt idx="552">
                  <c:v>165303</c:v>
                </c:pt>
                <c:pt idx="553">
                  <c:v>36859</c:v>
                </c:pt>
                <c:pt idx="554">
                  <c:v>91105</c:v>
                </c:pt>
                <c:pt idx="555">
                  <c:v>94193</c:v>
                </c:pt>
                <c:pt idx="556">
                  <c:v>200612</c:v>
                </c:pt>
                <c:pt idx="557">
                  <c:v>18443</c:v>
                </c:pt>
                <c:pt idx="558">
                  <c:v>42237</c:v>
                </c:pt>
                <c:pt idx="559">
                  <c:v>201310</c:v>
                </c:pt>
                <c:pt idx="560">
                  <c:v>69932</c:v>
                </c:pt>
                <c:pt idx="561">
                  <c:v>46817</c:v>
                </c:pt>
                <c:pt idx="562">
                  <c:v>28048</c:v>
                </c:pt>
                <c:pt idx="563">
                  <c:v>145096</c:v>
                </c:pt>
                <c:pt idx="564">
                  <c:v>26323</c:v>
                </c:pt>
                <c:pt idx="565">
                  <c:v>34213</c:v>
                </c:pt>
                <c:pt idx="566">
                  <c:v>67959</c:v>
                </c:pt>
                <c:pt idx="567">
                  <c:v>145378</c:v>
                </c:pt>
                <c:pt idx="568">
                  <c:v>95319</c:v>
                </c:pt>
                <c:pt idx="569">
                  <c:v>29710</c:v>
                </c:pt>
                <c:pt idx="570">
                  <c:v>121958</c:v>
                </c:pt>
                <c:pt idx="571">
                  <c:v>20264</c:v>
                </c:pt>
                <c:pt idx="572">
                  <c:v>25135</c:v>
                </c:pt>
                <c:pt idx="573">
                  <c:v>181995</c:v>
                </c:pt>
                <c:pt idx="574">
                  <c:v>192743</c:v>
                </c:pt>
                <c:pt idx="575">
                  <c:v>189632</c:v>
                </c:pt>
                <c:pt idx="576">
                  <c:v>118058</c:v>
                </c:pt>
                <c:pt idx="577">
                  <c:v>56512</c:v>
                </c:pt>
                <c:pt idx="578">
                  <c:v>98230</c:v>
                </c:pt>
                <c:pt idx="579">
                  <c:v>113100</c:v>
                </c:pt>
                <c:pt idx="580">
                  <c:v>124157</c:v>
                </c:pt>
                <c:pt idx="581">
                  <c:v>111176</c:v>
                </c:pt>
                <c:pt idx="582">
                  <c:v>102347</c:v>
                </c:pt>
                <c:pt idx="583">
                  <c:v>164683</c:v>
                </c:pt>
                <c:pt idx="584">
                  <c:v>197795</c:v>
                </c:pt>
                <c:pt idx="585">
                  <c:v>209497</c:v>
                </c:pt>
                <c:pt idx="586">
                  <c:v>105654</c:v>
                </c:pt>
                <c:pt idx="587">
                  <c:v>79717</c:v>
                </c:pt>
                <c:pt idx="588">
                  <c:v>135287</c:v>
                </c:pt>
                <c:pt idx="589">
                  <c:v>158509</c:v>
                </c:pt>
                <c:pt idx="590">
                  <c:v>30819</c:v>
                </c:pt>
                <c:pt idx="591">
                  <c:v>218808</c:v>
                </c:pt>
                <c:pt idx="592">
                  <c:v>53074</c:v>
                </c:pt>
                <c:pt idx="593">
                  <c:v>178143</c:v>
                </c:pt>
                <c:pt idx="594">
                  <c:v>67080</c:v>
                </c:pt>
                <c:pt idx="595">
                  <c:v>183155</c:v>
                </c:pt>
                <c:pt idx="596">
                  <c:v>18177</c:v>
                </c:pt>
                <c:pt idx="597">
                  <c:v>55536</c:v>
                </c:pt>
                <c:pt idx="598">
                  <c:v>171132</c:v>
                </c:pt>
                <c:pt idx="599">
                  <c:v>128854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F-4AC1-BCB7-AA44344E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341447"/>
        <c:axId val="1513343495"/>
      </c:lineChart>
      <c:catAx>
        <c:axId val="1513341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</a:t>
                </a:r>
              </a:p>
            </c:rich>
          </c:tx>
          <c:overlay val="0"/>
          <c:spPr>
            <a:noFill/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43495"/>
        <c:crosses val="autoZero"/>
        <c:auto val="1"/>
        <c:lblAlgn val="ctr"/>
        <c:lblOffset val="100"/>
        <c:noMultiLvlLbl val="0"/>
      </c:catAx>
      <c:valAx>
        <c:axId val="151334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4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2.xlsx]40!PivotTable1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 salary chart</a:t>
            </a:r>
          </a:p>
        </c:rich>
      </c:tx>
      <c:overlay val="0"/>
      <c:spPr>
        <a:solidFill>
          <a:srgbClr val="C65911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'40'!$B$3</c:f>
              <c:strCache>
                <c:ptCount val="1"/>
                <c:pt idx="0">
                  <c:v>Head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'40'!$A$4:$A$14</c:f>
              <c:strCache>
                <c:ptCount val="10"/>
                <c:pt idx="0">
                  <c:v>Data Science</c:v>
                </c:pt>
                <c:pt idx="1">
                  <c:v>Design</c:v>
                </c:pt>
                <c:pt idx="2">
                  <c:v>DevOps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Product</c:v>
                </c:pt>
                <c:pt idx="8">
                  <c:v>QA</c:v>
                </c:pt>
                <c:pt idx="9">
                  <c:v>Sales</c:v>
                </c:pt>
              </c:strCache>
            </c:strRef>
          </c:cat>
          <c:val>
            <c:numRef>
              <c:f>'40'!$B$4:$B$14</c:f>
              <c:numCache>
                <c:formatCode>General</c:formatCode>
                <c:ptCount val="10"/>
                <c:pt idx="0">
                  <c:v>61</c:v>
                </c:pt>
                <c:pt idx="1">
                  <c:v>84</c:v>
                </c:pt>
                <c:pt idx="2">
                  <c:v>59</c:v>
                </c:pt>
                <c:pt idx="3">
                  <c:v>59</c:v>
                </c:pt>
                <c:pt idx="4">
                  <c:v>44</c:v>
                </c:pt>
                <c:pt idx="5">
                  <c:v>62</c:v>
                </c:pt>
                <c:pt idx="6">
                  <c:v>58</c:v>
                </c:pt>
                <c:pt idx="7">
                  <c:v>59</c:v>
                </c:pt>
                <c:pt idx="8">
                  <c:v>49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7-4509-8D64-C9FAA4A3859E}"/>
            </c:ext>
          </c:extLst>
        </c:ser>
        <c:ser>
          <c:idx val="1"/>
          <c:order val="1"/>
          <c:tx>
            <c:strRef>
              <c:f>'40'!$C$3</c:f>
              <c:strCache>
                <c:ptCount val="1"/>
                <c:pt idx="0">
                  <c:v>Average of Salary_Monthly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'40'!$A$4:$A$14</c:f>
              <c:strCache>
                <c:ptCount val="10"/>
                <c:pt idx="0">
                  <c:v>Data Science</c:v>
                </c:pt>
                <c:pt idx="1">
                  <c:v>Design</c:v>
                </c:pt>
                <c:pt idx="2">
                  <c:v>DevOps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Product</c:v>
                </c:pt>
                <c:pt idx="8">
                  <c:v>QA</c:v>
                </c:pt>
                <c:pt idx="9">
                  <c:v>Sales</c:v>
                </c:pt>
              </c:strCache>
            </c:strRef>
          </c:cat>
          <c:val>
            <c:numRef>
              <c:f>'40'!$C$4:$C$14</c:f>
              <c:numCache>
                <c:formatCode>General</c:formatCode>
                <c:ptCount val="10"/>
                <c:pt idx="0">
                  <c:v>131046.73770491804</c:v>
                </c:pt>
                <c:pt idx="1">
                  <c:v>113217.58024691358</c:v>
                </c:pt>
                <c:pt idx="2">
                  <c:v>119460.70689655172</c:v>
                </c:pt>
                <c:pt idx="3">
                  <c:v>125063.24137931035</c:v>
                </c:pt>
                <c:pt idx="4">
                  <c:v>93190.159090909088</c:v>
                </c:pt>
                <c:pt idx="5">
                  <c:v>117506.08196721312</c:v>
                </c:pt>
                <c:pt idx="6">
                  <c:v>117689.8275862069</c:v>
                </c:pt>
                <c:pt idx="7">
                  <c:v>121090.42857142857</c:v>
                </c:pt>
                <c:pt idx="8">
                  <c:v>109212</c:v>
                </c:pt>
                <c:pt idx="9">
                  <c:v>125303.515625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7-4509-8D64-C9FAA4A3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588807"/>
        <c:axId val="2134207495"/>
      </c:barChart>
      <c:catAx>
        <c:axId val="1928588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07495"/>
        <c:crosses val="autoZero"/>
        <c:auto val="1"/>
        <c:lblAlgn val="ctr"/>
        <c:lblOffset val="100"/>
        <c:noMultiLvlLbl val="0"/>
      </c:catAx>
      <c:valAx>
        <c:axId val="213420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8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2.xlsx]40!PivotTable1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5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5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ubbleChart>
        <c:varyColors val="0"/>
        <c:ser>
          <c:idx val="0"/>
          <c:order val="0"/>
          <c:tx>
            <c:strRef>
              <c:f>'40'!$B$3</c:f>
              <c:strCache>
                <c:ptCount val="1"/>
                <c:pt idx="0">
                  <c:v>Head Count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'40'!$A$4:$A$14</c:f>
            </c:numRef>
          </c:xVal>
          <c:yVal>
            <c:numRef>
              <c:f>'40'!$B$4:$B$14</c:f>
              <c:numCache>
                <c:formatCode>General</c:formatCode>
                <c:ptCount val="10"/>
                <c:pt idx="0">
                  <c:v>61</c:v>
                </c:pt>
                <c:pt idx="1">
                  <c:v>84</c:v>
                </c:pt>
                <c:pt idx="2">
                  <c:v>59</c:v>
                </c:pt>
                <c:pt idx="3">
                  <c:v>59</c:v>
                </c:pt>
                <c:pt idx="4">
                  <c:v>44</c:v>
                </c:pt>
                <c:pt idx="5">
                  <c:v>62</c:v>
                </c:pt>
                <c:pt idx="6">
                  <c:v>58</c:v>
                </c:pt>
                <c:pt idx="7">
                  <c:v>59</c:v>
                </c:pt>
                <c:pt idx="8">
                  <c:v>49</c:v>
                </c:pt>
                <c:pt idx="9">
                  <c:v>65</c:v>
                </c:pt>
              </c:numCache>
            </c:numRef>
          </c:yVal>
          <c:bubbleSize>
            <c:numRef>
              <c:f>{1}</c:f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7C21-4966-A408-8C6AA393B130}"/>
            </c:ext>
          </c:extLst>
        </c:ser>
        <c:ser>
          <c:idx val="1"/>
          <c:order val="1"/>
          <c:tx>
            <c:strRef>
              <c:f>'40'!$C$3</c:f>
              <c:strCache>
                <c:ptCount val="1"/>
                <c:pt idx="0">
                  <c:v>Average of Salary_Monthly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'40'!$A$4:$A$14</c:f>
            </c:numRef>
          </c:xVal>
          <c:yVal>
            <c:numRef>
              <c:f>'40'!$C$4:$C$14</c:f>
              <c:numCache>
                <c:formatCode>General</c:formatCode>
                <c:ptCount val="10"/>
                <c:pt idx="0">
                  <c:v>131046.73770491804</c:v>
                </c:pt>
                <c:pt idx="1">
                  <c:v>113217.58024691358</c:v>
                </c:pt>
                <c:pt idx="2">
                  <c:v>119460.70689655172</c:v>
                </c:pt>
                <c:pt idx="3">
                  <c:v>125063.24137931035</c:v>
                </c:pt>
                <c:pt idx="4">
                  <c:v>93190.159090909088</c:v>
                </c:pt>
                <c:pt idx="5">
                  <c:v>117506.08196721312</c:v>
                </c:pt>
                <c:pt idx="6">
                  <c:v>117689.8275862069</c:v>
                </c:pt>
                <c:pt idx="7">
                  <c:v>121090.42857142857</c:v>
                </c:pt>
                <c:pt idx="8">
                  <c:v>109212</c:v>
                </c:pt>
                <c:pt idx="9">
                  <c:v>125303.515625</c:v>
                </c:pt>
              </c:numCache>
            </c:numRef>
          </c:yVal>
          <c:bubbleSize>
            <c:numRef>
              <c:f>{1}</c:f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7C21-4966-A408-8C6AA393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97522695"/>
        <c:axId val="1897524743"/>
      </c:bubbleChart>
      <c:valAx>
        <c:axId val="1897522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24743"/>
        <c:crosses val="autoZero"/>
        <c:crossBetween val="midCat"/>
      </c:valAx>
      <c:valAx>
        <c:axId val="1897524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22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EMPLOYEES IN EVERY STAGE</a:t>
            </a:r>
          </a:p>
        </c:rich>
      </c:tx>
      <c:overlay val="0"/>
      <c:spPr>
        <a:solidFill>
          <a:srgbClr val="9BC2E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'41'!$B$1</c:f>
              <c:strCache>
                <c:ptCount val="1"/>
                <c:pt idx="0">
                  <c:v>Count of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'41'!$A$2:$A$5</c:f>
              <c:strCache>
                <c:ptCount val="4"/>
                <c:pt idx="0">
                  <c:v>Apllications</c:v>
                </c:pt>
                <c:pt idx="1">
                  <c:v>Round1 Pass</c:v>
                </c:pt>
                <c:pt idx="2">
                  <c:v>Round2 Pass</c:v>
                </c:pt>
                <c:pt idx="3">
                  <c:v>Accepted</c:v>
                </c:pt>
              </c:strCache>
            </c:strRef>
          </c:cat>
          <c:val>
            <c:numRef>
              <c:f>'41'!$B$2:$B$5</c:f>
              <c:numCache>
                <c:formatCode>General</c:formatCode>
                <c:ptCount val="4"/>
                <c:pt idx="0">
                  <c:v>400</c:v>
                </c:pt>
                <c:pt idx="1">
                  <c:v>285</c:v>
                </c:pt>
                <c:pt idx="2">
                  <c:v>269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C-4C02-BEBB-E2CCCB783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888264"/>
        <c:axId val="90189832"/>
      </c:barChart>
      <c:catAx>
        <c:axId val="89888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STAGES</a:t>
                </a:r>
              </a:p>
            </c:rich>
          </c:tx>
          <c:overlay val="0"/>
          <c:spPr>
            <a:noFill/>
            <a:ln>
              <a:solidFill>
                <a:srgbClr val="000000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9832"/>
        <c:crosses val="autoZero"/>
        <c:auto val="1"/>
        <c:lblAlgn val="ctr"/>
        <c:lblOffset val="100"/>
        <c:noMultiLvlLbl val="0"/>
      </c:catAx>
      <c:valAx>
        <c:axId val="9018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 of billable hours for each company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BlueLotus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12276.2</c:v>
                </c:pt>
                <c:pt idx="1">
                  <c:v>12241.3</c:v>
                </c:pt>
                <c:pt idx="3">
                  <c:v>8108.3</c:v>
                </c:pt>
                <c:pt idx="4">
                  <c:v>4888</c:v>
                </c:pt>
                <c:pt idx="6">
                  <c:v>17310.099999999999</c:v>
                </c:pt>
                <c:pt idx="8">
                  <c:v>11411.1</c:v>
                </c:pt>
                <c:pt idx="9">
                  <c:v>23719.5</c:v>
                </c:pt>
                <c:pt idx="10">
                  <c:v>8287.7999999999993</c:v>
                </c:pt>
                <c:pt idx="11">
                  <c:v>2209.6999999999998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9-4F4F-8AC1-BDC585ECF984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CoastalDev Studio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29632.300000000003</c:v>
                </c:pt>
                <c:pt idx="3">
                  <c:v>8122.6</c:v>
                </c:pt>
                <c:pt idx="6">
                  <c:v>33782.400000000001</c:v>
                </c:pt>
                <c:pt idx="7">
                  <c:v>14009.8</c:v>
                </c:pt>
                <c:pt idx="8">
                  <c:v>11780</c:v>
                </c:pt>
                <c:pt idx="11">
                  <c:v>22696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F9-4F4F-8AC1-BDC585ECF984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InfySoft Bhubaneswar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16218</c:v>
                </c:pt>
                <c:pt idx="1">
                  <c:v>64796.799999999996</c:v>
                </c:pt>
                <c:pt idx="2">
                  <c:v>9064.5</c:v>
                </c:pt>
                <c:pt idx="4">
                  <c:v>25660.1</c:v>
                </c:pt>
                <c:pt idx="5">
                  <c:v>4226.3</c:v>
                </c:pt>
                <c:pt idx="6">
                  <c:v>5366.6</c:v>
                </c:pt>
                <c:pt idx="7">
                  <c:v>14082.699999999999</c:v>
                </c:pt>
                <c:pt idx="8">
                  <c:v>3608</c:v>
                </c:pt>
                <c:pt idx="9">
                  <c:v>13032.3</c:v>
                </c:pt>
                <c:pt idx="11">
                  <c:v>4154.7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F9-4F4F-8AC1-BDC585ECF984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KalingaTech Pvt Ltd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1">
                  <c:v>6448.6</c:v>
                </c:pt>
                <c:pt idx="2">
                  <c:v>1974.4</c:v>
                </c:pt>
                <c:pt idx="3">
                  <c:v>1592.8</c:v>
                </c:pt>
                <c:pt idx="4">
                  <c:v>10552.9</c:v>
                </c:pt>
                <c:pt idx="6">
                  <c:v>11310.1</c:v>
                </c:pt>
                <c:pt idx="8">
                  <c:v>1671.6</c:v>
                </c:pt>
                <c:pt idx="9">
                  <c:v>21637.5</c:v>
                </c:pt>
                <c:pt idx="10">
                  <c:v>16743.099999999999</c:v>
                </c:pt>
                <c:pt idx="11">
                  <c:v>18289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F9-4F4F-8AC1-BDC585ECF984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NilGiri Digitals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32402.899999999998</c:v>
                </c:pt>
                <c:pt idx="2">
                  <c:v>17204.400000000001</c:v>
                </c:pt>
                <c:pt idx="3">
                  <c:v>4784.8</c:v>
                </c:pt>
                <c:pt idx="4">
                  <c:v>19197.600000000002</c:v>
                </c:pt>
                <c:pt idx="5">
                  <c:v>7009.9</c:v>
                </c:pt>
                <c:pt idx="6">
                  <c:v>5191.7</c:v>
                </c:pt>
                <c:pt idx="8">
                  <c:v>4018.1</c:v>
                </c:pt>
                <c:pt idx="10">
                  <c:v>7020.3</c:v>
                </c:pt>
                <c:pt idx="11">
                  <c:v>20600.8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F9-4F4F-8AC1-BDC585ECF984}"/>
            </c:ext>
          </c:extLst>
        </c:ser>
        <c:ser>
          <c:idx val="5"/>
          <c:order val="5"/>
          <c:tx>
            <c:strRef>
              <c:f>Sheet14!$G$3:$G$4</c:f>
              <c:strCache>
                <c:ptCount val="1"/>
                <c:pt idx="0">
                  <c:v>OdishaCode Labs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Sheet14!$G$5:$G$17</c:f>
              <c:numCache>
                <c:formatCode>General</c:formatCode>
                <c:ptCount val="12"/>
                <c:pt idx="0">
                  <c:v>6638.6</c:v>
                </c:pt>
                <c:pt idx="1">
                  <c:v>3049.6</c:v>
                </c:pt>
                <c:pt idx="2">
                  <c:v>2079.6999999999998</c:v>
                </c:pt>
                <c:pt idx="3">
                  <c:v>8972.2999999999993</c:v>
                </c:pt>
                <c:pt idx="4">
                  <c:v>9179.5</c:v>
                </c:pt>
                <c:pt idx="5">
                  <c:v>31170.1</c:v>
                </c:pt>
                <c:pt idx="6">
                  <c:v>12944.8</c:v>
                </c:pt>
                <c:pt idx="7">
                  <c:v>4902.7</c:v>
                </c:pt>
                <c:pt idx="8">
                  <c:v>7261.1</c:v>
                </c:pt>
                <c:pt idx="9">
                  <c:v>15035.8</c:v>
                </c:pt>
                <c:pt idx="10">
                  <c:v>2114.3000000000002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F9-4F4F-8AC1-BDC585ECF984}"/>
            </c:ext>
          </c:extLst>
        </c:ser>
        <c:ser>
          <c:idx val="6"/>
          <c:order val="6"/>
          <c:tx>
            <c:strRef>
              <c:f>Sheet14!$H$3:$H$4</c:f>
              <c:strCache>
                <c:ptCount val="1"/>
                <c:pt idx="0">
                  <c:v>SambalpurNet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Sheet14!$H$5:$H$17</c:f>
              <c:numCache>
                <c:formatCode>General</c:formatCode>
                <c:ptCount val="12"/>
                <c:pt idx="0">
                  <c:v>8325.7000000000007</c:v>
                </c:pt>
                <c:pt idx="1">
                  <c:v>22327.599999999999</c:v>
                </c:pt>
                <c:pt idx="2">
                  <c:v>3086.8999999999996</c:v>
                </c:pt>
                <c:pt idx="3">
                  <c:v>11992.3</c:v>
                </c:pt>
                <c:pt idx="5">
                  <c:v>2436.1999999999998</c:v>
                </c:pt>
                <c:pt idx="6">
                  <c:v>30162.700000000004</c:v>
                </c:pt>
                <c:pt idx="7">
                  <c:v>3493</c:v>
                </c:pt>
                <c:pt idx="10">
                  <c:v>38081.5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F9-4F4F-8AC1-BDC585ECF984}"/>
            </c:ext>
          </c:extLst>
        </c:ser>
        <c:ser>
          <c:idx val="7"/>
          <c:order val="7"/>
          <c:tx>
            <c:strRef>
              <c:f>Sheet14!$I$3:$I$4</c:f>
              <c:strCache>
                <c:ptCount val="1"/>
                <c:pt idx="0">
                  <c:v>SilverByte Systems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Sheet14!$I$5:$I$17</c:f>
              <c:numCache>
                <c:formatCode>General</c:formatCode>
                <c:ptCount val="12"/>
                <c:pt idx="0">
                  <c:v>6364.8</c:v>
                </c:pt>
                <c:pt idx="1">
                  <c:v>2054.6</c:v>
                </c:pt>
                <c:pt idx="2">
                  <c:v>13060.099999999999</c:v>
                </c:pt>
                <c:pt idx="3">
                  <c:v>19607.099999999999</c:v>
                </c:pt>
                <c:pt idx="4">
                  <c:v>14459.800000000001</c:v>
                </c:pt>
                <c:pt idx="5">
                  <c:v>15240.3</c:v>
                </c:pt>
                <c:pt idx="6">
                  <c:v>22438</c:v>
                </c:pt>
                <c:pt idx="8">
                  <c:v>9442</c:v>
                </c:pt>
                <c:pt idx="10">
                  <c:v>3111</c:v>
                </c:pt>
                <c:pt idx="11">
                  <c:v>16312.5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F9-4F4F-8AC1-BDC585ECF984}"/>
            </c:ext>
          </c:extLst>
        </c:ser>
        <c:ser>
          <c:idx val="8"/>
          <c:order val="8"/>
          <c:tx>
            <c:strRef>
              <c:f>Sheet14!$J$3:$J$4</c:f>
              <c:strCache>
                <c:ptCount val="1"/>
                <c:pt idx="0">
                  <c:v>TechNova Solutions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Sheet14!$J$5:$J$17</c:f>
              <c:numCache>
                <c:formatCode>General</c:formatCode>
                <c:ptCount val="12"/>
                <c:pt idx="1">
                  <c:v>9667.2000000000007</c:v>
                </c:pt>
                <c:pt idx="2">
                  <c:v>11750.5</c:v>
                </c:pt>
                <c:pt idx="3">
                  <c:v>42447.899999999994</c:v>
                </c:pt>
                <c:pt idx="4">
                  <c:v>6093</c:v>
                </c:pt>
                <c:pt idx="5">
                  <c:v>8648.4</c:v>
                </c:pt>
                <c:pt idx="6">
                  <c:v>1228.3</c:v>
                </c:pt>
                <c:pt idx="10">
                  <c:v>20493.400000000001</c:v>
                </c:pt>
                <c:pt idx="11">
                  <c:v>22679.7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F9-4F4F-8AC1-BDC585ECF984}"/>
            </c:ext>
          </c:extLst>
        </c:ser>
        <c:ser>
          <c:idx val="9"/>
          <c:order val="9"/>
          <c:tx>
            <c:strRef>
              <c:f>Sheet14!$K$3:$K$4</c:f>
              <c:strCache>
                <c:ptCount val="1"/>
                <c:pt idx="0">
                  <c:v>TributeAI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Sheet14!$K$5:$K$17</c:f>
              <c:numCache>
                <c:formatCode>General</c:formatCode>
                <c:ptCount val="12"/>
                <c:pt idx="0">
                  <c:v>6868.9</c:v>
                </c:pt>
                <c:pt idx="2">
                  <c:v>24164</c:v>
                </c:pt>
                <c:pt idx="3">
                  <c:v>21746.6</c:v>
                </c:pt>
                <c:pt idx="4">
                  <c:v>14385.500000000002</c:v>
                </c:pt>
                <c:pt idx="5">
                  <c:v>20729.3</c:v>
                </c:pt>
                <c:pt idx="6">
                  <c:v>17202.3</c:v>
                </c:pt>
                <c:pt idx="7">
                  <c:v>13056.4</c:v>
                </c:pt>
                <c:pt idx="8">
                  <c:v>22228</c:v>
                </c:pt>
                <c:pt idx="11">
                  <c:v>4070.4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F9-4F4F-8AC1-BDC585ECF984}"/>
            </c:ext>
          </c:extLst>
        </c:ser>
        <c:ser>
          <c:idx val="10"/>
          <c:order val="10"/>
          <c:tx>
            <c:strRef>
              <c:f>Sheet14!$L$3:$L$4</c:f>
              <c:strCache>
                <c:ptCount val="1"/>
                <c:pt idx="0">
                  <c:v>UtkalSoft Technologies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Sheet14!$L$5:$L$17</c:f>
              <c:numCache>
                <c:formatCode>General</c:formatCode>
                <c:ptCount val="12"/>
                <c:pt idx="0">
                  <c:v>3934.6</c:v>
                </c:pt>
                <c:pt idx="1">
                  <c:v>20390.099999999999</c:v>
                </c:pt>
                <c:pt idx="2">
                  <c:v>21547</c:v>
                </c:pt>
                <c:pt idx="3">
                  <c:v>1925.3</c:v>
                </c:pt>
                <c:pt idx="4">
                  <c:v>6946.5</c:v>
                </c:pt>
                <c:pt idx="5">
                  <c:v>23262.199999999997</c:v>
                </c:pt>
                <c:pt idx="6">
                  <c:v>34196.800000000003</c:v>
                </c:pt>
                <c:pt idx="8">
                  <c:v>12222.3</c:v>
                </c:pt>
                <c:pt idx="10">
                  <c:v>27584</c:v>
                </c:pt>
                <c:pt idx="11">
                  <c:v>5541.7999999999993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F9-4F4F-8AC1-BDC585ECF984}"/>
            </c:ext>
          </c:extLst>
        </c:ser>
        <c:ser>
          <c:idx val="11"/>
          <c:order val="11"/>
          <c:tx>
            <c:strRef>
              <c:f>Sheet14!$M$3:$M$4</c:f>
              <c:strCache>
                <c:ptCount val="1"/>
                <c:pt idx="0">
                  <c:v>ZeroOneSystems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Sheet14!$A$5:$A$17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Sheet14!$M$5:$M$17</c:f>
              <c:numCache>
                <c:formatCode>General</c:formatCode>
                <c:ptCount val="12"/>
                <c:pt idx="1">
                  <c:v>1082.9000000000001</c:v>
                </c:pt>
                <c:pt idx="2">
                  <c:v>12920.1</c:v>
                </c:pt>
                <c:pt idx="3">
                  <c:v>2340</c:v>
                </c:pt>
                <c:pt idx="4">
                  <c:v>5901.1</c:v>
                </c:pt>
                <c:pt idx="5">
                  <c:v>12989.9</c:v>
                </c:pt>
                <c:pt idx="7">
                  <c:v>5896.4</c:v>
                </c:pt>
                <c:pt idx="8">
                  <c:v>10283.299999999999</c:v>
                </c:pt>
                <c:pt idx="9">
                  <c:v>11176.3</c:v>
                </c:pt>
                <c:pt idx="10">
                  <c:v>10432.5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0F9-4F4F-8AC1-BDC585ECF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774152"/>
        <c:axId val="1104777224"/>
      </c:lineChart>
      <c:catAx>
        <c:axId val="110477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77224"/>
        <c:crosses val="autoZero"/>
        <c:auto val="1"/>
        <c:lblAlgn val="ctr"/>
        <c:lblOffset val="100"/>
        <c:noMultiLvlLbl val="0"/>
      </c:catAx>
      <c:valAx>
        <c:axId val="11047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7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152400</xdr:rowOff>
    </xdr:from>
    <xdr:to>
      <xdr:col>12</xdr:col>
      <xdr:colOff>914400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FA5A3-58A2-7786-76A7-6D1245785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47625</xdr:colOff>
      <xdr:row>5</xdr:row>
      <xdr:rowOff>0</xdr:rowOff>
    </xdr:from>
    <xdr:to>
      <xdr:col>36</xdr:col>
      <xdr:colOff>142875</xdr:colOff>
      <xdr:row>20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13785E-BFFA-6A9B-C4DD-861998CF5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171450</xdr:colOff>
      <xdr:row>5</xdr:row>
      <xdr:rowOff>19050</xdr:rowOff>
    </xdr:from>
    <xdr:to>
      <xdr:col>48</xdr:col>
      <xdr:colOff>476250</xdr:colOff>
      <xdr:row>20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34645A-EE89-8888-EE30-CF156D5B5C46}"/>
            </a:ext>
            <a:ext uri="{147F2762-F138-4A5C-976F-8EAC2B608ADB}">
              <a16:predDERef xmlns:a16="http://schemas.microsoft.com/office/drawing/2014/main" pred="{3013785E-BFFA-6A9B-C4DD-861998CF5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342900</xdr:colOff>
      <xdr:row>20</xdr:row>
      <xdr:rowOff>142875</xdr:rowOff>
    </xdr:from>
    <xdr:to>
      <xdr:col>34</xdr:col>
      <xdr:colOff>428625</xdr:colOff>
      <xdr:row>39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7140E4-7897-95B1-D440-4D8FB686CD59}"/>
            </a:ext>
            <a:ext uri="{147F2762-F138-4A5C-976F-8EAC2B608ADB}">
              <a16:predDERef xmlns:a16="http://schemas.microsoft.com/office/drawing/2014/main" pred="{6834645A-EE89-8888-EE30-CF156D5B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419100</xdr:colOff>
      <xdr:row>20</xdr:row>
      <xdr:rowOff>161925</xdr:rowOff>
    </xdr:from>
    <xdr:to>
      <xdr:col>48</xdr:col>
      <xdr:colOff>457200</xdr:colOff>
      <xdr:row>39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8E3908-5F63-BEF5-E369-C3BC8D4A758A}"/>
            </a:ext>
            <a:ext uri="{147F2762-F138-4A5C-976F-8EAC2B608ADB}">
              <a16:predDERef xmlns:a16="http://schemas.microsoft.com/office/drawing/2014/main" pred="{767140E4-7897-95B1-D440-4D8FB686C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142875</xdr:colOff>
      <xdr:row>39</xdr:row>
      <xdr:rowOff>133350</xdr:rowOff>
    </xdr:from>
    <xdr:to>
      <xdr:col>47</xdr:col>
      <xdr:colOff>238125</xdr:colOff>
      <xdr:row>63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878995-1D59-3D46-55E4-F804E7EC8672}"/>
            </a:ext>
            <a:ext uri="{147F2762-F138-4A5C-976F-8EAC2B608ADB}">
              <a16:predDERef xmlns:a16="http://schemas.microsoft.com/office/drawing/2014/main" pred="{EB8E3908-5F63-BEF5-E369-C3BC8D4A7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571500</xdr:colOff>
      <xdr:row>0</xdr:row>
      <xdr:rowOff>9525</xdr:rowOff>
    </xdr:from>
    <xdr:to>
      <xdr:col>51</xdr:col>
      <xdr:colOff>552450</xdr:colOff>
      <xdr:row>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35BD5F-E09F-1D7E-31CF-EA640538AC97}"/>
            </a:ext>
            <a:ext uri="{147F2762-F138-4A5C-976F-8EAC2B608ADB}">
              <a16:predDERef xmlns:a16="http://schemas.microsoft.com/office/drawing/2014/main" pred="{5E878995-1D59-3D46-55E4-F804E7EC8672}"/>
            </a:ext>
          </a:extLst>
        </xdr:cNvPr>
        <xdr:cNvSpPr txBox="1"/>
      </xdr:nvSpPr>
      <xdr:spPr>
        <a:xfrm>
          <a:off x="18268950" y="9525"/>
          <a:ext cx="21316950" cy="95250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1">
              <a:solidFill>
                <a:srgbClr val="C00000"/>
              </a:solidFill>
              <a:latin typeface="+mn-lt"/>
              <a:ea typeface="+mn-lt"/>
              <a:cs typeface="+mn-lt"/>
            </a:rPr>
            <a:t>SUMMARY 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</xdr:row>
      <xdr:rowOff>0</xdr:rowOff>
    </xdr:from>
    <xdr:to>
      <xdr:col>10</xdr:col>
      <xdr:colOff>542925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05BA5-11B2-713F-CDAB-661BB8741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161925</xdr:rowOff>
    </xdr:from>
    <xdr:to>
      <xdr:col>14</xdr:col>
      <xdr:colOff>571500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ACE04-DB9C-0830-8FDB-06F56F867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114300</xdr:rowOff>
    </xdr:from>
    <xdr:to>
      <xdr:col>11</xdr:col>
      <xdr:colOff>66675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4AB62-54D6-6088-70F0-B082E813B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2</xdr:row>
      <xdr:rowOff>9525</xdr:rowOff>
    </xdr:from>
    <xdr:to>
      <xdr:col>27</xdr:col>
      <xdr:colOff>57150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153E7-E825-7772-A2FB-A96BCF4AC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563740277779" createdVersion="8" refreshedVersion="8" minRefreshableVersion="3" recordCount="600" xr:uid="{178DC126-D797-4DF1-BA0F-F60DFF6B0848}">
  <cacheSource type="worksheet">
    <worksheetSource ref="A1:N601" sheet="Employees"/>
  </cacheSource>
  <cacheFields count="14">
    <cacheField name="Employee_ID" numFmtId="0">
      <sharedItems count="6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</sharedItems>
    </cacheField>
    <cacheField name="Full_Name" numFmtId="0">
      <sharedItems/>
    </cacheField>
    <cacheField name="Gender" numFmtId="0">
      <sharedItems/>
    </cacheField>
    <cacheField name="Department" numFmtId="0">
      <sharedItems count="10">
        <s v="DevOps"/>
        <s v="Design"/>
        <s v="Engineering"/>
        <s v="Sales"/>
        <s v="Product"/>
        <s v="HR"/>
        <s v="Data Science"/>
        <s v="Marketing"/>
        <s v="QA"/>
        <s v="Finance"/>
      </sharedItems>
    </cacheField>
    <cacheField name="Field5" caption="Field5" numFmtId="0">
      <sharedItems/>
    </cacheField>
    <cacheField name="Designation" numFmtId="0">
      <sharedItems/>
    </cacheField>
    <cacheField name="Company" numFmtId="0">
      <sharedItems/>
    </cacheField>
    <cacheField name="City" numFmtId="0">
      <sharedItems/>
    </cacheField>
    <cacheField name="Salary_Monthly" numFmtId="0">
      <sharedItems containsString="0" containsBlank="1" containsNumber="1" containsInteger="1" minValue="18177" maxValue="219929"/>
    </cacheField>
    <cacheField name="Joining_Date" numFmtId="0">
      <sharedItems containsBlank="1"/>
    </cacheField>
    <cacheField name="Experience_Years" numFmtId="0">
      <sharedItems containsSemiMixedTypes="0" containsString="0" containsNumber="1" minValue="0.5" maxValue="7"/>
    </cacheField>
    <cacheField name="Performance_Rating" numFmtId="0">
      <sharedItems containsString="0" containsBlank="1" containsNumber="1" minValue="1.5" maxValue="5"/>
    </cacheField>
    <cacheField name="Employment_Status" numFmtId="0">
      <sharedItems count="4">
        <s v="Bikash Biswal"/>
        <s v="Resigned"/>
        <s v="Active"/>
        <s v="On Leave"/>
      </sharedItems>
    </cacheField>
    <cacheField name="Manager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586405092596" createdVersion="8" refreshedVersion="8" minRefreshableVersion="3" recordCount="72" xr:uid="{CAD6E01B-A58F-41E0-A3CC-B2162D2120C6}">
  <cacheSource type="worksheet">
    <worksheetSource ref="A3:M75" sheet="KPL_Summary"/>
  </cacheSource>
  <cacheFields count="13">
    <cacheField name="Quarter" numFmtId="0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Company" numFmtId="0">
      <sharedItems count="12">
        <s v="NilGiri Digitals"/>
        <s v="TechNova Solutions"/>
        <s v="CoastalDev Studio"/>
        <s v="ZeroOneSystems"/>
        <s v="InfySoft Bhubaneswar"/>
        <s v="OdishaCode Labs"/>
        <s v="SambalpurNet"/>
        <s v="BlueLotus IT"/>
        <s v="SilverByte Systems"/>
        <s v="UtkalSoft Technologies"/>
        <s v="TributeAI"/>
        <s v="KalingaTech Pvt Ltd"/>
      </sharedItems>
    </cacheField>
    <cacheField name="Total_Employees" numFmtId="0">
      <sharedItems containsSemiMixedTypes="0" containsString="0" containsNumber="1" containsInteger="1" minValue="54" maxValue="298"/>
    </cacheField>
    <cacheField name="Active_Employees" numFmtId="0">
      <sharedItems containsSemiMixedTypes="0" containsString="0" containsNumber="1" containsInteger="1" minValue="36" maxValue="291"/>
    </cacheField>
    <cacheField name="Resigned_Employees" numFmtId="0">
      <sharedItems containsSemiMixedTypes="0" containsString="0" containsNumber="1" containsInteger="1" minValue="2" maxValue="20"/>
    </cacheField>
    <cacheField name="Attrition_Pct" numFmtId="0">
      <sharedItems containsSemiMixedTypes="0" containsString="0" containsNumber="1" minValue="0.71" maxValue="33.33"/>
    </cacheField>
    <cacheField name="New_Hires" numFmtId="0">
      <sharedItems containsSemiMixedTypes="0" containsString="0" containsNumber="1" containsInteger="1" minValue="6" maxValue="40"/>
    </cacheField>
    <cacheField name="Avg_Performance_Rating" numFmtId="0">
      <sharedItems containsSemiMixedTypes="0" containsString="0" containsNumber="1" minValue="3.02" maxValue="4.7699999999999996"/>
    </cacheField>
    <cacheField name="Billable_Hours_Total" numFmtId="0">
      <sharedItems containsSemiMixedTypes="0" containsString="0" containsNumber="1" minValue="2018.5" maxValue="14940.2"/>
    </cacheField>
    <cacheField name="Revenue_Contribution_Lakhs" numFmtId="0">
      <sharedItems containsSemiMixedTypes="0" containsString="0" containsNumber="1" minValue="2365.17" maxValue="28574.61"/>
    </cacheField>
    <cacheField name="Avg_Salary_Monthly" numFmtId="0">
      <sharedItems containsSemiMixedTypes="0" containsString="0" containsNumber="1" containsInteger="1" minValue="36071" maxValue="119959"/>
    </cacheField>
    <cacheField name="Avg_Interview_Score" numFmtId="0">
      <sharedItems containsSemiMixedTypes="0" containsString="0" containsNumber="1" minValue="5.5" maxValue="8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594723148148" createdVersion="8" refreshedVersion="8" minRefreshableVersion="3" recordCount="200" xr:uid="{49784D38-86C8-44ED-8FA7-6461927234D7}">
  <cacheSource type="worksheet">
    <worksheetSource ref="A1:N201" sheet="Projects"/>
  </cacheSource>
  <cacheFields count="14">
    <cacheField name="Project_ID" numFmtId="0">
      <sharedItems count="200">
        <s v="PROJ001"/>
        <s v="PROJ002"/>
        <s v="PROJ003"/>
        <s v="PROJ004"/>
        <s v="PROJ005"/>
        <s v="PROJ006"/>
        <s v="PROJ007"/>
        <s v="PROJ008"/>
        <s v="PROJ009"/>
        <s v="PROJ010"/>
        <s v="PROJ011"/>
        <s v="PROJ012"/>
        <s v="PROJ013"/>
        <s v="PROJ014"/>
        <s v="PROJ015"/>
        <s v="PROJ016"/>
        <s v="PROJ017"/>
        <s v="PROJ018"/>
        <s v="PROJ019"/>
        <s v="PROJ020"/>
        <s v="PROJ021"/>
        <s v="PROJ022"/>
        <s v="PROJ023"/>
        <s v="PROJ024"/>
        <s v="PROJ025"/>
        <s v="PROJ026"/>
        <s v="PROJ027"/>
        <s v="PROJ028"/>
        <s v="PROJ029"/>
        <s v="PROJ030"/>
        <s v="PROJ031"/>
        <s v="PROJ032"/>
        <s v="PROJ033"/>
        <s v="PROJ034"/>
        <s v="PROJ035"/>
        <s v="PROJ036"/>
        <s v="PROJ037"/>
        <s v="PROJ038"/>
        <s v="PROJ039"/>
        <s v="PROJ040"/>
        <s v="PROJ041"/>
        <s v="PROJ042"/>
        <s v="PROJ043"/>
        <s v="PROJ044"/>
        <s v="PROJ045"/>
        <s v="PROJ046"/>
        <s v="PROJ047"/>
        <s v="PROJ048"/>
        <s v="PROJ049"/>
        <s v="PROJ050"/>
        <s v="PROJ051"/>
        <s v="PROJ052"/>
        <s v="PROJ053"/>
        <s v="PROJ054"/>
        <s v="PROJ055"/>
        <s v="PROJ056"/>
        <s v="PROJ057"/>
        <s v="PROJ058"/>
        <s v="PROJ059"/>
        <s v="PROJ060"/>
        <s v="PROJ061"/>
        <s v="PROJ062"/>
        <s v="PROJ063"/>
        <s v="PROJ064"/>
        <s v="PROJ065"/>
        <s v="PROJ066"/>
        <s v="PROJ067"/>
        <s v="PROJ068"/>
        <s v="PROJ069"/>
        <s v="PROJ070"/>
        <s v="PROJ071"/>
        <s v="PROJ072"/>
        <s v="PROJ073"/>
        <s v="PROJ074"/>
        <s v="PROJ075"/>
        <s v="PROJ076"/>
        <s v="PROJ077"/>
        <s v="PROJ078"/>
        <s v="PROJ079"/>
        <s v="PROJ080"/>
        <s v="PROJ081"/>
        <s v="PROJ082"/>
        <s v="PROJ083"/>
        <s v="PROJ084"/>
        <s v="PROJ085"/>
        <s v="PROJ086"/>
        <s v="PROJ087"/>
        <s v="PROJ088"/>
        <s v="PROJ089"/>
        <s v="PROJ090"/>
        <s v="PROJ091"/>
        <s v="PROJ092"/>
        <s v="PROJ093"/>
        <s v="PROJ094"/>
        <s v="PROJ095"/>
        <s v="PROJ096"/>
        <s v="PROJ097"/>
        <s v="PROJ098"/>
        <s v="PROJ099"/>
        <s v="PROJ100"/>
        <s v="PROJ101"/>
        <s v="PROJ102"/>
        <s v="PROJ103"/>
        <s v="PROJ104"/>
        <s v="PROJ105"/>
        <s v="PROJ106"/>
        <s v="PROJ107"/>
        <s v="PROJ108"/>
        <s v="PROJ109"/>
        <s v="PROJ110"/>
        <s v="PROJ111"/>
        <s v="PROJ112"/>
        <s v="PROJ113"/>
        <s v="PROJ114"/>
        <s v="PROJ115"/>
        <s v="PROJ116"/>
        <s v="PROJ117"/>
        <s v="PROJ118"/>
        <s v="PROJ119"/>
        <s v="PROJ120"/>
        <s v="PROJ121"/>
        <s v="PROJ122"/>
        <s v="PROJ123"/>
        <s v="PROJ124"/>
        <s v="PROJ125"/>
        <s v="PROJ126"/>
        <s v="PROJ127"/>
        <s v="PROJ128"/>
        <s v="PROJ129"/>
        <s v="PROJ130"/>
        <s v="PROJ131"/>
        <s v="PROJ132"/>
        <s v="PROJ133"/>
        <s v="PROJ134"/>
        <s v="PROJ135"/>
        <s v="PROJ136"/>
        <s v="PROJ137"/>
        <s v="PROJ138"/>
        <s v="PROJ139"/>
        <s v="PROJ140"/>
        <s v="PROJ141"/>
        <s v="PROJ142"/>
        <s v="PROJ143"/>
        <s v="PROJ144"/>
        <s v="PROJ145"/>
        <s v="PROJ146"/>
        <s v="PROJ147"/>
        <s v="PROJ148"/>
        <s v="PROJ149"/>
        <s v="PROJ150"/>
        <s v="PROJ151"/>
        <s v="PROJ152"/>
        <s v="PROJ153"/>
        <s v="PROJ154"/>
        <s v="PROJ155"/>
        <s v="PROJ156"/>
        <s v="PROJ157"/>
        <s v="PROJ158"/>
        <s v="PROJ159"/>
        <s v="PROJ160"/>
        <s v="PROJ161"/>
        <s v="PROJ162"/>
        <s v="PROJ163"/>
        <s v="PROJ164"/>
        <s v="PROJ165"/>
        <s v="PROJ166"/>
        <s v="PROJ167"/>
        <s v="PROJ168"/>
        <s v="PROJ169"/>
        <s v="PROJ170"/>
        <s v="PROJ171"/>
        <s v="PROJ172"/>
        <s v="PROJ173"/>
        <s v="PROJ174"/>
        <s v="PROJ175"/>
        <s v="PROJ176"/>
        <s v="PROJ177"/>
        <s v="PROJ178"/>
        <s v="PROJ179"/>
        <s v="PROJ180"/>
        <s v="PROJ181"/>
        <s v="PROJ182"/>
        <s v="PROJ183"/>
        <s v="PROJ184"/>
        <s v="PROJ185"/>
        <s v="PROJ186"/>
        <s v="PROJ187"/>
        <s v="PROJ188"/>
        <s v="PROJ189"/>
        <s v="PROJ190"/>
        <s v="PROJ191"/>
        <s v="PROJ192"/>
        <s v="PROJ193"/>
        <s v="PROJ194"/>
        <s v="PROJ195"/>
        <s v="PROJ196"/>
        <s v="PROJ197"/>
        <s v="PROJ198"/>
        <s v="PROJ199"/>
        <s v="PROJ200"/>
      </sharedItems>
    </cacheField>
    <cacheField name="Project_Name" numFmtId="0">
      <sharedItems/>
    </cacheField>
    <cacheField name="Client_Name" numFmtId="0">
      <sharedItems/>
    </cacheField>
    <cacheField name="Company" numFmtId="0">
      <sharedItems count="12">
        <s v="TechNova Solutions"/>
        <s v="OdishaCode Labs"/>
        <s v="KalingaTech Pvt Ltd"/>
        <s v="TributeAI"/>
        <s v="InfySoft Bhubaneswar"/>
        <s v="UtkalSoft Technologies"/>
        <s v="BlueLotus IT"/>
        <s v="CoastalDev Studio"/>
        <s v="SilverByte Systems"/>
        <s v="SambalpurNet"/>
        <s v="ZeroOneSystems"/>
        <s v="NilGiri Digitals"/>
      </sharedItems>
    </cacheField>
    <cacheField name="Technology_Stack" numFmtId="0">
      <sharedItems count="15">
        <s v="Android Kotlin"/>
        <s v="ML/AI"/>
        <s v="Angular"/>
        <s v="AWS"/>
        <s v="Flutter"/>
        <s v="Node.js"/>
        <s v="iOS Swift"/>
        <s v="Data Engineering"/>
        <s v=".NET"/>
        <s v="Azure"/>
        <s v="DevOps/K8s"/>
        <s v="Salesforce"/>
        <s v="React"/>
        <s v="Java"/>
        <s v="Python"/>
      </sharedItems>
    </cacheField>
    <cacheField name="Budget_Lakhs" numFmtId="0">
      <sharedItems containsString="0" containsBlank="1" containsNumber="1" minValue="5.87" maxValue="199.84"/>
    </cacheField>
    <cacheField name="Actual_Cost_Lakhs" numFmtId="0">
      <sharedItems containsSemiMixedTypes="0" containsString="0" containsNumber="1" minValue="5.22" maxValue="248.34"/>
    </cacheField>
    <cacheField name="Start_Date" numFmtId="164">
      <sharedItems/>
    </cacheField>
    <cacheField name="Deadline" numFmtId="164">
      <sharedItems/>
    </cacheField>
    <cacheField name="Completion_Date" numFmtId="0">
      <sharedItems containsBlank="1"/>
    </cacheField>
    <cacheField name="Status" numFmtId="0">
      <sharedItems count="5">
        <s v="Cancelled"/>
        <s v="Under Review"/>
        <s v="In Progress"/>
        <s v="Completed"/>
        <s v="On Hold"/>
      </sharedItems>
    </cacheField>
    <cacheField name="Team_Size" numFmtId="0">
      <sharedItems containsSemiMixedTypes="0" containsString="0" containsNumber="1" containsInteger="1" minValue="2" maxValue="25"/>
    </cacheField>
    <cacheField name="Billable_Hours" numFmtId="0">
      <sharedItems containsSemiMixedTypes="0" containsString="0" containsNumber="1" minValue="458.3" maxValue="22353.9"/>
    </cacheField>
    <cacheField name="Lead_Employee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614837615743" createdVersion="8" refreshedVersion="8" minRefreshableVersion="3" recordCount="608" xr:uid="{8F5D7BBE-9F64-47C4-AB59-A6D33AA31B55}">
  <cacheSource type="worksheet">
    <worksheetSource ref="D1:E1048576" sheet="38"/>
  </cacheSource>
  <cacheFields count="2">
    <cacheField name="Department" numFmtId="0">
      <sharedItems containsBlank="1" count="11">
        <s v="DevOps"/>
        <s v="Design"/>
        <s v="Engineering"/>
        <s v="Sales"/>
        <s v="Product"/>
        <s v="HR"/>
        <s v="Data Science"/>
        <s v="Marketing"/>
        <s v="QA"/>
        <s v="Finance"/>
        <m/>
      </sharedItems>
    </cacheField>
    <cacheField name="Billable hours by department" numFmtId="0">
      <sharedItems containsString="0" containsBlank="1" containsNumber="1" minValue="1605.8" maxValue="1740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710668402775" createdVersion="8" refreshedVersion="8" minRefreshableVersion="3" recordCount="399" xr:uid="{0A4770DA-D3AE-40A1-8F7A-0725A1C0AB8F}">
  <cacheSource type="worksheet">
    <worksheetSource ref="A2:P401" sheet="Hiring"/>
  </cacheSource>
  <cacheFields count="16">
    <cacheField name="CAND0001" numFmtId="0">
      <sharedItems/>
    </cacheField>
    <cacheField name="Abhishek Ratha" numFmtId="0">
      <sharedItems/>
    </cacheField>
    <cacheField name="Product Manager" numFmtId="0">
      <sharedItems containsBlank="1"/>
    </cacheField>
    <cacheField name="Data Science" numFmtId="0">
      <sharedItems/>
    </cacheField>
    <cacheField name="Data Science2" numFmtId="0">
      <sharedItems/>
    </cacheField>
    <cacheField name="Job Portal" numFmtId="0">
      <sharedItems/>
    </cacheField>
    <cacheField name="Job Portal2" numFmtId="0">
      <sharedItems/>
    </cacheField>
    <cacheField name="3.8" numFmtId="0">
      <sharedItems containsString="0" containsBlank="1" containsNumber="1" minValue="3.1" maxValue="10"/>
    </cacheField>
    <cacheField name="7.9" numFmtId="0">
      <sharedItems containsString="0" containsBlank="1" containsNumber="1" minValue="3" maxValue="10"/>
    </cacheField>
    <cacheField name="5.8" numFmtId="0">
      <sharedItems containsString="0" containsBlank="1" containsNumber="1" minValue="3.2" maxValue="9.9"/>
    </cacheField>
    <cacheField name="123018" numFmtId="0">
      <sharedItems containsString="0" containsBlank="1" containsNumber="1" containsInteger="1" minValue="20383" maxValue="199530"/>
    </cacheField>
    <cacheField name="135000" numFmtId="0">
      <sharedItems containsString="0" containsBlank="1" containsNumber="1" containsInteger="1" minValue="20256" maxValue="225137"/>
    </cacheField>
    <cacheField name="Pending" numFmtId="0">
      <sharedItems/>
    </cacheField>
    <cacheField name="08-04-2024" numFmtId="165">
      <sharedItems/>
    </cacheField>
    <cacheField name="SambalpurNet" numFmtId="0">
      <sharedItems/>
    </cacheField>
    <cacheField name="4.7" numFmtId="0">
      <sharedItems containsSemiMixedTypes="0" containsString="0" containsNumber="1" minValue="0.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713580555559" createdVersion="8" refreshedVersion="8" minRefreshableVersion="3" recordCount="400" xr:uid="{EA6E407D-FF12-42A4-9AF3-500EBEA2583A}">
  <cacheSource type="worksheet">
    <worksheetSource ref="A1:N401" sheet="34"/>
  </cacheSource>
  <cacheFields count="14">
    <cacheField name="Candidate_ID" numFmtId="0">
      <sharedItems/>
    </cacheField>
    <cacheField name="Full_Name" numFmtId="0">
      <sharedItems/>
    </cacheField>
    <cacheField name="Applied_Role" numFmtId="0">
      <sharedItems containsBlank="1"/>
    </cacheField>
    <cacheField name="Department" numFmtId="0">
      <sharedItems/>
    </cacheField>
    <cacheField name="Source" numFmtId="0">
      <sharedItems count="6">
        <s v="Job Portal"/>
        <s v="LinkedIn"/>
        <s v="Campus"/>
        <s v="Walk-in"/>
        <s v="Naukri"/>
        <s v="Referral"/>
      </sharedItems>
    </cacheField>
    <cacheField name="Interview_Round1_Score" numFmtId="0">
      <sharedItems containsString="0" containsBlank="1" containsNumber="1" minValue="3.1" maxValue="10"/>
    </cacheField>
    <cacheField name="Interview_Round2_Score" numFmtId="0">
      <sharedItems containsString="0" containsBlank="1" containsNumber="1" minValue="3" maxValue="10"/>
    </cacheField>
    <cacheField name="Final_Score" numFmtId="0">
      <sharedItems containsString="0" containsBlank="1" containsNumber="1" minValue="3.2" maxValue="9.9"/>
    </cacheField>
    <cacheField name="Expected_Salary" numFmtId="0">
      <sharedItems containsString="0" containsBlank="1" containsNumber="1" containsInteger="1" minValue="20383" maxValue="199530"/>
    </cacheField>
    <cacheField name="Offered_Salary" numFmtId="0">
      <sharedItems containsString="0" containsBlank="1" containsNumber="1" containsInteger="1" minValue="20256" maxValue="225137"/>
    </cacheField>
    <cacheField name="Offer_Status" numFmtId="0">
      <sharedItems count="5">
        <s v="Pending"/>
        <s v="Accepted"/>
        <s v="Withdrawn"/>
        <s v="Rejected"/>
        <s v="Negotiating"/>
      </sharedItems>
    </cacheField>
    <cacheField name="Interview_Date" numFmtId="165">
      <sharedItems/>
    </cacheField>
    <cacheField name="Company" numFmtId="0">
      <sharedItems/>
    </cacheField>
    <cacheField name="Years_Experience" numFmtId="0">
      <sharedItems containsSemiMixedTypes="0" containsString="0" containsNumber="1" minValue="0.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3.004126967593" createdVersion="8" refreshedVersion="8" minRefreshableVersion="3" recordCount="200" xr:uid="{F3BD83F6-52D6-4DC9-9AD5-1D991660C1A8}">
  <cacheSource type="worksheet">
    <worksheetSource ref="A1:E201" sheet="37"/>
  </cacheSource>
  <cacheFields count="5">
    <cacheField name="Company" numFmtId="0">
      <sharedItems count="12">
        <s v="TechNova Solutions"/>
        <s v="OdishaCode Labs"/>
        <s v="KalingaTech Pvt Ltd"/>
        <s v="TributeAI"/>
        <s v="InfySoft Bhubaneswar"/>
        <s v="UtkalSoft Technologies"/>
        <s v="BlueLotus IT"/>
        <s v="CoastalDev Studio"/>
        <s v="SilverByte Systems"/>
        <s v="SambalpurNet"/>
        <s v="ZeroOneSystems"/>
        <s v="NilGiri Digitals"/>
      </sharedItems>
    </cacheField>
    <cacheField name="Start_Date" numFmtId="164">
      <sharedItems/>
    </cacheField>
    <cacheField name="Helper column" numFmtId="165">
      <sharedItems containsSemiMixedTypes="0" containsNonDate="0" containsDate="1" containsString="0" minDate="2021-01-06T00:00:00" maxDate="2024-12-29T00:00:00"/>
    </cacheField>
    <cacheField name="Helper column 2" numFmtId="166">
      <sharedItems count="12">
        <s v="March"/>
        <s v="November"/>
        <s v="December"/>
        <s v="August"/>
        <s v="September"/>
        <s v="October"/>
        <s v="July"/>
        <s v="February"/>
        <s v="May"/>
        <s v="April"/>
        <s v="June"/>
        <s v="January"/>
      </sharedItems>
    </cacheField>
    <cacheField name="Billable_Hours" numFmtId="0">
      <sharedItems containsSemiMixedTypes="0" containsString="0" containsNumber="1" minValue="458.3" maxValue="22353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Priyanka Jena"/>
    <s v="F"/>
    <x v="0"/>
    <s v="Devops"/>
    <s v="SRE"/>
    <s v="CoastalDev Studio"/>
    <s v="Bhubaneswar"/>
    <n v="82466"/>
    <m/>
    <n v="1.8"/>
    <n v="4.5"/>
    <x v="0"/>
    <m/>
  </r>
  <r>
    <x v="1"/>
    <s v="Ranjit Samal"/>
    <s v="female"/>
    <x v="1"/>
    <s v="Design"/>
    <s v="UI Designer"/>
    <s v="InfySoft Bhubaneswar"/>
    <s v="Puri"/>
    <n v="56048"/>
    <s v="05-03-2022"/>
    <n v="2.8"/>
    <n v="1.5"/>
    <x v="1"/>
    <s v="EMP0001"/>
  </r>
  <r>
    <x v="2"/>
    <s v="Subhasree Dhal"/>
    <s v="female"/>
    <x v="0"/>
    <s v="Devops"/>
    <s v="SRE"/>
    <s v="NilGiri Digitals"/>
    <s v="Berhampur"/>
    <n v="196711"/>
    <s v="07-03-2021"/>
    <n v="3.8"/>
    <n v="3.4"/>
    <x v="2"/>
    <s v="EMP0002"/>
  </r>
  <r>
    <x v="3"/>
    <s v="Bikash Jena"/>
    <s v="male"/>
    <x v="2"/>
    <s v="Engineering"/>
    <s v="Tech Lead"/>
    <s v="CoastalDev Studio"/>
    <s v="Bhubaneswar"/>
    <n v="55130"/>
    <s v="21-03-2021"/>
    <n v="3.8"/>
    <n v="2.7"/>
    <x v="3"/>
    <s v="EMP0002"/>
  </r>
  <r>
    <x v="4"/>
    <s v="Bikash Nanda"/>
    <s v="female"/>
    <x v="1"/>
    <s v="Design"/>
    <s v="Design Lead"/>
    <s v="SambalpurNet"/>
    <s v="Cuttack"/>
    <n v="112039"/>
    <s v="21-07-2023"/>
    <n v="1.5"/>
    <n v="4.9000000000000004"/>
    <x v="2"/>
    <s v="EMP0003"/>
  </r>
  <r>
    <x v="5"/>
    <s v="Tapas Sahu"/>
    <s v="F"/>
    <x v="3"/>
    <s v="Sales"/>
    <s v="Account Manager"/>
    <s v="BlueLotus IT"/>
    <s v="Bhubaneswar"/>
    <n v="90908"/>
    <s v="31-07-2022"/>
    <n v="2.4"/>
    <n v="2.9"/>
    <x v="2"/>
    <s v="EMP0002"/>
  </r>
  <r>
    <x v="6"/>
    <s v="Jyotirmayee Ratha"/>
    <s v="female"/>
    <x v="0"/>
    <s v="Devops"/>
    <s v="SRE"/>
    <s v="SambalpurNet"/>
    <s v="Rourkela"/>
    <n v="146760"/>
    <s v="28-12-2018"/>
    <n v="6"/>
    <m/>
    <x v="2"/>
    <s v="EMP0002"/>
  </r>
  <r>
    <x v="7"/>
    <s v="Tanmay Nanda"/>
    <s v="male"/>
    <x v="4"/>
    <s v="Product"/>
    <s v="Associate PM"/>
    <s v="TributeAI"/>
    <s v="Bhubaneswar"/>
    <n v="163509"/>
    <s v="2023-01-31"/>
    <n v="1.9"/>
    <n v="2.2999999999999998"/>
    <x v="2"/>
    <s v="EMP0004"/>
  </r>
  <r>
    <x v="8"/>
    <s v="Bikash Routray"/>
    <s v="male"/>
    <x v="3"/>
    <s v="Sales"/>
    <s v="Business Developer"/>
    <s v="OdishaCode Labs"/>
    <s v="Puri"/>
    <n v="27340"/>
    <s v="14-11-2018"/>
    <n v="6.1"/>
    <n v="3.2"/>
    <x v="2"/>
    <s v="EMP0003"/>
  </r>
  <r>
    <x v="9"/>
    <s v="Sudhansu Dhal"/>
    <s v="female"/>
    <x v="1"/>
    <s v="Design"/>
    <s v="UX Researcher"/>
    <s v="KalingaTech Pvt Ltd"/>
    <s v="Bhubaneswar"/>
    <n v="48871"/>
    <s v="21-02-2022"/>
    <n v="2.9"/>
    <m/>
    <x v="3"/>
    <s v="EMP0005"/>
  </r>
  <r>
    <x v="10"/>
    <s v="Lipsa Prusty"/>
    <s v="female"/>
    <x v="2"/>
    <s v="Engineering"/>
    <s v="Software Engineer"/>
    <s v="NilGiri Digitals"/>
    <s v="Bhubaneswar"/>
    <n v="181618"/>
    <s v="22-03-2020"/>
    <n v="4.8"/>
    <n v="4.7"/>
    <x v="2"/>
    <s v="EMP0009"/>
  </r>
  <r>
    <x v="11"/>
    <s v="Puspita Mahapatra"/>
    <s v="M"/>
    <x v="5"/>
    <s v="Hr"/>
    <s v="Talent Acquisition"/>
    <s v="TributeAI"/>
    <s v="Bhubaneswar"/>
    <n v="215352"/>
    <s v="03-09-2023"/>
    <n v="1.3"/>
    <n v="2.6"/>
    <x v="2"/>
    <s v="EMP0007"/>
  </r>
  <r>
    <x v="12"/>
    <s v="Nirmal Samal"/>
    <s v="male"/>
    <x v="6"/>
    <s v="Data Science"/>
    <s v="Data Analyst"/>
    <s v="NilGiri Digitals"/>
    <s v="Puri"/>
    <n v="60493"/>
    <s v="01-08-2022"/>
    <n v="2.4"/>
    <n v="4.5999999999999996"/>
    <x v="3"/>
    <s v="EMP0006"/>
  </r>
  <r>
    <x v="13"/>
    <s v="Chinmaya Ratha"/>
    <s v="female"/>
    <x v="1"/>
    <s v="Design"/>
    <s v="Visual Designer"/>
    <s v="NilGiri Digitals"/>
    <s v="Berhampur"/>
    <n v="114298"/>
    <s v="26-01-2020"/>
    <n v="4.9000000000000004"/>
    <n v="3.5"/>
    <x v="2"/>
    <s v="EMP0004"/>
  </r>
  <r>
    <x v="14"/>
    <s v="Tanmay Jena"/>
    <s v="female"/>
    <x v="0"/>
    <s v="Devops"/>
    <s v="Cloud Architect"/>
    <s v="SambalpurNet"/>
    <s v="Bhubaneswar"/>
    <n v="204206"/>
    <s v="10-11-2019"/>
    <n v="5.0999999999999996"/>
    <n v="1.7"/>
    <x v="3"/>
    <s v="EMP0005"/>
  </r>
  <r>
    <x v="15"/>
    <s v="Sudhansu Behura"/>
    <s v="F"/>
    <x v="4"/>
    <s v="Product"/>
    <s v="Associate PM"/>
    <s v="CoastalDev Studio"/>
    <s v="Berhampur"/>
    <n v="89394"/>
    <s v="2021-05-06"/>
    <n v="3.7"/>
    <n v="4.0999999999999996"/>
    <x v="2"/>
    <s v="EMP0009"/>
  </r>
  <r>
    <x v="16"/>
    <s v="Sangita Padhi"/>
    <s v="M"/>
    <x v="3"/>
    <s v="Sales"/>
    <s v="Sales Manager"/>
    <s v="CoastalDev Studio"/>
    <s v="Bhubaneswar"/>
    <n v="123031"/>
    <s v="08-11-2023"/>
    <n v="1.2"/>
    <n v="4.8"/>
    <x v="1"/>
    <s v="EMP0006"/>
  </r>
  <r>
    <x v="17"/>
    <s v="Barsha Prusty"/>
    <s v="male"/>
    <x v="2"/>
    <s v="Engineering"/>
    <s v="Architect"/>
    <s v="BlueLotus IT"/>
    <s v="Bhubaneswar"/>
    <n v="104303"/>
    <s v="20-08-2021"/>
    <n v="3.4"/>
    <n v="1.8"/>
    <x v="3"/>
    <s v="EMP0010"/>
  </r>
  <r>
    <x v="18"/>
    <s v="Lipsa Behura"/>
    <s v="female"/>
    <x v="6"/>
    <s v="Data Science"/>
    <s v="Data Scientist"/>
    <s v="UtkalSoft Technologies"/>
    <s v="Bhubaneswar"/>
    <n v="135019"/>
    <s v="20-02-2020"/>
    <n v="4.9000000000000004"/>
    <n v="3"/>
    <x v="2"/>
    <s v="EMP0005"/>
  </r>
  <r>
    <x v="19"/>
    <s v="Namita Sahu"/>
    <s v="male"/>
    <x v="7"/>
    <s v="Marketing"/>
    <s v="Digital Marketer"/>
    <s v="NilGiri Digitals"/>
    <s v="Puri"/>
    <n v="18476"/>
    <s v="09-10-2019"/>
    <n v="5.2"/>
    <n v="4.3"/>
    <x v="2"/>
    <s v="EMP0013"/>
  </r>
  <r>
    <x v="20"/>
    <s v="Sudhansu Choudhury"/>
    <s v="M"/>
    <x v="0"/>
    <s v="Devops"/>
    <s v="Sr DevOps"/>
    <s v="TributeAI"/>
    <s v="Bhubaneswar"/>
    <n v="61682"/>
    <s v="09-03-2020"/>
    <n v="4.8"/>
    <n v="4.4000000000000004"/>
    <x v="3"/>
    <s v="EMP0007"/>
  </r>
  <r>
    <x v="21"/>
    <s v="Sudhansu Mohapatra"/>
    <s v="female"/>
    <x v="7"/>
    <s v="Marketing"/>
    <s v="Digital Marketer"/>
    <s v="OdishaCode Labs"/>
    <s v="Berhampur"/>
    <n v="67370"/>
    <s v="28-02-2024"/>
    <n v="0.8"/>
    <n v="3"/>
    <x v="2"/>
    <s v="EMP0002"/>
  </r>
  <r>
    <x v="22"/>
    <s v="Barsha Choudhury"/>
    <s v="female"/>
    <x v="7"/>
    <s v="Marketing"/>
    <s v="Digital Marketer"/>
    <s v="NilGiri Digitals"/>
    <s v="Bhubaneswar"/>
    <n v="146392"/>
    <s v="22-06-2022"/>
    <n v="2.5"/>
    <n v="3.9"/>
    <x v="2"/>
    <s v="EMP0001"/>
  </r>
  <r>
    <x v="23"/>
    <s v="Smita Tripathy"/>
    <s v="female"/>
    <x v="8"/>
    <s v="Qa"/>
    <s v="Test Analyst"/>
    <s v="BlueLotus IT"/>
    <s v="Bhubaneswar"/>
    <n v="60938"/>
    <s v="15-12-2019"/>
    <n v="5.0999999999999996"/>
    <n v="4.5"/>
    <x v="1"/>
    <s v="EMP0008"/>
  </r>
  <r>
    <x v="24"/>
    <s v="Alka Padhi"/>
    <s v="F"/>
    <x v="5"/>
    <s v="Hr"/>
    <s v="HR Executive"/>
    <s v="BlueLotus IT"/>
    <s v="Rourkela"/>
    <n v="79498"/>
    <s v="18-04-2019"/>
    <n v="5.7"/>
    <n v="4.9000000000000004"/>
    <x v="2"/>
    <s v="EMP0023"/>
  </r>
  <r>
    <x v="25"/>
    <s v="Saurav Routray"/>
    <s v="male"/>
    <x v="5"/>
    <s v="Hr"/>
    <s v="HR Executive"/>
    <s v="InfySoft Bhubaneswar"/>
    <s v="Bhubaneswar"/>
    <n v="27411"/>
    <s v="30-08-2020"/>
    <n v="4.3"/>
    <n v="4.0999999999999996"/>
    <x v="1"/>
    <s v="EMP0001"/>
  </r>
  <r>
    <x v="26"/>
    <s v="Ranjit Dhal"/>
    <s v="female"/>
    <x v="4"/>
    <s v="Product"/>
    <s v="Product Owner"/>
    <s v="NilGiri Digitals"/>
    <s v="Bhubaneswar"/>
    <n v="59389"/>
    <s v="09-04-2019"/>
    <n v="5.7"/>
    <n v="3.9"/>
    <x v="2"/>
    <s v="EMP0012"/>
  </r>
  <r>
    <x v="27"/>
    <s v="Soumya Senapati"/>
    <s v="male"/>
    <x v="4"/>
    <s v="Product"/>
    <s v="Product Owner"/>
    <s v="SilverByte Systems"/>
    <s v="Cuttack"/>
    <n v="170334"/>
    <s v="05-02-2020"/>
    <n v="4.9000000000000004"/>
    <n v="2.8"/>
    <x v="2"/>
    <s v="EMP0005"/>
  </r>
  <r>
    <x v="28"/>
    <s v="Dibya Senapati"/>
    <s v="F"/>
    <x v="8"/>
    <s v="Qa"/>
    <s v="QA Engineer"/>
    <s v="CoastalDev Studio"/>
    <s v="Berhampur"/>
    <n v="164560"/>
    <s v="10-11-2019"/>
    <n v="5.0999999999999996"/>
    <n v="4.7"/>
    <x v="2"/>
    <s v="EMP0006"/>
  </r>
  <r>
    <x v="29"/>
    <s v="Puspita Mohapatra"/>
    <s v="female"/>
    <x v="8"/>
    <s v="Qa"/>
    <s v="QA Engineer"/>
    <s v="CoastalDev Studio"/>
    <s v="Berhampur"/>
    <n v="40814"/>
    <s v="09-11-2022"/>
    <n v="2.1"/>
    <n v="3.1"/>
    <x v="3"/>
    <s v="EMP0018"/>
  </r>
  <r>
    <x v="30"/>
    <s v="Barsha Mohapatra"/>
    <s v="male"/>
    <x v="0"/>
    <s v="Devops"/>
    <s v="Cloud Architect"/>
    <s v="SilverByte Systems"/>
    <s v="Puri"/>
    <n v="69831"/>
    <s v="25-11-2019"/>
    <n v="5.0999999999999996"/>
    <n v="2.2999999999999998"/>
    <x v="2"/>
    <s v="EMP0006"/>
  </r>
  <r>
    <x v="31"/>
    <s v="Satyajit Mahapatra"/>
    <s v="male"/>
    <x v="8"/>
    <s v="Qa"/>
    <s v="QA Lead"/>
    <s v="SilverByte Systems"/>
    <s v="Bhubaneswar"/>
    <n v="75148"/>
    <s v="18-02-2018"/>
    <n v="6.9"/>
    <n v="2.2000000000000002"/>
    <x v="1"/>
    <s v="EMP0017"/>
  </r>
  <r>
    <x v="32"/>
    <s v="Priyanka Ratha"/>
    <s v="F"/>
    <x v="2"/>
    <s v="Engineering"/>
    <s v="Tech Lead"/>
    <s v="InfySoft Bhubaneswar"/>
    <s v="Puri"/>
    <n v="82622"/>
    <s v="22-02-2024"/>
    <n v="0.9"/>
    <n v="4.8"/>
    <x v="2"/>
    <s v="EMP0004"/>
  </r>
  <r>
    <x v="33"/>
    <s v="Chinmaya Prusty"/>
    <s v="male"/>
    <x v="3"/>
    <s v="Sales"/>
    <s v="Account Manager"/>
    <s v="InfySoft Bhubaneswar"/>
    <s v="Bhubaneswar"/>
    <m/>
    <s v="19-07-2020"/>
    <n v="4.5"/>
    <n v="3.8"/>
    <x v="2"/>
    <s v="EMP0018"/>
  </r>
  <r>
    <x v="34"/>
    <s v="Tanmay Padhi"/>
    <s v="male"/>
    <x v="6"/>
    <s v="Data Science"/>
    <s v="Data Analyst"/>
    <s v="TechNova Solutions"/>
    <s v="Berhampur"/>
    <n v="107257"/>
    <s v="05-02-2023"/>
    <n v="1.9"/>
    <n v="4.9000000000000004"/>
    <x v="2"/>
    <s v="EMP0009"/>
  </r>
  <r>
    <x v="35"/>
    <s v="Saurav Biswal"/>
    <s v="male"/>
    <x v="9"/>
    <s v="Finance"/>
    <s v="Finance Analyst"/>
    <s v="InfySoft Bhubaneswar"/>
    <s v="Rourkela"/>
    <n v="169784"/>
    <s v="16-09-2018"/>
    <n v="6.3"/>
    <n v="2.4"/>
    <x v="2"/>
    <s v="EMP0013"/>
  </r>
  <r>
    <x v="36"/>
    <s v="Saurav Nanda"/>
    <s v="F"/>
    <x v="7"/>
    <s v="Marketing"/>
    <s v="Content Strategist"/>
    <s v="InfySoft Bhubaneswar"/>
    <s v="Cuttack"/>
    <n v="99048"/>
    <s v="21-09-2018"/>
    <n v="6.3"/>
    <n v="3.1"/>
    <x v="3"/>
    <s v="EMP0018"/>
  </r>
  <r>
    <x v="37"/>
    <s v="Alka Nanda"/>
    <s v="female"/>
    <x v="8"/>
    <s v="Qa"/>
    <s v="Test Analyst"/>
    <s v="KalingaTech Pvt Ltd"/>
    <s v="Puri"/>
    <n v="182023"/>
    <s v="07-12-2022"/>
    <n v="2.1"/>
    <n v="4.7"/>
    <x v="1"/>
    <s v="EMP0026"/>
  </r>
  <r>
    <x v="38"/>
    <s v="Puspita Nanda"/>
    <s v="female"/>
    <x v="0"/>
    <s v="Devops"/>
    <s v="Cloud Architect"/>
    <s v="InfySoft Bhubaneswar"/>
    <s v="Berhampur"/>
    <n v="140041"/>
    <s v="15-06-2021"/>
    <n v="3.6"/>
    <n v="3.4"/>
    <x v="2"/>
    <s v="EMP0016"/>
  </r>
  <r>
    <x v="39"/>
    <s v="Chinmaya Biswal"/>
    <s v="male"/>
    <x v="7"/>
    <s v="Marketing"/>
    <s v="Digital Marketer"/>
    <s v="KalingaTech Pvt Ltd"/>
    <s v="Bhubaneswar"/>
    <n v="159138"/>
    <s v="10-08-2023"/>
    <n v="1.4"/>
    <n v="2.9"/>
    <x v="2"/>
    <s v="EMP0027"/>
  </r>
  <r>
    <x v="40"/>
    <s v="Sangita Ratha"/>
    <s v="F"/>
    <x v="0"/>
    <s v="Devops"/>
    <s v="SRE"/>
    <s v="SambalpurNet"/>
    <s v="Bhubaneswar"/>
    <n v="25880"/>
    <s v="20-09-2019"/>
    <n v="5.3"/>
    <n v="3.1"/>
    <x v="2"/>
    <s v="EMP0022"/>
  </r>
  <r>
    <x v="41"/>
    <s v="Sangita Jena"/>
    <s v="female"/>
    <x v="2"/>
    <s v="Engineering"/>
    <s v="Senior Developer"/>
    <s v="NilGiri Digitals"/>
    <s v="Cuttack"/>
    <n v="68820"/>
    <s v="04-12-2021"/>
    <n v="3.1"/>
    <n v="2.6"/>
    <x v="1"/>
    <s v="EMP0011"/>
  </r>
  <r>
    <x v="42"/>
    <s v="Rahul Ratha"/>
    <s v="M"/>
    <x v="6"/>
    <s v="Data Science"/>
    <s v="Data Analyst"/>
    <s v="TributeAI"/>
    <s v="Rourkela"/>
    <n v="148155"/>
    <s v="18-01-2020"/>
    <n v="5"/>
    <n v="3.3"/>
    <x v="1"/>
    <s v="EMP0031"/>
  </r>
  <r>
    <x v="43"/>
    <s v="Nirmal Padhi"/>
    <s v="female"/>
    <x v="5"/>
    <s v="Hr"/>
    <s v="HR Manager"/>
    <s v="OdishaCode Labs"/>
    <s v="Puri"/>
    <n v="209821"/>
    <s v="2020-05-30"/>
    <n v="4.5999999999999996"/>
    <n v="2.7"/>
    <x v="2"/>
    <s v="EMP0041"/>
  </r>
  <r>
    <x v="44"/>
    <s v="Dibya Prusty"/>
    <s v="M"/>
    <x v="2"/>
    <s v="Engineering"/>
    <s v="Architect"/>
    <s v="SilverByte Systems"/>
    <s v="Puri"/>
    <n v="152528"/>
    <s v="11-03-2020"/>
    <n v="4.8"/>
    <n v="4.3"/>
    <x v="2"/>
    <s v="EMP0025"/>
  </r>
  <r>
    <x v="45"/>
    <s v="Ipsita Routray"/>
    <s v="F"/>
    <x v="5"/>
    <s v="Hr"/>
    <s v="Talent Acquisition"/>
    <s v="SilverByte Systems"/>
    <s v="Rourkela"/>
    <n v="97366"/>
    <s v="21-11-2021"/>
    <n v="3.1"/>
    <n v="2.2999999999999998"/>
    <x v="2"/>
    <s v="EMP0036"/>
  </r>
  <r>
    <x v="46"/>
    <s v="Puspita Jena"/>
    <s v="male"/>
    <x v="3"/>
    <s v="Sales"/>
    <s v="Business Developer"/>
    <s v="ZeroOneSystems"/>
    <s v="Cuttack"/>
    <n v="216086"/>
    <s v="13-07-2020"/>
    <n v="4.5"/>
    <n v="4.5"/>
    <x v="2"/>
    <s v="EMP0025"/>
  </r>
  <r>
    <x v="47"/>
    <s v="Sangita Biswal"/>
    <s v="M"/>
    <x v="3"/>
    <s v="Sales"/>
    <s v="Business Developer"/>
    <s v="KalingaTech Pvt Ltd"/>
    <s v="Bhubaneswar"/>
    <n v="70884"/>
    <s v="30-06-2019"/>
    <n v="5.5"/>
    <n v="2.9"/>
    <x v="2"/>
    <s v="EMP0017"/>
  </r>
  <r>
    <x v="48"/>
    <s v="Debasmita Mishra"/>
    <s v="female"/>
    <x v="6"/>
    <s v="Data Science"/>
    <s v="BI Developer"/>
    <s v="OdishaCode Labs"/>
    <s v="Cuttack"/>
    <n v="110793"/>
    <s v="06-03-2021"/>
    <n v="3.8"/>
    <n v="2.8"/>
    <x v="3"/>
    <s v="EMP0008"/>
  </r>
  <r>
    <x v="49"/>
    <s v="Bikash Dhal"/>
    <s v="female"/>
    <x v="4"/>
    <s v="Product"/>
    <s v="Product Manager"/>
    <s v="TechNova Solutions"/>
    <s v="Bhubaneswar"/>
    <n v="86586"/>
    <s v="16-06-2024"/>
    <n v="0.5"/>
    <n v="5"/>
    <x v="2"/>
    <s v="EMP0031"/>
  </r>
  <r>
    <x v="50"/>
    <s v="Sudhansu Nanda"/>
    <s v="male"/>
    <x v="9"/>
    <s v="Finance"/>
    <s v="Accountant"/>
    <s v="OdishaCode Labs"/>
    <s v="Bhubaneswar"/>
    <n v="78651"/>
    <s v="31-08-2020"/>
    <n v="4.3"/>
    <n v="4.5999999999999996"/>
    <x v="2"/>
    <s v="EMP0011"/>
  </r>
  <r>
    <x v="51"/>
    <s v="Ranjit Mishra"/>
    <s v="F"/>
    <x v="4"/>
    <s v="Product"/>
    <s v="Product Owner"/>
    <s v="TributeAI"/>
    <s v="Cuttack"/>
    <n v="151447"/>
    <s v="26-03-2021"/>
    <n v="3.8"/>
    <n v="3.6"/>
    <x v="1"/>
    <s v="EMP0029"/>
  </r>
  <r>
    <x v="52"/>
    <s v="Jyotirmayee Dhal"/>
    <s v="M"/>
    <x v="1"/>
    <s v="Design"/>
    <s v="Design Lead"/>
    <s v="BlueLotus IT"/>
    <s v="Bhubaneswar"/>
    <n v="182020"/>
    <s v="15-01-2022"/>
    <n v="3"/>
    <n v="1.5"/>
    <x v="2"/>
    <s v="EMP0021"/>
  </r>
  <r>
    <x v="53"/>
    <s v="Ankita Nanda"/>
    <s v="female"/>
    <x v="9"/>
    <s v="Finance"/>
    <s v="Accountant"/>
    <s v="ZeroOneSystems"/>
    <s v="Puri"/>
    <n v="156848"/>
    <s v="18-08-2020"/>
    <n v="4.4000000000000004"/>
    <n v="4.9000000000000004"/>
    <x v="1"/>
    <s v="EMP0011"/>
  </r>
  <r>
    <x v="54"/>
    <s v="Soumya Nanda"/>
    <s v="female"/>
    <x v="2"/>
    <s v="Engineering"/>
    <s v="Junior Developer"/>
    <s v="OdishaCode Labs"/>
    <s v="Rourkela"/>
    <n v="78572"/>
    <s v="04-09-2020"/>
    <n v="4.3"/>
    <n v="3.4"/>
    <x v="3"/>
    <s v="EMP0053"/>
  </r>
  <r>
    <x v="55"/>
    <s v="Bikash Dhal"/>
    <s v="female"/>
    <x v="2"/>
    <s v="Engineering"/>
    <s v="Junior Developer"/>
    <s v="KalingaTech Pvt Ltd"/>
    <s v="Bhubaneswar"/>
    <n v="104006"/>
    <s v="14-05-2022"/>
    <n v="2.6"/>
    <n v="1.6"/>
    <x v="1"/>
    <s v="EMP0041"/>
  </r>
  <r>
    <x v="56"/>
    <s v="Prasant Mahapatra"/>
    <s v="F"/>
    <x v="7"/>
    <s v="Marketing"/>
    <s v="Digital Marketer"/>
    <s v="TechNova Solutions"/>
    <s v="Puri"/>
    <n v="138740"/>
    <s v="01-06-2018"/>
    <n v="6.6"/>
    <n v="1.5"/>
    <x v="2"/>
    <s v="EMP0055"/>
  </r>
  <r>
    <x v="57"/>
    <s v="Aditya Choudhury"/>
    <s v="F"/>
    <x v="7"/>
    <s v="Marketing"/>
    <s v="Digital Marketer"/>
    <s v="BlueLotus IT"/>
    <s v="Bhubaneswar"/>
    <n v="218169"/>
    <s v="30-11-2018"/>
    <n v="6.1"/>
    <n v="1.5"/>
    <x v="2"/>
    <s v="EMP0049"/>
  </r>
  <r>
    <x v="58"/>
    <s v="Debasmita Samal"/>
    <s v="male"/>
    <x v="7"/>
    <s v="Marketing"/>
    <s v="Brand Manager"/>
    <s v="SilverByte Systems"/>
    <s v="Bhubaneswar"/>
    <n v="204952"/>
    <s v="04-09-2018"/>
    <n v="6.3"/>
    <n v="4.5999999999999996"/>
    <x v="2"/>
    <s v="EMP0048"/>
  </r>
  <r>
    <x v="59"/>
    <s v="Bikash Routray"/>
    <s v="M"/>
    <x v="1"/>
    <s v="Design"/>
    <s v="Design Lead"/>
    <s v="CoastalDev Studio"/>
    <s v="Puri"/>
    <n v="146603"/>
    <s v="29-01-2023"/>
    <n v="1.9"/>
    <n v="2.4"/>
    <x v="2"/>
    <s v="EMP0004"/>
  </r>
  <r>
    <x v="60"/>
    <s v="Aditya Prusty"/>
    <s v="M"/>
    <x v="4"/>
    <s v="Product"/>
    <s v="Associate PM"/>
    <s v="InfySoft Bhubaneswar"/>
    <s v="Bhubaneswar"/>
    <n v="188122"/>
    <s v="26-11-2019"/>
    <n v="5.0999999999999996"/>
    <n v="4.5"/>
    <x v="2"/>
    <s v="EMP0005"/>
  </r>
  <r>
    <x v="61"/>
    <s v="Satyajit Choudhury"/>
    <s v="F"/>
    <x v="0"/>
    <s v="Devops"/>
    <s v="Cloud Architect"/>
    <s v="SambalpurNet"/>
    <s v="Puri"/>
    <n v="139124"/>
    <s v="15-02-2023"/>
    <n v="1.9"/>
    <n v="3.8"/>
    <x v="3"/>
    <s v="EMP0028"/>
  </r>
  <r>
    <x v="62"/>
    <s v="Nirmal Sahoo"/>
    <s v="F"/>
    <x v="9"/>
    <s v="Finance"/>
    <s v="Finance Analyst"/>
    <s v="InfySoft Bhubaneswar"/>
    <s v="Rourkela"/>
    <n v="114528"/>
    <s v="06-04-2023"/>
    <n v="1.7"/>
    <n v="3.6"/>
    <x v="1"/>
    <s v="EMP0055"/>
  </r>
  <r>
    <x v="63"/>
    <s v="Prasant Mishra"/>
    <s v="male"/>
    <x v="2"/>
    <s v="Engineering"/>
    <s v="Junior Developer"/>
    <s v="InfySoft Bhubaneswar"/>
    <s v="Rourkela"/>
    <n v="140259"/>
    <s v="03-01-2024"/>
    <n v="1"/>
    <n v="1.5"/>
    <x v="2"/>
    <s v="EMP0053"/>
  </r>
  <r>
    <x v="64"/>
    <s v="Priyanka Behura"/>
    <s v="male"/>
    <x v="1"/>
    <s v="Design"/>
    <s v="Design Lead"/>
    <s v="SambalpurNet"/>
    <s v="Bhubaneswar"/>
    <n v="125209"/>
    <s v="09-03-2024"/>
    <n v="0.8"/>
    <n v="3.7"/>
    <x v="2"/>
    <s v="EMP0055"/>
  </r>
  <r>
    <x v="65"/>
    <s v="Subhasree Dhal"/>
    <s v="F"/>
    <x v="1"/>
    <s v="Design"/>
    <s v="Design Lead"/>
    <s v="CoastalDev Studio"/>
    <s v="Bhubaneswar"/>
    <n v="83984"/>
    <s v="02-12-2018"/>
    <n v="6.1"/>
    <n v="1.8"/>
    <x v="2"/>
    <s v="EMP0065"/>
  </r>
  <r>
    <x v="66"/>
    <s v="Debasmita Routray"/>
    <s v="male"/>
    <x v="3"/>
    <s v="Sales"/>
    <s v="Sales Manager"/>
    <s v="KalingaTech Pvt Ltd"/>
    <s v="Bhubaneswar"/>
    <n v="195043"/>
    <s v="20-06-2019"/>
    <n v="5.5"/>
    <n v="2.7"/>
    <x v="2"/>
    <s v="EMP0008"/>
  </r>
  <r>
    <x v="67"/>
    <s v="Amlan Behura"/>
    <s v="F"/>
    <x v="1"/>
    <s v="Design"/>
    <s v="UX Researcher"/>
    <s v="BlueLotus IT"/>
    <s v="Cuttack"/>
    <n v="147464"/>
    <s v="2023-04-12"/>
    <n v="1.7"/>
    <n v="4.2"/>
    <x v="1"/>
    <s v="EMP0043"/>
  </r>
  <r>
    <x v="68"/>
    <s v="Jyotirmayee Mishra"/>
    <s v="female"/>
    <x v="1"/>
    <s v="Design"/>
    <s v="Visual Designer"/>
    <s v="ZeroOneSystems"/>
    <s v="Cuttack"/>
    <n v="191662"/>
    <s v="13-04-2024"/>
    <n v="0.7"/>
    <n v="4.3"/>
    <x v="2"/>
    <s v="EMP0020"/>
  </r>
  <r>
    <x v="69"/>
    <s v="Debasmita Ratha"/>
    <s v="male"/>
    <x v="9"/>
    <s v="Finance"/>
    <s v="Accountant"/>
    <s v="ZeroOneSystems"/>
    <s v="Bhubaneswar"/>
    <n v="147325"/>
    <s v="04-12-2018"/>
    <n v="6.1"/>
    <n v="4.3"/>
    <x v="2"/>
    <s v="EMP0021"/>
  </r>
  <r>
    <x v="70"/>
    <s v="Sudhansu Senapati"/>
    <s v="female"/>
    <x v="7"/>
    <s v="Marketing"/>
    <s v="Brand Manager"/>
    <s v="CoastalDev Studio"/>
    <s v="Rourkela"/>
    <n v="60223"/>
    <s v="16-06-2022"/>
    <n v="2.5"/>
    <n v="3.9"/>
    <x v="1"/>
    <s v="EMP0007"/>
  </r>
  <r>
    <x v="71"/>
    <s v="Puspita Padhi"/>
    <s v="male"/>
    <x v="1"/>
    <s v="Design"/>
    <s v="Design Lead"/>
    <s v="InfySoft Bhubaneswar"/>
    <s v="Bhubaneswar"/>
    <n v="171441"/>
    <s v="03-11-2021"/>
    <n v="3.2"/>
    <n v="1.8"/>
    <x v="2"/>
    <s v="EMP0037"/>
  </r>
  <r>
    <x v="72"/>
    <s v="Jyotirmayee Ratha"/>
    <s v="M"/>
    <x v="5"/>
    <s v="Hr"/>
    <s v="HR Executive"/>
    <s v="SambalpurNet"/>
    <s v="Puri"/>
    <n v="160848"/>
    <s v="06-04-2020"/>
    <n v="4.7"/>
    <n v="3.6"/>
    <x v="2"/>
    <s v="EMP0049"/>
  </r>
  <r>
    <x v="73"/>
    <s v="Debasmita Sahoo"/>
    <s v="female"/>
    <x v="4"/>
    <s v="Product"/>
    <s v="Associate PM"/>
    <s v="OdishaCode Labs"/>
    <s v="Bhubaneswar"/>
    <n v="51851"/>
    <s v="15-01-2021"/>
    <n v="4"/>
    <n v="2.7"/>
    <x v="2"/>
    <s v="EMP0051"/>
  </r>
  <r>
    <x v="74"/>
    <s v="Ipsita Mishra"/>
    <s v="male"/>
    <x v="8"/>
    <s v="Qa"/>
    <s v="Test Analyst"/>
    <s v="SilverByte Systems"/>
    <s v="Berhampur"/>
    <n v="54271"/>
    <s v="16-04-2022"/>
    <n v="2.7"/>
    <n v="5"/>
    <x v="2"/>
    <s v="EMP0028"/>
  </r>
  <r>
    <x v="75"/>
    <s v="Bikash Biswal"/>
    <s v="female"/>
    <x v="7"/>
    <s v="Marketing"/>
    <s v="Content Strategist"/>
    <s v="InfySoft Bhubaneswar"/>
    <s v="Cuttack"/>
    <n v="185311"/>
    <s v="05-08-2020"/>
    <n v="4.4000000000000004"/>
    <n v="4.4000000000000004"/>
    <x v="2"/>
    <s v="EMP0037"/>
  </r>
  <r>
    <x v="76"/>
    <s v="Bikash Behura"/>
    <s v="female"/>
    <x v="3"/>
    <s v="Sales"/>
    <s v="Account Manager"/>
    <s v="InfySoft Bhubaneswar"/>
    <s v="Bhubaneswar"/>
    <n v="21210"/>
    <s v="2020-03-26"/>
    <n v="4.8"/>
    <n v="3.1"/>
    <x v="1"/>
    <s v="EMP0070"/>
  </r>
  <r>
    <x v="77"/>
    <s v="Puspita Nanda"/>
    <s v="M"/>
    <x v="2"/>
    <s v="Engineering"/>
    <s v="Software Engineer"/>
    <s v="ZeroOneSystems"/>
    <s v="Bhubaneswar"/>
    <n v="206224"/>
    <s v="05-08-2023"/>
    <n v="1.4"/>
    <n v="4.2"/>
    <x v="2"/>
    <s v="EMP0031"/>
  </r>
  <r>
    <x v="78"/>
    <s v="Sudhansu Jena"/>
    <s v="female"/>
    <x v="3"/>
    <s v="Sales"/>
    <s v="Account Manager"/>
    <s v="KalingaTech Pvt Ltd"/>
    <s v="Rourkela"/>
    <n v="29751"/>
    <s v="21-10-2020"/>
    <n v="4.2"/>
    <n v="3.3"/>
    <x v="1"/>
    <s v="EMP0043"/>
  </r>
  <r>
    <x v="79"/>
    <s v="Ipsita Dhal"/>
    <s v="female"/>
    <x v="1"/>
    <s v="Design"/>
    <s v="UI Designer"/>
    <s v="TechNova Solutions"/>
    <s v="Bhubaneswar"/>
    <n v="144101"/>
    <s v="09-06-2024"/>
    <n v="0.6"/>
    <n v="2.2000000000000002"/>
    <x v="2"/>
    <s v="EMP0069"/>
  </r>
  <r>
    <x v="80"/>
    <s v="Soumya Behura"/>
    <s v="female"/>
    <x v="6"/>
    <s v="Data Science"/>
    <s v="Data Analyst"/>
    <s v="SilverByte Systems"/>
    <s v="Rourkela"/>
    <n v="216646"/>
    <s v="29-06-2021"/>
    <n v="3.5"/>
    <n v="3.3"/>
    <x v="2"/>
    <s v="EMP0004"/>
  </r>
  <r>
    <x v="81"/>
    <s v="Rajan Prusty"/>
    <s v="F"/>
    <x v="2"/>
    <s v="Engineering"/>
    <s v="Software Engineer"/>
    <s v="InfySoft Bhubaneswar"/>
    <s v="Berhampur"/>
    <n v="162895"/>
    <s v="03-08-2021"/>
    <n v="3.4"/>
    <n v="1.9"/>
    <x v="2"/>
    <s v="EMP0040"/>
  </r>
  <r>
    <x v="82"/>
    <s v="Subhasree Senapati"/>
    <s v="female"/>
    <x v="8"/>
    <s v="Qa"/>
    <s v="Test Analyst"/>
    <s v="KalingaTech Pvt Ltd"/>
    <s v="Puri"/>
    <n v="166422"/>
    <s v="10-11-2020"/>
    <n v="4.0999999999999996"/>
    <n v="3.1"/>
    <x v="1"/>
    <s v="EMP0059"/>
  </r>
  <r>
    <x v="83"/>
    <s v="Satyajit Mahapatra"/>
    <s v="F"/>
    <x v="2"/>
    <s v="Engineering"/>
    <s v="Tech Lead"/>
    <s v="ZeroOneSystems"/>
    <s v="Cuttack"/>
    <n v="152673"/>
    <s v="08-10-2019"/>
    <n v="5.2"/>
    <n v="4.3"/>
    <x v="2"/>
    <s v="EMP0065"/>
  </r>
  <r>
    <x v="84"/>
    <s v="Prasant Biswal"/>
    <s v="M"/>
    <x v="0"/>
    <s v="Devops"/>
    <s v="Sr DevOps"/>
    <s v="UtkalSoft Technologies"/>
    <s v="Rourkela"/>
    <n v="172835"/>
    <s v="13-12-2018"/>
    <n v="6.1"/>
    <n v="4.5999999999999996"/>
    <x v="3"/>
    <s v="EMP0076"/>
  </r>
  <r>
    <x v="85"/>
    <s v="Tapas Sahoo"/>
    <s v="F"/>
    <x v="1"/>
    <s v="Design"/>
    <s v="Design Lead"/>
    <s v="NilGiri Digitals"/>
    <s v="Bhubaneswar"/>
    <n v="135640"/>
    <s v="05-02-2021"/>
    <n v="3.9"/>
    <n v="4.4000000000000004"/>
    <x v="3"/>
    <s v="EMP0038"/>
  </r>
  <r>
    <x v="86"/>
    <s v="Ipsita Ratha"/>
    <s v="male"/>
    <x v="0"/>
    <s v="Devops"/>
    <s v="DevOps Engineer"/>
    <s v="InfySoft Bhubaneswar"/>
    <s v="Rourkela"/>
    <n v="92821"/>
    <s v="26-05-2021"/>
    <n v="3.6"/>
    <n v="4.9000000000000004"/>
    <x v="3"/>
    <s v="EMP0068"/>
  </r>
  <r>
    <x v="87"/>
    <s v="Ankita Ratha"/>
    <s v="male"/>
    <x v="4"/>
    <s v="Product"/>
    <s v="Product Manager"/>
    <s v="TechNova Solutions"/>
    <s v="Puri"/>
    <n v="171943"/>
    <s v="20-11-2021"/>
    <n v="3.1"/>
    <n v="1.9"/>
    <x v="3"/>
    <s v="EMP0039"/>
  </r>
  <r>
    <x v="88"/>
    <s v="Jyotirmayee Sahoo"/>
    <s v="F"/>
    <x v="6"/>
    <s v="Data Science"/>
    <s v="Data Scientist"/>
    <s v="NilGiri Digitals"/>
    <s v="Rourkela"/>
    <n v="168067"/>
    <s v="25-08-2023"/>
    <n v="1.4"/>
    <n v="1.7"/>
    <x v="3"/>
    <s v="EMP0040"/>
  </r>
  <r>
    <x v="89"/>
    <s v="Namita Pattnaik"/>
    <s v="female"/>
    <x v="5"/>
    <s v="Hr"/>
    <s v="Talent Acquisition"/>
    <s v="CoastalDev Studio"/>
    <s v="Bhubaneswar"/>
    <n v="39381"/>
    <s v="05-02-2019"/>
    <n v="5.9"/>
    <n v="2.5"/>
    <x v="3"/>
    <s v="EMP0063"/>
  </r>
  <r>
    <x v="90"/>
    <s v="Alka Nanda"/>
    <s v="female"/>
    <x v="3"/>
    <s v="Sales"/>
    <s v="Account Manager"/>
    <s v="ZeroOneSystems"/>
    <s v="Rourkela"/>
    <n v="116535"/>
    <s v="28-03-2021"/>
    <n v="3.8"/>
    <n v="4"/>
    <x v="3"/>
    <s v="EMP0086"/>
  </r>
  <r>
    <x v="91"/>
    <s v="Sudhansu Samal"/>
    <s v="female"/>
    <x v="3"/>
    <s v="Sales"/>
    <s v="Sales Manager"/>
    <s v="BlueLotus IT"/>
    <s v="Bhubaneswar"/>
    <n v="155371"/>
    <s v="29-09-2022"/>
    <n v="2.2999999999999998"/>
    <n v="2.9"/>
    <x v="1"/>
    <s v="EMP0009"/>
  </r>
  <r>
    <x v="92"/>
    <s v="Prasant Biswal"/>
    <s v="female"/>
    <x v="1"/>
    <s v="Design"/>
    <s v="Design Lead"/>
    <s v="NilGiri Digitals"/>
    <s v="Berhampur"/>
    <n v="103116"/>
    <s v="11-04-2024"/>
    <n v="0.7"/>
    <n v="4.5999999999999996"/>
    <x v="2"/>
    <s v="EMP0073"/>
  </r>
  <r>
    <x v="93"/>
    <s v="Abhishek Parida"/>
    <s v="F"/>
    <x v="4"/>
    <s v="Product"/>
    <s v="Product Manager"/>
    <s v="BlueLotus IT"/>
    <s v="Puri"/>
    <n v="81344"/>
    <s v="20-08-2022"/>
    <n v="2.4"/>
    <n v="4.7"/>
    <x v="2"/>
    <s v="EMP0027"/>
  </r>
  <r>
    <x v="94"/>
    <s v="Soumya Senapati"/>
    <s v="male"/>
    <x v="0"/>
    <s v="Devops"/>
    <s v="Cloud Architect"/>
    <s v="TechNova Solutions"/>
    <s v="Puri"/>
    <n v="97775"/>
    <s v="14-07-2022"/>
    <n v="2.5"/>
    <n v="2"/>
    <x v="2"/>
    <s v="EMP0083"/>
  </r>
  <r>
    <x v="95"/>
    <s v="Prasant Mahapatra"/>
    <s v="female"/>
    <x v="9"/>
    <s v="Finance"/>
    <s v="CFO"/>
    <s v="CoastalDev Studio"/>
    <s v="Puri"/>
    <n v="79443"/>
    <s v="28-05-2023"/>
    <n v="1.6"/>
    <n v="4.4000000000000004"/>
    <x v="3"/>
    <s v="EMP0078"/>
  </r>
  <r>
    <x v="96"/>
    <s v="Soumya Nanda"/>
    <s v="male"/>
    <x v="7"/>
    <s v="Marketing"/>
    <s v="Digital Marketer"/>
    <s v="InfySoft Bhubaneswar"/>
    <s v="Rourkela"/>
    <n v="144649"/>
    <s v="30-11-2020"/>
    <n v="4.0999999999999996"/>
    <n v="2.9"/>
    <x v="2"/>
    <s v="EMP0024"/>
  </r>
  <r>
    <x v="97"/>
    <s v="Jyotirmayee Nanda"/>
    <s v="male"/>
    <x v="3"/>
    <s v="Sales"/>
    <s v="Business Developer"/>
    <s v="InfySoft Bhubaneswar"/>
    <s v="Bhubaneswar"/>
    <n v="74877"/>
    <s v="10-02-2018"/>
    <n v="6.9"/>
    <n v="2.9"/>
    <x v="2"/>
    <s v="EMP0097"/>
  </r>
  <r>
    <x v="98"/>
    <s v="Tapas Padhi"/>
    <s v="male"/>
    <x v="3"/>
    <s v="Sales"/>
    <s v="Sales Manager"/>
    <s v="NilGiri Digitals"/>
    <s v="Bhubaneswar"/>
    <n v="91290"/>
    <s v="17-11-2021"/>
    <n v="3.1"/>
    <n v="2.9"/>
    <x v="2"/>
    <s v="EMP0020"/>
  </r>
  <r>
    <x v="99"/>
    <s v="Subhasree Dhal"/>
    <s v="male"/>
    <x v="1"/>
    <s v="Design"/>
    <s v="UX Researcher"/>
    <s v="NilGiri Digitals"/>
    <s v="Bhubaneswar"/>
    <n v="109864"/>
    <s v="23-05-2022"/>
    <n v="2.6"/>
    <n v="2.5"/>
    <x v="1"/>
    <s v="EMP0067"/>
  </r>
  <r>
    <x v="100"/>
    <s v="Saurav Mahapatra"/>
    <s v="M"/>
    <x v="2"/>
    <s v="Engineering"/>
    <s v="Junior Developer"/>
    <s v="SilverByte Systems"/>
    <s v="Bhubaneswar"/>
    <n v="112692"/>
    <s v="17-03-2018"/>
    <n v="6.8"/>
    <n v="1.9"/>
    <x v="1"/>
    <s v="EMP0023"/>
  </r>
  <r>
    <x v="101"/>
    <s v="Sangita Parida"/>
    <s v="female"/>
    <x v="6"/>
    <s v="Data Science"/>
    <s v="ML Engineer"/>
    <s v="OdishaCode Labs"/>
    <s v="Bhubaneswar"/>
    <n v="176983"/>
    <s v="20-08-2022"/>
    <n v="2.4"/>
    <n v="3.4"/>
    <x v="3"/>
    <s v="EMP0097"/>
  </r>
  <r>
    <x v="102"/>
    <s v="Tapas Samal"/>
    <s v="female"/>
    <x v="2"/>
    <s v="Engineering"/>
    <s v="Software Engineer"/>
    <s v="NilGiri Digitals"/>
    <s v="Bhubaneswar"/>
    <n v="84562"/>
    <s v="19-08-2022"/>
    <n v="2.4"/>
    <n v="3.8"/>
    <x v="1"/>
    <s v="EMP0043"/>
  </r>
  <r>
    <x v="103"/>
    <s v="Puspita Nanda"/>
    <s v="female"/>
    <x v="8"/>
    <s v="Qa"/>
    <s v="QA Engineer"/>
    <s v="ZeroOneSystems"/>
    <s v="Berhampur"/>
    <n v="24064"/>
    <s v="06-05-2020"/>
    <n v="4.7"/>
    <n v="3"/>
    <x v="2"/>
    <s v="EMP0030"/>
  </r>
  <r>
    <x v="104"/>
    <s v="Barsha Mahapatra"/>
    <s v="female"/>
    <x v="5"/>
    <s v="Hr"/>
    <s v="HR Executive"/>
    <s v="NilGiri Digitals"/>
    <s v="Cuttack"/>
    <n v="210235"/>
    <s v="29-08-2021"/>
    <n v="3.3"/>
    <n v="2.5"/>
    <x v="2"/>
    <s v="EMP0025"/>
  </r>
  <r>
    <x v="105"/>
    <s v="Namita Sahoo"/>
    <s v="female"/>
    <x v="2"/>
    <s v="Engineering"/>
    <s v="Architect"/>
    <s v="KalingaTech Pvt Ltd"/>
    <s v="Bhubaneswar"/>
    <n v="117095"/>
    <s v="14-06-2020"/>
    <n v="4.5999999999999996"/>
    <n v="3.9"/>
    <x v="3"/>
    <s v="EMP0096"/>
  </r>
  <r>
    <x v="106"/>
    <s v="Rahul Prusty"/>
    <s v="F"/>
    <x v="1"/>
    <s v="Design"/>
    <s v="Design Lead"/>
    <s v="SambalpurNet"/>
    <s v="Rourkela"/>
    <n v="185754"/>
    <s v="03-11-2021"/>
    <n v="3.2"/>
    <n v="4.3"/>
    <x v="3"/>
    <s v="EMP0032"/>
  </r>
  <r>
    <x v="107"/>
    <s v="Chinmaya Jena"/>
    <s v="M"/>
    <x v="9"/>
    <s v="Finance"/>
    <s v="Finance Analyst"/>
    <s v="SambalpurNet"/>
    <s v="Bhubaneswar"/>
    <n v="84612"/>
    <s v="09-03-2021"/>
    <n v="3.8"/>
    <n v="3.7"/>
    <x v="1"/>
    <s v="EMP0078"/>
  </r>
  <r>
    <x v="108"/>
    <s v="Debasmita Sahoo"/>
    <s v="male"/>
    <x v="9"/>
    <s v="Finance"/>
    <s v="CFO"/>
    <s v="OdishaCode Labs"/>
    <s v="Bhubaneswar"/>
    <n v="32915"/>
    <s v="10-05-2019"/>
    <n v="5.7"/>
    <n v="3.1"/>
    <x v="2"/>
    <s v="EMP0053"/>
  </r>
  <r>
    <x v="109"/>
    <s v="Abhishek Parida"/>
    <s v="female"/>
    <x v="8"/>
    <s v="Qa"/>
    <s v="QA Lead"/>
    <s v="ZeroOneSystems"/>
    <s v="Berhampur"/>
    <n v="45809"/>
    <s v="14-11-2019"/>
    <n v="5.0999999999999996"/>
    <n v="4"/>
    <x v="2"/>
    <s v="EMP0014"/>
  </r>
  <r>
    <x v="110"/>
    <s v="Tanmay Prusty"/>
    <s v="F"/>
    <x v="7"/>
    <s v="Marketing"/>
    <s v="Digital Marketer"/>
    <s v="OdishaCode Labs"/>
    <s v="Puri"/>
    <n v="190882"/>
    <s v="29-04-2021"/>
    <n v="3.7"/>
    <n v="4.5"/>
    <x v="2"/>
    <s v="EMP0095"/>
  </r>
  <r>
    <x v="111"/>
    <s v="Namita Mishra"/>
    <s v="male"/>
    <x v="3"/>
    <s v="Sales"/>
    <s v="Sales Manager"/>
    <s v="UtkalSoft Technologies"/>
    <s v="Bhubaneswar"/>
    <n v="144317"/>
    <s v="09-03-2018"/>
    <n v="6.8"/>
    <n v="4.8"/>
    <x v="2"/>
    <s v="EMP0091"/>
  </r>
  <r>
    <x v="112"/>
    <s v="Nirmal Choudhury"/>
    <s v="male"/>
    <x v="7"/>
    <s v="Marketing"/>
    <s v="Content Strategist"/>
    <s v="SambalpurNet"/>
    <s v="Berhampur"/>
    <n v="46613"/>
    <s v="03-05-2020"/>
    <n v="4.7"/>
    <n v="3.8"/>
    <x v="3"/>
    <s v="EMP0101"/>
  </r>
  <r>
    <x v="113"/>
    <s v="Sudhansu Dhal"/>
    <s v="M"/>
    <x v="3"/>
    <s v="Sales"/>
    <s v="Business Developer"/>
    <s v="TributeAI"/>
    <s v="Bhubaneswar"/>
    <n v="49155"/>
    <s v="26-02-2023"/>
    <n v="1.8"/>
    <m/>
    <x v="2"/>
    <s v="EMP0014"/>
  </r>
  <r>
    <x v="114"/>
    <s v="Puspita Behura"/>
    <s v="male"/>
    <x v="3"/>
    <s v="Sales"/>
    <s v="Sales Manager"/>
    <s v="InfySoft Bhubaneswar"/>
    <s v="Berhampur"/>
    <n v="153126"/>
    <s v="30-04-2018"/>
    <n v="6.7"/>
    <n v="4.7"/>
    <x v="3"/>
    <s v="EMP0092"/>
  </r>
  <r>
    <x v="115"/>
    <s v="Smita Nanda"/>
    <s v="female"/>
    <x v="0"/>
    <s v="Devops"/>
    <s v="SRE"/>
    <s v="ZeroOneSystems"/>
    <s v="Berhampur"/>
    <n v="107461"/>
    <s v="13-03-2018"/>
    <n v="6.8"/>
    <n v="3.1"/>
    <x v="2"/>
    <s v="EMP0100"/>
  </r>
  <r>
    <x v="116"/>
    <s v="Dibya Parida"/>
    <s v="female"/>
    <x v="1"/>
    <s v="Design"/>
    <s v="UI Designer"/>
    <s v="ZeroOneSystems"/>
    <s v="Bhubaneswar"/>
    <n v="145043"/>
    <s v="11-01-2018"/>
    <n v="7"/>
    <n v="3.8"/>
    <x v="2"/>
    <s v="EMP0063"/>
  </r>
  <r>
    <x v="117"/>
    <s v="Satyajit Mishra"/>
    <s v="female"/>
    <x v="5"/>
    <s v="Hr"/>
    <s v="HR Manager"/>
    <s v="KalingaTech Pvt Ltd"/>
    <s v="Berhampur"/>
    <n v="58648"/>
    <s v="26-09-2020"/>
    <n v="4.3"/>
    <n v="2.4"/>
    <x v="1"/>
    <s v="EMP0001"/>
  </r>
  <r>
    <x v="118"/>
    <s v="Tanmay Prusty"/>
    <s v="male"/>
    <x v="3"/>
    <s v="Sales"/>
    <s v="Sales Manager"/>
    <s v="UtkalSoft Technologies"/>
    <s v="Berhampur"/>
    <n v="66700"/>
    <s v="25-07-2018"/>
    <n v="6.4"/>
    <n v="3.3"/>
    <x v="1"/>
    <s v="EMP0055"/>
  </r>
  <r>
    <x v="119"/>
    <s v="Sangita Senapati"/>
    <s v="male"/>
    <x v="1"/>
    <s v="Design"/>
    <s v="UI Designer"/>
    <s v="OdishaCode Labs"/>
    <s v="Puri"/>
    <n v="103329"/>
    <s v="15-09-2022"/>
    <n v="2.2999999999999998"/>
    <n v="2.5"/>
    <x v="2"/>
    <s v="EMP0100"/>
  </r>
  <r>
    <x v="120"/>
    <s v="Puspita Pattnaik"/>
    <s v="male"/>
    <x v="7"/>
    <s v="Marketing"/>
    <s v="Digital Marketer"/>
    <s v="KalingaTech Pvt Ltd"/>
    <s v="Bhubaneswar"/>
    <n v="175475"/>
    <s v="01-05-2022"/>
    <n v="2.7"/>
    <n v="2.6"/>
    <x v="2"/>
    <s v="EMP0099"/>
  </r>
  <r>
    <x v="121"/>
    <s v="Saurav Nanda"/>
    <s v="female"/>
    <x v="7"/>
    <s v="Marketing"/>
    <s v="Digital Marketer"/>
    <s v="ZeroOneSystems"/>
    <s v="Cuttack"/>
    <n v="207513"/>
    <s v="21-11-2020"/>
    <n v="4.0999999999999996"/>
    <n v="4.7"/>
    <x v="3"/>
    <s v="EMP0030"/>
  </r>
  <r>
    <x v="122"/>
    <s v="Namita Mahapatra"/>
    <s v="F"/>
    <x v="6"/>
    <s v="Data Science"/>
    <s v="Data Scientist"/>
    <s v="TributeAI"/>
    <s v="Bhubaneswar"/>
    <n v="130003"/>
    <s v="05-02-2021"/>
    <n v="3.9"/>
    <n v="1.9"/>
    <x v="1"/>
    <s v="EMP0041"/>
  </r>
  <r>
    <x v="123"/>
    <s v="Namita Nanda"/>
    <s v="male"/>
    <x v="9"/>
    <s v="Finance"/>
    <s v="Finance Analyst"/>
    <s v="SilverByte Systems"/>
    <s v="Bhubaneswar"/>
    <n v="43422"/>
    <s v="28-01-2024"/>
    <n v="0.9"/>
    <n v="3.8"/>
    <x v="3"/>
    <s v="EMP0023"/>
  </r>
  <r>
    <x v="124"/>
    <s v="Smita Nanda"/>
    <s v="M"/>
    <x v="7"/>
    <s v="Marketing"/>
    <s v="Digital Marketer"/>
    <s v="BlueLotus IT"/>
    <s v="Puri"/>
    <n v="169094"/>
    <s v="24-06-2024"/>
    <n v="0.5"/>
    <n v="3.8"/>
    <x v="2"/>
    <s v="EMP0009"/>
  </r>
  <r>
    <x v="125"/>
    <s v="Satyajit Jena"/>
    <s v="F"/>
    <x v="7"/>
    <s v="Marketing"/>
    <s v="Brand Manager"/>
    <s v="InfySoft Bhubaneswar"/>
    <s v="Bhubaneswar"/>
    <n v="171587"/>
    <s v="26-07-2019"/>
    <n v="5.4"/>
    <n v="3.4"/>
    <x v="2"/>
    <s v="EMP0087"/>
  </r>
  <r>
    <x v="126"/>
    <s v="Rajan Mishra"/>
    <s v="M"/>
    <x v="2"/>
    <s v="Engineering"/>
    <s v="Software Engineer"/>
    <s v="OdishaCode Labs"/>
    <s v="Bhubaneswar"/>
    <n v="134602"/>
    <s v="04-08-2021"/>
    <n v="3.4"/>
    <n v="4.4000000000000004"/>
    <x v="2"/>
    <s v="EMP0100"/>
  </r>
  <r>
    <x v="127"/>
    <s v="Saurav Dhal"/>
    <s v="female"/>
    <x v="7"/>
    <s v="Marketing"/>
    <s v="Content Strategist"/>
    <s v="UtkalSoft Technologies"/>
    <s v="Cuttack"/>
    <n v="75928"/>
    <s v="07-03-2020"/>
    <n v="4.8"/>
    <m/>
    <x v="2"/>
    <s v="EMP0066"/>
  </r>
  <r>
    <x v="128"/>
    <s v="Debasmita Tripathy"/>
    <s v="M"/>
    <x v="6"/>
    <s v="Data Science"/>
    <s v="BI Developer"/>
    <s v="SambalpurNet"/>
    <s v="Bhubaneswar"/>
    <n v="169926"/>
    <s v="19-09-2020"/>
    <n v="4.3"/>
    <n v="4.5999999999999996"/>
    <x v="2"/>
    <s v="EMP0032"/>
  </r>
  <r>
    <x v="129"/>
    <s v="Lipsa Nanda"/>
    <s v="F"/>
    <x v="9"/>
    <s v="Finance"/>
    <s v="Finance Analyst"/>
    <s v="SilverByte Systems"/>
    <s v="Bhubaneswar"/>
    <n v="33691"/>
    <s v="09-04-2023"/>
    <n v="1.7"/>
    <n v="1.7"/>
    <x v="2"/>
    <s v="EMP0115"/>
  </r>
  <r>
    <x v="130"/>
    <s v="Namita Nanda"/>
    <s v="F"/>
    <x v="7"/>
    <s v="Marketing"/>
    <s v="Brand Manager"/>
    <s v="NilGiri Digitals"/>
    <s v="Puri"/>
    <n v="45224"/>
    <s v="17-05-2018"/>
    <n v="6.6"/>
    <n v="1.7"/>
    <x v="2"/>
    <s v="EMP0114"/>
  </r>
  <r>
    <x v="131"/>
    <s v="Ipsita Pattnaik"/>
    <s v="female"/>
    <x v="1"/>
    <s v="Design"/>
    <s v="UX Researcher"/>
    <s v="SilverByte Systems"/>
    <s v="Bhubaneswar"/>
    <n v="60261"/>
    <s v="23-02-2018"/>
    <n v="6.9"/>
    <n v="3.2"/>
    <x v="2"/>
    <s v="EMP0029"/>
  </r>
  <r>
    <x v="132"/>
    <s v="Debasmita Prusty"/>
    <s v="M"/>
    <x v="7"/>
    <s v="Marketing"/>
    <s v="Digital Marketer"/>
    <s v="CoastalDev Studio"/>
    <s v="Rourkela"/>
    <n v="195850"/>
    <s v="20-09-2018"/>
    <n v="6.3"/>
    <n v="2.9"/>
    <x v="1"/>
    <s v="EMP0107"/>
  </r>
  <r>
    <x v="133"/>
    <s v="Nirmal Choudhury"/>
    <s v="M"/>
    <x v="8"/>
    <s v="Qa"/>
    <s v="QA Lead"/>
    <s v="BlueLotus IT"/>
    <s v="Cuttack"/>
    <n v="172635"/>
    <s v="26-12-2021"/>
    <n v="3"/>
    <n v="2.6"/>
    <x v="2"/>
    <s v="EMP0133"/>
  </r>
  <r>
    <x v="134"/>
    <s v="Rahul Mishra"/>
    <s v="F"/>
    <x v="7"/>
    <s v="Marketing"/>
    <s v="Digital Marketer"/>
    <s v="SambalpurNet"/>
    <s v="Bhubaneswar"/>
    <n v="91791"/>
    <s v="03-03-2019"/>
    <n v="5.8"/>
    <n v="1.9"/>
    <x v="2"/>
    <s v="EMP0081"/>
  </r>
  <r>
    <x v="135"/>
    <s v="Dibya Behura"/>
    <s v="male"/>
    <x v="6"/>
    <s v="Data Science"/>
    <s v="ML Engineer"/>
    <s v="TechNova Solutions"/>
    <s v="Rourkela"/>
    <n v="75944"/>
    <s v="19-09-2022"/>
    <n v="2.2999999999999998"/>
    <n v="1.6"/>
    <x v="2"/>
    <s v="EMP0016"/>
  </r>
  <r>
    <x v="136"/>
    <s v="Saurav Sahoo"/>
    <s v="F"/>
    <x v="9"/>
    <s v="Finance"/>
    <s v="CFO"/>
    <s v="SilverByte Systems"/>
    <s v="Bhubaneswar"/>
    <n v="63115"/>
    <s v="13-11-2022"/>
    <n v="2.1"/>
    <n v="1.7"/>
    <x v="2"/>
    <s v="EMP0082"/>
  </r>
  <r>
    <x v="137"/>
    <s v="Priyanka Behura"/>
    <s v="M"/>
    <x v="4"/>
    <s v="Product"/>
    <s v="Associate PM"/>
    <s v="CoastalDev Studio"/>
    <s v="Cuttack"/>
    <n v="190530"/>
    <s v="23-01-2024"/>
    <n v="0.9"/>
    <n v="2.4"/>
    <x v="1"/>
    <s v="EMP0093"/>
  </r>
  <r>
    <x v="138"/>
    <s v="Prasant Pattnaik"/>
    <s v="M"/>
    <x v="1"/>
    <s v="Design"/>
    <s v="Design Lead"/>
    <s v="UtkalSoft Technologies"/>
    <s v="Bhubaneswar"/>
    <n v="56860"/>
    <s v="06-02-2024"/>
    <n v="0.9"/>
    <m/>
    <x v="3"/>
    <s v="EMP0052"/>
  </r>
  <r>
    <x v="139"/>
    <s v="Puspita Routray"/>
    <s v="female"/>
    <x v="5"/>
    <s v="Hr"/>
    <s v="Talent Acquisition"/>
    <s v="UtkalSoft Technologies"/>
    <s v="Bhubaneswar"/>
    <n v="174126"/>
    <s v="26-09-2023"/>
    <n v="1.3"/>
    <n v="2.8"/>
    <x v="2"/>
    <s v="EMP0065"/>
  </r>
  <r>
    <x v="140"/>
    <s v="Alka Senapati"/>
    <s v="male"/>
    <x v="6"/>
    <s v="Data Science"/>
    <s v="Data Analyst"/>
    <s v="SilverByte Systems"/>
    <s v="Bhubaneswar"/>
    <n v="149593"/>
    <s v="17-02-2021"/>
    <n v="3.9"/>
    <n v="4.2"/>
    <x v="3"/>
    <s v="EMP0048"/>
  </r>
  <r>
    <x v="141"/>
    <s v="Satyajit Dhal"/>
    <s v="male"/>
    <x v="8"/>
    <s v="Qa"/>
    <s v="Senior QA"/>
    <s v="OdishaCode Labs"/>
    <s v="Bhubaneswar"/>
    <n v="74665"/>
    <s v="21-12-2019"/>
    <n v="5"/>
    <n v="4"/>
    <x v="2"/>
    <s v="EMP0131"/>
  </r>
  <r>
    <x v="142"/>
    <s v="Sangita Parida"/>
    <s v="male"/>
    <x v="0"/>
    <s v="Devops"/>
    <s v="Cloud Architect"/>
    <s v="SambalpurNet"/>
    <s v="Bhubaneswar"/>
    <n v="90827"/>
    <s v="31-10-2021"/>
    <n v="3.2"/>
    <n v="1.7"/>
    <x v="1"/>
    <s v="EMP0043"/>
  </r>
  <r>
    <x v="143"/>
    <s v="Dibya Behura"/>
    <s v="M"/>
    <x v="8"/>
    <s v="Qa"/>
    <s v="QA Engineer"/>
    <s v="InfySoft Bhubaneswar"/>
    <s v="Cuttack"/>
    <n v="63381"/>
    <s v="11-04-2020"/>
    <n v="4.7"/>
    <n v="2.1"/>
    <x v="2"/>
    <s v="EMP0111"/>
  </r>
  <r>
    <x v="144"/>
    <s v="Puspita Mahapatra"/>
    <s v="female"/>
    <x v="7"/>
    <s v="Marketing"/>
    <s v="Brand Manager"/>
    <s v="UtkalSoft Technologies"/>
    <s v="Berhampur"/>
    <n v="38253"/>
    <s v="26-08-2023"/>
    <n v="1.4"/>
    <n v="3"/>
    <x v="2"/>
    <s v="EMP0024"/>
  </r>
  <r>
    <x v="145"/>
    <s v="Alka Choudhury"/>
    <s v="female"/>
    <x v="2"/>
    <s v="Engineering"/>
    <s v="Senior Developer"/>
    <s v="UtkalSoft Technologies"/>
    <s v="Berhampur"/>
    <n v="81373"/>
    <s v="11-04-2021"/>
    <n v="3.7"/>
    <n v="2.2000000000000002"/>
    <x v="2"/>
    <s v="EMP0099"/>
  </r>
  <r>
    <x v="146"/>
    <s v="Chinmaya Samal"/>
    <s v="male"/>
    <x v="0"/>
    <s v="Devops"/>
    <s v="Sr DevOps"/>
    <s v="BlueLotus IT"/>
    <s v="Puri"/>
    <n v="123174"/>
    <s v="31-03-2021"/>
    <n v="3.8"/>
    <n v="4.8"/>
    <x v="3"/>
    <s v="EMP0055"/>
  </r>
  <r>
    <x v="147"/>
    <s v="Rajan Dhal"/>
    <s v="male"/>
    <x v="6"/>
    <s v="Data Science"/>
    <s v="BI Developer"/>
    <s v="InfySoft Bhubaneswar"/>
    <s v="Bhubaneswar"/>
    <n v="168332"/>
    <s v="16-09-2019"/>
    <n v="5.3"/>
    <n v="1.5"/>
    <x v="2"/>
    <s v="EMP0104"/>
  </r>
  <r>
    <x v="148"/>
    <s v="Chinmaya Mahapatra"/>
    <s v="male"/>
    <x v="5"/>
    <s v="Hr"/>
    <s v="HR Executive"/>
    <s v="NilGiri Digitals"/>
    <s v="Bhubaneswar"/>
    <n v="219745"/>
    <s v="06-11-2020"/>
    <n v="4.2"/>
    <n v="4"/>
    <x v="3"/>
    <s v="EMP0009"/>
  </r>
  <r>
    <x v="149"/>
    <s v="Priyanka Biswal"/>
    <s v="male"/>
    <x v="3"/>
    <s v="Sales"/>
    <s v="Account Manager"/>
    <s v="CoastalDev Studio"/>
    <s v="Cuttack"/>
    <n v="214161"/>
    <s v="17-11-2023"/>
    <n v="1.1000000000000001"/>
    <n v="4.4000000000000004"/>
    <x v="2"/>
    <s v="EMP0019"/>
  </r>
  <r>
    <x v="150"/>
    <s v="Lipsa Ratha"/>
    <s v="F"/>
    <x v="5"/>
    <s v="Hr"/>
    <s v="HR Manager"/>
    <s v="OdishaCode Labs"/>
    <s v="Cuttack"/>
    <n v="89103"/>
    <s v="03-03-2019"/>
    <n v="5.8"/>
    <n v="3.3"/>
    <x v="1"/>
    <s v="EMP0110"/>
  </r>
  <r>
    <x v="151"/>
    <s v="Jyotirmayee Mishra"/>
    <s v="M"/>
    <x v="2"/>
    <s v="Engineering"/>
    <s v="Junior Developer"/>
    <s v="OdishaCode Labs"/>
    <s v="Bhubaneswar"/>
    <n v="19238"/>
    <s v="12-09-2022"/>
    <n v="2.2999999999999998"/>
    <n v="3.7"/>
    <x v="2"/>
    <s v="EMP0068"/>
  </r>
  <r>
    <x v="152"/>
    <s v="Soumya Padhi"/>
    <s v="M"/>
    <x v="7"/>
    <s v="Marketing"/>
    <s v="Brand Manager"/>
    <s v="CoastalDev Studio"/>
    <s v="Bhubaneswar"/>
    <n v="81077"/>
    <s v="25-10-2018"/>
    <n v="6.2"/>
    <n v="3"/>
    <x v="3"/>
    <s v="EMP0126"/>
  </r>
  <r>
    <x v="153"/>
    <s v="Tanmay Sahu"/>
    <s v="M"/>
    <x v="6"/>
    <s v="Data Science"/>
    <s v="Data Scientist"/>
    <s v="TechNova Solutions"/>
    <s v="Berhampur"/>
    <n v="194720"/>
    <s v="26-01-2021"/>
    <n v="3.9"/>
    <n v="2.2000000000000002"/>
    <x v="1"/>
    <s v="EMP0147"/>
  </r>
  <r>
    <x v="154"/>
    <s v="Jyotirmayee Prusty"/>
    <s v="female"/>
    <x v="2"/>
    <s v="Engineering"/>
    <s v="Junior Developer"/>
    <s v="NilGiri Digitals"/>
    <s v="Bhubaneswar"/>
    <n v="170702"/>
    <s v="14-10-2023"/>
    <n v="1.2"/>
    <n v="2.1"/>
    <x v="3"/>
    <s v="EMP0007"/>
  </r>
  <r>
    <x v="155"/>
    <s v="Ranjit Mohapatra"/>
    <s v="M"/>
    <x v="3"/>
    <s v="Sales"/>
    <s v="Business Developer"/>
    <s v="KalingaTech Pvt Ltd"/>
    <s v="Puri"/>
    <n v="205879"/>
    <s v="26-03-2020"/>
    <n v="4.8"/>
    <n v="3.2"/>
    <x v="2"/>
    <s v="EMP0066"/>
  </r>
  <r>
    <x v="156"/>
    <s v="Ankita Prusty"/>
    <s v="female"/>
    <x v="8"/>
    <s v="Qa"/>
    <s v="Senior QA"/>
    <s v="KalingaTech Pvt Ltd"/>
    <s v="Bhubaneswar"/>
    <n v="53910"/>
    <s v="24-01-2018"/>
    <n v="6.9"/>
    <n v="2.1"/>
    <x v="3"/>
    <s v="EMP0141"/>
  </r>
  <r>
    <x v="157"/>
    <s v="Debasmita Pattnaik"/>
    <s v="female"/>
    <x v="9"/>
    <s v="Finance"/>
    <s v="CFO"/>
    <s v="BlueLotus IT"/>
    <s v="Cuttack"/>
    <n v="106978"/>
    <s v="27-05-2022"/>
    <n v="2.6"/>
    <n v="1.9"/>
    <x v="2"/>
    <s v="EMP0107"/>
  </r>
  <r>
    <x v="158"/>
    <s v="Tanmay Pattnaik"/>
    <s v="female"/>
    <x v="1"/>
    <s v="Design"/>
    <s v="Design Lead"/>
    <s v="SambalpurNet"/>
    <s v="Cuttack"/>
    <n v="45446"/>
    <s v="17-09-2018"/>
    <n v="6.3"/>
    <n v="3.6"/>
    <x v="2"/>
    <s v="EMP0014"/>
  </r>
  <r>
    <x v="159"/>
    <s v="Sudhansu Senapati"/>
    <s v="female"/>
    <x v="1"/>
    <s v="Design"/>
    <s v="Design Lead"/>
    <s v="KalingaTech Pvt Ltd"/>
    <s v="Puri"/>
    <n v="48696"/>
    <s v="2020-09-08"/>
    <n v="4.3"/>
    <n v="3.3"/>
    <x v="2"/>
    <s v="EMP0076"/>
  </r>
  <r>
    <x v="160"/>
    <s v="Tapas Behura"/>
    <s v="female"/>
    <x v="5"/>
    <s v="Hr"/>
    <s v="HR Manager"/>
    <s v="KalingaTech Pvt Ltd"/>
    <s v="Cuttack"/>
    <n v="137558"/>
    <s v="2019-09-25"/>
    <n v="5.3"/>
    <n v="3.5"/>
    <x v="2"/>
    <s v="EMP0135"/>
  </r>
  <r>
    <x v="161"/>
    <s v="Saurav Padhi"/>
    <s v="male"/>
    <x v="3"/>
    <s v="Sales"/>
    <s v="Business Developer"/>
    <s v="KalingaTech Pvt Ltd"/>
    <s v="Puri"/>
    <n v="67650"/>
    <s v="09-06-2019"/>
    <n v="5.6"/>
    <n v="1.7"/>
    <x v="2"/>
    <s v="EMP0006"/>
  </r>
  <r>
    <x v="162"/>
    <s v="Sudhansu Prusty"/>
    <s v="male"/>
    <x v="9"/>
    <s v="Finance"/>
    <s v="CFO"/>
    <s v="TechNova Solutions"/>
    <s v="Rourkela"/>
    <n v="186926"/>
    <s v="28-04-2019"/>
    <n v="5.7"/>
    <n v="4.7"/>
    <x v="2"/>
    <s v="EMP0125"/>
  </r>
  <r>
    <x v="163"/>
    <s v="Barsha Pattnaik"/>
    <s v="female"/>
    <x v="5"/>
    <s v="Hr"/>
    <s v="HR Manager"/>
    <s v="ZeroOneSystems"/>
    <s v="Puri"/>
    <n v="132736"/>
    <s v="2018-10-21"/>
    <n v="6.2"/>
    <n v="3.2"/>
    <x v="2"/>
    <s v="EMP0003"/>
  </r>
  <r>
    <x v="164"/>
    <s v="Ipsita Choudhury"/>
    <s v="M"/>
    <x v="3"/>
    <s v="Sales"/>
    <s v="Sales Manager"/>
    <s v="SambalpurNet"/>
    <s v="Rourkela"/>
    <n v="125051"/>
    <s v="11-09-2021"/>
    <n v="3.3"/>
    <n v="3.2"/>
    <x v="2"/>
    <s v="EMP0123"/>
  </r>
  <r>
    <x v="165"/>
    <s v="Barsha Parida"/>
    <s v="male"/>
    <x v="3"/>
    <s v="Sales"/>
    <s v="Business Developer"/>
    <s v="ZeroOneSystems"/>
    <s v="Cuttack"/>
    <n v="94446"/>
    <s v="26-08-2018"/>
    <n v="6.4"/>
    <n v="4.5"/>
    <x v="2"/>
    <s v="EMP0068"/>
  </r>
  <r>
    <x v="166"/>
    <s v="Lipsa Biswal"/>
    <s v="M"/>
    <x v="9"/>
    <s v="Finance"/>
    <s v="CFO"/>
    <s v="TributeAI"/>
    <s v="Cuttack"/>
    <n v="49078"/>
    <s v="28-06-2019"/>
    <n v="5.5"/>
    <n v="3.9"/>
    <x v="1"/>
    <s v="EMP0161"/>
  </r>
  <r>
    <x v="167"/>
    <s v="Soumya Tripathy"/>
    <s v="M"/>
    <x v="6"/>
    <s v="Data Science"/>
    <s v="Data Analyst"/>
    <s v="CoastalDev Studio"/>
    <s v="Bhubaneswar"/>
    <n v="140755"/>
    <s v="07-09-2021"/>
    <n v="3.3"/>
    <n v="3"/>
    <x v="2"/>
    <s v="EMP0111"/>
  </r>
  <r>
    <x v="168"/>
    <s v="Lipsa Pattnaik"/>
    <s v="M"/>
    <x v="6"/>
    <s v="Data Science"/>
    <s v="Data Analyst"/>
    <s v="CoastalDev Studio"/>
    <s v="Cuttack"/>
    <n v="123694"/>
    <s v="27-02-2023"/>
    <n v="1.8"/>
    <n v="2.4"/>
    <x v="3"/>
    <s v="EMP0142"/>
  </r>
  <r>
    <x v="169"/>
    <s v="Abhishek Sahu"/>
    <s v="M"/>
    <x v="3"/>
    <s v="Sales"/>
    <s v="Business Developer"/>
    <s v="TributeAI"/>
    <s v="Bhubaneswar"/>
    <n v="122059"/>
    <s v="20-06-2020"/>
    <n v="4.5"/>
    <m/>
    <x v="1"/>
    <s v="EMP0092"/>
  </r>
  <r>
    <x v="170"/>
    <s v="Rahul Parida"/>
    <s v="male"/>
    <x v="2"/>
    <s v="Engineering"/>
    <s v="Architect"/>
    <s v="BlueLotus IT"/>
    <s v="Cuttack"/>
    <n v="180770"/>
    <s v="01-04-2023"/>
    <n v="1.8"/>
    <n v="2.5"/>
    <x v="2"/>
    <s v="EMP0024"/>
  </r>
  <r>
    <x v="171"/>
    <s v="Alka Sahoo"/>
    <s v="F"/>
    <x v="5"/>
    <s v="Hr"/>
    <s v="HR Manager"/>
    <s v="ZeroOneSystems"/>
    <s v="Rourkela"/>
    <n v="116868"/>
    <s v="2023-01-16"/>
    <n v="2"/>
    <n v="1.6"/>
    <x v="1"/>
    <s v="EMP0158"/>
  </r>
  <r>
    <x v="172"/>
    <s v="Prasant Samal"/>
    <s v="female"/>
    <x v="8"/>
    <s v="Qa"/>
    <s v="QA Lead"/>
    <s v="CoastalDev Studio"/>
    <s v="Bhubaneswar"/>
    <n v="114814"/>
    <s v="21-01-2023"/>
    <n v="1.9"/>
    <n v="2.8"/>
    <x v="2"/>
    <s v="EMP0170"/>
  </r>
  <r>
    <x v="173"/>
    <s v="Ipsita Mohapatra"/>
    <s v="F"/>
    <x v="1"/>
    <s v="Design"/>
    <s v="Design Lead"/>
    <s v="UtkalSoft Technologies"/>
    <s v="Bhubaneswar"/>
    <n v="37507"/>
    <s v="29-07-2018"/>
    <n v="6.4"/>
    <n v="4.0999999999999996"/>
    <x v="2"/>
    <s v="EMP0029"/>
  </r>
  <r>
    <x v="174"/>
    <s v="Dibya Ratha"/>
    <s v="F"/>
    <x v="3"/>
    <s v="Sales"/>
    <s v="Account Manager"/>
    <s v="SilverByte Systems"/>
    <s v="Bhubaneswar"/>
    <n v="162109"/>
    <s v="24-10-2019"/>
    <n v="5.2"/>
    <n v="4.5999999999999996"/>
    <x v="1"/>
    <s v="EMP0170"/>
  </r>
  <r>
    <x v="175"/>
    <s v="Puspita Jena"/>
    <s v="M"/>
    <x v="8"/>
    <s v="Qa"/>
    <s v="Test Analyst"/>
    <s v="TributeAI"/>
    <s v="Puri"/>
    <n v="82695"/>
    <s v="10-03-2023"/>
    <n v="1.8"/>
    <n v="2.9"/>
    <x v="2"/>
    <s v="EMP0018"/>
  </r>
  <r>
    <x v="176"/>
    <s v="Lipsa Ratha"/>
    <s v="male"/>
    <x v="5"/>
    <s v="Hr"/>
    <s v="Talent Acquisition"/>
    <s v="CoastalDev Studio"/>
    <s v="Berhampur"/>
    <n v="40296"/>
    <s v="19-08-2019"/>
    <n v="5.4"/>
    <n v="4.3"/>
    <x v="3"/>
    <s v="EMP0041"/>
  </r>
  <r>
    <x v="177"/>
    <s v="Lipsa Routray"/>
    <s v="female"/>
    <x v="7"/>
    <s v="Marketing"/>
    <s v="Digital Marketer"/>
    <s v="ZeroOneSystems"/>
    <s v="Bhubaneswar"/>
    <n v="147550"/>
    <s v="28-12-2023"/>
    <n v="1"/>
    <n v="4.7"/>
    <x v="2"/>
    <s v="EMP0067"/>
  </r>
  <r>
    <x v="178"/>
    <s v="Satyajit Nanda"/>
    <s v="female"/>
    <x v="7"/>
    <s v="Marketing"/>
    <s v="Digital Marketer"/>
    <s v="NilGiri Digitals"/>
    <s v="Puri"/>
    <n v="163247"/>
    <s v="25-11-2021"/>
    <n v="3.1"/>
    <n v="3.5"/>
    <x v="2"/>
    <s v="EMP0095"/>
  </r>
  <r>
    <x v="179"/>
    <s v="Abhishek Pattnaik"/>
    <s v="M"/>
    <x v="4"/>
    <s v="Product"/>
    <s v="Associate PM"/>
    <s v="SilverByte Systems"/>
    <s v="Bhubaneswar"/>
    <n v="92419"/>
    <s v="11-07-2022"/>
    <n v="2.5"/>
    <n v="1.6"/>
    <x v="2"/>
    <s v="EMP0112"/>
  </r>
  <r>
    <x v="180"/>
    <s v="Ipsita Samal"/>
    <s v="male"/>
    <x v="8"/>
    <s v="Qa"/>
    <s v="QA Lead"/>
    <s v="InfySoft Bhubaneswar"/>
    <s v="Bhubaneswar"/>
    <n v="166315"/>
    <s v="29-05-2018"/>
    <n v="6.6"/>
    <n v="2.8"/>
    <x v="2"/>
    <s v="EMP0039"/>
  </r>
  <r>
    <x v="181"/>
    <s v="Priyanka Mishra"/>
    <s v="M"/>
    <x v="4"/>
    <s v="Product"/>
    <s v="Product Manager"/>
    <s v="ZeroOneSystems"/>
    <s v="Bhubaneswar"/>
    <n v="116226"/>
    <s v="11-08-2022"/>
    <n v="2.4"/>
    <n v="2.1"/>
    <x v="3"/>
    <s v="EMP0144"/>
  </r>
  <r>
    <x v="182"/>
    <s v="Jyotirmayee Mahapatra"/>
    <s v="female"/>
    <x v="0"/>
    <s v="Devops"/>
    <s v="Sr DevOps"/>
    <s v="SambalpurNet"/>
    <s v="Rourkela"/>
    <n v="136915"/>
    <s v="12-06-2023"/>
    <n v="1.6"/>
    <n v="4.0999999999999996"/>
    <x v="2"/>
    <s v="EMP0096"/>
  </r>
  <r>
    <x v="183"/>
    <s v="Ranjit Sahoo"/>
    <s v="female"/>
    <x v="5"/>
    <s v="Hr"/>
    <s v="HR Manager"/>
    <s v="CoastalDev Studio"/>
    <s v="Bhubaneswar"/>
    <n v="82984"/>
    <s v="03-02-2021"/>
    <n v="3.9"/>
    <n v="4.8"/>
    <x v="1"/>
    <s v="EMP0119"/>
  </r>
  <r>
    <x v="184"/>
    <s v="Puspita Behura"/>
    <s v="F"/>
    <x v="5"/>
    <s v="Hr"/>
    <s v="HR Executive"/>
    <s v="SambalpurNet"/>
    <s v="Rourkela"/>
    <n v="136568"/>
    <s v="09-08-2019"/>
    <n v="5.4"/>
    <n v="4"/>
    <x v="2"/>
    <s v="EMP0111"/>
  </r>
  <r>
    <x v="185"/>
    <s v="Prasant Biswal"/>
    <s v="female"/>
    <x v="9"/>
    <s v="Finance"/>
    <s v="CFO"/>
    <s v="CoastalDev Studio"/>
    <s v="Bhubaneswar"/>
    <n v="39577"/>
    <s v="31-03-2021"/>
    <n v="3.8"/>
    <n v="4"/>
    <x v="2"/>
    <s v="EMP0016"/>
  </r>
  <r>
    <x v="186"/>
    <s v="Ankita Parida"/>
    <s v="female"/>
    <x v="2"/>
    <s v="Engineering"/>
    <s v="Senior Developer"/>
    <s v="TechNova Solutions"/>
    <s v="Berhampur"/>
    <n v="189038"/>
    <s v="20-03-2023"/>
    <n v="1.8"/>
    <n v="3.2"/>
    <x v="2"/>
    <s v="EMP0113"/>
  </r>
  <r>
    <x v="187"/>
    <s v="Dibya Jena"/>
    <s v="F"/>
    <x v="7"/>
    <s v="Marketing"/>
    <s v="Brand Manager"/>
    <s v="SambalpurNet"/>
    <s v="Berhampur"/>
    <n v="104855"/>
    <s v="27-08-2021"/>
    <n v="3.4"/>
    <m/>
    <x v="2"/>
    <s v="EMP0046"/>
  </r>
  <r>
    <x v="188"/>
    <s v="Debasmita Tripathy"/>
    <s v="female"/>
    <x v="7"/>
    <s v="Marketing"/>
    <s v="Brand Manager"/>
    <s v="KalingaTech Pvt Ltd"/>
    <s v="Cuttack"/>
    <n v="145073"/>
    <s v="19-06-2023"/>
    <n v="1.5"/>
    <n v="2.9"/>
    <x v="2"/>
    <s v="EMP0035"/>
  </r>
  <r>
    <x v="189"/>
    <s v="Sangita Jena"/>
    <s v="F"/>
    <x v="2"/>
    <s v="Engineering"/>
    <s v="Tech Lead"/>
    <s v="KalingaTech Pvt Ltd"/>
    <s v="Cuttack"/>
    <n v="98046"/>
    <s v="08-08-2020"/>
    <n v="4.4000000000000004"/>
    <n v="2.6"/>
    <x v="2"/>
    <s v="EMP0108"/>
  </r>
  <r>
    <x v="190"/>
    <s v="Rahul Ratha"/>
    <s v="female"/>
    <x v="3"/>
    <s v="Sales"/>
    <s v="Account Manager"/>
    <s v="ZeroOneSystems"/>
    <s v="Puri"/>
    <n v="149981"/>
    <s v="16-04-2020"/>
    <n v="4.7"/>
    <n v="1.6"/>
    <x v="3"/>
    <s v="EMP0028"/>
  </r>
  <r>
    <x v="191"/>
    <s v="Ankita Pattnaik"/>
    <s v="female"/>
    <x v="0"/>
    <s v="Devops"/>
    <s v="DevOps Engineer"/>
    <s v="SilverByte Systems"/>
    <s v="Rourkela"/>
    <n v="144014"/>
    <s v="15-04-2023"/>
    <n v="1.7"/>
    <n v="4.5"/>
    <x v="2"/>
    <s v="EMP0173"/>
  </r>
  <r>
    <x v="192"/>
    <s v="Subhasree Parida"/>
    <s v="male"/>
    <x v="5"/>
    <s v="Hr"/>
    <s v="HR Manager"/>
    <s v="KalingaTech Pvt Ltd"/>
    <s v="Bhubaneswar"/>
    <m/>
    <s v="17-08-2020"/>
    <n v="4.4000000000000004"/>
    <n v="2.1"/>
    <x v="2"/>
    <s v="EMP0161"/>
  </r>
  <r>
    <x v="193"/>
    <s v="Nirmal Mishra"/>
    <s v="male"/>
    <x v="7"/>
    <s v="Marketing"/>
    <s v="Content Strategist"/>
    <s v="SilverByte Systems"/>
    <s v="Bhubaneswar"/>
    <n v="213196"/>
    <s v="15-11-2022"/>
    <n v="2.1"/>
    <n v="3.1"/>
    <x v="3"/>
    <s v="EMP0004"/>
  </r>
  <r>
    <x v="194"/>
    <s v="Abhishek Padhi"/>
    <s v="M"/>
    <x v="2"/>
    <s v="Engineering"/>
    <s v="Software Engineer"/>
    <s v="SilverByte Systems"/>
    <s v="Cuttack"/>
    <n v="94389"/>
    <s v="22-12-2022"/>
    <n v="2"/>
    <n v="4.2"/>
    <x v="3"/>
    <s v="EMP0144"/>
  </r>
  <r>
    <x v="195"/>
    <s v="Tanmay Choudhury"/>
    <s v="female"/>
    <x v="0"/>
    <s v="Devops"/>
    <s v="Cloud Architect"/>
    <s v="TechNova Solutions"/>
    <s v="Bhubaneswar"/>
    <n v="218566"/>
    <s v="25-11-2021"/>
    <n v="3.1"/>
    <n v="4.9000000000000004"/>
    <x v="2"/>
    <s v="EMP0094"/>
  </r>
  <r>
    <x v="196"/>
    <s v="Barsha Choudhury"/>
    <s v="F"/>
    <x v="2"/>
    <s v="Engineering"/>
    <s v="Architect"/>
    <s v="ZeroOneSystems"/>
    <s v="Bhubaneswar"/>
    <n v="36707"/>
    <s v="22-02-2020"/>
    <n v="4.9000000000000004"/>
    <n v="3.9"/>
    <x v="1"/>
    <s v="EMP0179"/>
  </r>
  <r>
    <x v="197"/>
    <s v="Amlan Senapati"/>
    <s v="F"/>
    <x v="1"/>
    <s v="Design"/>
    <s v="UX Researcher"/>
    <s v="CoastalDev Studio"/>
    <s v="Cuttack"/>
    <n v="23041"/>
    <s v="18-04-2022"/>
    <n v="2.7"/>
    <n v="2.7"/>
    <x v="2"/>
    <s v="EMP0017"/>
  </r>
  <r>
    <x v="198"/>
    <s v="Alka Tripathy"/>
    <s v="female"/>
    <x v="5"/>
    <s v="Hr"/>
    <s v="HR Manager"/>
    <s v="TechNova Solutions"/>
    <s v="Bhubaneswar"/>
    <n v="113874"/>
    <s v="04-11-2023"/>
    <n v="1.2"/>
    <n v="2.7"/>
    <x v="2"/>
    <s v="EMP0045"/>
  </r>
  <r>
    <x v="199"/>
    <s v="Ipsita Prusty"/>
    <s v="M"/>
    <x v="1"/>
    <s v="Design"/>
    <s v="UI Designer"/>
    <s v="NilGiri Digitals"/>
    <s v="Bhubaneswar"/>
    <n v="117488"/>
    <s v="16-10-2019"/>
    <n v="5.2"/>
    <n v="4.8"/>
    <x v="2"/>
    <s v="EMP0196"/>
  </r>
  <r>
    <x v="200"/>
    <s v="Puspita Parida"/>
    <s v="male"/>
    <x v="8"/>
    <s v="Qa"/>
    <s v="Test Analyst"/>
    <s v="BlueLotus IT"/>
    <s v="Cuttack"/>
    <n v="46510"/>
    <s v="07-12-2020"/>
    <n v="4.0999999999999996"/>
    <n v="4.2"/>
    <x v="2"/>
    <s v="EMP0190"/>
  </r>
  <r>
    <x v="201"/>
    <s v="Saurav Biswal"/>
    <s v="female"/>
    <x v="4"/>
    <s v="Product"/>
    <s v="Product Manager"/>
    <s v="OdishaCode Labs"/>
    <s v="Puri"/>
    <n v="32605"/>
    <s v="06-04-2024"/>
    <n v="0.7"/>
    <n v="1.7"/>
    <x v="1"/>
    <s v="EMP0154"/>
  </r>
  <r>
    <x v="202"/>
    <s v="Ipsita Behura"/>
    <s v="male"/>
    <x v="5"/>
    <s v="Hr"/>
    <s v="HR Manager"/>
    <s v="UtkalSoft Technologies"/>
    <s v="Bhubaneswar"/>
    <n v="192636"/>
    <s v="05-05-2019"/>
    <n v="5.7"/>
    <n v="4.5999999999999996"/>
    <x v="1"/>
    <s v="EMP0029"/>
  </r>
  <r>
    <x v="203"/>
    <s v="Abhishek Mohapatra"/>
    <s v="M"/>
    <x v="2"/>
    <s v="Engineering"/>
    <s v="Junior Developer"/>
    <s v="BlueLotus IT"/>
    <s v="Puri"/>
    <n v="137740"/>
    <s v="18-02-2018"/>
    <n v="6.9"/>
    <n v="3.8"/>
    <x v="1"/>
    <s v="EMP0011"/>
  </r>
  <r>
    <x v="204"/>
    <s v="Saurav Dhal"/>
    <s v="female"/>
    <x v="6"/>
    <s v="Data Science"/>
    <s v="Data Analyst"/>
    <s v="BlueLotus IT"/>
    <s v="Bhubaneswar"/>
    <n v="167697"/>
    <s v="17-07-2018"/>
    <n v="6.5"/>
    <n v="4.9000000000000004"/>
    <x v="3"/>
    <s v="EMP0057"/>
  </r>
  <r>
    <x v="205"/>
    <s v="Chinmaya Mishra"/>
    <s v="female"/>
    <x v="7"/>
    <s v="Marketing"/>
    <s v="Brand Manager"/>
    <s v="OdishaCode Labs"/>
    <s v="Bhubaneswar"/>
    <n v="219929"/>
    <s v="2019-02-03"/>
    <n v="5.9"/>
    <n v="3"/>
    <x v="2"/>
    <s v="EMP0108"/>
  </r>
  <r>
    <x v="206"/>
    <s v="Amlan Nanda"/>
    <s v="male"/>
    <x v="0"/>
    <s v="Devops"/>
    <s v="Cloud Architect"/>
    <s v="CoastalDev Studio"/>
    <s v="Berhampur"/>
    <n v="174708"/>
    <s v="14-08-2019"/>
    <n v="5.4"/>
    <n v="2"/>
    <x v="3"/>
    <s v="EMP0186"/>
  </r>
  <r>
    <x v="207"/>
    <s v="Chinmaya Dhal"/>
    <s v="male"/>
    <x v="3"/>
    <s v="Sales"/>
    <s v="Business Developer"/>
    <s v="ZeroOneSystems"/>
    <s v="Bhubaneswar"/>
    <n v="143623"/>
    <s v="12-04-2024"/>
    <n v="0.7"/>
    <n v="2.4"/>
    <x v="3"/>
    <s v="EMP0186"/>
  </r>
  <r>
    <x v="208"/>
    <s v="Sangita Senapati"/>
    <s v="male"/>
    <x v="3"/>
    <s v="Sales"/>
    <s v="Business Developer"/>
    <s v="SilverByte Systems"/>
    <s v="Cuttack"/>
    <n v="188373"/>
    <s v="08-11-2022"/>
    <n v="2.2000000000000002"/>
    <n v="4.9000000000000004"/>
    <x v="2"/>
    <s v="EMP0127"/>
  </r>
  <r>
    <x v="209"/>
    <s v="Sudhansu Mishra"/>
    <s v="male"/>
    <x v="3"/>
    <s v="Sales"/>
    <s v="Sales Manager"/>
    <s v="NilGiri Digitals"/>
    <s v="Bhubaneswar"/>
    <n v="75653"/>
    <s v="11-06-2024"/>
    <n v="0.6"/>
    <n v="4.5"/>
    <x v="2"/>
    <s v="EMP0061"/>
  </r>
  <r>
    <x v="210"/>
    <s v="Puspita Parida"/>
    <s v="female"/>
    <x v="4"/>
    <s v="Product"/>
    <s v="Associate PM"/>
    <s v="KalingaTech Pvt Ltd"/>
    <s v="Rourkela"/>
    <n v="95895"/>
    <s v="27-04-2024"/>
    <n v="0.7"/>
    <n v="2.2000000000000002"/>
    <x v="2"/>
    <s v="EMP0197"/>
  </r>
  <r>
    <x v="211"/>
    <s v="Saurav Sahu"/>
    <s v="M"/>
    <x v="0"/>
    <s v="Devops"/>
    <s v="SRE"/>
    <s v="CoastalDev Studio"/>
    <s v="Rourkela"/>
    <n v="55643"/>
    <s v="09-02-2019"/>
    <n v="5.9"/>
    <n v="3.8"/>
    <x v="1"/>
    <s v="EMP0094"/>
  </r>
  <r>
    <x v="212"/>
    <s v="Namita Prusty"/>
    <s v="male"/>
    <x v="1"/>
    <s v="Design"/>
    <s v="UI Designer"/>
    <s v="UtkalSoft Technologies"/>
    <s v="Bhubaneswar"/>
    <m/>
    <s v="15-08-2021"/>
    <n v="3.4"/>
    <n v="2.2000000000000002"/>
    <x v="2"/>
    <s v="EMP0080"/>
  </r>
  <r>
    <x v="213"/>
    <s v="Chinmaya Behura"/>
    <s v="F"/>
    <x v="1"/>
    <s v="Design"/>
    <s v="Visual Designer"/>
    <s v="OdishaCode Labs"/>
    <s v="Bhubaneswar"/>
    <n v="122022"/>
    <s v="16-12-2021"/>
    <n v="3"/>
    <n v="4.7"/>
    <x v="2"/>
    <s v="EMP0151"/>
  </r>
  <r>
    <x v="214"/>
    <s v="Barsha Parida"/>
    <s v="male"/>
    <x v="1"/>
    <s v="Design"/>
    <s v="UX Researcher"/>
    <s v="OdishaCode Labs"/>
    <s v="Rourkela"/>
    <n v="138776"/>
    <s v="05-08-2019"/>
    <n v="5.4"/>
    <n v="3"/>
    <x v="2"/>
    <s v="EMP0036"/>
  </r>
  <r>
    <x v="215"/>
    <s v="Abhishek Nanda"/>
    <s v="female"/>
    <x v="0"/>
    <s v="Devops"/>
    <s v="Sr DevOps"/>
    <s v="KalingaTech Pvt Ltd"/>
    <s v="Bhubaneswar"/>
    <n v="141830"/>
    <s v="11-11-2021"/>
    <n v="3.1"/>
    <n v="3.7"/>
    <x v="2"/>
    <s v="EMP0214"/>
  </r>
  <r>
    <x v="216"/>
    <s v="Sudhansu Pattnaik"/>
    <s v="male"/>
    <x v="0"/>
    <s v="Devops"/>
    <s v="Sr DevOps"/>
    <s v="UtkalSoft Technologies"/>
    <s v="Bhubaneswar"/>
    <n v="109779"/>
    <s v="27-11-2018"/>
    <n v="6.1"/>
    <n v="1.6"/>
    <x v="2"/>
    <s v="EMP0145"/>
  </r>
  <r>
    <x v="217"/>
    <s v="Rahul Parida"/>
    <s v="male"/>
    <x v="7"/>
    <s v="Marketing"/>
    <s v="Content Strategist"/>
    <s v="SilverByte Systems"/>
    <s v="Bhubaneswar"/>
    <n v="61137"/>
    <s v="27-01-2019"/>
    <n v="5.9"/>
    <n v="4.4000000000000004"/>
    <x v="2"/>
    <s v="EMP0179"/>
  </r>
  <r>
    <x v="218"/>
    <s v="Saurav Dhal"/>
    <s v="female"/>
    <x v="0"/>
    <s v="Devops"/>
    <s v="DevOps Engineer"/>
    <s v="UtkalSoft Technologies"/>
    <s v="Berhampur"/>
    <n v="169180"/>
    <s v="04-04-2023"/>
    <n v="1.7"/>
    <n v="3.7"/>
    <x v="2"/>
    <s v="EMP0109"/>
  </r>
  <r>
    <x v="219"/>
    <s v="Ipsita Sahu"/>
    <s v="F"/>
    <x v="5"/>
    <s v="Hr"/>
    <s v="HR Executive"/>
    <s v="InfySoft Bhubaneswar"/>
    <s v="Bhubaneswar"/>
    <n v="34054"/>
    <s v="09-09-2018"/>
    <n v="6.3"/>
    <n v="3.4"/>
    <x v="1"/>
    <s v="EMP0065"/>
  </r>
  <r>
    <x v="220"/>
    <s v="Sangita Samal"/>
    <s v="M"/>
    <x v="0"/>
    <s v="Devops"/>
    <s v="DevOps Engineer"/>
    <s v="NilGiri Digitals"/>
    <s v="Puri"/>
    <n v="161737"/>
    <s v="17-11-2021"/>
    <n v="3.1"/>
    <n v="2.2000000000000002"/>
    <x v="3"/>
    <s v="EMP0073"/>
  </r>
  <r>
    <x v="221"/>
    <s v="Soumya Tripathy"/>
    <s v="F"/>
    <x v="6"/>
    <s v="Data Science"/>
    <s v="Data Scientist"/>
    <s v="OdishaCode Labs"/>
    <s v="Rourkela"/>
    <n v="196785"/>
    <s v="11-07-2023"/>
    <n v="1.5"/>
    <n v="4.2"/>
    <x v="2"/>
    <s v="EMP0117"/>
  </r>
  <r>
    <x v="222"/>
    <s v="Puspita Ratha"/>
    <s v="male"/>
    <x v="2"/>
    <s v="Engineering"/>
    <s v="Junior Developer"/>
    <s v="NilGiri Digitals"/>
    <s v="Bhubaneswar"/>
    <n v="195207"/>
    <s v="04-02-2020"/>
    <n v="4.9000000000000004"/>
    <n v="4.8"/>
    <x v="2"/>
    <s v="EMP0135"/>
  </r>
  <r>
    <x v="223"/>
    <s v="Abhishek Parida"/>
    <s v="female"/>
    <x v="6"/>
    <s v="Data Science"/>
    <s v="BI Developer"/>
    <s v="SambalpurNet"/>
    <s v="Bhubaneswar"/>
    <n v="127488"/>
    <s v="02-09-2023"/>
    <n v="1.3"/>
    <n v="2.1"/>
    <x v="2"/>
    <s v="EMP0195"/>
  </r>
  <r>
    <x v="224"/>
    <s v="Bikash Jena"/>
    <s v="female"/>
    <x v="1"/>
    <s v="Design"/>
    <s v="UX Researcher"/>
    <s v="BlueLotus IT"/>
    <s v="Bhubaneswar"/>
    <n v="138000"/>
    <s v="06-01-2023"/>
    <n v="2"/>
    <n v="1.7"/>
    <x v="2"/>
    <s v="EMP0148"/>
  </r>
  <r>
    <x v="225"/>
    <s v="Tapas Behura"/>
    <s v="female"/>
    <x v="7"/>
    <s v="Marketing"/>
    <s v="Content Strategist"/>
    <s v="SilverByte Systems"/>
    <s v="Cuttack"/>
    <n v="29023"/>
    <s v="23-07-2021"/>
    <n v="3.4"/>
    <n v="1.8"/>
    <x v="2"/>
    <s v="EMP0183"/>
  </r>
  <r>
    <x v="226"/>
    <s v="Namita Tripathy"/>
    <s v="female"/>
    <x v="4"/>
    <s v="Product"/>
    <s v="Associate PM"/>
    <s v="NilGiri Digitals"/>
    <s v="Berhampur"/>
    <n v="178207"/>
    <s v="31-10-2023"/>
    <n v="1.2"/>
    <n v="3.5"/>
    <x v="2"/>
    <s v="EMP0056"/>
  </r>
  <r>
    <x v="227"/>
    <s v="Ranjit Nanda"/>
    <s v="F"/>
    <x v="6"/>
    <s v="Data Science"/>
    <s v="ML Engineer"/>
    <s v="TributeAI"/>
    <s v="Bhubaneswar"/>
    <n v="146717"/>
    <s v="08-07-2019"/>
    <n v="5.5"/>
    <n v="1.7"/>
    <x v="3"/>
    <s v="EMP0144"/>
  </r>
  <r>
    <x v="228"/>
    <s v="Debasmita Behura"/>
    <s v="male"/>
    <x v="1"/>
    <s v="Design"/>
    <s v="UI Designer"/>
    <s v="TechNova Solutions"/>
    <s v="Puri"/>
    <n v="61180"/>
    <s v="20-06-2023"/>
    <n v="1.5"/>
    <n v="2"/>
    <x v="3"/>
    <s v="EMP0051"/>
  </r>
  <r>
    <x v="229"/>
    <s v="Rajan Choudhury"/>
    <s v="female"/>
    <x v="4"/>
    <s v="Product"/>
    <s v="Product Owner"/>
    <s v="TributeAI"/>
    <s v="Berhampur"/>
    <n v="133179"/>
    <s v="2023-05-15"/>
    <n v="1.6"/>
    <n v="3.7"/>
    <x v="2"/>
    <s v="EMP0006"/>
  </r>
  <r>
    <x v="230"/>
    <s v="Amlan Biswal"/>
    <s v="M"/>
    <x v="2"/>
    <s v="Engineering"/>
    <s v="Junior Developer"/>
    <s v="SambalpurNet"/>
    <s v="Rourkela"/>
    <n v="183033"/>
    <s v="01-09-2022"/>
    <n v="2.2999999999999998"/>
    <n v="2.9"/>
    <x v="2"/>
    <s v="EMP0022"/>
  </r>
  <r>
    <x v="231"/>
    <s v="Satyajit Ratha"/>
    <s v="M"/>
    <x v="8"/>
    <s v="Qa"/>
    <s v="QA Engineer"/>
    <s v="TributeAI"/>
    <s v="Bhubaneswar"/>
    <n v="37827"/>
    <s v="27-02-2018"/>
    <n v="6.8"/>
    <n v="1.5"/>
    <x v="3"/>
    <s v="EMP0068"/>
  </r>
  <r>
    <x v="232"/>
    <s v="Chinmaya Sahu"/>
    <s v="male"/>
    <x v="0"/>
    <s v="Devops"/>
    <s v="Sr DevOps"/>
    <s v="ZeroOneSystems"/>
    <s v="Bhubaneswar"/>
    <n v="147504"/>
    <s v="03-06-2022"/>
    <n v="2.6"/>
    <n v="4"/>
    <x v="2"/>
    <s v="EMP0159"/>
  </r>
  <r>
    <x v="233"/>
    <s v="Soumya Pattnaik"/>
    <s v="female"/>
    <x v="1"/>
    <s v="Design"/>
    <s v="UI Designer"/>
    <s v="TributeAI"/>
    <s v="Berhampur"/>
    <n v="85041"/>
    <s v="08-01-2020"/>
    <n v="5"/>
    <n v="4.5"/>
    <x v="2"/>
    <s v="EMP0053"/>
  </r>
  <r>
    <x v="234"/>
    <s v="Tanmay Behura"/>
    <s v="M"/>
    <x v="3"/>
    <s v="Sales"/>
    <s v="Sales Manager"/>
    <s v="ZeroOneSystems"/>
    <s v="Bhubaneswar"/>
    <n v="107744"/>
    <s v="23-10-2020"/>
    <n v="4.2"/>
    <n v="4.3"/>
    <x v="2"/>
    <s v="EMP0100"/>
  </r>
  <r>
    <x v="235"/>
    <s v="Lipsa Sahu"/>
    <s v="female"/>
    <x v="1"/>
    <s v="Design"/>
    <s v="UI Designer"/>
    <s v="KalingaTech Pvt Ltd"/>
    <s v="Bhubaneswar"/>
    <n v="106396"/>
    <s v="13-01-2019"/>
    <n v="6"/>
    <n v="3.1"/>
    <x v="2"/>
    <s v="EMP0020"/>
  </r>
  <r>
    <x v="236"/>
    <s v="Amlan Senapati"/>
    <s v="F"/>
    <x v="9"/>
    <s v="Finance"/>
    <s v="Finance Analyst"/>
    <s v="NilGiri Digitals"/>
    <s v="Puri"/>
    <n v="115237"/>
    <s v="18-12-2020"/>
    <n v="4"/>
    <n v="2.9"/>
    <x v="3"/>
    <s v="EMP0106"/>
  </r>
  <r>
    <x v="237"/>
    <s v="Tapas Prusty"/>
    <s v="female"/>
    <x v="5"/>
    <s v="Hr"/>
    <s v="Talent Acquisition"/>
    <s v="TechNova Solutions"/>
    <s v="Berhampur"/>
    <n v="207018"/>
    <s v="02-04-2021"/>
    <n v="3.8"/>
    <n v="2.8"/>
    <x v="2"/>
    <s v="EMP0129"/>
  </r>
  <r>
    <x v="238"/>
    <s v="Alka Pattnaik"/>
    <s v="F"/>
    <x v="6"/>
    <s v="Data Science"/>
    <s v="Data Scientist"/>
    <s v="CoastalDev Studio"/>
    <s v="Bhubaneswar"/>
    <n v="93086"/>
    <s v="15-08-2019"/>
    <n v="5.4"/>
    <n v="2.6"/>
    <x v="2"/>
    <s v="EMP0187"/>
  </r>
  <r>
    <x v="239"/>
    <s v="Namita Dhal"/>
    <s v="F"/>
    <x v="1"/>
    <s v="Design"/>
    <s v="Design Lead"/>
    <s v="UtkalSoft Technologies"/>
    <s v="Bhubaneswar"/>
    <n v="29188"/>
    <s v="07-08-2023"/>
    <n v="1.4"/>
    <n v="3.9"/>
    <x v="3"/>
    <s v="EMP0153"/>
  </r>
  <r>
    <x v="240"/>
    <s v="Tapas Parida"/>
    <s v="female"/>
    <x v="4"/>
    <s v="Product"/>
    <s v="Associate PM"/>
    <s v="SambalpurNet"/>
    <s v="Bhubaneswar"/>
    <n v="32539"/>
    <s v="01-04-2022"/>
    <n v="2.8"/>
    <n v="3.6"/>
    <x v="3"/>
    <s v="EMP0202"/>
  </r>
  <r>
    <x v="241"/>
    <s v="Rajan Behura"/>
    <s v="male"/>
    <x v="8"/>
    <s v="Qa"/>
    <s v="Test Analyst"/>
    <s v="OdishaCode Labs"/>
    <s v="Bhubaneswar"/>
    <n v="107162"/>
    <s v="04-06-2022"/>
    <n v="2.6"/>
    <n v="2.4"/>
    <x v="1"/>
    <s v="EMP0223"/>
  </r>
  <r>
    <x v="242"/>
    <s v="Tanmay Nanda"/>
    <s v="M"/>
    <x v="7"/>
    <s v="Marketing"/>
    <s v="Content Strategist"/>
    <s v="CoastalDev Studio"/>
    <s v="Cuttack"/>
    <n v="30456"/>
    <s v="02-06-2022"/>
    <n v="2.6"/>
    <n v="2"/>
    <x v="2"/>
    <s v="EMP0203"/>
  </r>
  <r>
    <x v="243"/>
    <s v="Puspita Nanda"/>
    <s v="female"/>
    <x v="3"/>
    <s v="Sales"/>
    <s v="Account Manager"/>
    <s v="UtkalSoft Technologies"/>
    <s v="Berhampur"/>
    <n v="212941"/>
    <s v="16-08-2018"/>
    <n v="6.4"/>
    <n v="4.4000000000000004"/>
    <x v="1"/>
    <s v="EMP0028"/>
  </r>
  <r>
    <x v="244"/>
    <s v="Amlan Choudhury"/>
    <s v="male"/>
    <x v="6"/>
    <s v="Data Science"/>
    <s v="BI Developer"/>
    <s v="SambalpurNet"/>
    <s v="Bhubaneswar"/>
    <n v="145462"/>
    <s v="30-08-2022"/>
    <n v="2.2999999999999998"/>
    <n v="2.1"/>
    <x v="3"/>
    <s v="EMP0228"/>
  </r>
  <r>
    <x v="245"/>
    <s v="Tanmay Tripathy"/>
    <s v="female"/>
    <x v="9"/>
    <s v="Finance"/>
    <s v="Accountant"/>
    <s v="ZeroOneSystems"/>
    <s v="Bhubaneswar"/>
    <n v="90829"/>
    <s v="18-10-2023"/>
    <n v="1.2"/>
    <n v="4"/>
    <x v="2"/>
    <s v="EMP0122"/>
  </r>
  <r>
    <x v="246"/>
    <s v="Nirmal Tripathy"/>
    <s v="female"/>
    <x v="7"/>
    <s v="Marketing"/>
    <s v="Brand Manager"/>
    <s v="TechNova Solutions"/>
    <s v="Rourkela"/>
    <n v="128917"/>
    <s v="13-05-2023"/>
    <n v="1.6"/>
    <m/>
    <x v="3"/>
    <s v="EMP0033"/>
  </r>
  <r>
    <x v="247"/>
    <s v="Sudhansu Biswal"/>
    <s v="male"/>
    <x v="6"/>
    <s v="Data Science"/>
    <s v="BI Developer"/>
    <s v="UtkalSoft Technologies"/>
    <s v="Puri"/>
    <n v="182705"/>
    <s v="20-09-2022"/>
    <n v="2.2999999999999998"/>
    <m/>
    <x v="2"/>
    <s v="EMP0064"/>
  </r>
  <r>
    <x v="248"/>
    <s v="Sangita Samal"/>
    <s v="female"/>
    <x v="4"/>
    <s v="Product"/>
    <s v="Associate PM"/>
    <s v="TechNova Solutions"/>
    <s v="Bhubaneswar"/>
    <n v="140721"/>
    <s v="04-10-2018"/>
    <n v="6.2"/>
    <n v="2.1"/>
    <x v="3"/>
    <s v="EMP0166"/>
  </r>
  <r>
    <x v="249"/>
    <s v="Satyajit Choudhury"/>
    <s v="female"/>
    <x v="3"/>
    <s v="Sales"/>
    <s v="Account Manager"/>
    <s v="CoastalDev Studio"/>
    <s v="Bhubaneswar"/>
    <n v="91647"/>
    <s v="04-04-2024"/>
    <n v="0.7"/>
    <n v="2"/>
    <x v="3"/>
    <s v="EMP0095"/>
  </r>
  <r>
    <x v="250"/>
    <s v="Nirmal Samal"/>
    <s v="female"/>
    <x v="1"/>
    <s v="Design"/>
    <s v="UI Designer"/>
    <s v="CoastalDev Studio"/>
    <s v="Cuttack"/>
    <m/>
    <s v="12-09-2019"/>
    <n v="5.3"/>
    <n v="3.4"/>
    <x v="3"/>
    <s v="EMP0046"/>
  </r>
  <r>
    <x v="251"/>
    <s v="Alka Behura"/>
    <s v="female"/>
    <x v="1"/>
    <s v="Design"/>
    <s v="Design Lead"/>
    <s v="UtkalSoft Technologies"/>
    <s v="Puri"/>
    <n v="93662"/>
    <s v="05-03-2020"/>
    <n v="4.8"/>
    <n v="4.7"/>
    <x v="3"/>
    <s v="EMP0105"/>
  </r>
  <r>
    <x v="252"/>
    <s v="Subhasree Padhi"/>
    <s v="male"/>
    <x v="4"/>
    <s v="Product"/>
    <s v="Associate PM"/>
    <s v="KalingaTech Pvt Ltd"/>
    <s v="Berhampur"/>
    <n v="90707"/>
    <s v="19-05-2018"/>
    <n v="6.6"/>
    <n v="2"/>
    <x v="1"/>
    <s v="EMP0063"/>
  </r>
  <r>
    <x v="253"/>
    <s v="Ranjit Biswal"/>
    <s v="M"/>
    <x v="9"/>
    <s v="Finance"/>
    <s v="CFO"/>
    <s v="NilGiri Digitals"/>
    <s v="Bhubaneswar"/>
    <n v="27922"/>
    <s v="21-01-2024"/>
    <n v="0.9"/>
    <n v="2.9"/>
    <x v="2"/>
    <s v="EMP0210"/>
  </r>
  <r>
    <x v="254"/>
    <s v="Sudhansu Mohapatra"/>
    <s v="male"/>
    <x v="1"/>
    <s v="Design"/>
    <s v="UI Designer"/>
    <s v="BlueLotus IT"/>
    <s v="Puri"/>
    <m/>
    <s v="07-01-2018"/>
    <n v="7"/>
    <n v="3.7"/>
    <x v="3"/>
    <s v="EMP0211"/>
  </r>
  <r>
    <x v="255"/>
    <s v="Namita Prusty"/>
    <s v="F"/>
    <x v="4"/>
    <s v="Product"/>
    <s v="Product Manager"/>
    <s v="TributeAI"/>
    <s v="Cuttack"/>
    <n v="181886"/>
    <s v="23-02-2024"/>
    <n v="0.9"/>
    <n v="2.8"/>
    <x v="2"/>
    <s v="EMP0202"/>
  </r>
  <r>
    <x v="256"/>
    <s v="Sudhansu Ratha"/>
    <s v="female"/>
    <x v="6"/>
    <s v="Data Science"/>
    <s v="Data Scientist"/>
    <s v="KalingaTech Pvt Ltd"/>
    <s v="Bhubaneswar"/>
    <n v="73853"/>
    <s v="09-06-2024"/>
    <n v="0.6"/>
    <n v="2.2999999999999998"/>
    <x v="2"/>
    <s v="EMP0076"/>
  </r>
  <r>
    <x v="257"/>
    <s v="Subhasree Senapati"/>
    <s v="male"/>
    <x v="9"/>
    <s v="Finance"/>
    <s v="Finance Analyst"/>
    <s v="BlueLotus IT"/>
    <s v="Bhubaneswar"/>
    <n v="115955"/>
    <s v="26-04-2020"/>
    <n v="4.7"/>
    <n v="3.7"/>
    <x v="2"/>
    <s v="EMP0148"/>
  </r>
  <r>
    <x v="258"/>
    <s v="Tanmay Senapati"/>
    <s v="female"/>
    <x v="8"/>
    <s v="Qa"/>
    <s v="QA Engineer"/>
    <s v="BlueLotus IT"/>
    <s v="Bhubaneswar"/>
    <m/>
    <s v="23-04-2023"/>
    <n v="1.7"/>
    <n v="3"/>
    <x v="1"/>
    <s v="EMP0245"/>
  </r>
  <r>
    <x v="259"/>
    <s v="Satyajit Mishra"/>
    <s v="male"/>
    <x v="0"/>
    <s v="Devops"/>
    <s v="Cloud Architect"/>
    <s v="BlueLotus IT"/>
    <s v="Puri"/>
    <n v="65721"/>
    <s v="06-08-2022"/>
    <n v="2.4"/>
    <n v="3.5"/>
    <x v="3"/>
    <s v="EMP0163"/>
  </r>
  <r>
    <x v="260"/>
    <s v="Lipsa Nanda"/>
    <s v="male"/>
    <x v="5"/>
    <s v="Hr"/>
    <s v="HR Manager"/>
    <s v="SambalpurNet"/>
    <s v="Cuttack"/>
    <n v="91697"/>
    <s v="13-12-2022"/>
    <n v="2.1"/>
    <n v="3.3"/>
    <x v="1"/>
    <s v="EMP0231"/>
  </r>
  <r>
    <x v="261"/>
    <s v="Jyotirmayee Sahoo"/>
    <s v="F"/>
    <x v="1"/>
    <s v="Design"/>
    <s v="Visual Designer"/>
    <s v="ZeroOneSystems"/>
    <s v="Bhubaneswar"/>
    <n v="179557"/>
    <s v="02-01-2024"/>
    <n v="1"/>
    <n v="2.4"/>
    <x v="3"/>
    <s v="EMP0200"/>
  </r>
  <r>
    <x v="262"/>
    <s v="Abhishek Tripathy"/>
    <s v="F"/>
    <x v="1"/>
    <s v="Design"/>
    <s v="Design Lead"/>
    <s v="KalingaTech Pvt Ltd"/>
    <s v="Berhampur"/>
    <n v="74089"/>
    <s v="02-12-2022"/>
    <n v="2.1"/>
    <n v="1.8"/>
    <x v="2"/>
    <s v="EMP0260"/>
  </r>
  <r>
    <x v="263"/>
    <s v="Prasant Choudhury"/>
    <s v="female"/>
    <x v="3"/>
    <s v="Sales"/>
    <s v="Business Developer"/>
    <s v="TributeAI"/>
    <s v="Bhubaneswar"/>
    <n v="170703"/>
    <s v="28-10-2023"/>
    <n v="1.2"/>
    <n v="2.8"/>
    <x v="1"/>
    <s v="EMP0114"/>
  </r>
  <r>
    <x v="264"/>
    <s v="Tapas Sahoo"/>
    <s v="M"/>
    <x v="2"/>
    <s v="Engineering"/>
    <s v="Junior Developer"/>
    <s v="InfySoft Bhubaneswar"/>
    <s v="Rourkela"/>
    <n v="82577"/>
    <s v="07-12-2021"/>
    <n v="3.1"/>
    <n v="3"/>
    <x v="2"/>
    <s v="EMP0165"/>
  </r>
  <r>
    <x v="265"/>
    <s v="Priyanka Ratha"/>
    <s v="male"/>
    <x v="7"/>
    <s v="Marketing"/>
    <s v="Content Strategist"/>
    <s v="KalingaTech Pvt Ltd"/>
    <s v="Cuttack"/>
    <n v="43388"/>
    <s v="07-04-2023"/>
    <n v="1.7"/>
    <n v="2"/>
    <x v="1"/>
    <s v="EMP0120"/>
  </r>
  <r>
    <x v="266"/>
    <s v="Sudhansu Mishra"/>
    <s v="female"/>
    <x v="1"/>
    <s v="Design"/>
    <s v="Visual Designer"/>
    <s v="SilverByte Systems"/>
    <s v="Bhubaneswar"/>
    <n v="208868"/>
    <s v="09-07-2021"/>
    <n v="3.5"/>
    <n v="4.4000000000000004"/>
    <x v="3"/>
    <s v="EMP0011"/>
  </r>
  <r>
    <x v="267"/>
    <s v="Chinmaya Senapati"/>
    <s v="F"/>
    <x v="8"/>
    <s v="Qa"/>
    <s v="QA Engineer"/>
    <s v="UtkalSoft Technologies"/>
    <s v="Berhampur"/>
    <n v="172309"/>
    <s v="25-08-2021"/>
    <n v="3.4"/>
    <n v="3.3"/>
    <x v="1"/>
    <s v="EMP0075"/>
  </r>
  <r>
    <x v="268"/>
    <s v="Soumya Jena"/>
    <s v="F"/>
    <x v="3"/>
    <s v="Sales"/>
    <s v="Sales Manager"/>
    <s v="ZeroOneSystems"/>
    <s v="Berhampur"/>
    <n v="147528"/>
    <s v="2023-10-13"/>
    <n v="1.2"/>
    <n v="4.5"/>
    <x v="2"/>
    <s v="EMP0211"/>
  </r>
  <r>
    <x v="269"/>
    <s v="Puspita Tripathy"/>
    <s v="male"/>
    <x v="5"/>
    <s v="Hr"/>
    <s v="HR Manager"/>
    <s v="BlueLotus IT"/>
    <s v="Bhubaneswar"/>
    <n v="170324"/>
    <s v="12-04-2021"/>
    <n v="3.7"/>
    <n v="2.8"/>
    <x v="2"/>
    <s v="EMP0228"/>
  </r>
  <r>
    <x v="270"/>
    <s v="Rajan Senapati"/>
    <s v="female"/>
    <x v="7"/>
    <s v="Marketing"/>
    <s v="Brand Manager"/>
    <s v="SambalpurNet"/>
    <s v="Bhubaneswar"/>
    <n v="21478"/>
    <s v="14-12-2022"/>
    <n v="2.1"/>
    <n v="4"/>
    <x v="3"/>
    <s v="EMP0076"/>
  </r>
  <r>
    <x v="271"/>
    <s v="Prasant Padhi"/>
    <s v="M"/>
    <x v="0"/>
    <s v="Devops"/>
    <s v="SRE"/>
    <s v="SilverByte Systems"/>
    <s v="Bhubaneswar"/>
    <n v="79466"/>
    <s v="18-11-2018"/>
    <n v="6.1"/>
    <n v="3"/>
    <x v="2"/>
    <s v="EMP0035"/>
  </r>
  <r>
    <x v="272"/>
    <s v="Soumya Tripathy"/>
    <s v="male"/>
    <x v="9"/>
    <s v="Finance"/>
    <s v="CFO"/>
    <s v="ZeroOneSystems"/>
    <s v="Cuttack"/>
    <n v="146777"/>
    <s v="17-03-2024"/>
    <n v="0.8"/>
    <n v="4.5999999999999996"/>
    <x v="1"/>
    <s v="EMP0236"/>
  </r>
  <r>
    <x v="273"/>
    <s v="Puspita Padhi"/>
    <s v="male"/>
    <x v="4"/>
    <s v="Product"/>
    <s v="Product Owner"/>
    <s v="BlueLotus IT"/>
    <s v="Bhubaneswar"/>
    <n v="129225"/>
    <s v="10-01-2018"/>
    <n v="7"/>
    <n v="4.0999999999999996"/>
    <x v="2"/>
    <s v="EMP0245"/>
  </r>
  <r>
    <x v="274"/>
    <s v="Soumya Sahoo"/>
    <s v="M"/>
    <x v="1"/>
    <s v="Design"/>
    <s v="UI Designer"/>
    <s v="BlueLotus IT"/>
    <s v="Bhubaneswar"/>
    <n v="190115"/>
    <s v="02-08-2022"/>
    <n v="2.4"/>
    <n v="3.1"/>
    <x v="2"/>
    <s v="EMP0066"/>
  </r>
  <r>
    <x v="275"/>
    <s v="Rajan Samal"/>
    <s v="female"/>
    <x v="6"/>
    <s v="Data Science"/>
    <s v="Data Analyst"/>
    <s v="OdishaCode Labs"/>
    <s v="Berhampur"/>
    <n v="123180"/>
    <s v="28-09-2021"/>
    <n v="3.3"/>
    <n v="3.5"/>
    <x v="1"/>
    <s v="EMP0080"/>
  </r>
  <r>
    <x v="276"/>
    <s v="Satyajit Senapati"/>
    <s v="male"/>
    <x v="4"/>
    <s v="Product"/>
    <s v="Product Manager"/>
    <s v="ZeroOneSystems"/>
    <s v="Cuttack"/>
    <m/>
    <s v="12-10-2022"/>
    <n v="2.2000000000000002"/>
    <n v="3.5"/>
    <x v="1"/>
    <s v="EMP0191"/>
  </r>
  <r>
    <x v="277"/>
    <s v="Subhasree Samal"/>
    <s v="F"/>
    <x v="4"/>
    <s v="Product"/>
    <s v="Product Owner"/>
    <s v="SilverByte Systems"/>
    <s v="Bhubaneswar"/>
    <n v="206549"/>
    <s v="15-10-2023"/>
    <n v="1.2"/>
    <n v="3"/>
    <x v="2"/>
    <s v="EMP0102"/>
  </r>
  <r>
    <x v="278"/>
    <s v="Tanmay Mishra"/>
    <s v="male"/>
    <x v="2"/>
    <s v="Engineering"/>
    <s v="Software Engineer"/>
    <s v="ZeroOneSystems"/>
    <s v="Rourkela"/>
    <n v="88679"/>
    <s v="28-12-2021"/>
    <n v="3"/>
    <n v="2.4"/>
    <x v="2"/>
    <s v="EMP0149"/>
  </r>
  <r>
    <x v="279"/>
    <s v="Tanmay Jena"/>
    <s v="male"/>
    <x v="5"/>
    <s v="Hr"/>
    <s v="HR Executive"/>
    <s v="BlueLotus IT"/>
    <s v="Bhubaneswar"/>
    <n v="54125"/>
    <s v="2023-12-24"/>
    <n v="1"/>
    <n v="4.0999999999999996"/>
    <x v="1"/>
    <s v="EMP0034"/>
  </r>
  <r>
    <x v="280"/>
    <s v="Ranjit Ratha"/>
    <s v="M"/>
    <x v="1"/>
    <s v="Design"/>
    <s v="UX Researcher"/>
    <s v="SilverByte Systems"/>
    <s v="Rourkela"/>
    <n v="76976"/>
    <s v="2022-01-13"/>
    <n v="3"/>
    <n v="3.7"/>
    <x v="2"/>
    <s v="EMP0270"/>
  </r>
  <r>
    <x v="281"/>
    <s v="Smita Mohapatra"/>
    <s v="male"/>
    <x v="4"/>
    <s v="Product"/>
    <s v="Associate PM"/>
    <s v="SambalpurNet"/>
    <s v="Bhubaneswar"/>
    <n v="67428"/>
    <s v="22-07-2022"/>
    <n v="2.4"/>
    <n v="3.3"/>
    <x v="2"/>
    <s v="EMP0220"/>
  </r>
  <r>
    <x v="282"/>
    <s v="Aditya Ratha"/>
    <s v="M"/>
    <x v="1"/>
    <s v="Design"/>
    <s v="Design Lead"/>
    <s v="TechNova Solutions"/>
    <s v="Cuttack"/>
    <n v="21362"/>
    <s v="2021-02-02"/>
    <n v="3.9"/>
    <n v="3.8"/>
    <x v="2"/>
    <s v="EMP0022"/>
  </r>
  <r>
    <x v="283"/>
    <s v="Tanmay Samal"/>
    <s v="M"/>
    <x v="4"/>
    <s v="Product"/>
    <s v="Product Manager"/>
    <s v="NilGiri Digitals"/>
    <s v="Berhampur"/>
    <n v="194576"/>
    <s v="26-05-2024"/>
    <n v="0.6"/>
    <n v="1.6"/>
    <x v="3"/>
    <s v="EMP0197"/>
  </r>
  <r>
    <x v="284"/>
    <s v="Barsha Behura"/>
    <s v="female"/>
    <x v="1"/>
    <s v="Design"/>
    <s v="Visual Designer"/>
    <s v="SambalpurNet"/>
    <s v="Bhubaneswar"/>
    <n v="149194"/>
    <s v="05-09-2023"/>
    <n v="1.3"/>
    <n v="4.7"/>
    <x v="2"/>
    <s v="EMP0202"/>
  </r>
  <r>
    <x v="285"/>
    <s v="Rajan Mahapatra"/>
    <s v="M"/>
    <x v="5"/>
    <s v="Hr"/>
    <s v="HR Executive"/>
    <s v="KalingaTech Pvt Ltd"/>
    <s v="Rourkela"/>
    <n v="121017"/>
    <s v="03-02-2019"/>
    <n v="5.9"/>
    <n v="3.3"/>
    <x v="2"/>
    <s v="EMP0121"/>
  </r>
  <r>
    <x v="286"/>
    <s v="Sangita Senapati"/>
    <s v="female"/>
    <x v="4"/>
    <s v="Product"/>
    <s v="Product Owner"/>
    <s v="TributeAI"/>
    <s v="Bhubaneswar"/>
    <n v="100208"/>
    <s v="11-10-2020"/>
    <n v="4.2"/>
    <n v="1.6"/>
    <x v="2"/>
    <s v="EMP0018"/>
  </r>
  <r>
    <x v="287"/>
    <s v="Satyajit Samal"/>
    <s v="F"/>
    <x v="2"/>
    <s v="Engineering"/>
    <s v="Architect"/>
    <s v="UtkalSoft Technologies"/>
    <s v="Bhubaneswar"/>
    <n v="118155"/>
    <s v="10-11-2019"/>
    <n v="5.0999999999999996"/>
    <n v="1.9"/>
    <x v="2"/>
    <s v="EMP0193"/>
  </r>
  <r>
    <x v="288"/>
    <s v="Priyanka Tripathy"/>
    <s v="male"/>
    <x v="7"/>
    <s v="Marketing"/>
    <s v="Content Strategist"/>
    <s v="SilverByte Systems"/>
    <s v="Bhubaneswar"/>
    <n v="20810"/>
    <s v="15-08-2023"/>
    <n v="1.4"/>
    <n v="4.5999999999999996"/>
    <x v="2"/>
    <s v="EMP0274"/>
  </r>
  <r>
    <x v="289"/>
    <s v="Abhishek Mohapatra"/>
    <s v="F"/>
    <x v="6"/>
    <s v="Data Science"/>
    <s v="ML Engineer"/>
    <s v="CoastalDev Studio"/>
    <s v="Puri"/>
    <n v="54488"/>
    <s v="28-01-2019"/>
    <n v="5.9"/>
    <n v="1.9"/>
    <x v="2"/>
    <s v="EMP0167"/>
  </r>
  <r>
    <x v="290"/>
    <s v="Rajan Routray"/>
    <s v="female"/>
    <x v="1"/>
    <s v="Design"/>
    <s v="UI Designer"/>
    <s v="OdishaCode Labs"/>
    <s v="Bhubaneswar"/>
    <n v="103184"/>
    <s v="06-06-2019"/>
    <n v="5.6"/>
    <n v="3.6"/>
    <x v="2"/>
    <s v="EMP0203"/>
  </r>
  <r>
    <x v="291"/>
    <s v="Alka Tripathy"/>
    <s v="female"/>
    <x v="1"/>
    <s v="Design"/>
    <s v="Visual Designer"/>
    <s v="ZeroOneSystems"/>
    <s v="Rourkela"/>
    <n v="130185"/>
    <s v="29-04-2024"/>
    <n v="0.7"/>
    <n v="3.7"/>
    <x v="2"/>
    <s v="EMP0062"/>
  </r>
  <r>
    <x v="292"/>
    <s v="Amlan Behura"/>
    <s v="F"/>
    <x v="8"/>
    <s v="Qa"/>
    <s v="Test Analyst"/>
    <s v="TechNova Solutions"/>
    <s v="Berhampur"/>
    <n v="74105"/>
    <s v="17-04-2022"/>
    <n v="2.7"/>
    <n v="4.4000000000000004"/>
    <x v="2"/>
    <s v="EMP0130"/>
  </r>
  <r>
    <x v="293"/>
    <s v="Tanmay Pattnaik"/>
    <s v="F"/>
    <x v="4"/>
    <s v="Product"/>
    <s v="Product Manager"/>
    <s v="BlueLotus IT"/>
    <s v="Cuttack"/>
    <n v="75354"/>
    <s v="14-11-2021"/>
    <n v="3.1"/>
    <n v="3.3"/>
    <x v="3"/>
    <s v="EMP0074"/>
  </r>
  <r>
    <x v="294"/>
    <s v="Jyotirmayee Sahoo"/>
    <s v="male"/>
    <x v="4"/>
    <s v="Product"/>
    <s v="Associate PM"/>
    <s v="KalingaTech Pvt Ltd"/>
    <s v="Bhubaneswar"/>
    <n v="187534"/>
    <s v="2019-04-15"/>
    <n v="5.7"/>
    <n v="4.8"/>
    <x v="2"/>
    <s v="EMP0286"/>
  </r>
  <r>
    <x v="295"/>
    <s v="Chinmaya Sahu"/>
    <s v="female"/>
    <x v="3"/>
    <s v="Sales"/>
    <s v="Sales Manager"/>
    <s v="SilverByte Systems"/>
    <s v="Bhubaneswar"/>
    <n v="56851"/>
    <s v="06-10-2020"/>
    <n v="4.2"/>
    <n v="4.8"/>
    <x v="3"/>
    <s v="EMP0085"/>
  </r>
  <r>
    <x v="296"/>
    <s v="Tapas Sahu"/>
    <s v="female"/>
    <x v="3"/>
    <s v="Sales"/>
    <s v="Account Manager"/>
    <s v="NilGiri Digitals"/>
    <s v="Bhubaneswar"/>
    <n v="106185"/>
    <s v="11-01-2021"/>
    <n v="4"/>
    <m/>
    <x v="2"/>
    <s v="EMP0223"/>
  </r>
  <r>
    <x v="297"/>
    <s v="Ankita Dhal"/>
    <s v="male"/>
    <x v="4"/>
    <s v="Product"/>
    <s v="Associate PM"/>
    <s v="BlueLotus IT"/>
    <s v="Berhampur"/>
    <n v="57886"/>
    <s v="29-10-2022"/>
    <n v="2.2000000000000002"/>
    <n v="4.4000000000000004"/>
    <x v="2"/>
    <s v="EMP0274"/>
  </r>
  <r>
    <x v="298"/>
    <s v="Sangita Choudhury"/>
    <s v="male"/>
    <x v="1"/>
    <s v="Design"/>
    <s v="Visual Designer"/>
    <s v="KalingaTech Pvt Ltd"/>
    <s v="Cuttack"/>
    <n v="144943"/>
    <s v="03-08-2019"/>
    <n v="5.4"/>
    <n v="2.7"/>
    <x v="2"/>
    <s v="EMP0206"/>
  </r>
  <r>
    <x v="299"/>
    <s v="Amlan Pattnaik"/>
    <s v="female"/>
    <x v="9"/>
    <s v="Finance"/>
    <s v="CFO"/>
    <s v="UtkalSoft Technologies"/>
    <s v="Cuttack"/>
    <n v="106598"/>
    <s v="2023-04-13"/>
    <n v="1.7"/>
    <n v="2.9"/>
    <x v="2"/>
    <s v="EMP0158"/>
  </r>
  <r>
    <x v="300"/>
    <s v="Debasmita Sahoo"/>
    <s v="female"/>
    <x v="6"/>
    <s v="Data Science"/>
    <s v="Data Analyst"/>
    <s v="SambalpurNet"/>
    <s v="Bhubaneswar"/>
    <n v="100155"/>
    <s v="11-10-2019"/>
    <n v="5.2"/>
    <n v="2.4"/>
    <x v="2"/>
    <s v="EMP0065"/>
  </r>
  <r>
    <x v="301"/>
    <s v="Subhasree Jena"/>
    <s v="male"/>
    <x v="4"/>
    <s v="Product"/>
    <s v="Product Owner"/>
    <s v="BlueLotus IT"/>
    <s v="Puri"/>
    <n v="191704"/>
    <s v="14-04-2021"/>
    <n v="3.7"/>
    <n v="3.4"/>
    <x v="2"/>
    <s v="EMP0235"/>
  </r>
  <r>
    <x v="302"/>
    <s v="Puspita Routray"/>
    <s v="M"/>
    <x v="7"/>
    <s v="Marketing"/>
    <s v="Brand Manager"/>
    <s v="TributeAI"/>
    <s v="Cuttack"/>
    <n v="58653"/>
    <s v="26-06-2023"/>
    <n v="1.5"/>
    <n v="4.5999999999999996"/>
    <x v="2"/>
    <s v="EMP0207"/>
  </r>
  <r>
    <x v="303"/>
    <s v="Nirmal Sahoo"/>
    <s v="female"/>
    <x v="2"/>
    <s v="Engineering"/>
    <s v="Tech Lead"/>
    <s v="SilverByte Systems"/>
    <s v="Berhampur"/>
    <n v="199308"/>
    <s v="16-08-2023"/>
    <n v="1.4"/>
    <n v="2.2000000000000002"/>
    <x v="2"/>
    <s v="EMP0039"/>
  </r>
  <r>
    <x v="304"/>
    <s v="Nirmal Dhal"/>
    <s v="female"/>
    <x v="8"/>
    <s v="Qa"/>
    <s v="QA Engineer"/>
    <s v="BlueLotus IT"/>
    <s v="Cuttack"/>
    <n v="202858"/>
    <s v="21-03-2024"/>
    <n v="0.8"/>
    <n v="2.2999999999999998"/>
    <x v="2"/>
    <s v="EMP0053"/>
  </r>
  <r>
    <x v="305"/>
    <s v="Dibya Biswal"/>
    <s v="female"/>
    <x v="9"/>
    <s v="Finance"/>
    <s v="Accountant"/>
    <s v="KalingaTech Pvt Ltd"/>
    <s v="Puri"/>
    <n v="49819"/>
    <s v="01-10-2022"/>
    <n v="2.2999999999999998"/>
    <n v="1.7"/>
    <x v="2"/>
    <s v="EMP0114"/>
  </r>
  <r>
    <x v="306"/>
    <s v="Jyotirmayee Sahoo"/>
    <s v="M"/>
    <x v="1"/>
    <s v="Design"/>
    <s v="UI Designer"/>
    <s v="TechNova Solutions"/>
    <s v="Rourkela"/>
    <n v="196830"/>
    <s v="14-09-2020"/>
    <n v="4.3"/>
    <n v="3.4"/>
    <x v="2"/>
    <s v="EMP0185"/>
  </r>
  <r>
    <x v="307"/>
    <s v="Alka Nanda"/>
    <s v="M"/>
    <x v="1"/>
    <s v="Design"/>
    <s v="UI Designer"/>
    <s v="InfySoft Bhubaneswar"/>
    <s v="Bhubaneswar"/>
    <n v="104114"/>
    <s v="11-08-2023"/>
    <n v="1.4"/>
    <n v="2.1"/>
    <x v="3"/>
    <s v="EMP0195"/>
  </r>
  <r>
    <x v="308"/>
    <s v="Rajan Pattnaik"/>
    <s v="male"/>
    <x v="0"/>
    <s v="Devops"/>
    <s v="Sr DevOps"/>
    <s v="OdishaCode Labs"/>
    <s v="Rourkela"/>
    <n v="117880"/>
    <s v="24-06-2019"/>
    <n v="5.5"/>
    <n v="4.7"/>
    <x v="2"/>
    <s v="EMP0054"/>
  </r>
  <r>
    <x v="309"/>
    <s v="Nirmal Routray"/>
    <s v="male"/>
    <x v="3"/>
    <s v="Sales"/>
    <s v="Business Developer"/>
    <s v="SilverByte Systems"/>
    <s v="Rourkela"/>
    <n v="101994"/>
    <s v="24-09-2018"/>
    <n v="6.3"/>
    <n v="2.5"/>
    <x v="2"/>
    <s v="EMP0166"/>
  </r>
  <r>
    <x v="310"/>
    <s v="Dibya Tripathy"/>
    <s v="female"/>
    <x v="5"/>
    <s v="Hr"/>
    <s v="HR Executive"/>
    <s v="CoastalDev Studio"/>
    <s v="Cuttack"/>
    <n v="196624"/>
    <s v="21-09-2018"/>
    <n v="6.3"/>
    <m/>
    <x v="1"/>
    <s v="EMP0245"/>
  </r>
  <r>
    <x v="311"/>
    <s v="Sangita Mishra"/>
    <s v="F"/>
    <x v="9"/>
    <s v="Finance"/>
    <s v="Accountant"/>
    <s v="InfySoft Bhubaneswar"/>
    <s v="Puri"/>
    <n v="129574"/>
    <s v="22-05-2022"/>
    <n v="2.6"/>
    <n v="4.3"/>
    <x v="2"/>
    <s v="EMP0059"/>
  </r>
  <r>
    <x v="312"/>
    <s v="Abhishek Sahu"/>
    <s v="female"/>
    <x v="6"/>
    <s v="Data Science"/>
    <s v="Data Analyst"/>
    <s v="KalingaTech Pvt Ltd"/>
    <s v="Bhubaneswar"/>
    <n v="21614"/>
    <s v="11-02-2018"/>
    <n v="6.9"/>
    <n v="4.8"/>
    <x v="2"/>
    <s v="EMP0027"/>
  </r>
  <r>
    <x v="313"/>
    <s v="Puspita Parida"/>
    <s v="female"/>
    <x v="0"/>
    <s v="Devops"/>
    <s v="DevOps Engineer"/>
    <s v="ZeroOneSystems"/>
    <s v="Bhubaneswar"/>
    <n v="216959"/>
    <s v="11-03-2021"/>
    <n v="3.8"/>
    <n v="3.3"/>
    <x v="2"/>
    <s v="EMP0230"/>
  </r>
  <r>
    <x v="314"/>
    <s v="Lipsa Padhi"/>
    <s v="F"/>
    <x v="7"/>
    <s v="Marketing"/>
    <s v="Digital Marketer"/>
    <s v="OdishaCode Labs"/>
    <s v="Berhampur"/>
    <n v="41675"/>
    <s v="14-09-2021"/>
    <n v="3.3"/>
    <n v="2"/>
    <x v="2"/>
    <s v="EMP0089"/>
  </r>
  <r>
    <x v="315"/>
    <s v="Puspita Senapati"/>
    <s v="M"/>
    <x v="1"/>
    <s v="Design"/>
    <s v="UI Designer"/>
    <s v="KalingaTech Pvt Ltd"/>
    <s v="Puri"/>
    <n v="154546"/>
    <s v="05-03-2024"/>
    <n v="0.8"/>
    <n v="4.5"/>
    <x v="2"/>
    <s v="EMP0251"/>
  </r>
  <r>
    <x v="316"/>
    <s v="Bikash Behura"/>
    <s v="M"/>
    <x v="8"/>
    <s v="Qa"/>
    <s v="Test Analyst"/>
    <s v="KalingaTech Pvt Ltd"/>
    <s v="Rourkela"/>
    <n v="109813"/>
    <s v="02-08-2018"/>
    <n v="6.4"/>
    <n v="4.3"/>
    <x v="1"/>
    <s v="EMP0089"/>
  </r>
  <r>
    <x v="317"/>
    <s v="Sudhansu Mishra"/>
    <s v="F"/>
    <x v="6"/>
    <s v="Data Science"/>
    <s v="Data Scientist"/>
    <s v="ZeroOneSystems"/>
    <s v="Bhubaneswar"/>
    <n v="215570"/>
    <s v="06-02-2022"/>
    <n v="2.9"/>
    <n v="2.5"/>
    <x v="2"/>
    <s v="EMP0279"/>
  </r>
  <r>
    <x v="318"/>
    <s v="Ankita Pattnaik"/>
    <s v="male"/>
    <x v="2"/>
    <s v="Engineering"/>
    <s v="Software Engineer"/>
    <s v="SambalpurNet"/>
    <s v="Berhampur"/>
    <n v="142649"/>
    <s v="11-08-2018"/>
    <n v="6.4"/>
    <n v="1.9"/>
    <x v="2"/>
    <s v="EMP0049"/>
  </r>
  <r>
    <x v="319"/>
    <s v="Alka Behura"/>
    <s v="male"/>
    <x v="1"/>
    <s v="Design"/>
    <s v="UI Designer"/>
    <s v="KalingaTech Pvt Ltd"/>
    <s v="Cuttack"/>
    <n v="40218"/>
    <s v="16-03-2022"/>
    <n v="2.8"/>
    <n v="3.5"/>
    <x v="2"/>
    <s v="EMP0010"/>
  </r>
  <r>
    <x v="320"/>
    <s v="Bikash Parida"/>
    <s v="female"/>
    <x v="2"/>
    <s v="Engineering"/>
    <s v="Senior Developer"/>
    <s v="BlueLotus IT"/>
    <s v="Cuttack"/>
    <m/>
    <s v="16-11-2022"/>
    <n v="2.1"/>
    <n v="2.1"/>
    <x v="2"/>
    <s v="EMP0028"/>
  </r>
  <r>
    <x v="321"/>
    <s v="Aditya Parida"/>
    <s v="male"/>
    <x v="4"/>
    <s v="Product"/>
    <s v="Associate PM"/>
    <s v="CoastalDev Studio"/>
    <s v="Bhubaneswar"/>
    <n v="64683"/>
    <s v="02-04-2022"/>
    <n v="2.8"/>
    <n v="1.7"/>
    <x v="1"/>
    <s v="EMP0080"/>
  </r>
  <r>
    <x v="322"/>
    <s v="Aditya Sahu"/>
    <s v="male"/>
    <x v="8"/>
    <s v="Qa"/>
    <s v="QA Engineer"/>
    <s v="TributeAI"/>
    <s v="Bhubaneswar"/>
    <n v="81920"/>
    <s v="21-10-2020"/>
    <n v="4.2"/>
    <n v="4.2"/>
    <x v="1"/>
    <s v="EMP0294"/>
  </r>
  <r>
    <x v="323"/>
    <s v="Aditya Sahoo"/>
    <s v="F"/>
    <x v="2"/>
    <s v="Engineering"/>
    <s v="Software Engineer"/>
    <s v="ZeroOneSystems"/>
    <s v="Bhubaneswar"/>
    <n v="146813"/>
    <s v="07-10-2019"/>
    <n v="5.2"/>
    <n v="5"/>
    <x v="2"/>
    <s v="EMP0307"/>
  </r>
  <r>
    <x v="324"/>
    <s v="Alka Mishra"/>
    <s v="male"/>
    <x v="6"/>
    <s v="Data Science"/>
    <s v="ML Engineer"/>
    <s v="TechNova Solutions"/>
    <s v="Cuttack"/>
    <n v="23682"/>
    <s v="31-01-2020"/>
    <n v="4.9000000000000004"/>
    <n v="4.9000000000000004"/>
    <x v="2"/>
    <s v="EMP0246"/>
  </r>
  <r>
    <x v="325"/>
    <s v="Rajan Mishra"/>
    <s v="male"/>
    <x v="1"/>
    <s v="Design"/>
    <s v="UI Designer"/>
    <s v="OdishaCode Labs"/>
    <s v="Rourkela"/>
    <n v="213306"/>
    <s v="09-02-2022"/>
    <n v="2.9"/>
    <n v="3"/>
    <x v="2"/>
    <s v="EMP0042"/>
  </r>
  <r>
    <x v="326"/>
    <s v="Priyanka Choudhury"/>
    <s v="male"/>
    <x v="5"/>
    <s v="Hr"/>
    <s v="HR Executive"/>
    <s v="OdishaCode Labs"/>
    <s v="Cuttack"/>
    <n v="192476"/>
    <s v="14-07-2023"/>
    <n v="1.5"/>
    <n v="3.9"/>
    <x v="2"/>
    <s v="EMP0084"/>
  </r>
  <r>
    <x v="327"/>
    <s v="Tanmay Padhi"/>
    <s v="male"/>
    <x v="5"/>
    <s v="Hr"/>
    <s v="Talent Acquisition"/>
    <s v="TributeAI"/>
    <s v="Bhubaneswar"/>
    <n v="204754"/>
    <s v="18-04-2019"/>
    <n v="5.7"/>
    <n v="4.0999999999999996"/>
    <x v="2"/>
    <s v="EMP0051"/>
  </r>
  <r>
    <x v="328"/>
    <s v="Tanmay Biswal"/>
    <s v="female"/>
    <x v="8"/>
    <s v="Qa"/>
    <s v="QA Lead"/>
    <s v="TechNova Solutions"/>
    <s v="Cuttack"/>
    <n v="180805"/>
    <s v="30-06-2021"/>
    <n v="3.5"/>
    <n v="4.5999999999999996"/>
    <x v="2"/>
    <s v="EMP0226"/>
  </r>
  <r>
    <x v="329"/>
    <s v="Ranjit Dhal"/>
    <s v="F"/>
    <x v="5"/>
    <s v="Hr"/>
    <s v="Talent Acquisition"/>
    <s v="KalingaTech Pvt Ltd"/>
    <s v="Bhubaneswar"/>
    <n v="204255"/>
    <s v="06-08-2022"/>
    <n v="2.4"/>
    <n v="2.6"/>
    <x v="2"/>
    <s v="EMP0028"/>
  </r>
  <r>
    <x v="330"/>
    <s v="Jyotirmayee Mohapatra"/>
    <s v="female"/>
    <x v="6"/>
    <s v="Data Science"/>
    <s v="Data Analyst"/>
    <s v="NilGiri Digitals"/>
    <s v="Bhubaneswar"/>
    <n v="117570"/>
    <s v="01-01-2019"/>
    <n v="6"/>
    <n v="2.9"/>
    <x v="2"/>
    <s v="EMP0019"/>
  </r>
  <r>
    <x v="331"/>
    <s v="Rahul Jena"/>
    <s v="M"/>
    <x v="6"/>
    <s v="Data Science"/>
    <s v="Data Analyst"/>
    <s v="NilGiri Digitals"/>
    <s v="Puri"/>
    <n v="149295"/>
    <s v="07-02-2023"/>
    <n v="1.9"/>
    <n v="4.8"/>
    <x v="2"/>
    <s v="EMP0241"/>
  </r>
  <r>
    <x v="332"/>
    <s v="Tapas Mishra"/>
    <s v="F"/>
    <x v="4"/>
    <s v="Product"/>
    <s v="Product Owner"/>
    <s v="TechNova Solutions"/>
    <s v="Bhubaneswar"/>
    <n v="149292"/>
    <s v="23-07-2021"/>
    <n v="3.4"/>
    <n v="2"/>
    <x v="2"/>
    <s v="EMP0030"/>
  </r>
  <r>
    <x v="333"/>
    <s v="Lipsa Routray"/>
    <s v="female"/>
    <x v="4"/>
    <s v="Product"/>
    <s v="Associate PM"/>
    <s v="SilverByte Systems"/>
    <s v="Rourkela"/>
    <n v="52851"/>
    <s v="13-10-2018"/>
    <n v="6.2"/>
    <n v="2.4"/>
    <x v="2"/>
    <s v="EMP0163"/>
  </r>
  <r>
    <x v="334"/>
    <s v="Rajan Mishra"/>
    <s v="F"/>
    <x v="0"/>
    <s v="Devops"/>
    <s v="Sr DevOps"/>
    <s v="OdishaCode Labs"/>
    <s v="Cuttack"/>
    <n v="30614"/>
    <s v="09-10-2022"/>
    <n v="2.2000000000000002"/>
    <n v="4.5999999999999996"/>
    <x v="2"/>
    <s v="EMP0038"/>
  </r>
  <r>
    <x v="335"/>
    <s v="Ranjit Padhi"/>
    <s v="female"/>
    <x v="4"/>
    <s v="Product"/>
    <s v="Product Manager"/>
    <s v="UtkalSoft Technologies"/>
    <s v="Bhubaneswar"/>
    <n v="138715"/>
    <s v="25-11-2021"/>
    <n v="3.1"/>
    <n v="4"/>
    <x v="1"/>
    <s v="EMP0077"/>
  </r>
  <r>
    <x v="336"/>
    <s v="Subhasree Parida"/>
    <s v="male"/>
    <x v="1"/>
    <s v="Design"/>
    <s v="Design Lead"/>
    <s v="KalingaTech Pvt Ltd"/>
    <s v="Berhampur"/>
    <n v="56042"/>
    <s v="14-08-2020"/>
    <n v="4.4000000000000004"/>
    <n v="3"/>
    <x v="2"/>
    <s v="EMP0298"/>
  </r>
  <r>
    <x v="337"/>
    <s v="Subhasree Pattnaik"/>
    <s v="female"/>
    <x v="1"/>
    <s v="Design"/>
    <s v="Visual Designer"/>
    <s v="TechNova Solutions"/>
    <s v="Bhubaneswar"/>
    <n v="61065"/>
    <s v="03-03-2019"/>
    <n v="5.8"/>
    <n v="3.7"/>
    <x v="2"/>
    <s v="EMP0329"/>
  </r>
  <r>
    <x v="338"/>
    <s v="Amlan Biswal"/>
    <s v="F"/>
    <x v="2"/>
    <s v="Engineering"/>
    <s v="Architect"/>
    <s v="TributeAI"/>
    <s v="Bhubaneswar"/>
    <n v="147073"/>
    <s v="03-01-2024"/>
    <n v="1"/>
    <n v="4.4000000000000004"/>
    <x v="3"/>
    <s v="EMP0165"/>
  </r>
  <r>
    <x v="339"/>
    <s v="Priyanka Biswal"/>
    <s v="F"/>
    <x v="9"/>
    <s v="Finance"/>
    <s v="CFO"/>
    <s v="SilverByte Systems"/>
    <s v="Bhubaneswar"/>
    <n v="158491"/>
    <s v="14-08-2021"/>
    <n v="3.4"/>
    <n v="4.9000000000000004"/>
    <x v="3"/>
    <s v="EMP0146"/>
  </r>
  <r>
    <x v="340"/>
    <s v="Abhishek Behura"/>
    <s v="male"/>
    <x v="4"/>
    <s v="Product"/>
    <s v="Associate PM"/>
    <s v="NilGiri Digitals"/>
    <s v="Bhubaneswar"/>
    <n v="140959"/>
    <s v="15-10-2020"/>
    <n v="4.2"/>
    <n v="3.6"/>
    <x v="2"/>
    <s v="EMP0049"/>
  </r>
  <r>
    <x v="341"/>
    <s v="Sudhansu Choudhury"/>
    <s v="female"/>
    <x v="0"/>
    <s v="Devops"/>
    <s v="Cloud Architect"/>
    <s v="SilverByte Systems"/>
    <s v="Bhubaneswar"/>
    <n v="188030"/>
    <s v="05-06-2023"/>
    <n v="1.6"/>
    <n v="2.6"/>
    <x v="2"/>
    <s v="EMP0003"/>
  </r>
  <r>
    <x v="342"/>
    <s v="Namita Mohapatra"/>
    <s v="male"/>
    <x v="8"/>
    <s v="Qa"/>
    <s v="QA Engineer"/>
    <s v="UtkalSoft Technologies"/>
    <s v="Rourkela"/>
    <n v="130516"/>
    <s v="08-01-2023"/>
    <n v="2"/>
    <n v="1.6"/>
    <x v="1"/>
    <s v="EMP0184"/>
  </r>
  <r>
    <x v="343"/>
    <s v="Tanmay Choudhury"/>
    <s v="female"/>
    <x v="2"/>
    <s v="Engineering"/>
    <s v="Software Engineer"/>
    <s v="TributeAI"/>
    <s v="Cuttack"/>
    <n v="125189"/>
    <s v="05-01-2023"/>
    <n v="2"/>
    <n v="2.9"/>
    <x v="1"/>
    <s v="EMP0026"/>
  </r>
  <r>
    <x v="344"/>
    <s v="Jyotirmayee Sahoo"/>
    <s v="F"/>
    <x v="7"/>
    <s v="Marketing"/>
    <s v="Digital Marketer"/>
    <s v="KalingaTech Pvt Ltd"/>
    <s v="Bhubaneswar"/>
    <n v="146360"/>
    <s v="06-01-2019"/>
    <n v="6"/>
    <n v="4.5"/>
    <x v="2"/>
    <s v="EMP0326"/>
  </r>
  <r>
    <x v="345"/>
    <s v="Debasmita Sahu"/>
    <s v="female"/>
    <x v="9"/>
    <s v="Finance"/>
    <s v="CFO"/>
    <s v="InfySoft Bhubaneswar"/>
    <s v="Puri"/>
    <n v="219373"/>
    <s v="09-08-2018"/>
    <n v="6.4"/>
    <n v="4.3"/>
    <x v="2"/>
    <s v="EMP0063"/>
  </r>
  <r>
    <x v="346"/>
    <s v="Tapas Biswal"/>
    <s v="F"/>
    <x v="5"/>
    <s v="Hr"/>
    <s v="HR Manager"/>
    <s v="TributeAI"/>
    <s v="Cuttack"/>
    <n v="48001"/>
    <s v="19-10-2019"/>
    <n v="5.2"/>
    <n v="4.8"/>
    <x v="2"/>
    <s v="EMP0169"/>
  </r>
  <r>
    <x v="347"/>
    <s v="Rahul Choudhury"/>
    <s v="M"/>
    <x v="2"/>
    <s v="Engineering"/>
    <s v="Senior Developer"/>
    <s v="UtkalSoft Technologies"/>
    <s v="Bhubaneswar"/>
    <n v="170847"/>
    <s v="23-10-2022"/>
    <n v="2.2000000000000002"/>
    <n v="2.1"/>
    <x v="2"/>
    <s v="EMP0060"/>
  </r>
  <r>
    <x v="348"/>
    <s v="Aditya Dhal"/>
    <s v="male"/>
    <x v="4"/>
    <s v="Product"/>
    <s v="Associate PM"/>
    <s v="NilGiri Digitals"/>
    <s v="Bhubaneswar"/>
    <n v="47083"/>
    <s v="16-07-2021"/>
    <n v="3.5"/>
    <n v="2.2999999999999998"/>
    <x v="2"/>
    <s v="EMP0131"/>
  </r>
  <r>
    <x v="349"/>
    <s v="Puspita Mahapatra"/>
    <s v="male"/>
    <x v="0"/>
    <s v="Devops"/>
    <s v="Sr DevOps"/>
    <s v="InfySoft Bhubaneswar"/>
    <s v="Berhampur"/>
    <n v="199069"/>
    <s v="04-12-2020"/>
    <n v="4.0999999999999996"/>
    <n v="3.8"/>
    <x v="2"/>
    <s v="EMP0034"/>
  </r>
  <r>
    <x v="350"/>
    <s v="Bikash Routray"/>
    <s v="male"/>
    <x v="1"/>
    <s v="Design"/>
    <s v="UX Researcher"/>
    <s v="NilGiri Digitals"/>
    <s v="Bhubaneswar"/>
    <n v="63697"/>
    <s v="09-01-2018"/>
    <n v="7"/>
    <n v="3.5"/>
    <x v="2"/>
    <s v="EMP0281"/>
  </r>
  <r>
    <x v="351"/>
    <s v="Alka Sahoo"/>
    <s v="male"/>
    <x v="6"/>
    <s v="Data Science"/>
    <s v="Data Scientist"/>
    <s v="ZeroOneSystems"/>
    <s v="Cuttack"/>
    <n v="88344"/>
    <s v="03-09-2019"/>
    <n v="5.3"/>
    <n v="4"/>
    <x v="2"/>
    <s v="EMP0217"/>
  </r>
  <r>
    <x v="352"/>
    <s v="Rahul Tripathy"/>
    <s v="female"/>
    <x v="0"/>
    <s v="Devops"/>
    <s v="DevOps Engineer"/>
    <s v="TechNova Solutions"/>
    <s v="Bhubaneswar"/>
    <n v="32878"/>
    <s v="29-04-2020"/>
    <n v="4.7"/>
    <n v="1.6"/>
    <x v="2"/>
    <s v="EMP0097"/>
  </r>
  <r>
    <x v="353"/>
    <s v="Priyanka Senapati"/>
    <s v="female"/>
    <x v="4"/>
    <s v="Product"/>
    <s v="Product Owner"/>
    <s v="KalingaTech Pvt Ltd"/>
    <s v="Puri"/>
    <n v="182126"/>
    <s v="01-03-2019"/>
    <n v="5.8"/>
    <n v="2"/>
    <x v="3"/>
    <s v="EMP0065"/>
  </r>
  <r>
    <x v="354"/>
    <s v="Ranjit Pattnaik"/>
    <s v="male"/>
    <x v="9"/>
    <s v="Finance"/>
    <s v="Finance Analyst"/>
    <s v="UtkalSoft Technologies"/>
    <s v="Bhubaneswar"/>
    <n v="160182"/>
    <s v="28-04-2023"/>
    <n v="1.7"/>
    <n v="4.2"/>
    <x v="3"/>
    <s v="EMP0295"/>
  </r>
  <r>
    <x v="355"/>
    <s v="Tapas Biswal"/>
    <s v="female"/>
    <x v="6"/>
    <s v="Data Science"/>
    <s v="ML Engineer"/>
    <s v="UtkalSoft Technologies"/>
    <s v="Berhampur"/>
    <n v="59431"/>
    <s v="26-11-2019"/>
    <n v="5.0999999999999996"/>
    <n v="4.8"/>
    <x v="2"/>
    <s v="EMP0218"/>
  </r>
  <r>
    <x v="356"/>
    <s v="Lipsa Senapati"/>
    <s v="F"/>
    <x v="0"/>
    <s v="Devops"/>
    <s v="DevOps Engineer"/>
    <s v="UtkalSoft Technologies"/>
    <s v="Bhubaneswar"/>
    <n v="181561"/>
    <s v="06-05-2020"/>
    <n v="4.7"/>
    <n v="2.8"/>
    <x v="1"/>
    <s v="EMP0119"/>
  </r>
  <r>
    <x v="357"/>
    <s v="Tapas Samal"/>
    <s v="female"/>
    <x v="4"/>
    <s v="Product"/>
    <s v="Product Owner"/>
    <s v="UtkalSoft Technologies"/>
    <s v="Puri"/>
    <n v="180425"/>
    <s v="23-01-2024"/>
    <n v="0.9"/>
    <m/>
    <x v="2"/>
    <s v="EMP0327"/>
  </r>
  <r>
    <x v="358"/>
    <s v="Prasant Behura"/>
    <s v="F"/>
    <x v="9"/>
    <s v="Finance"/>
    <s v="Finance Analyst"/>
    <s v="SilverByte Systems"/>
    <s v="Berhampur"/>
    <n v="68542"/>
    <s v="27-12-2020"/>
    <n v="4"/>
    <n v="2.6"/>
    <x v="2"/>
    <s v="EMP0161"/>
  </r>
  <r>
    <x v="359"/>
    <s v="Sangita Sahu"/>
    <s v="male"/>
    <x v="2"/>
    <s v="Engineering"/>
    <s v="Tech Lead"/>
    <s v="BlueLotus IT"/>
    <s v="Bhubaneswar"/>
    <n v="122794"/>
    <s v="17-04-2020"/>
    <n v="4.7"/>
    <n v="3.4"/>
    <x v="2"/>
    <s v="EMP0342"/>
  </r>
  <r>
    <x v="360"/>
    <s v="Saurav Samal"/>
    <s v="male"/>
    <x v="0"/>
    <s v="Devops"/>
    <s v="Sr DevOps"/>
    <s v="UtkalSoft Technologies"/>
    <s v="Rourkela"/>
    <n v="205957"/>
    <s v="01-01-2024"/>
    <n v="1"/>
    <n v="3.2"/>
    <x v="1"/>
    <s v="EMP0085"/>
  </r>
  <r>
    <x v="361"/>
    <s v="Namita Choudhury"/>
    <s v="female"/>
    <x v="6"/>
    <s v="Data Science"/>
    <s v="ML Engineer"/>
    <s v="CoastalDev Studio"/>
    <s v="Bhubaneswar"/>
    <n v="82868"/>
    <s v="19-08-2020"/>
    <n v="4.4000000000000004"/>
    <n v="1.6"/>
    <x v="2"/>
    <s v="EMP0196"/>
  </r>
  <r>
    <x v="362"/>
    <s v="Dibya Sahu"/>
    <s v="male"/>
    <x v="2"/>
    <s v="Engineering"/>
    <s v="Software Engineer"/>
    <s v="SilverByte Systems"/>
    <s v="Bhubaneswar"/>
    <n v="36303"/>
    <s v="05-06-2024"/>
    <n v="0.6"/>
    <n v="1.7"/>
    <x v="2"/>
    <s v="EMP0357"/>
  </r>
  <r>
    <x v="363"/>
    <s v="Satyajit Ratha"/>
    <s v="F"/>
    <x v="1"/>
    <s v="Design"/>
    <s v="UI Designer"/>
    <s v="TributeAI"/>
    <s v="Cuttack"/>
    <n v="164732"/>
    <s v="19-02-2020"/>
    <n v="4.9000000000000004"/>
    <n v="1.7"/>
    <x v="2"/>
    <s v="EMP0253"/>
  </r>
  <r>
    <x v="364"/>
    <s v="Saurav Dhal"/>
    <s v="male"/>
    <x v="5"/>
    <s v="Hr"/>
    <s v="Talent Acquisition"/>
    <s v="SilverByte Systems"/>
    <s v="Bhubaneswar"/>
    <n v="181772"/>
    <s v="16-07-2019"/>
    <n v="5.5"/>
    <n v="4.5999999999999996"/>
    <x v="2"/>
    <s v="EMP0190"/>
  </r>
  <r>
    <x v="365"/>
    <s v="Namita Routray"/>
    <s v="M"/>
    <x v="8"/>
    <s v="Qa"/>
    <s v="QA Lead"/>
    <s v="ZeroOneSystems"/>
    <s v="Bhubaneswar"/>
    <n v="78308"/>
    <s v="08-04-2024"/>
    <n v="0.7"/>
    <n v="3.2"/>
    <x v="2"/>
    <s v="EMP0185"/>
  </r>
  <r>
    <x v="366"/>
    <s v="Priyanka Mishra"/>
    <s v="female"/>
    <x v="1"/>
    <s v="Design"/>
    <s v="UI Designer"/>
    <s v="BlueLotus IT"/>
    <s v="Bhubaneswar"/>
    <n v="95687"/>
    <s v="12-12-2022"/>
    <n v="2.1"/>
    <n v="1.9"/>
    <x v="2"/>
    <s v="EMP0231"/>
  </r>
  <r>
    <x v="367"/>
    <s v="Jyotirmayee Pattnaik"/>
    <s v="F"/>
    <x v="7"/>
    <s v="Marketing"/>
    <s v="Brand Manager"/>
    <s v="NilGiri Digitals"/>
    <s v="Puri"/>
    <n v="65299"/>
    <s v="07-08-2021"/>
    <n v="3.4"/>
    <m/>
    <x v="1"/>
    <s v="EMP0051"/>
  </r>
  <r>
    <x v="368"/>
    <s v="Lipsa Prusty"/>
    <s v="female"/>
    <x v="4"/>
    <s v="Product"/>
    <s v="Associate PM"/>
    <s v="SambalpurNet"/>
    <s v="Berhampur"/>
    <n v="168312"/>
    <s v="16-01-2024"/>
    <n v="1"/>
    <n v="4.4000000000000004"/>
    <x v="2"/>
    <s v="EMP0135"/>
  </r>
  <r>
    <x v="369"/>
    <s v="Priyanka Ratha"/>
    <s v="F"/>
    <x v="4"/>
    <s v="Product"/>
    <s v="Product Manager"/>
    <s v="BlueLotus IT"/>
    <s v="Bhubaneswar"/>
    <n v="102805"/>
    <s v="23-02-2021"/>
    <n v="3.9"/>
    <m/>
    <x v="2"/>
    <s v="EMP0025"/>
  </r>
  <r>
    <x v="370"/>
    <s v="Amlan Sahu"/>
    <s v="F"/>
    <x v="1"/>
    <s v="Design"/>
    <s v="UX Researcher"/>
    <s v="InfySoft Bhubaneswar"/>
    <s v="Bhubaneswar"/>
    <n v="196621"/>
    <s v="18-11-2018"/>
    <n v="6.1"/>
    <n v="1.6"/>
    <x v="3"/>
    <s v="EMP0323"/>
  </r>
  <r>
    <x v="371"/>
    <s v="Amlan Sahu"/>
    <s v="female"/>
    <x v="2"/>
    <s v="Engineering"/>
    <s v="Tech Lead"/>
    <s v="KalingaTech Pvt Ltd"/>
    <s v="Berhampur"/>
    <n v="122868"/>
    <s v="2018-01-23"/>
    <n v="6.9"/>
    <n v="1.5"/>
    <x v="2"/>
    <s v="EMP0020"/>
  </r>
  <r>
    <x v="372"/>
    <s v="Subhasree Prusty"/>
    <s v="male"/>
    <x v="1"/>
    <s v="Design"/>
    <s v="Design Lead"/>
    <s v="CoastalDev Studio"/>
    <s v="Puri"/>
    <n v="77730"/>
    <s v="2024-01-03"/>
    <n v="1"/>
    <n v="2.7"/>
    <x v="2"/>
    <s v="EMP0209"/>
  </r>
  <r>
    <x v="373"/>
    <s v="Satyajit Sahoo"/>
    <s v="female"/>
    <x v="0"/>
    <s v="Devops"/>
    <s v="SRE"/>
    <s v="CoastalDev Studio"/>
    <s v="Cuttack"/>
    <n v="103254"/>
    <s v="07-12-2018"/>
    <n v="6.1"/>
    <n v="3.4"/>
    <x v="3"/>
    <s v="EMP0241"/>
  </r>
  <r>
    <x v="374"/>
    <s v="Aditya Nanda"/>
    <s v="male"/>
    <x v="9"/>
    <s v="Finance"/>
    <s v="CFO"/>
    <s v="TechNova Solutions"/>
    <s v="Bhubaneswar"/>
    <n v="89287"/>
    <s v="08-03-2022"/>
    <n v="2.8"/>
    <n v="3.9"/>
    <x v="2"/>
    <s v="EMP0290"/>
  </r>
  <r>
    <x v="375"/>
    <s v="Bikash Behura"/>
    <s v="F"/>
    <x v="8"/>
    <s v="Qa"/>
    <s v="QA Engineer"/>
    <s v="ZeroOneSystems"/>
    <s v="Bhubaneswar"/>
    <n v="189763"/>
    <s v="30-07-2023"/>
    <n v="1.4"/>
    <n v="3.7"/>
    <x v="3"/>
    <s v="EMP0141"/>
  </r>
  <r>
    <x v="376"/>
    <s v="Sangita Parida"/>
    <s v="female"/>
    <x v="6"/>
    <s v="Data Science"/>
    <s v="Data Analyst"/>
    <s v="NilGiri Digitals"/>
    <s v="Bhubaneswar"/>
    <n v="198328"/>
    <s v="03-10-2019"/>
    <n v="5.3"/>
    <n v="1.9"/>
    <x v="2"/>
    <s v="EMP0206"/>
  </r>
  <r>
    <x v="377"/>
    <s v="Ankita Mahapatra"/>
    <s v="female"/>
    <x v="3"/>
    <s v="Sales"/>
    <s v="Account Manager"/>
    <s v="KalingaTech Pvt Ltd"/>
    <s v="Berhampur"/>
    <n v="75137"/>
    <s v="31-08-2023"/>
    <n v="1.3"/>
    <n v="4.2"/>
    <x v="2"/>
    <s v="EMP0350"/>
  </r>
  <r>
    <x v="378"/>
    <s v="Lipsa Behura"/>
    <s v="F"/>
    <x v="0"/>
    <s v="Devops"/>
    <s v="DevOps Engineer"/>
    <s v="TechNova Solutions"/>
    <s v="Bhubaneswar"/>
    <n v="66900"/>
    <s v="24-12-2022"/>
    <n v="2"/>
    <n v="2.5"/>
    <x v="3"/>
    <s v="EMP0350"/>
  </r>
  <r>
    <x v="379"/>
    <s v="Ranjit Sahoo"/>
    <s v="male"/>
    <x v="0"/>
    <s v="Devops"/>
    <s v="SRE"/>
    <s v="SambalpurNet"/>
    <s v="Bhubaneswar"/>
    <n v="134088"/>
    <s v="26-12-2020"/>
    <n v="4"/>
    <n v="2.5"/>
    <x v="1"/>
    <s v="EMP0295"/>
  </r>
  <r>
    <x v="380"/>
    <s v="Dibya Mohapatra"/>
    <s v="M"/>
    <x v="7"/>
    <s v="Marketing"/>
    <s v="Content Strategist"/>
    <s v="BlueLotus IT"/>
    <s v="Bhubaneswar"/>
    <n v="127972"/>
    <s v="18-07-2022"/>
    <n v="2.5"/>
    <n v="4.9000000000000004"/>
    <x v="1"/>
    <s v="EMP0080"/>
  </r>
  <r>
    <x v="381"/>
    <s v="Lipsa Padhi"/>
    <s v="F"/>
    <x v="5"/>
    <s v="Hr"/>
    <s v="Talent Acquisition"/>
    <s v="ZeroOneSystems"/>
    <s v="Bhubaneswar"/>
    <n v="98254"/>
    <s v="10-05-2023"/>
    <n v="1.6"/>
    <n v="2.4"/>
    <x v="1"/>
    <s v="EMP0241"/>
  </r>
  <r>
    <x v="382"/>
    <s v="Chinmaya Pattnaik"/>
    <s v="F"/>
    <x v="1"/>
    <s v="Design"/>
    <s v="UX Researcher"/>
    <s v="BlueLotus IT"/>
    <s v="Bhubaneswar"/>
    <n v="190711"/>
    <s v="05-02-2023"/>
    <n v="1.9"/>
    <n v="1.9"/>
    <x v="1"/>
    <s v="EMP0293"/>
  </r>
  <r>
    <x v="383"/>
    <s v="Subhasree Jena"/>
    <s v="female"/>
    <x v="3"/>
    <s v="Sales"/>
    <s v="Account Manager"/>
    <s v="InfySoft Bhubaneswar"/>
    <s v="Bhubaneswar"/>
    <n v="136842"/>
    <s v="17-02-2020"/>
    <n v="4.9000000000000004"/>
    <n v="2.1"/>
    <x v="2"/>
    <s v="EMP0065"/>
  </r>
  <r>
    <x v="384"/>
    <s v="Amlan Sahoo"/>
    <s v="male"/>
    <x v="6"/>
    <s v="Data Science"/>
    <s v="BI Developer"/>
    <s v="TributeAI"/>
    <s v="Berhampur"/>
    <n v="189060"/>
    <s v="15-12-2023"/>
    <n v="1"/>
    <n v="3"/>
    <x v="2"/>
    <s v="EMP0164"/>
  </r>
  <r>
    <x v="385"/>
    <s v="Amlan Choudhury"/>
    <s v="F"/>
    <x v="3"/>
    <s v="Sales"/>
    <s v="Business Developer"/>
    <s v="SambalpurNet"/>
    <s v="Puri"/>
    <n v="184497"/>
    <s v="30-08-2022"/>
    <n v="2.2999999999999998"/>
    <n v="3.8"/>
    <x v="2"/>
    <s v="EMP0229"/>
  </r>
  <r>
    <x v="386"/>
    <s v="Ranjit Biswal"/>
    <s v="male"/>
    <x v="4"/>
    <s v="Product"/>
    <s v="Associate PM"/>
    <s v="InfySoft Bhubaneswar"/>
    <s v="Cuttack"/>
    <n v="219196"/>
    <s v="16-03-2018"/>
    <n v="6.8"/>
    <n v="2.8"/>
    <x v="2"/>
    <s v="EMP0132"/>
  </r>
  <r>
    <x v="387"/>
    <s v="Amlan Sahoo"/>
    <s v="M"/>
    <x v="7"/>
    <s v="Marketing"/>
    <s v="Content Strategist"/>
    <s v="ZeroOneSystems"/>
    <s v="Bhubaneswar"/>
    <n v="92781"/>
    <s v="05-06-2020"/>
    <n v="4.5999999999999996"/>
    <n v="4.8"/>
    <x v="2"/>
    <s v="EMP0383"/>
  </r>
  <r>
    <x v="388"/>
    <s v="Tanmay Ratha"/>
    <s v="M"/>
    <x v="5"/>
    <s v="Hr"/>
    <s v="Talent Acquisition"/>
    <s v="CoastalDev Studio"/>
    <s v="Cuttack"/>
    <n v="86329"/>
    <s v="17-01-2021"/>
    <n v="4"/>
    <n v="1.5"/>
    <x v="2"/>
    <s v="EMP0014"/>
  </r>
  <r>
    <x v="389"/>
    <s v="Soumya Mohapatra"/>
    <s v="F"/>
    <x v="5"/>
    <s v="Hr"/>
    <s v="Talent Acquisition"/>
    <s v="ZeroOneSystems"/>
    <s v="Cuttack"/>
    <n v="160769"/>
    <s v="09-08-2019"/>
    <n v="5.4"/>
    <n v="3.5"/>
    <x v="3"/>
    <s v="EMP0260"/>
  </r>
  <r>
    <x v="390"/>
    <s v="Priyanka Samal"/>
    <s v="female"/>
    <x v="7"/>
    <s v="Marketing"/>
    <s v="Digital Marketer"/>
    <s v="SambalpurNet"/>
    <s v="Bhubaneswar"/>
    <n v="183015"/>
    <s v="2018-04-04"/>
    <n v="6.8"/>
    <n v="4.7"/>
    <x v="1"/>
    <s v="EMP0277"/>
  </r>
  <r>
    <x v="391"/>
    <s v="Debasmita Jena"/>
    <s v="F"/>
    <x v="3"/>
    <s v="Sales"/>
    <s v="Account Manager"/>
    <s v="KalingaTech Pvt Ltd"/>
    <s v="Puri"/>
    <n v="200703"/>
    <s v="15-03-2021"/>
    <n v="3.8"/>
    <n v="2.8"/>
    <x v="2"/>
    <s v="EMP0247"/>
  </r>
  <r>
    <x v="392"/>
    <s v="Alka Biswal"/>
    <s v="male"/>
    <x v="3"/>
    <s v="Sales"/>
    <s v="Account Manager"/>
    <s v="ZeroOneSystems"/>
    <s v="Bhubaneswar"/>
    <n v="155514"/>
    <s v="14-11-2020"/>
    <n v="4.0999999999999996"/>
    <n v="3.2"/>
    <x v="2"/>
    <s v="EMP0148"/>
  </r>
  <r>
    <x v="393"/>
    <s v="Satyajit Biswal"/>
    <s v="F"/>
    <x v="3"/>
    <s v="Sales"/>
    <s v="Sales Manager"/>
    <s v="CoastalDev Studio"/>
    <s v="Puri"/>
    <n v="190615"/>
    <s v="2023-04-13"/>
    <n v="1.7"/>
    <n v="2.7"/>
    <x v="2"/>
    <s v="EMP0177"/>
  </r>
  <r>
    <x v="394"/>
    <s v="Barsha Nanda"/>
    <s v="female"/>
    <x v="1"/>
    <s v="Design"/>
    <s v="Design Lead"/>
    <s v="UtkalSoft Technologies"/>
    <s v="Bhubaneswar"/>
    <n v="120944"/>
    <s v="02-05-2020"/>
    <n v="4.7"/>
    <n v="3.8"/>
    <x v="2"/>
    <s v="EMP0269"/>
  </r>
  <r>
    <x v="395"/>
    <s v="Sudhansu Mahapatra"/>
    <s v="male"/>
    <x v="7"/>
    <s v="Marketing"/>
    <s v="Content Strategist"/>
    <s v="KalingaTech Pvt Ltd"/>
    <s v="Cuttack"/>
    <n v="217420"/>
    <s v="09-06-2024"/>
    <n v="0.6"/>
    <n v="2.1"/>
    <x v="2"/>
    <s v="EMP0320"/>
  </r>
  <r>
    <x v="396"/>
    <s v="Saurav Nanda"/>
    <s v="male"/>
    <x v="3"/>
    <s v="Sales"/>
    <s v="Sales Manager"/>
    <s v="BlueLotus IT"/>
    <s v="Puri"/>
    <n v="41833"/>
    <s v="16-12-2019"/>
    <n v="5"/>
    <n v="2.6"/>
    <x v="2"/>
    <s v="EMP0021"/>
  </r>
  <r>
    <x v="397"/>
    <s v="Lipsa Routray"/>
    <s v="female"/>
    <x v="9"/>
    <s v="Finance"/>
    <s v="CFO"/>
    <s v="TechNova Solutions"/>
    <s v="Rourkela"/>
    <n v="90160"/>
    <s v="30-11-2021"/>
    <n v="3.1"/>
    <n v="1.8"/>
    <x v="2"/>
    <s v="EMP0015"/>
  </r>
  <r>
    <x v="398"/>
    <s v="Satyajit Pattnaik"/>
    <s v="female"/>
    <x v="1"/>
    <s v="Design"/>
    <s v="Design Lead"/>
    <s v="CoastalDev Studio"/>
    <s v="Bhubaneswar"/>
    <n v="135092"/>
    <s v="24-09-2019"/>
    <n v="5.3"/>
    <n v="4.8"/>
    <x v="2"/>
    <s v="EMP0097"/>
  </r>
  <r>
    <x v="399"/>
    <s v="Jyotirmayee Sahu"/>
    <s v="M"/>
    <x v="1"/>
    <s v="Design"/>
    <s v="Visual Designer"/>
    <s v="OdishaCode Labs"/>
    <s v="Puri"/>
    <n v="95751"/>
    <s v="26-04-2023"/>
    <n v="1.7"/>
    <n v="2.2999999999999998"/>
    <x v="3"/>
    <s v="EMP0282"/>
  </r>
  <r>
    <x v="400"/>
    <s v="Priyanka Behura"/>
    <s v="male"/>
    <x v="2"/>
    <s v="Engineering"/>
    <s v="Senior Developer"/>
    <s v="ZeroOneSystems"/>
    <s v="Berhampur"/>
    <n v="156124"/>
    <s v="21-11-2018"/>
    <n v="6.1"/>
    <n v="3.5"/>
    <x v="2"/>
    <s v="EMP0206"/>
  </r>
  <r>
    <x v="401"/>
    <s v="Tapas Ratha"/>
    <s v="F"/>
    <x v="1"/>
    <s v="Design"/>
    <s v="Design Lead"/>
    <s v="ZeroOneSystems"/>
    <s v="Puri"/>
    <n v="74140"/>
    <s v="04-06-2021"/>
    <n v="3.6"/>
    <n v="4"/>
    <x v="2"/>
    <s v="EMP0354"/>
  </r>
  <r>
    <x v="402"/>
    <s v="Lipsa Jena"/>
    <s v="F"/>
    <x v="5"/>
    <s v="Hr"/>
    <s v="HR Executive"/>
    <s v="SambalpurNet"/>
    <s v="Puri"/>
    <n v="124353"/>
    <s v="04-01-2021"/>
    <n v="4"/>
    <n v="1.8"/>
    <x v="2"/>
    <s v="EMP0270"/>
  </r>
  <r>
    <x v="403"/>
    <s v="Debasmita Padhi"/>
    <s v="female"/>
    <x v="5"/>
    <s v="Hr"/>
    <s v="HR Manager"/>
    <s v="UtkalSoft Technologies"/>
    <s v="Berhampur"/>
    <n v="34860"/>
    <s v="21-04-2021"/>
    <n v="3.7"/>
    <m/>
    <x v="2"/>
    <s v="EMP0361"/>
  </r>
  <r>
    <x v="404"/>
    <s v="Barsha Parida"/>
    <s v="M"/>
    <x v="7"/>
    <s v="Marketing"/>
    <s v="Content Strategist"/>
    <s v="BlueLotus IT"/>
    <s v="Cuttack"/>
    <n v="74903"/>
    <s v="21-07-2021"/>
    <n v="3.5"/>
    <n v="1.8"/>
    <x v="1"/>
    <s v="EMP0026"/>
  </r>
  <r>
    <x v="405"/>
    <s v="Saurav Prusty"/>
    <s v="female"/>
    <x v="8"/>
    <s v="Qa"/>
    <s v="QA Engineer"/>
    <s v="ZeroOneSystems"/>
    <s v="Bhubaneswar"/>
    <n v="31950"/>
    <s v="20-02-2021"/>
    <n v="3.9"/>
    <n v="3.9"/>
    <x v="2"/>
    <s v="EMP0029"/>
  </r>
  <r>
    <x v="406"/>
    <s v="Subhasree Choudhury"/>
    <s v="male"/>
    <x v="5"/>
    <s v="Hr"/>
    <s v="HR Executive"/>
    <s v="KalingaTech Pvt Ltd"/>
    <s v="Puri"/>
    <n v="179674"/>
    <s v="25-07-2021"/>
    <n v="3.4"/>
    <m/>
    <x v="1"/>
    <s v="EMP0108"/>
  </r>
  <r>
    <x v="407"/>
    <s v="Puspita Nanda"/>
    <s v="male"/>
    <x v="2"/>
    <s v="Engineering"/>
    <s v="Tech Lead"/>
    <s v="UtkalSoft Technologies"/>
    <s v="Rourkela"/>
    <n v="107470"/>
    <s v="11-07-2020"/>
    <n v="4.5"/>
    <n v="1.8"/>
    <x v="2"/>
    <s v="EMP0245"/>
  </r>
  <r>
    <x v="408"/>
    <s v="Jyotirmayee Nanda"/>
    <s v="F"/>
    <x v="5"/>
    <s v="Hr"/>
    <s v="HR Executive"/>
    <s v="TechNova Solutions"/>
    <s v="Berhampur"/>
    <n v="210218"/>
    <s v="09-08-2023"/>
    <n v="1.4"/>
    <n v="1.5"/>
    <x v="2"/>
    <s v="EMP0362"/>
  </r>
  <r>
    <x v="409"/>
    <s v="Soumya Jena"/>
    <s v="female"/>
    <x v="6"/>
    <s v="Data Science"/>
    <s v="BI Developer"/>
    <s v="NilGiri Digitals"/>
    <s v="Bhubaneswar"/>
    <n v="187975"/>
    <s v="24-01-2018"/>
    <n v="6.9"/>
    <n v="4.5999999999999996"/>
    <x v="2"/>
    <s v="EMP0290"/>
  </r>
  <r>
    <x v="410"/>
    <s v="Aditya Samal"/>
    <s v="female"/>
    <x v="7"/>
    <s v="Marketing"/>
    <s v="Digital Marketer"/>
    <s v="SambalpurNet"/>
    <s v="Bhubaneswar"/>
    <n v="21141"/>
    <s v="01-01-2018"/>
    <n v="7"/>
    <n v="2.2000000000000002"/>
    <x v="2"/>
    <s v="EMP0172"/>
  </r>
  <r>
    <x v="411"/>
    <s v="Satyajit Mishra"/>
    <s v="male"/>
    <x v="3"/>
    <s v="Sales"/>
    <s v="Business Developer"/>
    <s v="KalingaTech Pvt Ltd"/>
    <s v="Cuttack"/>
    <n v="163817"/>
    <s v="07-02-2021"/>
    <n v="3.9"/>
    <n v="1.8"/>
    <x v="1"/>
    <s v="EMP0365"/>
  </r>
  <r>
    <x v="412"/>
    <s v="Bikash Ratha"/>
    <s v="female"/>
    <x v="2"/>
    <s v="Engineering"/>
    <s v="Senior Developer"/>
    <s v="TechNova Solutions"/>
    <s v="Bhubaneswar"/>
    <n v="208633"/>
    <s v="23-07-2022"/>
    <n v="2.4"/>
    <n v="4.9000000000000004"/>
    <x v="2"/>
    <s v="EMP0208"/>
  </r>
  <r>
    <x v="413"/>
    <s v="Alka Prusty"/>
    <s v="male"/>
    <x v="5"/>
    <s v="Hr"/>
    <s v="Talent Acquisition"/>
    <s v="CoastalDev Studio"/>
    <s v="Berhampur"/>
    <n v="84122"/>
    <s v="20-08-2023"/>
    <n v="1.4"/>
    <n v="2.7"/>
    <x v="2"/>
    <s v="EMP0163"/>
  </r>
  <r>
    <x v="414"/>
    <s v="Tapas Prusty"/>
    <s v="female"/>
    <x v="0"/>
    <s v="Devops"/>
    <s v="SRE"/>
    <s v="KalingaTech Pvt Ltd"/>
    <s v="Bhubaneswar"/>
    <n v="137314"/>
    <s v="15-12-2020"/>
    <n v="4"/>
    <n v="3.9"/>
    <x v="2"/>
    <s v="EMP0388"/>
  </r>
  <r>
    <x v="415"/>
    <s v="Sudhansu Sahu"/>
    <s v="male"/>
    <x v="1"/>
    <s v="Design"/>
    <s v="UI Designer"/>
    <s v="SambalpurNet"/>
    <s v="Puri"/>
    <n v="174989"/>
    <s v="24-03-2019"/>
    <n v="5.8"/>
    <n v="2.6"/>
    <x v="1"/>
    <s v="EMP0404"/>
  </r>
  <r>
    <x v="416"/>
    <s v="Ankita Samal"/>
    <s v="M"/>
    <x v="2"/>
    <s v="Engineering"/>
    <s v="Architect"/>
    <s v="ZeroOneSystems"/>
    <s v="Bhubaneswar"/>
    <n v="84724"/>
    <s v="01-07-2023"/>
    <n v="1.5"/>
    <n v="2.1"/>
    <x v="2"/>
    <s v="EMP0378"/>
  </r>
  <r>
    <x v="417"/>
    <s v="Dibya Pattnaik"/>
    <s v="female"/>
    <x v="4"/>
    <s v="Product"/>
    <s v="Associate PM"/>
    <s v="TechNova Solutions"/>
    <s v="Rourkela"/>
    <n v="74357"/>
    <s v="17-07-2019"/>
    <n v="5.5"/>
    <n v="4.7"/>
    <x v="2"/>
    <s v="EMP0384"/>
  </r>
  <r>
    <x v="418"/>
    <s v="Saurav Padhi"/>
    <s v="male"/>
    <x v="9"/>
    <s v="Finance"/>
    <s v="Finance Analyst"/>
    <s v="TechNova Solutions"/>
    <s v="Rourkela"/>
    <n v="63921"/>
    <s v="28-09-2023"/>
    <n v="1.3"/>
    <n v="4.9000000000000004"/>
    <x v="2"/>
    <s v="EMP0211"/>
  </r>
  <r>
    <x v="419"/>
    <s v="Prasant Pattnaik"/>
    <s v="female"/>
    <x v="4"/>
    <s v="Product"/>
    <s v="Product Manager"/>
    <s v="CoastalDev Studio"/>
    <s v="Bhubaneswar"/>
    <n v="119992"/>
    <s v="22-04-2021"/>
    <n v="3.7"/>
    <n v="4.7"/>
    <x v="2"/>
    <s v="EMP0228"/>
  </r>
  <r>
    <x v="420"/>
    <s v="Lipsa Nanda"/>
    <s v="female"/>
    <x v="5"/>
    <s v="Hr"/>
    <s v="HR Executive"/>
    <s v="CoastalDev Studio"/>
    <s v="Puri"/>
    <n v="71465"/>
    <s v="11-10-2022"/>
    <n v="2.2000000000000002"/>
    <n v="3.2"/>
    <x v="3"/>
    <s v="EMP0116"/>
  </r>
  <r>
    <x v="421"/>
    <s v="Alka Jena"/>
    <s v="male"/>
    <x v="3"/>
    <s v="Sales"/>
    <s v="Business Developer"/>
    <s v="NilGiri Digitals"/>
    <s v="Bhubaneswar"/>
    <n v="42543"/>
    <s v="24-02-2023"/>
    <n v="1.9"/>
    <n v="2.6"/>
    <x v="2"/>
    <s v="EMP0408"/>
  </r>
  <r>
    <x v="422"/>
    <s v="Aditya Jena"/>
    <s v="M"/>
    <x v="1"/>
    <s v="Design"/>
    <s v="UI Designer"/>
    <s v="SambalpurNet"/>
    <s v="Bhubaneswar"/>
    <n v="19205"/>
    <s v="13-01-2023"/>
    <n v="2"/>
    <n v="3.4"/>
    <x v="2"/>
    <s v="EMP0260"/>
  </r>
  <r>
    <x v="423"/>
    <s v="Ankita Jena"/>
    <s v="female"/>
    <x v="3"/>
    <s v="Sales"/>
    <s v="Sales Manager"/>
    <s v="CoastalDev Studio"/>
    <s v="Berhampur"/>
    <n v="27240"/>
    <s v="19-10-2022"/>
    <n v="2.2000000000000002"/>
    <n v="3.9"/>
    <x v="1"/>
    <s v="EMP0372"/>
  </r>
  <r>
    <x v="424"/>
    <s v="Lipsa Behura"/>
    <s v="F"/>
    <x v="4"/>
    <s v="Product"/>
    <s v="Product Manager"/>
    <s v="KalingaTech Pvt Ltd"/>
    <s v="Cuttack"/>
    <m/>
    <s v="11-09-2019"/>
    <n v="5.3"/>
    <n v="2.1"/>
    <x v="2"/>
    <s v="EMP0382"/>
  </r>
  <r>
    <x v="425"/>
    <s v="Lipsa Behura"/>
    <s v="M"/>
    <x v="6"/>
    <s v="Data Science"/>
    <s v="BI Developer"/>
    <s v="KalingaTech Pvt Ltd"/>
    <s v="Bhubaneswar"/>
    <n v="198852"/>
    <s v="18-06-2024"/>
    <n v="0.5"/>
    <n v="3.9"/>
    <x v="2"/>
    <s v="EMP0177"/>
  </r>
  <r>
    <x v="426"/>
    <s v="Alka Mahapatra"/>
    <s v="M"/>
    <x v="5"/>
    <s v="Hr"/>
    <s v="HR Manager"/>
    <s v="TributeAI"/>
    <s v="Bhubaneswar"/>
    <n v="217771"/>
    <s v="19-01-2024"/>
    <n v="1"/>
    <m/>
    <x v="2"/>
    <s v="EMP0344"/>
  </r>
  <r>
    <x v="427"/>
    <s v="Sudhansu Parida"/>
    <s v="male"/>
    <x v="0"/>
    <s v="Devops"/>
    <s v="SRE"/>
    <s v="TechNova Solutions"/>
    <s v="Bhubaneswar"/>
    <m/>
    <s v="10-04-2024"/>
    <n v="0.7"/>
    <n v="2"/>
    <x v="2"/>
    <s v="EMP0422"/>
  </r>
  <r>
    <x v="428"/>
    <s v="Sangita Parida"/>
    <s v="F"/>
    <x v="0"/>
    <s v="Devops"/>
    <s v="SRE"/>
    <s v="SambalpurNet"/>
    <s v="Cuttack"/>
    <n v="63750"/>
    <s v="03-03-2022"/>
    <n v="2.8"/>
    <n v="3.7"/>
    <x v="1"/>
    <s v="EMP0055"/>
  </r>
  <r>
    <x v="429"/>
    <s v="Prasant Parida"/>
    <s v="male"/>
    <x v="8"/>
    <s v="Qa"/>
    <s v="Test Analyst"/>
    <s v="OdishaCode Labs"/>
    <s v="Puri"/>
    <n v="180650"/>
    <s v="23-11-2021"/>
    <n v="3.1"/>
    <n v="2.9"/>
    <x v="3"/>
    <s v="EMP0099"/>
  </r>
  <r>
    <x v="430"/>
    <s v="Rahul Choudhury"/>
    <s v="male"/>
    <x v="6"/>
    <s v="Data Science"/>
    <s v="BI Developer"/>
    <s v="UtkalSoft Technologies"/>
    <s v="Berhampur"/>
    <n v="47147"/>
    <s v="2018-09-06"/>
    <n v="6.3"/>
    <n v="2.1"/>
    <x v="2"/>
    <s v="EMP0185"/>
  </r>
  <r>
    <x v="431"/>
    <s v="Ranjit Mohapatra"/>
    <s v="male"/>
    <x v="3"/>
    <s v="Sales"/>
    <s v="Business Developer"/>
    <s v="TributeAI"/>
    <s v="Berhampur"/>
    <n v="206153"/>
    <s v="16-04-2020"/>
    <n v="4.7"/>
    <n v="4.7"/>
    <x v="1"/>
    <s v="EMP0255"/>
  </r>
  <r>
    <x v="432"/>
    <s v="Ranjit Dhal"/>
    <s v="male"/>
    <x v="4"/>
    <s v="Product"/>
    <s v="Product Manager"/>
    <s v="InfySoft Bhubaneswar"/>
    <s v="Bhubaneswar"/>
    <m/>
    <s v="15-05-2022"/>
    <n v="2.6"/>
    <n v="2.5"/>
    <x v="2"/>
    <s v="EMP0124"/>
  </r>
  <r>
    <x v="433"/>
    <s v="Abhishek Mohapatra"/>
    <s v="female"/>
    <x v="2"/>
    <s v="Engineering"/>
    <s v="Junior Developer"/>
    <s v="SilverByte Systems"/>
    <s v="Bhubaneswar"/>
    <n v="186981"/>
    <s v="24-08-2022"/>
    <n v="2.4"/>
    <m/>
    <x v="1"/>
    <s v="EMP0312"/>
  </r>
  <r>
    <x v="434"/>
    <s v="Namita Pattnaik"/>
    <s v="M"/>
    <x v="3"/>
    <s v="Sales"/>
    <s v="Sales Manager"/>
    <s v="SilverByte Systems"/>
    <s v="Berhampur"/>
    <n v="178954"/>
    <s v="11-03-2021"/>
    <n v="3.8"/>
    <n v="4.5999999999999996"/>
    <x v="2"/>
    <s v="EMP0326"/>
  </r>
  <r>
    <x v="435"/>
    <s v="Jyotirmayee Samal"/>
    <s v="male"/>
    <x v="6"/>
    <s v="Data Science"/>
    <s v="Data Analyst"/>
    <s v="OdishaCode Labs"/>
    <s v="Berhampur"/>
    <n v="134544"/>
    <s v="17-10-2019"/>
    <n v="5.2"/>
    <n v="3"/>
    <x v="2"/>
    <s v="EMP0059"/>
  </r>
  <r>
    <x v="436"/>
    <s v="Puspita Pattnaik"/>
    <s v="male"/>
    <x v="1"/>
    <s v="Design"/>
    <s v="UI Designer"/>
    <s v="TechNova Solutions"/>
    <s v="Puri"/>
    <n v="210082"/>
    <s v="04-07-2023"/>
    <n v="1.5"/>
    <n v="3.2"/>
    <x v="1"/>
    <s v="EMP0261"/>
  </r>
  <r>
    <x v="437"/>
    <s v="Bikash Senapati"/>
    <s v="female"/>
    <x v="5"/>
    <s v="Hr"/>
    <s v="HR Manager"/>
    <s v="OdishaCode Labs"/>
    <s v="Puri"/>
    <n v="83752"/>
    <s v="2018-01-11"/>
    <n v="7"/>
    <n v="2.7"/>
    <x v="2"/>
    <s v="EMP0095"/>
  </r>
  <r>
    <x v="438"/>
    <s v="Rahul Samal"/>
    <s v="M"/>
    <x v="1"/>
    <s v="Design"/>
    <s v="UI Designer"/>
    <s v="TechNova Solutions"/>
    <s v="Cuttack"/>
    <n v="69084"/>
    <s v="27-11-2018"/>
    <n v="6.1"/>
    <n v="3"/>
    <x v="1"/>
    <s v="EMP0243"/>
  </r>
  <r>
    <x v="439"/>
    <s v="Saurav Choudhury"/>
    <s v="female"/>
    <x v="8"/>
    <s v="Qa"/>
    <s v="QA Engineer"/>
    <s v="UtkalSoft Technologies"/>
    <s v="Bhubaneswar"/>
    <n v="121602"/>
    <s v="2022-01-09"/>
    <n v="3"/>
    <n v="4.4000000000000004"/>
    <x v="2"/>
    <s v="EMP0066"/>
  </r>
  <r>
    <x v="440"/>
    <s v="Ranjit Mohapatra"/>
    <s v="female"/>
    <x v="5"/>
    <s v="Hr"/>
    <s v="HR Executive"/>
    <s v="KalingaTech Pvt Ltd"/>
    <s v="Bhubaneswar"/>
    <n v="31685"/>
    <s v="19-10-2022"/>
    <n v="2.2000000000000002"/>
    <n v="4.7"/>
    <x v="2"/>
    <s v="EMP0111"/>
  </r>
  <r>
    <x v="441"/>
    <s v="Namita Mishra"/>
    <s v="female"/>
    <x v="7"/>
    <s v="Marketing"/>
    <s v="Content Strategist"/>
    <s v="UtkalSoft Technologies"/>
    <s v="Puri"/>
    <n v="135951"/>
    <s v="2023-01-10"/>
    <n v="2"/>
    <n v="3.1"/>
    <x v="1"/>
    <s v="EMP0104"/>
  </r>
  <r>
    <x v="442"/>
    <s v="Puspita Choudhury"/>
    <s v="male"/>
    <x v="0"/>
    <s v="Devops"/>
    <s v="DevOps Engineer"/>
    <s v="CoastalDev Studio"/>
    <s v="Bhubaneswar"/>
    <n v="58136"/>
    <s v="05-07-2018"/>
    <n v="6.5"/>
    <n v="2"/>
    <x v="2"/>
    <s v="EMP0105"/>
  </r>
  <r>
    <x v="443"/>
    <s v="Sangita Mahapatra"/>
    <s v="M"/>
    <x v="7"/>
    <s v="Marketing"/>
    <s v="Brand Manager"/>
    <s v="TechNova Solutions"/>
    <s v="Puri"/>
    <n v="104911"/>
    <s v="27-06-2024"/>
    <n v="0.5"/>
    <n v="2.2000000000000002"/>
    <x v="2"/>
    <s v="EMP0107"/>
  </r>
  <r>
    <x v="444"/>
    <s v="Puspita Dhal"/>
    <s v="M"/>
    <x v="8"/>
    <s v="Qa"/>
    <s v="QA Lead"/>
    <s v="SambalpurNet"/>
    <s v="Puri"/>
    <n v="74550"/>
    <s v="20-09-2022"/>
    <n v="2.2999999999999998"/>
    <n v="1.9"/>
    <x v="2"/>
    <s v="EMP0387"/>
  </r>
  <r>
    <x v="445"/>
    <s v="Smita Mahapatra"/>
    <s v="female"/>
    <x v="3"/>
    <s v="Sales"/>
    <s v="Sales Manager"/>
    <s v="TechNova Solutions"/>
    <s v="Puri"/>
    <n v="129219"/>
    <s v="16-05-2023"/>
    <n v="1.6"/>
    <n v="4.2"/>
    <x v="2"/>
    <s v="EMP0345"/>
  </r>
  <r>
    <x v="446"/>
    <s v="Soumya Mohapatra"/>
    <s v="male"/>
    <x v="4"/>
    <s v="Product"/>
    <s v="Product Manager"/>
    <s v="SilverByte Systems"/>
    <s v="Bhubaneswar"/>
    <n v="122666"/>
    <s v="07-09-2020"/>
    <n v="4.3"/>
    <n v="3.5"/>
    <x v="2"/>
    <s v="EMP0394"/>
  </r>
  <r>
    <x v="447"/>
    <s v="Barsha Routray"/>
    <s v="F"/>
    <x v="5"/>
    <s v="Hr"/>
    <s v="HR Executive"/>
    <s v="KalingaTech Pvt Ltd"/>
    <s v="Cuttack"/>
    <n v="128346"/>
    <s v="2022-11-19"/>
    <n v="2.1"/>
    <n v="3"/>
    <x v="2"/>
    <s v="EMP0240"/>
  </r>
  <r>
    <x v="448"/>
    <s v="Amlan Routray"/>
    <s v="F"/>
    <x v="3"/>
    <s v="Sales"/>
    <s v="Account Manager"/>
    <s v="BlueLotus IT"/>
    <s v="Berhampur"/>
    <n v="140407"/>
    <s v="14-10-2022"/>
    <n v="2.2000000000000002"/>
    <n v="3.3"/>
    <x v="2"/>
    <s v="EMP0106"/>
  </r>
  <r>
    <x v="449"/>
    <s v="Soumya Padhi"/>
    <s v="F"/>
    <x v="2"/>
    <s v="Engineering"/>
    <s v="Architect"/>
    <s v="OdishaCode Labs"/>
    <s v="Cuttack"/>
    <n v="190598"/>
    <s v="30-04-2024"/>
    <n v="0.7"/>
    <n v="1.8"/>
    <x v="1"/>
    <s v="EMP0278"/>
  </r>
  <r>
    <x v="450"/>
    <s v="Namita Pattnaik"/>
    <s v="female"/>
    <x v="5"/>
    <s v="Hr"/>
    <s v="Talent Acquisition"/>
    <s v="SambalpurNet"/>
    <s v="Berhampur"/>
    <n v="18643"/>
    <s v="08-09-2023"/>
    <n v="1.3"/>
    <n v="4.5999999999999996"/>
    <x v="3"/>
    <s v="EMP0425"/>
  </r>
  <r>
    <x v="451"/>
    <s v="Rajan Jena"/>
    <s v="F"/>
    <x v="9"/>
    <s v="Finance"/>
    <s v="CFO"/>
    <s v="OdishaCode Labs"/>
    <s v="Puri"/>
    <n v="31740"/>
    <s v="02-10-2022"/>
    <n v="2.2999999999999998"/>
    <n v="3.5"/>
    <x v="2"/>
    <s v="EMP0008"/>
  </r>
  <r>
    <x v="452"/>
    <s v="Sangita Padhi"/>
    <s v="male"/>
    <x v="9"/>
    <s v="Finance"/>
    <s v="Accountant"/>
    <s v="TributeAI"/>
    <s v="Bhubaneswar"/>
    <n v="192849"/>
    <s v="22-02-2022"/>
    <n v="2.9"/>
    <n v="3.9"/>
    <x v="2"/>
    <s v="EMP0166"/>
  </r>
  <r>
    <x v="453"/>
    <s v="Subhasree Samal"/>
    <s v="male"/>
    <x v="8"/>
    <s v="Qa"/>
    <s v="Senior QA"/>
    <s v="OdishaCode Labs"/>
    <s v="Bhubaneswar"/>
    <n v="152497"/>
    <s v="2023-02-13"/>
    <n v="1.9"/>
    <n v="3.1"/>
    <x v="2"/>
    <s v="EMP0064"/>
  </r>
  <r>
    <x v="454"/>
    <s v="Chinmaya Dhal"/>
    <s v="M"/>
    <x v="4"/>
    <s v="Product"/>
    <s v="Product Manager"/>
    <s v="TributeAI"/>
    <s v="Puri"/>
    <n v="87841"/>
    <s v="24-11-2020"/>
    <n v="4.0999999999999996"/>
    <n v="3.4"/>
    <x v="2"/>
    <s v="EMP0283"/>
  </r>
  <r>
    <x v="455"/>
    <s v="Dibya Samal"/>
    <s v="male"/>
    <x v="6"/>
    <s v="Data Science"/>
    <s v="BI Developer"/>
    <s v="BlueLotus IT"/>
    <s v="Puri"/>
    <n v="157794"/>
    <s v="09-07-2019"/>
    <n v="5.5"/>
    <n v="2.1"/>
    <x v="2"/>
    <s v="EMP0036"/>
  </r>
  <r>
    <x v="456"/>
    <s v="Nirmal Mohapatra"/>
    <s v="F"/>
    <x v="3"/>
    <s v="Sales"/>
    <s v="Sales Manager"/>
    <s v="SambalpurNet"/>
    <s v="Berhampur"/>
    <n v="82676"/>
    <s v="2024-06-25"/>
    <n v="0.5"/>
    <n v="3.9"/>
    <x v="2"/>
    <s v="EMP0328"/>
  </r>
  <r>
    <x v="457"/>
    <s v="Jyotirmayee Samal"/>
    <s v="female"/>
    <x v="2"/>
    <s v="Engineering"/>
    <s v="Senior Developer"/>
    <s v="ZeroOneSystems"/>
    <s v="Puri"/>
    <n v="215077"/>
    <s v="01-10-2021"/>
    <n v="3.3"/>
    <n v="4.4000000000000004"/>
    <x v="2"/>
    <s v="EMP0055"/>
  </r>
  <r>
    <x v="458"/>
    <s v="Dibya Padhi"/>
    <s v="female"/>
    <x v="9"/>
    <s v="Finance"/>
    <s v="Accountant"/>
    <s v="TechNova Solutions"/>
    <s v="Rourkela"/>
    <n v="82647"/>
    <s v="23-01-2024"/>
    <n v="0.9"/>
    <n v="1.8"/>
    <x v="3"/>
    <s v="EMP0376"/>
  </r>
  <r>
    <x v="459"/>
    <s v="Aditya Mahapatra"/>
    <s v="male"/>
    <x v="0"/>
    <s v="Devops"/>
    <s v="DevOps Engineer"/>
    <s v="ZeroOneSystems"/>
    <s v="Bhubaneswar"/>
    <n v="216401"/>
    <s v="11-01-2021"/>
    <n v="4"/>
    <n v="3.6"/>
    <x v="3"/>
    <s v="EMP0130"/>
  </r>
  <r>
    <x v="460"/>
    <s v="Namita Samal"/>
    <s v="female"/>
    <x v="0"/>
    <s v="Devops"/>
    <s v="DevOps Engineer"/>
    <s v="BlueLotus IT"/>
    <s v="Bhubaneswar"/>
    <n v="114474"/>
    <s v="16-11-2022"/>
    <n v="2.1"/>
    <n v="3.3"/>
    <x v="2"/>
    <s v="EMP0226"/>
  </r>
  <r>
    <x v="461"/>
    <s v="Ranjit Parida"/>
    <s v="M"/>
    <x v="4"/>
    <s v="Product"/>
    <s v="Product Manager"/>
    <s v="BlueLotus IT"/>
    <s v="Berhampur"/>
    <n v="100069"/>
    <s v="01-05-2022"/>
    <n v="2.7"/>
    <n v="3.6"/>
    <x v="3"/>
    <s v="EMP0249"/>
  </r>
  <r>
    <x v="462"/>
    <s v="Tapas Mishra"/>
    <s v="male"/>
    <x v="1"/>
    <s v="Design"/>
    <s v="Visual Designer"/>
    <s v="BlueLotus IT"/>
    <s v="Bhubaneswar"/>
    <n v="48237"/>
    <s v="30-09-2021"/>
    <n v="3.3"/>
    <n v="3"/>
    <x v="2"/>
    <s v="EMP0090"/>
  </r>
  <r>
    <x v="463"/>
    <s v="Barsha Pattnaik"/>
    <s v="female"/>
    <x v="5"/>
    <s v="Hr"/>
    <s v="Talent Acquisition"/>
    <s v="CoastalDev Studio"/>
    <s v="Berhampur"/>
    <n v="26822"/>
    <s v="07-04-2018"/>
    <n v="6.7"/>
    <n v="5"/>
    <x v="2"/>
    <s v="EMP0054"/>
  </r>
  <r>
    <x v="464"/>
    <s v="Prasant Behura"/>
    <s v="female"/>
    <x v="9"/>
    <s v="Finance"/>
    <s v="CFO"/>
    <s v="UtkalSoft Technologies"/>
    <s v="Cuttack"/>
    <n v="142462"/>
    <s v="11-04-2020"/>
    <n v="4.7"/>
    <n v="3.8"/>
    <x v="1"/>
    <s v="EMP0269"/>
  </r>
  <r>
    <x v="465"/>
    <s v="Ankita Prusty"/>
    <s v="male"/>
    <x v="3"/>
    <s v="Sales"/>
    <s v="Sales Manager"/>
    <s v="CoastalDev Studio"/>
    <s v="Cuttack"/>
    <n v="198475"/>
    <s v="22-12-2018"/>
    <n v="6"/>
    <n v="2.8"/>
    <x v="2"/>
    <s v="EMP0255"/>
  </r>
  <r>
    <x v="466"/>
    <s v="Priyanka Samal"/>
    <s v="F"/>
    <x v="4"/>
    <s v="Product"/>
    <s v="Product Owner"/>
    <s v="TechNova Solutions"/>
    <s v="Bhubaneswar"/>
    <n v="173949"/>
    <s v="2019-10-22"/>
    <n v="5.2"/>
    <n v="3.2"/>
    <x v="3"/>
    <s v="EMP0188"/>
  </r>
  <r>
    <x v="467"/>
    <s v="Priyanka Pattnaik"/>
    <s v="male"/>
    <x v="8"/>
    <s v="Qa"/>
    <s v="Test Analyst"/>
    <s v="CoastalDev Studio"/>
    <s v="Bhubaneswar"/>
    <n v="96853"/>
    <s v="29-05-2018"/>
    <n v="6.6"/>
    <n v="3"/>
    <x v="2"/>
    <s v="EMP0310"/>
  </r>
  <r>
    <x v="468"/>
    <s v="Ranjit Nanda"/>
    <s v="male"/>
    <x v="2"/>
    <s v="Engineering"/>
    <s v="Software Engineer"/>
    <s v="CoastalDev Studio"/>
    <s v="Rourkela"/>
    <n v="137761"/>
    <s v="2021-08-16"/>
    <n v="3.4"/>
    <n v="4.8"/>
    <x v="3"/>
    <s v="EMP0128"/>
  </r>
  <r>
    <x v="469"/>
    <s v="Namita Padhi"/>
    <s v="female"/>
    <x v="4"/>
    <s v="Product"/>
    <s v="Product Manager"/>
    <s v="NilGiri Digitals"/>
    <s v="Bhubaneswar"/>
    <n v="164890"/>
    <s v="03-10-2019"/>
    <n v="5.3"/>
    <n v="1.5"/>
    <x v="3"/>
    <s v="EMP0162"/>
  </r>
  <r>
    <x v="470"/>
    <s v="Rahul Ratha"/>
    <s v="F"/>
    <x v="9"/>
    <s v="Finance"/>
    <s v="Accountant"/>
    <s v="NilGiri Digitals"/>
    <s v="Bhubaneswar"/>
    <n v="118813"/>
    <s v="23-03-2020"/>
    <n v="4.8"/>
    <n v="2.9"/>
    <x v="2"/>
    <s v="EMP0192"/>
  </r>
  <r>
    <x v="471"/>
    <s v="Satyajit Biswal"/>
    <s v="M"/>
    <x v="2"/>
    <s v="Engineering"/>
    <s v="Junior Developer"/>
    <s v="NilGiri Digitals"/>
    <s v="Puri"/>
    <n v="99611"/>
    <s v="27-09-2018"/>
    <n v="6.3"/>
    <n v="4.3"/>
    <x v="2"/>
    <s v="EMP0110"/>
  </r>
  <r>
    <x v="472"/>
    <s v="Saurav Routray"/>
    <s v="M"/>
    <x v="1"/>
    <s v="Design"/>
    <s v="Design Lead"/>
    <s v="KalingaTech Pvt Ltd"/>
    <s v="Cuttack"/>
    <n v="110593"/>
    <s v="19-09-2022"/>
    <n v="2.2999999999999998"/>
    <n v="2.4"/>
    <x v="2"/>
    <s v="EMP0427"/>
  </r>
  <r>
    <x v="473"/>
    <s v="Sudhansu Mishra"/>
    <s v="male"/>
    <x v="1"/>
    <s v="Design"/>
    <s v="Design Lead"/>
    <s v="NilGiri Digitals"/>
    <s v="Bhubaneswar"/>
    <n v="30296"/>
    <s v="03-08-2021"/>
    <n v="3.4"/>
    <n v="2.5"/>
    <x v="2"/>
    <s v="EMP0345"/>
  </r>
  <r>
    <x v="474"/>
    <s v="Aditya Mishra"/>
    <s v="male"/>
    <x v="2"/>
    <s v="Engineering"/>
    <s v="Tech Lead"/>
    <s v="SambalpurNet"/>
    <s v="Puri"/>
    <n v="56834"/>
    <s v="29-02-2024"/>
    <n v="0.8"/>
    <n v="3.2"/>
    <x v="2"/>
    <s v="EMP0307"/>
  </r>
  <r>
    <x v="475"/>
    <s v="Namita Ratha"/>
    <s v="female"/>
    <x v="7"/>
    <s v="Marketing"/>
    <s v="Digital Marketer"/>
    <s v="InfySoft Bhubaneswar"/>
    <s v="Rourkela"/>
    <n v="153967"/>
    <s v="16-08-2021"/>
    <n v="3.4"/>
    <n v="4.3"/>
    <x v="1"/>
    <s v="EMP0378"/>
  </r>
  <r>
    <x v="476"/>
    <s v="Sudhansu Behura"/>
    <s v="M"/>
    <x v="2"/>
    <s v="Engineering"/>
    <s v="Junior Developer"/>
    <s v="CoastalDev Studio"/>
    <s v="Rourkela"/>
    <n v="22135"/>
    <s v="05-10-2020"/>
    <n v="4.2"/>
    <n v="5"/>
    <x v="1"/>
    <s v="EMP0254"/>
  </r>
  <r>
    <x v="477"/>
    <s v="Bikash Mahapatra"/>
    <s v="M"/>
    <x v="6"/>
    <s v="Data Science"/>
    <s v="Data Scientist"/>
    <s v="TributeAI"/>
    <s v="Bhubaneswar"/>
    <n v="155179"/>
    <s v="22-11-2023"/>
    <n v="1.1000000000000001"/>
    <n v="4.7"/>
    <x v="2"/>
    <s v="EMP0355"/>
  </r>
  <r>
    <x v="478"/>
    <s v="Dibya Pattnaik"/>
    <s v="female"/>
    <x v="4"/>
    <s v="Product"/>
    <s v="Associate PM"/>
    <s v="ZeroOneSystems"/>
    <s v="Cuttack"/>
    <n v="146564"/>
    <s v="31-05-2022"/>
    <n v="2.6"/>
    <n v="4.7"/>
    <x v="2"/>
    <s v="EMP0077"/>
  </r>
  <r>
    <x v="479"/>
    <s v="Alka Padhi"/>
    <s v="M"/>
    <x v="6"/>
    <s v="Data Science"/>
    <s v="ML Engineer"/>
    <s v="TechNova Solutions"/>
    <s v="Puri"/>
    <n v="100835"/>
    <s v="02-11-2018"/>
    <n v="6.2"/>
    <m/>
    <x v="1"/>
    <s v="EMP0294"/>
  </r>
  <r>
    <x v="480"/>
    <s v="Bikash Senapati"/>
    <s v="male"/>
    <x v="7"/>
    <s v="Marketing"/>
    <s v="Brand Manager"/>
    <s v="TributeAI"/>
    <s v="Cuttack"/>
    <n v="146483"/>
    <s v="22-06-2019"/>
    <n v="5.5"/>
    <n v="3.3"/>
    <x v="2"/>
    <s v="EMP0183"/>
  </r>
  <r>
    <x v="481"/>
    <s v="Namita Pattnaik"/>
    <s v="M"/>
    <x v="0"/>
    <s v="Devops"/>
    <s v="DevOps Engineer"/>
    <s v="InfySoft Bhubaneswar"/>
    <s v="Rourkela"/>
    <n v="112854"/>
    <s v="04-06-2024"/>
    <n v="0.6"/>
    <n v="2.8"/>
    <x v="1"/>
    <s v="EMP0381"/>
  </r>
  <r>
    <x v="482"/>
    <s v="Puspita Choudhury"/>
    <s v="male"/>
    <x v="3"/>
    <s v="Sales"/>
    <s v="Business Developer"/>
    <s v="NilGiri Digitals"/>
    <s v="Cuttack"/>
    <n v="63037"/>
    <s v="17-04-2020"/>
    <n v="4.7"/>
    <n v="2.5"/>
    <x v="3"/>
    <s v="EMP0446"/>
  </r>
  <r>
    <x v="483"/>
    <s v="Chinmaya Mohapatra"/>
    <s v="M"/>
    <x v="3"/>
    <s v="Sales"/>
    <s v="Business Developer"/>
    <s v="TechNova Solutions"/>
    <s v="Bhubaneswar"/>
    <n v="84413"/>
    <s v="12-04-2021"/>
    <n v="3.7"/>
    <n v="4.8"/>
    <x v="1"/>
    <s v="EMP0384"/>
  </r>
  <r>
    <x v="484"/>
    <s v="Sangita Ratha"/>
    <s v="female"/>
    <x v="7"/>
    <s v="Marketing"/>
    <s v="Digital Marketer"/>
    <s v="SambalpurNet"/>
    <s v="Bhubaneswar"/>
    <n v="49521"/>
    <s v="01-11-2019"/>
    <n v="5.2"/>
    <n v="1.9"/>
    <x v="2"/>
    <s v="EMP0094"/>
  </r>
  <r>
    <x v="485"/>
    <s v="Rahul Biswal"/>
    <s v="male"/>
    <x v="9"/>
    <s v="Finance"/>
    <s v="Accountant"/>
    <s v="ZeroOneSystems"/>
    <s v="Puri"/>
    <n v="61917"/>
    <s v="18-03-2023"/>
    <n v="1.8"/>
    <n v="3.1"/>
    <x v="2"/>
    <s v="EMP0030"/>
  </r>
  <r>
    <x v="486"/>
    <s v="Prasant Mohapatra"/>
    <s v="female"/>
    <x v="7"/>
    <s v="Marketing"/>
    <s v="Brand Manager"/>
    <s v="SambalpurNet"/>
    <s v="Bhubaneswar"/>
    <n v="206394"/>
    <s v="26-04-2022"/>
    <n v="2.7"/>
    <n v="2.1"/>
    <x v="2"/>
    <s v="EMP0092"/>
  </r>
  <r>
    <x v="487"/>
    <s v="Puspita Dhal"/>
    <s v="female"/>
    <x v="0"/>
    <s v="Devops"/>
    <s v="SRE"/>
    <s v="OdishaCode Labs"/>
    <s v="Bhubaneswar"/>
    <n v="118199"/>
    <s v="22-11-2023"/>
    <n v="1.1000000000000001"/>
    <n v="4.0999999999999996"/>
    <x v="2"/>
    <s v="EMP0247"/>
  </r>
  <r>
    <x v="488"/>
    <s v="Sangita Behura"/>
    <s v="male"/>
    <x v="5"/>
    <s v="Hr"/>
    <s v="Talent Acquisition"/>
    <s v="ZeroOneSystems"/>
    <s v="Berhampur"/>
    <n v="50943"/>
    <s v="21-02-2020"/>
    <n v="4.9000000000000004"/>
    <n v="3.7"/>
    <x v="2"/>
    <s v="EMP0200"/>
  </r>
  <r>
    <x v="489"/>
    <s v="Alka Padhi"/>
    <s v="female"/>
    <x v="4"/>
    <s v="Product"/>
    <s v="Associate PM"/>
    <s v="TechNova Solutions"/>
    <s v="Bhubaneswar"/>
    <n v="136418"/>
    <s v="08-07-2020"/>
    <n v="4.5"/>
    <n v="4.7"/>
    <x v="2"/>
    <s v="EMP0368"/>
  </r>
  <r>
    <x v="490"/>
    <s v="Chinmaya Senapati"/>
    <s v="M"/>
    <x v="3"/>
    <s v="Sales"/>
    <s v="Sales Manager"/>
    <s v="TributeAI"/>
    <s v="Bhubaneswar"/>
    <n v="180261"/>
    <s v="12-12-2021"/>
    <n v="3.1"/>
    <n v="3.6"/>
    <x v="1"/>
    <s v="EMP0161"/>
  </r>
  <r>
    <x v="491"/>
    <s v="Prasant Samal"/>
    <s v="male"/>
    <x v="5"/>
    <s v="Hr"/>
    <s v="HR Manager"/>
    <s v="NilGiri Digitals"/>
    <s v="Rourkela"/>
    <n v="57000"/>
    <s v="18-04-2020"/>
    <n v="4.7"/>
    <n v="3.8"/>
    <x v="1"/>
    <s v="EMP0482"/>
  </r>
  <r>
    <x v="492"/>
    <s v="Alka Dhal"/>
    <s v="male"/>
    <x v="4"/>
    <s v="Product"/>
    <s v="Associate PM"/>
    <s v="CoastalDev Studio"/>
    <s v="Bhubaneswar"/>
    <n v="103450"/>
    <s v="24-01-2019"/>
    <n v="5.9"/>
    <n v="2.8"/>
    <x v="3"/>
    <s v="EMP0026"/>
  </r>
  <r>
    <x v="493"/>
    <s v="Alka Mohapatra"/>
    <s v="F"/>
    <x v="2"/>
    <s v="Engineering"/>
    <s v="Architect"/>
    <s v="CoastalDev Studio"/>
    <s v="Rourkela"/>
    <n v="173765"/>
    <s v="01-01-2022"/>
    <n v="3"/>
    <n v="4.4000000000000004"/>
    <x v="3"/>
    <s v="EMP0469"/>
  </r>
  <r>
    <x v="494"/>
    <s v="Priyanka Mohapatra"/>
    <s v="F"/>
    <x v="1"/>
    <s v="Design"/>
    <s v="UX Researcher"/>
    <s v="BlueLotus IT"/>
    <s v="Cuttack"/>
    <n v="149673"/>
    <s v="24-09-2022"/>
    <n v="2.2999999999999998"/>
    <n v="3.6"/>
    <x v="2"/>
    <s v="EMP0170"/>
  </r>
  <r>
    <x v="495"/>
    <s v="Tapas Parida"/>
    <s v="F"/>
    <x v="7"/>
    <s v="Marketing"/>
    <s v="Brand Manager"/>
    <s v="UtkalSoft Technologies"/>
    <s v="Berhampur"/>
    <n v="201186"/>
    <s v="19-11-2019"/>
    <n v="5.0999999999999996"/>
    <n v="4.7"/>
    <x v="2"/>
    <s v="EMP0147"/>
  </r>
  <r>
    <x v="496"/>
    <s v="Sudhansu Senapati"/>
    <s v="female"/>
    <x v="0"/>
    <s v="Devops"/>
    <s v="SRE"/>
    <s v="BlueLotus IT"/>
    <s v="Cuttack"/>
    <n v="168866"/>
    <s v="26-11-2021"/>
    <n v="3.1"/>
    <n v="2.4"/>
    <x v="2"/>
    <s v="EMP0276"/>
  </r>
  <r>
    <x v="497"/>
    <s v="Saurav Jena"/>
    <s v="F"/>
    <x v="1"/>
    <s v="Design"/>
    <s v="UX Researcher"/>
    <s v="SambalpurNet"/>
    <s v="Bhubaneswar"/>
    <n v="149503"/>
    <s v="25-10-2020"/>
    <n v="4.2"/>
    <n v="2.4"/>
    <x v="2"/>
    <s v="EMP0304"/>
  </r>
  <r>
    <x v="498"/>
    <s v="Puspita Prusty"/>
    <s v="female"/>
    <x v="1"/>
    <s v="Design"/>
    <s v="Design Lead"/>
    <s v="OdishaCode Labs"/>
    <s v="Bhubaneswar"/>
    <n v="58907"/>
    <s v="12-02-2021"/>
    <n v="3.9"/>
    <m/>
    <x v="1"/>
    <s v="EMP0486"/>
  </r>
  <r>
    <x v="499"/>
    <s v="Sudhansu Sahu"/>
    <s v="male"/>
    <x v="5"/>
    <s v="Hr"/>
    <s v="HR Executive"/>
    <s v="BlueLotus IT"/>
    <s v="Berhampur"/>
    <n v="64161"/>
    <s v="23-08-2022"/>
    <n v="2.4"/>
    <n v="1.5"/>
    <x v="2"/>
    <s v="EMP0031"/>
  </r>
  <r>
    <x v="500"/>
    <s v="Dibya Samal"/>
    <s v="M"/>
    <x v="0"/>
    <s v="Devops"/>
    <s v="DevOps Engineer"/>
    <s v="InfySoft Bhubaneswar"/>
    <s v="Cuttack"/>
    <n v="125313"/>
    <s v="30-01-2023"/>
    <n v="1.9"/>
    <n v="1.6"/>
    <x v="2"/>
    <s v="EMP0297"/>
  </r>
  <r>
    <x v="501"/>
    <s v="Tapas Choudhury"/>
    <s v="M"/>
    <x v="3"/>
    <s v="Sales"/>
    <s v="Business Developer"/>
    <s v="TributeAI"/>
    <s v="Berhampur"/>
    <n v="165096"/>
    <s v="22-03-2022"/>
    <n v="2.8"/>
    <n v="4.9000000000000004"/>
    <x v="3"/>
    <s v="EMP0171"/>
  </r>
  <r>
    <x v="502"/>
    <s v="Abhishek Prusty"/>
    <s v="F"/>
    <x v="2"/>
    <s v="Engineering"/>
    <s v="Junior Developer"/>
    <s v="OdishaCode Labs"/>
    <s v="Berhampur"/>
    <n v="87117"/>
    <s v="31-03-2022"/>
    <n v="2.8"/>
    <n v="3.1"/>
    <x v="2"/>
    <s v="EMP0433"/>
  </r>
  <r>
    <x v="503"/>
    <s v="Ankita Jena"/>
    <s v="female"/>
    <x v="6"/>
    <s v="Data Science"/>
    <s v="BI Developer"/>
    <s v="ZeroOneSystems"/>
    <s v="Rourkela"/>
    <n v="29849"/>
    <s v="12-01-2018"/>
    <n v="7"/>
    <n v="2.6"/>
    <x v="2"/>
    <s v="EMP0406"/>
  </r>
  <r>
    <x v="504"/>
    <s v="Rahul Behura"/>
    <s v="female"/>
    <x v="6"/>
    <s v="Data Science"/>
    <s v="BI Developer"/>
    <s v="SambalpurNet"/>
    <s v="Cuttack"/>
    <n v="160001"/>
    <s v="06-04-2018"/>
    <n v="6.7"/>
    <n v="4.4000000000000004"/>
    <x v="2"/>
    <s v="EMP0487"/>
  </r>
  <r>
    <x v="505"/>
    <s v="Sangita Jena"/>
    <s v="female"/>
    <x v="6"/>
    <s v="Data Science"/>
    <s v="Data Analyst"/>
    <s v="BlueLotus IT"/>
    <s v="Cuttack"/>
    <n v="194497"/>
    <s v="07-11-2019"/>
    <n v="5.2"/>
    <n v="1.5"/>
    <x v="2"/>
    <s v="EMP0364"/>
  </r>
  <r>
    <x v="506"/>
    <s v="Dibya Mishra"/>
    <s v="F"/>
    <x v="0"/>
    <s v="Devops"/>
    <s v="DevOps Engineer"/>
    <s v="TributeAI"/>
    <s v="Bhubaneswar"/>
    <n v="40509"/>
    <s v="19-08-2018"/>
    <n v="6.4"/>
    <n v="4.5"/>
    <x v="2"/>
    <s v="EMP0222"/>
  </r>
  <r>
    <x v="507"/>
    <s v="Barsha Pattnaik"/>
    <s v="F"/>
    <x v="6"/>
    <s v="Data Science"/>
    <s v="BI Developer"/>
    <s v="InfySoft Bhubaneswar"/>
    <s v="Rourkela"/>
    <n v="72377"/>
    <s v="05-05-2019"/>
    <n v="5.7"/>
    <n v="4.4000000000000004"/>
    <x v="3"/>
    <s v="EMP0438"/>
  </r>
  <r>
    <x v="508"/>
    <s v="Barsha Mishra"/>
    <s v="male"/>
    <x v="6"/>
    <s v="Data Science"/>
    <s v="ML Engineer"/>
    <s v="CoastalDev Studio"/>
    <s v="Berhampur"/>
    <n v="205877"/>
    <s v="06-05-2022"/>
    <n v="2.7"/>
    <n v="3.4"/>
    <x v="2"/>
    <s v="EMP0316"/>
  </r>
  <r>
    <x v="509"/>
    <s v="Sangita Routray"/>
    <s v="male"/>
    <x v="0"/>
    <s v="Devops"/>
    <s v="Sr DevOps"/>
    <s v="InfySoft Bhubaneswar"/>
    <s v="Puri"/>
    <n v="116998"/>
    <s v="19-10-2023"/>
    <n v="1.2"/>
    <n v="3.1"/>
    <x v="1"/>
    <s v="EMP0277"/>
  </r>
  <r>
    <x v="510"/>
    <s v="Rahul Prusty"/>
    <s v="female"/>
    <x v="6"/>
    <s v="Data Science"/>
    <s v="BI Developer"/>
    <s v="UtkalSoft Technologies"/>
    <s v="Bhubaneswar"/>
    <n v="156685"/>
    <s v="26-12-2019"/>
    <n v="5"/>
    <n v="2.4"/>
    <x v="1"/>
    <s v="EMP0096"/>
  </r>
  <r>
    <x v="511"/>
    <s v="Saurav Pattnaik"/>
    <s v="female"/>
    <x v="7"/>
    <s v="Marketing"/>
    <s v="Digital Marketer"/>
    <s v="BlueLotus IT"/>
    <s v="Rourkela"/>
    <n v="85256"/>
    <s v="24-12-2021"/>
    <n v="3"/>
    <m/>
    <x v="2"/>
    <s v="EMP0437"/>
  </r>
  <r>
    <x v="512"/>
    <s v="Rajan Jena"/>
    <s v="female"/>
    <x v="0"/>
    <s v="Devops"/>
    <s v="DevOps Engineer"/>
    <s v="TechNova Solutions"/>
    <s v="Bhubaneswar"/>
    <n v="108108"/>
    <s v="08-11-2023"/>
    <n v="1.2"/>
    <n v="2.5"/>
    <x v="1"/>
    <s v="EMP0164"/>
  </r>
  <r>
    <x v="513"/>
    <s v="Bikash Parida"/>
    <s v="female"/>
    <x v="4"/>
    <s v="Product"/>
    <s v="Product Owner"/>
    <s v="TechNova Solutions"/>
    <s v="Bhubaneswar"/>
    <n v="34105"/>
    <s v="28-08-2021"/>
    <n v="3.3"/>
    <n v="2.5"/>
    <x v="3"/>
    <s v="EMP0172"/>
  </r>
  <r>
    <x v="514"/>
    <s v="Puspita Biswal"/>
    <s v="male"/>
    <x v="1"/>
    <s v="Design"/>
    <s v="Design Lead"/>
    <s v="NilGiri Digitals"/>
    <s v="Cuttack"/>
    <n v="126814"/>
    <s v="01-07-2020"/>
    <n v="4.5"/>
    <n v="3.8"/>
    <x v="1"/>
    <s v="EMP0065"/>
  </r>
  <r>
    <x v="515"/>
    <s v="Jyotirmayee Nanda"/>
    <s v="M"/>
    <x v="6"/>
    <s v="Data Science"/>
    <s v="Data Analyst"/>
    <s v="InfySoft Bhubaneswar"/>
    <s v="Rourkela"/>
    <n v="138017"/>
    <s v="29-05-2021"/>
    <n v="3.6"/>
    <n v="2.6"/>
    <x v="1"/>
    <s v="EMP0269"/>
  </r>
  <r>
    <x v="516"/>
    <s v="Puspita Samal"/>
    <s v="female"/>
    <x v="8"/>
    <s v="Qa"/>
    <s v="Senior QA"/>
    <s v="TributeAI"/>
    <s v="Rourkela"/>
    <n v="117892"/>
    <s v="01-05-2024"/>
    <n v="0.7"/>
    <n v="5"/>
    <x v="3"/>
    <s v="EMP0075"/>
  </r>
  <r>
    <x v="517"/>
    <s v="Debasmita Mishra"/>
    <s v="M"/>
    <x v="9"/>
    <s v="Finance"/>
    <s v="Finance Analyst"/>
    <s v="TributeAI"/>
    <s v="Puri"/>
    <n v="104042"/>
    <s v="24-07-2018"/>
    <n v="6.4"/>
    <n v="4.4000000000000004"/>
    <x v="1"/>
    <s v="EMP0075"/>
  </r>
  <r>
    <x v="518"/>
    <s v="Bikash Nanda"/>
    <s v="F"/>
    <x v="3"/>
    <s v="Sales"/>
    <s v="Account Manager"/>
    <s v="SambalpurNet"/>
    <s v="Berhampur"/>
    <n v="114335"/>
    <s v="27-03-2023"/>
    <n v="1.8"/>
    <n v="4.4000000000000004"/>
    <x v="2"/>
    <s v="EMP0168"/>
  </r>
  <r>
    <x v="519"/>
    <s v="Dibya Sahu"/>
    <s v="F"/>
    <x v="2"/>
    <s v="Engineering"/>
    <s v="Junior Developer"/>
    <s v="BlueLotus IT"/>
    <s v="Bhubaneswar"/>
    <n v="215689"/>
    <s v="20-03-2024"/>
    <n v="0.8"/>
    <n v="5"/>
    <x v="2"/>
    <s v="EMP0262"/>
  </r>
  <r>
    <x v="520"/>
    <s v="Namita Tripathy"/>
    <s v="M"/>
    <x v="1"/>
    <s v="Design"/>
    <s v="UX Researcher"/>
    <s v="KalingaTech Pvt Ltd"/>
    <s v="Bhubaneswar"/>
    <n v="29861"/>
    <s v="09-12-2018"/>
    <n v="6.1"/>
    <n v="4.0999999999999996"/>
    <x v="1"/>
    <s v="EMP0424"/>
  </r>
  <r>
    <x v="521"/>
    <s v="Satyajit Samal"/>
    <s v="M"/>
    <x v="7"/>
    <s v="Marketing"/>
    <s v="Digital Marketer"/>
    <s v="NilGiri Digitals"/>
    <s v="Rourkela"/>
    <n v="146001"/>
    <s v="02-04-2023"/>
    <n v="1.8"/>
    <n v="3.8"/>
    <x v="2"/>
    <s v="EMP0277"/>
  </r>
  <r>
    <x v="522"/>
    <s v="Sangita Padhi"/>
    <s v="male"/>
    <x v="6"/>
    <s v="Data Science"/>
    <s v="ML Engineer"/>
    <s v="TechNova Solutions"/>
    <s v="Puri"/>
    <n v="34716"/>
    <s v="13-07-2019"/>
    <n v="5.5"/>
    <n v="4.3"/>
    <x v="2"/>
    <s v="EMP0218"/>
  </r>
  <r>
    <x v="523"/>
    <s v="Tapas Routray"/>
    <s v="male"/>
    <x v="0"/>
    <s v="Devops"/>
    <s v="SRE"/>
    <s v="SambalpurNet"/>
    <s v="Bhubaneswar"/>
    <n v="125364"/>
    <s v="22-06-2024"/>
    <n v="0.5"/>
    <n v="3.9"/>
    <x v="2"/>
    <s v="EMP0519"/>
  </r>
  <r>
    <x v="524"/>
    <s v="Puspita Choudhury"/>
    <s v="male"/>
    <x v="1"/>
    <s v="Design"/>
    <s v="Visual Designer"/>
    <s v="KalingaTech Pvt Ltd"/>
    <s v="Puri"/>
    <n v="36463"/>
    <s v="11-11-2023"/>
    <n v="1.1000000000000001"/>
    <n v="1.9"/>
    <x v="2"/>
    <s v="EMP0348"/>
  </r>
  <r>
    <x v="525"/>
    <s v="Ipsita Biswal"/>
    <s v="male"/>
    <x v="1"/>
    <s v="Design"/>
    <s v="UI Designer"/>
    <s v="SilverByte Systems"/>
    <s v="Puri"/>
    <n v="198369"/>
    <s v="18-02-2022"/>
    <n v="2.9"/>
    <n v="2.4"/>
    <x v="2"/>
    <s v="EMP0482"/>
  </r>
  <r>
    <x v="526"/>
    <s v="Sudhansu Dhal"/>
    <s v="female"/>
    <x v="7"/>
    <s v="Marketing"/>
    <s v="Digital Marketer"/>
    <s v="ZeroOneSystems"/>
    <s v="Rourkela"/>
    <n v="182794"/>
    <s v="05-09-2019"/>
    <n v="5.3"/>
    <n v="4"/>
    <x v="2"/>
    <s v="EMP0286"/>
  </r>
  <r>
    <x v="527"/>
    <s v="Rahul Biswal"/>
    <s v="male"/>
    <x v="6"/>
    <s v="Data Science"/>
    <s v="BI Developer"/>
    <s v="TributeAI"/>
    <s v="Berhampur"/>
    <n v="106309"/>
    <s v="09-03-2024"/>
    <n v="0.8"/>
    <m/>
    <x v="2"/>
    <s v="EMP0229"/>
  </r>
  <r>
    <x v="528"/>
    <s v="Subhasree Prusty"/>
    <s v="female"/>
    <x v="1"/>
    <s v="Design"/>
    <s v="UI Designer"/>
    <s v="KalingaTech Pvt Ltd"/>
    <s v="Bhubaneswar"/>
    <n v="141846"/>
    <s v="13-04-2021"/>
    <n v="3.7"/>
    <n v="4.5"/>
    <x v="1"/>
    <s v="EMP0164"/>
  </r>
  <r>
    <x v="529"/>
    <s v="Ankita Choudhury"/>
    <s v="F"/>
    <x v="9"/>
    <s v="Finance"/>
    <s v="Finance Analyst"/>
    <s v="TributeAI"/>
    <s v="Cuttack"/>
    <n v="169329"/>
    <s v="06-04-2018"/>
    <n v="6.7"/>
    <n v="4.5999999999999996"/>
    <x v="2"/>
    <s v="EMP0370"/>
  </r>
  <r>
    <x v="530"/>
    <s v="Jyotirmayee Dhal"/>
    <s v="F"/>
    <x v="3"/>
    <s v="Sales"/>
    <s v="Account Manager"/>
    <s v="BlueLotus IT"/>
    <s v="Puri"/>
    <n v="154641"/>
    <s v="09-09-2022"/>
    <n v="2.2999999999999998"/>
    <n v="2.2000000000000002"/>
    <x v="3"/>
    <s v="EMP0085"/>
  </r>
  <r>
    <x v="531"/>
    <s v="Ankita Mohapatra"/>
    <s v="M"/>
    <x v="8"/>
    <s v="Qa"/>
    <s v="Senior QA"/>
    <s v="NilGiri Digitals"/>
    <s v="Berhampur"/>
    <n v="217617"/>
    <s v="30-05-2020"/>
    <n v="4.5999999999999996"/>
    <n v="4.2"/>
    <x v="2"/>
    <s v="EMP0455"/>
  </r>
  <r>
    <x v="532"/>
    <s v="Sudhansu Parida"/>
    <s v="female"/>
    <x v="9"/>
    <s v="Finance"/>
    <s v="CFO"/>
    <s v="CoastalDev Studio"/>
    <s v="Cuttack"/>
    <n v="36129"/>
    <s v="06-12-2022"/>
    <n v="2.1"/>
    <n v="3.6"/>
    <x v="2"/>
    <s v="EMP0009"/>
  </r>
  <r>
    <x v="533"/>
    <s v="Sangita Ratha"/>
    <s v="female"/>
    <x v="6"/>
    <s v="Data Science"/>
    <s v="Data Analyst"/>
    <s v="OdishaCode Labs"/>
    <s v="Bhubaneswar"/>
    <n v="176130"/>
    <s v="02-07-2020"/>
    <n v="4.5"/>
    <n v="4.5"/>
    <x v="2"/>
    <s v="EMP0339"/>
  </r>
  <r>
    <x v="534"/>
    <s v="Ankita Dhal"/>
    <s v="female"/>
    <x v="5"/>
    <s v="Hr"/>
    <s v="HR Manager"/>
    <s v="KalingaTech Pvt Ltd"/>
    <s v="Bhubaneswar"/>
    <n v="40982"/>
    <s v="2021-09-04"/>
    <n v="3.3"/>
    <n v="2"/>
    <x v="2"/>
    <s v="EMP0157"/>
  </r>
  <r>
    <x v="535"/>
    <s v="Soumya Prusty"/>
    <s v="F"/>
    <x v="3"/>
    <s v="Sales"/>
    <s v="Sales Manager"/>
    <s v="KalingaTech Pvt Ltd"/>
    <s v="Bhubaneswar"/>
    <n v="136793"/>
    <s v="03-05-2022"/>
    <n v="2.7"/>
    <n v="3.3"/>
    <x v="2"/>
    <s v="EMP0077"/>
  </r>
  <r>
    <x v="536"/>
    <s v="Priyanka Mishra"/>
    <s v="female"/>
    <x v="7"/>
    <s v="Marketing"/>
    <s v="Brand Manager"/>
    <s v="SilverByte Systems"/>
    <s v="Puri"/>
    <n v="86654"/>
    <s v="01-06-2018"/>
    <n v="6.6"/>
    <n v="3.8"/>
    <x v="1"/>
    <s v="EMP0205"/>
  </r>
  <r>
    <x v="537"/>
    <s v="Barsha Routray"/>
    <s v="female"/>
    <x v="8"/>
    <s v="Qa"/>
    <s v="Test Analyst"/>
    <s v="InfySoft Bhubaneswar"/>
    <s v="Rourkela"/>
    <n v="115918"/>
    <s v="09-03-2022"/>
    <n v="2.8"/>
    <n v="4.3"/>
    <x v="2"/>
    <s v="EMP0059"/>
  </r>
  <r>
    <x v="538"/>
    <s v="Soumya Mohapatra"/>
    <s v="female"/>
    <x v="1"/>
    <s v="Design"/>
    <s v="Visual Designer"/>
    <s v="NilGiri Digitals"/>
    <s v="Bhubaneswar"/>
    <n v="202409"/>
    <s v="18-07-2021"/>
    <n v="3.5"/>
    <n v="3.9"/>
    <x v="2"/>
    <s v="EMP0308"/>
  </r>
  <r>
    <x v="539"/>
    <s v="Tanmay Senapati"/>
    <s v="male"/>
    <x v="9"/>
    <s v="Finance"/>
    <s v="CFO"/>
    <s v="TributeAI"/>
    <s v="Bhubaneswar"/>
    <n v="18338"/>
    <s v="25-02-2024"/>
    <n v="0.9"/>
    <n v="4.2"/>
    <x v="1"/>
    <s v="EMP0393"/>
  </r>
  <r>
    <x v="540"/>
    <s v="Aditya Nanda"/>
    <s v="female"/>
    <x v="2"/>
    <s v="Engineering"/>
    <s v="Tech Lead"/>
    <s v="TributeAI"/>
    <s v="Bhubaneswar"/>
    <n v="211686"/>
    <s v="2022-06-28"/>
    <n v="2.5"/>
    <m/>
    <x v="2"/>
    <s v="EMP0524"/>
  </r>
  <r>
    <x v="541"/>
    <s v="Tanmay Samal"/>
    <s v="F"/>
    <x v="9"/>
    <s v="Finance"/>
    <s v="Accountant"/>
    <s v="SilverByte Systems"/>
    <s v="Bhubaneswar"/>
    <n v="45135"/>
    <s v="08-04-2019"/>
    <n v="5.7"/>
    <n v="2.1"/>
    <x v="3"/>
    <s v="EMP0507"/>
  </r>
  <r>
    <x v="542"/>
    <s v="Soumya Samal"/>
    <s v="male"/>
    <x v="6"/>
    <s v="Data Science"/>
    <s v="Data Analyst"/>
    <s v="SambalpurNet"/>
    <s v="Puri"/>
    <n v="204291"/>
    <s v="2018-08-13"/>
    <n v="6.4"/>
    <n v="2.2999999999999998"/>
    <x v="2"/>
    <s v="EMP0247"/>
  </r>
  <r>
    <x v="543"/>
    <s v="Namita Tripathy"/>
    <s v="female"/>
    <x v="5"/>
    <s v="Hr"/>
    <s v="HR Manager"/>
    <s v="UtkalSoft Technologies"/>
    <s v="Bhubaneswar"/>
    <n v="53668"/>
    <s v="24-03-2024"/>
    <n v="0.8"/>
    <n v="4.2"/>
    <x v="2"/>
    <s v="EMP0068"/>
  </r>
  <r>
    <x v="544"/>
    <s v="Namita Prusty"/>
    <s v="male"/>
    <x v="5"/>
    <s v="Hr"/>
    <s v="HR Executive"/>
    <s v="SambalpurNet"/>
    <s v="Bhubaneswar"/>
    <n v="39169"/>
    <s v="16-10-2019"/>
    <n v="5.2"/>
    <n v="2.7"/>
    <x v="3"/>
    <s v="EMP0452"/>
  </r>
  <r>
    <x v="545"/>
    <s v="Soumya Pattnaik"/>
    <s v="male"/>
    <x v="0"/>
    <s v="Devops"/>
    <s v="DevOps Engineer"/>
    <s v="OdishaCode Labs"/>
    <s v="Bhubaneswar"/>
    <n v="40892"/>
    <s v="11-03-2018"/>
    <n v="6.8"/>
    <n v="4"/>
    <x v="2"/>
    <s v="EMP0506"/>
  </r>
  <r>
    <x v="546"/>
    <s v="Lipsa Samal"/>
    <s v="female"/>
    <x v="8"/>
    <s v="Qa"/>
    <s v="QA Lead"/>
    <s v="TributeAI"/>
    <s v="Bhubaneswar"/>
    <n v="101730"/>
    <s v="10-04-2018"/>
    <n v="6.7"/>
    <n v="1.9"/>
    <x v="2"/>
    <s v="EMP0134"/>
  </r>
  <r>
    <x v="547"/>
    <s v="Dibya Parida"/>
    <s v="female"/>
    <x v="8"/>
    <s v="Qa"/>
    <s v="QA Engineer"/>
    <s v="InfySoft Bhubaneswar"/>
    <s v="Puri"/>
    <n v="37567"/>
    <s v="24-06-2018"/>
    <n v="6.5"/>
    <m/>
    <x v="2"/>
    <s v="EMP0471"/>
  </r>
  <r>
    <x v="548"/>
    <s v="Sudhansu Ratha"/>
    <s v="female"/>
    <x v="8"/>
    <s v="Qa"/>
    <s v="Senior QA"/>
    <s v="OdishaCode Labs"/>
    <s v="Cuttack"/>
    <n v="21637"/>
    <s v="31-05-2020"/>
    <n v="4.5999999999999996"/>
    <n v="4.8"/>
    <x v="2"/>
    <s v="EMP0031"/>
  </r>
  <r>
    <x v="549"/>
    <s v="Dibya Samal"/>
    <s v="male"/>
    <x v="8"/>
    <s v="Qa"/>
    <s v="QA Lead"/>
    <s v="InfySoft Bhubaneswar"/>
    <s v="Bhubaneswar"/>
    <n v="170625"/>
    <s v="09-05-2022"/>
    <n v="2.7"/>
    <n v="1.8"/>
    <x v="3"/>
    <s v="EMP0242"/>
  </r>
  <r>
    <x v="550"/>
    <s v="Ranjit Jena"/>
    <s v="female"/>
    <x v="5"/>
    <s v="Hr"/>
    <s v="HR Manager"/>
    <s v="OdishaCode Labs"/>
    <s v="Bhubaneswar"/>
    <n v="75032"/>
    <s v="18-07-2018"/>
    <n v="6.5"/>
    <n v="3.5"/>
    <x v="1"/>
    <s v="EMP0008"/>
  </r>
  <r>
    <x v="551"/>
    <s v="Nirmal Choudhury"/>
    <s v="male"/>
    <x v="6"/>
    <s v="Data Science"/>
    <s v="Data Scientist"/>
    <s v="BlueLotus IT"/>
    <s v="Bhubaneswar"/>
    <n v="99254"/>
    <s v="07-02-2020"/>
    <n v="4.9000000000000004"/>
    <n v="2.6"/>
    <x v="2"/>
    <s v="EMP0037"/>
  </r>
  <r>
    <x v="552"/>
    <s v="Ipsita Parida"/>
    <s v="F"/>
    <x v="8"/>
    <s v="Qa"/>
    <s v="QA Engineer"/>
    <s v="BlueLotus IT"/>
    <s v="Bhubaneswar"/>
    <n v="165303"/>
    <s v="16-10-2021"/>
    <n v="3.2"/>
    <n v="2.2999999999999998"/>
    <x v="2"/>
    <s v="EMP0031"/>
  </r>
  <r>
    <x v="553"/>
    <s v="Soumya Pattnaik"/>
    <s v="female"/>
    <x v="7"/>
    <s v="Marketing"/>
    <s v="Digital Marketer"/>
    <s v="KalingaTech Pvt Ltd"/>
    <s v="Bhubaneswar"/>
    <n v="36859"/>
    <s v="05-04-2020"/>
    <n v="4.7"/>
    <n v="3.7"/>
    <x v="2"/>
    <s v="EMP0425"/>
  </r>
  <r>
    <x v="554"/>
    <s v="Satyajit Pattnaik"/>
    <s v="male"/>
    <x v="6"/>
    <s v="Data Science"/>
    <s v="Data Scientist"/>
    <s v="NilGiri Digitals"/>
    <s v="Puri"/>
    <n v="91105"/>
    <s v="12-02-2021"/>
    <n v="3.9"/>
    <n v="3.6"/>
    <x v="1"/>
    <s v="EMP0328"/>
  </r>
  <r>
    <x v="555"/>
    <s v="Nirmal Mohapatra"/>
    <s v="male"/>
    <x v="2"/>
    <s v="Engineering"/>
    <s v="Tech Lead"/>
    <s v="TechNova Solutions"/>
    <s v="Berhampur"/>
    <n v="94193"/>
    <s v="16-01-2022"/>
    <n v="3"/>
    <n v="4"/>
    <x v="2"/>
    <s v="EMP0532"/>
  </r>
  <r>
    <x v="556"/>
    <s v="Ipsita Parida"/>
    <s v="female"/>
    <x v="1"/>
    <s v="Design"/>
    <s v="UX Researcher"/>
    <s v="TributeAI"/>
    <s v="Rourkela"/>
    <n v="200612"/>
    <s v="25-02-2022"/>
    <n v="2.9"/>
    <n v="2.8"/>
    <x v="3"/>
    <s v="EMP0298"/>
  </r>
  <r>
    <x v="557"/>
    <s v="Bikash Senapati"/>
    <s v="male"/>
    <x v="2"/>
    <s v="Engineering"/>
    <s v="Architect"/>
    <s v="InfySoft Bhubaneswar"/>
    <s v="Cuttack"/>
    <n v="18443"/>
    <s v="18-03-2022"/>
    <n v="2.8"/>
    <n v="1.9"/>
    <x v="1"/>
    <s v="EMP0008"/>
  </r>
  <r>
    <x v="558"/>
    <s v="Tapas Sahoo"/>
    <s v="male"/>
    <x v="8"/>
    <s v="Qa"/>
    <s v="QA Lead"/>
    <s v="InfySoft Bhubaneswar"/>
    <s v="Berhampur"/>
    <n v="42237"/>
    <s v="27-06-2024"/>
    <n v="0.5"/>
    <n v="2.9"/>
    <x v="2"/>
    <s v="EMP0485"/>
  </r>
  <r>
    <x v="559"/>
    <s v="Ipsita Parida"/>
    <s v="male"/>
    <x v="8"/>
    <s v="Qa"/>
    <s v="Senior QA"/>
    <s v="NilGiri Digitals"/>
    <s v="Cuttack"/>
    <n v="201310"/>
    <s v="08-03-2021"/>
    <n v="3.8"/>
    <n v="4.0999999999999996"/>
    <x v="3"/>
    <s v="EMP0442"/>
  </r>
  <r>
    <x v="560"/>
    <s v="Dibya Samal"/>
    <s v="female"/>
    <x v="5"/>
    <s v="Hr"/>
    <s v="HR Executive"/>
    <s v="InfySoft Bhubaneswar"/>
    <s v="Cuttack"/>
    <n v="69932"/>
    <s v="26-03-2024"/>
    <n v="0.8"/>
    <n v="1.8"/>
    <x v="2"/>
    <s v="EMP0233"/>
  </r>
  <r>
    <x v="561"/>
    <s v="Tanmay Behura"/>
    <s v="male"/>
    <x v="4"/>
    <s v="Product"/>
    <s v="Associate PM"/>
    <s v="TechNova Solutions"/>
    <s v="Rourkela"/>
    <n v="46817"/>
    <s v="06-04-2023"/>
    <n v="1.7"/>
    <n v="4.7"/>
    <x v="2"/>
    <s v="EMP0303"/>
  </r>
  <r>
    <x v="562"/>
    <s v="Sangita Mahapatra"/>
    <s v="M"/>
    <x v="1"/>
    <s v="Design"/>
    <s v="Visual Designer"/>
    <s v="InfySoft Bhubaneswar"/>
    <s v="Puri"/>
    <n v="28048"/>
    <s v="17-03-2018"/>
    <n v="6.8"/>
    <n v="4"/>
    <x v="2"/>
    <s v="EMP0313"/>
  </r>
  <r>
    <x v="563"/>
    <s v="Subhasree Prusty"/>
    <s v="M"/>
    <x v="0"/>
    <s v="Devops"/>
    <s v="Sr DevOps"/>
    <s v="TributeAI"/>
    <s v="Rourkela"/>
    <n v="145096"/>
    <s v="05-06-2018"/>
    <n v="6.6"/>
    <n v="3.6"/>
    <x v="1"/>
    <s v="EMP0534"/>
  </r>
  <r>
    <x v="564"/>
    <s v="Tanmay Pattnaik"/>
    <s v="F"/>
    <x v="9"/>
    <s v="Finance"/>
    <s v="CFO"/>
    <s v="CoastalDev Studio"/>
    <s v="Bhubaneswar"/>
    <n v="26323"/>
    <s v="22-03-2020"/>
    <n v="4.8"/>
    <n v="3"/>
    <x v="2"/>
    <s v="EMP0504"/>
  </r>
  <r>
    <x v="565"/>
    <s v="Saurav Senapati"/>
    <s v="male"/>
    <x v="0"/>
    <s v="Devops"/>
    <s v="Cloud Architect"/>
    <s v="BlueLotus IT"/>
    <s v="Cuttack"/>
    <n v="34213"/>
    <s v="08-11-2020"/>
    <n v="4.2"/>
    <n v="3.1"/>
    <x v="2"/>
    <s v="EMP0192"/>
  </r>
  <r>
    <x v="566"/>
    <s v="Ankita Mahapatra"/>
    <s v="male"/>
    <x v="8"/>
    <s v="Qa"/>
    <s v="QA Lead"/>
    <s v="NilGiri Digitals"/>
    <s v="Bhubaneswar"/>
    <n v="67959"/>
    <s v="14-01-2023"/>
    <n v="2"/>
    <n v="2.7"/>
    <x v="1"/>
    <s v="EMP0275"/>
  </r>
  <r>
    <x v="567"/>
    <s v="Smita Jena"/>
    <s v="F"/>
    <x v="6"/>
    <s v="Data Science"/>
    <s v="Data Scientist"/>
    <s v="TributeAI"/>
    <s v="Bhubaneswar"/>
    <n v="145378"/>
    <s v="28-02-2019"/>
    <n v="5.8"/>
    <m/>
    <x v="1"/>
    <s v="EMP0168"/>
  </r>
  <r>
    <x v="568"/>
    <s v="Amlan Choudhury"/>
    <s v="male"/>
    <x v="3"/>
    <s v="Sales"/>
    <s v="Business Developer"/>
    <s v="InfySoft Bhubaneswar"/>
    <s v="Bhubaneswar"/>
    <n v="95319"/>
    <s v="02-05-2022"/>
    <n v="2.7"/>
    <n v="2.9"/>
    <x v="2"/>
    <s v="EMP0386"/>
  </r>
  <r>
    <x v="569"/>
    <s v="Tapas Choudhury"/>
    <s v="male"/>
    <x v="3"/>
    <s v="Sales"/>
    <s v="Business Developer"/>
    <s v="UtkalSoft Technologies"/>
    <s v="Rourkela"/>
    <n v="29710"/>
    <s v="15-11-2018"/>
    <n v="6.1"/>
    <n v="5"/>
    <x v="2"/>
    <s v="EMP0254"/>
  </r>
  <r>
    <x v="570"/>
    <s v="Satyajit Tripathy"/>
    <s v="male"/>
    <x v="0"/>
    <s v="Devops"/>
    <s v="DevOps Engineer"/>
    <s v="TributeAI"/>
    <s v="Puri"/>
    <n v="121958"/>
    <s v="06-05-2019"/>
    <n v="5.7"/>
    <m/>
    <x v="1"/>
    <s v="EMP0353"/>
  </r>
  <r>
    <x v="571"/>
    <s v="Ipsita Behura"/>
    <s v="M"/>
    <x v="9"/>
    <s v="Finance"/>
    <s v="Finance Analyst"/>
    <s v="BlueLotus IT"/>
    <s v="Bhubaneswar"/>
    <n v="20264"/>
    <s v="31-01-2020"/>
    <n v="4.9000000000000004"/>
    <n v="3.9"/>
    <x v="3"/>
    <s v="EMP0555"/>
  </r>
  <r>
    <x v="572"/>
    <s v="Tapas Tripathy"/>
    <s v="M"/>
    <x v="8"/>
    <s v="Qa"/>
    <s v="QA Engineer"/>
    <s v="TributeAI"/>
    <s v="Bhubaneswar"/>
    <n v="25135"/>
    <s v="30-11-2021"/>
    <n v="3.1"/>
    <n v="4.5"/>
    <x v="1"/>
    <s v="EMP0044"/>
  </r>
  <r>
    <x v="573"/>
    <s v="Soumya Mohapatra"/>
    <s v="female"/>
    <x v="3"/>
    <s v="Sales"/>
    <s v="Business Developer"/>
    <s v="SambalpurNet"/>
    <s v="Bhubaneswar"/>
    <n v="181995"/>
    <s v="18-07-2020"/>
    <n v="4.5"/>
    <n v="3.3"/>
    <x v="2"/>
    <s v="EMP0108"/>
  </r>
  <r>
    <x v="574"/>
    <s v="Namita Jena"/>
    <s v="male"/>
    <x v="3"/>
    <s v="Sales"/>
    <s v="Sales Manager"/>
    <s v="SambalpurNet"/>
    <s v="Bhubaneswar"/>
    <n v="192743"/>
    <s v="19-05-2019"/>
    <n v="5.6"/>
    <n v="2.6"/>
    <x v="2"/>
    <s v="EMP0104"/>
  </r>
  <r>
    <x v="575"/>
    <s v="Barsha Choudhury"/>
    <s v="male"/>
    <x v="5"/>
    <s v="Hr"/>
    <s v="HR Manager"/>
    <s v="BlueLotus IT"/>
    <s v="Bhubaneswar"/>
    <n v="189632"/>
    <s v="22-04-2019"/>
    <n v="5.7"/>
    <n v="2.4"/>
    <x v="2"/>
    <s v="EMP0445"/>
  </r>
  <r>
    <x v="576"/>
    <s v="Amlan Mahapatra"/>
    <s v="F"/>
    <x v="6"/>
    <s v="Data Science"/>
    <s v="ML Engineer"/>
    <s v="SambalpurNet"/>
    <s v="Bhubaneswar"/>
    <n v="118058"/>
    <s v="12-07-2021"/>
    <n v="3.5"/>
    <n v="3.1"/>
    <x v="2"/>
    <s v="EMP0387"/>
  </r>
  <r>
    <x v="577"/>
    <s v="Abhishek Senapati"/>
    <s v="M"/>
    <x v="5"/>
    <s v="Hr"/>
    <s v="HR Manager"/>
    <s v="SilverByte Systems"/>
    <s v="Berhampur"/>
    <n v="56512"/>
    <s v="19-11-2018"/>
    <n v="6.1"/>
    <n v="5"/>
    <x v="2"/>
    <s v="EMP0419"/>
  </r>
  <r>
    <x v="578"/>
    <s v="Puspita Biswal"/>
    <s v="female"/>
    <x v="4"/>
    <s v="Product"/>
    <s v="Associate PM"/>
    <s v="SilverByte Systems"/>
    <s v="Bhubaneswar"/>
    <n v="98230"/>
    <s v="02-08-2020"/>
    <n v="4.4000000000000004"/>
    <n v="3.5"/>
    <x v="1"/>
    <s v="EMP0455"/>
  </r>
  <r>
    <x v="579"/>
    <s v="Lipsa Nanda"/>
    <s v="F"/>
    <x v="3"/>
    <s v="Sales"/>
    <s v="Sales Manager"/>
    <s v="NilGiri Digitals"/>
    <s v="Bhubaneswar"/>
    <n v="113100"/>
    <s v="31-01-2018"/>
    <n v="6.9"/>
    <n v="2.4"/>
    <x v="2"/>
    <s v="EMP0439"/>
  </r>
  <r>
    <x v="580"/>
    <s v="Ipsita Dhal"/>
    <s v="F"/>
    <x v="5"/>
    <s v="Hr"/>
    <s v="HR Executive"/>
    <s v="TechNova Solutions"/>
    <s v="Cuttack"/>
    <n v="124157"/>
    <s v="12-12-2020"/>
    <n v="4.0999999999999996"/>
    <n v="1.8"/>
    <x v="2"/>
    <s v="EMP0494"/>
  </r>
  <r>
    <x v="581"/>
    <s v="Jyotirmayee Samal"/>
    <s v="F"/>
    <x v="0"/>
    <s v="Devops"/>
    <s v="DevOps Engineer"/>
    <s v="TechNova Solutions"/>
    <s v="Bhubaneswar"/>
    <n v="111176"/>
    <s v="30-11-2019"/>
    <n v="5.0999999999999996"/>
    <m/>
    <x v="2"/>
    <s v="EMP0262"/>
  </r>
  <r>
    <x v="582"/>
    <s v="Dibya Behura"/>
    <s v="F"/>
    <x v="1"/>
    <s v="Design"/>
    <s v="Visual Designer"/>
    <s v="BlueLotus IT"/>
    <s v="Rourkela"/>
    <n v="102347"/>
    <s v="04-06-2021"/>
    <n v="3.6"/>
    <n v="4.8"/>
    <x v="2"/>
    <s v="EMP0066"/>
  </r>
  <r>
    <x v="583"/>
    <s v="Chinmaya Samal"/>
    <s v="female"/>
    <x v="1"/>
    <s v="Design"/>
    <s v="Design Lead"/>
    <s v="CoastalDev Studio"/>
    <s v="Cuttack"/>
    <n v="164683"/>
    <s v="26-02-2018"/>
    <n v="6.9"/>
    <n v="3.8"/>
    <x v="1"/>
    <s v="EMP0275"/>
  </r>
  <r>
    <x v="584"/>
    <s v="Priyanka Biswal"/>
    <s v="female"/>
    <x v="4"/>
    <s v="Product"/>
    <s v="Associate PM"/>
    <s v="ZeroOneSystems"/>
    <s v="Puri"/>
    <n v="197795"/>
    <s v="16-07-2022"/>
    <n v="2.5"/>
    <n v="3"/>
    <x v="1"/>
    <s v="EMP0543"/>
  </r>
  <r>
    <x v="585"/>
    <s v="Alka Prusty"/>
    <s v="M"/>
    <x v="8"/>
    <s v="Qa"/>
    <s v="QA Engineer"/>
    <s v="NilGiri Digitals"/>
    <s v="Cuttack"/>
    <n v="209497"/>
    <s v="27-01-2020"/>
    <n v="4.9000000000000004"/>
    <n v="4.2"/>
    <x v="2"/>
    <s v="EMP0068"/>
  </r>
  <r>
    <x v="586"/>
    <s v="Nirmal Parida"/>
    <s v="female"/>
    <x v="2"/>
    <s v="Engineering"/>
    <s v="Architect"/>
    <s v="ZeroOneSystems"/>
    <s v="Cuttack"/>
    <n v="105654"/>
    <s v="05-04-2020"/>
    <n v="4.7"/>
    <n v="3.5"/>
    <x v="3"/>
    <s v="EMP0096"/>
  </r>
  <r>
    <x v="587"/>
    <s v="Prasant Routray"/>
    <s v="female"/>
    <x v="0"/>
    <s v="Devops"/>
    <s v="Sr DevOps"/>
    <s v="UtkalSoft Technologies"/>
    <s v="Bhubaneswar"/>
    <n v="79717"/>
    <s v="28-01-2018"/>
    <n v="6.9"/>
    <n v="1.5"/>
    <x v="3"/>
    <s v="EMP0538"/>
  </r>
  <r>
    <x v="588"/>
    <s v="Ipsita Tripathy"/>
    <s v="female"/>
    <x v="8"/>
    <s v="Qa"/>
    <s v="Test Analyst"/>
    <s v="KalingaTech Pvt Ltd"/>
    <s v="Berhampur"/>
    <n v="135287"/>
    <s v="09-05-2023"/>
    <n v="1.7"/>
    <n v="3.9"/>
    <x v="2"/>
    <s v="EMP0569"/>
  </r>
  <r>
    <x v="589"/>
    <s v="Dibya Behura"/>
    <s v="female"/>
    <x v="5"/>
    <s v="Hr"/>
    <s v="Talent Acquisition"/>
    <s v="OdishaCode Labs"/>
    <s v="Bhubaneswar"/>
    <n v="158509"/>
    <s v="06-04-2024"/>
    <n v="0.7"/>
    <n v="1.8"/>
    <x v="2"/>
    <s v="EMP0213"/>
  </r>
  <r>
    <x v="590"/>
    <s v="Ankita Padhi"/>
    <s v="F"/>
    <x v="9"/>
    <s v="Finance"/>
    <s v="Finance Analyst"/>
    <s v="TechNova Solutions"/>
    <s v="Cuttack"/>
    <n v="30819"/>
    <s v="30-07-2018"/>
    <n v="6.4"/>
    <n v="2.4"/>
    <x v="2"/>
    <s v="EMP0075"/>
  </r>
  <r>
    <x v="591"/>
    <s v="Sudhansu Padhi"/>
    <s v="male"/>
    <x v="5"/>
    <s v="Hr"/>
    <s v="HR Executive"/>
    <s v="UtkalSoft Technologies"/>
    <s v="Berhampur"/>
    <n v="218808"/>
    <s v="18-04-2023"/>
    <n v="1.7"/>
    <n v="4.7"/>
    <x v="3"/>
    <s v="EMP0257"/>
  </r>
  <r>
    <x v="592"/>
    <s v="Saurav Ratha"/>
    <s v="male"/>
    <x v="2"/>
    <s v="Engineering"/>
    <s v="Junior Developer"/>
    <s v="CoastalDev Studio"/>
    <s v="Berhampur"/>
    <n v="53074"/>
    <s v="23-09-2023"/>
    <n v="1.3"/>
    <n v="3.1"/>
    <x v="3"/>
    <s v="EMP0227"/>
  </r>
  <r>
    <x v="593"/>
    <s v="Tanmay Tripathy"/>
    <s v="female"/>
    <x v="6"/>
    <s v="Data Science"/>
    <s v="Data Analyst"/>
    <s v="UtkalSoft Technologies"/>
    <s v="Cuttack"/>
    <n v="178143"/>
    <s v="10-01-2023"/>
    <n v="2"/>
    <n v="3.3"/>
    <x v="2"/>
    <s v="EMP0436"/>
  </r>
  <r>
    <x v="594"/>
    <s v="Satyajit Ratha"/>
    <s v="female"/>
    <x v="6"/>
    <s v="Data Science"/>
    <s v="BI Developer"/>
    <s v="TributeAI"/>
    <s v="Puri"/>
    <n v="67080"/>
    <s v="16-12-2019"/>
    <n v="5"/>
    <n v="2.1"/>
    <x v="2"/>
    <s v="EMP0524"/>
  </r>
  <r>
    <x v="595"/>
    <s v="Aditya Ratha"/>
    <s v="F"/>
    <x v="3"/>
    <s v="Sales"/>
    <s v="Sales Manager"/>
    <s v="OdishaCode Labs"/>
    <s v="Cuttack"/>
    <n v="183155"/>
    <s v="12-05-2022"/>
    <n v="2.6"/>
    <n v="1.6"/>
    <x v="3"/>
    <s v="EMP0590"/>
  </r>
  <r>
    <x v="596"/>
    <s v="Priyanka Nanda"/>
    <s v="female"/>
    <x v="4"/>
    <s v="Product"/>
    <s v="Product Manager"/>
    <s v="OdishaCode Labs"/>
    <s v="Puri"/>
    <n v="18177"/>
    <s v="22-04-2021"/>
    <n v="3.7"/>
    <n v="5"/>
    <x v="2"/>
    <s v="EMP0039"/>
  </r>
  <r>
    <x v="597"/>
    <s v="Sudhansu Mishra"/>
    <s v="female"/>
    <x v="0"/>
    <s v="Devops"/>
    <s v="SRE"/>
    <s v="KalingaTech Pvt Ltd"/>
    <s v="Puri"/>
    <n v="55536"/>
    <s v="12-01-2023"/>
    <n v="2"/>
    <n v="4.9000000000000004"/>
    <x v="2"/>
    <s v="EMP0072"/>
  </r>
  <r>
    <x v="598"/>
    <s v="Alka Routray"/>
    <s v="male"/>
    <x v="5"/>
    <s v="Hr"/>
    <s v="HR Manager"/>
    <s v="InfySoft Bhubaneswar"/>
    <s v="Bhubaneswar"/>
    <n v="171132"/>
    <s v="21-09-2021"/>
    <n v="3.3"/>
    <n v="4"/>
    <x v="2"/>
    <s v="EMP0571"/>
  </r>
  <r>
    <x v="599"/>
    <s v="Priyanka Mishra"/>
    <s v="F"/>
    <x v="1"/>
    <s v="Design"/>
    <s v="Visual Designer"/>
    <s v="TechNova Solutions"/>
    <s v="Bhubaneswar"/>
    <n v="128854"/>
    <s v="17-06-2020"/>
    <n v="4.5"/>
    <n v="3"/>
    <x v="3"/>
    <s v="EMP0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Q1"/>
    <x v="0"/>
    <x v="0"/>
    <n v="249"/>
    <n v="233"/>
    <n v="16"/>
    <n v="6.43"/>
    <n v="40"/>
    <n v="3.11"/>
    <n v="10192.5"/>
    <n v="21457.42"/>
    <n v="61353"/>
    <n v="6.72"/>
  </r>
  <r>
    <s v="Q1"/>
    <x v="0"/>
    <x v="1"/>
    <n v="83"/>
    <n v="63"/>
    <n v="20"/>
    <n v="24.1"/>
    <n v="15"/>
    <n v="3.67"/>
    <n v="4423"/>
    <n v="4529.78"/>
    <n v="44142"/>
    <n v="7.41"/>
  </r>
  <r>
    <s v="Q1"/>
    <x v="0"/>
    <x v="2"/>
    <n v="192"/>
    <n v="176"/>
    <n v="16"/>
    <n v="8.33"/>
    <n v="21"/>
    <n v="3.59"/>
    <n v="4247.7"/>
    <n v="7652.85"/>
    <n v="83712"/>
    <n v="5.84"/>
  </r>
  <r>
    <s v="Q1"/>
    <x v="0"/>
    <x v="3"/>
    <n v="232"/>
    <n v="229"/>
    <n v="3"/>
    <n v="1.29"/>
    <n v="27"/>
    <n v="3.94"/>
    <n v="8246.6"/>
    <n v="16759.419999999998"/>
    <n v="68983"/>
    <n v="7.6"/>
  </r>
  <r>
    <s v="Q1"/>
    <x v="0"/>
    <x v="4"/>
    <n v="115"/>
    <n v="101"/>
    <n v="14"/>
    <n v="12.17"/>
    <n v="9"/>
    <n v="3.99"/>
    <n v="5634.8"/>
    <n v="3750.14"/>
    <n v="62396"/>
    <n v="7.24"/>
  </r>
  <r>
    <s v="Q1"/>
    <x v="0"/>
    <x v="5"/>
    <n v="116"/>
    <n v="111"/>
    <n v="5"/>
    <n v="4.3099999999999996"/>
    <n v="36"/>
    <n v="4.62"/>
    <n v="10783.2"/>
    <n v="21845.3"/>
    <n v="117012"/>
    <n v="8.1999999999999993"/>
  </r>
  <r>
    <s v="Q2"/>
    <x v="0"/>
    <x v="6"/>
    <n v="99"/>
    <n v="93"/>
    <n v="6"/>
    <n v="6.06"/>
    <n v="31"/>
    <n v="4.63"/>
    <n v="12970.4"/>
    <n v="17454.599999999999"/>
    <n v="114211"/>
    <n v="5.61"/>
  </r>
  <r>
    <s v="Q2"/>
    <x v="0"/>
    <x v="1"/>
    <n v="290"/>
    <n v="278"/>
    <n v="12"/>
    <n v="4.1399999999999997"/>
    <n v="36"/>
    <n v="3.98"/>
    <n v="7389.1"/>
    <n v="16217.95"/>
    <n v="63493"/>
    <n v="7.43"/>
  </r>
  <r>
    <s v="Q2"/>
    <x v="0"/>
    <x v="4"/>
    <n v="157"/>
    <n v="143"/>
    <n v="14"/>
    <n v="8.92"/>
    <n v="34"/>
    <n v="4.62"/>
    <n v="7544.8"/>
    <n v="15525.89"/>
    <n v="53608"/>
    <n v="6.01"/>
  </r>
  <r>
    <s v="Q2"/>
    <x v="0"/>
    <x v="7"/>
    <n v="74"/>
    <n v="69"/>
    <n v="5"/>
    <n v="6.76"/>
    <n v="15"/>
    <n v="3.5"/>
    <n v="9302.4"/>
    <n v="6177.5"/>
    <n v="109789"/>
    <n v="7.19"/>
  </r>
  <r>
    <s v="Q2"/>
    <x v="0"/>
    <x v="2"/>
    <n v="197"/>
    <n v="179"/>
    <n v="18"/>
    <n v="9.14"/>
    <n v="24"/>
    <n v="4.62"/>
    <n v="10961.5"/>
    <n v="7701.38"/>
    <n v="92663"/>
    <n v="5.73"/>
  </r>
  <r>
    <s v="Q2"/>
    <x v="0"/>
    <x v="8"/>
    <n v="202"/>
    <n v="187"/>
    <n v="15"/>
    <n v="7.43"/>
    <n v="37"/>
    <n v="3.37"/>
    <n v="4062.8"/>
    <n v="8060.16"/>
    <n v="115046"/>
    <n v="8.26"/>
  </r>
  <r>
    <s v="Q3"/>
    <x v="0"/>
    <x v="9"/>
    <n v="174"/>
    <n v="169"/>
    <n v="5"/>
    <n v="2.87"/>
    <n v="6"/>
    <n v="3.67"/>
    <n v="7444.2"/>
    <n v="18231.73"/>
    <n v="51773"/>
    <n v="7.92"/>
  </r>
  <r>
    <s v="Q3"/>
    <x v="0"/>
    <x v="10"/>
    <n v="180"/>
    <n v="178"/>
    <n v="2"/>
    <n v="1.1100000000000001"/>
    <n v="22"/>
    <n v="3.8"/>
    <n v="14913.6"/>
    <n v="12000.63"/>
    <n v="76713"/>
    <n v="8.86"/>
  </r>
  <r>
    <s v="Q3"/>
    <x v="0"/>
    <x v="4"/>
    <n v="82"/>
    <n v="72"/>
    <n v="10"/>
    <n v="12.2"/>
    <n v="17"/>
    <n v="4.26"/>
    <n v="11824.9"/>
    <n v="27741.82"/>
    <n v="116605"/>
    <n v="8.1"/>
  </r>
  <r>
    <s v="Q3"/>
    <x v="0"/>
    <x v="6"/>
    <n v="233"/>
    <n v="228"/>
    <n v="5"/>
    <n v="2.15"/>
    <n v="11"/>
    <n v="3.77"/>
    <n v="6471.1"/>
    <n v="8290.14"/>
    <n v="98285"/>
    <n v="8.44"/>
  </r>
  <r>
    <s v="Q3"/>
    <x v="0"/>
    <x v="5"/>
    <n v="266"/>
    <n v="250"/>
    <n v="16"/>
    <n v="6.02"/>
    <n v="9"/>
    <n v="3.91"/>
    <n v="2916.6"/>
    <n v="3023.97"/>
    <n v="112108"/>
    <n v="7.05"/>
  </r>
  <r>
    <s v="Q3"/>
    <x v="0"/>
    <x v="1"/>
    <n v="169"/>
    <n v="164"/>
    <n v="5"/>
    <n v="2.96"/>
    <n v="29"/>
    <n v="3.36"/>
    <n v="10942.5"/>
    <n v="18940.599999999999"/>
    <n v="51861"/>
    <n v="5.68"/>
  </r>
  <r>
    <s v="Q4"/>
    <x v="0"/>
    <x v="2"/>
    <n v="78"/>
    <n v="74"/>
    <n v="4"/>
    <n v="5.13"/>
    <n v="38"/>
    <n v="4.34"/>
    <n v="2851.4"/>
    <n v="2365.17"/>
    <n v="54593"/>
    <n v="8"/>
  </r>
  <r>
    <s v="Q4"/>
    <x v="0"/>
    <x v="5"/>
    <n v="247"/>
    <n v="237"/>
    <n v="10"/>
    <n v="4.05"/>
    <n v="7"/>
    <n v="4.51"/>
    <n v="7638.1"/>
    <n v="14718.26"/>
    <n v="38863"/>
    <n v="7.29"/>
  </r>
  <r>
    <s v="Q4"/>
    <x v="0"/>
    <x v="3"/>
    <n v="281"/>
    <n v="272"/>
    <n v="9"/>
    <n v="3.2"/>
    <n v="26"/>
    <n v="4.1900000000000004"/>
    <n v="13668.3"/>
    <n v="21655.55"/>
    <n v="83159"/>
    <n v="6.49"/>
  </r>
  <r>
    <s v="Q4"/>
    <x v="0"/>
    <x v="9"/>
    <n v="213"/>
    <n v="205"/>
    <n v="8"/>
    <n v="3.76"/>
    <n v="28"/>
    <n v="4.16"/>
    <n v="2790.1"/>
    <n v="6569.07"/>
    <n v="100715"/>
    <n v="8.2799999999999994"/>
  </r>
  <r>
    <s v="Q4"/>
    <x v="0"/>
    <x v="6"/>
    <n v="248"/>
    <n v="229"/>
    <n v="19"/>
    <n v="7.66"/>
    <n v="23"/>
    <n v="3.29"/>
    <n v="2018.5"/>
    <n v="3475.78"/>
    <n v="65804"/>
    <n v="6.38"/>
  </r>
  <r>
    <s v="Q4"/>
    <x v="0"/>
    <x v="10"/>
    <n v="207"/>
    <n v="200"/>
    <n v="7"/>
    <n v="3.38"/>
    <n v="37"/>
    <n v="3.89"/>
    <n v="14038.7"/>
    <n v="25823.68"/>
    <n v="71846"/>
    <n v="6.61"/>
  </r>
  <r>
    <s v="Q1"/>
    <x v="1"/>
    <x v="9"/>
    <n v="298"/>
    <n v="286"/>
    <n v="12"/>
    <n v="4.03"/>
    <n v="18"/>
    <n v="4.3600000000000003"/>
    <n v="12734.4"/>
    <n v="23493.62"/>
    <n v="104389"/>
    <n v="8.9499999999999993"/>
  </r>
  <r>
    <s v="Q1"/>
    <x v="1"/>
    <x v="2"/>
    <n v="253"/>
    <n v="245"/>
    <n v="8"/>
    <n v="3.16"/>
    <n v="17"/>
    <n v="3.88"/>
    <n v="4445.3"/>
    <n v="3762.49"/>
    <n v="68597"/>
    <n v="6.56"/>
  </r>
  <r>
    <s v="Q1"/>
    <x v="1"/>
    <x v="0"/>
    <n v="63"/>
    <n v="45"/>
    <n v="18"/>
    <n v="28.57"/>
    <n v="11"/>
    <n v="4.08"/>
    <n v="5889.9"/>
    <n v="6320.45"/>
    <n v="83498"/>
    <n v="5.71"/>
  </r>
  <r>
    <s v="Q1"/>
    <x v="1"/>
    <x v="6"/>
    <n v="297"/>
    <n v="291"/>
    <n v="6"/>
    <n v="2.02"/>
    <n v="6"/>
    <n v="3.94"/>
    <n v="3826.2"/>
    <n v="5491.12"/>
    <n v="65306"/>
    <n v="7.54"/>
  </r>
  <r>
    <s v="Q1"/>
    <x v="1"/>
    <x v="1"/>
    <n v="196"/>
    <n v="190"/>
    <n v="6"/>
    <n v="3.06"/>
    <n v="10"/>
    <n v="3.57"/>
    <n v="14861.7"/>
    <n v="22495.93"/>
    <n v="104456"/>
    <n v="6.4"/>
  </r>
  <r>
    <s v="Q1"/>
    <x v="1"/>
    <x v="5"/>
    <n v="120"/>
    <n v="102"/>
    <n v="18"/>
    <n v="15"/>
    <n v="15"/>
    <n v="4.01"/>
    <n v="7631.8"/>
    <n v="16113.24"/>
    <n v="36071"/>
    <n v="8.8699999999999992"/>
  </r>
  <r>
    <s v="Q2"/>
    <x v="1"/>
    <x v="5"/>
    <n v="80"/>
    <n v="60"/>
    <n v="20"/>
    <n v="25"/>
    <n v="8"/>
    <n v="3.68"/>
    <n v="14862.2"/>
    <n v="20114.41"/>
    <n v="98991"/>
    <n v="6.03"/>
  </r>
  <r>
    <s v="Q2"/>
    <x v="1"/>
    <x v="0"/>
    <n v="66"/>
    <n v="60"/>
    <n v="6"/>
    <n v="9.09"/>
    <n v="14"/>
    <n v="3.63"/>
    <n v="3996.5"/>
    <n v="4319.6499999999996"/>
    <n v="74194"/>
    <n v="8.3000000000000007"/>
  </r>
  <r>
    <s v="Q2"/>
    <x v="1"/>
    <x v="9"/>
    <n v="264"/>
    <n v="258"/>
    <n v="6"/>
    <n v="2.27"/>
    <n v="7"/>
    <n v="3.76"/>
    <n v="14005.4"/>
    <n v="14296.6"/>
    <n v="112971"/>
    <n v="8.59"/>
  </r>
  <r>
    <s v="Q2"/>
    <x v="1"/>
    <x v="3"/>
    <n v="288"/>
    <n v="273"/>
    <n v="15"/>
    <n v="5.21"/>
    <n v="36"/>
    <n v="3.1"/>
    <n v="4465.3999999999996"/>
    <n v="10906.68"/>
    <n v="72387"/>
    <n v="5.73"/>
  </r>
  <r>
    <s v="Q2"/>
    <x v="1"/>
    <x v="4"/>
    <n v="63"/>
    <n v="43"/>
    <n v="20"/>
    <n v="31.75"/>
    <n v="28"/>
    <n v="4.75"/>
    <n v="13430.9"/>
    <n v="19705.259999999998"/>
    <n v="117547"/>
    <n v="6.32"/>
  </r>
  <r>
    <s v="Q2"/>
    <x v="1"/>
    <x v="10"/>
    <n v="179"/>
    <n v="161"/>
    <n v="18"/>
    <n v="10.06"/>
    <n v="13"/>
    <n v="4.7699999999999996"/>
    <n v="12077.9"/>
    <n v="16984.16"/>
    <n v="56667"/>
    <n v="6.22"/>
  </r>
  <r>
    <s v="Q3"/>
    <x v="1"/>
    <x v="1"/>
    <n v="288"/>
    <n v="274"/>
    <n v="14"/>
    <n v="4.8600000000000003"/>
    <n v="11"/>
    <n v="4.24"/>
    <n v="11331.9"/>
    <n v="16373.11"/>
    <n v="104747"/>
    <n v="5.78"/>
  </r>
  <r>
    <s v="Q3"/>
    <x v="1"/>
    <x v="6"/>
    <n v="193"/>
    <n v="176"/>
    <n v="17"/>
    <n v="8.81"/>
    <n v="26"/>
    <n v="4.6500000000000004"/>
    <n v="8563.5"/>
    <n v="5796.08"/>
    <n v="81738"/>
    <n v="8.26"/>
  </r>
  <r>
    <s v="Q3"/>
    <x v="1"/>
    <x v="3"/>
    <n v="185"/>
    <n v="170"/>
    <n v="15"/>
    <n v="8.11"/>
    <n v="13"/>
    <n v="3.42"/>
    <n v="4670"/>
    <n v="7176.36"/>
    <n v="39848"/>
    <n v="7.77"/>
  </r>
  <r>
    <s v="Q3"/>
    <x v="1"/>
    <x v="0"/>
    <n v="67"/>
    <n v="47"/>
    <n v="20"/>
    <n v="29.85"/>
    <n v="28"/>
    <n v="3.86"/>
    <n v="6481"/>
    <n v="8455.02"/>
    <n v="105467"/>
    <n v="6.12"/>
  </r>
  <r>
    <s v="Q3"/>
    <x v="1"/>
    <x v="7"/>
    <n v="77"/>
    <n v="75"/>
    <n v="2"/>
    <n v="2.6"/>
    <n v="8"/>
    <n v="4.49"/>
    <n v="5358.7"/>
    <n v="7900.63"/>
    <n v="101686"/>
    <n v="8.26"/>
  </r>
  <r>
    <s v="Q3"/>
    <x v="1"/>
    <x v="2"/>
    <n v="243"/>
    <n v="232"/>
    <n v="11"/>
    <n v="4.53"/>
    <n v="7"/>
    <n v="3.78"/>
    <n v="6270.7"/>
    <n v="8569.7199999999993"/>
    <n v="63833"/>
    <n v="7.57"/>
  </r>
  <r>
    <s v="Q4"/>
    <x v="1"/>
    <x v="4"/>
    <n v="287"/>
    <n v="276"/>
    <n v="11"/>
    <n v="3.83"/>
    <n v="32"/>
    <n v="4.5199999999999996"/>
    <n v="9657.9"/>
    <n v="5873.44"/>
    <n v="102174"/>
    <n v="7.11"/>
  </r>
  <r>
    <s v="Q4"/>
    <x v="1"/>
    <x v="8"/>
    <n v="125"/>
    <n v="118"/>
    <n v="7"/>
    <n v="5.6"/>
    <n v="18"/>
    <n v="3.85"/>
    <n v="14542.7"/>
    <n v="12916.71"/>
    <n v="118759"/>
    <n v="6.98"/>
  </r>
  <r>
    <s v="Q4"/>
    <x v="1"/>
    <x v="3"/>
    <n v="280"/>
    <n v="271"/>
    <n v="9"/>
    <n v="3.21"/>
    <n v="12"/>
    <n v="4.3"/>
    <n v="13665.1"/>
    <n v="19724.41"/>
    <n v="119959"/>
    <n v="8.9"/>
  </r>
  <r>
    <s v="Q4"/>
    <x v="1"/>
    <x v="6"/>
    <n v="150"/>
    <n v="148"/>
    <n v="2"/>
    <n v="1.33"/>
    <n v="28"/>
    <n v="4.59"/>
    <n v="13751.1"/>
    <n v="26172.84"/>
    <n v="118457"/>
    <n v="8.99"/>
  </r>
  <r>
    <s v="Q4"/>
    <x v="1"/>
    <x v="2"/>
    <n v="82"/>
    <n v="68"/>
    <n v="14"/>
    <n v="17.07"/>
    <n v="29"/>
    <n v="4.0599999999999996"/>
    <n v="13630.9"/>
    <n v="17385.490000000002"/>
    <n v="39437"/>
    <n v="5.83"/>
  </r>
  <r>
    <s v="Q4"/>
    <x v="1"/>
    <x v="9"/>
    <n v="109"/>
    <n v="98"/>
    <n v="11"/>
    <n v="10.09"/>
    <n v="14"/>
    <n v="4.5599999999999996"/>
    <n v="5269.1"/>
    <n v="8003.13"/>
    <n v="77441"/>
    <n v="6.3"/>
  </r>
  <r>
    <s v="Q1"/>
    <x v="2"/>
    <x v="5"/>
    <n v="78"/>
    <n v="74"/>
    <n v="4"/>
    <n v="5.13"/>
    <n v="40"/>
    <n v="3.03"/>
    <n v="3555.8"/>
    <n v="4555.87"/>
    <n v="79261"/>
    <n v="6.65"/>
  </r>
  <r>
    <s v="Q1"/>
    <x v="2"/>
    <x v="10"/>
    <n v="143"/>
    <n v="123"/>
    <n v="20"/>
    <n v="13.99"/>
    <n v="9"/>
    <n v="3.35"/>
    <n v="6538.9"/>
    <n v="9868.1299999999992"/>
    <n v="92255"/>
    <n v="6.37"/>
  </r>
  <r>
    <s v="Q1"/>
    <x v="2"/>
    <x v="9"/>
    <n v="282"/>
    <n v="271"/>
    <n v="11"/>
    <n v="3.9"/>
    <n v="33"/>
    <n v="3.94"/>
    <n v="8802.5"/>
    <n v="16726.669999999998"/>
    <n v="111608"/>
    <n v="6.54"/>
  </r>
  <r>
    <s v="Q1"/>
    <x v="2"/>
    <x v="2"/>
    <n v="225"/>
    <n v="220"/>
    <n v="5"/>
    <n v="2.2200000000000002"/>
    <n v="38"/>
    <n v="3.9"/>
    <n v="3466.5"/>
    <n v="3234.69"/>
    <n v="83285"/>
    <n v="8.26"/>
  </r>
  <r>
    <s v="Q1"/>
    <x v="2"/>
    <x v="6"/>
    <n v="88"/>
    <n v="80"/>
    <n v="8"/>
    <n v="9.09"/>
    <n v="13"/>
    <n v="4"/>
    <n v="4050.8"/>
    <n v="8201.1200000000008"/>
    <n v="87596"/>
    <n v="7.96"/>
  </r>
  <r>
    <s v="Q1"/>
    <x v="2"/>
    <x v="11"/>
    <n v="265"/>
    <n v="249"/>
    <n v="16"/>
    <n v="6.04"/>
    <n v="25"/>
    <n v="3.55"/>
    <n v="12094.7"/>
    <n v="27377.06"/>
    <n v="75143"/>
    <n v="6.8"/>
  </r>
  <r>
    <s v="Q2"/>
    <x v="2"/>
    <x v="7"/>
    <n v="126"/>
    <n v="109"/>
    <n v="17"/>
    <n v="13.49"/>
    <n v="25"/>
    <n v="3.63"/>
    <n v="4377.6000000000004"/>
    <n v="10770.37"/>
    <n v="113282"/>
    <n v="6.97"/>
  </r>
  <r>
    <s v="Q2"/>
    <x v="2"/>
    <x v="11"/>
    <n v="263"/>
    <n v="260"/>
    <n v="3"/>
    <n v="1.1399999999999999"/>
    <n v="35"/>
    <n v="3.06"/>
    <n v="13046.8"/>
    <n v="25436.03"/>
    <n v="60447"/>
    <n v="7.65"/>
  </r>
  <r>
    <s v="Q2"/>
    <x v="2"/>
    <x v="0"/>
    <n v="80"/>
    <n v="70"/>
    <n v="10"/>
    <n v="12.5"/>
    <n v="11"/>
    <n v="3.02"/>
    <n v="8106.5"/>
    <n v="5642.98"/>
    <n v="104558"/>
    <n v="7.11"/>
  </r>
  <r>
    <s v="Q2"/>
    <x v="2"/>
    <x v="4"/>
    <n v="194"/>
    <n v="179"/>
    <n v="15"/>
    <n v="7.73"/>
    <n v="36"/>
    <n v="4.3499999999999996"/>
    <n v="11615.4"/>
    <n v="21801.29"/>
    <n v="112794"/>
    <n v="5.5"/>
  </r>
  <r>
    <s v="Q2"/>
    <x v="2"/>
    <x v="6"/>
    <n v="263"/>
    <n v="251"/>
    <n v="12"/>
    <n v="4.5599999999999996"/>
    <n v="24"/>
    <n v="3.62"/>
    <n v="9885.9"/>
    <n v="7704.92"/>
    <n v="108231"/>
    <n v="6.31"/>
  </r>
  <r>
    <s v="Q2"/>
    <x v="2"/>
    <x v="3"/>
    <n v="104"/>
    <n v="88"/>
    <n v="16"/>
    <n v="15.38"/>
    <n v="18"/>
    <n v="3.3"/>
    <n v="7154.4"/>
    <n v="16586.79"/>
    <n v="83917"/>
    <n v="6.71"/>
  </r>
  <r>
    <s v="Q3"/>
    <x v="2"/>
    <x v="3"/>
    <n v="293"/>
    <n v="276"/>
    <n v="17"/>
    <n v="5.8"/>
    <n v="12"/>
    <n v="3.29"/>
    <n v="4067.1"/>
    <n v="9418.1299999999992"/>
    <n v="61730"/>
    <n v="5.76"/>
  </r>
  <r>
    <s v="Q3"/>
    <x v="2"/>
    <x v="5"/>
    <n v="216"/>
    <n v="207"/>
    <n v="9"/>
    <n v="4.17"/>
    <n v="31"/>
    <n v="4.08"/>
    <n v="14018.8"/>
    <n v="8313.4500000000007"/>
    <n v="84282"/>
    <n v="8.2200000000000006"/>
  </r>
  <r>
    <s v="Q3"/>
    <x v="2"/>
    <x v="11"/>
    <n v="138"/>
    <n v="120"/>
    <n v="18"/>
    <n v="13.04"/>
    <n v="28"/>
    <n v="3.42"/>
    <n v="6055.7"/>
    <n v="14351.99"/>
    <n v="46426"/>
    <n v="7.2"/>
  </r>
  <r>
    <s v="Q3"/>
    <x v="2"/>
    <x v="10"/>
    <n v="54"/>
    <n v="36"/>
    <n v="18"/>
    <n v="33.33"/>
    <n v="27"/>
    <n v="3.42"/>
    <n v="14940.2"/>
    <n v="28574.61"/>
    <n v="75134"/>
    <n v="8.7899999999999991"/>
  </r>
  <r>
    <s v="Q3"/>
    <x v="2"/>
    <x v="9"/>
    <n v="219"/>
    <n v="209"/>
    <n v="10"/>
    <n v="4.57"/>
    <n v="7"/>
    <n v="3.14"/>
    <n v="14870.5"/>
    <n v="22129.51"/>
    <n v="82127"/>
    <n v="6.87"/>
  </r>
  <r>
    <s v="Q3"/>
    <x v="2"/>
    <x v="6"/>
    <n v="177"/>
    <n v="158"/>
    <n v="19"/>
    <n v="10.73"/>
    <n v="13"/>
    <n v="3.77"/>
    <n v="4894.1000000000004"/>
    <n v="7245.93"/>
    <n v="86731"/>
    <n v="6.42"/>
  </r>
  <r>
    <s v="Q4"/>
    <x v="2"/>
    <x v="1"/>
    <n v="282"/>
    <n v="280"/>
    <n v="2"/>
    <n v="0.71"/>
    <n v="23"/>
    <n v="4.2"/>
    <n v="12098.4"/>
    <n v="20787.95"/>
    <n v="118857"/>
    <n v="6.65"/>
  </r>
  <r>
    <s v="Q4"/>
    <x v="2"/>
    <x v="4"/>
    <n v="254"/>
    <n v="242"/>
    <n v="12"/>
    <n v="4.72"/>
    <n v="11"/>
    <n v="3.6"/>
    <n v="5551.7"/>
    <n v="2917.55"/>
    <n v="99715"/>
    <n v="6.35"/>
  </r>
  <r>
    <s v="Q4"/>
    <x v="2"/>
    <x v="7"/>
    <n v="134"/>
    <n v="119"/>
    <n v="15"/>
    <n v="11.19"/>
    <n v="15"/>
    <n v="3.83"/>
    <n v="2138.6"/>
    <n v="2717.07"/>
    <n v="36508"/>
    <n v="6.77"/>
  </r>
  <r>
    <s v="Q4"/>
    <x v="2"/>
    <x v="8"/>
    <n v="64"/>
    <n v="59"/>
    <n v="5"/>
    <n v="7.81"/>
    <n v="36"/>
    <n v="4.45"/>
    <n v="14653.2"/>
    <n v="25499.53"/>
    <n v="65883"/>
    <n v="7.04"/>
  </r>
  <r>
    <s v="Q4"/>
    <x v="2"/>
    <x v="6"/>
    <n v="192"/>
    <n v="187"/>
    <n v="5"/>
    <n v="2.6"/>
    <n v="34"/>
    <n v="3.87"/>
    <n v="11699.4"/>
    <n v="5992"/>
    <n v="87292"/>
    <n v="7.34"/>
  </r>
  <r>
    <s v="Q4"/>
    <x v="2"/>
    <x v="11"/>
    <n v="171"/>
    <n v="151"/>
    <n v="20"/>
    <n v="11.7"/>
    <n v="33"/>
    <n v="3.65"/>
    <n v="4758.8"/>
    <n v="9837.24"/>
    <n v="96140"/>
    <n v="6.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Supply Chain Optimizer"/>
    <s v="GreenEnergy Co"/>
    <x v="0"/>
    <x v="0"/>
    <n v="172.82"/>
    <n v="149.22"/>
    <s v="30-03-2022"/>
    <s v="20-11-2022"/>
    <m/>
    <x v="0"/>
    <n v="16"/>
    <n v="7765.2"/>
    <s v="EMP0508"/>
  </r>
  <r>
    <x v="1"/>
    <s v="Supply Chain Optimizer"/>
    <s v="TravelNest"/>
    <x v="1"/>
    <x v="1"/>
    <n v="123.83"/>
    <n v="158.34"/>
    <s v="01-11-2023"/>
    <s v="28-04-2024"/>
    <m/>
    <x v="0"/>
    <n v="4"/>
    <n v="2114.3000000000002"/>
    <s v="EMP0526"/>
  </r>
  <r>
    <x v="2"/>
    <s v="Data Warehouse Migration"/>
    <s v="FinServPro"/>
    <x v="2"/>
    <x v="2"/>
    <n v="110.56"/>
    <n v="114.91"/>
    <s v="07-12-2021"/>
    <s v="13-05-2022"/>
    <m/>
    <x v="1"/>
    <n v="14"/>
    <n v="1820.4"/>
    <s v="EMP0134"/>
  </r>
  <r>
    <x v="3"/>
    <s v="IoT Gateway"/>
    <s v="GlobalTrade Inc"/>
    <x v="1"/>
    <x v="3"/>
    <n v="167.36"/>
    <n v="156.31"/>
    <s v="04-08-2024"/>
    <s v="03-11-2024"/>
    <m/>
    <x v="2"/>
    <n v="5"/>
    <n v="4444.3999999999996"/>
    <s v="EMP0530"/>
  </r>
  <r>
    <x v="4"/>
    <s v="IoT Gateway"/>
    <s v="SmartCity Gov"/>
    <x v="3"/>
    <x v="4"/>
    <n v="111.58"/>
    <n v="82.9"/>
    <s v="27-03-2023"/>
    <s v="20-07-2023"/>
    <s v="19-07-2023"/>
    <x v="3"/>
    <n v="16"/>
    <n v="10825.8"/>
    <s v="EMP0214"/>
  </r>
  <r>
    <x v="5"/>
    <s v="Smart Grid System"/>
    <s v="EduSpark"/>
    <x v="4"/>
    <x v="5"/>
    <n v="167.64"/>
    <n v="168.44"/>
    <s v="05-03-2021"/>
    <s v="06-10-2021"/>
    <m/>
    <x v="2"/>
    <n v="17"/>
    <n v="5174.3"/>
    <s v="EMP0161"/>
  </r>
  <r>
    <x v="6"/>
    <s v="Fleet Management"/>
    <s v="GlobalTrade Inc"/>
    <x v="5"/>
    <x v="1"/>
    <n v="78.19"/>
    <n v="69.7"/>
    <s v="04-09-2021"/>
    <s v="10-11-2021"/>
    <m/>
    <x v="1"/>
    <n v="15"/>
    <n v="10820.4"/>
    <s v="EMP0105"/>
  </r>
  <r>
    <x v="7"/>
    <s v="Smart Grid System"/>
    <s v="FinServPro"/>
    <x v="4"/>
    <x v="6"/>
    <n v="101.73"/>
    <n v="115.49"/>
    <s v="26-10-2023"/>
    <s v="08-04-2024"/>
    <m/>
    <x v="1"/>
    <n v="8"/>
    <n v="5141.8999999999996"/>
    <s v="EMP0241"/>
  </r>
  <r>
    <x v="8"/>
    <s v="Analytics Dashboard"/>
    <s v="GlobalTrade Inc"/>
    <x v="1"/>
    <x v="7"/>
    <n v="96.83"/>
    <n v="89.11"/>
    <s v="19-08-2022"/>
    <s v="18-01-2023"/>
    <m/>
    <x v="4"/>
    <n v="3"/>
    <n v="458.3"/>
    <s v="EMP0414"/>
  </r>
  <r>
    <x v="9"/>
    <s v="Supply Chain Optimizer"/>
    <s v="LogiTrack"/>
    <x v="6"/>
    <x v="8"/>
    <n v="63.75"/>
    <n v="59.08"/>
    <s v="23-07-2024"/>
    <s v="06-12-2024"/>
    <m/>
    <x v="1"/>
    <n v="4"/>
    <n v="3512.1"/>
    <s v="EMP0508"/>
  </r>
  <r>
    <x v="10"/>
    <s v="DigitalBank Portal"/>
    <s v="SmartCity Gov"/>
    <x v="6"/>
    <x v="9"/>
    <n v="16.57"/>
    <n v="20.440000000000001"/>
    <s v="07-10-2022"/>
    <s v="08-08-2023"/>
    <m/>
    <x v="2"/>
    <n v="18"/>
    <n v="12125.9"/>
    <s v="EMP0291"/>
  </r>
  <r>
    <x v="11"/>
    <s v="Smart Grid System"/>
    <s v="GreenEnergy Co"/>
    <x v="4"/>
    <x v="10"/>
    <n v="10.59"/>
    <n v="10.16"/>
    <s v="17-02-2023"/>
    <s v="16-06-2023"/>
    <m/>
    <x v="0"/>
    <n v="23"/>
    <n v="18151.5"/>
    <s v="EMP0352"/>
  </r>
  <r>
    <x v="12"/>
    <s v="HR Automation Suite"/>
    <s v="FinServPro"/>
    <x v="7"/>
    <x v="9"/>
    <n v="9.07"/>
    <n v="10.119999999999999"/>
    <s v="24-08-2022"/>
    <s v="21-03-2023"/>
    <m/>
    <x v="4"/>
    <n v="14"/>
    <n v="8129.3"/>
    <s v="EMP0094"/>
  </r>
  <r>
    <x v="13"/>
    <s v="Analytics Dashboard"/>
    <s v="MediCare Systems"/>
    <x v="8"/>
    <x v="10"/>
    <n v="139.63999999999999"/>
    <n v="171.38"/>
    <s v="04-03-2023"/>
    <s v="20-12-2023"/>
    <m/>
    <x v="4"/>
    <n v="16"/>
    <n v="5854.7"/>
    <s v="EMP0371"/>
  </r>
  <r>
    <x v="14"/>
    <s v="DigitalBank Portal"/>
    <s v="GreenEnergy Co"/>
    <x v="5"/>
    <x v="5"/>
    <n v="57.32"/>
    <n v="74.5"/>
    <s v="06-05-2023"/>
    <s v="15-07-2023"/>
    <m/>
    <x v="4"/>
    <n v="8"/>
    <n v="2307"/>
    <s v="EMP0538"/>
  </r>
  <r>
    <x v="15"/>
    <s v="Analytics Dashboard"/>
    <s v="TravelNest"/>
    <x v="9"/>
    <x v="11"/>
    <n v="190.76"/>
    <n v="200.88"/>
    <s v="12-02-2023"/>
    <s v="08-05-2023"/>
    <m/>
    <x v="1"/>
    <n v="24"/>
    <n v="17402.8"/>
    <s v="EMP0119"/>
  </r>
  <r>
    <x v="16"/>
    <s v="IoT Gateway"/>
    <s v="AutoDrive"/>
    <x v="5"/>
    <x v="12"/>
    <n v="61.25"/>
    <n v="53.5"/>
    <s v="10-02-2021"/>
    <s v="18-07-2021"/>
    <m/>
    <x v="0"/>
    <n v="9"/>
    <n v="7651.3"/>
    <s v="EMP0540"/>
  </r>
  <r>
    <x v="17"/>
    <s v="IoT Gateway"/>
    <s v="BankFirst Ltd"/>
    <x v="1"/>
    <x v="10"/>
    <n v="149.91"/>
    <n v="115.82"/>
    <s v="29-02-2024"/>
    <s v="30-08-2024"/>
    <m/>
    <x v="0"/>
    <n v="21"/>
    <n v="3049.6"/>
    <s v="EMP0169"/>
  </r>
  <r>
    <x v="18"/>
    <s v="Talent Management"/>
    <s v="MediCare Systems"/>
    <x v="4"/>
    <x v="11"/>
    <n v="131.08000000000001"/>
    <n v="114.66"/>
    <s v="18-03-2022"/>
    <s v="21-06-2022"/>
    <m/>
    <x v="2"/>
    <n v="4"/>
    <n v="2931.5"/>
    <s v="EMP0282"/>
  </r>
  <r>
    <x v="19"/>
    <s v="IoT Gateway"/>
    <s v="LogiTrack"/>
    <x v="10"/>
    <x v="11"/>
    <n v="124.11"/>
    <n v="89.15"/>
    <s v="25-03-2021"/>
    <s v="22-01-2022"/>
    <m/>
    <x v="2"/>
    <n v="12"/>
    <n v="5050.3"/>
    <s v="EMP0571"/>
  </r>
  <r>
    <x v="20"/>
    <s v="Mobile Banking App"/>
    <s v="GlobalTrade Inc"/>
    <x v="7"/>
    <x v="7"/>
    <n v="45.9"/>
    <n v="43.67"/>
    <s v="04-07-2023"/>
    <s v="28-05-2024"/>
    <m/>
    <x v="2"/>
    <n v="16"/>
    <n v="10531.7"/>
    <s v="EMP0380"/>
  </r>
  <r>
    <x v="21"/>
    <s v="Inventory Tracker"/>
    <s v="EduSpark"/>
    <x v="0"/>
    <x v="5"/>
    <n v="82.79"/>
    <n v="80.58"/>
    <s v="17-02-2023"/>
    <s v="23-12-2023"/>
    <m/>
    <x v="1"/>
    <n v="13"/>
    <n v="9667.2000000000007"/>
    <s v="EMP0207"/>
  </r>
  <r>
    <x v="22"/>
    <s v="Smart Parking"/>
    <s v="EduSpark"/>
    <x v="3"/>
    <x v="9"/>
    <n v="98.49"/>
    <n v="96.59"/>
    <s v="21-04-2024"/>
    <s v="21-01-2025"/>
    <m/>
    <x v="0"/>
    <n v="12"/>
    <n v="4353"/>
    <s v="EMP0463"/>
  </r>
  <r>
    <x v="23"/>
    <s v="ML Fraud Detection"/>
    <s v="SmartCity Gov"/>
    <x v="1"/>
    <x v="12"/>
    <n v="168.31"/>
    <n v="148.69"/>
    <s v="25-06-2022"/>
    <s v="05-09-2022"/>
    <m/>
    <x v="2"/>
    <n v="19"/>
    <n v="12613.9"/>
    <s v="EMP0285"/>
  </r>
  <r>
    <x v="24"/>
    <s v="Data Warehouse Migration"/>
    <s v="AutoDrive"/>
    <x v="9"/>
    <x v="4"/>
    <n v="31.96"/>
    <n v="38.49"/>
    <s v="05-07-2023"/>
    <s v="27-03-2024"/>
    <m/>
    <x v="1"/>
    <n v="10"/>
    <n v="8647.7000000000007"/>
    <s v="EMP0242"/>
  </r>
  <r>
    <x v="25"/>
    <s v="Customer 360 View"/>
    <s v="FinServPro"/>
    <x v="2"/>
    <x v="10"/>
    <n v="111.45"/>
    <n v="106.53"/>
    <s v="03-11-2023"/>
    <s v="26-10-2024"/>
    <m/>
    <x v="0"/>
    <n v="21"/>
    <n v="16743.099999999999"/>
    <s v="EMP0532"/>
  </r>
  <r>
    <x v="26"/>
    <s v="LMS Portal"/>
    <s v="GreenEnergy Co"/>
    <x v="8"/>
    <x v="11"/>
    <n v="183.02"/>
    <n v="236.49"/>
    <s v="01-09-2022"/>
    <s v="01-01-2023"/>
    <m/>
    <x v="1"/>
    <n v="24"/>
    <n v="6995.5"/>
    <s v="EMP0599"/>
  </r>
  <r>
    <x v="27"/>
    <s v="Talent Management"/>
    <s v="EduSpark"/>
    <x v="3"/>
    <x v="12"/>
    <n v="138.96"/>
    <n v="163.13999999999999"/>
    <s v="18-06-2022"/>
    <s v="12-04-2023"/>
    <m/>
    <x v="4"/>
    <n v="7"/>
    <n v="3265"/>
    <s v="EMP0464"/>
  </r>
  <r>
    <x v="28"/>
    <s v="Analytics Dashboard"/>
    <s v="EduSpark"/>
    <x v="6"/>
    <x v="1"/>
    <n v="34.36"/>
    <n v="35.61"/>
    <s v="11-05-2021"/>
    <s v="10-08-2021"/>
    <m/>
    <x v="1"/>
    <n v="12"/>
    <n v="3624.4"/>
    <s v="EMP0168"/>
  </r>
  <r>
    <x v="29"/>
    <s v="ERP Implementation"/>
    <s v="SportsPro"/>
    <x v="4"/>
    <x v="8"/>
    <n v="66.930000000000007"/>
    <n v="50.48"/>
    <s v="10-06-2024"/>
    <s v="12-12-2024"/>
    <m/>
    <x v="1"/>
    <n v="5"/>
    <n v="4226.3"/>
    <s v="EMP0391"/>
  </r>
  <r>
    <x v="30"/>
    <s v="Mobile Banking App"/>
    <s v="FinServPro"/>
    <x v="5"/>
    <x v="13"/>
    <n v="196.41"/>
    <n v="248.34"/>
    <s v="05-03-2021"/>
    <s v="28-08-2021"/>
    <m/>
    <x v="4"/>
    <n v="15"/>
    <n v="7778.3"/>
    <s v="EMP0118"/>
  </r>
  <r>
    <x v="31"/>
    <s v="DigitalBank Portal"/>
    <s v="AutoDrive"/>
    <x v="11"/>
    <x v="7"/>
    <n v="77.56"/>
    <n v="77.319999999999993"/>
    <s v="30-07-2023"/>
    <s v="28-09-2023"/>
    <m/>
    <x v="0"/>
    <n v="13"/>
    <n v="1605.8"/>
    <s v="EMP0196"/>
  </r>
  <r>
    <x v="32"/>
    <s v="Talent Management"/>
    <s v="MediCare Systems"/>
    <x v="3"/>
    <x v="7"/>
    <n v="38.799999999999997"/>
    <n v="34.659999999999997"/>
    <s v="15-07-2023"/>
    <s v="14-05-2024"/>
    <m/>
    <x v="4"/>
    <n v="23"/>
    <n v="17202.3"/>
    <s v="EMP0251"/>
  </r>
  <r>
    <x v="33"/>
    <s v="AI Chatbot"/>
    <s v="SmartCity Gov"/>
    <x v="10"/>
    <x v="14"/>
    <n v="106.16"/>
    <n v="85.86"/>
    <s v="13-04-2023"/>
    <s v="23-01-2024"/>
    <m/>
    <x v="1"/>
    <n v="15"/>
    <n v="2340"/>
    <s v="EMP0239"/>
  </r>
  <r>
    <x v="34"/>
    <s v="Fleet Management"/>
    <s v="GreenEnergy Co"/>
    <x v="8"/>
    <x v="10"/>
    <n v="109.16"/>
    <n v="92.25"/>
    <s v="10-02-2022"/>
    <s v="22-06-2022"/>
    <m/>
    <x v="0"/>
    <n v="6"/>
    <n v="2054.6"/>
    <s v="EMP0529"/>
  </r>
  <r>
    <x v="35"/>
    <s v="DigitalBank Portal"/>
    <s v="TravelNest"/>
    <x v="2"/>
    <x v="9"/>
    <n v="82.32"/>
    <n v="97.59"/>
    <s v="21-07-2022"/>
    <s v="06-07-2023"/>
    <m/>
    <x v="0"/>
    <n v="16"/>
    <n v="1988"/>
    <s v="EMP0321"/>
  </r>
  <r>
    <x v="36"/>
    <s v="Analytics Dashboard"/>
    <s v="EduSpark"/>
    <x v="8"/>
    <x v="6"/>
    <n v="55.06"/>
    <n v="57.15"/>
    <s v="21-11-2022"/>
    <s v="16-06-2023"/>
    <s v="02-06-2023"/>
    <x v="3"/>
    <n v="5"/>
    <n v="3111"/>
    <s v="EMP0390"/>
  </r>
  <r>
    <x v="37"/>
    <s v="Fleet Management"/>
    <s v="InsureNow"/>
    <x v="4"/>
    <x v="6"/>
    <n v="19.87"/>
    <n v="16.010000000000002"/>
    <s v="24-12-2023"/>
    <s v="28-06-2024"/>
    <m/>
    <x v="4"/>
    <n v="18"/>
    <n v="4154.7"/>
    <s v="EMP0010"/>
  </r>
  <r>
    <x v="38"/>
    <s v="Smart Grid System"/>
    <s v="RetailPlus"/>
    <x v="4"/>
    <x v="3"/>
    <n v="52.99"/>
    <n v="49.34"/>
    <s v="23-02-2021"/>
    <s v="18-09-2021"/>
    <m/>
    <x v="4"/>
    <n v="14"/>
    <n v="7275.9"/>
    <s v="EMP0429"/>
  </r>
  <r>
    <x v="39"/>
    <s v="Inventory Tracker"/>
    <s v="SportsPro"/>
    <x v="0"/>
    <x v="11"/>
    <n v="38.03"/>
    <n v="31.61"/>
    <s v="03-07-2021"/>
    <s v="09-02-2022"/>
    <m/>
    <x v="2"/>
    <n v="11"/>
    <n v="1228.3"/>
    <s v="EMP0279"/>
  </r>
  <r>
    <x v="40"/>
    <s v="ML Fraud Detection"/>
    <s v="SportsPro"/>
    <x v="6"/>
    <x v="7"/>
    <n v="93.95"/>
    <n v="94.74"/>
    <s v="01-07-2022"/>
    <s v="12-11-2022"/>
    <m/>
    <x v="0"/>
    <n v="15"/>
    <n v="7707.2"/>
    <s v="EMP0096"/>
  </r>
  <r>
    <x v="41"/>
    <s v="E-Commerce Platform"/>
    <s v="FinServPro"/>
    <x v="10"/>
    <x v="6"/>
    <n v="183.85"/>
    <n v="234.02"/>
    <s v="14-03-2024"/>
    <s v="22-08-2024"/>
    <m/>
    <x v="2"/>
    <n v="9"/>
    <n v="2621"/>
    <s v="EMP0337"/>
  </r>
  <r>
    <x v="42"/>
    <s v="Talent Management"/>
    <s v="EduSpark"/>
    <x v="1"/>
    <x v="12"/>
    <n v="23.27"/>
    <n v="20.03"/>
    <s v="19-10-2022"/>
    <s v="04-08-2023"/>
    <m/>
    <x v="0"/>
    <n v="14"/>
    <n v="2340.5"/>
    <s v="EMP0180"/>
  </r>
  <r>
    <x v="43"/>
    <s v="Supply Chain Optimizer"/>
    <s v="GlobalTrade Inc"/>
    <x v="9"/>
    <x v="9"/>
    <n v="59.86"/>
    <n v="42.4"/>
    <s v="09-06-2021"/>
    <s v="08-05-2022"/>
    <m/>
    <x v="4"/>
    <n v="4"/>
    <n v="2436.1999999999998"/>
    <s v="EMP0499"/>
  </r>
  <r>
    <x v="44"/>
    <s v="E-Commerce Platform"/>
    <s v="InsureNow"/>
    <x v="7"/>
    <x v="3"/>
    <n v="166.14"/>
    <n v="137.43"/>
    <s v="23-07-2024"/>
    <s v="28-04-2025"/>
    <m/>
    <x v="4"/>
    <n v="24"/>
    <n v="19549.7"/>
    <s v="EMP0371"/>
  </r>
  <r>
    <x v="45"/>
    <s v="HR Automation Suite"/>
    <s v="RetailPlus"/>
    <x v="11"/>
    <x v="10"/>
    <n v="17"/>
    <n v="19.66"/>
    <s v="15-01-2024"/>
    <s v="05-08-2024"/>
    <m/>
    <x v="0"/>
    <n v="16"/>
    <n v="10245.299999999999"/>
    <s v="EMP0447"/>
  </r>
  <r>
    <x v="46"/>
    <s v="Inventory Tracker"/>
    <s v="BankFirst Ltd"/>
    <x v="3"/>
    <x v="6"/>
    <n v="151.97"/>
    <n v="162.69999999999999"/>
    <s v="15-12-2024"/>
    <s v="01-11-2025"/>
    <m/>
    <x v="1"/>
    <n v="5"/>
    <n v="4070.4"/>
    <s v="EMP0216"/>
  </r>
  <r>
    <x v="47"/>
    <s v="Data Warehouse Migration"/>
    <s v="LogiTrack"/>
    <x v="11"/>
    <x v="2"/>
    <n v="165.98"/>
    <n v="150.33000000000001"/>
    <s v="31-05-2023"/>
    <s v="02-10-2023"/>
    <m/>
    <x v="1"/>
    <n v="23"/>
    <n v="18188.400000000001"/>
    <s v="EMP0003"/>
  </r>
  <r>
    <x v="48"/>
    <s v="LMS Portal"/>
    <s v="BankFirst Ltd"/>
    <x v="8"/>
    <x v="10"/>
    <n v="191.68"/>
    <n v="192.46"/>
    <s v="28-12-2024"/>
    <s v="16-10-2025"/>
    <m/>
    <x v="4"/>
    <n v="4"/>
    <n v="1183.5999999999999"/>
    <s v="EMP0264"/>
  </r>
  <r>
    <x v="49"/>
    <s v="Cloud Migration"/>
    <s v="InsureNow"/>
    <x v="2"/>
    <x v="11"/>
    <n v="22.2"/>
    <n v="27.12"/>
    <s v="12-10-2022"/>
    <s v="20-12-2022"/>
    <m/>
    <x v="4"/>
    <n v="24"/>
    <n v="19237.2"/>
    <s v="EMP0142"/>
  </r>
  <r>
    <x v="50"/>
    <s v="Inventory Tracker"/>
    <s v="SmartCity Gov"/>
    <x v="6"/>
    <x v="7"/>
    <n v="187.09"/>
    <n v="217.27"/>
    <s v="06-05-2023"/>
    <s v="31-12-2023"/>
    <s v="17-12-2023"/>
    <x v="3"/>
    <n v="3"/>
    <n v="1263.5999999999999"/>
    <s v="EMP0024"/>
  </r>
  <r>
    <x v="51"/>
    <s v="Real-Time Reporting"/>
    <s v="BankFirst Ltd"/>
    <x v="0"/>
    <x v="11"/>
    <n v="189.62"/>
    <n v="214.88"/>
    <s v="27-04-2024"/>
    <s v="13-02-2025"/>
    <m/>
    <x v="2"/>
    <n v="22"/>
    <n v="9937.5"/>
    <s v="EMP0337"/>
  </r>
  <r>
    <x v="52"/>
    <s v="DigitalBank Portal"/>
    <s v="MediCare Systems"/>
    <x v="0"/>
    <x v="3"/>
    <n v="109.35"/>
    <n v="101.38"/>
    <s v="12-04-2022"/>
    <s v="12-04-2023"/>
    <m/>
    <x v="4"/>
    <n v="10"/>
    <n v="8136.3"/>
    <s v="EMP0131"/>
  </r>
  <r>
    <x v="53"/>
    <s v="IoT Gateway"/>
    <s v="EduSpark"/>
    <x v="11"/>
    <x v="12"/>
    <n v="16.93"/>
    <n v="21.91"/>
    <s v="08-03-2022"/>
    <s v="01-07-2022"/>
    <m/>
    <x v="1"/>
    <n v="13"/>
    <n v="11014.5"/>
    <s v="EMP0049"/>
  </r>
  <r>
    <x v="54"/>
    <s v="Fleet Management"/>
    <s v="FinServPro"/>
    <x v="8"/>
    <x v="12"/>
    <n v="176.7"/>
    <n v="159.97999999999999"/>
    <s v="22-01-2022"/>
    <s v="14-01-2023"/>
    <s v="19-12-2022"/>
    <x v="3"/>
    <n v="9"/>
    <n v="6364.8"/>
    <s v="EMP0215"/>
  </r>
  <r>
    <x v="55"/>
    <s v="Talent Management"/>
    <s v="RetailPlus"/>
    <x v="7"/>
    <x v="13"/>
    <n v="9.9"/>
    <n v="8.9"/>
    <s v="17-01-2023"/>
    <s v="22-09-2023"/>
    <m/>
    <x v="4"/>
    <n v="25"/>
    <n v="22353.9"/>
    <s v="EMP0152"/>
  </r>
  <r>
    <x v="56"/>
    <s v="Analytics Dashboard"/>
    <s v="TravelNest"/>
    <x v="10"/>
    <x v="3"/>
    <n v="79.989999999999995"/>
    <n v="72.56"/>
    <s v="26-06-2023"/>
    <s v="30-05-2024"/>
    <m/>
    <x v="2"/>
    <n v="9"/>
    <n v="5178.8999999999996"/>
    <s v="EMP0595"/>
  </r>
  <r>
    <x v="57"/>
    <s v="Data Warehouse Migration"/>
    <s v="BankFirst Ltd"/>
    <x v="4"/>
    <x v="11"/>
    <n v="138"/>
    <n v="103.18"/>
    <s v="10-01-2024"/>
    <s v="23-11-2024"/>
    <m/>
    <x v="1"/>
    <n v="13"/>
    <n v="9223.2999999999993"/>
    <s v="EMP0561"/>
  </r>
  <r>
    <x v="58"/>
    <s v="E-Commerce Platform"/>
    <s v="SmartCity Gov"/>
    <x v="5"/>
    <x v="6"/>
    <n v="7.95"/>
    <n v="9.6"/>
    <s v="28-11-2022"/>
    <s v="30-09-2023"/>
    <m/>
    <x v="2"/>
    <n v="25"/>
    <n v="19881.3"/>
    <s v="EMP0522"/>
  </r>
  <r>
    <x v="59"/>
    <s v="Cloud Migration"/>
    <s v="AutoDrive"/>
    <x v="8"/>
    <x v="12"/>
    <n v="138.01"/>
    <n v="102.5"/>
    <s v="18-05-2024"/>
    <s v="30-04-2025"/>
    <m/>
    <x v="0"/>
    <n v="13"/>
    <n v="7864.1"/>
    <s v="EMP0536"/>
  </r>
  <r>
    <x v="60"/>
    <s v="DigitalBank Portal"/>
    <s v="AgroTech Farms"/>
    <x v="10"/>
    <x v="10"/>
    <n v="62"/>
    <n v="75.73"/>
    <s v="19-11-2021"/>
    <s v="30-06-2022"/>
    <m/>
    <x v="0"/>
    <n v="22"/>
    <n v="10432.5"/>
    <s v="EMP0215"/>
  </r>
  <r>
    <x v="61"/>
    <s v="Cloud Migration"/>
    <s v="BankFirst Ltd"/>
    <x v="5"/>
    <x v="10"/>
    <n v="129.58000000000001"/>
    <n v="125.48"/>
    <s v="02-12-2023"/>
    <s v="18-09-2024"/>
    <m/>
    <x v="4"/>
    <n v="3"/>
    <n v="2207.1999999999998"/>
    <s v="EMP0566"/>
  </r>
  <r>
    <x v="62"/>
    <s v="Smart Parking"/>
    <s v="GlobalTrade Inc"/>
    <x v="10"/>
    <x v="3"/>
    <n v="177.78"/>
    <n v="195.17"/>
    <s v="17-09-2021"/>
    <s v="09-12-2021"/>
    <m/>
    <x v="4"/>
    <n v="14"/>
    <n v="10283.299999999999"/>
    <s v="EMP0600"/>
  </r>
  <r>
    <x v="63"/>
    <s v="Cloud Migration"/>
    <s v="EduSpark"/>
    <x v="8"/>
    <x v="11"/>
    <n v="9.07"/>
    <n v="8.52"/>
    <s v="16-06-2022"/>
    <s v="14-05-2023"/>
    <m/>
    <x v="4"/>
    <n v="17"/>
    <n v="15240.3"/>
    <s v="EMP0195"/>
  </r>
  <r>
    <x v="64"/>
    <s v="Inventory Tracker"/>
    <s v="RetailPlus"/>
    <x v="2"/>
    <x v="7"/>
    <n v="159.91"/>
    <n v="191.06"/>
    <s v="05-07-2022"/>
    <s v="09-09-2022"/>
    <m/>
    <x v="0"/>
    <n v="9"/>
    <n v="5475.2"/>
    <s v="EMP0588"/>
  </r>
  <r>
    <x v="65"/>
    <s v="Fleet Management"/>
    <s v="InsureNow"/>
    <x v="3"/>
    <x v="1"/>
    <n v="136.16999999999999"/>
    <n v="105.19"/>
    <s v="06-01-2022"/>
    <s v="05-04-2022"/>
    <m/>
    <x v="2"/>
    <n v="14"/>
    <n v="6868.9"/>
    <s v="EMP0185"/>
  </r>
  <r>
    <x v="66"/>
    <s v="HR Automation Suite"/>
    <s v="PayQuick"/>
    <x v="7"/>
    <x v="11"/>
    <n v="162.07"/>
    <n v="138.02000000000001"/>
    <s v="14-09-2021"/>
    <s v="22-06-2022"/>
    <s v="12-08-2022"/>
    <x v="3"/>
    <n v="14"/>
    <n v="6049.2"/>
    <s v="EMP0431"/>
  </r>
  <r>
    <x v="67"/>
    <s v="HR Automation Suite"/>
    <s v="GlobalTrade Inc"/>
    <x v="10"/>
    <x v="1"/>
    <n v="116.76"/>
    <n v="106.01"/>
    <s v="27-06-2023"/>
    <s v="16-02-2024"/>
    <m/>
    <x v="0"/>
    <n v="13"/>
    <n v="2705.9"/>
    <s v="EMP0026"/>
  </r>
  <r>
    <x v="68"/>
    <s v="ML Fraud Detection"/>
    <s v="InsureNow"/>
    <x v="8"/>
    <x v="12"/>
    <n v="132.03"/>
    <n v="98.38"/>
    <s v="03-03-2023"/>
    <s v="11-06-2023"/>
    <m/>
    <x v="1"/>
    <n v="9"/>
    <n v="2185"/>
    <s v="EMP0339"/>
  </r>
  <r>
    <x v="69"/>
    <s v="Smart Grid System"/>
    <s v="SportsPro"/>
    <x v="4"/>
    <x v="12"/>
    <n v="168.63"/>
    <n v="167.85"/>
    <s v="23-05-2021"/>
    <s v="03-02-2022"/>
    <m/>
    <x v="0"/>
    <n v="24"/>
    <n v="15758.1"/>
    <s v="EMP0216"/>
  </r>
  <r>
    <x v="70"/>
    <s v="Fleet Management"/>
    <s v="GreenEnergy Co"/>
    <x v="4"/>
    <x v="10"/>
    <n v="62.87"/>
    <n v="64.989999999999995"/>
    <s v="20-09-2024"/>
    <s v="19-03-2025"/>
    <s v="08-04-2025"/>
    <x v="3"/>
    <n v="17"/>
    <n v="3608"/>
    <s v="EMP0134"/>
  </r>
  <r>
    <x v="71"/>
    <s v="Analytics Dashboard"/>
    <s v="GreenEnergy Co"/>
    <x v="9"/>
    <x v="2"/>
    <n v="197.17"/>
    <n v="194.12"/>
    <s v="20-03-2021"/>
    <s v="29-11-2021"/>
    <s v="19-12-2021"/>
    <x v="3"/>
    <n v="3"/>
    <n v="1332.1"/>
    <s v="EMP0243"/>
  </r>
  <r>
    <x v="72"/>
    <s v="Cloud Migration"/>
    <s v="AutoDrive"/>
    <x v="5"/>
    <x v="0"/>
    <n v="125.62"/>
    <n v="93.39"/>
    <s v="08-09-2021"/>
    <s v="12-08-2022"/>
    <s v="18-07-2022"/>
    <x v="3"/>
    <n v="3"/>
    <n v="1401.9"/>
    <s v="EMP0027"/>
  </r>
  <r>
    <x v="73"/>
    <s v="ERP Implementation"/>
    <s v="FinServPro"/>
    <x v="3"/>
    <x v="10"/>
    <n v="189.08"/>
    <n v="192.83"/>
    <s v="06-04-2021"/>
    <s v="28-07-2021"/>
    <s v="25-08-2021"/>
    <x v="3"/>
    <n v="3"/>
    <n v="2063.6"/>
    <s v="EMP0401"/>
  </r>
  <r>
    <x v="74"/>
    <s v="Real-Time Reporting"/>
    <s v="PayQuick"/>
    <x v="6"/>
    <x v="4"/>
    <n v="127.81"/>
    <n v="124.32"/>
    <s v="17-01-2023"/>
    <s v="03-11-2023"/>
    <m/>
    <x v="1"/>
    <n v="2"/>
    <n v="1618.2"/>
    <s v="EMP0231"/>
  </r>
  <r>
    <x v="75"/>
    <s v="Cloud Migration"/>
    <s v="AgroTech Farms"/>
    <x v="9"/>
    <x v="3"/>
    <n v="128.47999999999999"/>
    <n v="147.78"/>
    <s v="27-07-2022"/>
    <s v="02-06-2023"/>
    <m/>
    <x v="1"/>
    <n v="4"/>
    <n v="3067.1"/>
    <s v="EMP0022"/>
  </r>
  <r>
    <x v="76"/>
    <s v="Talent Management"/>
    <s v="PayQuick"/>
    <x v="3"/>
    <x v="11"/>
    <n v="168.48"/>
    <n v="139.91999999999999"/>
    <s v="17-09-2023"/>
    <s v="12-08-2024"/>
    <m/>
    <x v="4"/>
    <n v="19"/>
    <n v="12786.7"/>
    <s v="EMP0412"/>
  </r>
  <r>
    <x v="77"/>
    <s v="Data Warehouse Migration"/>
    <s v="SmartCity Gov"/>
    <x v="4"/>
    <x v="4"/>
    <n v="5.87"/>
    <n v="5.22"/>
    <s v="15-03-2022"/>
    <s v="21-08-2022"/>
    <m/>
    <x v="4"/>
    <n v="8"/>
    <n v="958.7"/>
    <s v="EMP0558"/>
  </r>
  <r>
    <x v="78"/>
    <s v="Cloud Migration"/>
    <s v="AgroTech Farms"/>
    <x v="4"/>
    <x v="12"/>
    <n v="9.57"/>
    <n v="8.9499999999999993"/>
    <s v="18-08-2023"/>
    <s v="12-04-2024"/>
    <m/>
    <x v="4"/>
    <n v="10"/>
    <n v="4573.3999999999996"/>
    <s v="EMP0208"/>
  </r>
  <r>
    <x v="79"/>
    <s v="Talent Management"/>
    <s v="GreenEnergy Co"/>
    <x v="2"/>
    <x v="10"/>
    <n v="143.72999999999999"/>
    <n v="182.41"/>
    <s v="08-03-2022"/>
    <s v="01-02-2023"/>
    <m/>
    <x v="2"/>
    <n v="12"/>
    <n v="1974.4"/>
    <s v="EMP0483"/>
  </r>
  <r>
    <x v="80"/>
    <s v="Smart Parking"/>
    <s v="AgroTech Farms"/>
    <x v="11"/>
    <x v="5"/>
    <n v="15.28"/>
    <n v="18.420000000000002"/>
    <s v="16-12-2022"/>
    <s v="31-10-2023"/>
    <m/>
    <x v="2"/>
    <n v="4"/>
    <n v="1919"/>
    <s v="EMP0180"/>
  </r>
  <r>
    <x v="81"/>
    <s v="Mobile Banking App"/>
    <s v="InsureNow"/>
    <x v="8"/>
    <x v="6"/>
    <n v="10.69"/>
    <n v="12.4"/>
    <s v="19-04-2021"/>
    <s v="28-10-2021"/>
    <m/>
    <x v="1"/>
    <n v="22"/>
    <n v="19607.099999999999"/>
    <s v="EMP0014"/>
  </r>
  <r>
    <x v="82"/>
    <s v="LMS Portal"/>
    <s v="PayQuick"/>
    <x v="7"/>
    <x v="0"/>
    <n v="140.44999999999999"/>
    <n v="107.36"/>
    <s v="23-01-2023"/>
    <s v="06-12-2023"/>
    <s v="14-12-2023"/>
    <x v="3"/>
    <n v="11"/>
    <n v="7278.4"/>
    <s v="EMP0238"/>
  </r>
  <r>
    <x v="83"/>
    <s v="IoT Gateway"/>
    <s v="InsureNow"/>
    <x v="10"/>
    <x v="0"/>
    <n v="99.32"/>
    <n v="75.05"/>
    <s v="01-10-2021"/>
    <s v="15-07-2022"/>
    <s v="12-09-2022"/>
    <x v="3"/>
    <n v="14"/>
    <n v="7185.2"/>
    <s v="EMP0001"/>
  </r>
  <r>
    <x v="84"/>
    <s v="ML Fraud Detection"/>
    <s v="AgroTech Farms"/>
    <x v="11"/>
    <x v="6"/>
    <n v="93.51"/>
    <n v="88.77"/>
    <s v="29-05-2023"/>
    <s v="24-11-2023"/>
    <m/>
    <x v="4"/>
    <n v="6"/>
    <n v="1009.2"/>
    <s v="EMP0156"/>
  </r>
  <r>
    <x v="85"/>
    <s v="AI Chatbot"/>
    <s v="MediCare Systems"/>
    <x v="11"/>
    <x v="8"/>
    <n v="27.34"/>
    <n v="19.34"/>
    <s v="14-01-2021"/>
    <s v="03-10-2021"/>
    <m/>
    <x v="1"/>
    <n v="15"/>
    <n v="7811.8"/>
    <s v="EMP0444"/>
  </r>
  <r>
    <x v="86"/>
    <s v="Analytics Dashboard"/>
    <s v="BankFirst Ltd"/>
    <x v="2"/>
    <x v="8"/>
    <n v="177.84"/>
    <n v="161.83000000000001"/>
    <s v="27-05-2024"/>
    <s v="01-01-2025"/>
    <m/>
    <x v="0"/>
    <n v="19"/>
    <n v="10552.9"/>
    <s v="EMP0197"/>
  </r>
  <r>
    <x v="87"/>
    <s v="Analytics Dashboard"/>
    <s v="RetailPlus"/>
    <x v="6"/>
    <x v="13"/>
    <n v="66.91"/>
    <n v="64.67"/>
    <s v="17-02-2023"/>
    <s v="18-01-2024"/>
    <m/>
    <x v="1"/>
    <n v="20"/>
    <n v="12241.3"/>
    <s v="EMP0504"/>
  </r>
  <r>
    <x v="88"/>
    <s v="Mobile Banking App"/>
    <s v="InsureNow"/>
    <x v="3"/>
    <x v="3"/>
    <n v="22.25"/>
    <n v="23.94"/>
    <s v="02-03-2023"/>
    <s v="18-05-2023"/>
    <m/>
    <x v="2"/>
    <n v="25"/>
    <n v="5721.7"/>
    <s v="EMP0256"/>
  </r>
  <r>
    <x v="89"/>
    <s v="DigitalBank Portal"/>
    <s v="BankFirst Ltd"/>
    <x v="2"/>
    <x v="7"/>
    <n v="146.28"/>
    <n v="179.79"/>
    <s v="24-12-2022"/>
    <s v="25-03-2023"/>
    <m/>
    <x v="0"/>
    <n v="22"/>
    <n v="16468.599999999999"/>
    <s v="EMP0360"/>
  </r>
  <r>
    <x v="90"/>
    <s v="ML Fraud Detection"/>
    <s v="TravelNest"/>
    <x v="3"/>
    <x v="9"/>
    <n v="147.04"/>
    <n v="158.61000000000001"/>
    <s v="01-04-2022"/>
    <s v="11-08-2022"/>
    <m/>
    <x v="2"/>
    <n v="3"/>
    <n v="1861.2"/>
    <s v="EMP0500"/>
  </r>
  <r>
    <x v="91"/>
    <s v="Smart Parking"/>
    <s v="LogiTrack"/>
    <x v="9"/>
    <x v="11"/>
    <n v="86.62"/>
    <n v="97.12"/>
    <s v="11-01-2023"/>
    <s v="04-09-2023"/>
    <m/>
    <x v="2"/>
    <n v="9"/>
    <n v="6691.3"/>
    <s v="EMP0518"/>
  </r>
  <r>
    <x v="92"/>
    <s v="HR Automation Suite"/>
    <s v="GreenEnergy Co"/>
    <x v="1"/>
    <x v="0"/>
    <n v="152.57"/>
    <n v="169.36"/>
    <s v="02-04-2024"/>
    <s v="09-06-2024"/>
    <m/>
    <x v="0"/>
    <n v="7"/>
    <n v="3766.2"/>
    <s v="EMP0522"/>
  </r>
  <r>
    <x v="93"/>
    <s v="Real-Time Reporting"/>
    <s v="GreenEnergy Co"/>
    <x v="4"/>
    <x v="7"/>
    <n v="166.53"/>
    <n v="207.35"/>
    <s v="24-02-2021"/>
    <s v="13-02-2022"/>
    <m/>
    <x v="1"/>
    <n v="3"/>
    <n v="1143.3"/>
    <s v="EMP0086"/>
  </r>
  <r>
    <x v="94"/>
    <s v="Data Warehouse Migration"/>
    <s v="EduSpark"/>
    <x v="8"/>
    <x v="2"/>
    <n v="164.06"/>
    <n v="135"/>
    <s v="27-05-2022"/>
    <s v="06-01-2023"/>
    <m/>
    <x v="0"/>
    <n v="18"/>
    <n v="2681.8"/>
    <s v="EMP0535"/>
  </r>
  <r>
    <x v="95"/>
    <s v="Talent Management"/>
    <s v="InsureNow"/>
    <x v="8"/>
    <x v="2"/>
    <n v="100.01"/>
    <n v="87.7"/>
    <s v="07-12-2024"/>
    <s v="18-06-2025"/>
    <s v="17-08-2025"/>
    <x v="3"/>
    <n v="15"/>
    <n v="7065.2"/>
    <s v="EMP0148"/>
  </r>
  <r>
    <x v="96"/>
    <s v="Fleet Management"/>
    <s v="FinServPro"/>
    <x v="9"/>
    <x v="2"/>
    <n v="52.08"/>
    <n v="55.74"/>
    <s v="09-08-2022"/>
    <s v="20-06-2023"/>
    <m/>
    <x v="4"/>
    <n v="6"/>
    <n v="3493"/>
    <s v="EMP0206"/>
  </r>
  <r>
    <x v="97"/>
    <s v="LMS Portal"/>
    <s v="MediCare Systems"/>
    <x v="9"/>
    <x v="2"/>
    <n v="106.89"/>
    <n v="76.37"/>
    <s v="31-07-2024"/>
    <s v="26-12-2024"/>
    <m/>
    <x v="1"/>
    <n v="12"/>
    <n v="2200.8000000000002"/>
    <s v="EMP0173"/>
  </r>
  <r>
    <x v="98"/>
    <s v="Smart Grid System"/>
    <s v="GlobalTrade Inc"/>
    <x v="5"/>
    <x v="2"/>
    <n v="72.95"/>
    <n v="74.099999999999994"/>
    <s v="13-11-2021"/>
    <s v="24-07-2022"/>
    <m/>
    <x v="2"/>
    <n v="16"/>
    <n v="7702.7"/>
    <s v="EMP0211"/>
  </r>
  <r>
    <x v="99"/>
    <s v="E-Commerce Platform"/>
    <s v="LogiTrack"/>
    <x v="5"/>
    <x v="14"/>
    <n v="30.47"/>
    <n v="35.380000000000003"/>
    <s v="22-02-2024"/>
    <s v="16-12-2024"/>
    <m/>
    <x v="0"/>
    <n v="14"/>
    <n v="3896.9"/>
    <s v="EMP0008"/>
  </r>
  <r>
    <x v="100"/>
    <s v="ML Fraud Detection"/>
    <s v="TravelNest"/>
    <x v="10"/>
    <x v="6"/>
    <n v="149.75"/>
    <n v="128.30000000000001"/>
    <s v="16-08-2023"/>
    <s v="19-05-2024"/>
    <m/>
    <x v="4"/>
    <n v="24"/>
    <n v="5896.4"/>
    <s v="EMP0133"/>
  </r>
  <r>
    <x v="101"/>
    <s v="Talent Management"/>
    <s v="GreenEnergy Co"/>
    <x v="5"/>
    <x v="10"/>
    <n v="69.56"/>
    <n v="80.52"/>
    <s v="25-04-2023"/>
    <s v="22-04-2024"/>
    <m/>
    <x v="2"/>
    <n v="4"/>
    <n v="1925.3"/>
    <s v="EMP0074"/>
  </r>
  <r>
    <x v="102"/>
    <s v="Mobile Banking App"/>
    <s v="LogiTrack"/>
    <x v="9"/>
    <x v="7"/>
    <m/>
    <n v="34.06"/>
    <s v="03-11-2022"/>
    <s v="15-05-2023"/>
    <m/>
    <x v="0"/>
    <n v="2"/>
    <n v="1338.7"/>
    <s v="EMP0335"/>
  </r>
  <r>
    <x v="103"/>
    <s v="DigitalBank Portal"/>
    <s v="LogiTrack"/>
    <x v="10"/>
    <x v="2"/>
    <n v="138.18"/>
    <n v="155.53"/>
    <s v="31-03-2021"/>
    <s v="02-02-2022"/>
    <m/>
    <x v="0"/>
    <n v="15"/>
    <n v="5248.8"/>
    <s v="EMP0471"/>
  </r>
  <r>
    <x v="104"/>
    <s v="ML Fraud Detection"/>
    <s v="MediCare Systems"/>
    <x v="5"/>
    <x v="7"/>
    <n v="53.7"/>
    <n v="43.35"/>
    <s v="12-06-2023"/>
    <s v="03-09-2023"/>
    <m/>
    <x v="0"/>
    <n v="19"/>
    <n v="13650"/>
    <s v="EMP0202"/>
  </r>
  <r>
    <x v="105"/>
    <s v="Analytics Dashboard"/>
    <s v="AutoDrive"/>
    <x v="1"/>
    <x v="7"/>
    <n v="183.88"/>
    <n v="214.92"/>
    <s v="09-06-2022"/>
    <s v="09-02-2023"/>
    <m/>
    <x v="2"/>
    <n v="11"/>
    <n v="8369.7999999999993"/>
    <s v="EMP0555"/>
  </r>
  <r>
    <x v="106"/>
    <s v="Customer 360 View"/>
    <s v="AgroTech Farms"/>
    <x v="4"/>
    <x v="7"/>
    <n v="41.85"/>
    <n v="38.450000000000003"/>
    <s v="24-05-2022"/>
    <s v="28-12-2022"/>
    <s v="29-01-2023"/>
    <x v="3"/>
    <n v="15"/>
    <n v="9902"/>
    <s v="EMP0362"/>
  </r>
  <r>
    <x v="107"/>
    <s v="ML Fraud Detection"/>
    <s v="SmartCity Gov"/>
    <x v="2"/>
    <x v="14"/>
    <n v="25.12"/>
    <n v="29.12"/>
    <s v="05-09-2024"/>
    <s v="29-12-2024"/>
    <s v="20-02-2025"/>
    <x v="3"/>
    <n v="5"/>
    <n v="1671.6"/>
    <s v="EMP0474"/>
  </r>
  <r>
    <x v="108"/>
    <s v="Smart Grid System"/>
    <s v="InsureNow"/>
    <x v="11"/>
    <x v="7"/>
    <n v="177.92"/>
    <n v="191.73"/>
    <s v="27-03-2024"/>
    <s v="09-02-2025"/>
    <m/>
    <x v="2"/>
    <n v="12"/>
    <n v="6189.9"/>
    <s v="EMP0289"/>
  </r>
  <r>
    <x v="109"/>
    <s v="DigitalBank Portal"/>
    <s v="InsureNow"/>
    <x v="0"/>
    <x v="13"/>
    <n v="94.44"/>
    <n v="70.27"/>
    <s v="26-06-2023"/>
    <s v="01-05-2024"/>
    <s v="12-05-2024"/>
    <x v="3"/>
    <n v="14"/>
    <n v="8648.4"/>
    <s v="EMP0347"/>
  </r>
  <r>
    <x v="110"/>
    <s v="Talent Management"/>
    <s v="GlobalTrade Inc"/>
    <x v="3"/>
    <x v="14"/>
    <n v="137.82"/>
    <n v="119.78"/>
    <s v="26-09-2023"/>
    <s v="11-09-2024"/>
    <m/>
    <x v="4"/>
    <n v="2"/>
    <n v="1659.4"/>
    <s v="EMP0003"/>
  </r>
  <r>
    <x v="111"/>
    <s v="DigitalBank Portal"/>
    <s v="SmartCity Gov"/>
    <x v="5"/>
    <x v="11"/>
    <n v="148.06"/>
    <n v="118.44"/>
    <s v="24-07-2024"/>
    <s v="14-10-2024"/>
    <m/>
    <x v="0"/>
    <n v="10"/>
    <n v="7624.9"/>
    <s v="EMP0399"/>
  </r>
  <r>
    <x v="112"/>
    <s v="Analytics Dashboard"/>
    <s v="GlobalTrade Inc"/>
    <x v="1"/>
    <x v="1"/>
    <n v="115.18"/>
    <n v="112.73"/>
    <s v="31-05-2022"/>
    <s v="10-01-2023"/>
    <m/>
    <x v="2"/>
    <n v="15"/>
    <n v="9179.5"/>
    <s v="EMP0569"/>
  </r>
  <r>
    <x v="113"/>
    <s v="Smart Parking"/>
    <s v="AutoDrive"/>
    <x v="4"/>
    <x v="0"/>
    <n v="37.880000000000003"/>
    <n v="39.020000000000003"/>
    <s v="28-02-2023"/>
    <s v="09-10-2023"/>
    <m/>
    <x v="0"/>
    <n v="7"/>
    <n v="6247.9"/>
    <s v="EMP0045"/>
  </r>
  <r>
    <x v="114"/>
    <s v="Fleet Management"/>
    <s v="GlobalTrade Inc"/>
    <x v="6"/>
    <x v="11"/>
    <m/>
    <n v="122.3"/>
    <s v="04-09-2021"/>
    <s v="30-07-2022"/>
    <m/>
    <x v="1"/>
    <n v="18"/>
    <n v="1994.5"/>
    <s v="EMP0254"/>
  </r>
  <r>
    <x v="115"/>
    <s v="IoT Gateway"/>
    <s v="SportsPro"/>
    <x v="8"/>
    <x v="8"/>
    <n v="109.93"/>
    <n v="112.97"/>
    <s v="25-03-2023"/>
    <s v="16-02-2024"/>
    <m/>
    <x v="0"/>
    <n v="22"/>
    <n v="5020.3999999999996"/>
    <s v="EMP0159"/>
  </r>
  <r>
    <x v="116"/>
    <s v="Data Warehouse Migration"/>
    <s v="GlobalTrade Inc"/>
    <x v="10"/>
    <x v="14"/>
    <n v="16.98"/>
    <n v="20.63"/>
    <s v="09-05-2021"/>
    <s v="10-02-2022"/>
    <m/>
    <x v="1"/>
    <n v="25"/>
    <n v="5901.1"/>
    <s v="EMP0171"/>
  </r>
  <r>
    <x v="117"/>
    <s v="Smart Grid System"/>
    <s v="FinServPro"/>
    <x v="7"/>
    <x v="7"/>
    <n v="81.36"/>
    <n v="62.46"/>
    <s v="06-07-2022"/>
    <s v="09-10-2022"/>
    <m/>
    <x v="4"/>
    <n v="24"/>
    <n v="3701"/>
    <s v="EMP0593"/>
  </r>
  <r>
    <x v="118"/>
    <s v="Inventory Tracker"/>
    <s v="FinServPro"/>
    <x v="4"/>
    <x v="6"/>
    <n v="156.83000000000001"/>
    <n v="193.98"/>
    <s v="20-07-2023"/>
    <s v="25-11-2023"/>
    <m/>
    <x v="1"/>
    <n v="23"/>
    <n v="5366.6"/>
    <s v="EMP0316"/>
  </r>
  <r>
    <x v="119"/>
    <s v="Smart Parking"/>
    <s v="InsureNow"/>
    <x v="5"/>
    <x v="9"/>
    <n v="47.25"/>
    <n v="48.33"/>
    <s v="02-05-2022"/>
    <s v="04-12-2022"/>
    <m/>
    <x v="1"/>
    <n v="7"/>
    <n v="4639.5"/>
    <s v="EMP0400"/>
  </r>
  <r>
    <x v="120"/>
    <s v="Smart Grid System"/>
    <s v="SmartCity Gov"/>
    <x v="11"/>
    <x v="6"/>
    <n v="110.42"/>
    <n v="120.02"/>
    <s v="06-07-2022"/>
    <s v="16-02-2023"/>
    <m/>
    <x v="4"/>
    <n v="21"/>
    <n v="3585.9"/>
    <s v="EMP0145"/>
  </r>
  <r>
    <x v="121"/>
    <s v="Mobile Banking App"/>
    <s v="MediCare Systems"/>
    <x v="6"/>
    <x v="3"/>
    <n v="170.59"/>
    <n v="171.01"/>
    <s v="22-07-2023"/>
    <s v="05-12-2023"/>
    <m/>
    <x v="1"/>
    <n v="22"/>
    <n v="6090.8"/>
    <s v="EMP0410"/>
  </r>
  <r>
    <x v="122"/>
    <s v="LMS Portal"/>
    <s v="AgroTech Farms"/>
    <x v="3"/>
    <x v="14"/>
    <n v="178.06"/>
    <n v="133.36000000000001"/>
    <s v="13-05-2024"/>
    <s v="25-07-2024"/>
    <m/>
    <x v="4"/>
    <n v="12"/>
    <n v="10416.200000000001"/>
    <s v="EMP0569"/>
  </r>
  <r>
    <x v="123"/>
    <s v="Data Warehouse Migration"/>
    <s v="GlobalTrade Inc"/>
    <x v="9"/>
    <x v="7"/>
    <n v="34.17"/>
    <n v="32.31"/>
    <s v="11-07-2022"/>
    <s v="05-07-2023"/>
    <m/>
    <x v="1"/>
    <n v="23"/>
    <n v="16247.1"/>
    <s v="EMP0305"/>
  </r>
  <r>
    <x v="124"/>
    <s v="Cloud Migration"/>
    <s v="TravelNest"/>
    <x v="6"/>
    <x v="7"/>
    <n v="133.43"/>
    <n v="145.61000000000001"/>
    <s v="19-01-2022"/>
    <s v="12-11-2022"/>
    <m/>
    <x v="1"/>
    <n v="18"/>
    <n v="10658"/>
    <s v="EMP0099"/>
  </r>
  <r>
    <x v="125"/>
    <s v="ERP Implementation"/>
    <s v="SportsPro"/>
    <x v="5"/>
    <x v="14"/>
    <n v="162.87"/>
    <n v="168.97"/>
    <s v="15-06-2024"/>
    <s v="14-10-2024"/>
    <m/>
    <x v="0"/>
    <n v="22"/>
    <n v="5046.6000000000004"/>
    <s v="EMP0287"/>
  </r>
  <r>
    <x v="126"/>
    <s v="LMS Portal"/>
    <s v="EduSpark"/>
    <x v="5"/>
    <x v="1"/>
    <n v="99.31"/>
    <n v="104.49"/>
    <s v="29-03-2021"/>
    <s v="19-06-2021"/>
    <m/>
    <x v="1"/>
    <n v="7"/>
    <n v="3057"/>
    <s v="EMP0566"/>
  </r>
  <r>
    <x v="127"/>
    <s v="LMS Portal"/>
    <s v="GreenEnergy Co"/>
    <x v="6"/>
    <x v="1"/>
    <n v="110.31"/>
    <n v="78.680000000000007"/>
    <s v="08-10-2023"/>
    <s v="10-03-2024"/>
    <s v="16-02-2024"/>
    <x v="3"/>
    <n v="19"/>
    <n v="11593.6"/>
    <s v="EMP0024"/>
  </r>
  <r>
    <x v="128"/>
    <s v="DigitalBank Portal"/>
    <s v="BankFirst Ltd"/>
    <x v="3"/>
    <x v="0"/>
    <n v="102.06"/>
    <n v="124.35"/>
    <s v="08-09-2024"/>
    <s v="20-04-2025"/>
    <m/>
    <x v="0"/>
    <n v="12"/>
    <n v="7781.9"/>
    <s v="EMP0132"/>
  </r>
  <r>
    <x v="129"/>
    <s v="Supply Chain Optimizer"/>
    <s v="AgroTech Farms"/>
    <x v="11"/>
    <x v="9"/>
    <n v="102.54"/>
    <n v="114.98"/>
    <s v="26-01-2024"/>
    <s v="10-08-2024"/>
    <m/>
    <x v="0"/>
    <n v="21"/>
    <n v="14345.8"/>
    <s v="EMP0002"/>
  </r>
  <r>
    <x v="130"/>
    <s v="Fleet Management"/>
    <s v="BankFirst Ltd"/>
    <x v="1"/>
    <x v="10"/>
    <n v="46.16"/>
    <n v="56.05"/>
    <s v="14-07-2022"/>
    <s v="16-12-2022"/>
    <m/>
    <x v="4"/>
    <n v="21"/>
    <n v="12944.8"/>
    <s v="EMP0293"/>
  </r>
  <r>
    <x v="131"/>
    <s v="Inventory Tracker"/>
    <s v="GlobalTrade Inc"/>
    <x v="1"/>
    <x v="0"/>
    <n v="72.27"/>
    <n v="75.400000000000006"/>
    <s v="23-03-2021"/>
    <s v="09-12-2021"/>
    <m/>
    <x v="0"/>
    <n v="6"/>
    <n v="2079.6999999999998"/>
    <s v="EMP0276"/>
  </r>
  <r>
    <x v="132"/>
    <s v="Inventory Tracker"/>
    <s v="TravelNest"/>
    <x v="6"/>
    <x v="10"/>
    <n v="192.55"/>
    <n v="214.4"/>
    <s v="23-11-2021"/>
    <s v="18-06-2022"/>
    <m/>
    <x v="1"/>
    <n v="17"/>
    <n v="8287.7999999999993"/>
    <s v="EMP0470"/>
  </r>
  <r>
    <x v="133"/>
    <s v="Inventory Tracker"/>
    <s v="InsureNow"/>
    <x v="5"/>
    <x v="5"/>
    <n v="69.989999999999995"/>
    <n v="54.54"/>
    <s v="04-01-2024"/>
    <s v="19-03-2024"/>
    <m/>
    <x v="1"/>
    <n v="5"/>
    <n v="3934.6"/>
    <s v="EMP0059"/>
  </r>
  <r>
    <x v="134"/>
    <s v="Real-Time Reporting"/>
    <s v="MediCare Systems"/>
    <x v="2"/>
    <x v="7"/>
    <n v="94.74"/>
    <n v="101.99"/>
    <s v="14-10-2024"/>
    <s v="23-01-2025"/>
    <m/>
    <x v="1"/>
    <n v="2"/>
    <n v="1512"/>
    <s v="EMP0138"/>
  </r>
  <r>
    <x v="135"/>
    <s v="Smart Parking"/>
    <s v="RetailPlus"/>
    <x v="8"/>
    <x v="12"/>
    <n v="66.63"/>
    <n v="81.34"/>
    <s v="04-09-2023"/>
    <s v="27-04-2024"/>
    <m/>
    <x v="0"/>
    <n v="9"/>
    <n v="2446.5"/>
    <s v="EMP0444"/>
  </r>
  <r>
    <x v="136"/>
    <s v="E-Commerce Platform"/>
    <s v="SportsPro"/>
    <x v="5"/>
    <x v="6"/>
    <n v="98.63"/>
    <n v="89.41"/>
    <s v="10-07-2023"/>
    <s v="10-03-2024"/>
    <m/>
    <x v="4"/>
    <n v="13"/>
    <n v="2743.3"/>
    <s v="EMP0522"/>
  </r>
  <r>
    <x v="137"/>
    <s v="IoT Gateway"/>
    <s v="GreenEnergy Co"/>
    <x v="5"/>
    <x v="3"/>
    <n v="9.77"/>
    <n v="12.45"/>
    <s v="27-02-2023"/>
    <s v="11-09-2023"/>
    <m/>
    <x v="1"/>
    <n v="17"/>
    <n v="8841.9"/>
    <s v="EMP0411"/>
  </r>
  <r>
    <x v="138"/>
    <s v="LMS Portal"/>
    <s v="FinServPro"/>
    <x v="0"/>
    <x v="5"/>
    <n v="13.77"/>
    <n v="10.08"/>
    <s v="05-12-2022"/>
    <s v="02-08-2023"/>
    <m/>
    <x v="4"/>
    <n v="14"/>
    <n v="8580"/>
    <s v="EMP0349"/>
  </r>
  <r>
    <x v="139"/>
    <s v="Mobile Banking App"/>
    <s v="EduSpark"/>
    <x v="10"/>
    <x v="11"/>
    <n v="104.39"/>
    <n v="81.61"/>
    <s v="28-06-2022"/>
    <s v="14-05-2023"/>
    <m/>
    <x v="4"/>
    <n v="11"/>
    <n v="5105.1000000000004"/>
    <s v="EMP0294"/>
  </r>
  <r>
    <x v="140"/>
    <s v="Analytics Dashboard"/>
    <s v="LogiTrack"/>
    <x v="4"/>
    <x v="3"/>
    <n v="134.94"/>
    <n v="125.68"/>
    <s v="06-02-2022"/>
    <s v="09-12-2022"/>
    <s v="02-01-2023"/>
    <x v="3"/>
    <n v="21"/>
    <n v="17379.8"/>
    <s v="EMP0109"/>
  </r>
  <r>
    <x v="141"/>
    <s v="LMS Portal"/>
    <s v="BankFirst Ltd"/>
    <x v="3"/>
    <x v="9"/>
    <n v="131.41999999999999"/>
    <n v="107.59"/>
    <s v="13-08-2024"/>
    <s v="25-05-2025"/>
    <m/>
    <x v="4"/>
    <n v="22"/>
    <n v="13056.4"/>
    <s v="EMP0334"/>
  </r>
  <r>
    <x v="142"/>
    <s v="E-Commerce Platform"/>
    <s v="RetailPlus"/>
    <x v="3"/>
    <x v="4"/>
    <n v="188.15"/>
    <n v="206.8"/>
    <s v="20-05-2022"/>
    <s v="04-10-2022"/>
    <m/>
    <x v="4"/>
    <n v="4"/>
    <n v="2371.1999999999998"/>
    <s v="EMP0472"/>
  </r>
  <r>
    <x v="143"/>
    <s v="Cloud Migration"/>
    <s v="PayQuick"/>
    <x v="0"/>
    <x v="14"/>
    <n v="106.36"/>
    <n v="129.38"/>
    <s v="21-11-2024"/>
    <s v="01-08-2025"/>
    <m/>
    <x v="0"/>
    <n v="24"/>
    <n v="17448.5"/>
    <s v="EMP0302"/>
  </r>
  <r>
    <x v="144"/>
    <s v="Data Warehouse Migration"/>
    <s v="GreenEnergy Co"/>
    <x v="4"/>
    <x v="6"/>
    <n v="56.48"/>
    <n v="60.67"/>
    <s v="06-01-2021"/>
    <s v="04-01-2022"/>
    <m/>
    <x v="1"/>
    <n v="12"/>
    <n v="6994.7"/>
    <s v="EMP0450"/>
  </r>
  <r>
    <x v="145"/>
    <s v="ERP Implementation"/>
    <s v="MediCare Systems"/>
    <x v="11"/>
    <x v="9"/>
    <n v="116.82"/>
    <n v="100.79"/>
    <s v="02-06-2022"/>
    <s v="14-11-2022"/>
    <m/>
    <x v="4"/>
    <n v="17"/>
    <n v="7009.9"/>
    <s v="EMP0530"/>
  </r>
  <r>
    <x v="146"/>
    <s v="Data Warehouse Migration"/>
    <s v="PayQuick"/>
    <x v="5"/>
    <x v="9"/>
    <n v="20.89"/>
    <n v="22.54"/>
    <s v="05-07-2021"/>
    <s v="30-05-2022"/>
    <m/>
    <x v="0"/>
    <n v="16"/>
    <n v="6503.7"/>
    <s v="EMP0324"/>
  </r>
  <r>
    <x v="147"/>
    <s v="Inventory Tracker"/>
    <s v="AutoDrive"/>
    <x v="2"/>
    <x v="5"/>
    <n v="20.85"/>
    <n v="22.33"/>
    <s v="23-07-2024"/>
    <s v="02-03-2025"/>
    <m/>
    <x v="2"/>
    <n v="25"/>
    <n v="3846.9"/>
    <s v="EMP0458"/>
  </r>
  <r>
    <x v="148"/>
    <s v="Inventory Tracker"/>
    <s v="InsureNow"/>
    <x v="4"/>
    <x v="6"/>
    <n v="67.650000000000006"/>
    <n v="74.28"/>
    <s v="02-10-2021"/>
    <s v="03-07-2022"/>
    <s v="20-07-2022"/>
    <x v="3"/>
    <n v="12"/>
    <n v="7890.4"/>
    <s v="EMP0502"/>
  </r>
  <r>
    <x v="149"/>
    <s v="Smart Parking"/>
    <s v="SportsPro"/>
    <x v="11"/>
    <x v="10"/>
    <n v="108.65"/>
    <n v="136.65"/>
    <s v="20-11-2022"/>
    <s v="26-07-2023"/>
    <m/>
    <x v="1"/>
    <n v="16"/>
    <n v="7020.3"/>
    <s v="EMP0329"/>
  </r>
  <r>
    <x v="150"/>
    <s v="ML Fraud Detection"/>
    <s v="InsureNow"/>
    <x v="1"/>
    <x v="9"/>
    <n v="105.59"/>
    <n v="88.3"/>
    <s v="13-10-2023"/>
    <s v="02-09-2024"/>
    <m/>
    <x v="2"/>
    <n v="16"/>
    <n v="12695.3"/>
    <s v="EMP0112"/>
  </r>
  <r>
    <x v="151"/>
    <s v="Mobile Banking App"/>
    <s v="LogiTrack"/>
    <x v="3"/>
    <x v="0"/>
    <n v="64.87"/>
    <n v="52.07"/>
    <s v="29-04-2022"/>
    <s v="08-11-2022"/>
    <m/>
    <x v="4"/>
    <n v="20"/>
    <n v="13468.8"/>
    <s v="EMP0207"/>
  </r>
  <r>
    <x v="152"/>
    <s v="Supply Chain Optimizer"/>
    <s v="PayQuick"/>
    <x v="5"/>
    <x v="12"/>
    <n v="193.1"/>
    <n v="156.16"/>
    <s v="13-12-2022"/>
    <s v="24-07-2023"/>
    <m/>
    <x v="0"/>
    <n v="4"/>
    <n v="3334.6"/>
    <s v="EMP0393"/>
  </r>
  <r>
    <x v="153"/>
    <s v="Cloud Migration"/>
    <s v="EduSpark"/>
    <x v="8"/>
    <x v="3"/>
    <n v="25.02"/>
    <n v="29.27"/>
    <s v="07-05-2024"/>
    <s v="08-09-2024"/>
    <m/>
    <x v="1"/>
    <n v="15"/>
    <n v="3913.9"/>
    <s v="EMP0508"/>
  </r>
  <r>
    <x v="154"/>
    <s v="Smart Parking"/>
    <s v="MediCare Systems"/>
    <x v="0"/>
    <x v="8"/>
    <m/>
    <n v="68.290000000000006"/>
    <s v="10-03-2021"/>
    <s v="14-07-2021"/>
    <m/>
    <x v="1"/>
    <n v="25"/>
    <n v="3985.3"/>
    <s v="EMP0390"/>
  </r>
  <r>
    <x v="155"/>
    <s v="AI Chatbot"/>
    <s v="GreenEnergy Co"/>
    <x v="8"/>
    <x v="6"/>
    <n v="62.87"/>
    <n v="51.85"/>
    <s v="28-07-2022"/>
    <s v="26-04-2023"/>
    <s v="19-04-2023"/>
    <x v="3"/>
    <n v="22"/>
    <n v="19795.8"/>
    <s v="EMP0385"/>
  </r>
  <r>
    <x v="156"/>
    <s v="Data Warehouse Migration"/>
    <s v="MediCare Systems"/>
    <x v="9"/>
    <x v="3"/>
    <n v="82.63"/>
    <n v="61.5"/>
    <s v="07-04-2023"/>
    <s v="05-09-2023"/>
    <m/>
    <x v="1"/>
    <n v="19"/>
    <n v="11992.3"/>
    <s v="EMP0508"/>
  </r>
  <r>
    <x v="157"/>
    <s v="E-Commerce Platform"/>
    <s v="LogiTrack"/>
    <x v="1"/>
    <x v="14"/>
    <n v="75.2"/>
    <n v="85.22"/>
    <s v="30-06-2021"/>
    <s v="13-01-2022"/>
    <m/>
    <x v="2"/>
    <n v="13"/>
    <n v="10186.4"/>
    <s v="EMP0098"/>
  </r>
  <r>
    <x v="158"/>
    <s v="Data Warehouse Migration"/>
    <s v="InsureNow"/>
    <x v="7"/>
    <x v="0"/>
    <n v="103.93"/>
    <n v="75.47"/>
    <s v="11-09-2024"/>
    <s v="18-04-2025"/>
    <m/>
    <x v="1"/>
    <n v="13"/>
    <n v="3062.5"/>
    <s v="EMP0053"/>
  </r>
  <r>
    <x v="159"/>
    <s v="Smart Parking"/>
    <s v="AgroTech Farms"/>
    <x v="9"/>
    <x v="5"/>
    <n v="70.09"/>
    <n v="76.61"/>
    <s v="11-11-2021"/>
    <s v="06-04-2022"/>
    <m/>
    <x v="4"/>
    <n v="3"/>
    <n v="2439.8000000000002"/>
    <s v="EMP0369"/>
  </r>
  <r>
    <x v="160"/>
    <s v="Mobile Banking App"/>
    <s v="GlobalTrade Inc"/>
    <x v="7"/>
    <x v="0"/>
    <n v="19.989999999999998"/>
    <n v="15.38"/>
    <s v="08-04-2022"/>
    <s v="15-06-2022"/>
    <s v="19-06-2022"/>
    <x v="3"/>
    <n v="13"/>
    <n v="8122.6"/>
    <s v="EMP0139"/>
  </r>
  <r>
    <x v="161"/>
    <s v="E-Commerce Platform"/>
    <s v="MediCare Systems"/>
    <x v="2"/>
    <x v="12"/>
    <n v="103.78"/>
    <n v="74.87"/>
    <s v="06-02-2023"/>
    <s v="07-11-2023"/>
    <m/>
    <x v="1"/>
    <n v="23"/>
    <n v="6448.6"/>
    <s v="EMP0343"/>
  </r>
  <r>
    <x v="162"/>
    <s v="Supply Chain Optimizer"/>
    <s v="GreenEnergy Co"/>
    <x v="8"/>
    <x v="4"/>
    <n v="77.27"/>
    <n v="79.81"/>
    <s v="13-12-2023"/>
    <s v="29-04-2024"/>
    <m/>
    <x v="1"/>
    <n v="10"/>
    <n v="8063.7"/>
    <s v="EMP0578"/>
  </r>
  <r>
    <x v="163"/>
    <s v="Analytics Dashboard"/>
    <s v="AutoDrive"/>
    <x v="7"/>
    <x v="11"/>
    <n v="114.31"/>
    <n v="83.02"/>
    <s v="09-12-2022"/>
    <s v="10-08-2023"/>
    <m/>
    <x v="0"/>
    <n v="24"/>
    <n v="20812.900000000001"/>
    <s v="EMP0208"/>
  </r>
  <r>
    <x v="164"/>
    <s v="DigitalBank Portal"/>
    <s v="FinServPro"/>
    <x v="3"/>
    <x v="1"/>
    <n v="194.04"/>
    <n v="183.1"/>
    <s v="07-03-2023"/>
    <s v="06-05-2023"/>
    <m/>
    <x v="1"/>
    <n v="23"/>
    <n v="7616.5"/>
    <s v="EMP0312"/>
  </r>
  <r>
    <x v="165"/>
    <s v="Supply Chain Optimizer"/>
    <s v="GlobalTrade Inc"/>
    <x v="0"/>
    <x v="8"/>
    <n v="162.41999999999999"/>
    <n v="115.21"/>
    <s v="25-04-2023"/>
    <s v="10-01-2024"/>
    <m/>
    <x v="4"/>
    <n v="12"/>
    <n v="6151.9"/>
    <s v="EMP0040"/>
  </r>
  <r>
    <x v="166"/>
    <s v="IoT Gateway"/>
    <s v="AutoDrive"/>
    <x v="7"/>
    <x v="6"/>
    <n v="120.2"/>
    <n v="146.55000000000001"/>
    <s v="28-12-2024"/>
    <s v="05-05-2025"/>
    <m/>
    <x v="2"/>
    <n v="8"/>
    <n v="1883.1"/>
    <s v="EMP0187"/>
  </r>
  <r>
    <x v="167"/>
    <s v="Mobile Banking App"/>
    <s v="GlobalTrade Inc"/>
    <x v="4"/>
    <x v="9"/>
    <n v="51.62"/>
    <n v="38.119999999999997"/>
    <s v="04-08-2021"/>
    <s v="22-10-2021"/>
    <m/>
    <x v="0"/>
    <n v="20"/>
    <n v="9509.2999999999993"/>
    <s v="EMP0104"/>
  </r>
  <r>
    <x v="168"/>
    <s v="Mobile Banking App"/>
    <s v="GreenEnergy Co"/>
    <x v="8"/>
    <x v="3"/>
    <n v="120.39"/>
    <n v="139.30000000000001"/>
    <s v="06-07-2021"/>
    <s v="05-02-2022"/>
    <m/>
    <x v="2"/>
    <n v="3"/>
    <n v="2642.2"/>
    <s v="EMP0158"/>
  </r>
  <r>
    <x v="169"/>
    <s v="ML Fraud Detection"/>
    <s v="RetailPlus"/>
    <x v="1"/>
    <x v="5"/>
    <n v="35.75"/>
    <n v="33.840000000000003"/>
    <s v="05-09-2021"/>
    <s v="22-03-2022"/>
    <s v="08-03-2022"/>
    <x v="3"/>
    <n v="22"/>
    <n v="7261.1"/>
    <s v="EMP0338"/>
  </r>
  <r>
    <x v="170"/>
    <s v="Smart Parking"/>
    <s v="EduSpark"/>
    <x v="9"/>
    <x v="11"/>
    <m/>
    <n v="30.93"/>
    <s v="15-02-2021"/>
    <s v="01-07-2021"/>
    <m/>
    <x v="2"/>
    <n v="24"/>
    <n v="4924.8"/>
    <s v="EMP0058"/>
  </r>
  <r>
    <x v="171"/>
    <s v="ML Fraud Detection"/>
    <s v="MediCare Systems"/>
    <x v="1"/>
    <x v="8"/>
    <n v="107.65"/>
    <n v="114.34"/>
    <s v="21-01-2024"/>
    <s v="11-06-2024"/>
    <m/>
    <x v="4"/>
    <n v="23"/>
    <n v="6638.6"/>
    <s v="EMP0063"/>
  </r>
  <r>
    <x v="172"/>
    <s v="AI Chatbot"/>
    <s v="TravelNest"/>
    <x v="0"/>
    <x v="1"/>
    <n v="186.74"/>
    <n v="168.33"/>
    <s v="28-11-2021"/>
    <s v="11-07-2022"/>
    <m/>
    <x v="0"/>
    <n v="5"/>
    <n v="3044.9"/>
    <s v="EMP0497"/>
  </r>
  <r>
    <x v="173"/>
    <s v="E-Commerce Platform"/>
    <s v="TravelNest"/>
    <x v="2"/>
    <x v="0"/>
    <n v="148.62"/>
    <n v="150.35"/>
    <s v="16-04-2023"/>
    <s v="19-02-2024"/>
    <m/>
    <x v="0"/>
    <n v="11"/>
    <n v="1592.8"/>
    <s v="EMP0551"/>
  </r>
  <r>
    <x v="174"/>
    <s v="Talent Management"/>
    <s v="AgroTech Farms"/>
    <x v="10"/>
    <x v="8"/>
    <n v="118.1"/>
    <n v="108.39"/>
    <s v="09-02-2023"/>
    <s v="15-05-2023"/>
    <m/>
    <x v="4"/>
    <n v="2"/>
    <n v="1082.9000000000001"/>
    <s v="EMP0001"/>
  </r>
  <r>
    <x v="175"/>
    <s v="Inventory Tracker"/>
    <s v="TravelNest"/>
    <x v="4"/>
    <x v="9"/>
    <n v="52.97"/>
    <n v="66.63"/>
    <s v="11-02-2023"/>
    <s v="10-05-2023"/>
    <m/>
    <x v="2"/>
    <n v="17"/>
    <n v="14598.4"/>
    <s v="EMP0125"/>
  </r>
  <r>
    <x v="176"/>
    <s v="IoT Gateway"/>
    <s v="GreenEnergy Co"/>
    <x v="10"/>
    <x v="6"/>
    <n v="146.19"/>
    <n v="139.30000000000001"/>
    <s v="01-10-2023"/>
    <s v="10-03-2024"/>
    <m/>
    <x v="0"/>
    <n v="7"/>
    <n v="3991.1"/>
    <s v="EMP0299"/>
  </r>
  <r>
    <x v="177"/>
    <s v="Talent Management"/>
    <s v="InsureNow"/>
    <x v="5"/>
    <x v="11"/>
    <n v="96.79"/>
    <n v="93.91"/>
    <s v="21-07-2023"/>
    <s v="28-12-2023"/>
    <m/>
    <x v="1"/>
    <n v="25"/>
    <n v="17324.900000000001"/>
    <s v="EMP0308"/>
  </r>
  <r>
    <x v="178"/>
    <s v="LMS Portal"/>
    <s v="RetailPlus"/>
    <x v="0"/>
    <x v="2"/>
    <n v="89.27"/>
    <n v="94.31"/>
    <s v="06-12-2021"/>
    <s v="10-05-2022"/>
    <m/>
    <x v="2"/>
    <n v="18"/>
    <n v="14099.7"/>
    <s v="EMP0202"/>
  </r>
  <r>
    <x v="179"/>
    <s v="HR Automation Suite"/>
    <s v="MediCare Systems"/>
    <x v="5"/>
    <x v="0"/>
    <n v="68.459999999999994"/>
    <n v="77.569999999999993"/>
    <s v="22-03-2022"/>
    <s v="09-11-2022"/>
    <m/>
    <x v="1"/>
    <n v="2"/>
    <n v="815.7"/>
    <s v="EMP0497"/>
  </r>
  <r>
    <x v="180"/>
    <s v="Smart Grid System"/>
    <s v="AgroTech Farms"/>
    <x v="9"/>
    <x v="2"/>
    <n v="184.28"/>
    <n v="219.46"/>
    <s v="28-03-2021"/>
    <s v="15-07-2021"/>
    <m/>
    <x v="4"/>
    <n v="11"/>
    <n v="1754.8"/>
    <s v="EMP0319"/>
  </r>
  <r>
    <x v="181"/>
    <s v="E-Commerce Platform"/>
    <s v="RetailPlus"/>
    <x v="3"/>
    <x v="13"/>
    <n v="54.07"/>
    <n v="49.84"/>
    <s v="26-06-2023"/>
    <s v="07-09-2023"/>
    <m/>
    <x v="1"/>
    <n v="23"/>
    <n v="17464.3"/>
    <s v="EMP0581"/>
  </r>
  <r>
    <x v="182"/>
    <s v="Mobile Banking App"/>
    <s v="SportsPro"/>
    <x v="9"/>
    <x v="7"/>
    <n v="72.95"/>
    <n v="63.3"/>
    <s v="17-11-2021"/>
    <s v="22-04-2022"/>
    <m/>
    <x v="2"/>
    <n v="22"/>
    <n v="18998.400000000001"/>
    <s v="EMP0286"/>
  </r>
  <r>
    <x v="183"/>
    <s v="Data Warehouse Migration"/>
    <s v="AgroTech Farms"/>
    <x v="6"/>
    <x v="4"/>
    <n v="164.7"/>
    <n v="187.17"/>
    <s v="25-04-2022"/>
    <s v="08-10-2022"/>
    <m/>
    <x v="1"/>
    <n v="16"/>
    <n v="8108.3"/>
    <s v="EMP0597"/>
  </r>
  <r>
    <x v="184"/>
    <s v="Talent Management"/>
    <s v="BankFirst Ltd"/>
    <x v="9"/>
    <x v="0"/>
    <n v="162.29"/>
    <n v="172.94"/>
    <s v="29-11-2022"/>
    <s v="01-06-2023"/>
    <s v="15-07-2023"/>
    <x v="3"/>
    <n v="22"/>
    <n v="15304.6"/>
    <s v="EMP0349"/>
  </r>
  <r>
    <x v="185"/>
    <s v="Supply Chain Optimizer"/>
    <s v="TravelNest"/>
    <x v="6"/>
    <x v="12"/>
    <m/>
    <n v="134.93"/>
    <s v="09-12-2022"/>
    <s v="09-10-2023"/>
    <m/>
    <x v="2"/>
    <n v="9"/>
    <n v="2209.6999999999998"/>
    <s v="EMP0196"/>
  </r>
  <r>
    <x v="186"/>
    <s v="AI Chatbot"/>
    <s v="GlobalTrade Inc"/>
    <x v="5"/>
    <x v="9"/>
    <n v="175.43"/>
    <n v="130.16999999999999"/>
    <s v="12-06-2023"/>
    <s v="13-01-2024"/>
    <m/>
    <x v="1"/>
    <n v="11"/>
    <n v="4565.6000000000004"/>
    <s v="EMP0468"/>
  </r>
  <r>
    <x v="187"/>
    <s v="Supply Chain Optimizer"/>
    <s v="RetailPlus"/>
    <x v="9"/>
    <x v="11"/>
    <n v="24.1"/>
    <n v="24.79"/>
    <s v="22-01-2023"/>
    <s v="03-10-2023"/>
    <m/>
    <x v="4"/>
    <n v="3"/>
    <n v="1634.4"/>
    <s v="EMP0391"/>
  </r>
  <r>
    <x v="188"/>
    <s v="Smart Parking"/>
    <s v="FinServPro"/>
    <x v="11"/>
    <x v="12"/>
    <n v="150.52000000000001"/>
    <n v="135.43"/>
    <s v="24-09-2021"/>
    <s v="30-05-2022"/>
    <m/>
    <x v="4"/>
    <n v="22"/>
    <n v="4018.1"/>
    <s v="EMP0114"/>
  </r>
  <r>
    <x v="189"/>
    <s v="Inventory Tracker"/>
    <s v="SportsPro"/>
    <x v="6"/>
    <x v="3"/>
    <n v="149.08000000000001"/>
    <n v="120.27"/>
    <s v="14-09-2022"/>
    <s v="19-12-2022"/>
    <m/>
    <x v="2"/>
    <n v="15"/>
    <n v="9416.6"/>
    <s v="EMP0457"/>
  </r>
  <r>
    <x v="190"/>
    <s v="LMS Portal"/>
    <s v="GlobalTrade Inc"/>
    <x v="11"/>
    <x v="0"/>
    <n v="116.07"/>
    <n v="99.73"/>
    <s v="12-04-2021"/>
    <s v="18-11-2021"/>
    <m/>
    <x v="1"/>
    <n v="14"/>
    <n v="4784.8"/>
    <s v="EMP0037"/>
  </r>
  <r>
    <x v="191"/>
    <s v="Real-Time Reporting"/>
    <s v="AgroTech Farms"/>
    <x v="2"/>
    <x v="13"/>
    <n v="169.07"/>
    <n v="203.8"/>
    <s v="28-10-2022"/>
    <s v="07-04-2023"/>
    <m/>
    <x v="2"/>
    <n v="2"/>
    <n v="888.3"/>
    <s v="EMP0278"/>
  </r>
  <r>
    <x v="192"/>
    <s v="Mobile Banking App"/>
    <s v="RetailPlus"/>
    <x v="7"/>
    <x v="7"/>
    <n v="18.09"/>
    <n v="23.39"/>
    <s v="04-09-2022"/>
    <s v="03-12-2022"/>
    <m/>
    <x v="2"/>
    <n v="17"/>
    <n v="2668.3"/>
    <s v="EMP0153"/>
  </r>
  <r>
    <x v="193"/>
    <s v="ERP Implementation"/>
    <s v="MediCare Systems"/>
    <x v="0"/>
    <x v="12"/>
    <n v="123.7"/>
    <n v="111.46"/>
    <s v="23-04-2023"/>
    <s v="21-03-2024"/>
    <m/>
    <x v="2"/>
    <n v="22"/>
    <n v="18222.2"/>
    <s v="EMP0374"/>
  </r>
  <r>
    <x v="194"/>
    <s v="HR Automation Suite"/>
    <s v="PayQuick"/>
    <x v="1"/>
    <x v="13"/>
    <n v="198.32"/>
    <n v="158.27000000000001"/>
    <s v="03-04-2023"/>
    <s v="21-10-2023"/>
    <m/>
    <x v="1"/>
    <n v="16"/>
    <n v="5206.1000000000004"/>
    <s v="EMP0563"/>
  </r>
  <r>
    <x v="195"/>
    <s v="Real-Time Reporting"/>
    <s v="FinServPro"/>
    <x v="11"/>
    <x v="7"/>
    <n v="135.26"/>
    <n v="118.26"/>
    <s v="01-12-2021"/>
    <s v="16-10-2022"/>
    <m/>
    <x v="0"/>
    <n v="22"/>
    <n v="18681.8"/>
    <s v="EMP0239"/>
  </r>
  <r>
    <x v="196"/>
    <s v="DigitalBank Portal"/>
    <s v="FinServPro"/>
    <x v="5"/>
    <x v="14"/>
    <n v="148.24"/>
    <n v="168.85"/>
    <s v="17-03-2021"/>
    <s v="10-07-2021"/>
    <m/>
    <x v="2"/>
    <n v="11"/>
    <n v="9896"/>
    <s v="EMP0297"/>
  </r>
  <r>
    <x v="197"/>
    <s v="DigitalBank Portal"/>
    <s v="LogiTrack"/>
    <x v="7"/>
    <x v="11"/>
    <m/>
    <n v="164.3"/>
    <s v="03-08-2021"/>
    <s v="28-11-2021"/>
    <m/>
    <x v="1"/>
    <n v="17"/>
    <n v="5880.5"/>
    <s v="EMP0021"/>
  </r>
  <r>
    <x v="198"/>
    <s v="ERP Implementation"/>
    <s v="TravelNest"/>
    <x v="0"/>
    <x v="6"/>
    <n v="15.66"/>
    <n v="20.07"/>
    <s v="07-05-2021"/>
    <s v="15-02-2022"/>
    <m/>
    <x v="2"/>
    <n v="24"/>
    <n v="6093"/>
    <s v="EMP0074"/>
  </r>
  <r>
    <x v="199"/>
    <s v="Analytics Dashboard"/>
    <s v="SportsPro"/>
    <x v="3"/>
    <x v="13"/>
    <n v="199.84"/>
    <n v="173.85"/>
    <s v="15-05-2024"/>
    <s v="28-10-2024"/>
    <s v="20-11-2024"/>
    <x v="3"/>
    <n v="11"/>
    <n v="1598.1"/>
    <s v="EMP027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">
  <r>
    <x v="0"/>
    <n v="8129.3"/>
  </r>
  <r>
    <x v="1"/>
    <n v="5174.3"/>
  </r>
  <r>
    <x v="0"/>
    <n v="1605.8"/>
  </r>
  <r>
    <x v="2"/>
    <n v="8129.3"/>
  </r>
  <r>
    <x v="1"/>
    <n v="17402.8"/>
  </r>
  <r>
    <x v="3"/>
    <n v="3512.1"/>
  </r>
  <r>
    <x v="0"/>
    <n v="17402.8"/>
  </r>
  <r>
    <x v="4"/>
    <n v="10825.8"/>
  </r>
  <r>
    <x v="3"/>
    <n v="2114.3000000000002"/>
  </r>
  <r>
    <x v="1"/>
    <n v="1820.4"/>
  </r>
  <r>
    <x v="2"/>
    <n v="1605.8"/>
  </r>
  <r>
    <x v="5"/>
    <n v="10825.8"/>
  </r>
  <r>
    <x v="6"/>
    <n v="1605.8"/>
  </r>
  <r>
    <x v="1"/>
    <n v="1605.8"/>
  </r>
  <r>
    <x v="0"/>
    <n v="17402.8"/>
  </r>
  <r>
    <x v="4"/>
    <n v="8129.3"/>
  </r>
  <r>
    <x v="3"/>
    <n v="8129.3"/>
  </r>
  <r>
    <x v="2"/>
    <n v="3512.1"/>
  </r>
  <r>
    <x v="6"/>
    <n v="10820.4"/>
  </r>
  <r>
    <x v="7"/>
    <n v="1605.8"/>
  </r>
  <r>
    <x v="0"/>
    <n v="10825.8"/>
  </r>
  <r>
    <x v="7"/>
    <n v="2114.3000000000002"/>
  </r>
  <r>
    <x v="7"/>
    <n v="1605.8"/>
  </r>
  <r>
    <x v="8"/>
    <n v="3512.1"/>
  </r>
  <r>
    <x v="5"/>
    <n v="3512.1"/>
  </r>
  <r>
    <x v="5"/>
    <n v="5174.3"/>
  </r>
  <r>
    <x v="4"/>
    <n v="1605.8"/>
  </r>
  <r>
    <x v="4"/>
    <n v="5854.7"/>
  </r>
  <r>
    <x v="8"/>
    <n v="8129.3"/>
  </r>
  <r>
    <x v="8"/>
    <n v="8129.3"/>
  </r>
  <r>
    <x v="0"/>
    <n v="5854.7"/>
  </r>
  <r>
    <x v="8"/>
    <n v="5854.7"/>
  </r>
  <r>
    <x v="2"/>
    <n v="5174.3"/>
  </r>
  <r>
    <x v="3"/>
    <n v="5174.3"/>
  </r>
  <r>
    <x v="6"/>
    <n v="7765.2"/>
  </r>
  <r>
    <x v="9"/>
    <n v="5174.3"/>
  </r>
  <r>
    <x v="7"/>
    <n v="5174.3"/>
  </r>
  <r>
    <x v="8"/>
    <n v="1820.4"/>
  </r>
  <r>
    <x v="0"/>
    <n v="5174.3"/>
  </r>
  <r>
    <x v="7"/>
    <n v="1820.4"/>
  </r>
  <r>
    <x v="0"/>
    <n v="17402.8"/>
  </r>
  <r>
    <x v="2"/>
    <n v="1605.8"/>
  </r>
  <r>
    <x v="6"/>
    <n v="10825.8"/>
  </r>
  <r>
    <x v="5"/>
    <n v="2114.3000000000002"/>
  </r>
  <r>
    <x v="2"/>
    <n v="5854.7"/>
  </r>
  <r>
    <x v="5"/>
    <n v="5854.7"/>
  </r>
  <r>
    <x v="3"/>
    <n v="5050.3"/>
  </r>
  <r>
    <x v="3"/>
    <n v="1820.4"/>
  </r>
  <r>
    <x v="6"/>
    <n v="2114.3000000000002"/>
  </r>
  <r>
    <x v="4"/>
    <n v="7765.2"/>
  </r>
  <r>
    <x v="9"/>
    <n v="2114.3000000000002"/>
  </r>
  <r>
    <x v="4"/>
    <n v="10825.8"/>
  </r>
  <r>
    <x v="1"/>
    <n v="3512.1"/>
  </r>
  <r>
    <x v="9"/>
    <n v="5050.3"/>
  </r>
  <r>
    <x v="2"/>
    <n v="2114.3000000000002"/>
  </r>
  <r>
    <x v="2"/>
    <n v="1820.4"/>
  </r>
  <r>
    <x v="7"/>
    <n v="7765.2"/>
  </r>
  <r>
    <x v="7"/>
    <n v="3512.1"/>
  </r>
  <r>
    <x v="7"/>
    <n v="5854.7"/>
  </r>
  <r>
    <x v="1"/>
    <n v="8129.3"/>
  </r>
  <r>
    <x v="4"/>
    <n v="5174.3"/>
  </r>
  <r>
    <x v="0"/>
    <n v="17402.8"/>
  </r>
  <r>
    <x v="9"/>
    <n v="5174.3"/>
  </r>
  <r>
    <x v="2"/>
    <n v="5174.3"/>
  </r>
  <r>
    <x v="1"/>
    <n v="17402.8"/>
  </r>
  <r>
    <x v="1"/>
    <n v="8129.3"/>
  </r>
  <r>
    <x v="3"/>
    <n v="1820.4"/>
  </r>
  <r>
    <x v="1"/>
    <n v="3512.1"/>
  </r>
  <r>
    <x v="1"/>
    <n v="5050.3"/>
  </r>
  <r>
    <x v="9"/>
    <n v="5050.3"/>
  </r>
  <r>
    <x v="7"/>
    <n v="8129.3"/>
  </r>
  <r>
    <x v="1"/>
    <n v="5174.3"/>
  </r>
  <r>
    <x v="5"/>
    <n v="17402.8"/>
  </r>
  <r>
    <x v="4"/>
    <n v="2114.3000000000002"/>
  </r>
  <r>
    <x v="8"/>
    <n v="5854.7"/>
  </r>
  <r>
    <x v="7"/>
    <n v="5174.3"/>
  </r>
  <r>
    <x v="3"/>
    <n v="5174.3"/>
  </r>
  <r>
    <x v="2"/>
    <n v="5050.3"/>
  </r>
  <r>
    <x v="3"/>
    <n v="1820.4"/>
  </r>
  <r>
    <x v="1"/>
    <n v="7765.2"/>
  </r>
  <r>
    <x v="6"/>
    <n v="5854.7"/>
  </r>
  <r>
    <x v="2"/>
    <n v="5174.3"/>
  </r>
  <r>
    <x v="8"/>
    <n v="1820.4"/>
  </r>
  <r>
    <x v="2"/>
    <n v="5050.3"/>
  </r>
  <r>
    <x v="0"/>
    <n v="10820.4"/>
  </r>
  <r>
    <x v="1"/>
    <n v="1605.8"/>
  </r>
  <r>
    <x v="0"/>
    <n v="5174.3"/>
  </r>
  <r>
    <x v="4"/>
    <n v="7765.2"/>
  </r>
  <r>
    <x v="6"/>
    <n v="1605.8"/>
  </r>
  <r>
    <x v="5"/>
    <n v="8129.3"/>
  </r>
  <r>
    <x v="3"/>
    <n v="5050.3"/>
  </r>
  <r>
    <x v="3"/>
    <n v="3512.1"/>
  </r>
  <r>
    <x v="1"/>
    <n v="1605.8"/>
  </r>
  <r>
    <x v="4"/>
    <n v="3512.1"/>
  </r>
  <r>
    <x v="0"/>
    <n v="7765.2"/>
  </r>
  <r>
    <x v="9"/>
    <n v="8129.3"/>
  </r>
  <r>
    <x v="7"/>
    <n v="5174.3"/>
  </r>
  <r>
    <x v="3"/>
    <n v="5174.3"/>
  </r>
  <r>
    <x v="3"/>
    <n v="1605.8"/>
  </r>
  <r>
    <x v="1"/>
    <n v="1605.8"/>
  </r>
  <r>
    <x v="2"/>
    <n v="5854.7"/>
  </r>
  <r>
    <x v="6"/>
    <n v="2114.3000000000002"/>
  </r>
  <r>
    <x v="2"/>
    <n v="1605.8"/>
  </r>
  <r>
    <x v="8"/>
    <n v="5050.3"/>
  </r>
  <r>
    <x v="5"/>
    <n v="1605.8"/>
  </r>
  <r>
    <x v="2"/>
    <n v="1820.4"/>
  </r>
  <r>
    <x v="1"/>
    <n v="17402.8"/>
  </r>
  <r>
    <x v="9"/>
    <n v="17402.8"/>
  </r>
  <r>
    <x v="9"/>
    <n v="2114.3000000000002"/>
  </r>
  <r>
    <x v="8"/>
    <n v="5050.3"/>
  </r>
  <r>
    <x v="7"/>
    <n v="2114.3000000000002"/>
  </r>
  <r>
    <x v="3"/>
    <n v="10820.4"/>
  </r>
  <r>
    <x v="7"/>
    <n v="17402.8"/>
  </r>
  <r>
    <x v="3"/>
    <n v="10825.8"/>
  </r>
  <r>
    <x v="3"/>
    <n v="5174.3"/>
  </r>
  <r>
    <x v="0"/>
    <n v="5050.3"/>
  </r>
  <r>
    <x v="1"/>
    <n v="5050.3"/>
  </r>
  <r>
    <x v="5"/>
    <n v="1820.4"/>
  </r>
  <r>
    <x v="3"/>
    <n v="10820.4"/>
  </r>
  <r>
    <x v="1"/>
    <n v="2114.3000000000002"/>
  </r>
  <r>
    <x v="7"/>
    <n v="1820.4"/>
  </r>
  <r>
    <x v="7"/>
    <n v="5050.3"/>
  </r>
  <r>
    <x v="6"/>
    <n v="10825.8"/>
  </r>
  <r>
    <x v="9"/>
    <n v="5854.7"/>
  </r>
  <r>
    <x v="7"/>
    <n v="3512.1"/>
  </r>
  <r>
    <x v="7"/>
    <n v="5174.3"/>
  </r>
  <r>
    <x v="2"/>
    <n v="2114.3000000000002"/>
  </r>
  <r>
    <x v="7"/>
    <n v="10820.4"/>
  </r>
  <r>
    <x v="6"/>
    <n v="17402.8"/>
  </r>
  <r>
    <x v="9"/>
    <n v="5854.7"/>
  </r>
  <r>
    <x v="7"/>
    <n v="1605.8"/>
  </r>
  <r>
    <x v="1"/>
    <n v="5854.7"/>
  </r>
  <r>
    <x v="7"/>
    <n v="8129.3"/>
  </r>
  <r>
    <x v="8"/>
    <n v="3512.1"/>
  </r>
  <r>
    <x v="7"/>
    <n v="17402.8"/>
  </r>
  <r>
    <x v="6"/>
    <n v="7765.2"/>
  </r>
  <r>
    <x v="9"/>
    <n v="5854.7"/>
  </r>
  <r>
    <x v="4"/>
    <n v="8129.3"/>
  </r>
  <r>
    <x v="1"/>
    <n v="10820.4"/>
  </r>
  <r>
    <x v="5"/>
    <n v="10820.4"/>
  </r>
  <r>
    <x v="6"/>
    <n v="5854.7"/>
  </r>
  <r>
    <x v="8"/>
    <n v="2114.3000000000002"/>
  </r>
  <r>
    <x v="0"/>
    <n v="17402.8"/>
  </r>
  <r>
    <x v="8"/>
    <n v="5174.3"/>
  </r>
  <r>
    <x v="7"/>
    <n v="10820.4"/>
  </r>
  <r>
    <x v="2"/>
    <n v="10820.4"/>
  </r>
  <r>
    <x v="0"/>
    <n v="3512.1"/>
  </r>
  <r>
    <x v="6"/>
    <n v="5174.3"/>
  </r>
  <r>
    <x v="5"/>
    <n v="1605.8"/>
  </r>
  <r>
    <x v="3"/>
    <n v="8129.3"/>
  </r>
  <r>
    <x v="5"/>
    <n v="2114.3000000000002"/>
  </r>
  <r>
    <x v="2"/>
    <n v="2114.3000000000002"/>
  </r>
  <r>
    <x v="7"/>
    <n v="8129.3"/>
  </r>
  <r>
    <x v="6"/>
    <n v="7765.2"/>
  </r>
  <r>
    <x v="2"/>
    <n v="1605.8"/>
  </r>
  <r>
    <x v="3"/>
    <n v="1820.4"/>
  </r>
  <r>
    <x v="8"/>
    <n v="1820.4"/>
  </r>
  <r>
    <x v="9"/>
    <n v="3512.1"/>
  </r>
  <r>
    <x v="1"/>
    <n v="17402.8"/>
  </r>
  <r>
    <x v="1"/>
    <n v="1820.4"/>
  </r>
  <r>
    <x v="5"/>
    <n v="1820.4"/>
  </r>
  <r>
    <x v="3"/>
    <n v="1820.4"/>
  </r>
  <r>
    <x v="9"/>
    <n v="7765.2"/>
  </r>
  <r>
    <x v="5"/>
    <n v="5050.3"/>
  </r>
  <r>
    <x v="3"/>
    <n v="17402.8"/>
  </r>
  <r>
    <x v="3"/>
    <n v="5050.3"/>
  </r>
  <r>
    <x v="9"/>
    <n v="10825.8"/>
  </r>
  <r>
    <x v="6"/>
    <n v="8129.3"/>
  </r>
  <r>
    <x v="6"/>
    <n v="8129.3"/>
  </r>
  <r>
    <x v="3"/>
    <n v="10825.8"/>
  </r>
  <r>
    <x v="2"/>
    <n v="3512.1"/>
  </r>
  <r>
    <x v="5"/>
    <n v="5050.3"/>
  </r>
  <r>
    <x v="8"/>
    <n v="8129.3"/>
  </r>
  <r>
    <x v="1"/>
    <n v="10820.4"/>
  </r>
  <r>
    <x v="3"/>
    <n v="5854.7"/>
  </r>
  <r>
    <x v="8"/>
    <n v="10825.8"/>
  </r>
  <r>
    <x v="5"/>
    <n v="8129.3"/>
  </r>
  <r>
    <x v="7"/>
    <n v="5050.3"/>
  </r>
  <r>
    <x v="7"/>
    <n v="1605.8"/>
  </r>
  <r>
    <x v="4"/>
    <n v="5854.7"/>
  </r>
  <r>
    <x v="8"/>
    <n v="5174.3"/>
  </r>
  <r>
    <x v="4"/>
    <n v="5050.3"/>
  </r>
  <r>
    <x v="0"/>
    <n v="17402.8"/>
  </r>
  <r>
    <x v="5"/>
    <n v="8129.3"/>
  </r>
  <r>
    <x v="5"/>
    <n v="17402.8"/>
  </r>
  <r>
    <x v="9"/>
    <n v="8129.3"/>
  </r>
  <r>
    <x v="2"/>
    <n v="7765.2"/>
  </r>
  <r>
    <x v="7"/>
    <n v="17402.8"/>
  </r>
  <r>
    <x v="7"/>
    <n v="1820.4"/>
  </r>
  <r>
    <x v="2"/>
    <n v="1820.4"/>
  </r>
  <r>
    <x v="3"/>
    <n v="5050.3"/>
  </r>
  <r>
    <x v="0"/>
    <n v="5854.7"/>
  </r>
  <r>
    <x v="5"/>
    <n v="1820.4"/>
  </r>
  <r>
    <x v="7"/>
    <n v="5854.7"/>
  </r>
  <r>
    <x v="2"/>
    <n v="5854.7"/>
  </r>
  <r>
    <x v="0"/>
    <n v="7765.2"/>
  </r>
  <r>
    <x v="2"/>
    <n v="5050.3"/>
  </r>
  <r>
    <x v="1"/>
    <n v="8129.3"/>
  </r>
  <r>
    <x v="5"/>
    <n v="7765.2"/>
  </r>
  <r>
    <x v="1"/>
    <n v="1605.8"/>
  </r>
  <r>
    <x v="8"/>
    <n v="3512.1"/>
  </r>
  <r>
    <x v="4"/>
    <n v="2114.3000000000002"/>
  </r>
  <r>
    <x v="5"/>
    <n v="10820.4"/>
  </r>
  <r>
    <x v="2"/>
    <n v="3512.1"/>
  </r>
  <r>
    <x v="6"/>
    <n v="3512.1"/>
  </r>
  <r>
    <x v="7"/>
    <n v="2114.3000000000002"/>
  </r>
  <r>
    <x v="0"/>
    <n v="8129.3"/>
  </r>
  <r>
    <x v="3"/>
    <n v="5050.3"/>
  </r>
  <r>
    <x v="3"/>
    <n v="5854.7"/>
  </r>
  <r>
    <x v="3"/>
    <n v="1605.8"/>
  </r>
  <r>
    <x v="4"/>
    <n v="1820.4"/>
  </r>
  <r>
    <x v="0"/>
    <n v="8129.3"/>
  </r>
  <r>
    <x v="1"/>
    <n v="10820.4"/>
  </r>
  <r>
    <x v="1"/>
    <n v="2114.3000000000002"/>
  </r>
  <r>
    <x v="1"/>
    <n v="2114.3000000000002"/>
  </r>
  <r>
    <x v="0"/>
    <n v="1820.4"/>
  </r>
  <r>
    <x v="0"/>
    <n v="10820.4"/>
  </r>
  <r>
    <x v="7"/>
    <n v="5854.7"/>
  </r>
  <r>
    <x v="0"/>
    <n v="10820.4"/>
  </r>
  <r>
    <x v="5"/>
    <n v="5174.3"/>
  </r>
  <r>
    <x v="0"/>
    <n v="1605.8"/>
  </r>
  <r>
    <x v="6"/>
    <n v="2114.3000000000002"/>
  </r>
  <r>
    <x v="2"/>
    <n v="1605.8"/>
  </r>
  <r>
    <x v="6"/>
    <n v="17402.8"/>
  </r>
  <r>
    <x v="1"/>
    <n v="3512.1"/>
  </r>
  <r>
    <x v="7"/>
    <n v="5854.7"/>
  </r>
  <r>
    <x v="4"/>
    <n v="1605.8"/>
  </r>
  <r>
    <x v="6"/>
    <n v="10825.8"/>
  </r>
  <r>
    <x v="1"/>
    <n v="7765.2"/>
  </r>
  <r>
    <x v="4"/>
    <n v="10825.8"/>
  </r>
  <r>
    <x v="2"/>
    <n v="17402.8"/>
  </r>
  <r>
    <x v="8"/>
    <n v="10825.8"/>
  </r>
  <r>
    <x v="0"/>
    <n v="5050.3"/>
  </r>
  <r>
    <x v="1"/>
    <n v="10825.8"/>
  </r>
  <r>
    <x v="3"/>
    <n v="5050.3"/>
  </r>
  <r>
    <x v="1"/>
    <n v="1820.4"/>
  </r>
  <r>
    <x v="9"/>
    <n v="1605.8"/>
  </r>
  <r>
    <x v="5"/>
    <n v="7765.2"/>
  </r>
  <r>
    <x v="6"/>
    <n v="8129.3"/>
  </r>
  <r>
    <x v="1"/>
    <n v="10820.4"/>
  </r>
  <r>
    <x v="4"/>
    <n v="17402.8"/>
  </r>
  <r>
    <x v="8"/>
    <n v="2114.3000000000002"/>
  </r>
  <r>
    <x v="7"/>
    <n v="8129.3"/>
  </r>
  <r>
    <x v="3"/>
    <n v="10820.4"/>
  </r>
  <r>
    <x v="6"/>
    <n v="17402.8"/>
  </r>
  <r>
    <x v="9"/>
    <n v="5050.3"/>
  </r>
  <r>
    <x v="7"/>
    <n v="7765.2"/>
  </r>
  <r>
    <x v="6"/>
    <n v="10820.4"/>
  </r>
  <r>
    <x v="4"/>
    <n v="7765.2"/>
  </r>
  <r>
    <x v="3"/>
    <n v="8129.3"/>
  </r>
  <r>
    <x v="1"/>
    <n v="8129.3"/>
  </r>
  <r>
    <x v="1"/>
    <n v="10820.4"/>
  </r>
  <r>
    <x v="4"/>
    <n v="1820.4"/>
  </r>
  <r>
    <x v="9"/>
    <n v="1605.8"/>
  </r>
  <r>
    <x v="1"/>
    <n v="3512.1"/>
  </r>
  <r>
    <x v="4"/>
    <n v="10825.8"/>
  </r>
  <r>
    <x v="6"/>
    <n v="1820.4"/>
  </r>
  <r>
    <x v="9"/>
    <n v="3512.1"/>
  </r>
  <r>
    <x v="8"/>
    <n v="3512.1"/>
  </r>
  <r>
    <x v="0"/>
    <n v="3512.1"/>
  </r>
  <r>
    <x v="5"/>
    <n v="17402.8"/>
  </r>
  <r>
    <x v="1"/>
    <n v="5050.3"/>
  </r>
  <r>
    <x v="1"/>
    <n v="1820.4"/>
  </r>
  <r>
    <x v="3"/>
    <n v="10825.8"/>
  </r>
  <r>
    <x v="2"/>
    <n v="5174.3"/>
  </r>
  <r>
    <x v="7"/>
    <n v="1820.4"/>
  </r>
  <r>
    <x v="1"/>
    <n v="5854.7"/>
  </r>
  <r>
    <x v="8"/>
    <n v="10820.4"/>
  </r>
  <r>
    <x v="3"/>
    <n v="5050.3"/>
  </r>
  <r>
    <x v="5"/>
    <n v="3512.1"/>
  </r>
  <r>
    <x v="7"/>
    <n v="17402.8"/>
  </r>
  <r>
    <x v="0"/>
    <n v="5854.7"/>
  </r>
  <r>
    <x v="9"/>
    <n v="5050.3"/>
  </r>
  <r>
    <x v="4"/>
    <n v="3512.1"/>
  </r>
  <r>
    <x v="1"/>
    <n v="3512.1"/>
  </r>
  <r>
    <x v="6"/>
    <n v="2114.3000000000002"/>
  </r>
  <r>
    <x v="4"/>
    <n v="5050.3"/>
  </r>
  <r>
    <x v="4"/>
    <n v="5854.7"/>
  </r>
  <r>
    <x v="2"/>
    <n v="5050.3"/>
  </r>
  <r>
    <x v="5"/>
    <n v="3512.1"/>
  </r>
  <r>
    <x v="1"/>
    <n v="5854.7"/>
  </r>
  <r>
    <x v="4"/>
    <n v="17402.8"/>
  </r>
  <r>
    <x v="1"/>
    <n v="7765.2"/>
  </r>
  <r>
    <x v="4"/>
    <n v="1605.8"/>
  </r>
  <r>
    <x v="1"/>
    <n v="17402.8"/>
  </r>
  <r>
    <x v="5"/>
    <n v="1820.4"/>
  </r>
  <r>
    <x v="4"/>
    <n v="10825.8"/>
  </r>
  <r>
    <x v="2"/>
    <n v="10820.4"/>
  </r>
  <r>
    <x v="7"/>
    <n v="5854.7"/>
  </r>
  <r>
    <x v="6"/>
    <n v="8129.3"/>
  </r>
  <r>
    <x v="1"/>
    <n v="2114.3000000000002"/>
  </r>
  <r>
    <x v="1"/>
    <n v="5050.3"/>
  </r>
  <r>
    <x v="8"/>
    <n v="7765.2"/>
  </r>
  <r>
    <x v="4"/>
    <n v="3512.1"/>
  </r>
  <r>
    <x v="4"/>
    <n v="1820.4"/>
  </r>
  <r>
    <x v="3"/>
    <n v="5854.7"/>
  </r>
  <r>
    <x v="3"/>
    <n v="1605.8"/>
  </r>
  <r>
    <x v="4"/>
    <n v="3512.1"/>
  </r>
  <r>
    <x v="1"/>
    <n v="1820.4"/>
  </r>
  <r>
    <x v="9"/>
    <n v="10820.4"/>
  </r>
  <r>
    <x v="6"/>
    <n v="17402.8"/>
  </r>
  <r>
    <x v="4"/>
    <n v="3512.1"/>
  </r>
  <r>
    <x v="7"/>
    <n v="10825.8"/>
  </r>
  <r>
    <x v="2"/>
    <n v="5854.7"/>
  </r>
  <r>
    <x v="8"/>
    <n v="3512.1"/>
  </r>
  <r>
    <x v="9"/>
    <n v="1820.4"/>
  </r>
  <r>
    <x v="1"/>
    <n v="7765.2"/>
  </r>
  <r>
    <x v="1"/>
    <n v="5174.3"/>
  </r>
  <r>
    <x v="0"/>
    <n v="2114.3000000000002"/>
  </r>
  <r>
    <x v="3"/>
    <n v="5854.7"/>
  </r>
  <r>
    <x v="5"/>
    <n v="8129.3"/>
  </r>
  <r>
    <x v="9"/>
    <n v="5174.3"/>
  </r>
  <r>
    <x v="6"/>
    <n v="1820.4"/>
  </r>
  <r>
    <x v="0"/>
    <n v="5050.3"/>
  </r>
  <r>
    <x v="7"/>
    <n v="2114.3000000000002"/>
  </r>
  <r>
    <x v="1"/>
    <n v="1820.4"/>
  </r>
  <r>
    <x v="8"/>
    <n v="1820.4"/>
  </r>
  <r>
    <x v="6"/>
    <n v="5050.3"/>
  </r>
  <r>
    <x v="2"/>
    <n v="17402.8"/>
  </r>
  <r>
    <x v="1"/>
    <n v="1820.4"/>
  </r>
  <r>
    <x v="2"/>
    <n v="3512.1"/>
  </r>
  <r>
    <x v="4"/>
    <n v="8129.3"/>
  </r>
  <r>
    <x v="8"/>
    <n v="10825.8"/>
  </r>
  <r>
    <x v="2"/>
    <n v="5050.3"/>
  </r>
  <r>
    <x v="6"/>
    <n v="7765.2"/>
  </r>
  <r>
    <x v="1"/>
    <n v="2114.3000000000002"/>
  </r>
  <r>
    <x v="5"/>
    <n v="2114.3000000000002"/>
  </r>
  <r>
    <x v="5"/>
    <n v="10825.8"/>
  </r>
  <r>
    <x v="8"/>
    <n v="7765.2"/>
  </r>
  <r>
    <x v="5"/>
    <n v="1820.4"/>
  </r>
  <r>
    <x v="6"/>
    <n v="1605.8"/>
  </r>
  <r>
    <x v="6"/>
    <n v="1605.8"/>
  </r>
  <r>
    <x v="4"/>
    <n v="7765.2"/>
  </r>
  <r>
    <x v="4"/>
    <n v="5854.7"/>
  </r>
  <r>
    <x v="0"/>
    <n v="2114.3000000000002"/>
  </r>
  <r>
    <x v="4"/>
    <n v="10820.4"/>
  </r>
  <r>
    <x v="1"/>
    <n v="1820.4"/>
  </r>
  <r>
    <x v="1"/>
    <n v="7765.2"/>
  </r>
  <r>
    <x v="2"/>
    <n v="10825.8"/>
  </r>
  <r>
    <x v="9"/>
    <n v="5854.7"/>
  </r>
  <r>
    <x v="4"/>
    <n v="1605.8"/>
  </r>
  <r>
    <x v="0"/>
    <n v="5854.7"/>
  </r>
  <r>
    <x v="8"/>
    <n v="10820.4"/>
  </r>
  <r>
    <x v="2"/>
    <n v="10825.8"/>
  </r>
  <r>
    <x v="7"/>
    <n v="1820.4"/>
  </r>
  <r>
    <x v="9"/>
    <n v="5174.3"/>
  </r>
  <r>
    <x v="5"/>
    <n v="10825.8"/>
  </r>
  <r>
    <x v="2"/>
    <n v="10820.4"/>
  </r>
  <r>
    <x v="4"/>
    <n v="1605.8"/>
  </r>
  <r>
    <x v="0"/>
    <n v="5174.3"/>
  </r>
  <r>
    <x v="1"/>
    <n v="1605.8"/>
  </r>
  <r>
    <x v="6"/>
    <n v="5050.3"/>
  </r>
  <r>
    <x v="0"/>
    <n v="7765.2"/>
  </r>
  <r>
    <x v="4"/>
    <n v="1820.4"/>
  </r>
  <r>
    <x v="9"/>
    <n v="10820.4"/>
  </r>
  <r>
    <x v="6"/>
    <n v="10820.4"/>
  </r>
  <r>
    <x v="0"/>
    <n v="10820.4"/>
  </r>
  <r>
    <x v="4"/>
    <n v="10820.4"/>
  </r>
  <r>
    <x v="9"/>
    <n v="5854.7"/>
  </r>
  <r>
    <x v="2"/>
    <n v="3512.1"/>
  </r>
  <r>
    <x v="0"/>
    <n v="10820.4"/>
  </r>
  <r>
    <x v="6"/>
    <n v="8129.3"/>
  </r>
  <r>
    <x v="2"/>
    <n v="5854.7"/>
  </r>
  <r>
    <x v="1"/>
    <n v="10825.8"/>
  </r>
  <r>
    <x v="5"/>
    <n v="5854.7"/>
  </r>
  <r>
    <x v="8"/>
    <n v="5050.3"/>
  </r>
  <r>
    <x v="1"/>
    <n v="3512.1"/>
  </r>
  <r>
    <x v="7"/>
    <n v="1605.8"/>
  </r>
  <r>
    <x v="4"/>
    <n v="17402.8"/>
  </r>
  <r>
    <x v="4"/>
    <n v="3512.1"/>
  </r>
  <r>
    <x v="1"/>
    <n v="5174.3"/>
  </r>
  <r>
    <x v="2"/>
    <n v="1820.4"/>
  </r>
  <r>
    <x v="1"/>
    <n v="8129.3"/>
  </r>
  <r>
    <x v="0"/>
    <n v="8129.3"/>
  </r>
  <r>
    <x v="9"/>
    <n v="7765.2"/>
  </r>
  <r>
    <x v="8"/>
    <n v="5050.3"/>
  </r>
  <r>
    <x v="6"/>
    <n v="1605.8"/>
  </r>
  <r>
    <x v="3"/>
    <n v="1820.4"/>
  </r>
  <r>
    <x v="0"/>
    <n v="7765.2"/>
  </r>
  <r>
    <x v="0"/>
    <n v="17402.8"/>
  </r>
  <r>
    <x v="7"/>
    <n v="3512.1"/>
  </r>
  <r>
    <x v="5"/>
    <n v="5050.3"/>
  </r>
  <r>
    <x v="1"/>
    <n v="3512.1"/>
  </r>
  <r>
    <x v="3"/>
    <n v="5174.3"/>
  </r>
  <r>
    <x v="6"/>
    <n v="10825.8"/>
  </r>
  <r>
    <x v="3"/>
    <n v="17402.8"/>
  </r>
  <r>
    <x v="4"/>
    <n v="5174.3"/>
  </r>
  <r>
    <x v="7"/>
    <n v="5050.3"/>
  </r>
  <r>
    <x v="5"/>
    <n v="8129.3"/>
  </r>
  <r>
    <x v="5"/>
    <n v="5050.3"/>
  </r>
  <r>
    <x v="7"/>
    <n v="17402.8"/>
  </r>
  <r>
    <x v="3"/>
    <n v="1820.4"/>
  </r>
  <r>
    <x v="3"/>
    <n v="5050.3"/>
  </r>
  <r>
    <x v="3"/>
    <n v="8129.3"/>
  </r>
  <r>
    <x v="1"/>
    <n v="10820.4"/>
  </r>
  <r>
    <x v="7"/>
    <n v="1820.4"/>
  </r>
  <r>
    <x v="3"/>
    <n v="3512.1"/>
  </r>
  <r>
    <x v="9"/>
    <n v="7765.2"/>
  </r>
  <r>
    <x v="1"/>
    <n v="8129.3"/>
  </r>
  <r>
    <x v="1"/>
    <n v="2114.3000000000002"/>
  </r>
  <r>
    <x v="2"/>
    <n v="5050.3"/>
  </r>
  <r>
    <x v="1"/>
    <n v="5050.3"/>
  </r>
  <r>
    <x v="5"/>
    <n v="17402.8"/>
  </r>
  <r>
    <x v="5"/>
    <n v="10820.4"/>
  </r>
  <r>
    <x v="7"/>
    <n v="3512.1"/>
  </r>
  <r>
    <x v="8"/>
    <n v="5050.3"/>
  </r>
  <r>
    <x v="5"/>
    <n v="1820.4"/>
  </r>
  <r>
    <x v="2"/>
    <n v="10820.4"/>
  </r>
  <r>
    <x v="5"/>
    <n v="7765.2"/>
  </r>
  <r>
    <x v="6"/>
    <n v="1605.8"/>
  </r>
  <r>
    <x v="7"/>
    <n v="17402.8"/>
  </r>
  <r>
    <x v="3"/>
    <n v="1820.4"/>
  </r>
  <r>
    <x v="2"/>
    <n v="7765.2"/>
  </r>
  <r>
    <x v="5"/>
    <n v="8129.3"/>
  </r>
  <r>
    <x v="0"/>
    <n v="1820.4"/>
  </r>
  <r>
    <x v="1"/>
    <n v="17402.8"/>
  </r>
  <r>
    <x v="2"/>
    <n v="5050.3"/>
  </r>
  <r>
    <x v="4"/>
    <n v="7765.2"/>
  </r>
  <r>
    <x v="9"/>
    <n v="7765.2"/>
  </r>
  <r>
    <x v="4"/>
    <n v="8129.3"/>
  </r>
  <r>
    <x v="5"/>
    <n v="8129.3"/>
  </r>
  <r>
    <x v="3"/>
    <n v="1605.8"/>
  </r>
  <r>
    <x v="1"/>
    <n v="17402.8"/>
  </r>
  <r>
    <x v="3"/>
    <n v="8129.3"/>
  </r>
  <r>
    <x v="4"/>
    <n v="1820.4"/>
  </r>
  <r>
    <x v="6"/>
    <n v="1820.4"/>
  </r>
  <r>
    <x v="5"/>
    <n v="10825.8"/>
  </r>
  <r>
    <x v="0"/>
    <n v="7765.2"/>
  </r>
  <r>
    <x v="0"/>
    <n v="17402.8"/>
  </r>
  <r>
    <x v="8"/>
    <n v="2114.3000000000002"/>
  </r>
  <r>
    <x v="6"/>
    <n v="10820.4"/>
  </r>
  <r>
    <x v="3"/>
    <n v="10825.8"/>
  </r>
  <r>
    <x v="4"/>
    <n v="5174.3"/>
  </r>
  <r>
    <x v="2"/>
    <n v="5854.7"/>
  </r>
  <r>
    <x v="3"/>
    <n v="5854.7"/>
  </r>
  <r>
    <x v="6"/>
    <n v="2114.3000000000002"/>
  </r>
  <r>
    <x v="1"/>
    <n v="7765.2"/>
  </r>
  <r>
    <x v="5"/>
    <n v="2114.3000000000002"/>
  </r>
  <r>
    <x v="1"/>
    <n v="7765.2"/>
  </r>
  <r>
    <x v="8"/>
    <n v="10820.4"/>
  </r>
  <r>
    <x v="5"/>
    <n v="1820.4"/>
  </r>
  <r>
    <x v="7"/>
    <n v="10820.4"/>
  </r>
  <r>
    <x v="0"/>
    <n v="8129.3"/>
  </r>
  <r>
    <x v="7"/>
    <n v="7765.2"/>
  </r>
  <r>
    <x v="8"/>
    <n v="17402.8"/>
  </r>
  <r>
    <x v="3"/>
    <n v="7765.2"/>
  </r>
  <r>
    <x v="4"/>
    <n v="5854.7"/>
  </r>
  <r>
    <x v="5"/>
    <n v="1820.4"/>
  </r>
  <r>
    <x v="3"/>
    <n v="3512.1"/>
  </r>
  <r>
    <x v="2"/>
    <n v="2114.3000000000002"/>
  </r>
  <r>
    <x v="5"/>
    <n v="17402.8"/>
  </r>
  <r>
    <x v="9"/>
    <n v="2114.3000000000002"/>
  </r>
  <r>
    <x v="9"/>
    <n v="10825.8"/>
  </r>
  <r>
    <x v="8"/>
    <n v="2114.3000000000002"/>
  </r>
  <r>
    <x v="4"/>
    <n v="10825.8"/>
  </r>
  <r>
    <x v="6"/>
    <n v="3512.1"/>
  </r>
  <r>
    <x v="3"/>
    <n v="17402.8"/>
  </r>
  <r>
    <x v="2"/>
    <n v="5050.3"/>
  </r>
  <r>
    <x v="9"/>
    <n v="7765.2"/>
  </r>
  <r>
    <x v="0"/>
    <n v="5050.3"/>
  </r>
  <r>
    <x v="0"/>
    <n v="3512.1"/>
  </r>
  <r>
    <x v="4"/>
    <n v="3512.1"/>
  </r>
  <r>
    <x v="1"/>
    <n v="3512.1"/>
  </r>
  <r>
    <x v="5"/>
    <n v="8129.3"/>
  </r>
  <r>
    <x v="9"/>
    <n v="10820.4"/>
  </r>
  <r>
    <x v="3"/>
    <n v="8129.3"/>
  </r>
  <r>
    <x v="4"/>
    <n v="7765.2"/>
  </r>
  <r>
    <x v="8"/>
    <n v="8129.3"/>
  </r>
  <r>
    <x v="2"/>
    <n v="8129.3"/>
  </r>
  <r>
    <x v="4"/>
    <n v="1605.8"/>
  </r>
  <r>
    <x v="9"/>
    <n v="1605.8"/>
  </r>
  <r>
    <x v="2"/>
    <n v="1605.8"/>
  </r>
  <r>
    <x v="1"/>
    <n v="1820.4"/>
  </r>
  <r>
    <x v="1"/>
    <n v="1605.8"/>
  </r>
  <r>
    <x v="2"/>
    <n v="17402.8"/>
  </r>
  <r>
    <x v="7"/>
    <n v="5174.3"/>
  </r>
  <r>
    <x v="2"/>
    <n v="8129.3"/>
  </r>
  <r>
    <x v="6"/>
    <n v="10825.8"/>
  </r>
  <r>
    <x v="4"/>
    <n v="5050.3"/>
  </r>
  <r>
    <x v="6"/>
    <n v="7765.2"/>
  </r>
  <r>
    <x v="7"/>
    <n v="10825.8"/>
  </r>
  <r>
    <x v="0"/>
    <n v="5174.3"/>
  </r>
  <r>
    <x v="3"/>
    <n v="1605.8"/>
  </r>
  <r>
    <x v="3"/>
    <n v="7765.2"/>
  </r>
  <r>
    <x v="7"/>
    <n v="17402.8"/>
  </r>
  <r>
    <x v="9"/>
    <n v="5050.3"/>
  </r>
  <r>
    <x v="7"/>
    <n v="17402.8"/>
  </r>
  <r>
    <x v="0"/>
    <n v="2114.3000000000002"/>
  </r>
  <r>
    <x v="5"/>
    <n v="5050.3"/>
  </r>
  <r>
    <x v="4"/>
    <n v="7765.2"/>
  </r>
  <r>
    <x v="3"/>
    <n v="10825.8"/>
  </r>
  <r>
    <x v="5"/>
    <n v="1605.8"/>
  </r>
  <r>
    <x v="4"/>
    <n v="8129.3"/>
  </r>
  <r>
    <x v="2"/>
    <n v="8129.3"/>
  </r>
  <r>
    <x v="1"/>
    <n v="3512.1"/>
  </r>
  <r>
    <x v="7"/>
    <n v="10820.4"/>
  </r>
  <r>
    <x v="0"/>
    <n v="3512.1"/>
  </r>
  <r>
    <x v="1"/>
    <n v="17402.8"/>
  </r>
  <r>
    <x v="1"/>
    <n v="2114.3000000000002"/>
  </r>
  <r>
    <x v="5"/>
    <n v="3512.1"/>
  </r>
  <r>
    <x v="0"/>
    <n v="5174.3"/>
  </r>
  <r>
    <x v="3"/>
    <n v="10825.8"/>
  </r>
  <r>
    <x v="2"/>
    <n v="2114.3000000000002"/>
  </r>
  <r>
    <x v="6"/>
    <n v="5050.3"/>
  </r>
  <r>
    <x v="6"/>
    <n v="17402.8"/>
  </r>
  <r>
    <x v="6"/>
    <n v="3512.1"/>
  </r>
  <r>
    <x v="0"/>
    <n v="10825.8"/>
  </r>
  <r>
    <x v="6"/>
    <n v="5174.3"/>
  </r>
  <r>
    <x v="6"/>
    <n v="8129.3"/>
  </r>
  <r>
    <x v="0"/>
    <n v="5174.3"/>
  </r>
  <r>
    <x v="6"/>
    <n v="10820.4"/>
  </r>
  <r>
    <x v="7"/>
    <n v="3512.1"/>
  </r>
  <r>
    <x v="0"/>
    <n v="7765.2"/>
  </r>
  <r>
    <x v="4"/>
    <n v="7765.2"/>
  </r>
  <r>
    <x v="1"/>
    <n v="1605.8"/>
  </r>
  <r>
    <x v="6"/>
    <n v="5174.3"/>
  </r>
  <r>
    <x v="8"/>
    <n v="10825.8"/>
  </r>
  <r>
    <x v="9"/>
    <n v="10825.8"/>
  </r>
  <r>
    <x v="3"/>
    <n v="17402.8"/>
  </r>
  <r>
    <x v="2"/>
    <n v="3512.1"/>
  </r>
  <r>
    <x v="1"/>
    <n v="1820.4"/>
  </r>
  <r>
    <x v="7"/>
    <n v="1605.8"/>
  </r>
  <r>
    <x v="6"/>
    <n v="7765.2"/>
  </r>
  <r>
    <x v="0"/>
    <n v="17402.8"/>
  </r>
  <r>
    <x v="1"/>
    <n v="1820.4"/>
  </r>
  <r>
    <x v="1"/>
    <n v="5854.7"/>
  </r>
  <r>
    <x v="7"/>
    <n v="5050.3"/>
  </r>
  <r>
    <x v="6"/>
    <n v="10825.8"/>
  </r>
  <r>
    <x v="1"/>
    <n v="1820.4"/>
  </r>
  <r>
    <x v="9"/>
    <n v="10825.8"/>
  </r>
  <r>
    <x v="3"/>
    <n v="3512.1"/>
  </r>
  <r>
    <x v="8"/>
    <n v="1605.8"/>
  </r>
  <r>
    <x v="9"/>
    <n v="8129.3"/>
  </r>
  <r>
    <x v="6"/>
    <n v="2114.3000000000002"/>
  </r>
  <r>
    <x v="5"/>
    <n v="1820.4"/>
  </r>
  <r>
    <x v="3"/>
    <n v="1820.4"/>
  </r>
  <r>
    <x v="7"/>
    <n v="5854.7"/>
  </r>
  <r>
    <x v="8"/>
    <n v="5174.3"/>
  </r>
  <r>
    <x v="1"/>
    <n v="1605.8"/>
  </r>
  <r>
    <x v="9"/>
    <n v="10825.8"/>
  </r>
  <r>
    <x v="2"/>
    <n v="10825.8"/>
  </r>
  <r>
    <x v="9"/>
    <n v="5854.7"/>
  </r>
  <r>
    <x v="6"/>
    <n v="17402.8"/>
  </r>
  <r>
    <x v="5"/>
    <n v="10820.4"/>
  </r>
  <r>
    <x v="5"/>
    <n v="17402.8"/>
  </r>
  <r>
    <x v="0"/>
    <n v="2114.3000000000002"/>
  </r>
  <r>
    <x v="8"/>
    <n v="10825.8"/>
  </r>
  <r>
    <x v="8"/>
    <n v="5174.3"/>
  </r>
  <r>
    <x v="8"/>
    <n v="2114.3000000000002"/>
  </r>
  <r>
    <x v="8"/>
    <n v="5174.3"/>
  </r>
  <r>
    <x v="5"/>
    <n v="2114.3000000000002"/>
  </r>
  <r>
    <x v="6"/>
    <n v="3512.1"/>
  </r>
  <r>
    <x v="8"/>
    <n v="3512.1"/>
  </r>
  <r>
    <x v="7"/>
    <n v="1820.4"/>
  </r>
  <r>
    <x v="6"/>
    <n v="1605.8"/>
  </r>
  <r>
    <x v="2"/>
    <n v="7765.2"/>
  </r>
  <r>
    <x v="1"/>
    <n v="10825.8"/>
  </r>
  <r>
    <x v="2"/>
    <n v="5174.3"/>
  </r>
  <r>
    <x v="8"/>
    <n v="5174.3"/>
  </r>
  <r>
    <x v="8"/>
    <n v="1605.8"/>
  </r>
  <r>
    <x v="5"/>
    <n v="5174.3"/>
  </r>
  <r>
    <x v="4"/>
    <n v="7765.2"/>
  </r>
  <r>
    <x v="1"/>
    <n v="5174.3"/>
  </r>
  <r>
    <x v="0"/>
    <n v="10825.8"/>
  </r>
  <r>
    <x v="9"/>
    <n v="8129.3"/>
  </r>
  <r>
    <x v="0"/>
    <n v="3512.1"/>
  </r>
  <r>
    <x v="8"/>
    <n v="1605.8"/>
  </r>
  <r>
    <x v="6"/>
    <n v="10825.8"/>
  </r>
  <r>
    <x v="3"/>
    <n v="5174.3"/>
  </r>
  <r>
    <x v="3"/>
    <n v="10820.4"/>
  </r>
  <r>
    <x v="0"/>
    <n v="10825.8"/>
  </r>
  <r>
    <x v="9"/>
    <n v="3512.1"/>
  </r>
  <r>
    <x v="8"/>
    <n v="10825.8"/>
  </r>
  <r>
    <x v="3"/>
    <n v="17402.8"/>
  </r>
  <r>
    <x v="3"/>
    <n v="17402.8"/>
  </r>
  <r>
    <x v="5"/>
    <n v="3512.1"/>
  </r>
  <r>
    <x v="6"/>
    <n v="17402.8"/>
  </r>
  <r>
    <x v="5"/>
    <n v="5854.7"/>
  </r>
  <r>
    <x v="4"/>
    <n v="5854.7"/>
  </r>
  <r>
    <x v="3"/>
    <n v="1605.8"/>
  </r>
  <r>
    <x v="5"/>
    <n v="7765.2"/>
  </r>
  <r>
    <x v="0"/>
    <n v="7765.2"/>
  </r>
  <r>
    <x v="1"/>
    <n v="3512.1"/>
  </r>
  <r>
    <x v="1"/>
    <n v="8129.3"/>
  </r>
  <r>
    <x v="4"/>
    <n v="5050.3"/>
  </r>
  <r>
    <x v="8"/>
    <n v="1605.8"/>
  </r>
  <r>
    <x v="2"/>
    <n v="5050.3"/>
  </r>
  <r>
    <x v="0"/>
    <n v="10820.4"/>
  </r>
  <r>
    <x v="8"/>
    <n v="1820.4"/>
  </r>
  <r>
    <x v="5"/>
    <n v="2114.3000000000002"/>
  </r>
  <r>
    <x v="9"/>
    <n v="7765.2"/>
  </r>
  <r>
    <x v="5"/>
    <n v="10820.4"/>
  </r>
  <r>
    <x v="2"/>
    <n v="8129.3"/>
  </r>
  <r>
    <x v="6"/>
    <n v="10820.4"/>
  </r>
  <r>
    <x v="6"/>
    <n v="10825.8"/>
  </r>
  <r>
    <x v="3"/>
    <n v="2114.3000000000002"/>
  </r>
  <r>
    <x v="4"/>
    <n v="2114.3000000000002"/>
  </r>
  <r>
    <x v="0"/>
    <n v="1820.4"/>
  </r>
  <r>
    <x v="5"/>
    <n v="5174.3"/>
  </r>
  <r>
    <x v="1"/>
    <n v="7765.2"/>
  </r>
  <r>
    <x v="10"/>
    <m/>
  </r>
  <r>
    <x v="10"/>
    <m/>
  </r>
  <r>
    <x v="10"/>
    <m/>
  </r>
  <r>
    <x v="10"/>
    <m/>
  </r>
  <r>
    <x v="10"/>
    <m/>
  </r>
  <r>
    <x v="10"/>
    <m/>
  </r>
  <r>
    <x v="10"/>
    <m/>
  </r>
  <r>
    <x v="10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s v="CAND0002"/>
    <s v="Bikash Behura"/>
    <s v="DevOps Engineer"/>
    <s v="Data Science"/>
    <s v="Data Science"/>
    <s v="LinkedIn"/>
    <s v="Linkedin"/>
    <n v="3.1"/>
    <n v="3.3"/>
    <n v="3.2"/>
    <n v="139712"/>
    <n v="132960"/>
    <s v="Accepted"/>
    <s v="27-05-2024"/>
    <s v="TechNova Solutions"/>
    <n v="5.7"/>
  </r>
  <r>
    <s v="CAND0003"/>
    <s v="Ankita Behura"/>
    <s v="HR Executive"/>
    <s v="Engineering"/>
    <s v="Engineering"/>
    <s v="LinkedIn"/>
    <s v="Linkedin"/>
    <n v="4.0999999999999996"/>
    <n v="6.7"/>
    <n v="5.4"/>
    <n v="26013"/>
    <n v="28384"/>
    <s v="Pending"/>
    <s v="18-09-2024"/>
    <s v="TechNova Solutions"/>
    <n v="14.5"/>
  </r>
  <r>
    <s v="CAND0004"/>
    <s v="Sudhansu Prusty"/>
    <s v="DevOps Engineer"/>
    <s v="HR"/>
    <s v="Hr"/>
    <s v="Campus"/>
    <s v="Campus"/>
    <n v="3.5"/>
    <n v="8.8000000000000007"/>
    <n v="6.2"/>
    <n v="176914"/>
    <n v="170600"/>
    <s v="Pending"/>
    <s v="11-12-2023"/>
    <s v="CoastalDev Studio"/>
    <n v="11.7"/>
  </r>
  <r>
    <s v="CAND0005"/>
    <s v="Puspita Pattnaik"/>
    <m/>
    <s v="DevOps"/>
    <s v="Devops"/>
    <s v="LinkedIn"/>
    <s v="Linkedin"/>
    <n v="3.1"/>
    <n v="7.9"/>
    <n v="5.5"/>
    <n v="155983"/>
    <n v="164134"/>
    <s v="Withdrawn"/>
    <s v="13-12-2024"/>
    <s v="OdishaCode Labs"/>
    <n v="7"/>
  </r>
  <r>
    <s v="CAND0006"/>
    <s v="Soumya Senapati"/>
    <s v="Product Manager"/>
    <s v="Sales"/>
    <s v="Sales"/>
    <s v="Walk-in"/>
    <s v="Walk-In"/>
    <n v="4.3"/>
    <n v="9.6"/>
    <n v="6.9"/>
    <n v="37894"/>
    <n v="39365"/>
    <s v="Accepted"/>
    <s v="28-04-2023"/>
    <s v="SambalpurNet"/>
    <n v="4.3"/>
  </r>
  <r>
    <s v="CAND0007"/>
    <s v="Satyajit Padhi"/>
    <s v="DevOps Engineer"/>
    <s v="Product"/>
    <s v="Product"/>
    <s v="LinkedIn"/>
    <s v="Linkedin"/>
    <m/>
    <n v="8.5"/>
    <m/>
    <n v="164283"/>
    <n v="170751"/>
    <s v="Accepted"/>
    <s v="01-02-2023"/>
    <s v="UtkalSoft Technologies"/>
    <n v="11"/>
  </r>
  <r>
    <s v="CAND0008"/>
    <s v="Sudhansu Biswal"/>
    <s v="Cloud Architect"/>
    <s v="Data Science"/>
    <s v="Data Science"/>
    <s v="Job Portal"/>
    <s v="Job Portal"/>
    <n v="8.1"/>
    <n v="4.2"/>
    <n v="6.2"/>
    <n v="86255"/>
    <m/>
    <s v="Rejected"/>
    <s v="23-09-2024"/>
    <s v="ZeroOneSystems"/>
    <n v="13"/>
  </r>
  <r>
    <s v="CAND0009"/>
    <s v="Smita Sahu"/>
    <s v="HR Executive"/>
    <s v="DevOps"/>
    <s v="Devops"/>
    <s v="LinkedIn"/>
    <s v="Linkedin"/>
    <n v="4.3"/>
    <n v="4.8"/>
    <n v="4.5"/>
    <n v="24144"/>
    <n v="25381"/>
    <s v="Accepted"/>
    <s v="18-05-2023"/>
    <s v="BlueLotus IT"/>
    <n v="8.8000000000000007"/>
  </r>
  <r>
    <s v="CAND0010"/>
    <s v="Nirmal Ratha"/>
    <s v="Business Analyst"/>
    <s v="QA"/>
    <s v="Qa"/>
    <s v="Campus"/>
    <s v="Campus"/>
    <n v="7.5"/>
    <n v="6.9"/>
    <n v="7.2"/>
    <n v="191563"/>
    <m/>
    <s v="Withdrawn"/>
    <s v="28-08-2024"/>
    <s v="ZeroOneSystems"/>
    <n v="5.9"/>
  </r>
  <r>
    <s v="CAND0011"/>
    <s v="Nirmal Padhi"/>
    <s v="Product Manager"/>
    <s v="DevOps"/>
    <s v="Devops"/>
    <s v="Campus"/>
    <s v="Campus"/>
    <n v="7.4"/>
    <n v="3.3"/>
    <n v="5.3"/>
    <n v="170124"/>
    <n v="160467"/>
    <s v="Accepted"/>
    <s v="13-10-2024"/>
    <s v="KalingaTech Pvt Ltd"/>
    <n v="9"/>
  </r>
  <r>
    <s v="CAND0012"/>
    <s v="Nirmal Padhi"/>
    <s v="Product Manager"/>
    <s v="QA"/>
    <s v="Qa"/>
    <s v="LinkedIn"/>
    <s v="Linkedin"/>
    <n v="9.6"/>
    <n v="9.1"/>
    <n v="9.3000000000000007"/>
    <n v="108417"/>
    <n v="122402"/>
    <s v="Negotiating"/>
    <s v="20-10-2024"/>
    <s v="TributeAI"/>
    <n v="6.5"/>
  </r>
  <r>
    <s v="CAND0013"/>
    <s v="Tapas Dhal"/>
    <s v="Sales Manager"/>
    <s v="DevOps"/>
    <s v="Devops"/>
    <s v="LinkedIn"/>
    <s v="Linkedin"/>
    <n v="8.8000000000000007"/>
    <n v="8.6"/>
    <n v="8.6999999999999993"/>
    <m/>
    <n v="166699"/>
    <s v="Pending"/>
    <s v="13-07-2023"/>
    <s v="SambalpurNet"/>
    <n v="11.2"/>
  </r>
  <r>
    <s v="CAND0014"/>
    <s v="Abhishek Prusty"/>
    <s v="Sales Manager"/>
    <s v="Product"/>
    <s v="Product"/>
    <s v="Naukri"/>
    <s v="Naukri"/>
    <n v="7"/>
    <n v="8.8000000000000007"/>
    <n v="7.9"/>
    <n v="144314"/>
    <n v="135340"/>
    <s v="Rejected"/>
    <s v="02-09-2023"/>
    <s v="NilGiri Digitals"/>
    <n v="7.6"/>
  </r>
  <r>
    <s v="CAND0015"/>
    <s v="Smita Prusty"/>
    <s v="Software Engineer"/>
    <s v="DevOps"/>
    <s v="Devops"/>
    <s v="LinkedIn"/>
    <s v="Linkedin"/>
    <n v="3.1"/>
    <n v="8.5"/>
    <n v="5.8"/>
    <m/>
    <m/>
    <s v="Accepted"/>
    <s v="13-03-2023"/>
    <s v="TechNova Solutions"/>
    <n v="9.8000000000000007"/>
  </r>
  <r>
    <s v="CAND0016"/>
    <s v="Ankita Choudhury"/>
    <s v="Sales Manager"/>
    <s v="HR"/>
    <s v="Hr"/>
    <s v="LinkedIn"/>
    <s v="Linkedin"/>
    <n v="9"/>
    <n v="4.8"/>
    <n v="6.9"/>
    <n v="75018"/>
    <n v="70245"/>
    <s v="Accepted"/>
    <s v="08-12-2023"/>
    <s v="SilverByte Systems"/>
    <n v="4.9000000000000004"/>
  </r>
  <r>
    <s v="CAND0017"/>
    <s v="Sudhansu Sahu"/>
    <s v="HR Executive"/>
    <s v="Design"/>
    <s v="Design"/>
    <s v="LinkedIn"/>
    <s v="Linkedin"/>
    <n v="4"/>
    <n v="4"/>
    <n v="4"/>
    <n v="134338"/>
    <n v="151435"/>
    <s v="Accepted"/>
    <s v="27-08-2023"/>
    <s v="ZeroOneSystems"/>
    <n v="10"/>
  </r>
  <r>
    <s v="CAND0018"/>
    <s v="Tanmay Padhi"/>
    <s v="Business Analyst"/>
    <s v="Engineering"/>
    <s v="Engineering"/>
    <s v="Naukri"/>
    <s v="Naukri"/>
    <n v="8.8000000000000007"/>
    <n v="6.4"/>
    <n v="7.6"/>
    <n v="75363"/>
    <m/>
    <s v="Pending"/>
    <s v="29-10-2023"/>
    <s v="OdishaCode Labs"/>
    <n v="8.1999999999999993"/>
  </r>
  <r>
    <s v="CAND0019"/>
    <s v="Chinmaya Mishra"/>
    <s v="DevOps Engineer"/>
    <s v="Finance"/>
    <s v="Finance"/>
    <s v="Naukri"/>
    <s v="Naukri"/>
    <n v="4.5"/>
    <n v="4.4000000000000004"/>
    <n v="4.5"/>
    <n v="60126"/>
    <m/>
    <s v="Rejected"/>
    <s v="08-05-2024"/>
    <s v="InfySoft Bhubaneswar"/>
    <n v="5"/>
  </r>
  <r>
    <s v="CAND0020"/>
    <s v="Dibya Routray"/>
    <s v="Cloud Architect"/>
    <s v="Product"/>
    <s v="Product"/>
    <s v="LinkedIn"/>
    <s v="Linkedin"/>
    <n v="5.5"/>
    <n v="7.3"/>
    <n v="6.4"/>
    <n v="67215"/>
    <n v="58147"/>
    <s v="Rejected"/>
    <s v="11-09-2023"/>
    <s v="TechNova Solutions"/>
    <n v="0.9"/>
  </r>
  <r>
    <s v="CAND0021"/>
    <s v="Ankita Prusty"/>
    <s v="Business Analyst"/>
    <s v="Engineering"/>
    <s v="Engineering"/>
    <s v="Walk-in"/>
    <s v="Walk-In"/>
    <n v="8.5"/>
    <n v="7.6"/>
    <n v="8.1"/>
    <n v="113954"/>
    <m/>
    <s v="Rejected"/>
    <s v="14-05-2024"/>
    <s v="NilGiri Digitals"/>
    <n v="11.7"/>
  </r>
  <r>
    <s v="CAND0022"/>
    <s v="Satyajit Pattnaik"/>
    <s v="Sales Manager"/>
    <s v="Marketing"/>
    <s v="Marketing"/>
    <s v="Job Portal"/>
    <s v="Job Portal"/>
    <n v="6.5"/>
    <n v="9.1"/>
    <n v="7.8"/>
    <n v="183795"/>
    <n v="208454"/>
    <s v="Accepted"/>
    <s v="26-07-2023"/>
    <s v="OdishaCode Labs"/>
    <n v="4.8"/>
  </r>
  <r>
    <s v="CAND0023"/>
    <s v="Rahul Nanda"/>
    <s v="Product Manager"/>
    <s v="Sales"/>
    <s v="Sales"/>
    <s v="Naukri"/>
    <s v="Naukri"/>
    <n v="5.5"/>
    <n v="8.6"/>
    <n v="7"/>
    <n v="64504"/>
    <m/>
    <s v="Pending"/>
    <s v="26-11-2023"/>
    <s v="BlueLotus IT"/>
    <n v="11.4"/>
  </r>
  <r>
    <s v="CAND0024"/>
    <s v="Rajan Dhal"/>
    <s v="Product Manager"/>
    <s v="Finance"/>
    <s v="Finance"/>
    <s v="Naukri"/>
    <s v="Naukri"/>
    <n v="3.8"/>
    <n v="5.5"/>
    <n v="4.7"/>
    <n v="196050"/>
    <n v="225137"/>
    <s v="Accepted"/>
    <s v="05-04-2024"/>
    <s v="KalingaTech Pvt Ltd"/>
    <n v="8.6999999999999993"/>
  </r>
  <r>
    <s v="CAND0025"/>
    <s v="Puspita Dhal"/>
    <s v="Sales Manager"/>
    <s v="Sales"/>
    <s v="Sales"/>
    <s v="LinkedIn"/>
    <s v="Linkedin"/>
    <n v="6.7"/>
    <n v="3.7"/>
    <n v="5.2"/>
    <n v="66622"/>
    <n v="66872"/>
    <s v="Rejected"/>
    <s v="03-04-2024"/>
    <s v="KalingaTech Pvt Ltd"/>
    <n v="5.0999999999999996"/>
  </r>
  <r>
    <s v="CAND0026"/>
    <s v="Ankita Mishra"/>
    <s v="HR Executive"/>
    <s v="Marketing"/>
    <s v="Marketing"/>
    <s v="Referral"/>
    <s v="Referral"/>
    <n v="3.1"/>
    <n v="4.3"/>
    <n v="3.7"/>
    <n v="60845"/>
    <n v="66284"/>
    <s v="Negotiating"/>
    <s v="23-10-2023"/>
    <s v="SilverByte Systems"/>
    <n v="5.9"/>
  </r>
  <r>
    <s v="CAND0027"/>
    <s v="Namita Biswal"/>
    <s v="QA Engineer"/>
    <s v="QA"/>
    <s v="Qa"/>
    <s v="Job Portal"/>
    <s v="Job Portal"/>
    <n v="3.4"/>
    <n v="9"/>
    <n v="6.2"/>
    <n v="129397"/>
    <n v="117989"/>
    <s v="Accepted"/>
    <s v="21-09-2023"/>
    <s v="OdishaCode Labs"/>
    <n v="11.7"/>
  </r>
  <r>
    <s v="CAND0028"/>
    <s v="Ranjit Parida"/>
    <s v="DevOps Engineer"/>
    <s v="DevOps"/>
    <s v="Devops"/>
    <s v="Campus"/>
    <s v="Campus"/>
    <n v="4.2"/>
    <n v="5.2"/>
    <n v="4.7"/>
    <n v="199530"/>
    <m/>
    <s v="Pending"/>
    <s v="30-11-2024"/>
    <s v="KalingaTech Pvt Ltd"/>
    <n v="9.1999999999999993"/>
  </r>
  <r>
    <s v="CAND0029"/>
    <s v="Namita Behura"/>
    <s v="HR Executive"/>
    <s v="DevOps"/>
    <s v="Devops"/>
    <s v="Naukri"/>
    <s v="Naukri"/>
    <n v="6.6"/>
    <n v="4.2"/>
    <n v="5.4"/>
    <n v="169961"/>
    <n v="185498"/>
    <s v="Accepted"/>
    <s v="24-09-2024"/>
    <s v="SilverByte Systems"/>
    <n v="11.6"/>
  </r>
  <r>
    <s v="CAND0030"/>
    <s v="Soumya Prusty"/>
    <s v="Sales Manager"/>
    <s v="Sales"/>
    <s v="Sales"/>
    <s v="Job Portal"/>
    <s v="Job Portal"/>
    <n v="8.5"/>
    <n v="5.5"/>
    <n v="7"/>
    <n v="131761"/>
    <n v="125277"/>
    <s v="Negotiating"/>
    <s v="17-06-2023"/>
    <s v="TechNova Solutions"/>
    <n v="11.3"/>
  </r>
  <r>
    <s v="CAND0031"/>
    <s v="Nirmal Mishra"/>
    <s v="QA Engineer"/>
    <s v="Sales"/>
    <s v="Sales"/>
    <s v="Naukri"/>
    <s v="Naukri"/>
    <n v="9.6999999999999993"/>
    <n v="8.8000000000000007"/>
    <n v="9.1999999999999993"/>
    <n v="180507"/>
    <n v="193212"/>
    <s v="Accepted"/>
    <s v="02-04-2023"/>
    <s v="SilverByte Systems"/>
    <n v="6.8"/>
  </r>
  <r>
    <s v="CAND0032"/>
    <s v="Subhasree Parida"/>
    <s v="Cloud Architect"/>
    <s v="Data Science"/>
    <s v="Data Science"/>
    <s v="Referral"/>
    <s v="Referral"/>
    <n v="3.8"/>
    <n v="6.2"/>
    <n v="5"/>
    <n v="158520"/>
    <n v="151325"/>
    <s v="Pending"/>
    <s v="10-03-2023"/>
    <s v="KalingaTech Pvt Ltd"/>
    <n v="4.3"/>
  </r>
  <r>
    <s v="CAND0033"/>
    <s v="Debasmita Mohapatra"/>
    <s v="Product Manager"/>
    <s v="Design"/>
    <s v="Design"/>
    <s v="Campus"/>
    <s v="Campus"/>
    <n v="9.8000000000000007"/>
    <n v="8.5"/>
    <n v="9.1999999999999993"/>
    <n v="125983"/>
    <n v="129695"/>
    <s v="Negotiating"/>
    <s v="21-05-2023"/>
    <s v="ZeroOneSystems"/>
    <n v="6.3"/>
  </r>
  <r>
    <s v="CAND0034"/>
    <s v="Ipsita Behura"/>
    <s v="Sales Manager"/>
    <s v="Sales"/>
    <s v="Sales"/>
    <s v="LinkedIn"/>
    <s v="Linkedin"/>
    <n v="4.5"/>
    <m/>
    <n v="4.5"/>
    <n v="103827"/>
    <n v="117799"/>
    <s v="Rejected"/>
    <s v="26-12-2024"/>
    <s v="SilverByte Systems"/>
    <n v="9.8000000000000007"/>
  </r>
  <r>
    <s v="CAND0035"/>
    <s v="Lipsa Tripathy"/>
    <s v="Data Analyst"/>
    <s v="HR"/>
    <s v="Hr"/>
    <s v="Naukri"/>
    <s v="Naukri"/>
    <n v="7.7"/>
    <n v="5.9"/>
    <n v="6.8"/>
    <n v="131980"/>
    <m/>
    <s v="Withdrawn"/>
    <s v="09-04-2024"/>
    <s v="UtkalSoft Technologies"/>
    <n v="13.5"/>
  </r>
  <r>
    <s v="CAND0036"/>
    <s v="Rajan Routray"/>
    <s v="UI Designer"/>
    <s v="Marketing"/>
    <s v="Marketing"/>
    <s v="Naukri"/>
    <s v="Naukri"/>
    <n v="5.3"/>
    <n v="9.5"/>
    <n v="7.4"/>
    <n v="83588"/>
    <n v="91424"/>
    <s v="Withdrawn"/>
    <s v="18-04-2024"/>
    <s v="SilverByte Systems"/>
    <n v="4.8"/>
  </r>
  <r>
    <s v="CAND0037"/>
    <s v="Subhasree Padhi"/>
    <s v="HR Executive"/>
    <s v="Engineering"/>
    <s v="Engineering"/>
    <s v="LinkedIn"/>
    <s v="Linkedin"/>
    <n v="6.1"/>
    <n v="6.2"/>
    <n v="6.2"/>
    <n v="139840"/>
    <n v="125731"/>
    <s v="Rejected"/>
    <s v="24-10-2024"/>
    <s v="CoastalDev Studio"/>
    <n v="11.7"/>
  </r>
  <r>
    <s v="CAND0038"/>
    <s v="Amlan Biswal"/>
    <s v="UI Designer"/>
    <s v="Sales"/>
    <s v="Sales"/>
    <s v="Referral"/>
    <s v="Referral"/>
    <n v="7.9"/>
    <n v="3.3"/>
    <n v="5.6"/>
    <n v="100081"/>
    <n v="89054"/>
    <s v="Negotiating"/>
    <s v="06-07-2024"/>
    <s v="CoastalDev Studio"/>
    <n v="3.9"/>
  </r>
  <r>
    <s v="CAND0039"/>
    <s v="Subhasree Sahu"/>
    <s v="Cloud Architect"/>
    <s v="Sales"/>
    <s v="Sales"/>
    <s v="Campus"/>
    <s v="Campus"/>
    <n v="5.7"/>
    <n v="3.9"/>
    <n v="4.8"/>
    <m/>
    <m/>
    <s v="Negotiating"/>
    <s v="05-01-2024"/>
    <s v="BlueLotus IT"/>
    <n v="0.7"/>
  </r>
  <r>
    <s v="CAND0040"/>
    <s v="Lipsa Prusty"/>
    <s v="Data Analyst"/>
    <s v="Data Science"/>
    <s v="Data Science"/>
    <s v="Campus"/>
    <s v="Campus"/>
    <n v="7"/>
    <n v="6.2"/>
    <n v="6.6"/>
    <n v="184893"/>
    <n v="192973"/>
    <s v="Accepted"/>
    <s v="19-10-2024"/>
    <s v="ZeroOneSystems"/>
    <n v="9.1999999999999993"/>
  </r>
  <r>
    <s v="CAND0041"/>
    <s v="Namita Tripathy"/>
    <s v="Business Analyst"/>
    <s v="Finance"/>
    <s v="Finance"/>
    <s v="LinkedIn"/>
    <s v="Linkedin"/>
    <n v="6.6"/>
    <n v="7.9"/>
    <n v="7.2"/>
    <n v="94557"/>
    <m/>
    <s v="Rejected"/>
    <s v="19-07-2024"/>
    <s v="NilGiri Digitals"/>
    <n v="0.6"/>
  </r>
  <r>
    <s v="CAND0042"/>
    <s v="Lipsa Mohapatra"/>
    <s v="QA Engineer"/>
    <s v="DevOps"/>
    <s v="Devops"/>
    <s v="Referral"/>
    <s v="Referral"/>
    <n v="5.0999999999999996"/>
    <n v="3.6"/>
    <n v="4.3"/>
    <n v="145379"/>
    <n v="144200"/>
    <s v="Pending"/>
    <s v="29-07-2024"/>
    <s v="CoastalDev Studio"/>
    <n v="6.3"/>
  </r>
  <r>
    <s v="CAND0043"/>
    <s v="Sangita Parida"/>
    <s v="HR Executive"/>
    <s v="HR"/>
    <s v="Hr"/>
    <s v="LinkedIn"/>
    <s v="Linkedin"/>
    <n v="4.5"/>
    <n v="4.4000000000000004"/>
    <n v="4.5"/>
    <n v="155745"/>
    <m/>
    <s v="Withdrawn"/>
    <s v="29-09-2023"/>
    <s v="InfySoft Bhubaneswar"/>
    <n v="9.5"/>
  </r>
  <r>
    <s v="CAND0044"/>
    <s v="Debasmita Parida"/>
    <s v="Sales Manager"/>
    <s v="QA"/>
    <s v="Qa"/>
    <s v="Naukri"/>
    <s v="Naukri"/>
    <n v="4.8"/>
    <n v="6.1"/>
    <n v="5.4"/>
    <n v="195587"/>
    <m/>
    <s v="Negotiating"/>
    <s v="03-08-2023"/>
    <s v="BlueLotus IT"/>
    <n v="8.6999999999999993"/>
  </r>
  <r>
    <s v="CAND0045"/>
    <s v="Priyanka Jena"/>
    <s v="Software Engineer"/>
    <s v="Design"/>
    <s v="Design"/>
    <s v="Job Portal"/>
    <s v="Job Portal"/>
    <n v="3.3"/>
    <n v="6"/>
    <n v="4.7"/>
    <n v="172657"/>
    <n v="163716"/>
    <s v="Rejected"/>
    <s v="24-08-2024"/>
    <s v="CoastalDev Studio"/>
    <n v="7.2"/>
  </r>
  <r>
    <s v="CAND0046"/>
    <s v="Ipsita Sahu"/>
    <s v="Data Analyst"/>
    <s v="Finance"/>
    <s v="Finance"/>
    <s v="Naukri"/>
    <s v="Naukri"/>
    <n v="5.9"/>
    <m/>
    <n v="5.9"/>
    <n v="61815"/>
    <n v="66009"/>
    <s v="Accepted"/>
    <s v="30-01-2023"/>
    <s v="TechNova Solutions"/>
    <n v="13.8"/>
  </r>
  <r>
    <s v="CAND0047"/>
    <s v="Namita Parida"/>
    <s v="UI Designer"/>
    <s v="Engineering"/>
    <s v="Engineering"/>
    <s v="LinkedIn"/>
    <s v="Linkedin"/>
    <n v="3.1"/>
    <n v="4.7"/>
    <n v="3.9"/>
    <n v="146052"/>
    <n v="129873"/>
    <s v="Withdrawn"/>
    <s v="20-06-2023"/>
    <s v="OdishaCode Labs"/>
    <n v="4.0999999999999996"/>
  </r>
  <r>
    <s v="CAND0048"/>
    <s v="Rahul Mohapatra"/>
    <s v="Sales Manager"/>
    <s v="Product"/>
    <s v="Product"/>
    <s v="Naukri"/>
    <s v="Naukri"/>
    <n v="4.8"/>
    <n v="7.9"/>
    <n v="6.3"/>
    <n v="53469"/>
    <n v="47821"/>
    <s v="Accepted"/>
    <s v="23-06-2023"/>
    <s v="BlueLotus IT"/>
    <n v="4.2"/>
  </r>
  <r>
    <s v="CAND0049"/>
    <s v="Tapas Mohapatra"/>
    <s v="Sales Manager"/>
    <s v="Product"/>
    <s v="Product"/>
    <s v="Naukri"/>
    <s v="Naukri"/>
    <n v="4.3"/>
    <n v="5.3"/>
    <n v="4.8"/>
    <n v="82666"/>
    <n v="78032"/>
    <s v="Negotiating"/>
    <s v="03-02-2024"/>
    <s v="BlueLotus IT"/>
    <n v="6.5"/>
  </r>
  <r>
    <s v="CAND0050"/>
    <s v="Abhishek Mishra"/>
    <s v="Product Manager"/>
    <s v="Marketing"/>
    <s v="Marketing"/>
    <s v="Walk-in"/>
    <s v="Walk-In"/>
    <n v="7.2"/>
    <n v="5.9"/>
    <n v="6.6"/>
    <n v="112022"/>
    <n v="111420"/>
    <s v="Negotiating"/>
    <s v="06-06-2023"/>
    <s v="InfySoft Bhubaneswar"/>
    <n v="14.5"/>
  </r>
  <r>
    <s v="CAND0051"/>
    <s v="Soumya Biswal"/>
    <s v="Product Manager"/>
    <s v="Data Science"/>
    <s v="Data Science"/>
    <s v="LinkedIn"/>
    <s v="Linkedin"/>
    <n v="5.0999999999999996"/>
    <n v="6.6"/>
    <n v="5.8"/>
    <n v="190492"/>
    <n v="194921"/>
    <s v="Pending"/>
    <s v="08-04-2024"/>
    <s v="InfySoft Bhubaneswar"/>
    <n v="9.1999999999999993"/>
  </r>
  <r>
    <s v="CAND0052"/>
    <s v="Saurav Mishra"/>
    <s v="Sales Manager"/>
    <s v="Marketing"/>
    <s v="Marketing"/>
    <s v="Naukri"/>
    <s v="Naukri"/>
    <n v="3.9"/>
    <n v="6.3"/>
    <n v="5.0999999999999996"/>
    <n v="30777"/>
    <n v="26704"/>
    <s v="Accepted"/>
    <s v="03-11-2024"/>
    <s v="TechNova Solutions"/>
    <n v="3.7"/>
  </r>
  <r>
    <s v="CAND0053"/>
    <s v="Subhasree Samal"/>
    <s v="Sales Manager"/>
    <s v="Engineering"/>
    <s v="Engineering"/>
    <s v="LinkedIn"/>
    <s v="Linkedin"/>
    <n v="9.3000000000000007"/>
    <n v="5.2"/>
    <n v="7.2"/>
    <n v="187040"/>
    <m/>
    <s v="Accepted"/>
    <s v="26-05-2023"/>
    <s v="NilGiri Digitals"/>
    <n v="12.1"/>
  </r>
  <r>
    <s v="CAND0054"/>
    <s v="Namita Sahoo"/>
    <s v="Software Engineer"/>
    <s v="Design"/>
    <s v="Design"/>
    <s v="Campus"/>
    <s v="Campus"/>
    <n v="6.8"/>
    <n v="3.5"/>
    <n v="5.2"/>
    <n v="144671"/>
    <n v="150032"/>
    <s v="Rejected"/>
    <s v="15-09-2023"/>
    <s v="OdishaCode Labs"/>
    <n v="14.9"/>
  </r>
  <r>
    <s v="CAND0055"/>
    <s v="Amlan Pattnaik"/>
    <s v="DevOps Engineer"/>
    <s v="Marketing"/>
    <s v="Marketing"/>
    <s v="Naukri"/>
    <s v="Naukri"/>
    <n v="8.5"/>
    <n v="9.6"/>
    <n v="9.1"/>
    <n v="20578"/>
    <m/>
    <s v="Accepted"/>
    <s v="20-09-2023"/>
    <s v="NilGiri Digitals"/>
    <n v="14.3"/>
  </r>
  <r>
    <s v="CAND0056"/>
    <s v="Amlan Mishra"/>
    <s v="Sales Manager"/>
    <s v="Product"/>
    <s v="Product"/>
    <s v="Job Portal"/>
    <s v="Job Portal"/>
    <n v="3.1"/>
    <n v="3.9"/>
    <n v="3.5"/>
    <n v="56944"/>
    <m/>
    <s v="Accepted"/>
    <s v="04-02-2023"/>
    <s v="SambalpurNet"/>
    <n v="13.1"/>
  </r>
  <r>
    <s v="CAND0057"/>
    <s v="Rajan Choudhury"/>
    <s v="Business Analyst"/>
    <s v="Sales"/>
    <s v="Sales"/>
    <s v="Referral"/>
    <s v="Referral"/>
    <n v="7.9"/>
    <n v="4.8"/>
    <n v="6.3"/>
    <n v="107452"/>
    <m/>
    <s v="Rejected"/>
    <s v="02-11-2023"/>
    <s v="OdishaCode Labs"/>
    <n v="13.5"/>
  </r>
  <r>
    <s v="CAND0058"/>
    <s v="Bikash Jena"/>
    <s v="Product Manager"/>
    <s v="Sales"/>
    <s v="Sales"/>
    <s v="Naukri"/>
    <s v="Naukri"/>
    <n v="9.3000000000000007"/>
    <n v="7.9"/>
    <n v="8.6"/>
    <n v="35226"/>
    <n v="31094"/>
    <s v="Negotiating"/>
    <s v="13-03-2023"/>
    <s v="ZeroOneSystems"/>
    <n v="14"/>
  </r>
  <r>
    <s v="CAND0059"/>
    <s v="Debasmita Prusty"/>
    <s v="DevOps Engineer"/>
    <s v="DevOps"/>
    <s v="Devops"/>
    <s v="Naukri"/>
    <s v="Naukri"/>
    <n v="6.2"/>
    <n v="4.8"/>
    <n v="5.5"/>
    <n v="105266"/>
    <n v="102061"/>
    <s v="Accepted"/>
    <s v="18-04-2024"/>
    <s v="KalingaTech Pvt Ltd"/>
    <n v="1.2"/>
  </r>
  <r>
    <s v="CAND0060"/>
    <s v="Nirmal Dhal"/>
    <s v="Software Engineer"/>
    <s v="Engineering"/>
    <s v="Engineering"/>
    <s v="Walk-in"/>
    <s v="Walk-In"/>
    <n v="6.6"/>
    <n v="9"/>
    <n v="7.8"/>
    <n v="48089"/>
    <m/>
    <s v="Accepted"/>
    <s v="05-02-2024"/>
    <s v="TributeAI"/>
    <n v="12.6"/>
  </r>
  <r>
    <s v="CAND0061"/>
    <s v="Tanmay Prusty"/>
    <s v="Data Analyst"/>
    <s v="Data Science"/>
    <s v="Data Science"/>
    <s v="Referral"/>
    <s v="Referral"/>
    <n v="8"/>
    <m/>
    <n v="8"/>
    <n v="173697"/>
    <n v="152999"/>
    <s v="Pending"/>
    <s v="26-02-2023"/>
    <s v="UtkalSoft Technologies"/>
    <n v="14.2"/>
  </r>
  <r>
    <s v="CAND0062"/>
    <s v="Rahul Routray"/>
    <s v="Sales Manager"/>
    <s v="Finance"/>
    <s v="Finance"/>
    <s v="Campus"/>
    <s v="Campus"/>
    <n v="4.0999999999999996"/>
    <n v="4.5999999999999996"/>
    <n v="4.3"/>
    <n v="178122"/>
    <m/>
    <s v="Pending"/>
    <s v="17-12-2024"/>
    <s v="InfySoft Bhubaneswar"/>
    <n v="3.6"/>
  </r>
  <r>
    <s v="CAND0063"/>
    <s v="Subhasree Mohapatra"/>
    <s v="Cloud Architect"/>
    <s v="DevOps"/>
    <s v="Devops"/>
    <s v="Job Portal"/>
    <s v="Job Portal"/>
    <n v="5.9"/>
    <n v="4.3"/>
    <n v="5.0999999999999996"/>
    <n v="69391"/>
    <m/>
    <s v="Withdrawn"/>
    <s v="14-01-2024"/>
    <s v="TechNova Solutions"/>
    <n v="9.4"/>
  </r>
  <r>
    <s v="CAND0064"/>
    <s v="Rahul Samal"/>
    <s v="HR Executive"/>
    <s v="Design"/>
    <s v="Design"/>
    <s v="LinkedIn"/>
    <s v="Linkedin"/>
    <n v="8"/>
    <n v="9.3000000000000007"/>
    <n v="8.6999999999999993"/>
    <n v="27129"/>
    <n v="26908"/>
    <s v="Negotiating"/>
    <s v="20-07-2023"/>
    <s v="SambalpurNet"/>
    <n v="10.9"/>
  </r>
  <r>
    <s v="CAND0065"/>
    <s v="Prasant Mishra"/>
    <s v="HR Executive"/>
    <s v="Sales"/>
    <s v="Sales"/>
    <s v="Naukri"/>
    <s v="Naukri"/>
    <n v="8.9"/>
    <n v="9.5"/>
    <n v="9.1999999999999993"/>
    <n v="129107"/>
    <n v="145758"/>
    <s v="Rejected"/>
    <s v="08-05-2023"/>
    <s v="TechNova Solutions"/>
    <n v="1"/>
  </r>
  <r>
    <s v="CAND0066"/>
    <s v="Sudhansu Ratha"/>
    <s v="DevOps Engineer"/>
    <s v="QA"/>
    <s v="Qa"/>
    <s v="LinkedIn"/>
    <s v="Linkedin"/>
    <n v="5.3"/>
    <n v="6.3"/>
    <n v="5.8"/>
    <n v="119642"/>
    <n v="117619"/>
    <s v="Accepted"/>
    <s v="05-08-2023"/>
    <s v="KalingaTech Pvt Ltd"/>
    <n v="1.6"/>
  </r>
  <r>
    <s v="CAND0067"/>
    <s v="Tapas Routray"/>
    <s v="Sales Manager"/>
    <s v="DevOps"/>
    <s v="Devops"/>
    <s v="Naukri"/>
    <s v="Naukri"/>
    <m/>
    <n v="4.5"/>
    <m/>
    <n v="133370"/>
    <n v="120603"/>
    <s v="Negotiating"/>
    <s v="26-09-2024"/>
    <s v="CoastalDev Studio"/>
    <n v="5.0999999999999996"/>
  </r>
  <r>
    <s v="CAND0068"/>
    <s v="Bikash Choudhury"/>
    <s v="Software Engineer"/>
    <s v="Finance"/>
    <s v="Finance"/>
    <s v="Walk-in"/>
    <s v="Walk-In"/>
    <n v="6.8"/>
    <n v="7.2"/>
    <n v="7"/>
    <n v="174045"/>
    <n v="197218"/>
    <s v="Accepted"/>
    <s v="01-02-2024"/>
    <s v="TributeAI"/>
    <n v="1.2"/>
  </r>
  <r>
    <s v="CAND0069"/>
    <s v="Alka Samal"/>
    <s v="Cloud Architect"/>
    <s v="Finance"/>
    <s v="Finance"/>
    <s v="Job Portal"/>
    <s v="Job Portal"/>
    <n v="8.8000000000000007"/>
    <n v="5.0999999999999996"/>
    <n v="7"/>
    <n v="70392"/>
    <m/>
    <s v="Accepted"/>
    <s v="30-05-2023"/>
    <s v="CoastalDev Studio"/>
    <n v="8.9"/>
  </r>
  <r>
    <s v="CAND0070"/>
    <s v="Satyajit Choudhury"/>
    <s v="Sales Manager"/>
    <s v="Product"/>
    <s v="Product"/>
    <s v="LinkedIn"/>
    <s v="Linkedin"/>
    <n v="7.5"/>
    <n v="7"/>
    <n v="7.2"/>
    <n v="123290"/>
    <m/>
    <s v="Accepted"/>
    <s v="23-05-2024"/>
    <s v="ZeroOneSystems"/>
    <n v="7.7"/>
  </r>
  <r>
    <s v="CAND0071"/>
    <s v="Dibya Padhi"/>
    <s v="Data Analyst"/>
    <s v="Design"/>
    <s v="Design"/>
    <s v="Campus"/>
    <s v="Campus"/>
    <m/>
    <n v="4.5"/>
    <m/>
    <n v="56511"/>
    <n v="63401"/>
    <s v="Negotiating"/>
    <s v="04-03-2023"/>
    <s v="BlueLotus IT"/>
    <n v="2.5"/>
  </r>
  <r>
    <s v="CAND0072"/>
    <s v="Rahul Choudhury"/>
    <s v="DevOps Engineer"/>
    <s v="Finance"/>
    <s v="Finance"/>
    <s v="Job Portal"/>
    <s v="Job Portal"/>
    <n v="8.4"/>
    <n v="7.9"/>
    <n v="8.1999999999999993"/>
    <n v="125829"/>
    <m/>
    <s v="Rejected"/>
    <s v="27-05-2023"/>
    <s v="BlueLotus IT"/>
    <n v="3.7"/>
  </r>
  <r>
    <s v="CAND0073"/>
    <s v="Nirmal Choudhury"/>
    <s v="Business Analyst"/>
    <s v="Finance"/>
    <s v="Finance"/>
    <s v="Job Portal"/>
    <s v="Job Portal"/>
    <n v="8.5"/>
    <n v="5.0999999999999996"/>
    <n v="6.8"/>
    <n v="34216"/>
    <m/>
    <s v="Pending"/>
    <s v="01-07-2023"/>
    <s v="OdishaCode Labs"/>
    <n v="1.9"/>
  </r>
  <r>
    <s v="CAND0074"/>
    <s v="Smita Nanda"/>
    <s v="HR Executive"/>
    <s v="Product"/>
    <s v="Product"/>
    <s v="Job Portal"/>
    <s v="Job Portal"/>
    <n v="9.4"/>
    <n v="3.1"/>
    <n v="6.2"/>
    <n v="141909"/>
    <n v="150344"/>
    <s v="Accepted"/>
    <s v="25-11-2024"/>
    <s v="SambalpurNet"/>
    <n v="1.5"/>
  </r>
  <r>
    <s v="CAND0075"/>
    <s v="Aditya Mohapatra"/>
    <s v="Cloud Architect"/>
    <s v="QA"/>
    <s v="Qa"/>
    <s v="Campus"/>
    <s v="Campus"/>
    <n v="6.4"/>
    <n v="8.1999999999999993"/>
    <n v="7.3"/>
    <n v="61665"/>
    <n v="64147"/>
    <s v="Pending"/>
    <s v="08-04-2023"/>
    <s v="SambalpurNet"/>
    <n v="4.9000000000000004"/>
  </r>
  <r>
    <s v="CAND0076"/>
    <s v="Rajan Mohapatra"/>
    <s v="Cloud Architect"/>
    <s v="Data Science"/>
    <s v="Data Science"/>
    <s v="Naukri"/>
    <s v="Naukri"/>
    <n v="5.2"/>
    <n v="4.2"/>
    <n v="4.7"/>
    <n v="141496"/>
    <m/>
    <s v="Pending"/>
    <s v="07-11-2023"/>
    <s v="InfySoft Bhubaneswar"/>
    <n v="2"/>
  </r>
  <r>
    <s v="CAND0077"/>
    <s v="Lipsa Ratha"/>
    <s v="UI Designer"/>
    <s v="Data Science"/>
    <s v="Data Science"/>
    <s v="Job Portal"/>
    <s v="Job Portal"/>
    <n v="3.5"/>
    <n v="8.8000000000000007"/>
    <n v="6.2"/>
    <n v="35262"/>
    <n v="32631"/>
    <s v="Accepted"/>
    <s v="13-06-2023"/>
    <s v="UtkalSoft Technologies"/>
    <n v="14.7"/>
  </r>
  <r>
    <s v="CAND0078"/>
    <s v="Subhasree Mishra"/>
    <s v="Cloud Architect"/>
    <s v="HR"/>
    <s v="Hr"/>
    <s v="Walk-in"/>
    <s v="Walk-In"/>
    <n v="5.8"/>
    <n v="8.6999999999999993"/>
    <n v="7.2"/>
    <n v="110287"/>
    <n v="106409"/>
    <s v="Rejected"/>
    <s v="04-06-2023"/>
    <s v="InfySoft Bhubaneswar"/>
    <n v="8.6999999999999993"/>
  </r>
  <r>
    <s v="CAND0079"/>
    <s v="Smita Mishra"/>
    <s v="Business Analyst"/>
    <s v="Design"/>
    <s v="Design"/>
    <s v="Campus"/>
    <s v="Campus"/>
    <n v="7.1"/>
    <n v="7.2"/>
    <n v="7.2"/>
    <n v="143803"/>
    <n v="164896"/>
    <s v="Accepted"/>
    <s v="10-03-2023"/>
    <s v="KalingaTech Pvt Ltd"/>
    <n v="6"/>
  </r>
  <r>
    <s v="CAND0080"/>
    <s v="Namita Pattnaik"/>
    <s v="QA Engineer"/>
    <s v="HR"/>
    <s v="Hr"/>
    <s v="Campus"/>
    <s v="Campus"/>
    <n v="3.9"/>
    <n v="6.2"/>
    <n v="5"/>
    <m/>
    <m/>
    <s v="Negotiating"/>
    <s v="14-10-2023"/>
    <s v="OdishaCode Labs"/>
    <n v="5.3"/>
  </r>
  <r>
    <s v="CAND0081"/>
    <s v="Alka Padhi"/>
    <s v="QA Engineer"/>
    <s v="Data Science"/>
    <s v="Data Science"/>
    <s v="Referral"/>
    <s v="Referral"/>
    <n v="7.4"/>
    <n v="8.8000000000000007"/>
    <n v="8.1"/>
    <n v="97734"/>
    <n v="92021"/>
    <s v="Negotiating"/>
    <s v="25-11-2024"/>
    <s v="ZeroOneSystems"/>
    <n v="3.6"/>
  </r>
  <r>
    <s v="CAND0082"/>
    <s v="Namita Senapati"/>
    <s v="Product Manager"/>
    <s v="Marketing"/>
    <s v="Marketing"/>
    <s v="Referral"/>
    <s v="Referral"/>
    <n v="7.5"/>
    <n v="4"/>
    <n v="5.8"/>
    <n v="190672"/>
    <n v="166185"/>
    <s v="Negotiating"/>
    <s v="02-12-2024"/>
    <s v="TributeAI"/>
    <n v="9.9"/>
  </r>
  <r>
    <s v="CAND0083"/>
    <s v="Ankita Parida"/>
    <s v="Sales Manager"/>
    <s v="DevOps"/>
    <s v="Devops"/>
    <s v="Naukri"/>
    <s v="Naukri"/>
    <n v="5.6"/>
    <n v="8"/>
    <n v="6.8"/>
    <n v="93200"/>
    <n v="93867"/>
    <s v="Negotiating"/>
    <s v="27-03-2023"/>
    <s v="CoastalDev Studio"/>
    <n v="11.2"/>
  </r>
  <r>
    <s v="CAND0084"/>
    <s v="Ipsita Behura"/>
    <s v="Business Analyst"/>
    <s v="QA"/>
    <s v="Qa"/>
    <s v="Referral"/>
    <s v="Referral"/>
    <n v="6.9"/>
    <m/>
    <n v="6.9"/>
    <n v="77608"/>
    <n v="67908"/>
    <s v="Negotiating"/>
    <s v="04-10-2023"/>
    <s v="ZeroOneSystems"/>
    <n v="6.8"/>
  </r>
  <r>
    <s v="CAND0085"/>
    <s v="Bikash Pattnaik"/>
    <s v="Product Manager"/>
    <s v="DevOps"/>
    <s v="Devops"/>
    <s v="Job Portal"/>
    <s v="Job Portal"/>
    <n v="4"/>
    <n v="5.2"/>
    <n v="4.5999999999999996"/>
    <n v="47895"/>
    <m/>
    <s v="Negotiating"/>
    <s v="26-02-2023"/>
    <s v="KalingaTech Pvt Ltd"/>
    <n v="6.4"/>
  </r>
  <r>
    <s v="CAND0086"/>
    <s v="Dibya Mohapatra"/>
    <s v="Cloud Architect"/>
    <s v="DevOps"/>
    <s v="Devops"/>
    <s v="Job Portal"/>
    <s v="Job Portal"/>
    <n v="5.8"/>
    <n v="7.8"/>
    <n v="6.8"/>
    <n v="193111"/>
    <n v="205760"/>
    <s v="Accepted"/>
    <s v="12-08-2023"/>
    <s v="TributeAI"/>
    <n v="10.7"/>
  </r>
  <r>
    <s v="CAND0087"/>
    <s v="Soumya Jena"/>
    <s v="Product Manager"/>
    <s v="HR"/>
    <s v="Hr"/>
    <s v="LinkedIn"/>
    <s v="Linkedin"/>
    <n v="8.1"/>
    <n v="6.5"/>
    <n v="7.3"/>
    <n v="151012"/>
    <n v="136761"/>
    <s v="Rejected"/>
    <s v="21-09-2023"/>
    <s v="OdishaCode Labs"/>
    <n v="7.5"/>
  </r>
  <r>
    <s v="CAND0088"/>
    <s v="Nirmal Nanda"/>
    <s v="QA Engineer"/>
    <s v="Finance"/>
    <s v="Finance"/>
    <s v="Naukri"/>
    <s v="Naukri"/>
    <n v="8.4"/>
    <n v="3.7"/>
    <n v="6.1"/>
    <n v="155732"/>
    <n v="152306"/>
    <s v="Accepted"/>
    <s v="13-06-2023"/>
    <s v="KalingaTech Pvt Ltd"/>
    <n v="12.6"/>
  </r>
  <r>
    <s v="CAND0089"/>
    <s v="Sangita Samal"/>
    <s v="Cloud Architect"/>
    <s v="HR"/>
    <s v="Hr"/>
    <s v="Job Portal"/>
    <s v="Job Portal"/>
    <n v="8.8000000000000007"/>
    <n v="7.1"/>
    <n v="8"/>
    <n v="144744"/>
    <m/>
    <s v="Withdrawn"/>
    <s v="05-05-2023"/>
    <s v="OdishaCode Labs"/>
    <n v="12.8"/>
  </r>
  <r>
    <s v="CAND0090"/>
    <s v="Aditya Mohapatra"/>
    <s v="Product Manager"/>
    <s v="Engineering"/>
    <s v="Engineering"/>
    <s v="LinkedIn"/>
    <s v="Linkedin"/>
    <n v="9.9"/>
    <n v="8.5"/>
    <n v="9.1999999999999993"/>
    <n v="188620"/>
    <n v="175386"/>
    <s v="Accepted"/>
    <s v="31-01-2023"/>
    <s v="CoastalDev Studio"/>
    <n v="12.8"/>
  </r>
  <r>
    <s v="CAND0091"/>
    <s v="Aditya Parida"/>
    <s v="HR Executive"/>
    <s v="Sales"/>
    <s v="Sales"/>
    <s v="Campus"/>
    <s v="Campus"/>
    <n v="8.3000000000000007"/>
    <n v="6.7"/>
    <n v="7.5"/>
    <n v="95485"/>
    <n v="107800"/>
    <s v="Accepted"/>
    <s v="11-12-2023"/>
    <s v="KalingaTech Pvt Ltd"/>
    <n v="2.1"/>
  </r>
  <r>
    <s v="CAND0092"/>
    <s v="Chinmaya Mohapatra"/>
    <s v="Cloud Architect"/>
    <s v="Finance"/>
    <s v="Finance"/>
    <s v="LinkedIn"/>
    <s v="Linkedin"/>
    <n v="5.0999999999999996"/>
    <n v="3.1"/>
    <n v="4.0999999999999996"/>
    <n v="95659"/>
    <n v="109976"/>
    <s v="Accepted"/>
    <s v="04-06-2023"/>
    <s v="NilGiri Digitals"/>
    <n v="4"/>
  </r>
  <r>
    <s v="CAND0093"/>
    <s v="Namita Mohapatra"/>
    <s v="UI Designer"/>
    <s v="Design"/>
    <s v="Design"/>
    <s v="Campus"/>
    <s v="Campus"/>
    <n v="3.5"/>
    <n v="6.8"/>
    <n v="5.2"/>
    <n v="79589"/>
    <n v="70936"/>
    <s v="Rejected"/>
    <s v="02-12-2023"/>
    <s v="KalingaTech Pvt Ltd"/>
    <n v="13"/>
  </r>
  <r>
    <s v="CAND0094"/>
    <s v="Ranjit Nanda"/>
    <s v="QA Engineer"/>
    <s v="Marketing"/>
    <s v="Marketing"/>
    <s v="LinkedIn"/>
    <s v="Linkedin"/>
    <n v="6.8"/>
    <n v="5.9"/>
    <n v="6.3"/>
    <n v="147422"/>
    <n v="151979"/>
    <s v="Pending"/>
    <s v="22-05-2023"/>
    <s v="KalingaTech Pvt Ltd"/>
    <n v="12.3"/>
  </r>
  <r>
    <s v="CAND0095"/>
    <s v="Sangita Pattnaik"/>
    <s v="Software Engineer"/>
    <s v="Product"/>
    <s v="Product"/>
    <s v="Walk-in"/>
    <s v="Walk-In"/>
    <n v="8.1999999999999993"/>
    <n v="8.1"/>
    <n v="8.1"/>
    <n v="135674"/>
    <n v="115839"/>
    <s v="Withdrawn"/>
    <s v="09-06-2024"/>
    <s v="InfySoft Bhubaneswar"/>
    <n v="8.9"/>
  </r>
  <r>
    <s v="CAND0096"/>
    <s v="Amlan Prusty"/>
    <s v="DevOps Engineer"/>
    <s v="Marketing"/>
    <s v="Marketing"/>
    <s v="Naukri"/>
    <s v="Naukri"/>
    <n v="6.7"/>
    <n v="4.0999999999999996"/>
    <n v="5.4"/>
    <n v="190442"/>
    <n v="165080"/>
    <s v="Accepted"/>
    <s v="20-04-2023"/>
    <s v="CoastalDev Studio"/>
    <n v="8.4"/>
  </r>
  <r>
    <s v="CAND0097"/>
    <s v="Puspita Pattnaik"/>
    <s v="QA Engineer"/>
    <s v="Finance"/>
    <s v="Finance"/>
    <s v="Referral"/>
    <s v="Referral"/>
    <n v="9"/>
    <n v="6.5"/>
    <n v="7.8"/>
    <n v="90894"/>
    <n v="89108"/>
    <s v="Withdrawn"/>
    <s v="08-11-2024"/>
    <s v="TechNova Solutions"/>
    <n v="12.5"/>
  </r>
  <r>
    <s v="CAND0098"/>
    <s v="Smita Choudhury"/>
    <s v="Product Manager"/>
    <s v="Finance"/>
    <s v="Finance"/>
    <s v="Campus"/>
    <s v="Campus"/>
    <n v="8.6"/>
    <n v="3.5"/>
    <n v="6"/>
    <n v="63434"/>
    <m/>
    <s v="Negotiating"/>
    <s v="02-02-2024"/>
    <s v="NilGiri Digitals"/>
    <n v="12.8"/>
  </r>
  <r>
    <s v="CAND0099"/>
    <s v="Satyajit Dhal"/>
    <s v="Product Manager"/>
    <s v="HR"/>
    <s v="Hr"/>
    <s v="Job Portal"/>
    <s v="Job Portal"/>
    <n v="4.5999999999999996"/>
    <n v="6"/>
    <n v="5.3"/>
    <n v="189712"/>
    <n v="205441"/>
    <s v="Pending"/>
    <s v="10-02-2024"/>
    <s v="CoastalDev Studio"/>
    <n v="11.1"/>
  </r>
  <r>
    <s v="CAND0100"/>
    <s v="Smita Ratha"/>
    <s v="HR Executive"/>
    <s v="Sales"/>
    <s v="Sales"/>
    <s v="Naukri"/>
    <s v="Naukri"/>
    <n v="9.4"/>
    <n v="5.7"/>
    <n v="7.6"/>
    <n v="140917"/>
    <n v="141399"/>
    <s v="Negotiating"/>
    <s v="03-03-2024"/>
    <s v="InfySoft Bhubaneswar"/>
    <n v="11.6"/>
  </r>
  <r>
    <s v="CAND0101"/>
    <s v="Aditya Sahu"/>
    <s v="Business Analyst"/>
    <s v="DevOps"/>
    <s v="Devops"/>
    <s v="LinkedIn"/>
    <s v="Linkedin"/>
    <n v="9.1"/>
    <n v="7.4"/>
    <n v="8.1999999999999993"/>
    <n v="60954"/>
    <n v="68652"/>
    <s v="Accepted"/>
    <s v="03-06-2023"/>
    <s v="ZeroOneSystems"/>
    <n v="9.1999999999999993"/>
  </r>
  <r>
    <s v="CAND0102"/>
    <s v="Nirmal Routray"/>
    <s v="Cloud Architect"/>
    <s v="Data Science"/>
    <s v="Data Science"/>
    <s v="LinkedIn"/>
    <s v="Linkedin"/>
    <n v="7.1"/>
    <n v="7.4"/>
    <n v="7.2"/>
    <n v="176308"/>
    <n v="194286"/>
    <s v="Rejected"/>
    <s v="19-04-2023"/>
    <s v="ZeroOneSystems"/>
    <n v="4.7"/>
  </r>
  <r>
    <s v="CAND0103"/>
    <s v="Rajan Ratha"/>
    <s v="Business Analyst"/>
    <s v="Marketing"/>
    <s v="Marketing"/>
    <s v="Job Portal"/>
    <s v="Job Portal"/>
    <n v="6.9"/>
    <n v="8.8000000000000007"/>
    <n v="7.9"/>
    <n v="171663"/>
    <n v="147075"/>
    <s v="Negotiating"/>
    <s v="19-06-2024"/>
    <s v="KalingaTech Pvt Ltd"/>
    <n v="2"/>
  </r>
  <r>
    <s v="CAND0104"/>
    <s v="Prasant Tripathy"/>
    <s v="HR Executive"/>
    <s v="Design"/>
    <s v="Design"/>
    <s v="Naukri"/>
    <s v="Naukri"/>
    <n v="9.1"/>
    <n v="6"/>
    <n v="7.5"/>
    <n v="101358"/>
    <n v="116255"/>
    <s v="Rejected"/>
    <s v="26-06-2024"/>
    <s v="TechNova Solutions"/>
    <n v="5.5"/>
  </r>
  <r>
    <s v="CAND0105"/>
    <s v="Soumya Mohapatra"/>
    <s v="QA Engineer"/>
    <s v="Data Science"/>
    <s v="Data Science"/>
    <s v="Referral"/>
    <s v="Referral"/>
    <n v="9.1"/>
    <n v="7.2"/>
    <n v="8.1999999999999993"/>
    <n v="36251"/>
    <n v="39261"/>
    <s v="Pending"/>
    <s v="08-09-2024"/>
    <s v="ZeroOneSystems"/>
    <n v="3.5"/>
  </r>
  <r>
    <s v="CAND0106"/>
    <s v="Satyajit Jena"/>
    <s v="UI Designer"/>
    <s v="Finance"/>
    <s v="Finance"/>
    <s v="Naukri"/>
    <s v="Naukri"/>
    <n v="5.7"/>
    <n v="5.9"/>
    <n v="5.8"/>
    <n v="197317"/>
    <n v="199283"/>
    <s v="Accepted"/>
    <s v="21-11-2024"/>
    <s v="ZeroOneSystems"/>
    <n v="5.7"/>
  </r>
  <r>
    <s v="CAND0107"/>
    <s v="Priyanka Tripathy"/>
    <s v="UI Designer"/>
    <s v="QA"/>
    <s v="Qa"/>
    <s v="Naukri"/>
    <s v="Naukri"/>
    <n v="8.9"/>
    <n v="8.6"/>
    <n v="8.8000000000000007"/>
    <n v="76892"/>
    <n v="84314"/>
    <s v="Pending"/>
    <s v="14-10-2023"/>
    <s v="InfySoft Bhubaneswar"/>
    <n v="6.5"/>
  </r>
  <r>
    <s v="CAND0108"/>
    <s v="Priyanka Tripathy"/>
    <s v="Data Analyst"/>
    <s v="Sales"/>
    <s v="Sales"/>
    <s v="Referral"/>
    <s v="Referral"/>
    <n v="5.9"/>
    <n v="9.5"/>
    <n v="7.7"/>
    <n v="49261"/>
    <n v="53520"/>
    <s v="Withdrawn"/>
    <s v="14-12-2024"/>
    <s v="SilverByte Systems"/>
    <n v="3.6"/>
  </r>
  <r>
    <s v="CAND0109"/>
    <s v="Debasmita Parida"/>
    <s v="DevOps Engineer"/>
    <s v="HR"/>
    <s v="Hr"/>
    <s v="Campus"/>
    <s v="Campus"/>
    <n v="5.9"/>
    <n v="5.0999999999999996"/>
    <n v="5.5"/>
    <n v="95674"/>
    <n v="83369"/>
    <s v="Rejected"/>
    <s v="17-02-2023"/>
    <s v="InfySoft Bhubaneswar"/>
    <n v="6.7"/>
  </r>
  <r>
    <s v="CAND0110"/>
    <s v="Barsha Jena"/>
    <s v="QA Engineer"/>
    <s v="Sales"/>
    <s v="Sales"/>
    <s v="Naukri"/>
    <s v="Naukri"/>
    <n v="5.6"/>
    <n v="3.6"/>
    <n v="4.5999999999999996"/>
    <n v="74310"/>
    <n v="81126"/>
    <s v="Accepted"/>
    <s v="16-03-2023"/>
    <s v="OdishaCode Labs"/>
    <n v="9.5"/>
  </r>
  <r>
    <s v="CAND0111"/>
    <s v="Soumya Tripathy"/>
    <s v="Product Manager"/>
    <s v="Design"/>
    <s v="Design"/>
    <s v="Job Portal"/>
    <s v="Job Portal"/>
    <n v="8.5"/>
    <n v="3.2"/>
    <n v="5.8"/>
    <n v="143450"/>
    <n v="121982"/>
    <s v="Negotiating"/>
    <s v="22-12-2023"/>
    <s v="OdishaCode Labs"/>
    <n v="8.5"/>
  </r>
  <r>
    <s v="CAND0112"/>
    <s v="Priyanka Pattnaik"/>
    <s v="Product Manager"/>
    <s v="Design"/>
    <s v="Design"/>
    <s v="Walk-in"/>
    <s v="Walk-In"/>
    <n v="7.6"/>
    <n v="6.7"/>
    <n v="7.2"/>
    <n v="164077"/>
    <n v="146851"/>
    <s v="Rejected"/>
    <s v="23-02-2023"/>
    <s v="InfySoft Bhubaneswar"/>
    <n v="11.7"/>
  </r>
  <r>
    <s v="CAND0113"/>
    <s v="Ankita Sahoo"/>
    <s v="Cloud Architect"/>
    <s v="HR"/>
    <s v="Hr"/>
    <s v="Job Portal"/>
    <s v="Job Portal"/>
    <n v="5.0999999999999996"/>
    <n v="3.4"/>
    <n v="4.2"/>
    <n v="111368"/>
    <n v="101709"/>
    <s v="Pending"/>
    <s v="28-05-2023"/>
    <s v="InfySoft Bhubaneswar"/>
    <n v="10.9"/>
  </r>
  <r>
    <s v="CAND0114"/>
    <s v="Ranjit Samal"/>
    <s v="Cloud Architect"/>
    <s v="DevOps"/>
    <s v="Devops"/>
    <s v="Naukri"/>
    <s v="Naukri"/>
    <n v="3.2"/>
    <n v="6"/>
    <n v="4.5999999999999996"/>
    <n v="114487"/>
    <n v="124489"/>
    <s v="Withdrawn"/>
    <s v="04-05-2023"/>
    <s v="ZeroOneSystems"/>
    <n v="9.4"/>
  </r>
  <r>
    <s v="CAND0115"/>
    <s v="Aditya Mishra"/>
    <s v="Cloud Architect"/>
    <s v="QA"/>
    <s v="Qa"/>
    <s v="Referral"/>
    <s v="Referral"/>
    <n v="4.9000000000000004"/>
    <n v="6.6"/>
    <n v="5.8"/>
    <n v="196368"/>
    <n v="188403"/>
    <s v="Withdrawn"/>
    <s v="06-07-2024"/>
    <s v="InfySoft Bhubaneswar"/>
    <n v="11.3"/>
  </r>
  <r>
    <s v="CAND0116"/>
    <s v="Jyotirmayee Biswal"/>
    <s v="UI Designer"/>
    <s v="Sales"/>
    <s v="Sales"/>
    <s v="Walk-in"/>
    <s v="Walk-In"/>
    <n v="7.8"/>
    <n v="6"/>
    <n v="6.9"/>
    <n v="93388"/>
    <m/>
    <s v="Rejected"/>
    <s v="09-02-2023"/>
    <s v="UtkalSoft Technologies"/>
    <n v="6"/>
  </r>
  <r>
    <s v="CAND0117"/>
    <s v="Saurav Routray"/>
    <s v="Data Analyst"/>
    <s v="Data Science"/>
    <s v="Data Science"/>
    <s v="LinkedIn"/>
    <s v="Linkedin"/>
    <n v="5.5"/>
    <n v="9.5"/>
    <n v="7.5"/>
    <n v="169463"/>
    <n v="157274"/>
    <s v="Withdrawn"/>
    <s v="18-07-2023"/>
    <s v="KalingaTech Pvt Ltd"/>
    <n v="8.1999999999999993"/>
  </r>
  <r>
    <s v="CAND0118"/>
    <s v="Ipsita Parida"/>
    <s v="Software Engineer"/>
    <s v="Finance"/>
    <s v="Finance"/>
    <s v="Referral"/>
    <s v="Referral"/>
    <n v="6.1"/>
    <m/>
    <n v="6.1"/>
    <n v="153319"/>
    <n v="169720"/>
    <s v="Rejected"/>
    <s v="15-11-2023"/>
    <s v="KalingaTech Pvt Ltd"/>
    <n v="4.5999999999999996"/>
  </r>
  <r>
    <s v="CAND0119"/>
    <s v="Prasant Choudhury"/>
    <s v="UI Designer"/>
    <s v="Sales"/>
    <s v="Sales"/>
    <s v="LinkedIn"/>
    <s v="Linkedin"/>
    <n v="9.6999999999999993"/>
    <n v="3.6"/>
    <n v="6.6"/>
    <n v="50644"/>
    <n v="51916"/>
    <s v="Rejected"/>
    <s v="27-09-2024"/>
    <s v="BlueLotus IT"/>
    <n v="0.6"/>
  </r>
  <r>
    <s v="CAND0120"/>
    <s v="Sangita Tripathy"/>
    <s v="Cloud Architect"/>
    <s v="Sales"/>
    <s v="Sales"/>
    <s v="Naukri"/>
    <s v="Naukri"/>
    <n v="4.4000000000000004"/>
    <n v="5.7"/>
    <n v="5.0999999999999996"/>
    <n v="173222"/>
    <n v="147477"/>
    <s v="Withdrawn"/>
    <s v="15-04-2024"/>
    <s v="OdishaCode Labs"/>
    <n v="6"/>
  </r>
  <r>
    <s v="CAND0121"/>
    <s v="Priyanka Ratha"/>
    <s v="Data Analyst"/>
    <s v="QA"/>
    <s v="Qa"/>
    <s v="Campus"/>
    <s v="Campus"/>
    <n v="6.7"/>
    <n v="3.4"/>
    <n v="5"/>
    <n v="23335"/>
    <n v="23409"/>
    <s v="Negotiating"/>
    <s v="12-11-2024"/>
    <s v="ZeroOneSystems"/>
    <n v="12.6"/>
  </r>
  <r>
    <s v="CAND0122"/>
    <s v="Aditya Sahoo"/>
    <s v="DevOps Engineer"/>
    <s v="Engineering"/>
    <s v="Engineering"/>
    <s v="Job Portal"/>
    <s v="Job Portal"/>
    <n v="9.9"/>
    <n v="6.9"/>
    <n v="8.4"/>
    <n v="125428"/>
    <n v="112637"/>
    <s v="Rejected"/>
    <s v="24-04-2023"/>
    <s v="TechNova Solutions"/>
    <n v="11.6"/>
  </r>
  <r>
    <s v="CAND0123"/>
    <s v="Rajan Choudhury"/>
    <s v="UI Designer"/>
    <s v="HR"/>
    <s v="Hr"/>
    <s v="Referral"/>
    <s v="Referral"/>
    <n v="3.8"/>
    <n v="9.5"/>
    <n v="6.7"/>
    <n v="150962"/>
    <n v="171826"/>
    <s v="Withdrawn"/>
    <s v="16-11-2023"/>
    <s v="TechNova Solutions"/>
    <n v="1.3"/>
  </r>
  <r>
    <s v="CAND0124"/>
    <s v="Satyajit Choudhury"/>
    <s v="Sales Manager"/>
    <s v="Marketing"/>
    <s v="Marketing"/>
    <s v="Referral"/>
    <s v="Referral"/>
    <n v="4.9000000000000004"/>
    <n v="9.1"/>
    <n v="7"/>
    <n v="65864"/>
    <n v="56525"/>
    <s v="Negotiating"/>
    <s v="18-03-2024"/>
    <s v="TechNova Solutions"/>
    <n v="12.9"/>
  </r>
  <r>
    <s v="CAND0125"/>
    <s v="Debasmita Routray"/>
    <s v="QA Engineer"/>
    <s v="Engineering"/>
    <s v="Engineering"/>
    <s v="Naukri"/>
    <s v="Naukri"/>
    <n v="7.9"/>
    <n v="6.8"/>
    <n v="7.3"/>
    <n v="31856"/>
    <m/>
    <s v="Withdrawn"/>
    <s v="22-06-2023"/>
    <s v="BlueLotus IT"/>
    <n v="12.2"/>
  </r>
  <r>
    <s v="CAND0126"/>
    <s v="Satyajit Biswal"/>
    <s v="Product Manager"/>
    <s v="Data Science"/>
    <s v="Data Science"/>
    <s v="Referral"/>
    <s v="Referral"/>
    <n v="8.6"/>
    <n v="4.2"/>
    <n v="6.4"/>
    <n v="83009"/>
    <n v="89979"/>
    <s v="Accepted"/>
    <s v="08-06-2024"/>
    <s v="OdishaCode Labs"/>
    <n v="1.3"/>
  </r>
  <r>
    <s v="CAND0127"/>
    <s v="Lipsa Mishra"/>
    <s v="Data Analyst"/>
    <s v="HR"/>
    <s v="Hr"/>
    <s v="LinkedIn"/>
    <s v="Linkedin"/>
    <n v="9.4"/>
    <n v="4.5999999999999996"/>
    <n v="7"/>
    <n v="113288"/>
    <n v="125594"/>
    <s v="Rejected"/>
    <s v="29-09-2023"/>
    <s v="OdishaCode Labs"/>
    <n v="13.6"/>
  </r>
  <r>
    <s v="CAND0128"/>
    <s v="Nirmal Choudhury"/>
    <s v="Cloud Architect"/>
    <s v="Engineering"/>
    <s v="Engineering"/>
    <s v="Campus"/>
    <s v="Campus"/>
    <n v="7"/>
    <n v="4.3"/>
    <n v="5.7"/>
    <n v="106072"/>
    <n v="96107"/>
    <s v="Negotiating"/>
    <s v="31-10-2024"/>
    <s v="SambalpurNet"/>
    <n v="8.8000000000000007"/>
  </r>
  <r>
    <s v="CAND0129"/>
    <s v="Nirmal Prusty"/>
    <s v="UI Designer"/>
    <s v="Marketing"/>
    <s v="Marketing"/>
    <s v="Naukri"/>
    <s v="Naukri"/>
    <n v="9.1999999999999993"/>
    <n v="6.1"/>
    <n v="7.6"/>
    <n v="184551"/>
    <n v="169486"/>
    <s v="Accepted"/>
    <s v="05-07-2023"/>
    <s v="SambalpurNet"/>
    <n v="6.8"/>
  </r>
  <r>
    <s v="CAND0130"/>
    <s v="Namita Nanda"/>
    <s v="UI Designer"/>
    <s v="HR"/>
    <s v="Hr"/>
    <s v="Referral"/>
    <s v="Referral"/>
    <n v="3.4"/>
    <n v="5"/>
    <n v="4.2"/>
    <m/>
    <m/>
    <s v="Rejected"/>
    <s v="10-04-2023"/>
    <s v="InfySoft Bhubaneswar"/>
    <n v="8.3000000000000007"/>
  </r>
  <r>
    <s v="CAND0131"/>
    <s v="Soumya Senapati"/>
    <s v="Software Engineer"/>
    <s v="Marketing"/>
    <s v="Marketing"/>
    <s v="Naukri"/>
    <s v="Naukri"/>
    <n v="4.5999999999999996"/>
    <n v="7"/>
    <n v="5.8"/>
    <n v="116465"/>
    <n v="107912"/>
    <s v="Accepted"/>
    <s v="04-12-2023"/>
    <s v="SilverByte Systems"/>
    <n v="14.8"/>
  </r>
  <r>
    <s v="CAND0132"/>
    <s v="Nirmal Padhi"/>
    <s v="Sales Manager"/>
    <s v="DevOps"/>
    <s v="Devops"/>
    <s v="Campus"/>
    <s v="Campus"/>
    <n v="8.8000000000000007"/>
    <n v="7.1"/>
    <n v="8"/>
    <n v="45681"/>
    <n v="45296"/>
    <s v="Rejected"/>
    <s v="25-06-2024"/>
    <s v="ZeroOneSystems"/>
    <n v="14"/>
  </r>
  <r>
    <s v="CAND0133"/>
    <s v="Ranjit Pattnaik"/>
    <s v="Product Manager"/>
    <s v="DevOps"/>
    <s v="Devops"/>
    <s v="Campus"/>
    <s v="Campus"/>
    <n v="7.7"/>
    <n v="3.2"/>
    <n v="5.5"/>
    <n v="125751"/>
    <m/>
    <s v="Negotiating"/>
    <s v="21-11-2024"/>
    <s v="SambalpurNet"/>
    <n v="7.2"/>
  </r>
  <r>
    <s v="CAND0134"/>
    <s v="Debasmita Jena"/>
    <s v="Cloud Architect"/>
    <s v="Engineering"/>
    <s v="Engineering"/>
    <s v="Naukri"/>
    <s v="Naukri"/>
    <n v="5.6"/>
    <n v="8.9"/>
    <n v="7.2"/>
    <n v="158305"/>
    <n v="137677"/>
    <s v="Withdrawn"/>
    <s v="27-11-2023"/>
    <s v="KalingaTech Pvt Ltd"/>
    <n v="14.3"/>
  </r>
  <r>
    <s v="CAND0135"/>
    <s v="Sangita Jena"/>
    <s v="Product Manager"/>
    <s v="Product"/>
    <s v="Product"/>
    <s v="Walk-in"/>
    <s v="Walk-In"/>
    <n v="3.9"/>
    <n v="4.8"/>
    <n v="4.3"/>
    <n v="190181"/>
    <n v="173360"/>
    <s v="Pending"/>
    <s v="12-02-2023"/>
    <s v="OdishaCode Labs"/>
    <n v="5.9"/>
  </r>
  <r>
    <s v="CAND0136"/>
    <s v="Chinmaya Choudhury"/>
    <s v="HR Executive"/>
    <s v="QA"/>
    <s v="Qa"/>
    <s v="LinkedIn"/>
    <s v="Linkedin"/>
    <n v="7.2"/>
    <n v="3.7"/>
    <n v="5.5"/>
    <n v="37281"/>
    <m/>
    <s v="Withdrawn"/>
    <s v="11-11-2024"/>
    <s v="ZeroOneSystems"/>
    <n v="4.5"/>
  </r>
  <r>
    <s v="CAND0137"/>
    <s v="Aditya Ratha"/>
    <s v="Sales Manager"/>
    <s v="Marketing"/>
    <s v="Marketing"/>
    <s v="LinkedIn"/>
    <s v="Linkedin"/>
    <n v="8.8000000000000007"/>
    <n v="6.9"/>
    <n v="7.9"/>
    <n v="100742"/>
    <m/>
    <s v="Pending"/>
    <s v="14-09-2023"/>
    <s v="ZeroOneSystems"/>
    <n v="13"/>
  </r>
  <r>
    <s v="CAND0138"/>
    <s v="Tanmay Behura"/>
    <s v="Business Analyst"/>
    <s v="Finance"/>
    <s v="Finance"/>
    <s v="Naukri"/>
    <s v="Naukri"/>
    <n v="8.6"/>
    <n v="5.6"/>
    <n v="7.1"/>
    <n v="43288"/>
    <n v="37830"/>
    <s v="Accepted"/>
    <s v="12-01-2023"/>
    <s v="NilGiri Digitals"/>
    <n v="14.1"/>
  </r>
  <r>
    <s v="CAND0139"/>
    <s v="Rahul Biswal"/>
    <s v="Sales Manager"/>
    <s v="Finance"/>
    <s v="Finance"/>
    <s v="Naukri"/>
    <s v="Naukri"/>
    <n v="10"/>
    <n v="8.4"/>
    <n v="9.1999999999999993"/>
    <n v="56276"/>
    <n v="59525"/>
    <s v="Pending"/>
    <s v="25-11-2024"/>
    <s v="NilGiri Digitals"/>
    <n v="1.6"/>
  </r>
  <r>
    <s v="CAND0140"/>
    <s v="Smita Sahoo"/>
    <s v="Software Engineer"/>
    <s v="HR"/>
    <s v="Hr"/>
    <s v="LinkedIn"/>
    <s v="Linkedin"/>
    <n v="9.3000000000000007"/>
    <n v="7.2"/>
    <n v="8.1999999999999993"/>
    <n v="87811"/>
    <n v="97621"/>
    <s v="Rejected"/>
    <s v="26-01-2023"/>
    <s v="CoastalDev Studio"/>
    <n v="10.6"/>
  </r>
  <r>
    <s v="CAND0141"/>
    <s v="Sangita Sahoo"/>
    <s v="Software Engineer"/>
    <s v="QA"/>
    <s v="Qa"/>
    <s v="Naukri"/>
    <s v="Naukri"/>
    <n v="8.5"/>
    <n v="9.1"/>
    <n v="8.8000000000000007"/>
    <n v="72810"/>
    <n v="65414"/>
    <s v="Negotiating"/>
    <s v="20-04-2024"/>
    <s v="TechNova Solutions"/>
    <n v="9.1999999999999993"/>
  </r>
  <r>
    <s v="CAND0142"/>
    <s v="Nirmal Mahapatra"/>
    <s v="Cloud Architect"/>
    <s v="Data Science"/>
    <s v="Data Science"/>
    <s v="LinkedIn"/>
    <s v="Linkedin"/>
    <n v="6.4"/>
    <n v="6.7"/>
    <n v="6.6"/>
    <n v="121538"/>
    <m/>
    <s v="Pending"/>
    <s v="02-08-2023"/>
    <s v="BlueLotus IT"/>
    <n v="10.199999999999999"/>
  </r>
  <r>
    <s v="CAND0143"/>
    <s v="Jyotirmayee Choudhury"/>
    <s v="Data Analyst"/>
    <s v="Data Science"/>
    <s v="Data Science"/>
    <s v="Campus"/>
    <s v="Campus"/>
    <n v="9.3000000000000007"/>
    <n v="8.1999999999999993"/>
    <n v="8.8000000000000007"/>
    <n v="87088"/>
    <m/>
    <s v="Rejected"/>
    <s v="08-09-2023"/>
    <s v="OdishaCode Labs"/>
    <n v="4.5"/>
  </r>
  <r>
    <s v="CAND0144"/>
    <s v="Ankita Choudhury"/>
    <s v="Data Analyst"/>
    <s v="Sales"/>
    <s v="Sales"/>
    <s v="Naukri"/>
    <s v="Naukri"/>
    <n v="8.5"/>
    <n v="6.5"/>
    <n v="7.5"/>
    <n v="168283"/>
    <n v="151011"/>
    <s v="Accepted"/>
    <s v="12-11-2023"/>
    <s v="SilverByte Systems"/>
    <n v="13.9"/>
  </r>
  <r>
    <s v="CAND0145"/>
    <s v="Sangita Biswal"/>
    <s v="Business Analyst"/>
    <s v="Finance"/>
    <s v="Finance"/>
    <s v="Job Portal"/>
    <s v="Job Portal"/>
    <n v="8.9"/>
    <n v="8.1"/>
    <n v="8.5"/>
    <n v="96585"/>
    <n v="109021"/>
    <s v="Pending"/>
    <s v="12-08-2023"/>
    <s v="TributeAI"/>
    <n v="13"/>
  </r>
  <r>
    <s v="CAND0146"/>
    <s v="Ipsita Mohapatra"/>
    <s v="DevOps Engineer"/>
    <s v="Product"/>
    <s v="Product"/>
    <s v="Naukri"/>
    <s v="Naukri"/>
    <n v="7.2"/>
    <n v="5.6"/>
    <n v="6.4"/>
    <n v="67947"/>
    <n v="57764"/>
    <s v="Negotiating"/>
    <s v="14-06-2024"/>
    <s v="TributeAI"/>
    <n v="9.1"/>
  </r>
  <r>
    <s v="CAND0147"/>
    <s v="Tanmay Dhal"/>
    <s v="QA Engineer"/>
    <s v="Finance"/>
    <s v="Finance"/>
    <s v="Campus"/>
    <s v="Campus"/>
    <n v="4.5999999999999996"/>
    <n v="9.6"/>
    <n v="7.1"/>
    <n v="25417"/>
    <m/>
    <s v="Withdrawn"/>
    <s v="16-05-2024"/>
    <s v="OdishaCode Labs"/>
    <n v="2.1"/>
  </r>
  <r>
    <s v="CAND0148"/>
    <s v="Lipsa Dhal"/>
    <s v="Software Engineer"/>
    <s v="DevOps"/>
    <s v="Devops"/>
    <s v="LinkedIn"/>
    <s v="Linkedin"/>
    <n v="8.6999999999999993"/>
    <n v="7.4"/>
    <n v="8.1"/>
    <n v="81460"/>
    <n v="73258"/>
    <s v="Rejected"/>
    <s v="03-07-2024"/>
    <s v="CoastalDev Studio"/>
    <n v="10.199999999999999"/>
  </r>
  <r>
    <s v="CAND0149"/>
    <s v="Priyanka Nanda"/>
    <s v="Business Analyst"/>
    <s v="Sales"/>
    <s v="Sales"/>
    <s v="Naukri"/>
    <s v="Naukri"/>
    <n v="9.1999999999999993"/>
    <n v="8.8000000000000007"/>
    <n v="9"/>
    <n v="151095"/>
    <n v="171679"/>
    <s v="Negotiating"/>
    <s v="24-11-2024"/>
    <s v="KalingaTech Pvt Ltd"/>
    <n v="14.7"/>
  </r>
  <r>
    <s v="CAND0150"/>
    <s v="Satyajit Ratha"/>
    <s v="Business Analyst"/>
    <s v="Engineering"/>
    <s v="Engineering"/>
    <s v="Walk-in"/>
    <s v="Walk-In"/>
    <n v="3.5"/>
    <n v="3.3"/>
    <n v="3.4"/>
    <n v="135933"/>
    <n v="125384"/>
    <s v="Accepted"/>
    <s v="30-08-2023"/>
    <s v="TechNova Solutions"/>
    <n v="7.9"/>
  </r>
  <r>
    <s v="CAND0151"/>
    <s v="Satyajit Jena"/>
    <s v="Product Manager"/>
    <s v="QA"/>
    <s v="Qa"/>
    <s v="LinkedIn"/>
    <s v="Linkedin"/>
    <n v="4.2"/>
    <n v="5.5"/>
    <n v="4.8"/>
    <n v="174309"/>
    <n v="191122"/>
    <s v="Rejected"/>
    <s v="08-03-2024"/>
    <s v="CoastalDev Studio"/>
    <n v="12.5"/>
  </r>
  <r>
    <s v="CAND0152"/>
    <s v="Saurav Senapati"/>
    <s v="DevOps Engineer"/>
    <s v="Design"/>
    <s v="Design"/>
    <s v="Referral"/>
    <s v="Referral"/>
    <n v="8.1"/>
    <n v="7.4"/>
    <n v="7.8"/>
    <n v="138371"/>
    <n v="122000"/>
    <s v="Withdrawn"/>
    <s v="28-06-2023"/>
    <s v="UtkalSoft Technologies"/>
    <n v="8.8000000000000007"/>
  </r>
  <r>
    <s v="CAND0153"/>
    <s v="Tapas Ratha"/>
    <s v="Data Analyst"/>
    <s v="Engineering"/>
    <s v="Engineering"/>
    <s v="Referral"/>
    <s v="Referral"/>
    <n v="7.3"/>
    <n v="7.5"/>
    <n v="7.4"/>
    <n v="35759"/>
    <n v="39699"/>
    <s v="Withdrawn"/>
    <s v="05-03-2024"/>
    <s v="NilGiri Digitals"/>
    <n v="1.2"/>
  </r>
  <r>
    <s v="CAND0154"/>
    <s v="Rahul Behura"/>
    <s v="DevOps Engineer"/>
    <s v="Engineering"/>
    <s v="Engineering"/>
    <s v="Job Portal"/>
    <s v="Job Portal"/>
    <n v="8.1999999999999993"/>
    <n v="6.2"/>
    <n v="7.2"/>
    <n v="190853"/>
    <n v="203800"/>
    <s v="Rejected"/>
    <s v="25-09-2023"/>
    <s v="NilGiri Digitals"/>
    <n v="6.1"/>
  </r>
  <r>
    <s v="CAND0155"/>
    <s v="Ipsita Ratha"/>
    <s v="Business Analyst"/>
    <s v="DevOps"/>
    <s v="Devops"/>
    <s v="Walk-in"/>
    <s v="Walk-In"/>
    <n v="8.9"/>
    <n v="8.9"/>
    <n v="8.9"/>
    <n v="57397"/>
    <m/>
    <s v="Accepted"/>
    <s v="12-02-2023"/>
    <s v="SilverByte Systems"/>
    <n v="11.1"/>
  </r>
  <r>
    <s v="CAND0156"/>
    <s v="Smita Parida"/>
    <s v="UI Designer"/>
    <s v="DevOps"/>
    <s v="Devops"/>
    <s v="Campus"/>
    <s v="Campus"/>
    <n v="7.6"/>
    <n v="8.1999999999999993"/>
    <n v="7.9"/>
    <m/>
    <n v="190417"/>
    <s v="Withdrawn"/>
    <s v="06-10-2024"/>
    <s v="TechNova Solutions"/>
    <n v="9.1"/>
  </r>
  <r>
    <s v="CAND0157"/>
    <s v="Saurav Biswal"/>
    <s v="Data Analyst"/>
    <s v="DevOps"/>
    <s v="Devops"/>
    <s v="Walk-in"/>
    <s v="Walk-In"/>
    <n v="6.4"/>
    <n v="3.7"/>
    <n v="5.0999999999999996"/>
    <n v="109108"/>
    <n v="95940"/>
    <s v="Negotiating"/>
    <s v="23-12-2023"/>
    <s v="CoastalDev Studio"/>
    <n v="12.5"/>
  </r>
  <r>
    <s v="CAND0158"/>
    <s v="Prasant Pattnaik"/>
    <s v="Cloud Architect"/>
    <s v="Engineering"/>
    <s v="Engineering"/>
    <s v="Job Portal"/>
    <s v="Job Portal"/>
    <n v="4.5999999999999996"/>
    <n v="4.4000000000000004"/>
    <n v="4.5"/>
    <n v="186548"/>
    <n v="163103"/>
    <s v="Rejected"/>
    <s v="18-01-2024"/>
    <s v="SilverByte Systems"/>
    <n v="13"/>
  </r>
  <r>
    <s v="CAND0159"/>
    <s v="Ipsita Mishra"/>
    <s v="QA Engineer"/>
    <s v="DevOps"/>
    <s v="Devops"/>
    <s v="Referral"/>
    <s v="Referral"/>
    <n v="9.1999999999999993"/>
    <n v="8.3000000000000007"/>
    <n v="8.8000000000000007"/>
    <n v="92818"/>
    <m/>
    <s v="Withdrawn"/>
    <s v="13-05-2024"/>
    <s v="KalingaTech Pvt Ltd"/>
    <n v="11.8"/>
  </r>
  <r>
    <s v="CAND0160"/>
    <s v="Satyajit Mohapatra"/>
    <s v="Sales Manager"/>
    <s v="QA"/>
    <s v="Qa"/>
    <s v="Referral"/>
    <s v="Referral"/>
    <n v="7.2"/>
    <n v="3.7"/>
    <n v="5.5"/>
    <n v="38221"/>
    <m/>
    <s v="Pending"/>
    <s v="29-09-2024"/>
    <s v="KalingaTech Pvt Ltd"/>
    <n v="1.3"/>
  </r>
  <r>
    <s v="CAND0161"/>
    <s v="Chinmaya Sahoo"/>
    <s v="UI Designer"/>
    <s v="Design"/>
    <s v="Design"/>
    <s v="LinkedIn"/>
    <s v="Linkedin"/>
    <m/>
    <n v="6.9"/>
    <m/>
    <n v="68751"/>
    <m/>
    <s v="Pending"/>
    <s v="22-01-2024"/>
    <s v="SambalpurNet"/>
    <n v="10.7"/>
  </r>
  <r>
    <s v="CAND0162"/>
    <s v="Prasant Jena"/>
    <s v="HR Executive"/>
    <s v="Design"/>
    <s v="Design"/>
    <s v="LinkedIn"/>
    <s v="Linkedin"/>
    <n v="8.3000000000000007"/>
    <n v="5"/>
    <n v="6.7"/>
    <n v="28172"/>
    <m/>
    <s v="Pending"/>
    <s v="17-05-2023"/>
    <s v="OdishaCode Labs"/>
    <n v="9.4"/>
  </r>
  <r>
    <s v="CAND0163"/>
    <s v="Saurav Nanda"/>
    <s v="HR Executive"/>
    <s v="Engineering"/>
    <s v="Engineering"/>
    <s v="Naukri"/>
    <s v="Naukri"/>
    <n v="7.2"/>
    <n v="4.2"/>
    <n v="5.7"/>
    <n v="37684"/>
    <n v="37221"/>
    <s v="Rejected"/>
    <s v="13-02-2023"/>
    <s v="TributeAI"/>
    <n v="4.9000000000000004"/>
  </r>
  <r>
    <s v="CAND0164"/>
    <s v="Debasmita Mohapatra"/>
    <s v="Business Analyst"/>
    <s v="DevOps"/>
    <s v="Devops"/>
    <s v="Job Portal"/>
    <s v="Job Portal"/>
    <n v="10"/>
    <n v="6.8"/>
    <n v="8.4"/>
    <n v="84702"/>
    <n v="85009"/>
    <s v="Rejected"/>
    <s v="23-10-2023"/>
    <s v="TechNova Solutions"/>
    <n v="10.199999999999999"/>
  </r>
  <r>
    <s v="CAND0165"/>
    <s v="Prasant Routray"/>
    <s v="DevOps Engineer"/>
    <s v="Engineering"/>
    <s v="Engineering"/>
    <s v="Naukri"/>
    <s v="Naukri"/>
    <n v="6.5"/>
    <n v="5.7"/>
    <n v="6.1"/>
    <n v="32365"/>
    <n v="29977"/>
    <s v="Negotiating"/>
    <s v="10-06-2024"/>
    <s v="TributeAI"/>
    <n v="5.7"/>
  </r>
  <r>
    <s v="CAND0166"/>
    <s v="Sangita Choudhury"/>
    <s v="QA Engineer"/>
    <s v="Design"/>
    <s v="Design"/>
    <s v="Walk-in"/>
    <s v="Walk-In"/>
    <n v="8.6999999999999993"/>
    <n v="8.1999999999999993"/>
    <n v="8.4"/>
    <n v="122697"/>
    <m/>
    <s v="Pending"/>
    <s v="18-04-2023"/>
    <s v="KalingaTech Pvt Ltd"/>
    <n v="4.0999999999999996"/>
  </r>
  <r>
    <s v="CAND0167"/>
    <s v="Bikash Behura"/>
    <s v="Business Analyst"/>
    <s v="HR"/>
    <s v="Hr"/>
    <s v="Referral"/>
    <s v="Referral"/>
    <n v="4.5999999999999996"/>
    <n v="6.6"/>
    <n v="5.6"/>
    <n v="120512"/>
    <n v="103613"/>
    <s v="Pending"/>
    <s v="27-10-2024"/>
    <s v="TechNova Solutions"/>
    <n v="14"/>
  </r>
  <r>
    <s v="CAND0168"/>
    <s v="Jyotirmayee Routray"/>
    <s v="HR Executive"/>
    <s v="Engineering"/>
    <s v="Engineering"/>
    <s v="LinkedIn"/>
    <s v="Linkedin"/>
    <n v="4.7"/>
    <n v="7.9"/>
    <n v="6.3"/>
    <m/>
    <m/>
    <s v="Pending"/>
    <s v="31-12-2023"/>
    <s v="InfySoft Bhubaneswar"/>
    <n v="8.1999999999999993"/>
  </r>
  <r>
    <s v="CAND0169"/>
    <s v="Subhasree Dhal"/>
    <s v="Sales Manager"/>
    <s v="Design"/>
    <s v="Design"/>
    <s v="Job Portal"/>
    <s v="Job Portal"/>
    <n v="5.4"/>
    <n v="9.3000000000000007"/>
    <n v="7.4"/>
    <n v="138859"/>
    <m/>
    <s v="Withdrawn"/>
    <s v="03-02-2024"/>
    <s v="BlueLotus IT"/>
    <n v="4"/>
  </r>
  <r>
    <s v="CAND0170"/>
    <s v="Sangita Prusty"/>
    <s v="Cloud Architect"/>
    <s v="Sales"/>
    <s v="Sales"/>
    <s v="LinkedIn"/>
    <s v="Linkedin"/>
    <n v="5.5"/>
    <n v="6.8"/>
    <n v="6.2"/>
    <n v="183772"/>
    <m/>
    <s v="Accepted"/>
    <s v="22-06-2024"/>
    <s v="SilverByte Systems"/>
    <n v="4.5"/>
  </r>
  <r>
    <s v="CAND0171"/>
    <s v="Debasmita Jena"/>
    <s v="HR Executive"/>
    <s v="Design"/>
    <s v="Design"/>
    <s v="Job Portal"/>
    <s v="Job Portal"/>
    <n v="7.7"/>
    <n v="4.9000000000000004"/>
    <n v="6.3"/>
    <n v="179364"/>
    <n v="153566"/>
    <s v="Rejected"/>
    <s v="14-03-2024"/>
    <s v="TributeAI"/>
    <n v="4"/>
  </r>
  <r>
    <s v="CAND0172"/>
    <s v="Bikash Pattnaik"/>
    <s v="QA Engineer"/>
    <s v="QA"/>
    <s v="Qa"/>
    <s v="Naukri"/>
    <s v="Naukri"/>
    <n v="5.4"/>
    <n v="6.6"/>
    <n v="6"/>
    <n v="133051"/>
    <n v="144178"/>
    <s v="Pending"/>
    <s v="03-02-2024"/>
    <s v="InfySoft Bhubaneswar"/>
    <n v="6.2"/>
  </r>
  <r>
    <s v="CAND0173"/>
    <s v="Bikash Tripathy"/>
    <s v="DevOps Engineer"/>
    <s v="Engineering"/>
    <s v="Engineering"/>
    <s v="LinkedIn"/>
    <s v="Linkedin"/>
    <n v="6.1"/>
    <n v="5.2"/>
    <n v="5.7"/>
    <n v="42371"/>
    <n v="36700"/>
    <s v="Pending"/>
    <s v="19-05-2024"/>
    <s v="ZeroOneSystems"/>
    <n v="14.5"/>
  </r>
  <r>
    <s v="CAND0174"/>
    <s v="Satyajit Pattnaik"/>
    <s v="Product Manager"/>
    <s v="Design"/>
    <s v="Design"/>
    <s v="Walk-in"/>
    <s v="Walk-In"/>
    <n v="4.3"/>
    <n v="8.6"/>
    <n v="6.4"/>
    <n v="54730"/>
    <n v="56814"/>
    <s v="Rejected"/>
    <s v="17-03-2023"/>
    <s v="SambalpurNet"/>
    <n v="2.8"/>
  </r>
  <r>
    <s v="CAND0175"/>
    <s v="Priyanka Samal"/>
    <s v="Data Analyst"/>
    <s v="QA"/>
    <s v="Qa"/>
    <s v="LinkedIn"/>
    <s v="Linkedin"/>
    <n v="6.4"/>
    <n v="8.1"/>
    <n v="7.2"/>
    <n v="194025"/>
    <n v="216621"/>
    <s v="Negotiating"/>
    <s v="26-05-2024"/>
    <s v="UtkalSoft Technologies"/>
    <n v="9.1999999999999993"/>
  </r>
  <r>
    <s v="CAND0176"/>
    <s v="Smita Tripathy"/>
    <s v="UI Designer"/>
    <s v="Finance"/>
    <s v="Finance"/>
    <s v="Naukri"/>
    <s v="Naukri"/>
    <n v="7.9"/>
    <n v="5.7"/>
    <n v="6.8"/>
    <n v="97376"/>
    <n v="91485"/>
    <s v="Rejected"/>
    <s v="20-07-2023"/>
    <s v="TechNova Solutions"/>
    <n v="6.8"/>
  </r>
  <r>
    <s v="CAND0177"/>
    <s v="Lipsa Dhal"/>
    <s v="DevOps Engineer"/>
    <s v="Finance"/>
    <s v="Finance"/>
    <s v="Naukri"/>
    <s v="Naukri"/>
    <n v="6.4"/>
    <n v="7.2"/>
    <n v="6.8"/>
    <n v="28026"/>
    <n v="26088"/>
    <s v="Pending"/>
    <s v="09-11-2023"/>
    <s v="SilverByte Systems"/>
    <n v="14.9"/>
  </r>
  <r>
    <s v="CAND0178"/>
    <s v="Rajan Sahoo"/>
    <s v="Business Analyst"/>
    <s v="Marketing"/>
    <s v="Marketing"/>
    <s v="Job Portal"/>
    <s v="Job Portal"/>
    <n v="4.7"/>
    <n v="4.7"/>
    <n v="4.7"/>
    <m/>
    <m/>
    <s v="Negotiating"/>
    <s v="02-07-2023"/>
    <s v="BlueLotus IT"/>
    <n v="11"/>
  </r>
  <r>
    <s v="CAND0179"/>
    <s v="Tapas Ratha"/>
    <s v="DevOps Engineer"/>
    <s v="Design"/>
    <s v="Design"/>
    <s v="Job Portal"/>
    <s v="Job Portal"/>
    <n v="4.0999999999999996"/>
    <m/>
    <n v="4.0999999999999996"/>
    <n v="56805"/>
    <n v="48886"/>
    <s v="Accepted"/>
    <s v="25-04-2023"/>
    <s v="SambalpurNet"/>
    <n v="9.3000000000000007"/>
  </r>
  <r>
    <s v="CAND0180"/>
    <s v="Lipsa Parida"/>
    <s v="Software Engineer"/>
    <s v="QA"/>
    <s v="Qa"/>
    <s v="Naukri"/>
    <s v="Naukri"/>
    <n v="5.5"/>
    <n v="5.5"/>
    <n v="5.5"/>
    <n v="28878"/>
    <m/>
    <s v="Withdrawn"/>
    <s v="05-04-2023"/>
    <s v="SambalpurNet"/>
    <n v="14"/>
  </r>
  <r>
    <s v="CAND0181"/>
    <s v="Puspita Parida"/>
    <s v="Data Analyst"/>
    <s v="Product"/>
    <s v="Product"/>
    <s v="Referral"/>
    <s v="Referral"/>
    <n v="5.9"/>
    <n v="4.5999999999999996"/>
    <n v="5.2"/>
    <m/>
    <n v="92756"/>
    <s v="Pending"/>
    <s v="06-10-2024"/>
    <s v="SambalpurNet"/>
    <n v="1.8"/>
  </r>
  <r>
    <s v="CAND0182"/>
    <s v="Priyanka Pattnaik"/>
    <s v="QA Engineer"/>
    <s v="Sales"/>
    <s v="Sales"/>
    <s v="Job Portal"/>
    <s v="Job Portal"/>
    <n v="4.4000000000000004"/>
    <n v="7.1"/>
    <n v="5.8"/>
    <n v="66558"/>
    <n v="67079"/>
    <s v="Pending"/>
    <s v="19-02-2024"/>
    <s v="KalingaTech Pvt Ltd"/>
    <n v="2.5"/>
  </r>
  <r>
    <s v="CAND0183"/>
    <s v="Tanmay Dhal"/>
    <s v="Data Analyst"/>
    <s v="HR"/>
    <s v="Hr"/>
    <s v="Naukri"/>
    <s v="Naukri"/>
    <n v="9.5"/>
    <m/>
    <n v="9.5"/>
    <n v="159697"/>
    <n v="183242"/>
    <s v="Negotiating"/>
    <s v="19-12-2023"/>
    <s v="CoastalDev Studio"/>
    <n v="3.7"/>
  </r>
  <r>
    <s v="CAND0184"/>
    <s v="Soumya Prusty"/>
    <s v="DevOps Engineer"/>
    <s v="Product"/>
    <s v="Product"/>
    <s v="Naukri"/>
    <s v="Naukri"/>
    <n v="3.2"/>
    <n v="8.3000000000000007"/>
    <n v="5.8"/>
    <n v="186358"/>
    <m/>
    <s v="Rejected"/>
    <s v="23-01-2023"/>
    <s v="TechNova Solutions"/>
    <n v="12.2"/>
  </r>
  <r>
    <s v="CAND0185"/>
    <s v="Rajan Mohapatra"/>
    <s v="UI Designer"/>
    <s v="Sales"/>
    <s v="Sales"/>
    <s v="Referral"/>
    <s v="Referral"/>
    <n v="7.1"/>
    <n v="6.3"/>
    <n v="6.7"/>
    <n v="105022"/>
    <m/>
    <s v="Accepted"/>
    <s v="13-05-2023"/>
    <s v="SambalpurNet"/>
    <n v="7.8"/>
  </r>
  <r>
    <s v="CAND0186"/>
    <s v="Debasmita Nanda"/>
    <s v="Cloud Architect"/>
    <s v="DevOps"/>
    <s v="Devops"/>
    <s v="Naukri"/>
    <s v="Naukri"/>
    <n v="9.3000000000000007"/>
    <n v="3.5"/>
    <n v="6.4"/>
    <n v="147764"/>
    <m/>
    <s v="Pending"/>
    <s v="29-04-2024"/>
    <s v="UtkalSoft Technologies"/>
    <n v="11"/>
  </r>
  <r>
    <s v="CAND0187"/>
    <s v="Puspita Nanda"/>
    <s v="DevOps Engineer"/>
    <s v="Sales"/>
    <s v="Sales"/>
    <s v="Naukri"/>
    <s v="Naukri"/>
    <n v="3.5"/>
    <n v="9.8000000000000007"/>
    <n v="6.7"/>
    <n v="156702"/>
    <n v="156877"/>
    <s v="Withdrawn"/>
    <s v="05-09-2024"/>
    <s v="NilGiri Digitals"/>
    <n v="1.6"/>
  </r>
  <r>
    <s v="CAND0188"/>
    <s v="Sangita Behura"/>
    <s v="Business Analyst"/>
    <s v="DevOps"/>
    <s v="Devops"/>
    <s v="Naukri"/>
    <s v="Naukri"/>
    <n v="5.2"/>
    <n v="7.5"/>
    <n v="6.3"/>
    <n v="162104"/>
    <m/>
    <s v="Negotiating"/>
    <s v="02-09-2023"/>
    <s v="SilverByte Systems"/>
    <n v="3.3"/>
  </r>
  <r>
    <s v="CAND0189"/>
    <s v="Ranjit Padhi"/>
    <s v="Cloud Architect"/>
    <s v="Engineering"/>
    <s v="Engineering"/>
    <s v="Campus"/>
    <s v="Campus"/>
    <n v="6.6"/>
    <n v="8.9"/>
    <n v="7.8"/>
    <n v="183875"/>
    <n v="197635"/>
    <s v="Negotiating"/>
    <s v="02-03-2023"/>
    <s v="KalingaTech Pvt Ltd"/>
    <n v="9.4"/>
  </r>
  <r>
    <s v="CAND0190"/>
    <s v="Abhishek Prusty"/>
    <s v="Product Manager"/>
    <s v="Product"/>
    <s v="Product"/>
    <s v="LinkedIn"/>
    <s v="Linkedin"/>
    <n v="8.6"/>
    <n v="4.8"/>
    <n v="6.7"/>
    <n v="66349"/>
    <n v="63129"/>
    <s v="Accepted"/>
    <s v="13-09-2023"/>
    <s v="TechNova Solutions"/>
    <n v="1.7"/>
  </r>
  <r>
    <s v="CAND0191"/>
    <s v="Sudhansu Choudhury"/>
    <s v="QA Engineer"/>
    <s v="DevOps"/>
    <s v="Devops"/>
    <s v="Naukri"/>
    <s v="Naukri"/>
    <n v="7.4"/>
    <n v="9.1999999999999993"/>
    <n v="8.3000000000000007"/>
    <n v="125280"/>
    <n v="126503"/>
    <s v="Rejected"/>
    <s v="20-07-2023"/>
    <s v="CoastalDev Studio"/>
    <n v="12.1"/>
  </r>
  <r>
    <s v="CAND0192"/>
    <s v="Chinmaya Mishra"/>
    <s v="UI Designer"/>
    <s v="Engineering"/>
    <s v="Engineering"/>
    <s v="Referral"/>
    <s v="Referral"/>
    <n v="4.7"/>
    <n v="3.5"/>
    <n v="4.0999999999999996"/>
    <n v="138187"/>
    <n v="124301"/>
    <s v="Pending"/>
    <s v="28-09-2023"/>
    <s v="TributeAI"/>
    <n v="10.4"/>
  </r>
  <r>
    <s v="CAND0193"/>
    <s v="Prasant Mohapatra"/>
    <s v="DevOps Engineer"/>
    <s v="QA"/>
    <s v="Qa"/>
    <s v="Naukri"/>
    <s v="Naukri"/>
    <n v="7.6"/>
    <n v="8.8000000000000007"/>
    <n v="8.1999999999999993"/>
    <n v="35593"/>
    <n v="32545"/>
    <s v="Rejected"/>
    <s v="12-10-2023"/>
    <s v="ZeroOneSystems"/>
    <n v="1.3"/>
  </r>
  <r>
    <s v="CAND0194"/>
    <s v="Priyanka Padhi"/>
    <s v="Data Analyst"/>
    <s v="Product"/>
    <s v="Product"/>
    <s v="Naukri"/>
    <s v="Naukri"/>
    <n v="9.6"/>
    <n v="6.1"/>
    <n v="7.8"/>
    <n v="69626"/>
    <n v="64903"/>
    <s v="Pending"/>
    <s v="27-10-2024"/>
    <s v="TechNova Solutions"/>
    <n v="15"/>
  </r>
  <r>
    <s v="CAND0195"/>
    <s v="Abhishek Dhal"/>
    <s v="Software Engineer"/>
    <s v="QA"/>
    <s v="Qa"/>
    <s v="LinkedIn"/>
    <s v="Linkedin"/>
    <n v="9.9"/>
    <n v="6.2"/>
    <n v="8.1"/>
    <n v="86397"/>
    <n v="98279"/>
    <s v="Pending"/>
    <s v="30-07-2024"/>
    <s v="TechNova Solutions"/>
    <n v="6.6"/>
  </r>
  <r>
    <s v="CAND0196"/>
    <s v="Dibya Choudhury"/>
    <s v="HR Executive"/>
    <s v="QA"/>
    <s v="Qa"/>
    <s v="Naukri"/>
    <s v="Naukri"/>
    <n v="6.9"/>
    <n v="3.5"/>
    <n v="5.2"/>
    <n v="59002"/>
    <m/>
    <s v="Accepted"/>
    <s v="06-05-2024"/>
    <s v="TechNova Solutions"/>
    <n v="4.9000000000000004"/>
  </r>
  <r>
    <s v="CAND0197"/>
    <s v="Tapas Senapati"/>
    <s v="QA Engineer"/>
    <s v="DevOps"/>
    <s v="Devops"/>
    <s v="Job Portal"/>
    <s v="Job Portal"/>
    <n v="9.6"/>
    <n v="7.9"/>
    <n v="8.8000000000000007"/>
    <n v="77128"/>
    <n v="83897"/>
    <s v="Accepted"/>
    <s v="14-07-2024"/>
    <s v="NilGiri Digitals"/>
    <n v="0.7"/>
  </r>
  <r>
    <s v="CAND0198"/>
    <s v="Sangita Mohapatra"/>
    <s v="Software Engineer"/>
    <s v="Finance"/>
    <s v="Finance"/>
    <s v="Walk-in"/>
    <s v="Walk-In"/>
    <n v="6.6"/>
    <n v="3.1"/>
    <n v="4.8"/>
    <n v="139359"/>
    <m/>
    <s v="Rejected"/>
    <s v="20-01-2023"/>
    <s v="ZeroOneSystems"/>
    <n v="11.5"/>
  </r>
  <r>
    <s v="CAND0199"/>
    <s v="Smita Sahoo"/>
    <s v="Sales Manager"/>
    <s v="Engineering"/>
    <s v="Engineering"/>
    <s v="Naukri"/>
    <s v="Naukri"/>
    <n v="8.6"/>
    <n v="8.1999999999999993"/>
    <n v="8.4"/>
    <n v="145177"/>
    <m/>
    <s v="Accepted"/>
    <s v="23-07-2024"/>
    <s v="ZeroOneSystems"/>
    <n v="0.8"/>
  </r>
  <r>
    <s v="CAND0200"/>
    <s v="Ranjit Padhi"/>
    <s v="Cloud Architect"/>
    <s v="Finance"/>
    <s v="Finance"/>
    <s v="Naukri"/>
    <s v="Naukri"/>
    <n v="9.4"/>
    <n v="9.5"/>
    <n v="9.4"/>
    <n v="41670"/>
    <n v="36261"/>
    <s v="Pending"/>
    <s v="19-03-2024"/>
    <s v="ZeroOneSystems"/>
    <n v="1.2"/>
  </r>
  <r>
    <s v="CAND0201"/>
    <s v="Dibya Mishra"/>
    <s v="UI Designer"/>
    <s v="HR"/>
    <s v="Hr"/>
    <s v="Walk-in"/>
    <s v="Walk-In"/>
    <n v="6"/>
    <n v="4.4000000000000004"/>
    <n v="5.2"/>
    <n v="120201"/>
    <n v="115429"/>
    <s v="Withdrawn"/>
    <s v="10-01-2024"/>
    <s v="ZeroOneSystems"/>
    <n v="9.4"/>
  </r>
  <r>
    <s v="CAND0202"/>
    <s v="Aditya Ratha"/>
    <s v="Product Manager"/>
    <s v="QA"/>
    <s v="Qa"/>
    <s v="Walk-in"/>
    <s v="Walk-In"/>
    <n v="5.8"/>
    <n v="6.9"/>
    <n v="6.3"/>
    <n v="36100"/>
    <n v="37627"/>
    <s v="Accepted"/>
    <s v="25-01-2024"/>
    <s v="NilGiri Digitals"/>
    <n v="11.9"/>
  </r>
  <r>
    <s v="CAND0203"/>
    <s v="Sangita Samal"/>
    <s v="Cloud Architect"/>
    <s v="Data Science"/>
    <s v="Data Science"/>
    <s v="Job Portal"/>
    <s v="Job Portal"/>
    <n v="3.4"/>
    <n v="3.8"/>
    <n v="3.6"/>
    <n v="65429"/>
    <n v="72581"/>
    <s v="Negotiating"/>
    <s v="19-01-2024"/>
    <s v="ZeroOneSystems"/>
    <n v="10.1"/>
  </r>
  <r>
    <s v="CAND0204"/>
    <s v="Rajan Tripathy"/>
    <s v="HR Executive"/>
    <s v="Product"/>
    <s v="Product"/>
    <s v="LinkedIn"/>
    <s v="Linkedin"/>
    <n v="3.7"/>
    <n v="4.4000000000000004"/>
    <n v="4.0999999999999996"/>
    <n v="151768"/>
    <n v="160253"/>
    <s v="Withdrawn"/>
    <s v="21-07-2023"/>
    <s v="TributeAI"/>
    <n v="10"/>
  </r>
  <r>
    <s v="CAND0205"/>
    <s v="Satyajit Sahoo"/>
    <s v="HR Executive"/>
    <s v="HR"/>
    <s v="Hr"/>
    <s v="Naukri"/>
    <s v="Naukri"/>
    <n v="8.6999999999999993"/>
    <n v="7.3"/>
    <n v="8"/>
    <n v="83576"/>
    <m/>
    <s v="Accepted"/>
    <s v="08-03-2024"/>
    <s v="UtkalSoft Technologies"/>
    <n v="14.7"/>
  </r>
  <r>
    <s v="CAND0206"/>
    <s v="Amlan Routray"/>
    <s v="QA Engineer"/>
    <s v="Product"/>
    <s v="Product"/>
    <s v="LinkedIn"/>
    <s v="Linkedin"/>
    <n v="6.6"/>
    <n v="9.5"/>
    <n v="8.1"/>
    <n v="130549"/>
    <n v="112699"/>
    <s v="Withdrawn"/>
    <s v="29-04-2023"/>
    <s v="KalingaTech Pvt Ltd"/>
    <n v="11.1"/>
  </r>
  <r>
    <s v="CAND0207"/>
    <s v="Tapas Pattnaik"/>
    <s v="Product Manager"/>
    <s v="Engineering"/>
    <s v="Engineering"/>
    <s v="LinkedIn"/>
    <s v="Linkedin"/>
    <n v="9.1"/>
    <n v="6"/>
    <n v="7.5"/>
    <n v="182779"/>
    <n v="163621"/>
    <s v="Withdrawn"/>
    <s v="29-12-2024"/>
    <s v="BlueLotus IT"/>
    <n v="3.4"/>
  </r>
  <r>
    <s v="CAND0208"/>
    <s v="Smita Mohapatra"/>
    <s v="Sales Manager"/>
    <s v="Finance"/>
    <s v="Finance"/>
    <s v="Walk-in"/>
    <s v="Walk-In"/>
    <n v="8"/>
    <n v="8.6"/>
    <n v="8.3000000000000007"/>
    <n v="163521"/>
    <m/>
    <s v="Negotiating"/>
    <s v="19-04-2024"/>
    <s v="BlueLotus IT"/>
    <n v="14.6"/>
  </r>
  <r>
    <s v="CAND0209"/>
    <s v="Amlan Mohapatra"/>
    <s v="HR Executive"/>
    <s v="Marketing"/>
    <s v="Marketing"/>
    <s v="Naukri"/>
    <s v="Naukri"/>
    <n v="3.1"/>
    <n v="7.7"/>
    <n v="5.4"/>
    <m/>
    <m/>
    <s v="Accepted"/>
    <s v="02-06-2024"/>
    <s v="SambalpurNet"/>
    <n v="8"/>
  </r>
  <r>
    <s v="CAND0210"/>
    <s v="Rajan Samal"/>
    <s v="QA Engineer"/>
    <s v="Marketing"/>
    <s v="Marketing"/>
    <s v="Job Portal"/>
    <s v="Job Portal"/>
    <n v="9"/>
    <n v="3.4"/>
    <n v="6.2"/>
    <n v="189767"/>
    <n v="189090"/>
    <s v="Withdrawn"/>
    <s v="02-11-2023"/>
    <s v="OdishaCode Labs"/>
    <n v="7"/>
  </r>
  <r>
    <s v="CAND0211"/>
    <s v="Aditya Tripathy"/>
    <s v="Data Analyst"/>
    <s v="Sales"/>
    <s v="Sales"/>
    <s v="Campus"/>
    <s v="Campus"/>
    <n v="7.3"/>
    <n v="3.2"/>
    <n v="5.2"/>
    <n v="68492"/>
    <n v="61221"/>
    <s v="Rejected"/>
    <s v="10-12-2024"/>
    <s v="SambalpurNet"/>
    <n v="8.1999999999999993"/>
  </r>
  <r>
    <s v="CAND0212"/>
    <s v="Nirmal Senapati"/>
    <s v="DevOps Engineer"/>
    <s v="Marketing"/>
    <s v="Marketing"/>
    <s v="Naukri"/>
    <s v="Naukri"/>
    <n v="9.1"/>
    <n v="8.4"/>
    <n v="8.8000000000000007"/>
    <n v="189452"/>
    <n v="163252"/>
    <s v="Accepted"/>
    <s v="20-11-2023"/>
    <s v="NilGiri Digitals"/>
    <n v="2.9"/>
  </r>
  <r>
    <s v="CAND0213"/>
    <s v="Puspita Senapati"/>
    <s v="Product Manager"/>
    <s v="Product"/>
    <s v="Product"/>
    <s v="Campus"/>
    <s v="Campus"/>
    <n v="9.5"/>
    <n v="7"/>
    <n v="8.1999999999999993"/>
    <n v="166025"/>
    <m/>
    <s v="Rejected"/>
    <s v="18-02-2024"/>
    <s v="ZeroOneSystems"/>
    <n v="10"/>
  </r>
  <r>
    <s v="CAND0214"/>
    <s v="Priyanka Pattnaik"/>
    <s v="Sales Manager"/>
    <s v="DevOps"/>
    <s v="Devops"/>
    <s v="Walk-in"/>
    <s v="Walk-In"/>
    <n v="7.7"/>
    <n v="6.5"/>
    <n v="7.1"/>
    <n v="162815"/>
    <n v="143661"/>
    <s v="Withdrawn"/>
    <s v="05-05-2023"/>
    <s v="UtkalSoft Technologies"/>
    <n v="1.4"/>
  </r>
  <r>
    <s v="CAND0215"/>
    <s v="Soumya Mohapatra"/>
    <s v="Cloud Architect"/>
    <s v="QA"/>
    <s v="Qa"/>
    <s v="Job Portal"/>
    <s v="Job Portal"/>
    <n v="8.5"/>
    <n v="9.1999999999999993"/>
    <n v="8.8000000000000007"/>
    <n v="187838"/>
    <n v="176973"/>
    <s v="Accepted"/>
    <s v="16-07-2024"/>
    <s v="OdishaCode Labs"/>
    <n v="13.9"/>
  </r>
  <r>
    <s v="CAND0216"/>
    <s v="Puspita Sahoo"/>
    <s v="Business Analyst"/>
    <s v="Sales"/>
    <s v="Sales"/>
    <s v="Walk-in"/>
    <s v="Walk-In"/>
    <n v="3.7"/>
    <n v="5"/>
    <n v="4.3"/>
    <n v="119294"/>
    <n v="112096"/>
    <s v="Negotiating"/>
    <s v="22-09-2023"/>
    <s v="UtkalSoft Technologies"/>
    <n v="13.3"/>
  </r>
  <r>
    <s v="CAND0217"/>
    <s v="Debasmita Samal"/>
    <s v="UI Designer"/>
    <s v="Product"/>
    <s v="Product"/>
    <s v="Referral"/>
    <s v="Referral"/>
    <n v="3.1"/>
    <n v="9.6999999999999993"/>
    <n v="6.4"/>
    <n v="36846"/>
    <n v="40641"/>
    <s v="Negotiating"/>
    <s v="27-10-2023"/>
    <s v="OdishaCode Labs"/>
    <n v="6.1"/>
  </r>
  <r>
    <s v="CAND0218"/>
    <s v="Lipsa Samal"/>
    <s v="Product Manager"/>
    <s v="Engineering"/>
    <s v="Engineering"/>
    <s v="LinkedIn"/>
    <s v="Linkedin"/>
    <n v="3.6"/>
    <n v="5.4"/>
    <n v="4.5"/>
    <n v="35014"/>
    <n v="30159"/>
    <s v="Accepted"/>
    <s v="10-06-2023"/>
    <s v="NilGiri Digitals"/>
    <n v="4.4000000000000004"/>
  </r>
  <r>
    <s v="CAND0219"/>
    <s v="Smita Samal"/>
    <s v="Data Analyst"/>
    <s v="QA"/>
    <s v="Qa"/>
    <s v="LinkedIn"/>
    <s v="Linkedin"/>
    <n v="5.8"/>
    <n v="3.2"/>
    <n v="4.5"/>
    <n v="188798"/>
    <n v="197255"/>
    <s v="Rejected"/>
    <s v="23-02-2024"/>
    <s v="SambalpurNet"/>
    <n v="3.1"/>
  </r>
  <r>
    <s v="CAND0220"/>
    <s v="Ipsita Sahu"/>
    <s v="QA Engineer"/>
    <s v="Engineering"/>
    <s v="Engineering"/>
    <s v="Referral"/>
    <s v="Referral"/>
    <n v="4.4000000000000004"/>
    <n v="3.5"/>
    <n v="4"/>
    <n v="26259"/>
    <n v="24536"/>
    <s v="Rejected"/>
    <s v="06-07-2023"/>
    <s v="TributeAI"/>
    <n v="5.7"/>
  </r>
  <r>
    <s v="CAND0221"/>
    <s v="Bikash Mohapatra"/>
    <s v="HR Executive"/>
    <s v="Sales"/>
    <s v="Sales"/>
    <s v="LinkedIn"/>
    <s v="Linkedin"/>
    <n v="9.6"/>
    <n v="8.1999999999999993"/>
    <n v="8.9"/>
    <n v="147437"/>
    <n v="159246"/>
    <s v="Negotiating"/>
    <s v="21-05-2023"/>
    <s v="ZeroOneSystems"/>
    <n v="10.3"/>
  </r>
  <r>
    <s v="CAND0222"/>
    <s v="Sangita Samal"/>
    <s v="Sales Manager"/>
    <s v="HR"/>
    <s v="Hr"/>
    <s v="LinkedIn"/>
    <s v="Linkedin"/>
    <n v="3.3"/>
    <n v="4"/>
    <n v="3.6"/>
    <n v="57939"/>
    <m/>
    <s v="Pending"/>
    <s v="29-12-2023"/>
    <s v="ZeroOneSystems"/>
    <n v="1.6"/>
  </r>
  <r>
    <s v="CAND0223"/>
    <s v="Puspita Mishra"/>
    <s v="Cloud Architect"/>
    <s v="Data Science"/>
    <s v="Data Science"/>
    <s v="Job Portal"/>
    <s v="Job Portal"/>
    <n v="9"/>
    <n v="4"/>
    <n v="6.5"/>
    <n v="36472"/>
    <m/>
    <s v="Negotiating"/>
    <s v="02-11-2024"/>
    <s v="UtkalSoft Technologies"/>
    <n v="11.7"/>
  </r>
  <r>
    <s v="CAND0224"/>
    <s v="Subhasree Parida"/>
    <s v="Product Manager"/>
    <s v="Marketing"/>
    <s v="Marketing"/>
    <s v="Referral"/>
    <s v="Referral"/>
    <n v="3.1"/>
    <n v="6.6"/>
    <n v="4.8"/>
    <n v="59904"/>
    <n v="54026"/>
    <s v="Accepted"/>
    <s v="14-08-2023"/>
    <s v="SambalpurNet"/>
    <n v="4.3"/>
  </r>
  <r>
    <s v="CAND0225"/>
    <s v="Priyanka Mishra"/>
    <s v="Product Manager"/>
    <s v="Marketing"/>
    <s v="Marketing"/>
    <s v="Referral"/>
    <s v="Referral"/>
    <n v="3.9"/>
    <n v="8.6"/>
    <n v="6.2"/>
    <n v="156756"/>
    <n v="174794"/>
    <s v="Accepted"/>
    <s v="29-01-2023"/>
    <s v="KalingaTech Pvt Ltd"/>
    <n v="12.8"/>
  </r>
  <r>
    <s v="CAND0226"/>
    <s v="Nirmal Tripathy"/>
    <s v="HR Executive"/>
    <s v="DevOps"/>
    <s v="Devops"/>
    <s v="Job Portal"/>
    <s v="Job Portal"/>
    <n v="4.5999999999999996"/>
    <n v="8.8000000000000007"/>
    <n v="6.7"/>
    <n v="146574"/>
    <n v="143449"/>
    <s v="Negotiating"/>
    <s v="09-02-2024"/>
    <s v="SilverByte Systems"/>
    <n v="9.3000000000000007"/>
  </r>
  <r>
    <s v="CAND0227"/>
    <s v="Chinmaya Pattnaik"/>
    <s v="Data Analyst"/>
    <s v="DevOps"/>
    <s v="Devops"/>
    <s v="LinkedIn"/>
    <s v="Linkedin"/>
    <n v="4.7"/>
    <n v="6.5"/>
    <n v="5.6"/>
    <n v="134598"/>
    <n v="133679"/>
    <s v="Pending"/>
    <s v="03-09-2024"/>
    <s v="ZeroOneSystems"/>
    <n v="5.0999999999999996"/>
  </r>
  <r>
    <s v="CAND0228"/>
    <s v="Ankita Mishra"/>
    <s v="Product Manager"/>
    <s v="Sales"/>
    <s v="Sales"/>
    <s v="LinkedIn"/>
    <s v="Linkedin"/>
    <n v="5.8"/>
    <n v="4.8"/>
    <n v="5.3"/>
    <n v="123503"/>
    <m/>
    <s v="Pending"/>
    <s v="20-12-2024"/>
    <s v="UtkalSoft Technologies"/>
    <n v="2"/>
  </r>
  <r>
    <s v="CAND0229"/>
    <s v="Sudhansu Prusty"/>
    <s v="Software Engineer"/>
    <s v="Data Science"/>
    <s v="Data Science"/>
    <s v="Referral"/>
    <s v="Referral"/>
    <n v="4"/>
    <n v="10"/>
    <n v="7"/>
    <n v="66053"/>
    <n v="70051"/>
    <s v="Pending"/>
    <s v="21-10-2023"/>
    <s v="SambalpurNet"/>
    <n v="9.6999999999999993"/>
  </r>
  <r>
    <s v="CAND0230"/>
    <s v="Rajan Biswal"/>
    <s v="Software Engineer"/>
    <s v="Engineering"/>
    <s v="Engineering"/>
    <s v="Job Portal"/>
    <s v="Job Portal"/>
    <n v="4.3"/>
    <n v="3.3"/>
    <n v="3.8"/>
    <n v="29500"/>
    <n v="25962"/>
    <s v="Withdrawn"/>
    <s v="28-07-2024"/>
    <s v="SilverByte Systems"/>
    <n v="6.6"/>
  </r>
  <r>
    <s v="CAND0231"/>
    <s v="Bikash Parida"/>
    <s v="Sales Manager"/>
    <s v="Engineering"/>
    <s v="Engineering"/>
    <s v="Walk-in"/>
    <s v="Walk-In"/>
    <n v="3.6"/>
    <n v="6.4"/>
    <n v="5"/>
    <n v="83617"/>
    <n v="85540"/>
    <s v="Accepted"/>
    <s v="07-02-2023"/>
    <s v="BlueLotus IT"/>
    <n v="7.2"/>
  </r>
  <r>
    <s v="CAND0232"/>
    <s v="Sudhansu Prusty"/>
    <s v="Data Analyst"/>
    <s v="Engineering"/>
    <s v="Engineering"/>
    <s v="LinkedIn"/>
    <s v="Linkedin"/>
    <n v="3.3"/>
    <n v="5.3"/>
    <n v="4.3"/>
    <n v="138417"/>
    <n v="159136"/>
    <s v="Pending"/>
    <s v="17-01-2024"/>
    <s v="TechNova Solutions"/>
    <n v="3.5"/>
  </r>
  <r>
    <s v="CAND0233"/>
    <s v="Ipsita Pattnaik"/>
    <s v="QA Engineer"/>
    <s v="Marketing"/>
    <s v="Marketing"/>
    <s v="Job Portal"/>
    <s v="Job Portal"/>
    <n v="8.1"/>
    <n v="3.3"/>
    <n v="5.7"/>
    <n v="141978"/>
    <n v="134367"/>
    <s v="Rejected"/>
    <s v="13-04-2023"/>
    <s v="OdishaCode Labs"/>
    <n v="12"/>
  </r>
  <r>
    <s v="CAND0234"/>
    <s v="Smita Choudhury"/>
    <s v="HR Executive"/>
    <s v="Marketing"/>
    <s v="Marketing"/>
    <s v="Walk-in"/>
    <s v="Walk-In"/>
    <n v="8.9"/>
    <n v="7"/>
    <n v="8"/>
    <n v="51114"/>
    <m/>
    <s v="Withdrawn"/>
    <s v="12-12-2024"/>
    <s v="ZeroOneSystems"/>
    <n v="2.1"/>
  </r>
  <r>
    <s v="CAND0235"/>
    <s v="Tanmay Dhal"/>
    <s v="UI Designer"/>
    <s v="Engineering"/>
    <s v="Engineering"/>
    <s v="Naukri"/>
    <s v="Naukri"/>
    <n v="3.8"/>
    <n v="3"/>
    <n v="3.4"/>
    <n v="43370"/>
    <m/>
    <s v="Rejected"/>
    <s v="04-06-2023"/>
    <s v="SambalpurNet"/>
    <n v="5.6"/>
  </r>
  <r>
    <s v="CAND0236"/>
    <s v="Rajan Nanda"/>
    <s v="Product Manager"/>
    <s v="Product"/>
    <s v="Product"/>
    <s v="Naukri"/>
    <s v="Naukri"/>
    <n v="4.0999999999999996"/>
    <n v="5.9"/>
    <n v="5"/>
    <n v="33187"/>
    <n v="38037"/>
    <s v="Accepted"/>
    <s v="06-03-2023"/>
    <s v="TechNova Solutions"/>
    <n v="13"/>
  </r>
  <r>
    <s v="CAND0237"/>
    <s v="Dibya Mishra"/>
    <s v="Business Analyst"/>
    <s v="HR"/>
    <s v="Hr"/>
    <s v="Referral"/>
    <s v="Referral"/>
    <n v="3.8"/>
    <n v="3.1"/>
    <n v="3.5"/>
    <n v="41981"/>
    <m/>
    <s v="Pending"/>
    <s v="25-12-2023"/>
    <s v="InfySoft Bhubaneswar"/>
    <n v="13"/>
  </r>
  <r>
    <s v="CAND0238"/>
    <s v="Amlan Tripathy"/>
    <s v="Sales Manager"/>
    <s v="Sales"/>
    <s v="Sales"/>
    <s v="Naukri"/>
    <s v="Naukri"/>
    <n v="4.4000000000000004"/>
    <n v="3.8"/>
    <n v="4.0999999999999996"/>
    <n v="164597"/>
    <n v="143586"/>
    <s v="Rejected"/>
    <s v="14-11-2023"/>
    <s v="SilverByte Systems"/>
    <n v="4.2"/>
  </r>
  <r>
    <s v="CAND0239"/>
    <s v="Rajan Parida"/>
    <s v="QA Engineer"/>
    <s v="Marketing"/>
    <s v="Marketing"/>
    <s v="Naukri"/>
    <s v="Naukri"/>
    <n v="9.5"/>
    <n v="9.8000000000000007"/>
    <n v="9.6999999999999993"/>
    <m/>
    <m/>
    <s v="Pending"/>
    <s v="22-09-2023"/>
    <s v="InfySoft Bhubaneswar"/>
    <n v="11.6"/>
  </r>
  <r>
    <s v="CAND0240"/>
    <s v="Tapas Mahapatra"/>
    <s v="UI Designer"/>
    <s v="QA"/>
    <s v="Qa"/>
    <s v="Referral"/>
    <s v="Referral"/>
    <m/>
    <n v="6.9"/>
    <m/>
    <n v="127274"/>
    <m/>
    <s v="Negotiating"/>
    <s v="17-01-2024"/>
    <s v="SilverByte Systems"/>
    <n v="9.5"/>
  </r>
  <r>
    <s v="CAND0241"/>
    <s v="Priyanka Mohapatra"/>
    <s v="Cloud Architect"/>
    <s v="Product"/>
    <s v="Product"/>
    <s v="Naukri"/>
    <s v="Naukri"/>
    <n v="9"/>
    <n v="4.5999999999999996"/>
    <n v="6.8"/>
    <n v="192926"/>
    <m/>
    <s v="Negotiating"/>
    <s v="28-09-2024"/>
    <s v="KalingaTech Pvt Ltd"/>
    <n v="1.4"/>
  </r>
  <r>
    <s v="CAND0242"/>
    <s v="Smita Padhi"/>
    <s v="Software Engineer"/>
    <s v="Engineering"/>
    <s v="Engineering"/>
    <s v="Naukri"/>
    <s v="Naukri"/>
    <n v="5.7"/>
    <n v="5.4"/>
    <n v="5.6"/>
    <n v="79025"/>
    <n v="72832"/>
    <s v="Negotiating"/>
    <s v="25-07-2024"/>
    <s v="SambalpurNet"/>
    <n v="14.6"/>
  </r>
  <r>
    <s v="CAND0243"/>
    <s v="Alka Parida"/>
    <s v="Data Analyst"/>
    <s v="DevOps"/>
    <s v="Devops"/>
    <s v="Campus"/>
    <s v="Campus"/>
    <n v="7.8"/>
    <n v="6.4"/>
    <n v="7.1"/>
    <n v="20383"/>
    <n v="20256"/>
    <s v="Rejected"/>
    <s v="12-02-2023"/>
    <s v="SambalpurNet"/>
    <n v="11.2"/>
  </r>
  <r>
    <s v="CAND0244"/>
    <s v="Sangita Routray"/>
    <s v="Sales Manager"/>
    <s v="Product"/>
    <s v="Product"/>
    <s v="Walk-in"/>
    <s v="Walk-In"/>
    <n v="8.6"/>
    <n v="5.8"/>
    <n v="7.2"/>
    <n v="54880"/>
    <n v="50167"/>
    <s v="Withdrawn"/>
    <s v="19-02-2024"/>
    <s v="SambalpurNet"/>
    <n v="3.1"/>
  </r>
  <r>
    <s v="CAND0245"/>
    <s v="Abhishek Dhal"/>
    <s v="Business Analyst"/>
    <s v="Marketing"/>
    <s v="Marketing"/>
    <s v="Naukri"/>
    <s v="Naukri"/>
    <n v="6.4"/>
    <n v="3.6"/>
    <n v="5"/>
    <n v="35031"/>
    <m/>
    <s v="Pending"/>
    <s v="14-09-2024"/>
    <s v="SambalpurNet"/>
    <n v="3.3"/>
  </r>
  <r>
    <s v="CAND0246"/>
    <s v="Satyajit Prusty"/>
    <s v="QA Engineer"/>
    <s v="HR"/>
    <s v="Hr"/>
    <s v="Referral"/>
    <s v="Referral"/>
    <n v="8.1999999999999993"/>
    <n v="8.6"/>
    <n v="8.4"/>
    <n v="179640"/>
    <m/>
    <s v="Pending"/>
    <s v="02-03-2024"/>
    <s v="BlueLotus IT"/>
    <n v="11.3"/>
  </r>
  <r>
    <s v="CAND0247"/>
    <s v="Rajan Mohapatra"/>
    <s v="Product Manager"/>
    <s v="Engineering"/>
    <s v="Engineering"/>
    <s v="Referral"/>
    <s v="Referral"/>
    <n v="6.3"/>
    <n v="6.3"/>
    <n v="6.3"/>
    <n v="23356"/>
    <m/>
    <s v="Accepted"/>
    <s v="30-07-2023"/>
    <s v="SilverByte Systems"/>
    <n v="5.4"/>
  </r>
  <r>
    <s v="CAND0248"/>
    <s v="Ranjit Senapati"/>
    <s v="Sales Manager"/>
    <s v="Marketing"/>
    <s v="Marketing"/>
    <s v="Referral"/>
    <s v="Referral"/>
    <n v="8.1999999999999993"/>
    <n v="4.5999999999999996"/>
    <n v="6.4"/>
    <n v="78520"/>
    <m/>
    <s v="Withdrawn"/>
    <s v="13-06-2024"/>
    <s v="KalingaTech Pvt Ltd"/>
    <n v="3.6"/>
  </r>
  <r>
    <s v="CAND0249"/>
    <s v="Satyajit Behura"/>
    <s v="Sales Manager"/>
    <s v="Sales"/>
    <s v="Sales"/>
    <s v="LinkedIn"/>
    <s v="Linkedin"/>
    <n v="4"/>
    <n v="6.8"/>
    <n v="5.4"/>
    <n v="46571"/>
    <n v="47962"/>
    <s v="Withdrawn"/>
    <s v="30-10-2023"/>
    <s v="ZeroOneSystems"/>
    <n v="13.9"/>
  </r>
  <r>
    <s v="CAND0250"/>
    <s v="Puspita Sahu"/>
    <s v="Product Manager"/>
    <s v="Design"/>
    <s v="Design"/>
    <s v="Job Portal"/>
    <s v="Job Portal"/>
    <n v="5.9"/>
    <n v="8.6"/>
    <n v="7.2"/>
    <n v="174791"/>
    <n v="182606"/>
    <s v="Withdrawn"/>
    <s v="26-02-2024"/>
    <s v="UtkalSoft Technologies"/>
    <n v="13.5"/>
  </r>
  <r>
    <s v="CAND0251"/>
    <s v="Satyajit Senapati"/>
    <s v="Cloud Architect"/>
    <s v="Marketing"/>
    <s v="Marketing"/>
    <s v="Job Portal"/>
    <s v="Job Portal"/>
    <n v="3.8"/>
    <n v="7.2"/>
    <n v="5.5"/>
    <n v="94204"/>
    <n v="105775"/>
    <s v="Withdrawn"/>
    <s v="14-05-2023"/>
    <s v="ZeroOneSystems"/>
    <n v="7.7"/>
  </r>
  <r>
    <s v="CAND0252"/>
    <s v="Jyotirmayee Choudhury"/>
    <s v="Sales Manager"/>
    <s v="QA"/>
    <s v="Qa"/>
    <s v="Naukri"/>
    <s v="Naukri"/>
    <n v="7.1"/>
    <n v="8.1"/>
    <n v="7.6"/>
    <n v="91867"/>
    <n v="90363"/>
    <s v="Rejected"/>
    <s v="15-08-2024"/>
    <s v="TechNova Solutions"/>
    <n v="2.2000000000000002"/>
  </r>
  <r>
    <s v="CAND0253"/>
    <s v="Bikash Mahapatra"/>
    <s v="Software Engineer"/>
    <s v="QA"/>
    <s v="Qa"/>
    <s v="Job Portal"/>
    <s v="Job Portal"/>
    <n v="7.9"/>
    <n v="9.8000000000000007"/>
    <n v="8.9"/>
    <n v="35845"/>
    <n v="34522"/>
    <s v="Negotiating"/>
    <s v="26-10-2024"/>
    <s v="OdishaCode Labs"/>
    <n v="5.6"/>
  </r>
  <r>
    <s v="CAND0254"/>
    <s v="Rahul Padhi"/>
    <s v="Product Manager"/>
    <s v="Product"/>
    <s v="Product"/>
    <s v="Referral"/>
    <s v="Referral"/>
    <n v="9.8000000000000007"/>
    <n v="6.5"/>
    <n v="8.1999999999999993"/>
    <n v="25244"/>
    <n v="26091"/>
    <s v="Accepted"/>
    <s v="29-06-2023"/>
    <s v="UtkalSoft Technologies"/>
    <n v="13.1"/>
  </r>
  <r>
    <s v="CAND0255"/>
    <s v="Ankita Biswal"/>
    <s v="QA Engineer"/>
    <s v="QA"/>
    <s v="Qa"/>
    <s v="Naukri"/>
    <s v="Naukri"/>
    <n v="8.3000000000000007"/>
    <n v="5.2"/>
    <n v="6.8"/>
    <n v="99842"/>
    <n v="97557"/>
    <s v="Rejected"/>
    <s v="05-02-2024"/>
    <s v="BlueLotus IT"/>
    <n v="2.2999999999999998"/>
  </r>
  <r>
    <s v="CAND0256"/>
    <s v="Alka Sahu"/>
    <s v="Software Engineer"/>
    <s v="Product"/>
    <s v="Product"/>
    <s v="Naukri"/>
    <s v="Naukri"/>
    <n v="4.0999999999999996"/>
    <n v="8.3000000000000007"/>
    <n v="6.2"/>
    <n v="138064"/>
    <m/>
    <s v="Accepted"/>
    <s v="21-01-2024"/>
    <s v="UtkalSoft Technologies"/>
    <n v="3.2"/>
  </r>
  <r>
    <s v="CAND0257"/>
    <s v="Rahul Mohapatra"/>
    <s v="DevOps Engineer"/>
    <s v="Design"/>
    <s v="Design"/>
    <s v="Naukri"/>
    <s v="Naukri"/>
    <n v="9.8000000000000007"/>
    <n v="7.4"/>
    <n v="8.6"/>
    <n v="100014"/>
    <n v="104835"/>
    <s v="Accepted"/>
    <s v="29-09-2024"/>
    <s v="NilGiri Digitals"/>
    <n v="14.4"/>
  </r>
  <r>
    <s v="CAND0258"/>
    <s v="Nirmal Prusty"/>
    <s v="HR Executive"/>
    <s v="DevOps"/>
    <s v="Devops"/>
    <s v="Job Portal"/>
    <s v="Job Portal"/>
    <n v="5.5"/>
    <n v="4.2"/>
    <n v="4.8"/>
    <n v="167702"/>
    <n v="145736"/>
    <s v="Withdrawn"/>
    <s v="13-11-2024"/>
    <s v="TributeAI"/>
    <n v="7.9"/>
  </r>
  <r>
    <s v="CAND0259"/>
    <s v="Tanmay Choudhury"/>
    <s v="QA Engineer"/>
    <s v="DevOps"/>
    <s v="Devops"/>
    <s v="Referral"/>
    <s v="Referral"/>
    <n v="6.4"/>
    <m/>
    <n v="6.4"/>
    <n v="85696"/>
    <n v="87016"/>
    <s v="Pending"/>
    <s v="27-07-2024"/>
    <s v="BlueLotus IT"/>
    <n v="13.7"/>
  </r>
  <r>
    <s v="CAND0260"/>
    <s v="Rahul Senapati"/>
    <s v="Software Engineer"/>
    <s v="Design"/>
    <s v="Design"/>
    <s v="Job Portal"/>
    <s v="Job Portal"/>
    <n v="6.5"/>
    <n v="9.5"/>
    <n v="8"/>
    <n v="171223"/>
    <n v="175221"/>
    <s v="Rejected"/>
    <s v="06-09-2024"/>
    <s v="UtkalSoft Technologies"/>
    <n v="10"/>
  </r>
  <r>
    <s v="CAND0261"/>
    <s v="Satyajit Parida"/>
    <s v="Cloud Architect"/>
    <s v="Data Science"/>
    <s v="Data Science"/>
    <s v="Campus"/>
    <s v="Campus"/>
    <n v="7.7"/>
    <n v="6.2"/>
    <n v="7"/>
    <n v="171890"/>
    <n v="157220"/>
    <s v="Rejected"/>
    <s v="22-02-2023"/>
    <s v="InfySoft Bhubaneswar"/>
    <n v="9.6"/>
  </r>
  <r>
    <s v="CAND0262"/>
    <s v="Barsha Choudhury"/>
    <s v="HR Executive"/>
    <s v="HR"/>
    <s v="Hr"/>
    <s v="LinkedIn"/>
    <s v="Linkedin"/>
    <n v="7.2"/>
    <n v="8.8000000000000007"/>
    <n v="8"/>
    <n v="90737"/>
    <n v="79047"/>
    <s v="Pending"/>
    <s v="08-12-2024"/>
    <s v="CoastalDev Studio"/>
    <n v="9.6999999999999993"/>
  </r>
  <r>
    <s v="CAND0263"/>
    <s v="Ipsita Samal"/>
    <s v="UI Designer"/>
    <s v="Data Science"/>
    <s v="Data Science"/>
    <s v="Naukri"/>
    <s v="Naukri"/>
    <n v="6.4"/>
    <n v="3.1"/>
    <n v="4.8"/>
    <n v="94487"/>
    <m/>
    <s v="Withdrawn"/>
    <s v="13-03-2024"/>
    <s v="NilGiri Digitals"/>
    <n v="10.7"/>
  </r>
  <r>
    <s v="CAND0264"/>
    <s v="Amlan Padhi"/>
    <s v="Cloud Architect"/>
    <s v="QA"/>
    <s v="Qa"/>
    <s v="Naukri"/>
    <s v="Naukri"/>
    <n v="6.5"/>
    <n v="3.1"/>
    <n v="4.8"/>
    <n v="60748"/>
    <n v="61321"/>
    <s v="Withdrawn"/>
    <s v="21-02-2024"/>
    <s v="BlueLotus IT"/>
    <n v="8.4"/>
  </r>
  <r>
    <s v="CAND0265"/>
    <s v="Chinmaya Padhi"/>
    <s v="Cloud Architect"/>
    <s v="Sales"/>
    <s v="Sales"/>
    <s v="Naukri"/>
    <s v="Naukri"/>
    <n v="6.2"/>
    <n v="3.4"/>
    <n v="4.8"/>
    <n v="64263"/>
    <m/>
    <s v="Accepted"/>
    <s v="18-01-2024"/>
    <s v="UtkalSoft Technologies"/>
    <n v="14.2"/>
  </r>
  <r>
    <s v="CAND0266"/>
    <s v="Alka Padhi"/>
    <s v="Cloud Architect"/>
    <s v="Engineering"/>
    <s v="Engineering"/>
    <s v="Campus"/>
    <s v="Campus"/>
    <n v="6.3"/>
    <n v="4.9000000000000004"/>
    <n v="5.6"/>
    <n v="154866"/>
    <n v="143623"/>
    <s v="Accepted"/>
    <s v="21-01-2023"/>
    <s v="TributeAI"/>
    <n v="7.4"/>
  </r>
  <r>
    <s v="CAND0267"/>
    <s v="Puspita Prusty"/>
    <s v="Software Engineer"/>
    <s v="HR"/>
    <s v="Hr"/>
    <s v="Naukri"/>
    <s v="Naukri"/>
    <n v="7.8"/>
    <n v="5"/>
    <n v="6.4"/>
    <n v="95243"/>
    <m/>
    <s v="Pending"/>
    <s v="02-10-2024"/>
    <s v="BlueLotus IT"/>
    <n v="3.1"/>
  </r>
  <r>
    <s v="CAND0268"/>
    <s v="Amlan Mohapatra"/>
    <s v="QA Engineer"/>
    <s v="HR"/>
    <s v="Hr"/>
    <s v="Referral"/>
    <s v="Referral"/>
    <n v="5.5"/>
    <n v="4.5999999999999996"/>
    <n v="5"/>
    <n v="25414"/>
    <n v="26573"/>
    <s v="Rejected"/>
    <s v="31-08-2024"/>
    <s v="BlueLotus IT"/>
    <n v="3.3"/>
  </r>
  <r>
    <s v="CAND0269"/>
    <s v="Subhasree Sahoo"/>
    <s v="HR Executive"/>
    <s v="QA"/>
    <s v="Qa"/>
    <s v="Walk-in"/>
    <s v="Walk-In"/>
    <n v="4"/>
    <n v="9.1"/>
    <n v="6.5"/>
    <n v="67321"/>
    <n v="58329"/>
    <s v="Withdrawn"/>
    <s v="01-08-2024"/>
    <s v="CoastalDev Studio"/>
    <n v="0.9"/>
  </r>
  <r>
    <s v="CAND0270"/>
    <s v="Namita Nanda"/>
    <s v="DevOps Engineer"/>
    <s v="HR"/>
    <s v="Hr"/>
    <s v="LinkedIn"/>
    <s v="Linkedin"/>
    <n v="6.3"/>
    <n v="6.9"/>
    <n v="6.6"/>
    <m/>
    <n v="30405"/>
    <s v="Pending"/>
    <s v="03-03-2023"/>
    <s v="SambalpurNet"/>
    <n v="6.6"/>
  </r>
  <r>
    <s v="CAND0271"/>
    <s v="Smita Nanda"/>
    <s v="Business Analyst"/>
    <s v="Data Science"/>
    <s v="Data Science"/>
    <s v="Referral"/>
    <s v="Referral"/>
    <n v="4.9000000000000004"/>
    <n v="8.1999999999999993"/>
    <n v="6.5"/>
    <n v="138695"/>
    <n v="119584"/>
    <s v="Withdrawn"/>
    <s v="21-01-2023"/>
    <s v="KalingaTech Pvt Ltd"/>
    <n v="3.4"/>
  </r>
  <r>
    <s v="CAND0272"/>
    <s v="Satyajit Dhal"/>
    <s v="HR Executive"/>
    <s v="Data Science"/>
    <s v="Data Science"/>
    <s v="Naukri"/>
    <s v="Naukri"/>
    <n v="8.1999999999999993"/>
    <n v="6"/>
    <n v="7.1"/>
    <n v="83164"/>
    <n v="74589"/>
    <s v="Pending"/>
    <s v="28-10-2024"/>
    <s v="SambalpurNet"/>
    <n v="1.7"/>
  </r>
  <r>
    <s v="CAND0273"/>
    <s v="Ipsita Nanda"/>
    <s v="Product Manager"/>
    <s v="Finance"/>
    <s v="Finance"/>
    <s v="Naukri"/>
    <s v="Naukri"/>
    <n v="8.1"/>
    <n v="9.1"/>
    <n v="8.6"/>
    <n v="89241"/>
    <n v="81722"/>
    <s v="Rejected"/>
    <s v="28-04-2024"/>
    <s v="SilverByte Systems"/>
    <n v="8.3000000000000007"/>
  </r>
  <r>
    <s v="CAND0274"/>
    <s v="Jyotirmayee Sahoo"/>
    <s v="UI Designer"/>
    <s v="Finance"/>
    <s v="Finance"/>
    <s v="Walk-in"/>
    <s v="Walk-In"/>
    <n v="8"/>
    <n v="9.3000000000000007"/>
    <n v="8.6999999999999993"/>
    <n v="129943"/>
    <n v="126265"/>
    <s v="Pending"/>
    <s v="25-03-2024"/>
    <s v="InfySoft Bhubaneswar"/>
    <n v="14.4"/>
  </r>
  <r>
    <s v="CAND0275"/>
    <s v="Dibya Nanda"/>
    <s v="Sales Manager"/>
    <s v="Design"/>
    <s v="Design"/>
    <s v="Naukri"/>
    <s v="Naukri"/>
    <n v="7.1"/>
    <n v="3.7"/>
    <n v="5.4"/>
    <n v="193830"/>
    <m/>
    <s v="Pending"/>
    <s v="20-09-2023"/>
    <s v="NilGiri Digitals"/>
    <n v="11.7"/>
  </r>
  <r>
    <s v="CAND0276"/>
    <s v="Barsha Dhal"/>
    <s v="Software Engineer"/>
    <s v="HR"/>
    <s v="Hr"/>
    <s v="Job Portal"/>
    <s v="Job Portal"/>
    <n v="9"/>
    <n v="4.8"/>
    <n v="6.9"/>
    <n v="137183"/>
    <m/>
    <s v="Rejected"/>
    <s v="28-08-2023"/>
    <s v="InfySoft Bhubaneswar"/>
    <n v="7.5"/>
  </r>
  <r>
    <s v="CAND0277"/>
    <s v="Smita Mahapatra"/>
    <s v="UI Designer"/>
    <s v="Design"/>
    <s v="Design"/>
    <s v="LinkedIn"/>
    <s v="Linkedin"/>
    <n v="7.7"/>
    <n v="6"/>
    <n v="6.8"/>
    <n v="171116"/>
    <n v="171509"/>
    <s v="Negotiating"/>
    <s v="23-02-2024"/>
    <s v="TributeAI"/>
    <n v="15"/>
  </r>
  <r>
    <s v="CAND0278"/>
    <s v="Aditya Samal"/>
    <s v="Sales Manager"/>
    <s v="Finance"/>
    <s v="Finance"/>
    <s v="Naukri"/>
    <s v="Naukri"/>
    <n v="8.3000000000000007"/>
    <n v="3.4"/>
    <n v="5.9"/>
    <n v="39946"/>
    <m/>
    <s v="Accepted"/>
    <s v="04-06-2024"/>
    <s v="NilGiri Digitals"/>
    <n v="9.8000000000000007"/>
  </r>
  <r>
    <s v="CAND0279"/>
    <s v="Alka Prusty"/>
    <s v="Product Manager"/>
    <s v="Design"/>
    <s v="Design"/>
    <s v="Campus"/>
    <s v="Campus"/>
    <n v="8.9"/>
    <n v="5.8"/>
    <n v="7.3"/>
    <n v="44097"/>
    <n v="49526"/>
    <s v="Accepted"/>
    <s v="30-07-2024"/>
    <s v="NilGiri Digitals"/>
    <n v="11.9"/>
  </r>
  <r>
    <s v="CAND0280"/>
    <s v="Dibya Nanda"/>
    <s v="Software Engineer"/>
    <s v="Marketing"/>
    <s v="Marketing"/>
    <s v="Job Portal"/>
    <s v="Job Portal"/>
    <n v="7.8"/>
    <n v="5.8"/>
    <n v="6.8"/>
    <n v="181711"/>
    <n v="205471"/>
    <s v="Accepted"/>
    <s v="21-02-2024"/>
    <s v="BlueLotus IT"/>
    <n v="5.7"/>
  </r>
  <r>
    <s v="CAND0281"/>
    <s v="Subhasree Senapati"/>
    <s v="Software Engineer"/>
    <s v="Engineering"/>
    <s v="Engineering"/>
    <s v="LinkedIn"/>
    <s v="Linkedin"/>
    <n v="6.6"/>
    <n v="7.6"/>
    <n v="7.1"/>
    <n v="185381"/>
    <n v="174168"/>
    <s v="Accepted"/>
    <s v="12-11-2023"/>
    <s v="SilverByte Systems"/>
    <n v="7.1"/>
  </r>
  <r>
    <s v="CAND0282"/>
    <s v="Debasmita Senapati"/>
    <s v="Business Analyst"/>
    <s v="Design"/>
    <s v="Design"/>
    <s v="Walk-in"/>
    <s v="Walk-In"/>
    <n v="6"/>
    <n v="8.1"/>
    <n v="7"/>
    <n v="54183"/>
    <n v="50590"/>
    <s v="Rejected"/>
    <s v="30-12-2023"/>
    <s v="KalingaTech Pvt Ltd"/>
    <n v="8.3000000000000007"/>
  </r>
  <r>
    <s v="CAND0283"/>
    <s v="Priyanka Sahu"/>
    <s v="DevOps Engineer"/>
    <s v="DevOps"/>
    <s v="Devops"/>
    <s v="Naukri"/>
    <s v="Naukri"/>
    <n v="9.5"/>
    <n v="3.5"/>
    <n v="6.5"/>
    <n v="141548"/>
    <n v="122047"/>
    <s v="Negotiating"/>
    <s v="27-04-2024"/>
    <s v="ZeroOneSystems"/>
    <n v="4.0999999999999996"/>
  </r>
  <r>
    <s v="CAND0284"/>
    <s v="Alka Senapati"/>
    <s v="HR Executive"/>
    <s v="Data Science"/>
    <s v="Data Science"/>
    <s v="Naukri"/>
    <s v="Naukri"/>
    <n v="5.2"/>
    <n v="4.5"/>
    <n v="4.8"/>
    <n v="79436"/>
    <n v="70245"/>
    <s v="Pending"/>
    <s v="14-11-2024"/>
    <s v="TechNova Solutions"/>
    <n v="9.6"/>
  </r>
  <r>
    <s v="CAND0285"/>
    <s v="Priyanka Mohapatra"/>
    <s v="Cloud Architect"/>
    <s v="Product"/>
    <s v="Product"/>
    <s v="LinkedIn"/>
    <s v="Linkedin"/>
    <n v="6.3"/>
    <n v="6.2"/>
    <n v="6.2"/>
    <n v="132104"/>
    <n v="148960"/>
    <s v="Withdrawn"/>
    <s v="25-03-2023"/>
    <s v="TechNova Solutions"/>
    <n v="8.1"/>
  </r>
  <r>
    <s v="CAND0286"/>
    <s v="Smita Pattnaik"/>
    <s v="Cloud Architect"/>
    <s v="Sales"/>
    <s v="Sales"/>
    <s v="LinkedIn"/>
    <s v="Linkedin"/>
    <n v="9.9"/>
    <n v="5.5"/>
    <n v="7.7"/>
    <n v="77263"/>
    <n v="81595"/>
    <s v="Negotiating"/>
    <s v="16-02-2023"/>
    <s v="KalingaTech Pvt Ltd"/>
    <n v="2.6"/>
  </r>
  <r>
    <s v="CAND0287"/>
    <s v="Prasant Jena"/>
    <s v="UI Designer"/>
    <s v="Marketing"/>
    <s v="Marketing"/>
    <s v="LinkedIn"/>
    <s v="Linkedin"/>
    <n v="4.7"/>
    <n v="9.1999999999999993"/>
    <n v="6.9"/>
    <n v="125763"/>
    <n v="140837"/>
    <s v="Negotiating"/>
    <s v="08-01-2023"/>
    <s v="OdishaCode Labs"/>
    <n v="8.4"/>
  </r>
  <r>
    <s v="CAND0288"/>
    <s v="Sudhansu Sahu"/>
    <s v="QA Engineer"/>
    <s v="Data Science"/>
    <s v="Data Science"/>
    <s v="LinkedIn"/>
    <s v="Linkedin"/>
    <n v="3.8"/>
    <n v="5.8"/>
    <n v="4.8"/>
    <n v="171503"/>
    <n v="192081"/>
    <s v="Negotiating"/>
    <s v="04-07-2023"/>
    <s v="TributeAI"/>
    <n v="6.1"/>
  </r>
  <r>
    <s v="CAND0289"/>
    <s v="Chinmaya Senapati"/>
    <s v="Cloud Architect"/>
    <s v="Data Science"/>
    <s v="Data Science"/>
    <s v="Job Portal"/>
    <s v="Job Portal"/>
    <n v="6.9"/>
    <n v="8.6999999999999993"/>
    <n v="7.8"/>
    <n v="50624"/>
    <n v="54243"/>
    <s v="Pending"/>
    <s v="25-10-2023"/>
    <s v="CoastalDev Studio"/>
    <n v="12.4"/>
  </r>
  <r>
    <s v="CAND0290"/>
    <s v="Amlan Parida"/>
    <s v="Business Analyst"/>
    <s v="Finance"/>
    <s v="Finance"/>
    <s v="Walk-in"/>
    <s v="Walk-In"/>
    <n v="9.8000000000000007"/>
    <n v="9.1"/>
    <n v="9.4"/>
    <n v="197122"/>
    <m/>
    <s v="Accepted"/>
    <s v="18-11-2024"/>
    <s v="SambalpurNet"/>
    <n v="3.8"/>
  </r>
  <r>
    <s v="CAND0291"/>
    <s v="Ranjit Prusty"/>
    <s v="Product Manager"/>
    <s v="DevOps"/>
    <s v="Devops"/>
    <s v="Naukri"/>
    <s v="Naukri"/>
    <n v="5.3"/>
    <n v="9.6999999999999993"/>
    <n v="7.5"/>
    <n v="115759"/>
    <n v="107138"/>
    <s v="Pending"/>
    <s v="15-01-2023"/>
    <s v="KalingaTech Pvt Ltd"/>
    <n v="5"/>
  </r>
  <r>
    <s v="CAND0292"/>
    <s v="Saurav Mahapatra"/>
    <s v="Product Manager"/>
    <s v="QA"/>
    <s v="Qa"/>
    <s v="LinkedIn"/>
    <s v="Linkedin"/>
    <n v="3.6"/>
    <n v="8"/>
    <n v="5.8"/>
    <n v="155244"/>
    <n v="145363"/>
    <s v="Accepted"/>
    <s v="13-05-2024"/>
    <s v="InfySoft Bhubaneswar"/>
    <n v="1.3"/>
  </r>
  <r>
    <s v="CAND0293"/>
    <s v="Prasant Tripathy"/>
    <s v="Software Engineer"/>
    <s v="Product"/>
    <s v="Product"/>
    <s v="Naukri"/>
    <s v="Naukri"/>
    <n v="3.9"/>
    <n v="9.4"/>
    <n v="6.7"/>
    <n v="96624"/>
    <n v="93570"/>
    <s v="Pending"/>
    <s v="21-11-2024"/>
    <s v="UtkalSoft Technologies"/>
    <n v="0.9"/>
  </r>
  <r>
    <s v="CAND0294"/>
    <s v="Sudhansu Ratha"/>
    <s v="UI Designer"/>
    <s v="Marketing"/>
    <s v="Marketing"/>
    <s v="LinkedIn"/>
    <s v="Linkedin"/>
    <n v="8.1"/>
    <n v="3.7"/>
    <n v="5.9"/>
    <n v="109621"/>
    <n v="109848"/>
    <s v="Accepted"/>
    <s v="25-03-2024"/>
    <s v="OdishaCode Labs"/>
    <n v="4.5"/>
  </r>
  <r>
    <s v="CAND0295"/>
    <s v="Namita Ratha"/>
    <s v="DevOps Engineer"/>
    <s v="Engineering"/>
    <s v="Engineering"/>
    <s v="Naukri"/>
    <s v="Naukri"/>
    <n v="4"/>
    <n v="7.2"/>
    <n v="5.6"/>
    <n v="159474"/>
    <n v="180080"/>
    <s v="Rejected"/>
    <s v="13-10-2023"/>
    <s v="TributeAI"/>
    <n v="5.0999999999999996"/>
  </r>
  <r>
    <s v="CAND0296"/>
    <s v="Nirmal Mishra"/>
    <s v="Software Engineer"/>
    <s v="QA"/>
    <s v="Qa"/>
    <s v="Walk-in"/>
    <s v="Walk-In"/>
    <n v="3.3"/>
    <n v="6.9"/>
    <n v="5.0999999999999996"/>
    <n v="156595"/>
    <n v="166550"/>
    <s v="Negotiating"/>
    <s v="25-12-2023"/>
    <s v="TechNova Solutions"/>
    <n v="6.8"/>
  </r>
  <r>
    <s v="CAND0297"/>
    <s v="Sangita Tripathy"/>
    <s v="QA Engineer"/>
    <s v="QA"/>
    <s v="Qa"/>
    <s v="Referral"/>
    <s v="Referral"/>
    <n v="8"/>
    <n v="5.2"/>
    <n v="6.6"/>
    <n v="93040"/>
    <n v="93409"/>
    <s v="Negotiating"/>
    <s v="03-03-2023"/>
    <s v="NilGiri Digitals"/>
    <n v="9"/>
  </r>
  <r>
    <s v="CAND0298"/>
    <s v="Sangita Sahu"/>
    <s v="QA Engineer"/>
    <s v="Engineering"/>
    <s v="Engineering"/>
    <s v="Naukri"/>
    <s v="Naukri"/>
    <n v="4.8"/>
    <n v="5.2"/>
    <n v="5"/>
    <n v="66731"/>
    <m/>
    <s v="Rejected"/>
    <s v="18-05-2023"/>
    <s v="NilGiri Digitals"/>
    <n v="5.2"/>
  </r>
  <r>
    <s v="CAND0299"/>
    <s v="Satyajit Mishra"/>
    <s v="DevOps Engineer"/>
    <s v="Product"/>
    <s v="Product"/>
    <s v="Naukri"/>
    <s v="Naukri"/>
    <n v="8.9"/>
    <n v="9.8000000000000007"/>
    <n v="9.4"/>
    <n v="63519"/>
    <n v="56728"/>
    <s v="Pending"/>
    <s v="19-10-2024"/>
    <s v="CoastalDev Studio"/>
    <n v="8.6999999999999993"/>
  </r>
  <r>
    <s v="CAND0300"/>
    <s v="Abhishek Sahoo"/>
    <s v="DevOps Engineer"/>
    <s v="Engineering"/>
    <s v="Engineering"/>
    <s v="Walk-in"/>
    <s v="Walk-In"/>
    <n v="9.6999999999999993"/>
    <n v="6.5"/>
    <n v="8.1"/>
    <n v="88380"/>
    <n v="75211"/>
    <s v="Negotiating"/>
    <s v="23-01-2024"/>
    <s v="TechNova Solutions"/>
    <n v="0.9"/>
  </r>
  <r>
    <s v="CAND0301"/>
    <s v="Subhasree Nanda"/>
    <s v="Sales Manager"/>
    <s v="Design"/>
    <s v="Design"/>
    <s v="Naukri"/>
    <s v="Naukri"/>
    <n v="3.6"/>
    <n v="8"/>
    <n v="5.8"/>
    <m/>
    <n v="116805"/>
    <s v="Negotiating"/>
    <s v="30-01-2024"/>
    <s v="TechNova Solutions"/>
    <n v="4.8"/>
  </r>
  <r>
    <s v="CAND0302"/>
    <s v="Aditya Samal"/>
    <s v="Data Analyst"/>
    <s v="Finance"/>
    <s v="Finance"/>
    <s v="Naukri"/>
    <s v="Naukri"/>
    <n v="9.1"/>
    <n v="8.6999999999999993"/>
    <n v="8.9"/>
    <n v="74146"/>
    <n v="71583"/>
    <s v="Accepted"/>
    <s v="01-07-2023"/>
    <s v="BlueLotus IT"/>
    <n v="1.5"/>
  </r>
  <r>
    <s v="CAND0303"/>
    <s v="Puspita Parida"/>
    <s v="Data Analyst"/>
    <s v="Finance"/>
    <s v="Finance"/>
    <s v="Naukri"/>
    <s v="Naukri"/>
    <n v="3.4"/>
    <n v="4.0999999999999996"/>
    <n v="3.8"/>
    <n v="48001"/>
    <n v="52180"/>
    <s v="Withdrawn"/>
    <s v="03-09-2023"/>
    <s v="SilverByte Systems"/>
    <n v="8.4"/>
  </r>
  <r>
    <s v="CAND0304"/>
    <s v="Priyanka Parida"/>
    <s v="Software Engineer"/>
    <s v="Data Science"/>
    <s v="Data Science"/>
    <s v="Referral"/>
    <s v="Referral"/>
    <n v="8.6"/>
    <n v="7.2"/>
    <n v="7.9"/>
    <n v="193574"/>
    <n v="191313"/>
    <s v="Negotiating"/>
    <s v="17-04-2024"/>
    <s v="BlueLotus IT"/>
    <n v="6.8"/>
  </r>
  <r>
    <s v="CAND0305"/>
    <s v="Nirmal Mahapatra"/>
    <s v="Data Analyst"/>
    <s v="Engineering"/>
    <s v="Engineering"/>
    <s v="Job Portal"/>
    <s v="Job Portal"/>
    <n v="3.2"/>
    <n v="8.4"/>
    <n v="5.8"/>
    <n v="129624"/>
    <m/>
    <s v="Accepted"/>
    <s v="17-07-2023"/>
    <s v="ZeroOneSystems"/>
    <n v="6.1"/>
  </r>
  <r>
    <s v="CAND0306"/>
    <s v="Nirmal Nanda"/>
    <s v="DevOps Engineer"/>
    <s v="Data Science"/>
    <s v="Data Science"/>
    <s v="LinkedIn"/>
    <s v="Linkedin"/>
    <n v="6.6"/>
    <n v="4.8"/>
    <n v="5.7"/>
    <n v="77481"/>
    <m/>
    <s v="Rejected"/>
    <s v="19-01-2024"/>
    <s v="BlueLotus IT"/>
    <n v="4.7"/>
  </r>
  <r>
    <s v="CAND0307"/>
    <s v="Nirmal Prusty"/>
    <s v="QA Engineer"/>
    <s v="DevOps"/>
    <s v="Devops"/>
    <s v="Walk-in"/>
    <s v="Walk-In"/>
    <n v="9.5"/>
    <n v="9.1999999999999993"/>
    <n v="9.3000000000000007"/>
    <n v="155428"/>
    <n v="139010"/>
    <s v="Pending"/>
    <s v="24-06-2024"/>
    <s v="CoastalDev Studio"/>
    <n v="12.9"/>
  </r>
  <r>
    <s v="CAND0308"/>
    <s v="Jyotirmayee Dhal"/>
    <s v="DevOps Engineer"/>
    <s v="Engineering"/>
    <s v="Engineering"/>
    <s v="Walk-in"/>
    <s v="Walk-In"/>
    <n v="8.6"/>
    <n v="4.5999999999999996"/>
    <n v="6.6"/>
    <n v="34022"/>
    <n v="36059"/>
    <s v="Negotiating"/>
    <s v="24-05-2023"/>
    <s v="SilverByte Systems"/>
    <n v="10.6"/>
  </r>
  <r>
    <s v="CAND0309"/>
    <s v="Subhasree Sahu"/>
    <s v="Sales Manager"/>
    <s v="Engineering"/>
    <s v="Engineering"/>
    <s v="Referral"/>
    <s v="Referral"/>
    <n v="3.9"/>
    <n v="9.1"/>
    <n v="6.5"/>
    <n v="150694"/>
    <m/>
    <s v="Rejected"/>
    <s v="20-03-2023"/>
    <s v="TechNova Solutions"/>
    <n v="1.6"/>
  </r>
  <r>
    <s v="CAND0310"/>
    <s v="Saurav Tripathy"/>
    <s v="Business Analyst"/>
    <s v="Data Science"/>
    <s v="Data Science"/>
    <s v="LinkedIn"/>
    <s v="Linkedin"/>
    <n v="7.1"/>
    <n v="4.5"/>
    <n v="5.8"/>
    <n v="28408"/>
    <n v="24686"/>
    <s v="Withdrawn"/>
    <s v="26-10-2024"/>
    <s v="TributeAI"/>
    <n v="1.7"/>
  </r>
  <r>
    <s v="CAND0311"/>
    <s v="Lipsa Mishra"/>
    <s v="Software Engineer"/>
    <s v="DevOps"/>
    <s v="Devops"/>
    <s v="LinkedIn"/>
    <s v="Linkedin"/>
    <n v="8.8000000000000007"/>
    <n v="6.9"/>
    <n v="7.9"/>
    <n v="93262"/>
    <n v="99761"/>
    <s v="Accepted"/>
    <s v="12-07-2024"/>
    <s v="TechNova Solutions"/>
    <n v="4.4000000000000004"/>
  </r>
  <r>
    <s v="CAND0312"/>
    <s v="Tanmay Padhi"/>
    <s v="UI Designer"/>
    <s v="DevOps"/>
    <s v="Devops"/>
    <s v="Campus"/>
    <s v="Campus"/>
    <n v="5.6"/>
    <n v="3.1"/>
    <n v="4.3"/>
    <n v="196162"/>
    <n v="212259"/>
    <s v="Negotiating"/>
    <s v="05-11-2024"/>
    <s v="TributeAI"/>
    <n v="6.8"/>
  </r>
  <r>
    <s v="CAND0313"/>
    <s v="Subhasree Samal"/>
    <s v="Cloud Architect"/>
    <s v="Marketing"/>
    <s v="Marketing"/>
    <s v="LinkedIn"/>
    <s v="Linkedin"/>
    <n v="5"/>
    <n v="4.0999999999999996"/>
    <n v="4.5"/>
    <n v="55934"/>
    <n v="57190"/>
    <s v="Negotiating"/>
    <s v="06-10-2023"/>
    <s v="UtkalSoft Technologies"/>
    <n v="4.5"/>
  </r>
  <r>
    <s v="CAND0314"/>
    <s v="Sudhansu Tripathy"/>
    <s v="QA Engineer"/>
    <s v="HR"/>
    <s v="Hr"/>
    <s v="LinkedIn"/>
    <s v="Linkedin"/>
    <n v="7"/>
    <n v="9.4"/>
    <n v="8.1999999999999993"/>
    <n v="66016"/>
    <m/>
    <s v="Rejected"/>
    <s v="17-10-2024"/>
    <s v="KalingaTech Pvt Ltd"/>
    <n v="8.5"/>
  </r>
  <r>
    <s v="CAND0315"/>
    <s v="Aditya Mahapatra"/>
    <s v="Cloud Architect"/>
    <s v="Sales"/>
    <s v="Sales"/>
    <s v="Campus"/>
    <s v="Campus"/>
    <n v="4.3"/>
    <n v="8.3000000000000007"/>
    <n v="6.3"/>
    <n v="80456"/>
    <n v="77006"/>
    <s v="Withdrawn"/>
    <s v="20-01-2024"/>
    <s v="CoastalDev Studio"/>
    <n v="10.3"/>
  </r>
  <r>
    <s v="CAND0316"/>
    <s v="Smita Prusty"/>
    <s v="Software Engineer"/>
    <s v="Data Science"/>
    <s v="Data Science"/>
    <s v="Job Portal"/>
    <s v="Job Portal"/>
    <n v="4.8"/>
    <n v="4.9000000000000004"/>
    <n v="4.8"/>
    <n v="63501"/>
    <n v="69537"/>
    <s v="Rejected"/>
    <s v="29-10-2024"/>
    <s v="OdishaCode Labs"/>
    <n v="13.7"/>
  </r>
  <r>
    <s v="CAND0317"/>
    <s v="Ipsita Choudhury"/>
    <s v="Cloud Architect"/>
    <s v="Engineering"/>
    <s v="Engineering"/>
    <s v="Naukri"/>
    <s v="Naukri"/>
    <n v="6.3"/>
    <n v="9.1999999999999993"/>
    <n v="7.8"/>
    <n v="88004"/>
    <n v="99946"/>
    <s v="Pending"/>
    <s v="10-11-2023"/>
    <s v="NilGiri Digitals"/>
    <n v="6.6"/>
  </r>
  <r>
    <s v="CAND0318"/>
    <s v="Puspita Prusty"/>
    <s v="Sales Manager"/>
    <s v="Engineering"/>
    <s v="Engineering"/>
    <s v="Walk-in"/>
    <s v="Walk-In"/>
    <n v="3.3"/>
    <m/>
    <n v="3.3"/>
    <n v="40945"/>
    <m/>
    <s v="Accepted"/>
    <s v="30-06-2023"/>
    <s v="OdishaCode Labs"/>
    <n v="10.1"/>
  </r>
  <r>
    <s v="CAND0319"/>
    <s v="Tanmay Tripathy"/>
    <s v="UI Designer"/>
    <s v="Engineering"/>
    <s v="Engineering"/>
    <s v="LinkedIn"/>
    <s v="Linkedin"/>
    <n v="6.6"/>
    <n v="4.2"/>
    <n v="5.4"/>
    <n v="179888"/>
    <n v="196221"/>
    <s v="Pending"/>
    <s v="24-01-2023"/>
    <s v="TributeAI"/>
    <n v="10.199999999999999"/>
  </r>
  <r>
    <s v="CAND0320"/>
    <s v="Subhasree Mohapatra"/>
    <s v="Product Manager"/>
    <s v="Finance"/>
    <s v="Finance"/>
    <s v="Job Portal"/>
    <s v="Job Portal"/>
    <n v="7.9"/>
    <n v="8"/>
    <n v="8"/>
    <n v="31938"/>
    <m/>
    <s v="Pending"/>
    <s v="27-11-2023"/>
    <s v="ZeroOneSystems"/>
    <n v="11.3"/>
  </r>
  <r>
    <s v="CAND0321"/>
    <s v="Chinmaya Routray"/>
    <s v="UI Designer"/>
    <s v="Data Science"/>
    <s v="Data Science"/>
    <s v="LinkedIn"/>
    <s v="Linkedin"/>
    <n v="7.8"/>
    <n v="9.4"/>
    <n v="8.6"/>
    <n v="124570"/>
    <n v="141046"/>
    <s v="Rejected"/>
    <s v="25-10-2024"/>
    <s v="InfySoft Bhubaneswar"/>
    <n v="3.7"/>
  </r>
  <r>
    <s v="CAND0322"/>
    <s v="Barsha Pattnaik"/>
    <s v="Cloud Architect"/>
    <s v="HR"/>
    <s v="Hr"/>
    <s v="Job Portal"/>
    <s v="Job Portal"/>
    <n v="8.6999999999999993"/>
    <n v="4.4000000000000004"/>
    <n v="6.5"/>
    <m/>
    <n v="198221"/>
    <s v="Accepted"/>
    <s v="25-11-2023"/>
    <s v="BlueLotus IT"/>
    <n v="5.4"/>
  </r>
  <r>
    <s v="CAND0323"/>
    <s v="Nirmal Dhal"/>
    <s v="DevOps Engineer"/>
    <s v="Data Science"/>
    <s v="Data Science"/>
    <s v="Job Portal"/>
    <s v="Job Portal"/>
    <n v="10"/>
    <n v="9.9"/>
    <n v="9.9"/>
    <n v="104587"/>
    <m/>
    <s v="Negotiating"/>
    <s v="17-12-2024"/>
    <s v="KalingaTech Pvt Ltd"/>
    <n v="9.5"/>
  </r>
  <r>
    <s v="CAND0324"/>
    <s v="Abhishek Biswal"/>
    <s v="Business Analyst"/>
    <s v="Finance"/>
    <s v="Finance"/>
    <s v="Walk-in"/>
    <s v="Walk-In"/>
    <n v="4.8"/>
    <n v="5.7"/>
    <n v="5.2"/>
    <n v="42359"/>
    <n v="37560"/>
    <s v="Withdrawn"/>
    <s v="24-11-2023"/>
    <s v="OdishaCode Labs"/>
    <n v="6"/>
  </r>
  <r>
    <s v="CAND0325"/>
    <s v="Soumya Nanda"/>
    <s v="Software Engineer"/>
    <s v="HR"/>
    <s v="Hr"/>
    <s v="Walk-in"/>
    <s v="Walk-In"/>
    <n v="6.6"/>
    <n v="5.9"/>
    <n v="6.2"/>
    <n v="193937"/>
    <n v="181741"/>
    <s v="Accepted"/>
    <s v="14-12-2024"/>
    <s v="TechNova Solutions"/>
    <n v="1.8"/>
  </r>
  <r>
    <s v="CAND0326"/>
    <s v="Sangita Padhi"/>
    <s v="QA Engineer"/>
    <s v="HR"/>
    <s v="Hr"/>
    <s v="Referral"/>
    <s v="Referral"/>
    <n v="8.1999999999999993"/>
    <m/>
    <n v="8.1999999999999993"/>
    <n v="160484"/>
    <n v="150027"/>
    <s v="Negotiating"/>
    <s v="26-03-2024"/>
    <s v="SambalpurNet"/>
    <n v="4.2"/>
  </r>
  <r>
    <s v="CAND0327"/>
    <s v="Aditya Padhi"/>
    <s v="QA Engineer"/>
    <s v="HR"/>
    <s v="Hr"/>
    <s v="Naukri"/>
    <s v="Naukri"/>
    <n v="9.6999999999999993"/>
    <n v="9.1999999999999993"/>
    <n v="9.4"/>
    <n v="159428"/>
    <n v="163730"/>
    <s v="Withdrawn"/>
    <s v="23-06-2023"/>
    <s v="SambalpurNet"/>
    <n v="8.3000000000000007"/>
  </r>
  <r>
    <s v="CAND0328"/>
    <s v="Prasant Mishra"/>
    <s v="DevOps Engineer"/>
    <s v="Product"/>
    <s v="Product"/>
    <s v="Campus"/>
    <s v="Campus"/>
    <n v="4.8"/>
    <n v="6.1"/>
    <n v="5.4"/>
    <n v="38796"/>
    <n v="42361"/>
    <s v="Negotiating"/>
    <s v="14-10-2024"/>
    <s v="UtkalSoft Technologies"/>
    <n v="11.5"/>
  </r>
  <r>
    <s v="CAND0329"/>
    <s v="Ipsita Sahu"/>
    <s v="DevOps Engineer"/>
    <s v="HR"/>
    <s v="Hr"/>
    <s v="Job Portal"/>
    <s v="Job Portal"/>
    <n v="3.8"/>
    <n v="9.9"/>
    <n v="6.8"/>
    <n v="100488"/>
    <n v="113755"/>
    <s v="Negotiating"/>
    <s v="01-09-2024"/>
    <s v="SilverByte Systems"/>
    <n v="2.2999999999999998"/>
  </r>
  <r>
    <s v="CAND0330"/>
    <s v="Tapas Sahoo"/>
    <s v="Business Analyst"/>
    <s v="Engineering"/>
    <s v="Engineering"/>
    <s v="Naukri"/>
    <s v="Naukri"/>
    <n v="4.7"/>
    <n v="6.6"/>
    <n v="5.7"/>
    <n v="143066"/>
    <n v="135836"/>
    <s v="Pending"/>
    <s v="13-06-2023"/>
    <s v="SilverByte Systems"/>
    <n v="6.9"/>
  </r>
  <r>
    <s v="CAND0331"/>
    <s v="Satyajit Jena"/>
    <s v="Cloud Architect"/>
    <s v="Engineering"/>
    <s v="Engineering"/>
    <s v="Job Portal"/>
    <s v="Job Portal"/>
    <n v="4.8"/>
    <n v="9.4"/>
    <n v="7.1"/>
    <n v="117292"/>
    <n v="102647"/>
    <s v="Negotiating"/>
    <s v="04-10-2023"/>
    <s v="SilverByte Systems"/>
    <n v="2.7"/>
  </r>
  <r>
    <s v="CAND0332"/>
    <s v="Sudhansu Pattnaik"/>
    <s v="UI Designer"/>
    <s v="Data Science"/>
    <s v="Data Science"/>
    <s v="Referral"/>
    <s v="Referral"/>
    <n v="6.2"/>
    <n v="5.4"/>
    <n v="5.8"/>
    <m/>
    <n v="62517"/>
    <s v="Accepted"/>
    <s v="17-10-2023"/>
    <s v="OdishaCode Labs"/>
    <n v="1.5"/>
  </r>
  <r>
    <s v="CAND0333"/>
    <s v="Alka Sahoo"/>
    <s v="Sales Manager"/>
    <s v="HR"/>
    <s v="Hr"/>
    <s v="Walk-in"/>
    <s v="Walk-In"/>
    <n v="8"/>
    <n v="7"/>
    <n v="7.5"/>
    <n v="148973"/>
    <n v="170060"/>
    <s v="Negotiating"/>
    <s v="09-08-2024"/>
    <s v="SilverByte Systems"/>
    <n v="12.4"/>
  </r>
  <r>
    <s v="CAND0334"/>
    <s v="Debasmita Sahu"/>
    <s v="Business Analyst"/>
    <s v="Data Science"/>
    <s v="Data Science"/>
    <s v="LinkedIn"/>
    <s v="Linkedin"/>
    <n v="3.2"/>
    <n v="9"/>
    <n v="6.1"/>
    <n v="108904"/>
    <n v="93925"/>
    <s v="Withdrawn"/>
    <s v="13-05-2024"/>
    <s v="SambalpurNet"/>
    <n v="10.4"/>
  </r>
  <r>
    <s v="CAND0335"/>
    <s v="Barsha Senapati"/>
    <s v="Software Engineer"/>
    <s v="HR"/>
    <s v="Hr"/>
    <s v="Campus"/>
    <s v="Campus"/>
    <n v="7.9"/>
    <n v="9.1999999999999993"/>
    <n v="8.6"/>
    <n v="39463"/>
    <n v="38324"/>
    <s v="Rejected"/>
    <s v="15-10-2023"/>
    <s v="InfySoft Bhubaneswar"/>
    <n v="7.9"/>
  </r>
  <r>
    <s v="CAND0336"/>
    <s v="Barsha Ratha"/>
    <s v="QA Engineer"/>
    <s v="Sales"/>
    <s v="Sales"/>
    <s v="Job Portal"/>
    <s v="Job Portal"/>
    <n v="6.4"/>
    <n v="9.5"/>
    <n v="8"/>
    <n v="94010"/>
    <n v="100423"/>
    <s v="Rejected"/>
    <s v="29-05-2023"/>
    <s v="NilGiri Digitals"/>
    <n v="13.8"/>
  </r>
  <r>
    <s v="CAND0337"/>
    <s v="Ankita Mahapatra"/>
    <s v="UI Designer"/>
    <s v="HR"/>
    <s v="Hr"/>
    <s v="Job Portal"/>
    <s v="Job Portal"/>
    <n v="6.9"/>
    <n v="3.1"/>
    <n v="5"/>
    <n v="169387"/>
    <n v="160811"/>
    <s v="Negotiating"/>
    <s v="21-10-2023"/>
    <s v="OdishaCode Labs"/>
    <n v="0.6"/>
  </r>
  <r>
    <s v="CAND0338"/>
    <s v="Satyajit Routray"/>
    <s v="DevOps Engineer"/>
    <s v="Product"/>
    <s v="Product"/>
    <s v="Campus"/>
    <s v="Campus"/>
    <n v="9.1"/>
    <n v="5.0999999999999996"/>
    <n v="7.1"/>
    <n v="51603"/>
    <n v="46843"/>
    <s v="Withdrawn"/>
    <s v="06-11-2024"/>
    <s v="UtkalSoft Technologies"/>
    <n v="1.4"/>
  </r>
  <r>
    <s v="CAND0339"/>
    <s v="Ranjit Jena"/>
    <s v="QA Engineer"/>
    <s v="Product"/>
    <s v="Product"/>
    <s v="Referral"/>
    <s v="Referral"/>
    <n v="9.1"/>
    <n v="8.5"/>
    <n v="8.8000000000000007"/>
    <n v="162935"/>
    <n v="176131"/>
    <s v="Pending"/>
    <s v="18-05-2024"/>
    <s v="SilverByte Systems"/>
    <n v="8.1999999999999993"/>
  </r>
  <r>
    <s v="CAND0340"/>
    <s v="Abhishek Jena"/>
    <s v="HR Executive"/>
    <s v="QA"/>
    <s v="Qa"/>
    <s v="Referral"/>
    <s v="Referral"/>
    <n v="3.1"/>
    <n v="8.8000000000000007"/>
    <n v="6"/>
    <n v="77179"/>
    <n v="78185"/>
    <s v="Accepted"/>
    <s v="04-12-2023"/>
    <s v="CoastalDev Studio"/>
    <n v="0.6"/>
  </r>
  <r>
    <s v="CAND0341"/>
    <s v="Rahul Prusty"/>
    <s v="Cloud Architect"/>
    <s v="Engineering"/>
    <s v="Engineering"/>
    <s v="Campus"/>
    <s v="Campus"/>
    <n v="9.5"/>
    <n v="4.7"/>
    <n v="7.1"/>
    <m/>
    <n v="170284"/>
    <s v="Accepted"/>
    <s v="02-03-2023"/>
    <s v="CoastalDev Studio"/>
    <n v="8.3000000000000007"/>
  </r>
  <r>
    <s v="CAND0342"/>
    <s v="Puspita Mishra"/>
    <s v="Product Manager"/>
    <s v="DevOps"/>
    <s v="Devops"/>
    <s v="Campus"/>
    <s v="Campus"/>
    <n v="9"/>
    <n v="3.3"/>
    <n v="6.2"/>
    <n v="132915"/>
    <m/>
    <s v="Accepted"/>
    <s v="08-02-2023"/>
    <s v="SambalpurNet"/>
    <n v="10.8"/>
  </r>
  <r>
    <s v="CAND0343"/>
    <s v="Puspita Routray"/>
    <s v="Product Manager"/>
    <s v="Product"/>
    <s v="Product"/>
    <s v="Naukri"/>
    <s v="Naukri"/>
    <n v="7.4"/>
    <n v="3"/>
    <n v="5.2"/>
    <n v="86779"/>
    <n v="86412"/>
    <s v="Pending"/>
    <s v="05-05-2023"/>
    <s v="TributeAI"/>
    <n v="3.2"/>
  </r>
  <r>
    <s v="CAND0344"/>
    <s v="Alka Parida"/>
    <s v="Product Manager"/>
    <s v="QA"/>
    <s v="Qa"/>
    <s v="Walk-in"/>
    <s v="Walk-In"/>
    <n v="9.8000000000000007"/>
    <n v="4"/>
    <n v="6.9"/>
    <m/>
    <m/>
    <s v="Rejected"/>
    <s v="13-08-2024"/>
    <s v="BlueLotus IT"/>
    <n v="1.4"/>
  </r>
  <r>
    <s v="CAND0345"/>
    <s v="Abhishek Senapati"/>
    <s v="DevOps Engineer"/>
    <s v="DevOps"/>
    <s v="Devops"/>
    <s v="Naukri"/>
    <s v="Naukri"/>
    <n v="7"/>
    <n v="9.5"/>
    <n v="8.1999999999999993"/>
    <n v="117244"/>
    <n v="129110"/>
    <s v="Accepted"/>
    <s v="17-10-2023"/>
    <s v="OdishaCode Labs"/>
    <n v="7.7"/>
  </r>
  <r>
    <s v="CAND0346"/>
    <s v="Debasmita Routray"/>
    <s v="Data Analyst"/>
    <s v="Product"/>
    <s v="Product"/>
    <s v="Naukri"/>
    <s v="Naukri"/>
    <n v="3.7"/>
    <n v="3.6"/>
    <n v="3.7"/>
    <n v="168120"/>
    <n v="154183"/>
    <s v="Rejected"/>
    <s v="05-04-2023"/>
    <s v="InfySoft Bhubaneswar"/>
    <n v="5.3"/>
  </r>
  <r>
    <s v="CAND0347"/>
    <s v="Amlan Mahapatra"/>
    <s v="QA Engineer"/>
    <s v="Finance"/>
    <s v="Finance"/>
    <s v="Naukri"/>
    <s v="Naukri"/>
    <n v="9.5"/>
    <n v="7.5"/>
    <n v="8.5"/>
    <n v="171320"/>
    <n v="177438"/>
    <s v="Pending"/>
    <s v="05-12-2024"/>
    <s v="SambalpurNet"/>
    <n v="2.2999999999999998"/>
  </r>
  <r>
    <s v="CAND0348"/>
    <s v="Prasant Sahoo"/>
    <s v="Business Analyst"/>
    <s v="QA"/>
    <s v="Qa"/>
    <s v="Naukri"/>
    <s v="Naukri"/>
    <n v="3.2"/>
    <n v="8.6999999999999993"/>
    <n v="5.9"/>
    <n v="154513"/>
    <n v="136089"/>
    <s v="Pending"/>
    <s v="10-10-2023"/>
    <s v="SilverByte Systems"/>
    <n v="11.1"/>
  </r>
  <r>
    <s v="CAND0349"/>
    <s v="Nirmal Jena"/>
    <s v="Software Engineer"/>
    <s v="QA"/>
    <s v="Qa"/>
    <s v="Job Portal"/>
    <s v="Job Portal"/>
    <n v="9.5"/>
    <n v="9.6999999999999993"/>
    <n v="9.6"/>
    <n v="141368"/>
    <n v="143905"/>
    <s v="Rejected"/>
    <s v="29-01-2023"/>
    <s v="CoastalDev Studio"/>
    <n v="4.3"/>
  </r>
  <r>
    <s v="CAND0350"/>
    <s v="Rahul Mohapatra"/>
    <s v="Software Engineer"/>
    <s v="Marketing"/>
    <s v="Marketing"/>
    <s v="Campus"/>
    <s v="Campus"/>
    <n v="7.9"/>
    <n v="8.4"/>
    <n v="8.1999999999999993"/>
    <n v="46116"/>
    <n v="46989"/>
    <s v="Rejected"/>
    <s v="16-09-2024"/>
    <s v="ZeroOneSystems"/>
    <n v="2.4"/>
  </r>
  <r>
    <s v="CAND0351"/>
    <s v="Jyotirmayee Routray"/>
    <s v="Software Engineer"/>
    <s v="Design"/>
    <s v="Design"/>
    <s v="LinkedIn"/>
    <s v="Linkedin"/>
    <n v="7.8"/>
    <n v="8"/>
    <n v="7.9"/>
    <n v="178463"/>
    <n v="202348"/>
    <s v="Accepted"/>
    <s v="26-05-2023"/>
    <s v="ZeroOneSystems"/>
    <n v="12.4"/>
  </r>
  <r>
    <s v="CAND0352"/>
    <s v="Barsha Mahapatra"/>
    <s v="Product Manager"/>
    <s v="Engineering"/>
    <s v="Engineering"/>
    <s v="Naukri"/>
    <s v="Naukri"/>
    <n v="5.4"/>
    <n v="3.9"/>
    <n v="4.7"/>
    <n v="163609"/>
    <m/>
    <s v="Rejected"/>
    <s v="13-11-2023"/>
    <s v="NilGiri Digitals"/>
    <n v="9"/>
  </r>
  <r>
    <s v="CAND0353"/>
    <s v="Prasant Dhal"/>
    <s v="Software Engineer"/>
    <s v="Sales"/>
    <s v="Sales"/>
    <s v="LinkedIn"/>
    <s v="Linkedin"/>
    <n v="6.6"/>
    <n v="8.9"/>
    <n v="7.8"/>
    <n v="168943"/>
    <n v="191341"/>
    <s v="Accepted"/>
    <s v="29-12-2024"/>
    <s v="NilGiri Digitals"/>
    <n v="14.3"/>
  </r>
  <r>
    <s v="CAND0354"/>
    <s v="Nirmal Routray"/>
    <s v="Business Analyst"/>
    <s v="Design"/>
    <s v="Design"/>
    <s v="Job Portal"/>
    <s v="Job Portal"/>
    <n v="3.1"/>
    <n v="3.6"/>
    <n v="3.4"/>
    <n v="175520"/>
    <n v="176566"/>
    <s v="Pending"/>
    <s v="24-11-2023"/>
    <s v="NilGiri Digitals"/>
    <n v="1.4"/>
  </r>
  <r>
    <s v="CAND0355"/>
    <s v="Subhasree Routray"/>
    <s v="QA Engineer"/>
    <s v="Design"/>
    <s v="Design"/>
    <s v="Job Portal"/>
    <s v="Job Portal"/>
    <n v="7.4"/>
    <m/>
    <n v="7.4"/>
    <n v="22366"/>
    <n v="23338"/>
    <s v="Withdrawn"/>
    <s v="10-07-2024"/>
    <s v="OdishaCode Labs"/>
    <n v="10.7"/>
  </r>
  <r>
    <s v="CAND0356"/>
    <s v="Bikash Sahu"/>
    <s v="Software Engineer"/>
    <s v="Design"/>
    <s v="Design"/>
    <s v="LinkedIn"/>
    <s v="Linkedin"/>
    <n v="8.4"/>
    <n v="8.9"/>
    <n v="8.6999999999999993"/>
    <n v="46205"/>
    <m/>
    <s v="Negotiating"/>
    <s v="30-07-2024"/>
    <s v="UtkalSoft Technologies"/>
    <n v="1.9"/>
  </r>
  <r>
    <s v="CAND0357"/>
    <s v="Abhishek Prusty"/>
    <s v="HR Executive"/>
    <s v="Data Science"/>
    <s v="Data Science"/>
    <s v="Campus"/>
    <s v="Campus"/>
    <n v="8.6999999999999993"/>
    <m/>
    <n v="8.6999999999999993"/>
    <n v="134633"/>
    <n v="132763"/>
    <s v="Withdrawn"/>
    <s v="29-10-2024"/>
    <s v="SilverByte Systems"/>
    <n v="3.5"/>
  </r>
  <r>
    <s v="CAND0358"/>
    <s v="Nirmal Senapati"/>
    <s v="Software Engineer"/>
    <s v="Finance"/>
    <s v="Finance"/>
    <s v="Walk-in"/>
    <s v="Walk-In"/>
    <n v="3.3"/>
    <n v="4.8"/>
    <n v="4"/>
    <n v="130585"/>
    <m/>
    <s v="Rejected"/>
    <s v="22-09-2023"/>
    <s v="KalingaTech Pvt Ltd"/>
    <n v="1.3"/>
  </r>
  <r>
    <s v="CAND0359"/>
    <s v="Ankita Mishra"/>
    <s v="HR Executive"/>
    <s v="Marketing"/>
    <s v="Marketing"/>
    <s v="Walk-in"/>
    <s v="Walk-In"/>
    <n v="8.6999999999999993"/>
    <n v="7.9"/>
    <n v="8.3000000000000007"/>
    <n v="159727"/>
    <n v="180960"/>
    <s v="Pending"/>
    <s v="31-10-2023"/>
    <s v="SambalpurNet"/>
    <n v="15"/>
  </r>
  <r>
    <s v="CAND0360"/>
    <s v="Bikash Tripathy"/>
    <s v="QA Engineer"/>
    <s v="Engineering"/>
    <s v="Engineering"/>
    <s v="Walk-in"/>
    <s v="Walk-In"/>
    <n v="5.6"/>
    <n v="3.6"/>
    <n v="4.5999999999999996"/>
    <n v="155796"/>
    <m/>
    <s v="Accepted"/>
    <s v="08-04-2024"/>
    <s v="SambalpurNet"/>
    <n v="8.8000000000000007"/>
  </r>
  <r>
    <s v="CAND0361"/>
    <s v="Dibya Tripathy"/>
    <s v="Product Manager"/>
    <s v="Product"/>
    <s v="Product"/>
    <s v="Referral"/>
    <s v="Referral"/>
    <n v="6.6"/>
    <n v="7.4"/>
    <n v="7"/>
    <n v="80310"/>
    <n v="79323"/>
    <s v="Pending"/>
    <s v="09-06-2023"/>
    <s v="ZeroOneSystems"/>
    <n v="14.3"/>
  </r>
  <r>
    <s v="CAND0362"/>
    <s v="Dibya Sahoo"/>
    <s v="UI Designer"/>
    <s v="Data Science"/>
    <s v="Data Science"/>
    <s v="LinkedIn"/>
    <s v="Linkedin"/>
    <n v="7.3"/>
    <n v="7.5"/>
    <n v="7.4"/>
    <n v="24184"/>
    <n v="26870"/>
    <s v="Negotiating"/>
    <s v="28-06-2024"/>
    <s v="NilGiri Digitals"/>
    <n v="10.3"/>
  </r>
  <r>
    <s v="CAND0363"/>
    <s v="Aditya Mishra"/>
    <s v="DevOps Engineer"/>
    <s v="Finance"/>
    <s v="Finance"/>
    <s v="Referral"/>
    <s v="Referral"/>
    <n v="9.4"/>
    <m/>
    <n v="9.4"/>
    <n v="149799"/>
    <n v="164924"/>
    <s v="Rejected"/>
    <s v="23-12-2023"/>
    <s v="TechNova Solutions"/>
    <n v="2.9"/>
  </r>
  <r>
    <s v="CAND0364"/>
    <s v="Ranjit Padhi"/>
    <s v="Sales Manager"/>
    <s v="Product"/>
    <s v="Product"/>
    <s v="LinkedIn"/>
    <s v="Linkedin"/>
    <n v="9.9"/>
    <n v="6"/>
    <n v="8"/>
    <n v="180727"/>
    <n v="202301"/>
    <s v="Pending"/>
    <s v="04-02-2024"/>
    <s v="SilverByte Systems"/>
    <n v="13.4"/>
  </r>
  <r>
    <s v="CAND0365"/>
    <s v="Abhishek Mohapatra"/>
    <s v="Software Engineer"/>
    <s v="Product"/>
    <s v="Product"/>
    <s v="Campus"/>
    <s v="Campus"/>
    <n v="7.1"/>
    <n v="3.6"/>
    <n v="5.3"/>
    <n v="91358"/>
    <m/>
    <s v="Negotiating"/>
    <s v="13-11-2024"/>
    <s v="NilGiri Digitals"/>
    <n v="5.8"/>
  </r>
  <r>
    <s v="CAND0366"/>
    <s v="Tanmay Parida"/>
    <s v="Sales Manager"/>
    <s v="Product"/>
    <s v="Product"/>
    <s v="Naukri"/>
    <s v="Naukri"/>
    <n v="5.7"/>
    <n v="6.1"/>
    <n v="5.9"/>
    <n v="57918"/>
    <n v="66244"/>
    <s v="Withdrawn"/>
    <s v="19-07-2023"/>
    <s v="SambalpurNet"/>
    <n v="10.4"/>
  </r>
  <r>
    <s v="CAND0367"/>
    <s v="Alka Routray"/>
    <s v="HR Executive"/>
    <s v="HR"/>
    <s v="Hr"/>
    <s v="Naukri"/>
    <s v="Naukri"/>
    <n v="3.7"/>
    <n v="8.6999999999999993"/>
    <n v="6.2"/>
    <m/>
    <n v="172341"/>
    <s v="Negotiating"/>
    <s v="20-11-2023"/>
    <s v="ZeroOneSystems"/>
    <n v="6.3"/>
  </r>
  <r>
    <s v="CAND0368"/>
    <s v="Soumya Behura"/>
    <s v="UI Designer"/>
    <s v="Design"/>
    <s v="Design"/>
    <s v="Walk-in"/>
    <s v="Walk-In"/>
    <n v="3.8"/>
    <n v="3.4"/>
    <n v="3.6"/>
    <n v="122664"/>
    <n v="125269"/>
    <s v="Withdrawn"/>
    <s v="19-08-2023"/>
    <s v="TributeAI"/>
    <n v="13.3"/>
  </r>
  <r>
    <s v="CAND0369"/>
    <s v="Dibya Tripathy"/>
    <s v="UI Designer"/>
    <s v="DevOps"/>
    <s v="Devops"/>
    <s v="Campus"/>
    <s v="Campus"/>
    <n v="4.4000000000000004"/>
    <n v="4.2"/>
    <n v="4.3"/>
    <n v="183537"/>
    <m/>
    <s v="Negotiating"/>
    <s v="10-07-2023"/>
    <s v="SambalpurNet"/>
    <n v="8.1"/>
  </r>
  <r>
    <s v="CAND0370"/>
    <s v="Barsha Mahapatra"/>
    <s v="Cloud Architect"/>
    <s v="HR"/>
    <s v="Hr"/>
    <s v="Job Portal"/>
    <s v="Job Portal"/>
    <n v="8.1999999999999993"/>
    <n v="4.7"/>
    <n v="6.4"/>
    <n v="153098"/>
    <m/>
    <s v="Accepted"/>
    <s v="26-04-2024"/>
    <s v="UtkalSoft Technologies"/>
    <n v="14.2"/>
  </r>
  <r>
    <s v="CAND0371"/>
    <s v="Sudhansu Pattnaik"/>
    <s v="HR Executive"/>
    <s v="Data Science"/>
    <s v="Data Science"/>
    <s v="Job Portal"/>
    <s v="Job Portal"/>
    <n v="5.3"/>
    <n v="9.5"/>
    <n v="7.4"/>
    <n v="171128"/>
    <n v="150583"/>
    <s v="Pending"/>
    <s v="13-11-2023"/>
    <s v="TributeAI"/>
    <n v="11"/>
  </r>
  <r>
    <s v="CAND0372"/>
    <s v="Ranjit Pattnaik"/>
    <s v="UI Designer"/>
    <s v="QA"/>
    <s v="Qa"/>
    <s v="Job Portal"/>
    <s v="Job Portal"/>
    <n v="6.9"/>
    <n v="5.6"/>
    <n v="6.2"/>
    <n v="193797"/>
    <n v="186294"/>
    <s v="Negotiating"/>
    <s v="05-02-2024"/>
    <s v="KalingaTech Pvt Ltd"/>
    <n v="6.7"/>
  </r>
  <r>
    <s v="CAND0373"/>
    <s v="Soumya Parida"/>
    <s v="DevOps Engineer"/>
    <s v="DevOps"/>
    <s v="Devops"/>
    <s v="Job Portal"/>
    <s v="Job Portal"/>
    <n v="8.5"/>
    <n v="4"/>
    <n v="6.2"/>
    <n v="37728"/>
    <n v="39170"/>
    <s v="Accepted"/>
    <s v="12-04-2024"/>
    <s v="SilverByte Systems"/>
    <n v="6.4"/>
  </r>
  <r>
    <s v="CAND0374"/>
    <s v="Tanmay Mishra"/>
    <s v="UI Designer"/>
    <s v="HR"/>
    <s v="Hr"/>
    <s v="Campus"/>
    <s v="Campus"/>
    <n v="3.4"/>
    <n v="8.4"/>
    <n v="5.9"/>
    <n v="27970"/>
    <n v="25107"/>
    <s v="Negotiating"/>
    <s v="17-06-2023"/>
    <s v="NilGiri Digitals"/>
    <n v="3.3"/>
  </r>
  <r>
    <s v="CAND0375"/>
    <s v="Prasant Mishra"/>
    <s v="Data Analyst"/>
    <s v="Product"/>
    <s v="Product"/>
    <s v="Naukri"/>
    <s v="Naukri"/>
    <n v="5.9"/>
    <n v="8.1999999999999993"/>
    <n v="7"/>
    <n v="192224"/>
    <n v="187419"/>
    <s v="Accepted"/>
    <s v="10-06-2023"/>
    <s v="OdishaCode Labs"/>
    <n v="6.2"/>
  </r>
  <r>
    <s v="CAND0376"/>
    <s v="Puspita Routray"/>
    <s v="DevOps Engineer"/>
    <s v="Product"/>
    <s v="Product"/>
    <s v="Job Portal"/>
    <s v="Job Portal"/>
    <n v="5.4"/>
    <n v="4.9000000000000004"/>
    <n v="5.2"/>
    <n v="67260"/>
    <n v="66360"/>
    <s v="Pending"/>
    <s v="04-07-2024"/>
    <s v="SambalpurNet"/>
    <n v="13.7"/>
  </r>
  <r>
    <s v="CAND0377"/>
    <s v="Bikash Padhi"/>
    <s v="Data Analyst"/>
    <s v="Engineering"/>
    <s v="Engineering"/>
    <s v="Walk-in"/>
    <s v="Walk-In"/>
    <n v="6.3"/>
    <n v="9.6999999999999993"/>
    <n v="8"/>
    <n v="63966"/>
    <n v="68976"/>
    <s v="Negotiating"/>
    <s v="13-01-2023"/>
    <s v="SilverByte Systems"/>
    <n v="9.6999999999999993"/>
  </r>
  <r>
    <s v="CAND0378"/>
    <s v="Ankita Parida"/>
    <s v="UI Designer"/>
    <s v="HR"/>
    <s v="Hr"/>
    <s v="LinkedIn"/>
    <s v="Linkedin"/>
    <n v="8.8000000000000007"/>
    <n v="8.8000000000000007"/>
    <n v="8.8000000000000007"/>
    <n v="27250"/>
    <n v="23871"/>
    <s v="Withdrawn"/>
    <s v="24-07-2023"/>
    <s v="UtkalSoft Technologies"/>
    <n v="10.3"/>
  </r>
  <r>
    <s v="CAND0379"/>
    <s v="Satyajit Parida"/>
    <s v="QA Engineer"/>
    <s v="Product"/>
    <s v="Product"/>
    <s v="Walk-in"/>
    <s v="Walk-In"/>
    <n v="7"/>
    <n v="8.9"/>
    <n v="8"/>
    <n v="22422"/>
    <n v="25181"/>
    <s v="Negotiating"/>
    <s v="03-01-2024"/>
    <s v="UtkalSoft Technologies"/>
    <n v="6.1"/>
  </r>
  <r>
    <s v="CAND0380"/>
    <s v="Amlan Mohapatra"/>
    <s v="Product Manager"/>
    <s v="Engineering"/>
    <s v="Engineering"/>
    <s v="Job Portal"/>
    <s v="Job Portal"/>
    <n v="3.7"/>
    <n v="5.8"/>
    <n v="4.8"/>
    <n v="134467"/>
    <n v="118238"/>
    <s v="Accepted"/>
    <s v="11-02-2024"/>
    <s v="SilverByte Systems"/>
    <n v="5.3"/>
  </r>
  <r>
    <s v="CAND0381"/>
    <s v="Soumya Tripathy"/>
    <s v="UI Designer"/>
    <s v="QA"/>
    <s v="Qa"/>
    <s v="LinkedIn"/>
    <s v="Linkedin"/>
    <n v="6.6"/>
    <m/>
    <n v="6.6"/>
    <n v="121143"/>
    <m/>
    <s v="Negotiating"/>
    <s v="26-09-2023"/>
    <s v="NilGiri Digitals"/>
    <n v="8.9"/>
  </r>
  <r>
    <s v="CAND0382"/>
    <s v="Namita Choudhury"/>
    <s v="Business Analyst"/>
    <s v="Product"/>
    <s v="Product"/>
    <s v="LinkedIn"/>
    <s v="Linkedin"/>
    <n v="8.3000000000000007"/>
    <n v="6.2"/>
    <n v="7.2"/>
    <n v="168827"/>
    <n v="173809"/>
    <s v="Rejected"/>
    <s v="14-04-2024"/>
    <s v="TributeAI"/>
    <n v="10.5"/>
  </r>
  <r>
    <s v="CAND0383"/>
    <s v="Bikash Prusty"/>
    <s v="Product Manager"/>
    <s v="Design"/>
    <s v="Design"/>
    <s v="LinkedIn"/>
    <s v="Linkedin"/>
    <n v="8.1"/>
    <n v="4.4000000000000004"/>
    <n v="6.2"/>
    <n v="31193"/>
    <m/>
    <s v="Withdrawn"/>
    <s v="27-11-2023"/>
    <s v="OdishaCode Labs"/>
    <n v="6.2"/>
  </r>
  <r>
    <s v="CAND0384"/>
    <s v="Nirmal Choudhury"/>
    <s v="Cloud Architect"/>
    <s v="Finance"/>
    <s v="Finance"/>
    <s v="Referral"/>
    <s v="Referral"/>
    <n v="5.6"/>
    <n v="6"/>
    <n v="5.8"/>
    <n v="98220"/>
    <m/>
    <s v="Accepted"/>
    <s v="22-05-2023"/>
    <s v="UtkalSoft Technologies"/>
    <n v="13.8"/>
  </r>
  <r>
    <s v="CAND0385"/>
    <s v="Tapas Jena"/>
    <s v="Sales Manager"/>
    <s v="Marketing"/>
    <s v="Marketing"/>
    <s v="LinkedIn"/>
    <s v="Linkedin"/>
    <n v="3.6"/>
    <n v="4.4000000000000004"/>
    <n v="4"/>
    <n v="186678"/>
    <n v="190032"/>
    <s v="Pending"/>
    <s v="10-02-2024"/>
    <s v="UtkalSoft Technologies"/>
    <n v="9.6"/>
  </r>
  <r>
    <s v="CAND0386"/>
    <s v="Sudhansu Ratha"/>
    <s v="Cloud Architect"/>
    <s v="Engineering"/>
    <s v="Engineering"/>
    <s v="LinkedIn"/>
    <s v="Linkedin"/>
    <n v="5.3"/>
    <m/>
    <n v="5.3"/>
    <n v="146992"/>
    <m/>
    <s v="Accepted"/>
    <s v="14-03-2024"/>
    <s v="OdishaCode Labs"/>
    <n v="9.3000000000000007"/>
  </r>
  <r>
    <s v="CAND0387"/>
    <s v="Tanmay Parida"/>
    <s v="QA Engineer"/>
    <s v="QA"/>
    <s v="Qa"/>
    <s v="Campus"/>
    <s v="Campus"/>
    <n v="4.4000000000000004"/>
    <n v="6.1"/>
    <n v="5.2"/>
    <n v="159394"/>
    <m/>
    <s v="Pending"/>
    <s v="14-05-2024"/>
    <s v="KalingaTech Pvt Ltd"/>
    <n v="9.4"/>
  </r>
  <r>
    <s v="CAND0388"/>
    <s v="Abhishek Samal"/>
    <s v="UI Designer"/>
    <s v="Engineering"/>
    <s v="Engineering"/>
    <s v="LinkedIn"/>
    <s v="Linkedin"/>
    <n v="6.7"/>
    <n v="3.9"/>
    <n v="5.3"/>
    <n v="140048"/>
    <n v="120437"/>
    <s v="Pending"/>
    <s v="14-01-2024"/>
    <s v="CoastalDev Studio"/>
    <n v="5"/>
  </r>
  <r>
    <s v="CAND0389"/>
    <s v="Dibya Behura"/>
    <s v="Data Analyst"/>
    <s v="Engineering"/>
    <s v="Engineering"/>
    <s v="Naukri"/>
    <s v="Naukri"/>
    <n v="7.1"/>
    <n v="3.2"/>
    <n v="5.2"/>
    <n v="157818"/>
    <n v="152403"/>
    <s v="Withdrawn"/>
    <s v="10-08-2024"/>
    <s v="CoastalDev Studio"/>
    <n v="7.2"/>
  </r>
  <r>
    <s v="CAND0390"/>
    <s v="Amlan Ratha"/>
    <s v="Sales Manager"/>
    <s v="Data Science"/>
    <s v="Data Science"/>
    <s v="Job Portal"/>
    <s v="Job Portal"/>
    <n v="7.6"/>
    <n v="3.5"/>
    <n v="5.5"/>
    <n v="146183"/>
    <m/>
    <s v="Pending"/>
    <s v="27-10-2024"/>
    <s v="NilGiri Digitals"/>
    <n v="12.7"/>
  </r>
  <r>
    <s v="CAND0391"/>
    <s v="Rajan Mohapatra"/>
    <s v="UI Designer"/>
    <s v="QA"/>
    <s v="Qa"/>
    <s v="LinkedIn"/>
    <s v="Linkedin"/>
    <n v="7.7"/>
    <n v="7.8"/>
    <n v="7.8"/>
    <n v="58349"/>
    <m/>
    <s v="Accepted"/>
    <s v="22-08-2023"/>
    <s v="CoastalDev Studio"/>
    <n v="7.7"/>
  </r>
  <r>
    <s v="CAND0392"/>
    <s v="Bikash Jena"/>
    <s v="DevOps Engineer"/>
    <s v="Engineering"/>
    <s v="Engineering"/>
    <s v="Naukri"/>
    <s v="Naukri"/>
    <n v="9.9"/>
    <n v="3.2"/>
    <n v="6.6"/>
    <n v="150420"/>
    <m/>
    <s v="Rejected"/>
    <s v="14-02-2023"/>
    <s v="CoastalDev Studio"/>
    <n v="2.6"/>
  </r>
  <r>
    <s v="CAND0393"/>
    <s v="Tanmay Padhi"/>
    <s v="Software Engineer"/>
    <s v="Product"/>
    <s v="Product"/>
    <s v="Referral"/>
    <s v="Referral"/>
    <n v="9.6"/>
    <n v="9.8000000000000007"/>
    <n v="9.6999999999999993"/>
    <n v="37946"/>
    <m/>
    <s v="Negotiating"/>
    <s v="22-06-2024"/>
    <s v="SambalpurNet"/>
    <n v="8.6"/>
  </r>
  <r>
    <s v="CAND0394"/>
    <s v="Debasmita Nanda"/>
    <s v="Data Analyst"/>
    <s v="Product"/>
    <s v="Product"/>
    <s v="Campus"/>
    <s v="Campus"/>
    <n v="6.5"/>
    <n v="6.2"/>
    <n v="6.3"/>
    <n v="54932"/>
    <n v="57921"/>
    <s v="Pending"/>
    <s v="31-01-2024"/>
    <s v="CoastalDev Studio"/>
    <n v="14.1"/>
  </r>
  <r>
    <s v="CAND0395"/>
    <s v="Subhasree Parida"/>
    <s v="Business Analyst"/>
    <s v="DevOps"/>
    <s v="Devops"/>
    <s v="Campus"/>
    <s v="Campus"/>
    <n v="3.2"/>
    <n v="6.3"/>
    <n v="4.8"/>
    <n v="63211"/>
    <n v="62319"/>
    <s v="Negotiating"/>
    <s v="25-10-2023"/>
    <s v="CoastalDev Studio"/>
    <n v="12.8"/>
  </r>
  <r>
    <s v="CAND0396"/>
    <s v="Chinmaya Ratha"/>
    <s v="Software Engineer"/>
    <s v="Finance"/>
    <s v="Finance"/>
    <s v="Referral"/>
    <s v="Referral"/>
    <n v="6.2"/>
    <n v="9.3000000000000007"/>
    <n v="7.8"/>
    <n v="156175"/>
    <n v="144636"/>
    <s v="Withdrawn"/>
    <s v="09-09-2023"/>
    <s v="BlueLotus IT"/>
    <n v="9.6999999999999993"/>
  </r>
  <r>
    <s v="CAND0397"/>
    <s v="Namita Prusty"/>
    <s v="QA Engineer"/>
    <s v="QA"/>
    <s v="Qa"/>
    <s v="LinkedIn"/>
    <s v="Linkedin"/>
    <n v="4.5999999999999996"/>
    <n v="5.4"/>
    <n v="5"/>
    <n v="70670"/>
    <n v="77920"/>
    <s v="Withdrawn"/>
    <s v="26-10-2024"/>
    <s v="SambalpurNet"/>
    <n v="4.3"/>
  </r>
  <r>
    <s v="CAND0398"/>
    <s v="Chinmaya Behura"/>
    <s v="Software Engineer"/>
    <s v="QA"/>
    <s v="Qa"/>
    <s v="LinkedIn"/>
    <s v="Linkedin"/>
    <n v="9.4"/>
    <m/>
    <n v="9.4"/>
    <n v="148789"/>
    <n v="158377"/>
    <s v="Rejected"/>
    <s v="10-08-2024"/>
    <s v="SilverByte Systems"/>
    <n v="10.1"/>
  </r>
  <r>
    <s v="CAND0399"/>
    <s v="Lipsa Choudhury"/>
    <s v="UI Designer"/>
    <s v="HR"/>
    <s v="Hr"/>
    <s v="LinkedIn"/>
    <s v="Linkedin"/>
    <n v="9.6999999999999993"/>
    <n v="7.9"/>
    <n v="8.8000000000000007"/>
    <n v="52648"/>
    <m/>
    <s v="Withdrawn"/>
    <s v="03-09-2023"/>
    <s v="TributeAI"/>
    <n v="14.7"/>
  </r>
  <r>
    <s v="CAND0400"/>
    <s v="Tanmay Mahapatra"/>
    <s v="Business Analyst"/>
    <s v="Marketing"/>
    <s v="Marketing"/>
    <s v="Job Portal"/>
    <s v="Job Portal"/>
    <n v="7.8"/>
    <n v="8.3000000000000007"/>
    <n v="8.1"/>
    <n v="136163"/>
    <m/>
    <s v="Pending"/>
    <s v="11-08-2023"/>
    <s v="CoastalDev Studio"/>
    <n v="3.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AND0001"/>
    <s v="Abhishek Ratha"/>
    <s v="Product Manager"/>
    <s v="Data Science"/>
    <x v="0"/>
    <n v="3.8"/>
    <n v="7.9"/>
    <n v="5.8"/>
    <n v="123018"/>
    <n v="135000"/>
    <x v="0"/>
    <s v="08-04-2024"/>
    <s v="SambalpurNet"/>
    <n v="4.7"/>
  </r>
  <r>
    <s v="CAND0002"/>
    <s v="Bikash Behura"/>
    <s v="DevOps Engineer"/>
    <s v="Data Science"/>
    <x v="1"/>
    <n v="3.1"/>
    <n v="3.3"/>
    <n v="3.2"/>
    <n v="139712"/>
    <n v="132960"/>
    <x v="1"/>
    <s v="27-05-2024"/>
    <s v="TechNova Solutions"/>
    <n v="5.7"/>
  </r>
  <r>
    <s v="CAND0003"/>
    <s v="Ankita Behura"/>
    <s v="HR Executive"/>
    <s v="Engineering"/>
    <x v="1"/>
    <n v="4.0999999999999996"/>
    <n v="6.7"/>
    <n v="5.4"/>
    <n v="26013"/>
    <n v="28384"/>
    <x v="0"/>
    <s v="18-09-2024"/>
    <s v="TechNova Solutions"/>
    <n v="14.5"/>
  </r>
  <r>
    <s v="CAND0004"/>
    <s v="Sudhansu Prusty"/>
    <s v="DevOps Engineer"/>
    <s v="HR"/>
    <x v="2"/>
    <n v="3.5"/>
    <n v="8.8000000000000007"/>
    <n v="6.2"/>
    <n v="176914"/>
    <n v="170600"/>
    <x v="0"/>
    <s v="11-12-2023"/>
    <s v="CoastalDev Studio"/>
    <n v="11.7"/>
  </r>
  <r>
    <s v="CAND0005"/>
    <s v="Puspita Pattnaik"/>
    <m/>
    <s v="DevOps"/>
    <x v="1"/>
    <n v="3.1"/>
    <n v="7.9"/>
    <n v="5.5"/>
    <n v="155983"/>
    <n v="164134"/>
    <x v="2"/>
    <s v="13-12-2024"/>
    <s v="OdishaCode Labs"/>
    <n v="7"/>
  </r>
  <r>
    <s v="CAND0006"/>
    <s v="Soumya Senapati"/>
    <s v="Product Manager"/>
    <s v="Sales"/>
    <x v="3"/>
    <n v="4.3"/>
    <n v="9.6"/>
    <n v="6.9"/>
    <n v="37894"/>
    <n v="39365"/>
    <x v="1"/>
    <s v="28-04-2023"/>
    <s v="SambalpurNet"/>
    <n v="4.3"/>
  </r>
  <r>
    <s v="CAND0007"/>
    <s v="Satyajit Padhi"/>
    <s v="DevOps Engineer"/>
    <s v="Product"/>
    <x v="1"/>
    <m/>
    <n v="8.5"/>
    <m/>
    <n v="164283"/>
    <n v="170751"/>
    <x v="1"/>
    <s v="01-02-2023"/>
    <s v="UtkalSoft Technologies"/>
    <n v="11"/>
  </r>
  <r>
    <s v="CAND0008"/>
    <s v="Sudhansu Biswal"/>
    <s v="Cloud Architect"/>
    <s v="Data Science"/>
    <x v="0"/>
    <n v="8.1"/>
    <n v="4.2"/>
    <n v="6.2"/>
    <n v="86255"/>
    <m/>
    <x v="3"/>
    <s v="23-09-2024"/>
    <s v="ZeroOneSystems"/>
    <n v="13"/>
  </r>
  <r>
    <s v="CAND0009"/>
    <s v="Smita Sahu"/>
    <s v="HR Executive"/>
    <s v="DevOps"/>
    <x v="1"/>
    <n v="4.3"/>
    <n v="4.8"/>
    <n v="4.5"/>
    <n v="24144"/>
    <n v="25381"/>
    <x v="1"/>
    <s v="18-05-2023"/>
    <s v="BlueLotus IT"/>
    <n v="8.8000000000000007"/>
  </r>
  <r>
    <s v="CAND0010"/>
    <s v="Nirmal Ratha"/>
    <s v="Business Analyst"/>
    <s v="QA"/>
    <x v="2"/>
    <n v="7.5"/>
    <n v="6.9"/>
    <n v="7.2"/>
    <n v="191563"/>
    <m/>
    <x v="2"/>
    <s v="28-08-2024"/>
    <s v="ZeroOneSystems"/>
    <n v="5.9"/>
  </r>
  <r>
    <s v="CAND0011"/>
    <s v="Nirmal Padhi"/>
    <s v="Product Manager"/>
    <s v="DevOps"/>
    <x v="2"/>
    <n v="7.4"/>
    <n v="3.3"/>
    <n v="5.3"/>
    <n v="170124"/>
    <n v="160467"/>
    <x v="1"/>
    <s v="13-10-2024"/>
    <s v="KalingaTech Pvt Ltd"/>
    <n v="9"/>
  </r>
  <r>
    <s v="CAND0012"/>
    <s v="Nirmal Padhi"/>
    <s v="Product Manager"/>
    <s v="QA"/>
    <x v="1"/>
    <n v="9.6"/>
    <n v="9.1"/>
    <n v="9.3000000000000007"/>
    <n v="108417"/>
    <n v="122402"/>
    <x v="4"/>
    <s v="20-10-2024"/>
    <s v="TributeAI"/>
    <n v="6.5"/>
  </r>
  <r>
    <s v="CAND0013"/>
    <s v="Tapas Dhal"/>
    <s v="Sales Manager"/>
    <s v="DevOps"/>
    <x v="1"/>
    <n v="8.8000000000000007"/>
    <n v="8.6"/>
    <n v="8.6999999999999993"/>
    <m/>
    <n v="166699"/>
    <x v="0"/>
    <s v="13-07-2023"/>
    <s v="SambalpurNet"/>
    <n v="11.2"/>
  </r>
  <r>
    <s v="CAND0014"/>
    <s v="Abhishek Prusty"/>
    <s v="Sales Manager"/>
    <s v="Product"/>
    <x v="4"/>
    <n v="7"/>
    <n v="8.8000000000000007"/>
    <n v="7.9"/>
    <n v="144314"/>
    <n v="135340"/>
    <x v="3"/>
    <s v="02-09-2023"/>
    <s v="NilGiri Digitals"/>
    <n v="7.6"/>
  </r>
  <r>
    <s v="CAND0015"/>
    <s v="Smita Prusty"/>
    <s v="Software Engineer"/>
    <s v="DevOps"/>
    <x v="1"/>
    <n v="3.1"/>
    <n v="8.5"/>
    <n v="5.8"/>
    <m/>
    <m/>
    <x v="1"/>
    <s v="13-03-2023"/>
    <s v="TechNova Solutions"/>
    <n v="9.8000000000000007"/>
  </r>
  <r>
    <s v="CAND0016"/>
    <s v="Ankita Choudhury"/>
    <s v="Sales Manager"/>
    <s v="HR"/>
    <x v="1"/>
    <n v="9"/>
    <n v="4.8"/>
    <n v="6.9"/>
    <n v="75018"/>
    <n v="70245"/>
    <x v="1"/>
    <s v="08-12-2023"/>
    <s v="SilverByte Systems"/>
    <n v="4.9000000000000004"/>
  </r>
  <r>
    <s v="CAND0017"/>
    <s v="Sudhansu Sahu"/>
    <s v="HR Executive"/>
    <s v="Design"/>
    <x v="1"/>
    <n v="4"/>
    <n v="4"/>
    <n v="4"/>
    <n v="134338"/>
    <n v="151435"/>
    <x v="1"/>
    <s v="27-08-2023"/>
    <s v="ZeroOneSystems"/>
    <n v="10"/>
  </r>
  <r>
    <s v="CAND0018"/>
    <s v="Tanmay Padhi"/>
    <s v="Business Analyst"/>
    <s v="Engineering"/>
    <x v="4"/>
    <n v="8.8000000000000007"/>
    <n v="6.4"/>
    <n v="7.6"/>
    <n v="75363"/>
    <m/>
    <x v="0"/>
    <s v="29-10-2023"/>
    <s v="OdishaCode Labs"/>
    <n v="8.1999999999999993"/>
  </r>
  <r>
    <s v="CAND0019"/>
    <s v="Chinmaya Mishra"/>
    <s v="DevOps Engineer"/>
    <s v="Finance"/>
    <x v="4"/>
    <n v="4.5"/>
    <n v="4.4000000000000004"/>
    <n v="4.5"/>
    <n v="60126"/>
    <m/>
    <x v="3"/>
    <s v="08-05-2024"/>
    <s v="InfySoft Bhubaneswar"/>
    <n v="5"/>
  </r>
  <r>
    <s v="CAND0020"/>
    <s v="Dibya Routray"/>
    <s v="Cloud Architect"/>
    <s v="Product"/>
    <x v="1"/>
    <n v="5.5"/>
    <n v="7.3"/>
    <n v="6.4"/>
    <n v="67215"/>
    <n v="58147"/>
    <x v="3"/>
    <s v="11-09-2023"/>
    <s v="TechNova Solutions"/>
    <n v="0.9"/>
  </r>
  <r>
    <s v="CAND0021"/>
    <s v="Ankita Prusty"/>
    <s v="Business Analyst"/>
    <s v="Engineering"/>
    <x v="3"/>
    <n v="8.5"/>
    <n v="7.6"/>
    <n v="8.1"/>
    <n v="113954"/>
    <m/>
    <x v="3"/>
    <s v="14-05-2024"/>
    <s v="NilGiri Digitals"/>
    <n v="11.7"/>
  </r>
  <r>
    <s v="CAND0022"/>
    <s v="Satyajit Pattnaik"/>
    <s v="Sales Manager"/>
    <s v="Marketing"/>
    <x v="0"/>
    <n v="6.5"/>
    <n v="9.1"/>
    <n v="7.8"/>
    <n v="183795"/>
    <n v="208454"/>
    <x v="1"/>
    <s v="26-07-2023"/>
    <s v="OdishaCode Labs"/>
    <n v="4.8"/>
  </r>
  <r>
    <s v="CAND0023"/>
    <s v="Rahul Nanda"/>
    <s v="Product Manager"/>
    <s v="Sales"/>
    <x v="4"/>
    <n v="5.5"/>
    <n v="8.6"/>
    <n v="7"/>
    <n v="64504"/>
    <m/>
    <x v="0"/>
    <s v="26-11-2023"/>
    <s v="BlueLotus IT"/>
    <n v="11.4"/>
  </r>
  <r>
    <s v="CAND0024"/>
    <s v="Rajan Dhal"/>
    <s v="Product Manager"/>
    <s v="Finance"/>
    <x v="4"/>
    <n v="3.8"/>
    <n v="5.5"/>
    <n v="4.7"/>
    <n v="196050"/>
    <n v="225137"/>
    <x v="1"/>
    <s v="05-04-2024"/>
    <s v="KalingaTech Pvt Ltd"/>
    <n v="8.6999999999999993"/>
  </r>
  <r>
    <s v="CAND0025"/>
    <s v="Puspita Dhal"/>
    <s v="Sales Manager"/>
    <s v="Sales"/>
    <x v="1"/>
    <n v="6.7"/>
    <n v="3.7"/>
    <n v="5.2"/>
    <n v="66622"/>
    <n v="66872"/>
    <x v="3"/>
    <s v="03-04-2024"/>
    <s v="KalingaTech Pvt Ltd"/>
    <n v="5.0999999999999996"/>
  </r>
  <r>
    <s v="CAND0026"/>
    <s v="Ankita Mishra"/>
    <s v="HR Executive"/>
    <s v="Marketing"/>
    <x v="5"/>
    <n v="3.1"/>
    <n v="4.3"/>
    <n v="3.7"/>
    <n v="60845"/>
    <n v="66284"/>
    <x v="4"/>
    <s v="23-10-2023"/>
    <s v="SilverByte Systems"/>
    <n v="5.9"/>
  </r>
  <r>
    <s v="CAND0027"/>
    <s v="Namita Biswal"/>
    <s v="QA Engineer"/>
    <s v="QA"/>
    <x v="0"/>
    <n v="3.4"/>
    <n v="9"/>
    <n v="6.2"/>
    <n v="129397"/>
    <n v="117989"/>
    <x v="1"/>
    <s v="21-09-2023"/>
    <s v="OdishaCode Labs"/>
    <n v="11.7"/>
  </r>
  <r>
    <s v="CAND0028"/>
    <s v="Ranjit Parida"/>
    <s v="DevOps Engineer"/>
    <s v="DevOps"/>
    <x v="2"/>
    <n v="4.2"/>
    <n v="5.2"/>
    <n v="4.7"/>
    <n v="199530"/>
    <m/>
    <x v="0"/>
    <s v="30-11-2024"/>
    <s v="KalingaTech Pvt Ltd"/>
    <n v="9.1999999999999993"/>
  </r>
  <r>
    <s v="CAND0029"/>
    <s v="Namita Behura"/>
    <s v="HR Executive"/>
    <s v="DevOps"/>
    <x v="4"/>
    <n v="6.6"/>
    <n v="4.2"/>
    <n v="5.4"/>
    <n v="169961"/>
    <n v="185498"/>
    <x v="1"/>
    <s v="24-09-2024"/>
    <s v="SilverByte Systems"/>
    <n v="11.6"/>
  </r>
  <r>
    <s v="CAND0030"/>
    <s v="Soumya Prusty"/>
    <s v="Sales Manager"/>
    <s v="Sales"/>
    <x v="0"/>
    <n v="8.5"/>
    <n v="5.5"/>
    <n v="7"/>
    <n v="131761"/>
    <n v="125277"/>
    <x v="4"/>
    <s v="17-06-2023"/>
    <s v="TechNova Solutions"/>
    <n v="11.3"/>
  </r>
  <r>
    <s v="CAND0031"/>
    <s v="Nirmal Mishra"/>
    <s v="QA Engineer"/>
    <s v="Sales"/>
    <x v="4"/>
    <n v="9.6999999999999993"/>
    <n v="8.8000000000000007"/>
    <n v="9.1999999999999993"/>
    <n v="180507"/>
    <n v="193212"/>
    <x v="1"/>
    <s v="02-04-2023"/>
    <s v="SilverByte Systems"/>
    <n v="6.8"/>
  </r>
  <r>
    <s v="CAND0032"/>
    <s v="Subhasree Parida"/>
    <s v="Cloud Architect"/>
    <s v="Data Science"/>
    <x v="5"/>
    <n v="3.8"/>
    <n v="6.2"/>
    <n v="5"/>
    <n v="158520"/>
    <n v="151325"/>
    <x v="0"/>
    <s v="10-03-2023"/>
    <s v="KalingaTech Pvt Ltd"/>
    <n v="4.3"/>
  </r>
  <r>
    <s v="CAND0033"/>
    <s v="Debasmita Mohapatra"/>
    <s v="Product Manager"/>
    <s v="Design"/>
    <x v="2"/>
    <n v="9.8000000000000007"/>
    <n v="8.5"/>
    <n v="9.1999999999999993"/>
    <n v="125983"/>
    <n v="129695"/>
    <x v="4"/>
    <s v="21-05-2023"/>
    <s v="ZeroOneSystems"/>
    <n v="6.3"/>
  </r>
  <r>
    <s v="CAND0034"/>
    <s v="Ipsita Behura"/>
    <s v="Sales Manager"/>
    <s v="Sales"/>
    <x v="1"/>
    <n v="4.5"/>
    <m/>
    <n v="4.5"/>
    <n v="103827"/>
    <n v="117799"/>
    <x v="3"/>
    <s v="26-12-2024"/>
    <s v="SilverByte Systems"/>
    <n v="9.8000000000000007"/>
  </r>
  <r>
    <s v="CAND0035"/>
    <s v="Lipsa Tripathy"/>
    <s v="Data Analyst"/>
    <s v="HR"/>
    <x v="4"/>
    <n v="7.7"/>
    <n v="5.9"/>
    <n v="6.8"/>
    <n v="131980"/>
    <m/>
    <x v="2"/>
    <s v="09-04-2024"/>
    <s v="UtkalSoft Technologies"/>
    <n v="13.5"/>
  </r>
  <r>
    <s v="CAND0036"/>
    <s v="Rajan Routray"/>
    <s v="UI Designer"/>
    <s v="Marketing"/>
    <x v="4"/>
    <n v="5.3"/>
    <n v="9.5"/>
    <n v="7.4"/>
    <n v="83588"/>
    <n v="91424"/>
    <x v="2"/>
    <s v="18-04-2024"/>
    <s v="SilverByte Systems"/>
    <n v="4.8"/>
  </r>
  <r>
    <s v="CAND0037"/>
    <s v="Subhasree Padhi"/>
    <s v="HR Executive"/>
    <s v="Engineering"/>
    <x v="1"/>
    <n v="6.1"/>
    <n v="6.2"/>
    <n v="6.2"/>
    <n v="139840"/>
    <n v="125731"/>
    <x v="3"/>
    <s v="24-10-2024"/>
    <s v="CoastalDev Studio"/>
    <n v="11.7"/>
  </r>
  <r>
    <s v="CAND0038"/>
    <s v="Amlan Biswal"/>
    <s v="UI Designer"/>
    <s v="Sales"/>
    <x v="5"/>
    <n v="7.9"/>
    <n v="3.3"/>
    <n v="5.6"/>
    <n v="100081"/>
    <n v="89054"/>
    <x v="4"/>
    <s v="06-07-2024"/>
    <s v="CoastalDev Studio"/>
    <n v="3.9"/>
  </r>
  <r>
    <s v="CAND0039"/>
    <s v="Subhasree Sahu"/>
    <s v="Cloud Architect"/>
    <s v="Sales"/>
    <x v="2"/>
    <n v="5.7"/>
    <n v="3.9"/>
    <n v="4.8"/>
    <m/>
    <m/>
    <x v="4"/>
    <s v="05-01-2024"/>
    <s v="BlueLotus IT"/>
    <n v="0.7"/>
  </r>
  <r>
    <s v="CAND0040"/>
    <s v="Lipsa Prusty"/>
    <s v="Data Analyst"/>
    <s v="Data Science"/>
    <x v="2"/>
    <n v="7"/>
    <n v="6.2"/>
    <n v="6.6"/>
    <n v="184893"/>
    <n v="192973"/>
    <x v="1"/>
    <s v="19-10-2024"/>
    <s v="ZeroOneSystems"/>
    <n v="9.1999999999999993"/>
  </r>
  <r>
    <s v="CAND0041"/>
    <s v="Namita Tripathy"/>
    <s v="Business Analyst"/>
    <s v="Finance"/>
    <x v="1"/>
    <n v="6.6"/>
    <n v="7.9"/>
    <n v="7.2"/>
    <n v="94557"/>
    <m/>
    <x v="3"/>
    <s v="19-07-2024"/>
    <s v="NilGiri Digitals"/>
    <n v="0.6"/>
  </r>
  <r>
    <s v="CAND0042"/>
    <s v="Lipsa Mohapatra"/>
    <s v="QA Engineer"/>
    <s v="DevOps"/>
    <x v="5"/>
    <n v="5.0999999999999996"/>
    <n v="3.6"/>
    <n v="4.3"/>
    <n v="145379"/>
    <n v="144200"/>
    <x v="0"/>
    <s v="29-07-2024"/>
    <s v="CoastalDev Studio"/>
    <n v="6.3"/>
  </r>
  <r>
    <s v="CAND0043"/>
    <s v="Sangita Parida"/>
    <s v="HR Executive"/>
    <s v="HR"/>
    <x v="1"/>
    <n v="4.5"/>
    <n v="4.4000000000000004"/>
    <n v="4.5"/>
    <n v="155745"/>
    <m/>
    <x v="2"/>
    <s v="29-09-2023"/>
    <s v="InfySoft Bhubaneswar"/>
    <n v="9.5"/>
  </r>
  <r>
    <s v="CAND0044"/>
    <s v="Debasmita Parida"/>
    <s v="Sales Manager"/>
    <s v="QA"/>
    <x v="4"/>
    <n v="4.8"/>
    <n v="6.1"/>
    <n v="5.4"/>
    <n v="195587"/>
    <m/>
    <x v="4"/>
    <s v="03-08-2023"/>
    <s v="BlueLotus IT"/>
    <n v="8.6999999999999993"/>
  </r>
  <r>
    <s v="CAND0045"/>
    <s v="Priyanka Jena"/>
    <s v="Software Engineer"/>
    <s v="Design"/>
    <x v="0"/>
    <n v="3.3"/>
    <n v="6"/>
    <n v="4.7"/>
    <n v="172657"/>
    <n v="163716"/>
    <x v="3"/>
    <s v="24-08-2024"/>
    <s v="CoastalDev Studio"/>
    <n v="7.2"/>
  </r>
  <r>
    <s v="CAND0046"/>
    <s v="Ipsita Sahu"/>
    <s v="Data Analyst"/>
    <s v="Finance"/>
    <x v="4"/>
    <n v="5.9"/>
    <m/>
    <n v="5.9"/>
    <n v="61815"/>
    <n v="66009"/>
    <x v="1"/>
    <s v="30-01-2023"/>
    <s v="TechNova Solutions"/>
    <n v="13.8"/>
  </r>
  <r>
    <s v="CAND0047"/>
    <s v="Namita Parida"/>
    <s v="UI Designer"/>
    <s v="Engineering"/>
    <x v="1"/>
    <n v="3.1"/>
    <n v="4.7"/>
    <n v="3.9"/>
    <n v="146052"/>
    <n v="129873"/>
    <x v="2"/>
    <s v="20-06-2023"/>
    <s v="OdishaCode Labs"/>
    <n v="4.0999999999999996"/>
  </r>
  <r>
    <s v="CAND0048"/>
    <s v="Rahul Mohapatra"/>
    <s v="Sales Manager"/>
    <s v="Product"/>
    <x v="4"/>
    <n v="4.8"/>
    <n v="7.9"/>
    <n v="6.3"/>
    <n v="53469"/>
    <n v="47821"/>
    <x v="1"/>
    <s v="23-06-2023"/>
    <s v="BlueLotus IT"/>
    <n v="4.2"/>
  </r>
  <r>
    <s v="CAND0049"/>
    <s v="Tapas Mohapatra"/>
    <s v="Sales Manager"/>
    <s v="Product"/>
    <x v="4"/>
    <n v="4.3"/>
    <n v="5.3"/>
    <n v="4.8"/>
    <n v="82666"/>
    <n v="78032"/>
    <x v="4"/>
    <s v="03-02-2024"/>
    <s v="BlueLotus IT"/>
    <n v="6.5"/>
  </r>
  <r>
    <s v="CAND0050"/>
    <s v="Abhishek Mishra"/>
    <s v="Product Manager"/>
    <s v="Marketing"/>
    <x v="3"/>
    <n v="7.2"/>
    <n v="5.9"/>
    <n v="6.6"/>
    <n v="112022"/>
    <n v="111420"/>
    <x v="4"/>
    <s v="06-06-2023"/>
    <s v="InfySoft Bhubaneswar"/>
    <n v="14.5"/>
  </r>
  <r>
    <s v="CAND0051"/>
    <s v="Soumya Biswal"/>
    <s v="Product Manager"/>
    <s v="Data Science"/>
    <x v="1"/>
    <n v="5.0999999999999996"/>
    <n v="6.6"/>
    <n v="5.8"/>
    <n v="190492"/>
    <n v="194921"/>
    <x v="0"/>
    <s v="08-04-2024"/>
    <s v="InfySoft Bhubaneswar"/>
    <n v="9.1999999999999993"/>
  </r>
  <r>
    <s v="CAND0052"/>
    <s v="Saurav Mishra"/>
    <s v="Sales Manager"/>
    <s v="Marketing"/>
    <x v="4"/>
    <n v="3.9"/>
    <n v="6.3"/>
    <n v="5.0999999999999996"/>
    <n v="30777"/>
    <n v="26704"/>
    <x v="1"/>
    <s v="03-11-2024"/>
    <s v="TechNova Solutions"/>
    <n v="3.7"/>
  </r>
  <r>
    <s v="CAND0053"/>
    <s v="Subhasree Samal"/>
    <s v="Sales Manager"/>
    <s v="Engineering"/>
    <x v="1"/>
    <n v="9.3000000000000007"/>
    <n v="5.2"/>
    <n v="7.2"/>
    <n v="187040"/>
    <m/>
    <x v="1"/>
    <s v="26-05-2023"/>
    <s v="NilGiri Digitals"/>
    <n v="12.1"/>
  </r>
  <r>
    <s v="CAND0054"/>
    <s v="Namita Sahoo"/>
    <s v="Software Engineer"/>
    <s v="Design"/>
    <x v="2"/>
    <n v="6.8"/>
    <n v="3.5"/>
    <n v="5.2"/>
    <n v="144671"/>
    <n v="150032"/>
    <x v="3"/>
    <s v="15-09-2023"/>
    <s v="OdishaCode Labs"/>
    <n v="14.9"/>
  </r>
  <r>
    <s v="CAND0055"/>
    <s v="Amlan Pattnaik"/>
    <s v="DevOps Engineer"/>
    <s v="Marketing"/>
    <x v="4"/>
    <n v="8.5"/>
    <n v="9.6"/>
    <n v="9.1"/>
    <n v="20578"/>
    <m/>
    <x v="1"/>
    <s v="20-09-2023"/>
    <s v="NilGiri Digitals"/>
    <n v="14.3"/>
  </r>
  <r>
    <s v="CAND0056"/>
    <s v="Amlan Mishra"/>
    <s v="Sales Manager"/>
    <s v="Product"/>
    <x v="0"/>
    <n v="3.1"/>
    <n v="3.9"/>
    <n v="3.5"/>
    <n v="56944"/>
    <m/>
    <x v="1"/>
    <s v="04-02-2023"/>
    <s v="SambalpurNet"/>
    <n v="13.1"/>
  </r>
  <r>
    <s v="CAND0057"/>
    <s v="Rajan Choudhury"/>
    <s v="Business Analyst"/>
    <s v="Sales"/>
    <x v="5"/>
    <n v="7.9"/>
    <n v="4.8"/>
    <n v="6.3"/>
    <n v="107452"/>
    <m/>
    <x v="3"/>
    <s v="02-11-2023"/>
    <s v="OdishaCode Labs"/>
    <n v="13.5"/>
  </r>
  <r>
    <s v="CAND0058"/>
    <s v="Bikash Jena"/>
    <s v="Product Manager"/>
    <s v="Sales"/>
    <x v="4"/>
    <n v="9.3000000000000007"/>
    <n v="7.9"/>
    <n v="8.6"/>
    <n v="35226"/>
    <n v="31094"/>
    <x v="4"/>
    <s v="13-03-2023"/>
    <s v="ZeroOneSystems"/>
    <n v="14"/>
  </r>
  <r>
    <s v="CAND0059"/>
    <s v="Debasmita Prusty"/>
    <s v="DevOps Engineer"/>
    <s v="DevOps"/>
    <x v="4"/>
    <n v="6.2"/>
    <n v="4.8"/>
    <n v="5.5"/>
    <n v="105266"/>
    <n v="102061"/>
    <x v="1"/>
    <s v="18-04-2024"/>
    <s v="KalingaTech Pvt Ltd"/>
    <n v="1.2"/>
  </r>
  <r>
    <s v="CAND0060"/>
    <s v="Nirmal Dhal"/>
    <s v="Software Engineer"/>
    <s v="Engineering"/>
    <x v="3"/>
    <n v="6.6"/>
    <n v="9"/>
    <n v="7.8"/>
    <n v="48089"/>
    <m/>
    <x v="1"/>
    <s v="05-02-2024"/>
    <s v="TributeAI"/>
    <n v="12.6"/>
  </r>
  <r>
    <s v="CAND0061"/>
    <s v="Tanmay Prusty"/>
    <s v="Data Analyst"/>
    <s v="Data Science"/>
    <x v="5"/>
    <n v="8"/>
    <m/>
    <n v="8"/>
    <n v="173697"/>
    <n v="152999"/>
    <x v="0"/>
    <s v="26-02-2023"/>
    <s v="UtkalSoft Technologies"/>
    <n v="14.2"/>
  </r>
  <r>
    <s v="CAND0062"/>
    <s v="Rahul Routray"/>
    <s v="Sales Manager"/>
    <s v="Finance"/>
    <x v="2"/>
    <n v="4.0999999999999996"/>
    <n v="4.5999999999999996"/>
    <n v="4.3"/>
    <n v="178122"/>
    <m/>
    <x v="0"/>
    <s v="17-12-2024"/>
    <s v="InfySoft Bhubaneswar"/>
    <n v="3.6"/>
  </r>
  <r>
    <s v="CAND0063"/>
    <s v="Subhasree Mohapatra"/>
    <s v="Cloud Architect"/>
    <s v="DevOps"/>
    <x v="0"/>
    <n v="5.9"/>
    <n v="4.3"/>
    <n v="5.0999999999999996"/>
    <n v="69391"/>
    <m/>
    <x v="2"/>
    <s v="14-01-2024"/>
    <s v="TechNova Solutions"/>
    <n v="9.4"/>
  </r>
  <r>
    <s v="CAND0064"/>
    <s v="Rahul Samal"/>
    <s v="HR Executive"/>
    <s v="Design"/>
    <x v="1"/>
    <n v="8"/>
    <n v="9.3000000000000007"/>
    <n v="8.6999999999999993"/>
    <n v="27129"/>
    <n v="26908"/>
    <x v="4"/>
    <s v="20-07-2023"/>
    <s v="SambalpurNet"/>
    <n v="10.9"/>
  </r>
  <r>
    <s v="CAND0065"/>
    <s v="Prasant Mishra"/>
    <s v="HR Executive"/>
    <s v="Sales"/>
    <x v="4"/>
    <n v="8.9"/>
    <n v="9.5"/>
    <n v="9.1999999999999993"/>
    <n v="129107"/>
    <n v="145758"/>
    <x v="3"/>
    <s v="08-05-2023"/>
    <s v="TechNova Solutions"/>
    <n v="1"/>
  </r>
  <r>
    <s v="CAND0066"/>
    <s v="Sudhansu Ratha"/>
    <s v="DevOps Engineer"/>
    <s v="QA"/>
    <x v="1"/>
    <n v="5.3"/>
    <n v="6.3"/>
    <n v="5.8"/>
    <n v="119642"/>
    <n v="117619"/>
    <x v="1"/>
    <s v="05-08-2023"/>
    <s v="KalingaTech Pvt Ltd"/>
    <n v="1.6"/>
  </r>
  <r>
    <s v="CAND0067"/>
    <s v="Tapas Routray"/>
    <s v="Sales Manager"/>
    <s v="DevOps"/>
    <x v="4"/>
    <m/>
    <n v="4.5"/>
    <m/>
    <n v="133370"/>
    <n v="120603"/>
    <x v="4"/>
    <s v="26-09-2024"/>
    <s v="CoastalDev Studio"/>
    <n v="5.0999999999999996"/>
  </r>
  <r>
    <s v="CAND0068"/>
    <s v="Bikash Choudhury"/>
    <s v="Software Engineer"/>
    <s v="Finance"/>
    <x v="3"/>
    <n v="6.8"/>
    <n v="7.2"/>
    <n v="7"/>
    <n v="174045"/>
    <n v="197218"/>
    <x v="1"/>
    <s v="01-02-2024"/>
    <s v="TributeAI"/>
    <n v="1.2"/>
  </r>
  <r>
    <s v="CAND0069"/>
    <s v="Alka Samal"/>
    <s v="Cloud Architect"/>
    <s v="Finance"/>
    <x v="0"/>
    <n v="8.8000000000000007"/>
    <n v="5.0999999999999996"/>
    <n v="7"/>
    <n v="70392"/>
    <m/>
    <x v="1"/>
    <s v="30-05-2023"/>
    <s v="CoastalDev Studio"/>
    <n v="8.9"/>
  </r>
  <r>
    <s v="CAND0070"/>
    <s v="Satyajit Choudhury"/>
    <s v="Sales Manager"/>
    <s v="Product"/>
    <x v="1"/>
    <n v="7.5"/>
    <n v="7"/>
    <n v="7.2"/>
    <n v="123290"/>
    <m/>
    <x v="1"/>
    <s v="23-05-2024"/>
    <s v="ZeroOneSystems"/>
    <n v="7.7"/>
  </r>
  <r>
    <s v="CAND0071"/>
    <s v="Dibya Padhi"/>
    <s v="Data Analyst"/>
    <s v="Design"/>
    <x v="2"/>
    <m/>
    <n v="4.5"/>
    <m/>
    <n v="56511"/>
    <n v="63401"/>
    <x v="4"/>
    <s v="04-03-2023"/>
    <s v="BlueLotus IT"/>
    <n v="2.5"/>
  </r>
  <r>
    <s v="CAND0072"/>
    <s v="Rahul Choudhury"/>
    <s v="DevOps Engineer"/>
    <s v="Finance"/>
    <x v="0"/>
    <n v="8.4"/>
    <n v="7.9"/>
    <n v="8.1999999999999993"/>
    <n v="125829"/>
    <m/>
    <x v="3"/>
    <s v="27-05-2023"/>
    <s v="BlueLotus IT"/>
    <n v="3.7"/>
  </r>
  <r>
    <s v="CAND0073"/>
    <s v="Nirmal Choudhury"/>
    <s v="Business Analyst"/>
    <s v="Finance"/>
    <x v="0"/>
    <n v="8.5"/>
    <n v="5.0999999999999996"/>
    <n v="6.8"/>
    <n v="34216"/>
    <m/>
    <x v="0"/>
    <s v="01-07-2023"/>
    <s v="OdishaCode Labs"/>
    <n v="1.9"/>
  </r>
  <r>
    <s v="CAND0074"/>
    <s v="Smita Nanda"/>
    <s v="HR Executive"/>
    <s v="Product"/>
    <x v="0"/>
    <n v="9.4"/>
    <n v="3.1"/>
    <n v="6.2"/>
    <n v="141909"/>
    <n v="150344"/>
    <x v="1"/>
    <s v="25-11-2024"/>
    <s v="SambalpurNet"/>
    <n v="1.5"/>
  </r>
  <r>
    <s v="CAND0075"/>
    <s v="Aditya Mohapatra"/>
    <s v="Cloud Architect"/>
    <s v="QA"/>
    <x v="2"/>
    <n v="6.4"/>
    <n v="8.1999999999999993"/>
    <n v="7.3"/>
    <n v="61665"/>
    <n v="64147"/>
    <x v="0"/>
    <s v="08-04-2023"/>
    <s v="SambalpurNet"/>
    <n v="4.9000000000000004"/>
  </r>
  <r>
    <s v="CAND0076"/>
    <s v="Rajan Mohapatra"/>
    <s v="Cloud Architect"/>
    <s v="Data Science"/>
    <x v="4"/>
    <n v="5.2"/>
    <n v="4.2"/>
    <n v="4.7"/>
    <n v="141496"/>
    <m/>
    <x v="0"/>
    <s v="07-11-2023"/>
    <s v="InfySoft Bhubaneswar"/>
    <n v="2"/>
  </r>
  <r>
    <s v="CAND0077"/>
    <s v="Lipsa Ratha"/>
    <s v="UI Designer"/>
    <s v="Data Science"/>
    <x v="0"/>
    <n v="3.5"/>
    <n v="8.8000000000000007"/>
    <n v="6.2"/>
    <n v="35262"/>
    <n v="32631"/>
    <x v="1"/>
    <s v="13-06-2023"/>
    <s v="UtkalSoft Technologies"/>
    <n v="14.7"/>
  </r>
  <r>
    <s v="CAND0078"/>
    <s v="Subhasree Mishra"/>
    <s v="Cloud Architect"/>
    <s v="HR"/>
    <x v="3"/>
    <n v="5.8"/>
    <n v="8.6999999999999993"/>
    <n v="7.2"/>
    <n v="110287"/>
    <n v="106409"/>
    <x v="3"/>
    <s v="04-06-2023"/>
    <s v="InfySoft Bhubaneswar"/>
    <n v="8.6999999999999993"/>
  </r>
  <r>
    <s v="CAND0079"/>
    <s v="Smita Mishra"/>
    <s v="Business Analyst"/>
    <s v="Design"/>
    <x v="2"/>
    <n v="7.1"/>
    <n v="7.2"/>
    <n v="7.2"/>
    <n v="143803"/>
    <n v="164896"/>
    <x v="1"/>
    <s v="10-03-2023"/>
    <s v="KalingaTech Pvt Ltd"/>
    <n v="6"/>
  </r>
  <r>
    <s v="CAND0080"/>
    <s v="Namita Pattnaik"/>
    <s v="QA Engineer"/>
    <s v="HR"/>
    <x v="2"/>
    <n v="3.9"/>
    <n v="6.2"/>
    <n v="5"/>
    <m/>
    <m/>
    <x v="4"/>
    <s v="14-10-2023"/>
    <s v="OdishaCode Labs"/>
    <n v="5.3"/>
  </r>
  <r>
    <s v="CAND0081"/>
    <s v="Alka Padhi"/>
    <s v="QA Engineer"/>
    <s v="Data Science"/>
    <x v="5"/>
    <n v="7.4"/>
    <n v="8.8000000000000007"/>
    <n v="8.1"/>
    <n v="97734"/>
    <n v="92021"/>
    <x v="4"/>
    <s v="25-11-2024"/>
    <s v="ZeroOneSystems"/>
    <n v="3.6"/>
  </r>
  <r>
    <s v="CAND0082"/>
    <s v="Namita Senapati"/>
    <s v="Product Manager"/>
    <s v="Marketing"/>
    <x v="5"/>
    <n v="7.5"/>
    <n v="4"/>
    <n v="5.8"/>
    <n v="190672"/>
    <n v="166185"/>
    <x v="4"/>
    <s v="02-12-2024"/>
    <s v="TributeAI"/>
    <n v="9.9"/>
  </r>
  <r>
    <s v="CAND0083"/>
    <s v="Ankita Parida"/>
    <s v="Sales Manager"/>
    <s v="DevOps"/>
    <x v="4"/>
    <n v="5.6"/>
    <n v="8"/>
    <n v="6.8"/>
    <n v="93200"/>
    <n v="93867"/>
    <x v="4"/>
    <s v="27-03-2023"/>
    <s v="CoastalDev Studio"/>
    <n v="11.2"/>
  </r>
  <r>
    <s v="CAND0084"/>
    <s v="Ipsita Behura"/>
    <s v="Business Analyst"/>
    <s v="QA"/>
    <x v="5"/>
    <n v="6.9"/>
    <m/>
    <n v="6.9"/>
    <n v="77608"/>
    <n v="67908"/>
    <x v="4"/>
    <s v="04-10-2023"/>
    <s v="ZeroOneSystems"/>
    <n v="6.8"/>
  </r>
  <r>
    <s v="CAND0085"/>
    <s v="Bikash Pattnaik"/>
    <s v="Product Manager"/>
    <s v="DevOps"/>
    <x v="0"/>
    <n v="4"/>
    <n v="5.2"/>
    <n v="4.5999999999999996"/>
    <n v="47895"/>
    <m/>
    <x v="4"/>
    <s v="26-02-2023"/>
    <s v="KalingaTech Pvt Ltd"/>
    <n v="6.4"/>
  </r>
  <r>
    <s v="CAND0086"/>
    <s v="Dibya Mohapatra"/>
    <s v="Cloud Architect"/>
    <s v="DevOps"/>
    <x v="0"/>
    <n v="5.8"/>
    <n v="7.8"/>
    <n v="6.8"/>
    <n v="193111"/>
    <n v="205760"/>
    <x v="1"/>
    <s v="12-08-2023"/>
    <s v="TributeAI"/>
    <n v="10.7"/>
  </r>
  <r>
    <s v="CAND0087"/>
    <s v="Soumya Jena"/>
    <s v="Product Manager"/>
    <s v="HR"/>
    <x v="1"/>
    <n v="8.1"/>
    <n v="6.5"/>
    <n v="7.3"/>
    <n v="151012"/>
    <n v="136761"/>
    <x v="3"/>
    <s v="21-09-2023"/>
    <s v="OdishaCode Labs"/>
    <n v="7.5"/>
  </r>
  <r>
    <s v="CAND0088"/>
    <s v="Nirmal Nanda"/>
    <s v="QA Engineer"/>
    <s v="Finance"/>
    <x v="4"/>
    <n v="8.4"/>
    <n v="3.7"/>
    <n v="6.1"/>
    <n v="155732"/>
    <n v="152306"/>
    <x v="1"/>
    <s v="13-06-2023"/>
    <s v="KalingaTech Pvt Ltd"/>
    <n v="12.6"/>
  </r>
  <r>
    <s v="CAND0089"/>
    <s v="Sangita Samal"/>
    <s v="Cloud Architect"/>
    <s v="HR"/>
    <x v="0"/>
    <n v="8.8000000000000007"/>
    <n v="7.1"/>
    <n v="8"/>
    <n v="144744"/>
    <m/>
    <x v="2"/>
    <s v="05-05-2023"/>
    <s v="OdishaCode Labs"/>
    <n v="12.8"/>
  </r>
  <r>
    <s v="CAND0090"/>
    <s v="Aditya Mohapatra"/>
    <s v="Product Manager"/>
    <s v="Engineering"/>
    <x v="1"/>
    <n v="9.9"/>
    <n v="8.5"/>
    <n v="9.1999999999999993"/>
    <n v="188620"/>
    <n v="175386"/>
    <x v="1"/>
    <s v="31-01-2023"/>
    <s v="CoastalDev Studio"/>
    <n v="12.8"/>
  </r>
  <r>
    <s v="CAND0091"/>
    <s v="Aditya Parida"/>
    <s v="HR Executive"/>
    <s v="Sales"/>
    <x v="2"/>
    <n v="8.3000000000000007"/>
    <n v="6.7"/>
    <n v="7.5"/>
    <n v="95485"/>
    <n v="107800"/>
    <x v="1"/>
    <s v="11-12-2023"/>
    <s v="KalingaTech Pvt Ltd"/>
    <n v="2.1"/>
  </r>
  <r>
    <s v="CAND0092"/>
    <s v="Chinmaya Mohapatra"/>
    <s v="Cloud Architect"/>
    <s v="Finance"/>
    <x v="1"/>
    <n v="5.0999999999999996"/>
    <n v="3.1"/>
    <n v="4.0999999999999996"/>
    <n v="95659"/>
    <n v="109976"/>
    <x v="1"/>
    <s v="04-06-2023"/>
    <s v="NilGiri Digitals"/>
    <n v="4"/>
  </r>
  <r>
    <s v="CAND0093"/>
    <s v="Namita Mohapatra"/>
    <s v="UI Designer"/>
    <s v="Design"/>
    <x v="2"/>
    <n v="3.5"/>
    <n v="6.8"/>
    <n v="5.2"/>
    <n v="79589"/>
    <n v="70936"/>
    <x v="3"/>
    <s v="02-12-2023"/>
    <s v="KalingaTech Pvt Ltd"/>
    <n v="13"/>
  </r>
  <r>
    <s v="CAND0094"/>
    <s v="Ranjit Nanda"/>
    <s v="QA Engineer"/>
    <s v="Marketing"/>
    <x v="1"/>
    <n v="6.8"/>
    <n v="5.9"/>
    <n v="6.3"/>
    <n v="147422"/>
    <n v="151979"/>
    <x v="0"/>
    <s v="22-05-2023"/>
    <s v="KalingaTech Pvt Ltd"/>
    <n v="12.3"/>
  </r>
  <r>
    <s v="CAND0095"/>
    <s v="Sangita Pattnaik"/>
    <s v="Software Engineer"/>
    <s v="Product"/>
    <x v="3"/>
    <n v="8.1999999999999993"/>
    <n v="8.1"/>
    <n v="8.1"/>
    <n v="135674"/>
    <n v="115839"/>
    <x v="2"/>
    <s v="09-06-2024"/>
    <s v="InfySoft Bhubaneswar"/>
    <n v="8.9"/>
  </r>
  <r>
    <s v="CAND0096"/>
    <s v="Amlan Prusty"/>
    <s v="DevOps Engineer"/>
    <s v="Marketing"/>
    <x v="4"/>
    <n v="6.7"/>
    <n v="4.0999999999999996"/>
    <n v="5.4"/>
    <n v="190442"/>
    <n v="165080"/>
    <x v="1"/>
    <s v="20-04-2023"/>
    <s v="CoastalDev Studio"/>
    <n v="8.4"/>
  </r>
  <r>
    <s v="CAND0097"/>
    <s v="Puspita Pattnaik"/>
    <s v="QA Engineer"/>
    <s v="Finance"/>
    <x v="5"/>
    <n v="9"/>
    <n v="6.5"/>
    <n v="7.8"/>
    <n v="90894"/>
    <n v="89108"/>
    <x v="2"/>
    <s v="08-11-2024"/>
    <s v="TechNova Solutions"/>
    <n v="12.5"/>
  </r>
  <r>
    <s v="CAND0098"/>
    <s v="Smita Choudhury"/>
    <s v="Product Manager"/>
    <s v="Finance"/>
    <x v="2"/>
    <n v="8.6"/>
    <n v="3.5"/>
    <n v="6"/>
    <n v="63434"/>
    <m/>
    <x v="4"/>
    <s v="02-02-2024"/>
    <s v="NilGiri Digitals"/>
    <n v="12.8"/>
  </r>
  <r>
    <s v="CAND0099"/>
    <s v="Satyajit Dhal"/>
    <s v="Product Manager"/>
    <s v="HR"/>
    <x v="0"/>
    <n v="4.5999999999999996"/>
    <n v="6"/>
    <n v="5.3"/>
    <n v="189712"/>
    <n v="205441"/>
    <x v="0"/>
    <s v="10-02-2024"/>
    <s v="CoastalDev Studio"/>
    <n v="11.1"/>
  </r>
  <r>
    <s v="CAND0100"/>
    <s v="Smita Ratha"/>
    <s v="HR Executive"/>
    <s v="Sales"/>
    <x v="4"/>
    <n v="9.4"/>
    <n v="5.7"/>
    <n v="7.6"/>
    <n v="140917"/>
    <n v="141399"/>
    <x v="4"/>
    <s v="03-03-2024"/>
    <s v="InfySoft Bhubaneswar"/>
    <n v="11.6"/>
  </r>
  <r>
    <s v="CAND0101"/>
    <s v="Aditya Sahu"/>
    <s v="Business Analyst"/>
    <s v="DevOps"/>
    <x v="1"/>
    <n v="9.1"/>
    <n v="7.4"/>
    <n v="8.1999999999999993"/>
    <n v="60954"/>
    <n v="68652"/>
    <x v="1"/>
    <s v="03-06-2023"/>
    <s v="ZeroOneSystems"/>
    <n v="9.1999999999999993"/>
  </r>
  <r>
    <s v="CAND0102"/>
    <s v="Nirmal Routray"/>
    <s v="Cloud Architect"/>
    <s v="Data Science"/>
    <x v="1"/>
    <n v="7.1"/>
    <n v="7.4"/>
    <n v="7.2"/>
    <n v="176308"/>
    <n v="194286"/>
    <x v="3"/>
    <s v="19-04-2023"/>
    <s v="ZeroOneSystems"/>
    <n v="4.7"/>
  </r>
  <r>
    <s v="CAND0103"/>
    <s v="Rajan Ratha"/>
    <s v="Business Analyst"/>
    <s v="Marketing"/>
    <x v="0"/>
    <n v="6.9"/>
    <n v="8.8000000000000007"/>
    <n v="7.9"/>
    <n v="171663"/>
    <n v="147075"/>
    <x v="4"/>
    <s v="19-06-2024"/>
    <s v="KalingaTech Pvt Ltd"/>
    <n v="2"/>
  </r>
  <r>
    <s v="CAND0104"/>
    <s v="Prasant Tripathy"/>
    <s v="HR Executive"/>
    <s v="Design"/>
    <x v="4"/>
    <n v="9.1"/>
    <n v="6"/>
    <n v="7.5"/>
    <n v="101358"/>
    <n v="116255"/>
    <x v="3"/>
    <s v="26-06-2024"/>
    <s v="TechNova Solutions"/>
    <n v="5.5"/>
  </r>
  <r>
    <s v="CAND0105"/>
    <s v="Soumya Mohapatra"/>
    <s v="QA Engineer"/>
    <s v="Data Science"/>
    <x v="5"/>
    <n v="9.1"/>
    <n v="7.2"/>
    <n v="8.1999999999999993"/>
    <n v="36251"/>
    <n v="39261"/>
    <x v="0"/>
    <s v="08-09-2024"/>
    <s v="ZeroOneSystems"/>
    <n v="3.5"/>
  </r>
  <r>
    <s v="CAND0106"/>
    <s v="Satyajit Jena"/>
    <s v="UI Designer"/>
    <s v="Finance"/>
    <x v="4"/>
    <n v="5.7"/>
    <n v="5.9"/>
    <n v="5.8"/>
    <n v="197317"/>
    <n v="199283"/>
    <x v="1"/>
    <s v="21-11-2024"/>
    <s v="ZeroOneSystems"/>
    <n v="5.7"/>
  </r>
  <r>
    <s v="CAND0107"/>
    <s v="Priyanka Tripathy"/>
    <s v="UI Designer"/>
    <s v="QA"/>
    <x v="4"/>
    <n v="8.9"/>
    <n v="8.6"/>
    <n v="8.8000000000000007"/>
    <n v="76892"/>
    <n v="84314"/>
    <x v="0"/>
    <s v="14-10-2023"/>
    <s v="InfySoft Bhubaneswar"/>
    <n v="6.5"/>
  </r>
  <r>
    <s v="CAND0108"/>
    <s v="Priyanka Tripathy"/>
    <s v="Data Analyst"/>
    <s v="Sales"/>
    <x v="5"/>
    <n v="5.9"/>
    <n v="9.5"/>
    <n v="7.7"/>
    <n v="49261"/>
    <n v="53520"/>
    <x v="2"/>
    <s v="14-12-2024"/>
    <s v="SilverByte Systems"/>
    <n v="3.6"/>
  </r>
  <r>
    <s v="CAND0109"/>
    <s v="Debasmita Parida"/>
    <s v="DevOps Engineer"/>
    <s v="HR"/>
    <x v="2"/>
    <n v="5.9"/>
    <n v="5.0999999999999996"/>
    <n v="5.5"/>
    <n v="95674"/>
    <n v="83369"/>
    <x v="3"/>
    <s v="17-02-2023"/>
    <s v="InfySoft Bhubaneswar"/>
    <n v="6.7"/>
  </r>
  <r>
    <s v="CAND0110"/>
    <s v="Barsha Jena"/>
    <s v="QA Engineer"/>
    <s v="Sales"/>
    <x v="4"/>
    <n v="5.6"/>
    <n v="3.6"/>
    <n v="4.5999999999999996"/>
    <n v="74310"/>
    <n v="81126"/>
    <x v="1"/>
    <s v="16-03-2023"/>
    <s v="OdishaCode Labs"/>
    <n v="9.5"/>
  </r>
  <r>
    <s v="CAND0111"/>
    <s v="Soumya Tripathy"/>
    <s v="Product Manager"/>
    <s v="Design"/>
    <x v="0"/>
    <n v="8.5"/>
    <n v="3.2"/>
    <n v="5.8"/>
    <n v="143450"/>
    <n v="121982"/>
    <x v="4"/>
    <s v="22-12-2023"/>
    <s v="OdishaCode Labs"/>
    <n v="8.5"/>
  </r>
  <r>
    <s v="CAND0112"/>
    <s v="Priyanka Pattnaik"/>
    <s v="Product Manager"/>
    <s v="Design"/>
    <x v="3"/>
    <n v="7.6"/>
    <n v="6.7"/>
    <n v="7.2"/>
    <n v="164077"/>
    <n v="146851"/>
    <x v="3"/>
    <s v="23-02-2023"/>
    <s v="InfySoft Bhubaneswar"/>
    <n v="11.7"/>
  </r>
  <r>
    <s v="CAND0113"/>
    <s v="Ankita Sahoo"/>
    <s v="Cloud Architect"/>
    <s v="HR"/>
    <x v="0"/>
    <n v="5.0999999999999996"/>
    <n v="3.4"/>
    <n v="4.2"/>
    <n v="111368"/>
    <n v="101709"/>
    <x v="0"/>
    <s v="28-05-2023"/>
    <s v="InfySoft Bhubaneswar"/>
    <n v="10.9"/>
  </r>
  <r>
    <s v="CAND0114"/>
    <s v="Ranjit Samal"/>
    <s v="Cloud Architect"/>
    <s v="DevOps"/>
    <x v="4"/>
    <n v="3.2"/>
    <n v="6"/>
    <n v="4.5999999999999996"/>
    <n v="114487"/>
    <n v="124489"/>
    <x v="2"/>
    <s v="04-05-2023"/>
    <s v="ZeroOneSystems"/>
    <n v="9.4"/>
  </r>
  <r>
    <s v="CAND0115"/>
    <s v="Aditya Mishra"/>
    <s v="Cloud Architect"/>
    <s v="QA"/>
    <x v="5"/>
    <n v="4.9000000000000004"/>
    <n v="6.6"/>
    <n v="5.8"/>
    <n v="196368"/>
    <n v="188403"/>
    <x v="2"/>
    <s v="06-07-2024"/>
    <s v="InfySoft Bhubaneswar"/>
    <n v="11.3"/>
  </r>
  <r>
    <s v="CAND0116"/>
    <s v="Jyotirmayee Biswal"/>
    <s v="UI Designer"/>
    <s v="Sales"/>
    <x v="3"/>
    <n v="7.8"/>
    <n v="6"/>
    <n v="6.9"/>
    <n v="93388"/>
    <m/>
    <x v="3"/>
    <s v="09-02-2023"/>
    <s v="UtkalSoft Technologies"/>
    <n v="6"/>
  </r>
  <r>
    <s v="CAND0117"/>
    <s v="Saurav Routray"/>
    <s v="Data Analyst"/>
    <s v="Data Science"/>
    <x v="1"/>
    <n v="5.5"/>
    <n v="9.5"/>
    <n v="7.5"/>
    <n v="169463"/>
    <n v="157274"/>
    <x v="2"/>
    <s v="18-07-2023"/>
    <s v="KalingaTech Pvt Ltd"/>
    <n v="8.1999999999999993"/>
  </r>
  <r>
    <s v="CAND0118"/>
    <s v="Ipsita Parida"/>
    <s v="Software Engineer"/>
    <s v="Finance"/>
    <x v="5"/>
    <n v="6.1"/>
    <m/>
    <n v="6.1"/>
    <n v="153319"/>
    <n v="169720"/>
    <x v="3"/>
    <s v="15-11-2023"/>
    <s v="KalingaTech Pvt Ltd"/>
    <n v="4.5999999999999996"/>
  </r>
  <r>
    <s v="CAND0119"/>
    <s v="Prasant Choudhury"/>
    <s v="UI Designer"/>
    <s v="Sales"/>
    <x v="1"/>
    <n v="9.6999999999999993"/>
    <n v="3.6"/>
    <n v="6.6"/>
    <n v="50644"/>
    <n v="51916"/>
    <x v="3"/>
    <s v="27-09-2024"/>
    <s v="BlueLotus IT"/>
    <n v="0.6"/>
  </r>
  <r>
    <s v="CAND0120"/>
    <s v="Sangita Tripathy"/>
    <s v="Cloud Architect"/>
    <s v="Sales"/>
    <x v="4"/>
    <n v="4.4000000000000004"/>
    <n v="5.7"/>
    <n v="5.0999999999999996"/>
    <n v="173222"/>
    <n v="147477"/>
    <x v="2"/>
    <s v="15-04-2024"/>
    <s v="OdishaCode Labs"/>
    <n v="6"/>
  </r>
  <r>
    <s v="CAND0121"/>
    <s v="Priyanka Ratha"/>
    <s v="Data Analyst"/>
    <s v="QA"/>
    <x v="2"/>
    <n v="6.7"/>
    <n v="3.4"/>
    <n v="5"/>
    <n v="23335"/>
    <n v="23409"/>
    <x v="4"/>
    <s v="12-11-2024"/>
    <s v="ZeroOneSystems"/>
    <n v="12.6"/>
  </r>
  <r>
    <s v="CAND0122"/>
    <s v="Aditya Sahoo"/>
    <s v="DevOps Engineer"/>
    <s v="Engineering"/>
    <x v="0"/>
    <n v="9.9"/>
    <n v="6.9"/>
    <n v="8.4"/>
    <n v="125428"/>
    <n v="112637"/>
    <x v="3"/>
    <s v="24-04-2023"/>
    <s v="TechNova Solutions"/>
    <n v="11.6"/>
  </r>
  <r>
    <s v="CAND0123"/>
    <s v="Rajan Choudhury"/>
    <s v="UI Designer"/>
    <s v="HR"/>
    <x v="5"/>
    <n v="3.8"/>
    <n v="9.5"/>
    <n v="6.7"/>
    <n v="150962"/>
    <n v="171826"/>
    <x v="2"/>
    <s v="16-11-2023"/>
    <s v="TechNova Solutions"/>
    <n v="1.3"/>
  </r>
  <r>
    <s v="CAND0124"/>
    <s v="Satyajit Choudhury"/>
    <s v="Sales Manager"/>
    <s v="Marketing"/>
    <x v="5"/>
    <n v="4.9000000000000004"/>
    <n v="9.1"/>
    <n v="7"/>
    <n v="65864"/>
    <n v="56525"/>
    <x v="4"/>
    <s v="18-03-2024"/>
    <s v="TechNova Solutions"/>
    <n v="12.9"/>
  </r>
  <r>
    <s v="CAND0125"/>
    <s v="Debasmita Routray"/>
    <s v="QA Engineer"/>
    <s v="Engineering"/>
    <x v="4"/>
    <n v="7.9"/>
    <n v="6.8"/>
    <n v="7.3"/>
    <n v="31856"/>
    <m/>
    <x v="2"/>
    <s v="22-06-2023"/>
    <s v="BlueLotus IT"/>
    <n v="12.2"/>
  </r>
  <r>
    <s v="CAND0126"/>
    <s v="Satyajit Biswal"/>
    <s v="Product Manager"/>
    <s v="Data Science"/>
    <x v="5"/>
    <n v="8.6"/>
    <n v="4.2"/>
    <n v="6.4"/>
    <n v="83009"/>
    <n v="89979"/>
    <x v="1"/>
    <s v="08-06-2024"/>
    <s v="OdishaCode Labs"/>
    <n v="1.3"/>
  </r>
  <r>
    <s v="CAND0127"/>
    <s v="Lipsa Mishra"/>
    <s v="Data Analyst"/>
    <s v="HR"/>
    <x v="1"/>
    <n v="9.4"/>
    <n v="4.5999999999999996"/>
    <n v="7"/>
    <n v="113288"/>
    <n v="125594"/>
    <x v="3"/>
    <s v="29-09-2023"/>
    <s v="OdishaCode Labs"/>
    <n v="13.6"/>
  </r>
  <r>
    <s v="CAND0128"/>
    <s v="Nirmal Choudhury"/>
    <s v="Cloud Architect"/>
    <s v="Engineering"/>
    <x v="2"/>
    <n v="7"/>
    <n v="4.3"/>
    <n v="5.7"/>
    <n v="106072"/>
    <n v="96107"/>
    <x v="4"/>
    <s v="31-10-2024"/>
    <s v="SambalpurNet"/>
    <n v="8.8000000000000007"/>
  </r>
  <r>
    <s v="CAND0129"/>
    <s v="Nirmal Prusty"/>
    <s v="UI Designer"/>
    <s v="Marketing"/>
    <x v="4"/>
    <n v="9.1999999999999993"/>
    <n v="6.1"/>
    <n v="7.6"/>
    <n v="184551"/>
    <n v="169486"/>
    <x v="1"/>
    <s v="05-07-2023"/>
    <s v="SambalpurNet"/>
    <n v="6.8"/>
  </r>
  <r>
    <s v="CAND0130"/>
    <s v="Namita Nanda"/>
    <s v="UI Designer"/>
    <s v="HR"/>
    <x v="5"/>
    <n v="3.4"/>
    <n v="5"/>
    <n v="4.2"/>
    <m/>
    <m/>
    <x v="3"/>
    <s v="10-04-2023"/>
    <s v="InfySoft Bhubaneswar"/>
    <n v="8.3000000000000007"/>
  </r>
  <r>
    <s v="CAND0131"/>
    <s v="Soumya Senapati"/>
    <s v="Software Engineer"/>
    <s v="Marketing"/>
    <x v="4"/>
    <n v="4.5999999999999996"/>
    <n v="7"/>
    <n v="5.8"/>
    <n v="116465"/>
    <n v="107912"/>
    <x v="1"/>
    <s v="04-12-2023"/>
    <s v="SilverByte Systems"/>
    <n v="14.8"/>
  </r>
  <r>
    <s v="CAND0132"/>
    <s v="Nirmal Padhi"/>
    <s v="Sales Manager"/>
    <s v="DevOps"/>
    <x v="2"/>
    <n v="8.8000000000000007"/>
    <n v="7.1"/>
    <n v="8"/>
    <n v="45681"/>
    <n v="45296"/>
    <x v="3"/>
    <s v="25-06-2024"/>
    <s v="ZeroOneSystems"/>
    <n v="14"/>
  </r>
  <r>
    <s v="CAND0133"/>
    <s v="Ranjit Pattnaik"/>
    <s v="Product Manager"/>
    <s v="DevOps"/>
    <x v="2"/>
    <n v="7.7"/>
    <n v="3.2"/>
    <n v="5.5"/>
    <n v="125751"/>
    <m/>
    <x v="4"/>
    <s v="21-11-2024"/>
    <s v="SambalpurNet"/>
    <n v="7.2"/>
  </r>
  <r>
    <s v="CAND0134"/>
    <s v="Debasmita Jena"/>
    <s v="Cloud Architect"/>
    <s v="Engineering"/>
    <x v="4"/>
    <n v="5.6"/>
    <n v="8.9"/>
    <n v="7.2"/>
    <n v="158305"/>
    <n v="137677"/>
    <x v="2"/>
    <s v="27-11-2023"/>
    <s v="KalingaTech Pvt Ltd"/>
    <n v="14.3"/>
  </r>
  <r>
    <s v="CAND0135"/>
    <s v="Sangita Jena"/>
    <s v="Product Manager"/>
    <s v="Product"/>
    <x v="3"/>
    <n v="3.9"/>
    <n v="4.8"/>
    <n v="4.3"/>
    <n v="190181"/>
    <n v="173360"/>
    <x v="0"/>
    <s v="12-02-2023"/>
    <s v="OdishaCode Labs"/>
    <n v="5.9"/>
  </r>
  <r>
    <s v="CAND0136"/>
    <s v="Chinmaya Choudhury"/>
    <s v="HR Executive"/>
    <s v="QA"/>
    <x v="1"/>
    <n v="7.2"/>
    <n v="3.7"/>
    <n v="5.5"/>
    <n v="37281"/>
    <m/>
    <x v="2"/>
    <s v="11-11-2024"/>
    <s v="ZeroOneSystems"/>
    <n v="4.5"/>
  </r>
  <r>
    <s v="CAND0137"/>
    <s v="Aditya Ratha"/>
    <s v="Sales Manager"/>
    <s v="Marketing"/>
    <x v="1"/>
    <n v="8.8000000000000007"/>
    <n v="6.9"/>
    <n v="7.9"/>
    <n v="100742"/>
    <m/>
    <x v="0"/>
    <s v="14-09-2023"/>
    <s v="ZeroOneSystems"/>
    <n v="13"/>
  </r>
  <r>
    <s v="CAND0138"/>
    <s v="Tanmay Behura"/>
    <s v="Business Analyst"/>
    <s v="Finance"/>
    <x v="4"/>
    <n v="8.6"/>
    <n v="5.6"/>
    <n v="7.1"/>
    <n v="43288"/>
    <n v="37830"/>
    <x v="1"/>
    <s v="12-01-2023"/>
    <s v="NilGiri Digitals"/>
    <n v="14.1"/>
  </r>
  <r>
    <s v="CAND0139"/>
    <s v="Rahul Biswal"/>
    <s v="Sales Manager"/>
    <s v="Finance"/>
    <x v="4"/>
    <n v="10"/>
    <n v="8.4"/>
    <n v="9.1999999999999993"/>
    <n v="56276"/>
    <n v="59525"/>
    <x v="0"/>
    <s v="25-11-2024"/>
    <s v="NilGiri Digitals"/>
    <n v="1.6"/>
  </r>
  <r>
    <s v="CAND0140"/>
    <s v="Smita Sahoo"/>
    <s v="Software Engineer"/>
    <s v="HR"/>
    <x v="1"/>
    <n v="9.3000000000000007"/>
    <n v="7.2"/>
    <n v="8.1999999999999993"/>
    <n v="87811"/>
    <n v="97621"/>
    <x v="3"/>
    <s v="26-01-2023"/>
    <s v="CoastalDev Studio"/>
    <n v="10.6"/>
  </r>
  <r>
    <s v="CAND0141"/>
    <s v="Sangita Sahoo"/>
    <s v="Software Engineer"/>
    <s v="QA"/>
    <x v="4"/>
    <n v="8.5"/>
    <n v="9.1"/>
    <n v="8.8000000000000007"/>
    <n v="72810"/>
    <n v="65414"/>
    <x v="4"/>
    <s v="20-04-2024"/>
    <s v="TechNova Solutions"/>
    <n v="9.1999999999999993"/>
  </r>
  <r>
    <s v="CAND0142"/>
    <s v="Nirmal Mahapatra"/>
    <s v="Cloud Architect"/>
    <s v="Data Science"/>
    <x v="1"/>
    <n v="6.4"/>
    <n v="6.7"/>
    <n v="6.6"/>
    <n v="121538"/>
    <m/>
    <x v="0"/>
    <s v="02-08-2023"/>
    <s v="BlueLotus IT"/>
    <n v="10.199999999999999"/>
  </r>
  <r>
    <s v="CAND0143"/>
    <s v="Jyotirmayee Choudhury"/>
    <s v="Data Analyst"/>
    <s v="Data Science"/>
    <x v="2"/>
    <n v="9.3000000000000007"/>
    <n v="8.1999999999999993"/>
    <n v="8.8000000000000007"/>
    <n v="87088"/>
    <m/>
    <x v="3"/>
    <s v="08-09-2023"/>
    <s v="OdishaCode Labs"/>
    <n v="4.5"/>
  </r>
  <r>
    <s v="CAND0144"/>
    <s v="Ankita Choudhury"/>
    <s v="Data Analyst"/>
    <s v="Sales"/>
    <x v="4"/>
    <n v="8.5"/>
    <n v="6.5"/>
    <n v="7.5"/>
    <n v="168283"/>
    <n v="151011"/>
    <x v="1"/>
    <s v="12-11-2023"/>
    <s v="SilverByte Systems"/>
    <n v="13.9"/>
  </r>
  <r>
    <s v="CAND0145"/>
    <s v="Sangita Biswal"/>
    <s v="Business Analyst"/>
    <s v="Finance"/>
    <x v="0"/>
    <n v="8.9"/>
    <n v="8.1"/>
    <n v="8.5"/>
    <n v="96585"/>
    <n v="109021"/>
    <x v="0"/>
    <s v="12-08-2023"/>
    <s v="TributeAI"/>
    <n v="13"/>
  </r>
  <r>
    <s v="CAND0146"/>
    <s v="Ipsita Mohapatra"/>
    <s v="DevOps Engineer"/>
    <s v="Product"/>
    <x v="4"/>
    <n v="7.2"/>
    <n v="5.6"/>
    <n v="6.4"/>
    <n v="67947"/>
    <n v="57764"/>
    <x v="4"/>
    <s v="14-06-2024"/>
    <s v="TributeAI"/>
    <n v="9.1"/>
  </r>
  <r>
    <s v="CAND0147"/>
    <s v="Tanmay Dhal"/>
    <s v="QA Engineer"/>
    <s v="Finance"/>
    <x v="2"/>
    <n v="4.5999999999999996"/>
    <n v="9.6"/>
    <n v="7.1"/>
    <n v="25417"/>
    <m/>
    <x v="2"/>
    <s v="16-05-2024"/>
    <s v="OdishaCode Labs"/>
    <n v="2.1"/>
  </r>
  <r>
    <s v="CAND0148"/>
    <s v="Lipsa Dhal"/>
    <s v="Software Engineer"/>
    <s v="DevOps"/>
    <x v="1"/>
    <n v="8.6999999999999993"/>
    <n v="7.4"/>
    <n v="8.1"/>
    <n v="81460"/>
    <n v="73258"/>
    <x v="3"/>
    <s v="03-07-2024"/>
    <s v="CoastalDev Studio"/>
    <n v="10.199999999999999"/>
  </r>
  <r>
    <s v="CAND0149"/>
    <s v="Priyanka Nanda"/>
    <s v="Business Analyst"/>
    <s v="Sales"/>
    <x v="4"/>
    <n v="9.1999999999999993"/>
    <n v="8.8000000000000007"/>
    <n v="9"/>
    <n v="151095"/>
    <n v="171679"/>
    <x v="4"/>
    <s v="24-11-2024"/>
    <s v="KalingaTech Pvt Ltd"/>
    <n v="14.7"/>
  </r>
  <r>
    <s v="CAND0150"/>
    <s v="Satyajit Ratha"/>
    <s v="Business Analyst"/>
    <s v="Engineering"/>
    <x v="3"/>
    <n v="3.5"/>
    <n v="3.3"/>
    <n v="3.4"/>
    <n v="135933"/>
    <n v="125384"/>
    <x v="1"/>
    <s v="30-08-2023"/>
    <s v="TechNova Solutions"/>
    <n v="7.9"/>
  </r>
  <r>
    <s v="CAND0151"/>
    <s v="Satyajit Jena"/>
    <s v="Product Manager"/>
    <s v="QA"/>
    <x v="1"/>
    <n v="4.2"/>
    <n v="5.5"/>
    <n v="4.8"/>
    <n v="174309"/>
    <n v="191122"/>
    <x v="3"/>
    <s v="08-03-2024"/>
    <s v="CoastalDev Studio"/>
    <n v="12.5"/>
  </r>
  <r>
    <s v="CAND0152"/>
    <s v="Saurav Senapati"/>
    <s v="DevOps Engineer"/>
    <s v="Design"/>
    <x v="5"/>
    <n v="8.1"/>
    <n v="7.4"/>
    <n v="7.8"/>
    <n v="138371"/>
    <n v="122000"/>
    <x v="2"/>
    <s v="28-06-2023"/>
    <s v="UtkalSoft Technologies"/>
    <n v="8.8000000000000007"/>
  </r>
  <r>
    <s v="CAND0153"/>
    <s v="Tapas Ratha"/>
    <s v="Data Analyst"/>
    <s v="Engineering"/>
    <x v="5"/>
    <n v="7.3"/>
    <n v="7.5"/>
    <n v="7.4"/>
    <n v="35759"/>
    <n v="39699"/>
    <x v="2"/>
    <s v="05-03-2024"/>
    <s v="NilGiri Digitals"/>
    <n v="1.2"/>
  </r>
  <r>
    <s v="CAND0154"/>
    <s v="Rahul Behura"/>
    <s v="DevOps Engineer"/>
    <s v="Engineering"/>
    <x v="0"/>
    <n v="8.1999999999999993"/>
    <n v="6.2"/>
    <n v="7.2"/>
    <n v="190853"/>
    <n v="203800"/>
    <x v="3"/>
    <s v="25-09-2023"/>
    <s v="NilGiri Digitals"/>
    <n v="6.1"/>
  </r>
  <r>
    <s v="CAND0155"/>
    <s v="Ipsita Ratha"/>
    <s v="Business Analyst"/>
    <s v="DevOps"/>
    <x v="3"/>
    <n v="8.9"/>
    <n v="8.9"/>
    <n v="8.9"/>
    <n v="57397"/>
    <m/>
    <x v="1"/>
    <s v="12-02-2023"/>
    <s v="SilverByte Systems"/>
    <n v="11.1"/>
  </r>
  <r>
    <s v="CAND0156"/>
    <s v="Smita Parida"/>
    <s v="UI Designer"/>
    <s v="DevOps"/>
    <x v="2"/>
    <n v="7.6"/>
    <n v="8.1999999999999993"/>
    <n v="7.9"/>
    <m/>
    <n v="190417"/>
    <x v="2"/>
    <s v="06-10-2024"/>
    <s v="TechNova Solutions"/>
    <n v="9.1"/>
  </r>
  <r>
    <s v="CAND0157"/>
    <s v="Saurav Biswal"/>
    <s v="Data Analyst"/>
    <s v="DevOps"/>
    <x v="3"/>
    <n v="6.4"/>
    <n v="3.7"/>
    <n v="5.0999999999999996"/>
    <n v="109108"/>
    <n v="95940"/>
    <x v="4"/>
    <s v="23-12-2023"/>
    <s v="CoastalDev Studio"/>
    <n v="12.5"/>
  </r>
  <r>
    <s v="CAND0158"/>
    <s v="Prasant Pattnaik"/>
    <s v="Cloud Architect"/>
    <s v="Engineering"/>
    <x v="0"/>
    <n v="4.5999999999999996"/>
    <n v="4.4000000000000004"/>
    <n v="4.5"/>
    <n v="186548"/>
    <n v="163103"/>
    <x v="3"/>
    <s v="18-01-2024"/>
    <s v="SilverByte Systems"/>
    <n v="13"/>
  </r>
  <r>
    <s v="CAND0159"/>
    <s v="Ipsita Mishra"/>
    <s v="QA Engineer"/>
    <s v="DevOps"/>
    <x v="5"/>
    <n v="9.1999999999999993"/>
    <n v="8.3000000000000007"/>
    <n v="8.8000000000000007"/>
    <n v="92818"/>
    <m/>
    <x v="2"/>
    <s v="13-05-2024"/>
    <s v="KalingaTech Pvt Ltd"/>
    <n v="11.8"/>
  </r>
  <r>
    <s v="CAND0160"/>
    <s v="Satyajit Mohapatra"/>
    <s v="Sales Manager"/>
    <s v="QA"/>
    <x v="5"/>
    <n v="7.2"/>
    <n v="3.7"/>
    <n v="5.5"/>
    <n v="38221"/>
    <m/>
    <x v="0"/>
    <s v="29-09-2024"/>
    <s v="KalingaTech Pvt Ltd"/>
    <n v="1.3"/>
  </r>
  <r>
    <s v="CAND0161"/>
    <s v="Chinmaya Sahoo"/>
    <s v="UI Designer"/>
    <s v="Design"/>
    <x v="1"/>
    <m/>
    <n v="6.9"/>
    <m/>
    <n v="68751"/>
    <m/>
    <x v="0"/>
    <s v="22-01-2024"/>
    <s v="SambalpurNet"/>
    <n v="10.7"/>
  </r>
  <r>
    <s v="CAND0162"/>
    <s v="Prasant Jena"/>
    <s v="HR Executive"/>
    <s v="Design"/>
    <x v="1"/>
    <n v="8.3000000000000007"/>
    <n v="5"/>
    <n v="6.7"/>
    <n v="28172"/>
    <m/>
    <x v="0"/>
    <s v="17-05-2023"/>
    <s v="OdishaCode Labs"/>
    <n v="9.4"/>
  </r>
  <r>
    <s v="CAND0163"/>
    <s v="Saurav Nanda"/>
    <s v="HR Executive"/>
    <s v="Engineering"/>
    <x v="4"/>
    <n v="7.2"/>
    <n v="4.2"/>
    <n v="5.7"/>
    <n v="37684"/>
    <n v="37221"/>
    <x v="3"/>
    <s v="13-02-2023"/>
    <s v="TributeAI"/>
    <n v="4.9000000000000004"/>
  </r>
  <r>
    <s v="CAND0164"/>
    <s v="Debasmita Mohapatra"/>
    <s v="Business Analyst"/>
    <s v="DevOps"/>
    <x v="0"/>
    <n v="10"/>
    <n v="6.8"/>
    <n v="8.4"/>
    <n v="84702"/>
    <n v="85009"/>
    <x v="3"/>
    <s v="23-10-2023"/>
    <s v="TechNova Solutions"/>
    <n v="10.199999999999999"/>
  </r>
  <r>
    <s v="CAND0165"/>
    <s v="Prasant Routray"/>
    <s v="DevOps Engineer"/>
    <s v="Engineering"/>
    <x v="4"/>
    <n v="6.5"/>
    <n v="5.7"/>
    <n v="6.1"/>
    <n v="32365"/>
    <n v="29977"/>
    <x v="4"/>
    <s v="10-06-2024"/>
    <s v="TributeAI"/>
    <n v="5.7"/>
  </r>
  <r>
    <s v="CAND0166"/>
    <s v="Sangita Choudhury"/>
    <s v="QA Engineer"/>
    <s v="Design"/>
    <x v="3"/>
    <n v="8.6999999999999993"/>
    <n v="8.1999999999999993"/>
    <n v="8.4"/>
    <n v="122697"/>
    <m/>
    <x v="0"/>
    <s v="18-04-2023"/>
    <s v="KalingaTech Pvt Ltd"/>
    <n v="4.0999999999999996"/>
  </r>
  <r>
    <s v="CAND0167"/>
    <s v="Bikash Behura"/>
    <s v="Business Analyst"/>
    <s v="HR"/>
    <x v="5"/>
    <n v="4.5999999999999996"/>
    <n v="6.6"/>
    <n v="5.6"/>
    <n v="120512"/>
    <n v="103613"/>
    <x v="0"/>
    <s v="27-10-2024"/>
    <s v="TechNova Solutions"/>
    <n v="14"/>
  </r>
  <r>
    <s v="CAND0168"/>
    <s v="Jyotirmayee Routray"/>
    <s v="HR Executive"/>
    <s v="Engineering"/>
    <x v="1"/>
    <n v="4.7"/>
    <n v="7.9"/>
    <n v="6.3"/>
    <m/>
    <m/>
    <x v="0"/>
    <s v="31-12-2023"/>
    <s v="InfySoft Bhubaneswar"/>
    <n v="8.1999999999999993"/>
  </r>
  <r>
    <s v="CAND0169"/>
    <s v="Subhasree Dhal"/>
    <s v="Sales Manager"/>
    <s v="Design"/>
    <x v="0"/>
    <n v="5.4"/>
    <n v="9.3000000000000007"/>
    <n v="7.4"/>
    <n v="138859"/>
    <m/>
    <x v="2"/>
    <s v="03-02-2024"/>
    <s v="BlueLotus IT"/>
    <n v="4"/>
  </r>
  <r>
    <s v="CAND0170"/>
    <s v="Sangita Prusty"/>
    <s v="Cloud Architect"/>
    <s v="Sales"/>
    <x v="1"/>
    <n v="5.5"/>
    <n v="6.8"/>
    <n v="6.2"/>
    <n v="183772"/>
    <m/>
    <x v="1"/>
    <s v="22-06-2024"/>
    <s v="SilverByte Systems"/>
    <n v="4.5"/>
  </r>
  <r>
    <s v="CAND0171"/>
    <s v="Debasmita Jena"/>
    <s v="HR Executive"/>
    <s v="Design"/>
    <x v="0"/>
    <n v="7.7"/>
    <n v="4.9000000000000004"/>
    <n v="6.3"/>
    <n v="179364"/>
    <n v="153566"/>
    <x v="3"/>
    <s v="14-03-2024"/>
    <s v="TributeAI"/>
    <n v="4"/>
  </r>
  <r>
    <s v="CAND0172"/>
    <s v="Bikash Pattnaik"/>
    <s v="QA Engineer"/>
    <s v="QA"/>
    <x v="4"/>
    <n v="5.4"/>
    <n v="6.6"/>
    <n v="6"/>
    <n v="133051"/>
    <n v="144178"/>
    <x v="0"/>
    <s v="03-02-2024"/>
    <s v="InfySoft Bhubaneswar"/>
    <n v="6.2"/>
  </r>
  <r>
    <s v="CAND0173"/>
    <s v="Bikash Tripathy"/>
    <s v="DevOps Engineer"/>
    <s v="Engineering"/>
    <x v="1"/>
    <n v="6.1"/>
    <n v="5.2"/>
    <n v="5.7"/>
    <n v="42371"/>
    <n v="36700"/>
    <x v="0"/>
    <s v="19-05-2024"/>
    <s v="ZeroOneSystems"/>
    <n v="14.5"/>
  </r>
  <r>
    <s v="CAND0174"/>
    <s v="Satyajit Pattnaik"/>
    <s v="Product Manager"/>
    <s v="Design"/>
    <x v="3"/>
    <n v="4.3"/>
    <n v="8.6"/>
    <n v="6.4"/>
    <n v="54730"/>
    <n v="56814"/>
    <x v="3"/>
    <s v="17-03-2023"/>
    <s v="SambalpurNet"/>
    <n v="2.8"/>
  </r>
  <r>
    <s v="CAND0175"/>
    <s v="Priyanka Samal"/>
    <s v="Data Analyst"/>
    <s v="QA"/>
    <x v="1"/>
    <n v="6.4"/>
    <n v="8.1"/>
    <n v="7.2"/>
    <n v="194025"/>
    <n v="216621"/>
    <x v="4"/>
    <s v="26-05-2024"/>
    <s v="UtkalSoft Technologies"/>
    <n v="9.1999999999999993"/>
  </r>
  <r>
    <s v="CAND0176"/>
    <s v="Smita Tripathy"/>
    <s v="UI Designer"/>
    <s v="Finance"/>
    <x v="4"/>
    <n v="7.9"/>
    <n v="5.7"/>
    <n v="6.8"/>
    <n v="97376"/>
    <n v="91485"/>
    <x v="3"/>
    <s v="20-07-2023"/>
    <s v="TechNova Solutions"/>
    <n v="6.8"/>
  </r>
  <r>
    <s v="CAND0177"/>
    <s v="Lipsa Dhal"/>
    <s v="DevOps Engineer"/>
    <s v="Finance"/>
    <x v="4"/>
    <n v="6.4"/>
    <n v="7.2"/>
    <n v="6.8"/>
    <n v="28026"/>
    <n v="26088"/>
    <x v="0"/>
    <s v="09-11-2023"/>
    <s v="SilverByte Systems"/>
    <n v="14.9"/>
  </r>
  <r>
    <s v="CAND0178"/>
    <s v="Rajan Sahoo"/>
    <s v="Business Analyst"/>
    <s v="Marketing"/>
    <x v="0"/>
    <n v="4.7"/>
    <n v="4.7"/>
    <n v="4.7"/>
    <m/>
    <m/>
    <x v="4"/>
    <s v="02-07-2023"/>
    <s v="BlueLotus IT"/>
    <n v="11"/>
  </r>
  <r>
    <s v="CAND0179"/>
    <s v="Tapas Ratha"/>
    <s v="DevOps Engineer"/>
    <s v="Design"/>
    <x v="0"/>
    <n v="4.0999999999999996"/>
    <m/>
    <n v="4.0999999999999996"/>
    <n v="56805"/>
    <n v="48886"/>
    <x v="1"/>
    <s v="25-04-2023"/>
    <s v="SambalpurNet"/>
    <n v="9.3000000000000007"/>
  </r>
  <r>
    <s v="CAND0180"/>
    <s v="Lipsa Parida"/>
    <s v="Software Engineer"/>
    <s v="QA"/>
    <x v="4"/>
    <n v="5.5"/>
    <n v="5.5"/>
    <n v="5.5"/>
    <n v="28878"/>
    <m/>
    <x v="2"/>
    <s v="05-04-2023"/>
    <s v="SambalpurNet"/>
    <n v="14"/>
  </r>
  <r>
    <s v="CAND0181"/>
    <s v="Puspita Parida"/>
    <s v="Data Analyst"/>
    <s v="Product"/>
    <x v="5"/>
    <n v="5.9"/>
    <n v="4.5999999999999996"/>
    <n v="5.2"/>
    <m/>
    <n v="92756"/>
    <x v="0"/>
    <s v="06-10-2024"/>
    <s v="SambalpurNet"/>
    <n v="1.8"/>
  </r>
  <r>
    <s v="CAND0182"/>
    <s v="Priyanka Pattnaik"/>
    <s v="QA Engineer"/>
    <s v="Sales"/>
    <x v="0"/>
    <n v="4.4000000000000004"/>
    <n v="7.1"/>
    <n v="5.8"/>
    <n v="66558"/>
    <n v="67079"/>
    <x v="0"/>
    <s v="19-02-2024"/>
    <s v="KalingaTech Pvt Ltd"/>
    <n v="2.5"/>
  </r>
  <r>
    <s v="CAND0183"/>
    <s v="Tanmay Dhal"/>
    <s v="Data Analyst"/>
    <s v="HR"/>
    <x v="4"/>
    <n v="9.5"/>
    <m/>
    <n v="9.5"/>
    <n v="159697"/>
    <n v="183242"/>
    <x v="4"/>
    <s v="19-12-2023"/>
    <s v="CoastalDev Studio"/>
    <n v="3.7"/>
  </r>
  <r>
    <s v="CAND0184"/>
    <s v="Soumya Prusty"/>
    <s v="DevOps Engineer"/>
    <s v="Product"/>
    <x v="4"/>
    <n v="3.2"/>
    <n v="8.3000000000000007"/>
    <n v="5.8"/>
    <n v="186358"/>
    <m/>
    <x v="3"/>
    <s v="23-01-2023"/>
    <s v="TechNova Solutions"/>
    <n v="12.2"/>
  </r>
  <r>
    <s v="CAND0185"/>
    <s v="Rajan Mohapatra"/>
    <s v="UI Designer"/>
    <s v="Sales"/>
    <x v="5"/>
    <n v="7.1"/>
    <n v="6.3"/>
    <n v="6.7"/>
    <n v="105022"/>
    <m/>
    <x v="1"/>
    <s v="13-05-2023"/>
    <s v="SambalpurNet"/>
    <n v="7.8"/>
  </r>
  <r>
    <s v="CAND0186"/>
    <s v="Debasmita Nanda"/>
    <s v="Cloud Architect"/>
    <s v="DevOps"/>
    <x v="4"/>
    <n v="9.3000000000000007"/>
    <n v="3.5"/>
    <n v="6.4"/>
    <n v="147764"/>
    <m/>
    <x v="0"/>
    <s v="29-04-2024"/>
    <s v="UtkalSoft Technologies"/>
    <n v="11"/>
  </r>
  <r>
    <s v="CAND0187"/>
    <s v="Puspita Nanda"/>
    <s v="DevOps Engineer"/>
    <s v="Sales"/>
    <x v="4"/>
    <n v="3.5"/>
    <n v="9.8000000000000007"/>
    <n v="6.7"/>
    <n v="156702"/>
    <n v="156877"/>
    <x v="2"/>
    <s v="05-09-2024"/>
    <s v="NilGiri Digitals"/>
    <n v="1.6"/>
  </r>
  <r>
    <s v="CAND0188"/>
    <s v="Sangita Behura"/>
    <s v="Business Analyst"/>
    <s v="DevOps"/>
    <x v="4"/>
    <n v="5.2"/>
    <n v="7.5"/>
    <n v="6.3"/>
    <n v="162104"/>
    <m/>
    <x v="4"/>
    <s v="02-09-2023"/>
    <s v="SilverByte Systems"/>
    <n v="3.3"/>
  </r>
  <r>
    <s v="CAND0189"/>
    <s v="Ranjit Padhi"/>
    <s v="Cloud Architect"/>
    <s v="Engineering"/>
    <x v="2"/>
    <n v="6.6"/>
    <n v="8.9"/>
    <n v="7.8"/>
    <n v="183875"/>
    <n v="197635"/>
    <x v="4"/>
    <s v="02-03-2023"/>
    <s v="KalingaTech Pvt Ltd"/>
    <n v="9.4"/>
  </r>
  <r>
    <s v="CAND0190"/>
    <s v="Abhishek Prusty"/>
    <s v="Product Manager"/>
    <s v="Product"/>
    <x v="1"/>
    <n v="8.6"/>
    <n v="4.8"/>
    <n v="6.7"/>
    <n v="66349"/>
    <n v="63129"/>
    <x v="1"/>
    <s v="13-09-2023"/>
    <s v="TechNova Solutions"/>
    <n v="1.7"/>
  </r>
  <r>
    <s v="CAND0191"/>
    <s v="Sudhansu Choudhury"/>
    <s v="QA Engineer"/>
    <s v="DevOps"/>
    <x v="4"/>
    <n v="7.4"/>
    <n v="9.1999999999999993"/>
    <n v="8.3000000000000007"/>
    <n v="125280"/>
    <n v="126503"/>
    <x v="3"/>
    <s v="20-07-2023"/>
    <s v="CoastalDev Studio"/>
    <n v="12.1"/>
  </r>
  <r>
    <s v="CAND0192"/>
    <s v="Chinmaya Mishra"/>
    <s v="UI Designer"/>
    <s v="Engineering"/>
    <x v="5"/>
    <n v="4.7"/>
    <n v="3.5"/>
    <n v="4.0999999999999996"/>
    <n v="138187"/>
    <n v="124301"/>
    <x v="0"/>
    <s v="28-09-2023"/>
    <s v="TributeAI"/>
    <n v="10.4"/>
  </r>
  <r>
    <s v="CAND0193"/>
    <s v="Prasant Mohapatra"/>
    <s v="DevOps Engineer"/>
    <s v="QA"/>
    <x v="4"/>
    <n v="7.6"/>
    <n v="8.8000000000000007"/>
    <n v="8.1999999999999993"/>
    <n v="35593"/>
    <n v="32545"/>
    <x v="3"/>
    <s v="12-10-2023"/>
    <s v="ZeroOneSystems"/>
    <n v="1.3"/>
  </r>
  <r>
    <s v="CAND0194"/>
    <s v="Priyanka Padhi"/>
    <s v="Data Analyst"/>
    <s v="Product"/>
    <x v="4"/>
    <n v="9.6"/>
    <n v="6.1"/>
    <n v="7.8"/>
    <n v="69626"/>
    <n v="64903"/>
    <x v="0"/>
    <s v="27-10-2024"/>
    <s v="TechNova Solutions"/>
    <n v="15"/>
  </r>
  <r>
    <s v="CAND0195"/>
    <s v="Abhishek Dhal"/>
    <s v="Software Engineer"/>
    <s v="QA"/>
    <x v="1"/>
    <n v="9.9"/>
    <n v="6.2"/>
    <n v="8.1"/>
    <n v="86397"/>
    <n v="98279"/>
    <x v="0"/>
    <s v="30-07-2024"/>
    <s v="TechNova Solutions"/>
    <n v="6.6"/>
  </r>
  <r>
    <s v="CAND0196"/>
    <s v="Dibya Choudhury"/>
    <s v="HR Executive"/>
    <s v="QA"/>
    <x v="4"/>
    <n v="6.9"/>
    <n v="3.5"/>
    <n v="5.2"/>
    <n v="59002"/>
    <m/>
    <x v="1"/>
    <s v="06-05-2024"/>
    <s v="TechNova Solutions"/>
    <n v="4.9000000000000004"/>
  </r>
  <r>
    <s v="CAND0197"/>
    <s v="Tapas Senapati"/>
    <s v="QA Engineer"/>
    <s v="DevOps"/>
    <x v="0"/>
    <n v="9.6"/>
    <n v="7.9"/>
    <n v="8.8000000000000007"/>
    <n v="77128"/>
    <n v="83897"/>
    <x v="1"/>
    <s v="14-07-2024"/>
    <s v="NilGiri Digitals"/>
    <n v="0.7"/>
  </r>
  <r>
    <s v="CAND0198"/>
    <s v="Sangita Mohapatra"/>
    <s v="Software Engineer"/>
    <s v="Finance"/>
    <x v="3"/>
    <n v="6.6"/>
    <n v="3.1"/>
    <n v="4.8"/>
    <n v="139359"/>
    <m/>
    <x v="3"/>
    <s v="20-01-2023"/>
    <s v="ZeroOneSystems"/>
    <n v="11.5"/>
  </r>
  <r>
    <s v="CAND0199"/>
    <s v="Smita Sahoo"/>
    <s v="Sales Manager"/>
    <s v="Engineering"/>
    <x v="4"/>
    <n v="8.6"/>
    <n v="8.1999999999999993"/>
    <n v="8.4"/>
    <n v="145177"/>
    <m/>
    <x v="1"/>
    <s v="23-07-2024"/>
    <s v="ZeroOneSystems"/>
    <n v="0.8"/>
  </r>
  <r>
    <s v="CAND0200"/>
    <s v="Ranjit Padhi"/>
    <s v="Cloud Architect"/>
    <s v="Finance"/>
    <x v="4"/>
    <n v="9.4"/>
    <n v="9.5"/>
    <n v="9.4"/>
    <n v="41670"/>
    <n v="36261"/>
    <x v="0"/>
    <s v="19-03-2024"/>
    <s v="ZeroOneSystems"/>
    <n v="1.2"/>
  </r>
  <r>
    <s v="CAND0201"/>
    <s v="Dibya Mishra"/>
    <s v="UI Designer"/>
    <s v="HR"/>
    <x v="3"/>
    <n v="6"/>
    <n v="4.4000000000000004"/>
    <n v="5.2"/>
    <n v="120201"/>
    <n v="115429"/>
    <x v="2"/>
    <s v="10-01-2024"/>
    <s v="ZeroOneSystems"/>
    <n v="9.4"/>
  </r>
  <r>
    <s v="CAND0202"/>
    <s v="Aditya Ratha"/>
    <s v="Product Manager"/>
    <s v="QA"/>
    <x v="3"/>
    <n v="5.8"/>
    <n v="6.9"/>
    <n v="6.3"/>
    <n v="36100"/>
    <n v="37627"/>
    <x v="1"/>
    <s v="25-01-2024"/>
    <s v="NilGiri Digitals"/>
    <n v="11.9"/>
  </r>
  <r>
    <s v="CAND0203"/>
    <s v="Sangita Samal"/>
    <s v="Cloud Architect"/>
    <s v="Data Science"/>
    <x v="0"/>
    <n v="3.4"/>
    <n v="3.8"/>
    <n v="3.6"/>
    <n v="65429"/>
    <n v="72581"/>
    <x v="4"/>
    <s v="19-01-2024"/>
    <s v="ZeroOneSystems"/>
    <n v="10.1"/>
  </r>
  <r>
    <s v="CAND0204"/>
    <s v="Rajan Tripathy"/>
    <s v="HR Executive"/>
    <s v="Product"/>
    <x v="1"/>
    <n v="3.7"/>
    <n v="4.4000000000000004"/>
    <n v="4.0999999999999996"/>
    <n v="151768"/>
    <n v="160253"/>
    <x v="2"/>
    <s v="21-07-2023"/>
    <s v="TributeAI"/>
    <n v="10"/>
  </r>
  <r>
    <s v="CAND0205"/>
    <s v="Satyajit Sahoo"/>
    <s v="HR Executive"/>
    <s v="HR"/>
    <x v="4"/>
    <n v="8.6999999999999993"/>
    <n v="7.3"/>
    <n v="8"/>
    <n v="83576"/>
    <m/>
    <x v="1"/>
    <s v="08-03-2024"/>
    <s v="UtkalSoft Technologies"/>
    <n v="14.7"/>
  </r>
  <r>
    <s v="CAND0206"/>
    <s v="Amlan Routray"/>
    <s v="QA Engineer"/>
    <s v="Product"/>
    <x v="1"/>
    <n v="6.6"/>
    <n v="9.5"/>
    <n v="8.1"/>
    <n v="130549"/>
    <n v="112699"/>
    <x v="2"/>
    <s v="29-04-2023"/>
    <s v="KalingaTech Pvt Ltd"/>
    <n v="11.1"/>
  </r>
  <r>
    <s v="CAND0207"/>
    <s v="Tapas Pattnaik"/>
    <s v="Product Manager"/>
    <s v="Engineering"/>
    <x v="1"/>
    <n v="9.1"/>
    <n v="6"/>
    <n v="7.5"/>
    <n v="182779"/>
    <n v="163621"/>
    <x v="2"/>
    <s v="29-12-2024"/>
    <s v="BlueLotus IT"/>
    <n v="3.4"/>
  </r>
  <r>
    <s v="CAND0208"/>
    <s v="Smita Mohapatra"/>
    <s v="Sales Manager"/>
    <s v="Finance"/>
    <x v="3"/>
    <n v="8"/>
    <n v="8.6"/>
    <n v="8.3000000000000007"/>
    <n v="163521"/>
    <m/>
    <x v="4"/>
    <s v="19-04-2024"/>
    <s v="BlueLotus IT"/>
    <n v="14.6"/>
  </r>
  <r>
    <s v="CAND0209"/>
    <s v="Amlan Mohapatra"/>
    <s v="HR Executive"/>
    <s v="Marketing"/>
    <x v="4"/>
    <n v="3.1"/>
    <n v="7.7"/>
    <n v="5.4"/>
    <m/>
    <m/>
    <x v="1"/>
    <s v="02-06-2024"/>
    <s v="SambalpurNet"/>
    <n v="8"/>
  </r>
  <r>
    <s v="CAND0210"/>
    <s v="Rajan Samal"/>
    <s v="QA Engineer"/>
    <s v="Marketing"/>
    <x v="0"/>
    <n v="9"/>
    <n v="3.4"/>
    <n v="6.2"/>
    <n v="189767"/>
    <n v="189090"/>
    <x v="2"/>
    <s v="02-11-2023"/>
    <s v="OdishaCode Labs"/>
    <n v="7"/>
  </r>
  <r>
    <s v="CAND0211"/>
    <s v="Aditya Tripathy"/>
    <s v="Data Analyst"/>
    <s v="Sales"/>
    <x v="2"/>
    <n v="7.3"/>
    <n v="3.2"/>
    <n v="5.2"/>
    <n v="68492"/>
    <n v="61221"/>
    <x v="3"/>
    <s v="10-12-2024"/>
    <s v="SambalpurNet"/>
    <n v="8.1999999999999993"/>
  </r>
  <r>
    <s v="CAND0212"/>
    <s v="Nirmal Senapati"/>
    <s v="DevOps Engineer"/>
    <s v="Marketing"/>
    <x v="4"/>
    <n v="9.1"/>
    <n v="8.4"/>
    <n v="8.8000000000000007"/>
    <n v="189452"/>
    <n v="163252"/>
    <x v="1"/>
    <s v="20-11-2023"/>
    <s v="NilGiri Digitals"/>
    <n v="2.9"/>
  </r>
  <r>
    <s v="CAND0213"/>
    <s v="Puspita Senapati"/>
    <s v="Product Manager"/>
    <s v="Product"/>
    <x v="2"/>
    <n v="9.5"/>
    <n v="7"/>
    <n v="8.1999999999999993"/>
    <n v="166025"/>
    <m/>
    <x v="3"/>
    <s v="18-02-2024"/>
    <s v="ZeroOneSystems"/>
    <n v="10"/>
  </r>
  <r>
    <s v="CAND0214"/>
    <s v="Priyanka Pattnaik"/>
    <s v="Sales Manager"/>
    <s v="DevOps"/>
    <x v="3"/>
    <n v="7.7"/>
    <n v="6.5"/>
    <n v="7.1"/>
    <n v="162815"/>
    <n v="143661"/>
    <x v="2"/>
    <s v="05-05-2023"/>
    <s v="UtkalSoft Technologies"/>
    <n v="1.4"/>
  </r>
  <r>
    <s v="CAND0215"/>
    <s v="Soumya Mohapatra"/>
    <s v="Cloud Architect"/>
    <s v="QA"/>
    <x v="0"/>
    <n v="8.5"/>
    <n v="9.1999999999999993"/>
    <n v="8.8000000000000007"/>
    <n v="187838"/>
    <n v="176973"/>
    <x v="1"/>
    <s v="16-07-2024"/>
    <s v="OdishaCode Labs"/>
    <n v="13.9"/>
  </r>
  <r>
    <s v="CAND0216"/>
    <s v="Puspita Sahoo"/>
    <s v="Business Analyst"/>
    <s v="Sales"/>
    <x v="3"/>
    <n v="3.7"/>
    <n v="5"/>
    <n v="4.3"/>
    <n v="119294"/>
    <n v="112096"/>
    <x v="4"/>
    <s v="22-09-2023"/>
    <s v="UtkalSoft Technologies"/>
    <n v="13.3"/>
  </r>
  <r>
    <s v="CAND0217"/>
    <s v="Debasmita Samal"/>
    <s v="UI Designer"/>
    <s v="Product"/>
    <x v="5"/>
    <n v="3.1"/>
    <n v="9.6999999999999993"/>
    <n v="6.4"/>
    <n v="36846"/>
    <n v="40641"/>
    <x v="4"/>
    <s v="27-10-2023"/>
    <s v="OdishaCode Labs"/>
    <n v="6.1"/>
  </r>
  <r>
    <s v="CAND0218"/>
    <s v="Lipsa Samal"/>
    <s v="Product Manager"/>
    <s v="Engineering"/>
    <x v="1"/>
    <n v="3.6"/>
    <n v="5.4"/>
    <n v="4.5"/>
    <n v="35014"/>
    <n v="30159"/>
    <x v="1"/>
    <s v="10-06-2023"/>
    <s v="NilGiri Digitals"/>
    <n v="4.4000000000000004"/>
  </r>
  <r>
    <s v="CAND0219"/>
    <s v="Smita Samal"/>
    <s v="Data Analyst"/>
    <s v="QA"/>
    <x v="1"/>
    <n v="5.8"/>
    <n v="3.2"/>
    <n v="4.5"/>
    <n v="188798"/>
    <n v="197255"/>
    <x v="3"/>
    <s v="23-02-2024"/>
    <s v="SambalpurNet"/>
    <n v="3.1"/>
  </r>
  <r>
    <s v="CAND0220"/>
    <s v="Ipsita Sahu"/>
    <s v="QA Engineer"/>
    <s v="Engineering"/>
    <x v="5"/>
    <n v="4.4000000000000004"/>
    <n v="3.5"/>
    <n v="4"/>
    <n v="26259"/>
    <n v="24536"/>
    <x v="3"/>
    <s v="06-07-2023"/>
    <s v="TributeAI"/>
    <n v="5.7"/>
  </r>
  <r>
    <s v="CAND0221"/>
    <s v="Bikash Mohapatra"/>
    <s v="HR Executive"/>
    <s v="Sales"/>
    <x v="1"/>
    <n v="9.6"/>
    <n v="8.1999999999999993"/>
    <n v="8.9"/>
    <n v="147437"/>
    <n v="159246"/>
    <x v="4"/>
    <s v="21-05-2023"/>
    <s v="ZeroOneSystems"/>
    <n v="10.3"/>
  </r>
  <r>
    <s v="CAND0222"/>
    <s v="Sangita Samal"/>
    <s v="Sales Manager"/>
    <s v="HR"/>
    <x v="1"/>
    <n v="3.3"/>
    <n v="4"/>
    <n v="3.6"/>
    <n v="57939"/>
    <m/>
    <x v="0"/>
    <s v="29-12-2023"/>
    <s v="ZeroOneSystems"/>
    <n v="1.6"/>
  </r>
  <r>
    <s v="CAND0223"/>
    <s v="Puspita Mishra"/>
    <s v="Cloud Architect"/>
    <s v="Data Science"/>
    <x v="0"/>
    <n v="9"/>
    <n v="4"/>
    <n v="6.5"/>
    <n v="36472"/>
    <m/>
    <x v="4"/>
    <s v="02-11-2024"/>
    <s v="UtkalSoft Technologies"/>
    <n v="11.7"/>
  </r>
  <r>
    <s v="CAND0224"/>
    <s v="Subhasree Parida"/>
    <s v="Product Manager"/>
    <s v="Marketing"/>
    <x v="5"/>
    <n v="3.1"/>
    <n v="6.6"/>
    <n v="4.8"/>
    <n v="59904"/>
    <n v="54026"/>
    <x v="1"/>
    <s v="14-08-2023"/>
    <s v="SambalpurNet"/>
    <n v="4.3"/>
  </r>
  <r>
    <s v="CAND0225"/>
    <s v="Priyanka Mishra"/>
    <s v="Product Manager"/>
    <s v="Marketing"/>
    <x v="5"/>
    <n v="3.9"/>
    <n v="8.6"/>
    <n v="6.2"/>
    <n v="156756"/>
    <n v="174794"/>
    <x v="1"/>
    <s v="29-01-2023"/>
    <s v="KalingaTech Pvt Ltd"/>
    <n v="12.8"/>
  </r>
  <r>
    <s v="CAND0226"/>
    <s v="Nirmal Tripathy"/>
    <s v="HR Executive"/>
    <s v="DevOps"/>
    <x v="0"/>
    <n v="4.5999999999999996"/>
    <n v="8.8000000000000007"/>
    <n v="6.7"/>
    <n v="146574"/>
    <n v="143449"/>
    <x v="4"/>
    <s v="09-02-2024"/>
    <s v="SilverByte Systems"/>
    <n v="9.3000000000000007"/>
  </r>
  <r>
    <s v="CAND0227"/>
    <s v="Chinmaya Pattnaik"/>
    <s v="Data Analyst"/>
    <s v="DevOps"/>
    <x v="1"/>
    <n v="4.7"/>
    <n v="6.5"/>
    <n v="5.6"/>
    <n v="134598"/>
    <n v="133679"/>
    <x v="0"/>
    <s v="03-09-2024"/>
    <s v="ZeroOneSystems"/>
    <n v="5.0999999999999996"/>
  </r>
  <r>
    <s v="CAND0228"/>
    <s v="Ankita Mishra"/>
    <s v="Product Manager"/>
    <s v="Sales"/>
    <x v="1"/>
    <n v="5.8"/>
    <n v="4.8"/>
    <n v="5.3"/>
    <n v="123503"/>
    <m/>
    <x v="0"/>
    <s v="20-12-2024"/>
    <s v="UtkalSoft Technologies"/>
    <n v="2"/>
  </r>
  <r>
    <s v="CAND0229"/>
    <s v="Sudhansu Prusty"/>
    <s v="Software Engineer"/>
    <s v="Data Science"/>
    <x v="5"/>
    <n v="4"/>
    <n v="10"/>
    <n v="7"/>
    <n v="66053"/>
    <n v="70051"/>
    <x v="0"/>
    <s v="21-10-2023"/>
    <s v="SambalpurNet"/>
    <n v="9.6999999999999993"/>
  </r>
  <r>
    <s v="CAND0230"/>
    <s v="Rajan Biswal"/>
    <s v="Software Engineer"/>
    <s v="Engineering"/>
    <x v="0"/>
    <n v="4.3"/>
    <n v="3.3"/>
    <n v="3.8"/>
    <n v="29500"/>
    <n v="25962"/>
    <x v="2"/>
    <s v="28-07-2024"/>
    <s v="SilverByte Systems"/>
    <n v="6.6"/>
  </r>
  <r>
    <s v="CAND0231"/>
    <s v="Bikash Parida"/>
    <s v="Sales Manager"/>
    <s v="Engineering"/>
    <x v="3"/>
    <n v="3.6"/>
    <n v="6.4"/>
    <n v="5"/>
    <n v="83617"/>
    <n v="85540"/>
    <x v="1"/>
    <s v="07-02-2023"/>
    <s v="BlueLotus IT"/>
    <n v="7.2"/>
  </r>
  <r>
    <s v="CAND0232"/>
    <s v="Sudhansu Prusty"/>
    <s v="Data Analyst"/>
    <s v="Engineering"/>
    <x v="1"/>
    <n v="3.3"/>
    <n v="5.3"/>
    <n v="4.3"/>
    <n v="138417"/>
    <n v="159136"/>
    <x v="0"/>
    <s v="17-01-2024"/>
    <s v="TechNova Solutions"/>
    <n v="3.5"/>
  </r>
  <r>
    <s v="CAND0233"/>
    <s v="Ipsita Pattnaik"/>
    <s v="QA Engineer"/>
    <s v="Marketing"/>
    <x v="0"/>
    <n v="8.1"/>
    <n v="3.3"/>
    <n v="5.7"/>
    <n v="141978"/>
    <n v="134367"/>
    <x v="3"/>
    <s v="13-04-2023"/>
    <s v="OdishaCode Labs"/>
    <n v="12"/>
  </r>
  <r>
    <s v="CAND0234"/>
    <s v="Smita Choudhury"/>
    <s v="HR Executive"/>
    <s v="Marketing"/>
    <x v="3"/>
    <n v="8.9"/>
    <n v="7"/>
    <n v="8"/>
    <n v="51114"/>
    <m/>
    <x v="2"/>
    <s v="12-12-2024"/>
    <s v="ZeroOneSystems"/>
    <n v="2.1"/>
  </r>
  <r>
    <s v="CAND0235"/>
    <s v="Tanmay Dhal"/>
    <s v="UI Designer"/>
    <s v="Engineering"/>
    <x v="4"/>
    <n v="3.8"/>
    <n v="3"/>
    <n v="3.4"/>
    <n v="43370"/>
    <m/>
    <x v="3"/>
    <s v="04-06-2023"/>
    <s v="SambalpurNet"/>
    <n v="5.6"/>
  </r>
  <r>
    <s v="CAND0236"/>
    <s v="Rajan Nanda"/>
    <s v="Product Manager"/>
    <s v="Product"/>
    <x v="4"/>
    <n v="4.0999999999999996"/>
    <n v="5.9"/>
    <n v="5"/>
    <n v="33187"/>
    <n v="38037"/>
    <x v="1"/>
    <s v="06-03-2023"/>
    <s v="TechNova Solutions"/>
    <n v="13"/>
  </r>
  <r>
    <s v="CAND0237"/>
    <s v="Dibya Mishra"/>
    <s v="Business Analyst"/>
    <s v="HR"/>
    <x v="5"/>
    <n v="3.8"/>
    <n v="3.1"/>
    <n v="3.5"/>
    <n v="41981"/>
    <m/>
    <x v="0"/>
    <s v="25-12-2023"/>
    <s v="InfySoft Bhubaneswar"/>
    <n v="13"/>
  </r>
  <r>
    <s v="CAND0238"/>
    <s v="Amlan Tripathy"/>
    <s v="Sales Manager"/>
    <s v="Sales"/>
    <x v="4"/>
    <n v="4.4000000000000004"/>
    <n v="3.8"/>
    <n v="4.0999999999999996"/>
    <n v="164597"/>
    <n v="143586"/>
    <x v="3"/>
    <s v="14-11-2023"/>
    <s v="SilverByte Systems"/>
    <n v="4.2"/>
  </r>
  <r>
    <s v="CAND0239"/>
    <s v="Rajan Parida"/>
    <s v="QA Engineer"/>
    <s v="Marketing"/>
    <x v="4"/>
    <n v="9.5"/>
    <n v="9.8000000000000007"/>
    <n v="9.6999999999999993"/>
    <m/>
    <m/>
    <x v="0"/>
    <s v="22-09-2023"/>
    <s v="InfySoft Bhubaneswar"/>
    <n v="11.6"/>
  </r>
  <r>
    <s v="CAND0240"/>
    <s v="Tapas Mahapatra"/>
    <s v="UI Designer"/>
    <s v="QA"/>
    <x v="5"/>
    <m/>
    <n v="6.9"/>
    <m/>
    <n v="127274"/>
    <m/>
    <x v="4"/>
    <s v="17-01-2024"/>
    <s v="SilverByte Systems"/>
    <n v="9.5"/>
  </r>
  <r>
    <s v="CAND0241"/>
    <s v="Priyanka Mohapatra"/>
    <s v="Cloud Architect"/>
    <s v="Product"/>
    <x v="4"/>
    <n v="9"/>
    <n v="4.5999999999999996"/>
    <n v="6.8"/>
    <n v="192926"/>
    <m/>
    <x v="4"/>
    <s v="28-09-2024"/>
    <s v="KalingaTech Pvt Ltd"/>
    <n v="1.4"/>
  </r>
  <r>
    <s v="CAND0242"/>
    <s v="Smita Padhi"/>
    <s v="Software Engineer"/>
    <s v="Engineering"/>
    <x v="4"/>
    <n v="5.7"/>
    <n v="5.4"/>
    <n v="5.6"/>
    <n v="79025"/>
    <n v="72832"/>
    <x v="4"/>
    <s v="25-07-2024"/>
    <s v="SambalpurNet"/>
    <n v="14.6"/>
  </r>
  <r>
    <s v="CAND0243"/>
    <s v="Alka Parida"/>
    <s v="Data Analyst"/>
    <s v="DevOps"/>
    <x v="2"/>
    <n v="7.8"/>
    <n v="6.4"/>
    <n v="7.1"/>
    <n v="20383"/>
    <n v="20256"/>
    <x v="3"/>
    <s v="12-02-2023"/>
    <s v="SambalpurNet"/>
    <n v="11.2"/>
  </r>
  <r>
    <s v="CAND0244"/>
    <s v="Sangita Routray"/>
    <s v="Sales Manager"/>
    <s v="Product"/>
    <x v="3"/>
    <n v="8.6"/>
    <n v="5.8"/>
    <n v="7.2"/>
    <n v="54880"/>
    <n v="50167"/>
    <x v="2"/>
    <s v="19-02-2024"/>
    <s v="SambalpurNet"/>
    <n v="3.1"/>
  </r>
  <r>
    <s v="CAND0245"/>
    <s v="Abhishek Dhal"/>
    <s v="Business Analyst"/>
    <s v="Marketing"/>
    <x v="4"/>
    <n v="6.4"/>
    <n v="3.6"/>
    <n v="5"/>
    <n v="35031"/>
    <m/>
    <x v="0"/>
    <s v="14-09-2024"/>
    <s v="SambalpurNet"/>
    <n v="3.3"/>
  </r>
  <r>
    <s v="CAND0246"/>
    <s v="Satyajit Prusty"/>
    <s v="QA Engineer"/>
    <s v="HR"/>
    <x v="5"/>
    <n v="8.1999999999999993"/>
    <n v="8.6"/>
    <n v="8.4"/>
    <n v="179640"/>
    <m/>
    <x v="0"/>
    <s v="02-03-2024"/>
    <s v="BlueLotus IT"/>
    <n v="11.3"/>
  </r>
  <r>
    <s v="CAND0247"/>
    <s v="Rajan Mohapatra"/>
    <s v="Product Manager"/>
    <s v="Engineering"/>
    <x v="5"/>
    <n v="6.3"/>
    <n v="6.3"/>
    <n v="6.3"/>
    <n v="23356"/>
    <m/>
    <x v="1"/>
    <s v="30-07-2023"/>
    <s v="SilverByte Systems"/>
    <n v="5.4"/>
  </r>
  <r>
    <s v="CAND0248"/>
    <s v="Ranjit Senapati"/>
    <s v="Sales Manager"/>
    <s v="Marketing"/>
    <x v="5"/>
    <n v="8.1999999999999993"/>
    <n v="4.5999999999999996"/>
    <n v="6.4"/>
    <n v="78520"/>
    <m/>
    <x v="2"/>
    <s v="13-06-2024"/>
    <s v="KalingaTech Pvt Ltd"/>
    <n v="3.6"/>
  </r>
  <r>
    <s v="CAND0249"/>
    <s v="Satyajit Behura"/>
    <s v="Sales Manager"/>
    <s v="Sales"/>
    <x v="1"/>
    <n v="4"/>
    <n v="6.8"/>
    <n v="5.4"/>
    <n v="46571"/>
    <n v="47962"/>
    <x v="2"/>
    <s v="30-10-2023"/>
    <s v="ZeroOneSystems"/>
    <n v="13.9"/>
  </r>
  <r>
    <s v="CAND0250"/>
    <s v="Puspita Sahu"/>
    <s v="Product Manager"/>
    <s v="Design"/>
    <x v="0"/>
    <n v="5.9"/>
    <n v="8.6"/>
    <n v="7.2"/>
    <n v="174791"/>
    <n v="182606"/>
    <x v="2"/>
    <s v="26-02-2024"/>
    <s v="UtkalSoft Technologies"/>
    <n v="13.5"/>
  </r>
  <r>
    <s v="CAND0251"/>
    <s v="Satyajit Senapati"/>
    <s v="Cloud Architect"/>
    <s v="Marketing"/>
    <x v="0"/>
    <n v="3.8"/>
    <n v="7.2"/>
    <n v="5.5"/>
    <n v="94204"/>
    <n v="105775"/>
    <x v="2"/>
    <s v="14-05-2023"/>
    <s v="ZeroOneSystems"/>
    <n v="7.7"/>
  </r>
  <r>
    <s v="CAND0252"/>
    <s v="Jyotirmayee Choudhury"/>
    <s v="Sales Manager"/>
    <s v="QA"/>
    <x v="4"/>
    <n v="7.1"/>
    <n v="8.1"/>
    <n v="7.6"/>
    <n v="91867"/>
    <n v="90363"/>
    <x v="3"/>
    <s v="15-08-2024"/>
    <s v="TechNova Solutions"/>
    <n v="2.2000000000000002"/>
  </r>
  <r>
    <s v="CAND0253"/>
    <s v="Bikash Mahapatra"/>
    <s v="Software Engineer"/>
    <s v="QA"/>
    <x v="0"/>
    <n v="7.9"/>
    <n v="9.8000000000000007"/>
    <n v="8.9"/>
    <n v="35845"/>
    <n v="34522"/>
    <x v="4"/>
    <s v="26-10-2024"/>
    <s v="OdishaCode Labs"/>
    <n v="5.6"/>
  </r>
  <r>
    <s v="CAND0254"/>
    <s v="Rahul Padhi"/>
    <s v="Product Manager"/>
    <s v="Product"/>
    <x v="5"/>
    <n v="9.8000000000000007"/>
    <n v="6.5"/>
    <n v="8.1999999999999993"/>
    <n v="25244"/>
    <n v="26091"/>
    <x v="1"/>
    <s v="29-06-2023"/>
    <s v="UtkalSoft Technologies"/>
    <n v="13.1"/>
  </r>
  <r>
    <s v="CAND0255"/>
    <s v="Ankita Biswal"/>
    <s v="QA Engineer"/>
    <s v="QA"/>
    <x v="4"/>
    <n v="8.3000000000000007"/>
    <n v="5.2"/>
    <n v="6.8"/>
    <n v="99842"/>
    <n v="97557"/>
    <x v="3"/>
    <s v="05-02-2024"/>
    <s v="BlueLotus IT"/>
    <n v="2.2999999999999998"/>
  </r>
  <r>
    <s v="CAND0256"/>
    <s v="Alka Sahu"/>
    <s v="Software Engineer"/>
    <s v="Product"/>
    <x v="4"/>
    <n v="4.0999999999999996"/>
    <n v="8.3000000000000007"/>
    <n v="6.2"/>
    <n v="138064"/>
    <m/>
    <x v="1"/>
    <s v="21-01-2024"/>
    <s v="UtkalSoft Technologies"/>
    <n v="3.2"/>
  </r>
  <r>
    <s v="CAND0257"/>
    <s v="Rahul Mohapatra"/>
    <s v="DevOps Engineer"/>
    <s v="Design"/>
    <x v="4"/>
    <n v="9.8000000000000007"/>
    <n v="7.4"/>
    <n v="8.6"/>
    <n v="100014"/>
    <n v="104835"/>
    <x v="1"/>
    <s v="29-09-2024"/>
    <s v="NilGiri Digitals"/>
    <n v="14.4"/>
  </r>
  <r>
    <s v="CAND0258"/>
    <s v="Nirmal Prusty"/>
    <s v="HR Executive"/>
    <s v="DevOps"/>
    <x v="0"/>
    <n v="5.5"/>
    <n v="4.2"/>
    <n v="4.8"/>
    <n v="167702"/>
    <n v="145736"/>
    <x v="2"/>
    <s v="13-11-2024"/>
    <s v="TributeAI"/>
    <n v="7.9"/>
  </r>
  <r>
    <s v="CAND0259"/>
    <s v="Tanmay Choudhury"/>
    <s v="QA Engineer"/>
    <s v="DevOps"/>
    <x v="5"/>
    <n v="6.4"/>
    <m/>
    <n v="6.4"/>
    <n v="85696"/>
    <n v="87016"/>
    <x v="0"/>
    <s v="27-07-2024"/>
    <s v="BlueLotus IT"/>
    <n v="13.7"/>
  </r>
  <r>
    <s v="CAND0260"/>
    <s v="Rahul Senapati"/>
    <s v="Software Engineer"/>
    <s v="Design"/>
    <x v="0"/>
    <n v="6.5"/>
    <n v="9.5"/>
    <n v="8"/>
    <n v="171223"/>
    <n v="175221"/>
    <x v="3"/>
    <s v="06-09-2024"/>
    <s v="UtkalSoft Technologies"/>
    <n v="10"/>
  </r>
  <r>
    <s v="CAND0261"/>
    <s v="Satyajit Parida"/>
    <s v="Cloud Architect"/>
    <s v="Data Science"/>
    <x v="2"/>
    <n v="7.7"/>
    <n v="6.2"/>
    <n v="7"/>
    <n v="171890"/>
    <n v="157220"/>
    <x v="3"/>
    <s v="22-02-2023"/>
    <s v="InfySoft Bhubaneswar"/>
    <n v="9.6"/>
  </r>
  <r>
    <s v="CAND0262"/>
    <s v="Barsha Choudhury"/>
    <s v="HR Executive"/>
    <s v="HR"/>
    <x v="1"/>
    <n v="7.2"/>
    <n v="8.8000000000000007"/>
    <n v="8"/>
    <n v="90737"/>
    <n v="79047"/>
    <x v="0"/>
    <s v="08-12-2024"/>
    <s v="CoastalDev Studio"/>
    <n v="9.6999999999999993"/>
  </r>
  <r>
    <s v="CAND0263"/>
    <s v="Ipsita Samal"/>
    <s v="UI Designer"/>
    <s v="Data Science"/>
    <x v="4"/>
    <n v="6.4"/>
    <n v="3.1"/>
    <n v="4.8"/>
    <n v="94487"/>
    <m/>
    <x v="2"/>
    <s v="13-03-2024"/>
    <s v="NilGiri Digitals"/>
    <n v="10.7"/>
  </r>
  <r>
    <s v="CAND0264"/>
    <s v="Amlan Padhi"/>
    <s v="Cloud Architect"/>
    <s v="QA"/>
    <x v="4"/>
    <n v="6.5"/>
    <n v="3.1"/>
    <n v="4.8"/>
    <n v="60748"/>
    <n v="61321"/>
    <x v="2"/>
    <s v="21-02-2024"/>
    <s v="BlueLotus IT"/>
    <n v="8.4"/>
  </r>
  <r>
    <s v="CAND0265"/>
    <s v="Chinmaya Padhi"/>
    <s v="Cloud Architect"/>
    <s v="Sales"/>
    <x v="4"/>
    <n v="6.2"/>
    <n v="3.4"/>
    <n v="4.8"/>
    <n v="64263"/>
    <m/>
    <x v="1"/>
    <s v="18-01-2024"/>
    <s v="UtkalSoft Technologies"/>
    <n v="14.2"/>
  </r>
  <r>
    <s v="CAND0266"/>
    <s v="Alka Padhi"/>
    <s v="Cloud Architect"/>
    <s v="Engineering"/>
    <x v="2"/>
    <n v="6.3"/>
    <n v="4.9000000000000004"/>
    <n v="5.6"/>
    <n v="154866"/>
    <n v="143623"/>
    <x v="1"/>
    <s v="21-01-2023"/>
    <s v="TributeAI"/>
    <n v="7.4"/>
  </r>
  <r>
    <s v="CAND0267"/>
    <s v="Puspita Prusty"/>
    <s v="Software Engineer"/>
    <s v="HR"/>
    <x v="4"/>
    <n v="7.8"/>
    <n v="5"/>
    <n v="6.4"/>
    <n v="95243"/>
    <m/>
    <x v="0"/>
    <s v="02-10-2024"/>
    <s v="BlueLotus IT"/>
    <n v="3.1"/>
  </r>
  <r>
    <s v="CAND0268"/>
    <s v="Amlan Mohapatra"/>
    <s v="QA Engineer"/>
    <s v="HR"/>
    <x v="5"/>
    <n v="5.5"/>
    <n v="4.5999999999999996"/>
    <n v="5"/>
    <n v="25414"/>
    <n v="26573"/>
    <x v="3"/>
    <s v="31-08-2024"/>
    <s v="BlueLotus IT"/>
    <n v="3.3"/>
  </r>
  <r>
    <s v="CAND0269"/>
    <s v="Subhasree Sahoo"/>
    <s v="HR Executive"/>
    <s v="QA"/>
    <x v="3"/>
    <n v="4"/>
    <n v="9.1"/>
    <n v="6.5"/>
    <n v="67321"/>
    <n v="58329"/>
    <x v="2"/>
    <s v="01-08-2024"/>
    <s v="CoastalDev Studio"/>
    <n v="0.9"/>
  </r>
  <r>
    <s v="CAND0270"/>
    <s v="Namita Nanda"/>
    <s v="DevOps Engineer"/>
    <s v="HR"/>
    <x v="1"/>
    <n v="6.3"/>
    <n v="6.9"/>
    <n v="6.6"/>
    <m/>
    <n v="30405"/>
    <x v="0"/>
    <s v="03-03-2023"/>
    <s v="SambalpurNet"/>
    <n v="6.6"/>
  </r>
  <r>
    <s v="CAND0271"/>
    <s v="Smita Nanda"/>
    <s v="Business Analyst"/>
    <s v="Data Science"/>
    <x v="5"/>
    <n v="4.9000000000000004"/>
    <n v="8.1999999999999993"/>
    <n v="6.5"/>
    <n v="138695"/>
    <n v="119584"/>
    <x v="2"/>
    <s v="21-01-2023"/>
    <s v="KalingaTech Pvt Ltd"/>
    <n v="3.4"/>
  </r>
  <r>
    <s v="CAND0272"/>
    <s v="Satyajit Dhal"/>
    <s v="HR Executive"/>
    <s v="Data Science"/>
    <x v="4"/>
    <n v="8.1999999999999993"/>
    <n v="6"/>
    <n v="7.1"/>
    <n v="83164"/>
    <n v="74589"/>
    <x v="0"/>
    <s v="28-10-2024"/>
    <s v="SambalpurNet"/>
    <n v="1.7"/>
  </r>
  <r>
    <s v="CAND0273"/>
    <s v="Ipsita Nanda"/>
    <s v="Product Manager"/>
    <s v="Finance"/>
    <x v="4"/>
    <n v="8.1"/>
    <n v="9.1"/>
    <n v="8.6"/>
    <n v="89241"/>
    <n v="81722"/>
    <x v="3"/>
    <s v="28-04-2024"/>
    <s v="SilverByte Systems"/>
    <n v="8.3000000000000007"/>
  </r>
  <r>
    <s v="CAND0274"/>
    <s v="Jyotirmayee Sahoo"/>
    <s v="UI Designer"/>
    <s v="Finance"/>
    <x v="3"/>
    <n v="8"/>
    <n v="9.3000000000000007"/>
    <n v="8.6999999999999993"/>
    <n v="129943"/>
    <n v="126265"/>
    <x v="0"/>
    <s v="25-03-2024"/>
    <s v="InfySoft Bhubaneswar"/>
    <n v="14.4"/>
  </r>
  <r>
    <s v="CAND0275"/>
    <s v="Dibya Nanda"/>
    <s v="Sales Manager"/>
    <s v="Design"/>
    <x v="4"/>
    <n v="7.1"/>
    <n v="3.7"/>
    <n v="5.4"/>
    <n v="193830"/>
    <m/>
    <x v="0"/>
    <s v="20-09-2023"/>
    <s v="NilGiri Digitals"/>
    <n v="11.7"/>
  </r>
  <r>
    <s v="CAND0276"/>
    <s v="Barsha Dhal"/>
    <s v="Software Engineer"/>
    <s v="HR"/>
    <x v="0"/>
    <n v="9"/>
    <n v="4.8"/>
    <n v="6.9"/>
    <n v="137183"/>
    <m/>
    <x v="3"/>
    <s v="28-08-2023"/>
    <s v="InfySoft Bhubaneswar"/>
    <n v="7.5"/>
  </r>
  <r>
    <s v="CAND0277"/>
    <s v="Smita Mahapatra"/>
    <s v="UI Designer"/>
    <s v="Design"/>
    <x v="1"/>
    <n v="7.7"/>
    <n v="6"/>
    <n v="6.8"/>
    <n v="171116"/>
    <n v="171509"/>
    <x v="4"/>
    <s v="23-02-2024"/>
    <s v="TributeAI"/>
    <n v="15"/>
  </r>
  <r>
    <s v="CAND0278"/>
    <s v="Aditya Samal"/>
    <s v="Sales Manager"/>
    <s v="Finance"/>
    <x v="4"/>
    <n v="8.3000000000000007"/>
    <n v="3.4"/>
    <n v="5.9"/>
    <n v="39946"/>
    <m/>
    <x v="1"/>
    <s v="04-06-2024"/>
    <s v="NilGiri Digitals"/>
    <n v="9.8000000000000007"/>
  </r>
  <r>
    <s v="CAND0279"/>
    <s v="Alka Prusty"/>
    <s v="Product Manager"/>
    <s v="Design"/>
    <x v="2"/>
    <n v="8.9"/>
    <n v="5.8"/>
    <n v="7.3"/>
    <n v="44097"/>
    <n v="49526"/>
    <x v="1"/>
    <s v="30-07-2024"/>
    <s v="NilGiri Digitals"/>
    <n v="11.9"/>
  </r>
  <r>
    <s v="CAND0280"/>
    <s v="Dibya Nanda"/>
    <s v="Software Engineer"/>
    <s v="Marketing"/>
    <x v="0"/>
    <n v="7.8"/>
    <n v="5.8"/>
    <n v="6.8"/>
    <n v="181711"/>
    <n v="205471"/>
    <x v="1"/>
    <s v="21-02-2024"/>
    <s v="BlueLotus IT"/>
    <n v="5.7"/>
  </r>
  <r>
    <s v="CAND0281"/>
    <s v="Subhasree Senapati"/>
    <s v="Software Engineer"/>
    <s v="Engineering"/>
    <x v="1"/>
    <n v="6.6"/>
    <n v="7.6"/>
    <n v="7.1"/>
    <n v="185381"/>
    <n v="174168"/>
    <x v="1"/>
    <s v="12-11-2023"/>
    <s v="SilverByte Systems"/>
    <n v="7.1"/>
  </r>
  <r>
    <s v="CAND0282"/>
    <s v="Debasmita Senapati"/>
    <s v="Business Analyst"/>
    <s v="Design"/>
    <x v="3"/>
    <n v="6"/>
    <n v="8.1"/>
    <n v="7"/>
    <n v="54183"/>
    <n v="50590"/>
    <x v="3"/>
    <s v="30-12-2023"/>
    <s v="KalingaTech Pvt Ltd"/>
    <n v="8.3000000000000007"/>
  </r>
  <r>
    <s v="CAND0283"/>
    <s v="Priyanka Sahu"/>
    <s v="DevOps Engineer"/>
    <s v="DevOps"/>
    <x v="4"/>
    <n v="9.5"/>
    <n v="3.5"/>
    <n v="6.5"/>
    <n v="141548"/>
    <n v="122047"/>
    <x v="4"/>
    <s v="27-04-2024"/>
    <s v="ZeroOneSystems"/>
    <n v="4.0999999999999996"/>
  </r>
  <r>
    <s v="CAND0284"/>
    <s v="Alka Senapati"/>
    <s v="HR Executive"/>
    <s v="Data Science"/>
    <x v="4"/>
    <n v="5.2"/>
    <n v="4.5"/>
    <n v="4.8"/>
    <n v="79436"/>
    <n v="70245"/>
    <x v="0"/>
    <s v="14-11-2024"/>
    <s v="TechNova Solutions"/>
    <n v="9.6"/>
  </r>
  <r>
    <s v="CAND0285"/>
    <s v="Priyanka Mohapatra"/>
    <s v="Cloud Architect"/>
    <s v="Product"/>
    <x v="1"/>
    <n v="6.3"/>
    <n v="6.2"/>
    <n v="6.2"/>
    <n v="132104"/>
    <n v="148960"/>
    <x v="2"/>
    <s v="25-03-2023"/>
    <s v="TechNova Solutions"/>
    <n v="8.1"/>
  </r>
  <r>
    <s v="CAND0286"/>
    <s v="Smita Pattnaik"/>
    <s v="Cloud Architect"/>
    <s v="Sales"/>
    <x v="1"/>
    <n v="9.9"/>
    <n v="5.5"/>
    <n v="7.7"/>
    <n v="77263"/>
    <n v="81595"/>
    <x v="4"/>
    <s v="16-02-2023"/>
    <s v="KalingaTech Pvt Ltd"/>
    <n v="2.6"/>
  </r>
  <r>
    <s v="CAND0287"/>
    <s v="Prasant Jena"/>
    <s v="UI Designer"/>
    <s v="Marketing"/>
    <x v="1"/>
    <n v="4.7"/>
    <n v="9.1999999999999993"/>
    <n v="6.9"/>
    <n v="125763"/>
    <n v="140837"/>
    <x v="4"/>
    <s v="08-01-2023"/>
    <s v="OdishaCode Labs"/>
    <n v="8.4"/>
  </r>
  <r>
    <s v="CAND0288"/>
    <s v="Sudhansu Sahu"/>
    <s v="QA Engineer"/>
    <s v="Data Science"/>
    <x v="1"/>
    <n v="3.8"/>
    <n v="5.8"/>
    <n v="4.8"/>
    <n v="171503"/>
    <n v="192081"/>
    <x v="4"/>
    <s v="04-07-2023"/>
    <s v="TributeAI"/>
    <n v="6.1"/>
  </r>
  <r>
    <s v="CAND0289"/>
    <s v="Chinmaya Senapati"/>
    <s v="Cloud Architect"/>
    <s v="Data Science"/>
    <x v="0"/>
    <n v="6.9"/>
    <n v="8.6999999999999993"/>
    <n v="7.8"/>
    <n v="50624"/>
    <n v="54243"/>
    <x v="0"/>
    <s v="25-10-2023"/>
    <s v="CoastalDev Studio"/>
    <n v="12.4"/>
  </r>
  <r>
    <s v="CAND0290"/>
    <s v="Amlan Parida"/>
    <s v="Business Analyst"/>
    <s v="Finance"/>
    <x v="3"/>
    <n v="9.8000000000000007"/>
    <n v="9.1"/>
    <n v="9.4"/>
    <n v="197122"/>
    <m/>
    <x v="1"/>
    <s v="18-11-2024"/>
    <s v="SambalpurNet"/>
    <n v="3.8"/>
  </r>
  <r>
    <s v="CAND0291"/>
    <s v="Ranjit Prusty"/>
    <s v="Product Manager"/>
    <s v="DevOps"/>
    <x v="4"/>
    <n v="5.3"/>
    <n v="9.6999999999999993"/>
    <n v="7.5"/>
    <n v="115759"/>
    <n v="107138"/>
    <x v="0"/>
    <s v="15-01-2023"/>
    <s v="KalingaTech Pvt Ltd"/>
    <n v="5"/>
  </r>
  <r>
    <s v="CAND0292"/>
    <s v="Saurav Mahapatra"/>
    <s v="Product Manager"/>
    <s v="QA"/>
    <x v="1"/>
    <n v="3.6"/>
    <n v="8"/>
    <n v="5.8"/>
    <n v="155244"/>
    <n v="145363"/>
    <x v="1"/>
    <s v="13-05-2024"/>
    <s v="InfySoft Bhubaneswar"/>
    <n v="1.3"/>
  </r>
  <r>
    <s v="CAND0293"/>
    <s v="Prasant Tripathy"/>
    <s v="Software Engineer"/>
    <s v="Product"/>
    <x v="4"/>
    <n v="3.9"/>
    <n v="9.4"/>
    <n v="6.7"/>
    <n v="96624"/>
    <n v="93570"/>
    <x v="0"/>
    <s v="21-11-2024"/>
    <s v="UtkalSoft Technologies"/>
    <n v="0.9"/>
  </r>
  <r>
    <s v="CAND0294"/>
    <s v="Sudhansu Ratha"/>
    <s v="UI Designer"/>
    <s v="Marketing"/>
    <x v="1"/>
    <n v="8.1"/>
    <n v="3.7"/>
    <n v="5.9"/>
    <n v="109621"/>
    <n v="109848"/>
    <x v="1"/>
    <s v="25-03-2024"/>
    <s v="OdishaCode Labs"/>
    <n v="4.5"/>
  </r>
  <r>
    <s v="CAND0295"/>
    <s v="Namita Ratha"/>
    <s v="DevOps Engineer"/>
    <s v="Engineering"/>
    <x v="4"/>
    <n v="4"/>
    <n v="7.2"/>
    <n v="5.6"/>
    <n v="159474"/>
    <n v="180080"/>
    <x v="3"/>
    <s v="13-10-2023"/>
    <s v="TributeAI"/>
    <n v="5.0999999999999996"/>
  </r>
  <r>
    <s v="CAND0296"/>
    <s v="Nirmal Mishra"/>
    <s v="Software Engineer"/>
    <s v="QA"/>
    <x v="3"/>
    <n v="3.3"/>
    <n v="6.9"/>
    <n v="5.0999999999999996"/>
    <n v="156595"/>
    <n v="166550"/>
    <x v="4"/>
    <s v="25-12-2023"/>
    <s v="TechNova Solutions"/>
    <n v="6.8"/>
  </r>
  <r>
    <s v="CAND0297"/>
    <s v="Sangita Tripathy"/>
    <s v="QA Engineer"/>
    <s v="QA"/>
    <x v="5"/>
    <n v="8"/>
    <n v="5.2"/>
    <n v="6.6"/>
    <n v="93040"/>
    <n v="93409"/>
    <x v="4"/>
    <s v="03-03-2023"/>
    <s v="NilGiri Digitals"/>
    <n v="9"/>
  </r>
  <r>
    <s v="CAND0298"/>
    <s v="Sangita Sahu"/>
    <s v="QA Engineer"/>
    <s v="Engineering"/>
    <x v="4"/>
    <n v="4.8"/>
    <n v="5.2"/>
    <n v="5"/>
    <n v="66731"/>
    <m/>
    <x v="3"/>
    <s v="18-05-2023"/>
    <s v="NilGiri Digitals"/>
    <n v="5.2"/>
  </r>
  <r>
    <s v="CAND0299"/>
    <s v="Satyajit Mishra"/>
    <s v="DevOps Engineer"/>
    <s v="Product"/>
    <x v="4"/>
    <n v="8.9"/>
    <n v="9.8000000000000007"/>
    <n v="9.4"/>
    <n v="63519"/>
    <n v="56728"/>
    <x v="0"/>
    <s v="19-10-2024"/>
    <s v="CoastalDev Studio"/>
    <n v="8.6999999999999993"/>
  </r>
  <r>
    <s v="CAND0300"/>
    <s v="Abhishek Sahoo"/>
    <s v="DevOps Engineer"/>
    <s v="Engineering"/>
    <x v="3"/>
    <n v="9.6999999999999993"/>
    <n v="6.5"/>
    <n v="8.1"/>
    <n v="88380"/>
    <n v="75211"/>
    <x v="4"/>
    <s v="23-01-2024"/>
    <s v="TechNova Solutions"/>
    <n v="0.9"/>
  </r>
  <r>
    <s v="CAND0301"/>
    <s v="Subhasree Nanda"/>
    <s v="Sales Manager"/>
    <s v="Design"/>
    <x v="4"/>
    <n v="3.6"/>
    <n v="8"/>
    <n v="5.8"/>
    <m/>
    <n v="116805"/>
    <x v="4"/>
    <s v="30-01-2024"/>
    <s v="TechNova Solutions"/>
    <n v="4.8"/>
  </r>
  <r>
    <s v="CAND0302"/>
    <s v="Aditya Samal"/>
    <s v="Data Analyst"/>
    <s v="Finance"/>
    <x v="4"/>
    <n v="9.1"/>
    <n v="8.6999999999999993"/>
    <n v="8.9"/>
    <n v="74146"/>
    <n v="71583"/>
    <x v="1"/>
    <s v="01-07-2023"/>
    <s v="BlueLotus IT"/>
    <n v="1.5"/>
  </r>
  <r>
    <s v="CAND0303"/>
    <s v="Puspita Parida"/>
    <s v="Data Analyst"/>
    <s v="Finance"/>
    <x v="4"/>
    <n v="3.4"/>
    <n v="4.0999999999999996"/>
    <n v="3.8"/>
    <n v="48001"/>
    <n v="52180"/>
    <x v="2"/>
    <s v="03-09-2023"/>
    <s v="SilverByte Systems"/>
    <n v="8.4"/>
  </r>
  <r>
    <s v="CAND0304"/>
    <s v="Priyanka Parida"/>
    <s v="Software Engineer"/>
    <s v="Data Science"/>
    <x v="5"/>
    <n v="8.6"/>
    <n v="7.2"/>
    <n v="7.9"/>
    <n v="193574"/>
    <n v="191313"/>
    <x v="4"/>
    <s v="17-04-2024"/>
    <s v="BlueLotus IT"/>
    <n v="6.8"/>
  </r>
  <r>
    <s v="CAND0305"/>
    <s v="Nirmal Mahapatra"/>
    <s v="Data Analyst"/>
    <s v="Engineering"/>
    <x v="0"/>
    <n v="3.2"/>
    <n v="8.4"/>
    <n v="5.8"/>
    <n v="129624"/>
    <m/>
    <x v="1"/>
    <s v="17-07-2023"/>
    <s v="ZeroOneSystems"/>
    <n v="6.1"/>
  </r>
  <r>
    <s v="CAND0306"/>
    <s v="Nirmal Nanda"/>
    <s v="DevOps Engineer"/>
    <s v="Data Science"/>
    <x v="1"/>
    <n v="6.6"/>
    <n v="4.8"/>
    <n v="5.7"/>
    <n v="77481"/>
    <m/>
    <x v="3"/>
    <s v="19-01-2024"/>
    <s v="BlueLotus IT"/>
    <n v="4.7"/>
  </r>
  <r>
    <s v="CAND0307"/>
    <s v="Nirmal Prusty"/>
    <s v="QA Engineer"/>
    <s v="DevOps"/>
    <x v="3"/>
    <n v="9.5"/>
    <n v="9.1999999999999993"/>
    <n v="9.3000000000000007"/>
    <n v="155428"/>
    <n v="139010"/>
    <x v="0"/>
    <s v="24-06-2024"/>
    <s v="CoastalDev Studio"/>
    <n v="12.9"/>
  </r>
  <r>
    <s v="CAND0308"/>
    <s v="Jyotirmayee Dhal"/>
    <s v="DevOps Engineer"/>
    <s v="Engineering"/>
    <x v="3"/>
    <n v="8.6"/>
    <n v="4.5999999999999996"/>
    <n v="6.6"/>
    <n v="34022"/>
    <n v="36059"/>
    <x v="4"/>
    <s v="24-05-2023"/>
    <s v="SilverByte Systems"/>
    <n v="10.6"/>
  </r>
  <r>
    <s v="CAND0309"/>
    <s v="Subhasree Sahu"/>
    <s v="Sales Manager"/>
    <s v="Engineering"/>
    <x v="5"/>
    <n v="3.9"/>
    <n v="9.1"/>
    <n v="6.5"/>
    <n v="150694"/>
    <m/>
    <x v="3"/>
    <s v="20-03-2023"/>
    <s v="TechNova Solutions"/>
    <n v="1.6"/>
  </r>
  <r>
    <s v="CAND0310"/>
    <s v="Saurav Tripathy"/>
    <s v="Business Analyst"/>
    <s v="Data Science"/>
    <x v="1"/>
    <n v="7.1"/>
    <n v="4.5"/>
    <n v="5.8"/>
    <n v="28408"/>
    <n v="24686"/>
    <x v="2"/>
    <s v="26-10-2024"/>
    <s v="TributeAI"/>
    <n v="1.7"/>
  </r>
  <r>
    <s v="CAND0311"/>
    <s v="Lipsa Mishra"/>
    <s v="Software Engineer"/>
    <s v="DevOps"/>
    <x v="1"/>
    <n v="8.8000000000000007"/>
    <n v="6.9"/>
    <n v="7.9"/>
    <n v="93262"/>
    <n v="99761"/>
    <x v="1"/>
    <s v="12-07-2024"/>
    <s v="TechNova Solutions"/>
    <n v="4.4000000000000004"/>
  </r>
  <r>
    <s v="CAND0312"/>
    <s v="Tanmay Padhi"/>
    <s v="UI Designer"/>
    <s v="DevOps"/>
    <x v="2"/>
    <n v="5.6"/>
    <n v="3.1"/>
    <n v="4.3"/>
    <n v="196162"/>
    <n v="212259"/>
    <x v="4"/>
    <s v="05-11-2024"/>
    <s v="TributeAI"/>
    <n v="6.8"/>
  </r>
  <r>
    <s v="CAND0313"/>
    <s v="Subhasree Samal"/>
    <s v="Cloud Architect"/>
    <s v="Marketing"/>
    <x v="1"/>
    <n v="5"/>
    <n v="4.0999999999999996"/>
    <n v="4.5"/>
    <n v="55934"/>
    <n v="57190"/>
    <x v="4"/>
    <s v="06-10-2023"/>
    <s v="UtkalSoft Technologies"/>
    <n v="4.5"/>
  </r>
  <r>
    <s v="CAND0314"/>
    <s v="Sudhansu Tripathy"/>
    <s v="QA Engineer"/>
    <s v="HR"/>
    <x v="1"/>
    <n v="7"/>
    <n v="9.4"/>
    <n v="8.1999999999999993"/>
    <n v="66016"/>
    <m/>
    <x v="3"/>
    <s v="17-10-2024"/>
    <s v="KalingaTech Pvt Ltd"/>
    <n v="8.5"/>
  </r>
  <r>
    <s v="CAND0315"/>
    <s v="Aditya Mahapatra"/>
    <s v="Cloud Architect"/>
    <s v="Sales"/>
    <x v="2"/>
    <n v="4.3"/>
    <n v="8.3000000000000007"/>
    <n v="6.3"/>
    <n v="80456"/>
    <n v="77006"/>
    <x v="2"/>
    <s v="20-01-2024"/>
    <s v="CoastalDev Studio"/>
    <n v="10.3"/>
  </r>
  <r>
    <s v="CAND0316"/>
    <s v="Smita Prusty"/>
    <s v="Software Engineer"/>
    <s v="Data Science"/>
    <x v="0"/>
    <n v="4.8"/>
    <n v="4.9000000000000004"/>
    <n v="4.8"/>
    <n v="63501"/>
    <n v="69537"/>
    <x v="3"/>
    <s v="29-10-2024"/>
    <s v="OdishaCode Labs"/>
    <n v="13.7"/>
  </r>
  <r>
    <s v="CAND0317"/>
    <s v="Ipsita Choudhury"/>
    <s v="Cloud Architect"/>
    <s v="Engineering"/>
    <x v="4"/>
    <n v="6.3"/>
    <n v="9.1999999999999993"/>
    <n v="7.8"/>
    <n v="88004"/>
    <n v="99946"/>
    <x v="0"/>
    <s v="10-11-2023"/>
    <s v="NilGiri Digitals"/>
    <n v="6.6"/>
  </r>
  <r>
    <s v="CAND0318"/>
    <s v="Puspita Prusty"/>
    <s v="Sales Manager"/>
    <s v="Engineering"/>
    <x v="3"/>
    <n v="3.3"/>
    <m/>
    <n v="3.3"/>
    <n v="40945"/>
    <m/>
    <x v="1"/>
    <s v="30-06-2023"/>
    <s v="OdishaCode Labs"/>
    <n v="10.1"/>
  </r>
  <r>
    <s v="CAND0319"/>
    <s v="Tanmay Tripathy"/>
    <s v="UI Designer"/>
    <s v="Engineering"/>
    <x v="1"/>
    <n v="6.6"/>
    <n v="4.2"/>
    <n v="5.4"/>
    <n v="179888"/>
    <n v="196221"/>
    <x v="0"/>
    <s v="24-01-2023"/>
    <s v="TributeAI"/>
    <n v="10.199999999999999"/>
  </r>
  <r>
    <s v="CAND0320"/>
    <s v="Subhasree Mohapatra"/>
    <s v="Product Manager"/>
    <s v="Finance"/>
    <x v="0"/>
    <n v="7.9"/>
    <n v="8"/>
    <n v="8"/>
    <n v="31938"/>
    <m/>
    <x v="0"/>
    <s v="27-11-2023"/>
    <s v="ZeroOneSystems"/>
    <n v="11.3"/>
  </r>
  <r>
    <s v="CAND0321"/>
    <s v="Chinmaya Routray"/>
    <s v="UI Designer"/>
    <s v="Data Science"/>
    <x v="1"/>
    <n v="7.8"/>
    <n v="9.4"/>
    <n v="8.6"/>
    <n v="124570"/>
    <n v="141046"/>
    <x v="3"/>
    <s v="25-10-2024"/>
    <s v="InfySoft Bhubaneswar"/>
    <n v="3.7"/>
  </r>
  <r>
    <s v="CAND0322"/>
    <s v="Barsha Pattnaik"/>
    <s v="Cloud Architect"/>
    <s v="HR"/>
    <x v="0"/>
    <n v="8.6999999999999993"/>
    <n v="4.4000000000000004"/>
    <n v="6.5"/>
    <m/>
    <n v="198221"/>
    <x v="1"/>
    <s v="25-11-2023"/>
    <s v="BlueLotus IT"/>
    <n v="5.4"/>
  </r>
  <r>
    <s v="CAND0323"/>
    <s v="Nirmal Dhal"/>
    <s v="DevOps Engineer"/>
    <s v="Data Science"/>
    <x v="0"/>
    <n v="10"/>
    <n v="9.9"/>
    <n v="9.9"/>
    <n v="104587"/>
    <m/>
    <x v="4"/>
    <s v="17-12-2024"/>
    <s v="KalingaTech Pvt Ltd"/>
    <n v="9.5"/>
  </r>
  <r>
    <s v="CAND0324"/>
    <s v="Abhishek Biswal"/>
    <s v="Business Analyst"/>
    <s v="Finance"/>
    <x v="3"/>
    <n v="4.8"/>
    <n v="5.7"/>
    <n v="5.2"/>
    <n v="42359"/>
    <n v="37560"/>
    <x v="2"/>
    <s v="24-11-2023"/>
    <s v="OdishaCode Labs"/>
    <n v="6"/>
  </r>
  <r>
    <s v="CAND0325"/>
    <s v="Soumya Nanda"/>
    <s v="Software Engineer"/>
    <s v="HR"/>
    <x v="3"/>
    <n v="6.6"/>
    <n v="5.9"/>
    <n v="6.2"/>
    <n v="193937"/>
    <n v="181741"/>
    <x v="1"/>
    <s v="14-12-2024"/>
    <s v="TechNova Solutions"/>
    <n v="1.8"/>
  </r>
  <r>
    <s v="CAND0326"/>
    <s v="Sangita Padhi"/>
    <s v="QA Engineer"/>
    <s v="HR"/>
    <x v="5"/>
    <n v="8.1999999999999993"/>
    <m/>
    <n v="8.1999999999999993"/>
    <n v="160484"/>
    <n v="150027"/>
    <x v="4"/>
    <s v="26-03-2024"/>
    <s v="SambalpurNet"/>
    <n v="4.2"/>
  </r>
  <r>
    <s v="CAND0327"/>
    <s v="Aditya Padhi"/>
    <s v="QA Engineer"/>
    <s v="HR"/>
    <x v="4"/>
    <n v="9.6999999999999993"/>
    <n v="9.1999999999999993"/>
    <n v="9.4"/>
    <n v="159428"/>
    <n v="163730"/>
    <x v="2"/>
    <s v="23-06-2023"/>
    <s v="SambalpurNet"/>
    <n v="8.3000000000000007"/>
  </r>
  <r>
    <s v="CAND0328"/>
    <s v="Prasant Mishra"/>
    <s v="DevOps Engineer"/>
    <s v="Product"/>
    <x v="2"/>
    <n v="4.8"/>
    <n v="6.1"/>
    <n v="5.4"/>
    <n v="38796"/>
    <n v="42361"/>
    <x v="4"/>
    <s v="14-10-2024"/>
    <s v="UtkalSoft Technologies"/>
    <n v="11.5"/>
  </r>
  <r>
    <s v="CAND0329"/>
    <s v="Ipsita Sahu"/>
    <s v="DevOps Engineer"/>
    <s v="HR"/>
    <x v="0"/>
    <n v="3.8"/>
    <n v="9.9"/>
    <n v="6.8"/>
    <n v="100488"/>
    <n v="113755"/>
    <x v="4"/>
    <s v="01-09-2024"/>
    <s v="SilverByte Systems"/>
    <n v="2.2999999999999998"/>
  </r>
  <r>
    <s v="CAND0330"/>
    <s v="Tapas Sahoo"/>
    <s v="Business Analyst"/>
    <s v="Engineering"/>
    <x v="4"/>
    <n v="4.7"/>
    <n v="6.6"/>
    <n v="5.7"/>
    <n v="143066"/>
    <n v="135836"/>
    <x v="0"/>
    <s v="13-06-2023"/>
    <s v="SilverByte Systems"/>
    <n v="6.9"/>
  </r>
  <r>
    <s v="CAND0331"/>
    <s v="Satyajit Jena"/>
    <s v="Cloud Architect"/>
    <s v="Engineering"/>
    <x v="0"/>
    <n v="4.8"/>
    <n v="9.4"/>
    <n v="7.1"/>
    <n v="117292"/>
    <n v="102647"/>
    <x v="4"/>
    <s v="04-10-2023"/>
    <s v="SilverByte Systems"/>
    <n v="2.7"/>
  </r>
  <r>
    <s v="CAND0332"/>
    <s v="Sudhansu Pattnaik"/>
    <s v="UI Designer"/>
    <s v="Data Science"/>
    <x v="5"/>
    <n v="6.2"/>
    <n v="5.4"/>
    <n v="5.8"/>
    <m/>
    <n v="62517"/>
    <x v="1"/>
    <s v="17-10-2023"/>
    <s v="OdishaCode Labs"/>
    <n v="1.5"/>
  </r>
  <r>
    <s v="CAND0333"/>
    <s v="Alka Sahoo"/>
    <s v="Sales Manager"/>
    <s v="HR"/>
    <x v="3"/>
    <n v="8"/>
    <n v="7"/>
    <n v="7.5"/>
    <n v="148973"/>
    <n v="170060"/>
    <x v="4"/>
    <s v="09-08-2024"/>
    <s v="SilverByte Systems"/>
    <n v="12.4"/>
  </r>
  <r>
    <s v="CAND0334"/>
    <s v="Debasmita Sahu"/>
    <s v="Business Analyst"/>
    <s v="Data Science"/>
    <x v="1"/>
    <n v="3.2"/>
    <n v="9"/>
    <n v="6.1"/>
    <n v="108904"/>
    <n v="93925"/>
    <x v="2"/>
    <s v="13-05-2024"/>
    <s v="SambalpurNet"/>
    <n v="10.4"/>
  </r>
  <r>
    <s v="CAND0335"/>
    <s v="Barsha Senapati"/>
    <s v="Software Engineer"/>
    <s v="HR"/>
    <x v="2"/>
    <n v="7.9"/>
    <n v="9.1999999999999993"/>
    <n v="8.6"/>
    <n v="39463"/>
    <n v="38324"/>
    <x v="3"/>
    <s v="15-10-2023"/>
    <s v="InfySoft Bhubaneswar"/>
    <n v="7.9"/>
  </r>
  <r>
    <s v="CAND0336"/>
    <s v="Barsha Ratha"/>
    <s v="QA Engineer"/>
    <s v="Sales"/>
    <x v="0"/>
    <n v="6.4"/>
    <n v="9.5"/>
    <n v="8"/>
    <n v="94010"/>
    <n v="100423"/>
    <x v="3"/>
    <s v="29-05-2023"/>
    <s v="NilGiri Digitals"/>
    <n v="13.8"/>
  </r>
  <r>
    <s v="CAND0337"/>
    <s v="Ankita Mahapatra"/>
    <s v="UI Designer"/>
    <s v="HR"/>
    <x v="0"/>
    <n v="6.9"/>
    <n v="3.1"/>
    <n v="5"/>
    <n v="169387"/>
    <n v="160811"/>
    <x v="4"/>
    <s v="21-10-2023"/>
    <s v="OdishaCode Labs"/>
    <n v="0.6"/>
  </r>
  <r>
    <s v="CAND0338"/>
    <s v="Satyajit Routray"/>
    <s v="DevOps Engineer"/>
    <s v="Product"/>
    <x v="2"/>
    <n v="9.1"/>
    <n v="5.0999999999999996"/>
    <n v="7.1"/>
    <n v="51603"/>
    <n v="46843"/>
    <x v="2"/>
    <s v="06-11-2024"/>
    <s v="UtkalSoft Technologies"/>
    <n v="1.4"/>
  </r>
  <r>
    <s v="CAND0339"/>
    <s v="Ranjit Jena"/>
    <s v="QA Engineer"/>
    <s v="Product"/>
    <x v="5"/>
    <n v="9.1"/>
    <n v="8.5"/>
    <n v="8.8000000000000007"/>
    <n v="162935"/>
    <n v="176131"/>
    <x v="0"/>
    <s v="18-05-2024"/>
    <s v="SilverByte Systems"/>
    <n v="8.1999999999999993"/>
  </r>
  <r>
    <s v="CAND0340"/>
    <s v="Abhishek Jena"/>
    <s v="HR Executive"/>
    <s v="QA"/>
    <x v="5"/>
    <n v="3.1"/>
    <n v="8.8000000000000007"/>
    <n v="6"/>
    <n v="77179"/>
    <n v="78185"/>
    <x v="1"/>
    <s v="04-12-2023"/>
    <s v="CoastalDev Studio"/>
    <n v="0.6"/>
  </r>
  <r>
    <s v="CAND0341"/>
    <s v="Rahul Prusty"/>
    <s v="Cloud Architect"/>
    <s v="Engineering"/>
    <x v="2"/>
    <n v="9.5"/>
    <n v="4.7"/>
    <n v="7.1"/>
    <m/>
    <n v="170284"/>
    <x v="1"/>
    <s v="02-03-2023"/>
    <s v="CoastalDev Studio"/>
    <n v="8.3000000000000007"/>
  </r>
  <r>
    <s v="CAND0342"/>
    <s v="Puspita Mishra"/>
    <s v="Product Manager"/>
    <s v="DevOps"/>
    <x v="2"/>
    <n v="9"/>
    <n v="3.3"/>
    <n v="6.2"/>
    <n v="132915"/>
    <m/>
    <x v="1"/>
    <s v="08-02-2023"/>
    <s v="SambalpurNet"/>
    <n v="10.8"/>
  </r>
  <r>
    <s v="CAND0343"/>
    <s v="Puspita Routray"/>
    <s v="Product Manager"/>
    <s v="Product"/>
    <x v="4"/>
    <n v="7.4"/>
    <n v="3"/>
    <n v="5.2"/>
    <n v="86779"/>
    <n v="86412"/>
    <x v="0"/>
    <s v="05-05-2023"/>
    <s v="TributeAI"/>
    <n v="3.2"/>
  </r>
  <r>
    <s v="CAND0344"/>
    <s v="Alka Parida"/>
    <s v="Product Manager"/>
    <s v="QA"/>
    <x v="3"/>
    <n v="9.8000000000000007"/>
    <n v="4"/>
    <n v="6.9"/>
    <m/>
    <m/>
    <x v="3"/>
    <s v="13-08-2024"/>
    <s v="BlueLotus IT"/>
    <n v="1.4"/>
  </r>
  <r>
    <s v="CAND0345"/>
    <s v="Abhishek Senapati"/>
    <s v="DevOps Engineer"/>
    <s v="DevOps"/>
    <x v="4"/>
    <n v="7"/>
    <n v="9.5"/>
    <n v="8.1999999999999993"/>
    <n v="117244"/>
    <n v="129110"/>
    <x v="1"/>
    <s v="17-10-2023"/>
    <s v="OdishaCode Labs"/>
    <n v="7.7"/>
  </r>
  <r>
    <s v="CAND0346"/>
    <s v="Debasmita Routray"/>
    <s v="Data Analyst"/>
    <s v="Product"/>
    <x v="4"/>
    <n v="3.7"/>
    <n v="3.6"/>
    <n v="3.7"/>
    <n v="168120"/>
    <n v="154183"/>
    <x v="3"/>
    <s v="05-04-2023"/>
    <s v="InfySoft Bhubaneswar"/>
    <n v="5.3"/>
  </r>
  <r>
    <s v="CAND0347"/>
    <s v="Amlan Mahapatra"/>
    <s v="QA Engineer"/>
    <s v="Finance"/>
    <x v="4"/>
    <n v="9.5"/>
    <n v="7.5"/>
    <n v="8.5"/>
    <n v="171320"/>
    <n v="177438"/>
    <x v="0"/>
    <s v="05-12-2024"/>
    <s v="SambalpurNet"/>
    <n v="2.2999999999999998"/>
  </r>
  <r>
    <s v="CAND0348"/>
    <s v="Prasant Sahoo"/>
    <s v="Business Analyst"/>
    <s v="QA"/>
    <x v="4"/>
    <n v="3.2"/>
    <n v="8.6999999999999993"/>
    <n v="5.9"/>
    <n v="154513"/>
    <n v="136089"/>
    <x v="0"/>
    <s v="10-10-2023"/>
    <s v="SilverByte Systems"/>
    <n v="11.1"/>
  </r>
  <r>
    <s v="CAND0349"/>
    <s v="Nirmal Jena"/>
    <s v="Software Engineer"/>
    <s v="QA"/>
    <x v="0"/>
    <n v="9.5"/>
    <n v="9.6999999999999993"/>
    <n v="9.6"/>
    <n v="141368"/>
    <n v="143905"/>
    <x v="3"/>
    <s v="29-01-2023"/>
    <s v="CoastalDev Studio"/>
    <n v="4.3"/>
  </r>
  <r>
    <s v="CAND0350"/>
    <s v="Rahul Mohapatra"/>
    <s v="Software Engineer"/>
    <s v="Marketing"/>
    <x v="2"/>
    <n v="7.9"/>
    <n v="8.4"/>
    <n v="8.1999999999999993"/>
    <n v="46116"/>
    <n v="46989"/>
    <x v="3"/>
    <s v="16-09-2024"/>
    <s v="ZeroOneSystems"/>
    <n v="2.4"/>
  </r>
  <r>
    <s v="CAND0351"/>
    <s v="Jyotirmayee Routray"/>
    <s v="Software Engineer"/>
    <s v="Design"/>
    <x v="1"/>
    <n v="7.8"/>
    <n v="8"/>
    <n v="7.9"/>
    <n v="178463"/>
    <n v="202348"/>
    <x v="1"/>
    <s v="26-05-2023"/>
    <s v="ZeroOneSystems"/>
    <n v="12.4"/>
  </r>
  <r>
    <s v="CAND0352"/>
    <s v="Barsha Mahapatra"/>
    <s v="Product Manager"/>
    <s v="Engineering"/>
    <x v="4"/>
    <n v="5.4"/>
    <n v="3.9"/>
    <n v="4.7"/>
    <n v="163609"/>
    <m/>
    <x v="3"/>
    <s v="13-11-2023"/>
    <s v="NilGiri Digitals"/>
    <n v="9"/>
  </r>
  <r>
    <s v="CAND0353"/>
    <s v="Prasant Dhal"/>
    <s v="Software Engineer"/>
    <s v="Sales"/>
    <x v="1"/>
    <n v="6.6"/>
    <n v="8.9"/>
    <n v="7.8"/>
    <n v="168943"/>
    <n v="191341"/>
    <x v="1"/>
    <s v="29-12-2024"/>
    <s v="NilGiri Digitals"/>
    <n v="14.3"/>
  </r>
  <r>
    <s v="CAND0354"/>
    <s v="Nirmal Routray"/>
    <s v="Business Analyst"/>
    <s v="Design"/>
    <x v="0"/>
    <n v="3.1"/>
    <n v="3.6"/>
    <n v="3.4"/>
    <n v="175520"/>
    <n v="176566"/>
    <x v="0"/>
    <s v="24-11-2023"/>
    <s v="NilGiri Digitals"/>
    <n v="1.4"/>
  </r>
  <r>
    <s v="CAND0355"/>
    <s v="Subhasree Routray"/>
    <s v="QA Engineer"/>
    <s v="Design"/>
    <x v="0"/>
    <n v="7.4"/>
    <m/>
    <n v="7.4"/>
    <n v="22366"/>
    <n v="23338"/>
    <x v="2"/>
    <s v="10-07-2024"/>
    <s v="OdishaCode Labs"/>
    <n v="10.7"/>
  </r>
  <r>
    <s v="CAND0356"/>
    <s v="Bikash Sahu"/>
    <s v="Software Engineer"/>
    <s v="Design"/>
    <x v="1"/>
    <n v="8.4"/>
    <n v="8.9"/>
    <n v="8.6999999999999993"/>
    <n v="46205"/>
    <m/>
    <x v="4"/>
    <s v="30-07-2024"/>
    <s v="UtkalSoft Technologies"/>
    <n v="1.9"/>
  </r>
  <r>
    <s v="CAND0357"/>
    <s v="Abhishek Prusty"/>
    <s v="HR Executive"/>
    <s v="Data Science"/>
    <x v="2"/>
    <n v="8.6999999999999993"/>
    <m/>
    <n v="8.6999999999999993"/>
    <n v="134633"/>
    <n v="132763"/>
    <x v="2"/>
    <s v="29-10-2024"/>
    <s v="SilverByte Systems"/>
    <n v="3.5"/>
  </r>
  <r>
    <s v="CAND0358"/>
    <s v="Nirmal Senapati"/>
    <s v="Software Engineer"/>
    <s v="Finance"/>
    <x v="3"/>
    <n v="3.3"/>
    <n v="4.8"/>
    <n v="4"/>
    <n v="130585"/>
    <m/>
    <x v="3"/>
    <s v="22-09-2023"/>
    <s v="KalingaTech Pvt Ltd"/>
    <n v="1.3"/>
  </r>
  <r>
    <s v="CAND0359"/>
    <s v="Ankita Mishra"/>
    <s v="HR Executive"/>
    <s v="Marketing"/>
    <x v="3"/>
    <n v="8.6999999999999993"/>
    <n v="7.9"/>
    <n v="8.3000000000000007"/>
    <n v="159727"/>
    <n v="180960"/>
    <x v="0"/>
    <s v="31-10-2023"/>
    <s v="SambalpurNet"/>
    <n v="15"/>
  </r>
  <r>
    <s v="CAND0360"/>
    <s v="Bikash Tripathy"/>
    <s v="QA Engineer"/>
    <s v="Engineering"/>
    <x v="3"/>
    <n v="5.6"/>
    <n v="3.6"/>
    <n v="4.5999999999999996"/>
    <n v="155796"/>
    <m/>
    <x v="1"/>
    <s v="08-04-2024"/>
    <s v="SambalpurNet"/>
    <n v="8.8000000000000007"/>
  </r>
  <r>
    <s v="CAND0361"/>
    <s v="Dibya Tripathy"/>
    <s v="Product Manager"/>
    <s v="Product"/>
    <x v="5"/>
    <n v="6.6"/>
    <n v="7.4"/>
    <n v="7"/>
    <n v="80310"/>
    <n v="79323"/>
    <x v="0"/>
    <s v="09-06-2023"/>
    <s v="ZeroOneSystems"/>
    <n v="14.3"/>
  </r>
  <r>
    <s v="CAND0362"/>
    <s v="Dibya Sahoo"/>
    <s v="UI Designer"/>
    <s v="Data Science"/>
    <x v="1"/>
    <n v="7.3"/>
    <n v="7.5"/>
    <n v="7.4"/>
    <n v="24184"/>
    <n v="26870"/>
    <x v="4"/>
    <s v="28-06-2024"/>
    <s v="NilGiri Digitals"/>
    <n v="10.3"/>
  </r>
  <r>
    <s v="CAND0363"/>
    <s v="Aditya Mishra"/>
    <s v="DevOps Engineer"/>
    <s v="Finance"/>
    <x v="5"/>
    <n v="9.4"/>
    <m/>
    <n v="9.4"/>
    <n v="149799"/>
    <n v="164924"/>
    <x v="3"/>
    <s v="23-12-2023"/>
    <s v="TechNova Solutions"/>
    <n v="2.9"/>
  </r>
  <r>
    <s v="CAND0364"/>
    <s v="Ranjit Padhi"/>
    <s v="Sales Manager"/>
    <s v="Product"/>
    <x v="1"/>
    <n v="9.9"/>
    <n v="6"/>
    <n v="8"/>
    <n v="180727"/>
    <n v="202301"/>
    <x v="0"/>
    <s v="04-02-2024"/>
    <s v="SilverByte Systems"/>
    <n v="13.4"/>
  </r>
  <r>
    <s v="CAND0365"/>
    <s v="Abhishek Mohapatra"/>
    <s v="Software Engineer"/>
    <s v="Product"/>
    <x v="2"/>
    <n v="7.1"/>
    <n v="3.6"/>
    <n v="5.3"/>
    <n v="91358"/>
    <m/>
    <x v="4"/>
    <s v="13-11-2024"/>
    <s v="NilGiri Digitals"/>
    <n v="5.8"/>
  </r>
  <r>
    <s v="CAND0366"/>
    <s v="Tanmay Parida"/>
    <s v="Sales Manager"/>
    <s v="Product"/>
    <x v="4"/>
    <n v="5.7"/>
    <n v="6.1"/>
    <n v="5.9"/>
    <n v="57918"/>
    <n v="66244"/>
    <x v="2"/>
    <s v="19-07-2023"/>
    <s v="SambalpurNet"/>
    <n v="10.4"/>
  </r>
  <r>
    <s v="CAND0367"/>
    <s v="Alka Routray"/>
    <s v="HR Executive"/>
    <s v="HR"/>
    <x v="4"/>
    <n v="3.7"/>
    <n v="8.6999999999999993"/>
    <n v="6.2"/>
    <m/>
    <n v="172341"/>
    <x v="4"/>
    <s v="20-11-2023"/>
    <s v="ZeroOneSystems"/>
    <n v="6.3"/>
  </r>
  <r>
    <s v="CAND0368"/>
    <s v="Soumya Behura"/>
    <s v="UI Designer"/>
    <s v="Design"/>
    <x v="3"/>
    <n v="3.8"/>
    <n v="3.4"/>
    <n v="3.6"/>
    <n v="122664"/>
    <n v="125269"/>
    <x v="2"/>
    <s v="19-08-2023"/>
    <s v="TributeAI"/>
    <n v="13.3"/>
  </r>
  <r>
    <s v="CAND0369"/>
    <s v="Dibya Tripathy"/>
    <s v="UI Designer"/>
    <s v="DevOps"/>
    <x v="2"/>
    <n v="4.4000000000000004"/>
    <n v="4.2"/>
    <n v="4.3"/>
    <n v="183537"/>
    <m/>
    <x v="4"/>
    <s v="10-07-2023"/>
    <s v="SambalpurNet"/>
    <n v="8.1"/>
  </r>
  <r>
    <s v="CAND0370"/>
    <s v="Barsha Mahapatra"/>
    <s v="Cloud Architect"/>
    <s v="HR"/>
    <x v="0"/>
    <n v="8.1999999999999993"/>
    <n v="4.7"/>
    <n v="6.4"/>
    <n v="153098"/>
    <m/>
    <x v="1"/>
    <s v="26-04-2024"/>
    <s v="UtkalSoft Technologies"/>
    <n v="14.2"/>
  </r>
  <r>
    <s v="CAND0371"/>
    <s v="Sudhansu Pattnaik"/>
    <s v="HR Executive"/>
    <s v="Data Science"/>
    <x v="0"/>
    <n v="5.3"/>
    <n v="9.5"/>
    <n v="7.4"/>
    <n v="171128"/>
    <n v="150583"/>
    <x v="0"/>
    <s v="13-11-2023"/>
    <s v="TributeAI"/>
    <n v="11"/>
  </r>
  <r>
    <s v="CAND0372"/>
    <s v="Ranjit Pattnaik"/>
    <s v="UI Designer"/>
    <s v="QA"/>
    <x v="0"/>
    <n v="6.9"/>
    <n v="5.6"/>
    <n v="6.2"/>
    <n v="193797"/>
    <n v="186294"/>
    <x v="4"/>
    <s v="05-02-2024"/>
    <s v="KalingaTech Pvt Ltd"/>
    <n v="6.7"/>
  </r>
  <r>
    <s v="CAND0373"/>
    <s v="Soumya Parida"/>
    <s v="DevOps Engineer"/>
    <s v="DevOps"/>
    <x v="0"/>
    <n v="8.5"/>
    <n v="4"/>
    <n v="6.2"/>
    <n v="37728"/>
    <n v="39170"/>
    <x v="1"/>
    <s v="12-04-2024"/>
    <s v="SilverByte Systems"/>
    <n v="6.4"/>
  </r>
  <r>
    <s v="CAND0374"/>
    <s v="Tanmay Mishra"/>
    <s v="UI Designer"/>
    <s v="HR"/>
    <x v="2"/>
    <n v="3.4"/>
    <n v="8.4"/>
    <n v="5.9"/>
    <n v="27970"/>
    <n v="25107"/>
    <x v="4"/>
    <s v="17-06-2023"/>
    <s v="NilGiri Digitals"/>
    <n v="3.3"/>
  </r>
  <r>
    <s v="CAND0375"/>
    <s v="Prasant Mishra"/>
    <s v="Data Analyst"/>
    <s v="Product"/>
    <x v="4"/>
    <n v="5.9"/>
    <n v="8.1999999999999993"/>
    <n v="7"/>
    <n v="192224"/>
    <n v="187419"/>
    <x v="1"/>
    <s v="10-06-2023"/>
    <s v="OdishaCode Labs"/>
    <n v="6.2"/>
  </r>
  <r>
    <s v="CAND0376"/>
    <s v="Puspita Routray"/>
    <s v="DevOps Engineer"/>
    <s v="Product"/>
    <x v="0"/>
    <n v="5.4"/>
    <n v="4.9000000000000004"/>
    <n v="5.2"/>
    <n v="67260"/>
    <n v="66360"/>
    <x v="0"/>
    <s v="04-07-2024"/>
    <s v="SambalpurNet"/>
    <n v="13.7"/>
  </r>
  <r>
    <s v="CAND0377"/>
    <s v="Bikash Padhi"/>
    <s v="Data Analyst"/>
    <s v="Engineering"/>
    <x v="3"/>
    <n v="6.3"/>
    <n v="9.6999999999999993"/>
    <n v="8"/>
    <n v="63966"/>
    <n v="68976"/>
    <x v="4"/>
    <s v="13-01-2023"/>
    <s v="SilverByte Systems"/>
    <n v="9.6999999999999993"/>
  </r>
  <r>
    <s v="CAND0378"/>
    <s v="Ankita Parida"/>
    <s v="UI Designer"/>
    <s v="HR"/>
    <x v="1"/>
    <n v="8.8000000000000007"/>
    <n v="8.8000000000000007"/>
    <n v="8.8000000000000007"/>
    <n v="27250"/>
    <n v="23871"/>
    <x v="2"/>
    <s v="24-07-2023"/>
    <s v="UtkalSoft Technologies"/>
    <n v="10.3"/>
  </r>
  <r>
    <s v="CAND0379"/>
    <s v="Satyajit Parida"/>
    <s v="QA Engineer"/>
    <s v="Product"/>
    <x v="3"/>
    <n v="7"/>
    <n v="8.9"/>
    <n v="8"/>
    <n v="22422"/>
    <n v="25181"/>
    <x v="4"/>
    <s v="03-01-2024"/>
    <s v="UtkalSoft Technologies"/>
    <n v="6.1"/>
  </r>
  <r>
    <s v="CAND0380"/>
    <s v="Amlan Mohapatra"/>
    <s v="Product Manager"/>
    <s v="Engineering"/>
    <x v="0"/>
    <n v="3.7"/>
    <n v="5.8"/>
    <n v="4.8"/>
    <n v="134467"/>
    <n v="118238"/>
    <x v="1"/>
    <s v="11-02-2024"/>
    <s v="SilverByte Systems"/>
    <n v="5.3"/>
  </r>
  <r>
    <s v="CAND0381"/>
    <s v="Soumya Tripathy"/>
    <s v="UI Designer"/>
    <s v="QA"/>
    <x v="1"/>
    <n v="6.6"/>
    <m/>
    <n v="6.6"/>
    <n v="121143"/>
    <m/>
    <x v="4"/>
    <s v="26-09-2023"/>
    <s v="NilGiri Digitals"/>
    <n v="8.9"/>
  </r>
  <r>
    <s v="CAND0382"/>
    <s v="Namita Choudhury"/>
    <s v="Business Analyst"/>
    <s v="Product"/>
    <x v="1"/>
    <n v="8.3000000000000007"/>
    <n v="6.2"/>
    <n v="7.2"/>
    <n v="168827"/>
    <n v="173809"/>
    <x v="3"/>
    <s v="14-04-2024"/>
    <s v="TributeAI"/>
    <n v="10.5"/>
  </r>
  <r>
    <s v="CAND0383"/>
    <s v="Bikash Prusty"/>
    <s v="Product Manager"/>
    <s v="Design"/>
    <x v="1"/>
    <n v="8.1"/>
    <n v="4.4000000000000004"/>
    <n v="6.2"/>
    <n v="31193"/>
    <m/>
    <x v="2"/>
    <s v="27-11-2023"/>
    <s v="OdishaCode Labs"/>
    <n v="6.2"/>
  </r>
  <r>
    <s v="CAND0384"/>
    <s v="Nirmal Choudhury"/>
    <s v="Cloud Architect"/>
    <s v="Finance"/>
    <x v="5"/>
    <n v="5.6"/>
    <n v="6"/>
    <n v="5.8"/>
    <n v="98220"/>
    <m/>
    <x v="1"/>
    <s v="22-05-2023"/>
    <s v="UtkalSoft Technologies"/>
    <n v="13.8"/>
  </r>
  <r>
    <s v="CAND0385"/>
    <s v="Tapas Jena"/>
    <s v="Sales Manager"/>
    <s v="Marketing"/>
    <x v="1"/>
    <n v="3.6"/>
    <n v="4.4000000000000004"/>
    <n v="4"/>
    <n v="186678"/>
    <n v="190032"/>
    <x v="0"/>
    <s v="10-02-2024"/>
    <s v="UtkalSoft Technologies"/>
    <n v="9.6"/>
  </r>
  <r>
    <s v="CAND0386"/>
    <s v="Sudhansu Ratha"/>
    <s v="Cloud Architect"/>
    <s v="Engineering"/>
    <x v="1"/>
    <n v="5.3"/>
    <m/>
    <n v="5.3"/>
    <n v="146992"/>
    <m/>
    <x v="1"/>
    <s v="14-03-2024"/>
    <s v="OdishaCode Labs"/>
    <n v="9.3000000000000007"/>
  </r>
  <r>
    <s v="CAND0387"/>
    <s v="Tanmay Parida"/>
    <s v="QA Engineer"/>
    <s v="QA"/>
    <x v="2"/>
    <n v="4.4000000000000004"/>
    <n v="6.1"/>
    <n v="5.2"/>
    <n v="159394"/>
    <m/>
    <x v="0"/>
    <s v="14-05-2024"/>
    <s v="KalingaTech Pvt Ltd"/>
    <n v="9.4"/>
  </r>
  <r>
    <s v="CAND0388"/>
    <s v="Abhishek Samal"/>
    <s v="UI Designer"/>
    <s v="Engineering"/>
    <x v="1"/>
    <n v="6.7"/>
    <n v="3.9"/>
    <n v="5.3"/>
    <n v="140048"/>
    <n v="120437"/>
    <x v="0"/>
    <s v="14-01-2024"/>
    <s v="CoastalDev Studio"/>
    <n v="5"/>
  </r>
  <r>
    <s v="CAND0389"/>
    <s v="Dibya Behura"/>
    <s v="Data Analyst"/>
    <s v="Engineering"/>
    <x v="4"/>
    <n v="7.1"/>
    <n v="3.2"/>
    <n v="5.2"/>
    <n v="157818"/>
    <n v="152403"/>
    <x v="2"/>
    <s v="10-08-2024"/>
    <s v="CoastalDev Studio"/>
    <n v="7.2"/>
  </r>
  <r>
    <s v="CAND0390"/>
    <s v="Amlan Ratha"/>
    <s v="Sales Manager"/>
    <s v="Data Science"/>
    <x v="0"/>
    <n v="7.6"/>
    <n v="3.5"/>
    <n v="5.5"/>
    <n v="146183"/>
    <m/>
    <x v="0"/>
    <s v="27-10-2024"/>
    <s v="NilGiri Digitals"/>
    <n v="12.7"/>
  </r>
  <r>
    <s v="CAND0391"/>
    <s v="Rajan Mohapatra"/>
    <s v="UI Designer"/>
    <s v="QA"/>
    <x v="1"/>
    <n v="7.7"/>
    <n v="7.8"/>
    <n v="7.8"/>
    <n v="58349"/>
    <m/>
    <x v="1"/>
    <s v="22-08-2023"/>
    <s v="CoastalDev Studio"/>
    <n v="7.7"/>
  </r>
  <r>
    <s v="CAND0392"/>
    <s v="Bikash Jena"/>
    <s v="DevOps Engineer"/>
    <s v="Engineering"/>
    <x v="4"/>
    <n v="9.9"/>
    <n v="3.2"/>
    <n v="6.6"/>
    <n v="150420"/>
    <m/>
    <x v="3"/>
    <s v="14-02-2023"/>
    <s v="CoastalDev Studio"/>
    <n v="2.6"/>
  </r>
  <r>
    <s v="CAND0393"/>
    <s v="Tanmay Padhi"/>
    <s v="Software Engineer"/>
    <s v="Product"/>
    <x v="5"/>
    <n v="9.6"/>
    <n v="9.8000000000000007"/>
    <n v="9.6999999999999993"/>
    <n v="37946"/>
    <m/>
    <x v="4"/>
    <s v="22-06-2024"/>
    <s v="SambalpurNet"/>
    <n v="8.6"/>
  </r>
  <r>
    <s v="CAND0394"/>
    <s v="Debasmita Nanda"/>
    <s v="Data Analyst"/>
    <s v="Product"/>
    <x v="2"/>
    <n v="6.5"/>
    <n v="6.2"/>
    <n v="6.3"/>
    <n v="54932"/>
    <n v="57921"/>
    <x v="0"/>
    <s v="31-01-2024"/>
    <s v="CoastalDev Studio"/>
    <n v="14.1"/>
  </r>
  <r>
    <s v="CAND0395"/>
    <s v="Subhasree Parida"/>
    <s v="Business Analyst"/>
    <s v="DevOps"/>
    <x v="2"/>
    <n v="3.2"/>
    <n v="6.3"/>
    <n v="4.8"/>
    <n v="63211"/>
    <n v="62319"/>
    <x v="4"/>
    <s v="25-10-2023"/>
    <s v="CoastalDev Studio"/>
    <n v="12.8"/>
  </r>
  <r>
    <s v="CAND0396"/>
    <s v="Chinmaya Ratha"/>
    <s v="Software Engineer"/>
    <s v="Finance"/>
    <x v="5"/>
    <n v="6.2"/>
    <n v="9.3000000000000007"/>
    <n v="7.8"/>
    <n v="156175"/>
    <n v="144636"/>
    <x v="2"/>
    <s v="09-09-2023"/>
    <s v="BlueLotus IT"/>
    <n v="9.6999999999999993"/>
  </r>
  <r>
    <s v="CAND0397"/>
    <s v="Namita Prusty"/>
    <s v="QA Engineer"/>
    <s v="QA"/>
    <x v="1"/>
    <n v="4.5999999999999996"/>
    <n v="5.4"/>
    <n v="5"/>
    <n v="70670"/>
    <n v="77920"/>
    <x v="2"/>
    <s v="26-10-2024"/>
    <s v="SambalpurNet"/>
    <n v="4.3"/>
  </r>
  <r>
    <s v="CAND0398"/>
    <s v="Chinmaya Behura"/>
    <s v="Software Engineer"/>
    <s v="QA"/>
    <x v="1"/>
    <n v="9.4"/>
    <m/>
    <n v="9.4"/>
    <n v="148789"/>
    <n v="158377"/>
    <x v="3"/>
    <s v="10-08-2024"/>
    <s v="SilverByte Systems"/>
    <n v="10.1"/>
  </r>
  <r>
    <s v="CAND0399"/>
    <s v="Lipsa Choudhury"/>
    <s v="UI Designer"/>
    <s v="HR"/>
    <x v="1"/>
    <n v="9.6999999999999993"/>
    <n v="7.9"/>
    <n v="8.8000000000000007"/>
    <n v="52648"/>
    <m/>
    <x v="2"/>
    <s v="03-09-2023"/>
    <s v="TributeAI"/>
    <n v="14.7"/>
  </r>
  <r>
    <s v="CAND0400"/>
    <s v="Tanmay Mahapatra"/>
    <s v="Business Analyst"/>
    <s v="Marketing"/>
    <x v="0"/>
    <n v="7.8"/>
    <n v="8.3000000000000007"/>
    <n v="8.1"/>
    <n v="136163"/>
    <m/>
    <x v="0"/>
    <s v="11-08-2023"/>
    <s v="CoastalDev Studio"/>
    <n v="3.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30-03-2022"/>
    <d v="2022-03-30T00:00:00"/>
    <x v="0"/>
    <n v="7765.2"/>
  </r>
  <r>
    <x v="1"/>
    <s v="01-11-2023"/>
    <d v="2023-11-01T00:00:00"/>
    <x v="1"/>
    <n v="2114.3000000000002"/>
  </r>
  <r>
    <x v="2"/>
    <s v="07-12-2021"/>
    <d v="2021-12-07T00:00:00"/>
    <x v="2"/>
    <n v="1820.4"/>
  </r>
  <r>
    <x v="1"/>
    <s v="04-08-2024"/>
    <d v="2024-08-04T00:00:00"/>
    <x v="3"/>
    <n v="4444.3999999999996"/>
  </r>
  <r>
    <x v="3"/>
    <s v="27-03-2023"/>
    <d v="2023-03-27T00:00:00"/>
    <x v="0"/>
    <n v="10825.8"/>
  </r>
  <r>
    <x v="4"/>
    <s v="05-03-2021"/>
    <d v="2021-03-05T00:00:00"/>
    <x v="0"/>
    <n v="5174.3"/>
  </r>
  <r>
    <x v="5"/>
    <s v="04-09-2021"/>
    <d v="2021-09-04T00:00:00"/>
    <x v="4"/>
    <n v="10820.4"/>
  </r>
  <r>
    <x v="4"/>
    <s v="26-10-2023"/>
    <d v="2023-10-26T00:00:00"/>
    <x v="5"/>
    <n v="5141.8999999999996"/>
  </r>
  <r>
    <x v="1"/>
    <s v="19-08-2022"/>
    <d v="2022-08-19T00:00:00"/>
    <x v="3"/>
    <n v="458.3"/>
  </r>
  <r>
    <x v="6"/>
    <s v="23-07-2024"/>
    <d v="2024-07-23T00:00:00"/>
    <x v="6"/>
    <n v="3512.1"/>
  </r>
  <r>
    <x v="6"/>
    <s v="07-10-2022"/>
    <d v="2022-10-07T00:00:00"/>
    <x v="5"/>
    <n v="12125.9"/>
  </r>
  <r>
    <x v="4"/>
    <s v="17-02-2023"/>
    <d v="2023-02-17T00:00:00"/>
    <x v="7"/>
    <n v="18151.5"/>
  </r>
  <r>
    <x v="7"/>
    <s v="24-08-2022"/>
    <d v="2022-08-24T00:00:00"/>
    <x v="3"/>
    <n v="8129.3"/>
  </r>
  <r>
    <x v="8"/>
    <s v="04-03-2023"/>
    <d v="2023-03-04T00:00:00"/>
    <x v="0"/>
    <n v="5854.7"/>
  </r>
  <r>
    <x v="5"/>
    <s v="06-05-2023"/>
    <d v="2023-05-06T00:00:00"/>
    <x v="8"/>
    <n v="2307"/>
  </r>
  <r>
    <x v="9"/>
    <s v="12-02-2023"/>
    <d v="2023-02-12T00:00:00"/>
    <x v="7"/>
    <n v="17402.8"/>
  </r>
  <r>
    <x v="5"/>
    <s v="10-02-2021"/>
    <d v="2021-02-10T00:00:00"/>
    <x v="7"/>
    <n v="7651.3"/>
  </r>
  <r>
    <x v="1"/>
    <s v="29-02-2024"/>
    <d v="2024-02-29T00:00:00"/>
    <x v="7"/>
    <n v="3049.6"/>
  </r>
  <r>
    <x v="4"/>
    <s v="18-03-2022"/>
    <d v="2022-03-18T00:00:00"/>
    <x v="0"/>
    <n v="2931.5"/>
  </r>
  <r>
    <x v="10"/>
    <s v="25-03-2021"/>
    <d v="2021-03-25T00:00:00"/>
    <x v="0"/>
    <n v="5050.3"/>
  </r>
  <r>
    <x v="7"/>
    <s v="04-07-2023"/>
    <d v="2023-07-04T00:00:00"/>
    <x v="6"/>
    <n v="10531.7"/>
  </r>
  <r>
    <x v="0"/>
    <s v="17-02-2023"/>
    <d v="2023-02-17T00:00:00"/>
    <x v="7"/>
    <n v="9667.2000000000007"/>
  </r>
  <r>
    <x v="3"/>
    <s v="21-04-2024"/>
    <d v="2024-04-21T00:00:00"/>
    <x v="9"/>
    <n v="4353"/>
  </r>
  <r>
    <x v="1"/>
    <s v="25-06-2022"/>
    <d v="2022-06-25T00:00:00"/>
    <x v="10"/>
    <n v="12613.9"/>
  </r>
  <r>
    <x v="9"/>
    <s v="05-07-2023"/>
    <d v="2023-07-05T00:00:00"/>
    <x v="6"/>
    <n v="8647.7000000000007"/>
  </r>
  <r>
    <x v="2"/>
    <s v="03-11-2023"/>
    <d v="2023-11-03T00:00:00"/>
    <x v="1"/>
    <n v="16743.099999999999"/>
  </r>
  <r>
    <x v="8"/>
    <s v="01-09-2022"/>
    <d v="2022-09-01T00:00:00"/>
    <x v="4"/>
    <n v="6995.5"/>
  </r>
  <r>
    <x v="3"/>
    <s v="18-06-2022"/>
    <d v="2022-06-18T00:00:00"/>
    <x v="10"/>
    <n v="3265"/>
  </r>
  <r>
    <x v="6"/>
    <s v="11-05-2021"/>
    <d v="2021-05-11T00:00:00"/>
    <x v="8"/>
    <n v="3624.4"/>
  </r>
  <r>
    <x v="4"/>
    <s v="10-06-2024"/>
    <d v="2024-06-10T00:00:00"/>
    <x v="10"/>
    <n v="4226.3"/>
  </r>
  <r>
    <x v="5"/>
    <s v="05-03-2021"/>
    <d v="2021-03-05T00:00:00"/>
    <x v="0"/>
    <n v="7778.3"/>
  </r>
  <r>
    <x v="11"/>
    <s v="30-07-2023"/>
    <d v="2023-07-30T00:00:00"/>
    <x v="6"/>
    <n v="1605.8"/>
  </r>
  <r>
    <x v="3"/>
    <s v="15-07-2023"/>
    <d v="2023-07-15T00:00:00"/>
    <x v="6"/>
    <n v="17202.3"/>
  </r>
  <r>
    <x v="10"/>
    <s v="13-04-2023"/>
    <d v="2023-04-13T00:00:00"/>
    <x v="9"/>
    <n v="2340"/>
  </r>
  <r>
    <x v="8"/>
    <s v="10-02-2022"/>
    <d v="2022-02-10T00:00:00"/>
    <x v="7"/>
    <n v="2054.6"/>
  </r>
  <r>
    <x v="2"/>
    <s v="21-07-2022"/>
    <d v="2022-07-21T00:00:00"/>
    <x v="6"/>
    <n v="1988"/>
  </r>
  <r>
    <x v="8"/>
    <s v="21-11-2022"/>
    <d v="2022-11-21T00:00:00"/>
    <x v="1"/>
    <n v="3111"/>
  </r>
  <r>
    <x v="4"/>
    <s v="24-12-2023"/>
    <d v="2023-12-24T00:00:00"/>
    <x v="2"/>
    <n v="4154.7"/>
  </r>
  <r>
    <x v="4"/>
    <s v="23-02-2021"/>
    <d v="2021-02-23T00:00:00"/>
    <x v="7"/>
    <n v="7275.9"/>
  </r>
  <r>
    <x v="0"/>
    <s v="03-07-2021"/>
    <d v="2021-07-03T00:00:00"/>
    <x v="6"/>
    <n v="1228.3"/>
  </r>
  <r>
    <x v="6"/>
    <s v="01-07-2022"/>
    <d v="2022-07-01T00:00:00"/>
    <x v="6"/>
    <n v="7707.2"/>
  </r>
  <r>
    <x v="10"/>
    <s v="14-03-2024"/>
    <d v="2024-03-14T00:00:00"/>
    <x v="0"/>
    <n v="2621"/>
  </r>
  <r>
    <x v="1"/>
    <s v="19-10-2022"/>
    <d v="2022-10-19T00:00:00"/>
    <x v="5"/>
    <n v="2340.5"/>
  </r>
  <r>
    <x v="9"/>
    <s v="09-06-2021"/>
    <d v="2021-06-09T00:00:00"/>
    <x v="10"/>
    <n v="2436.1999999999998"/>
  </r>
  <r>
    <x v="7"/>
    <s v="23-07-2024"/>
    <d v="2024-07-23T00:00:00"/>
    <x v="6"/>
    <n v="19549.7"/>
  </r>
  <r>
    <x v="11"/>
    <s v="15-01-2024"/>
    <d v="2024-01-15T00:00:00"/>
    <x v="11"/>
    <n v="10245.299999999999"/>
  </r>
  <r>
    <x v="3"/>
    <s v="15-12-2024"/>
    <d v="2024-12-15T00:00:00"/>
    <x v="2"/>
    <n v="4070.4"/>
  </r>
  <r>
    <x v="11"/>
    <s v="31-05-2023"/>
    <d v="2023-05-31T00:00:00"/>
    <x v="8"/>
    <n v="18188.400000000001"/>
  </r>
  <r>
    <x v="8"/>
    <s v="28-12-2024"/>
    <d v="2024-12-28T00:00:00"/>
    <x v="2"/>
    <n v="1183.5999999999999"/>
  </r>
  <r>
    <x v="2"/>
    <s v="12-10-2022"/>
    <d v="2022-10-12T00:00:00"/>
    <x v="5"/>
    <n v="19237.2"/>
  </r>
  <r>
    <x v="6"/>
    <s v="06-05-2023"/>
    <d v="2023-05-06T00:00:00"/>
    <x v="8"/>
    <n v="1263.5999999999999"/>
  </r>
  <r>
    <x v="0"/>
    <s v="27-04-2024"/>
    <d v="2024-04-27T00:00:00"/>
    <x v="9"/>
    <n v="9937.5"/>
  </r>
  <r>
    <x v="0"/>
    <s v="12-04-2022"/>
    <d v="2022-04-12T00:00:00"/>
    <x v="9"/>
    <n v="8136.3"/>
  </r>
  <r>
    <x v="11"/>
    <s v="08-03-2022"/>
    <d v="2022-03-08T00:00:00"/>
    <x v="0"/>
    <n v="11014.5"/>
  </r>
  <r>
    <x v="8"/>
    <s v="22-01-2022"/>
    <d v="2022-01-22T00:00:00"/>
    <x v="11"/>
    <n v="6364.8"/>
  </r>
  <r>
    <x v="7"/>
    <s v="17-01-2023"/>
    <d v="2023-01-17T00:00:00"/>
    <x v="11"/>
    <n v="22353.9"/>
  </r>
  <r>
    <x v="10"/>
    <s v="26-06-2023"/>
    <d v="2023-06-26T00:00:00"/>
    <x v="10"/>
    <n v="5178.8999999999996"/>
  </r>
  <r>
    <x v="4"/>
    <s v="10-01-2024"/>
    <d v="2024-01-10T00:00:00"/>
    <x v="11"/>
    <n v="9223.2999999999993"/>
  </r>
  <r>
    <x v="5"/>
    <s v="28-11-2022"/>
    <d v="2022-11-28T00:00:00"/>
    <x v="1"/>
    <n v="19881.3"/>
  </r>
  <r>
    <x v="8"/>
    <s v="18-05-2024"/>
    <d v="2024-05-18T00:00:00"/>
    <x v="8"/>
    <n v="7864.1"/>
  </r>
  <r>
    <x v="10"/>
    <s v="19-11-2021"/>
    <d v="2021-11-19T00:00:00"/>
    <x v="1"/>
    <n v="10432.5"/>
  </r>
  <r>
    <x v="5"/>
    <s v="02-12-2023"/>
    <d v="2023-12-02T00:00:00"/>
    <x v="2"/>
    <n v="2207.1999999999998"/>
  </r>
  <r>
    <x v="10"/>
    <s v="17-09-2021"/>
    <d v="2021-09-17T00:00:00"/>
    <x v="4"/>
    <n v="10283.299999999999"/>
  </r>
  <r>
    <x v="8"/>
    <s v="16-06-2022"/>
    <d v="2022-06-16T00:00:00"/>
    <x v="10"/>
    <n v="15240.3"/>
  </r>
  <r>
    <x v="2"/>
    <s v="05-07-2022"/>
    <d v="2022-07-05T00:00:00"/>
    <x v="6"/>
    <n v="5475.2"/>
  </r>
  <r>
    <x v="3"/>
    <s v="06-01-2022"/>
    <d v="2022-01-06T00:00:00"/>
    <x v="11"/>
    <n v="6868.9"/>
  </r>
  <r>
    <x v="7"/>
    <s v="14-09-2021"/>
    <d v="2021-09-14T00:00:00"/>
    <x v="4"/>
    <n v="6049.2"/>
  </r>
  <r>
    <x v="10"/>
    <s v="27-06-2023"/>
    <d v="2023-06-27T00:00:00"/>
    <x v="10"/>
    <n v="2705.9"/>
  </r>
  <r>
    <x v="8"/>
    <s v="03-03-2023"/>
    <d v="2023-03-03T00:00:00"/>
    <x v="0"/>
    <n v="2185"/>
  </r>
  <r>
    <x v="4"/>
    <s v="23-05-2021"/>
    <d v="2021-05-23T00:00:00"/>
    <x v="8"/>
    <n v="15758.1"/>
  </r>
  <r>
    <x v="4"/>
    <s v="20-09-2024"/>
    <d v="2024-09-20T00:00:00"/>
    <x v="4"/>
    <n v="3608"/>
  </r>
  <r>
    <x v="9"/>
    <s v="20-03-2021"/>
    <d v="2021-03-20T00:00:00"/>
    <x v="0"/>
    <n v="1332.1"/>
  </r>
  <r>
    <x v="5"/>
    <s v="08-09-2021"/>
    <d v="2021-09-08T00:00:00"/>
    <x v="4"/>
    <n v="1401.9"/>
  </r>
  <r>
    <x v="3"/>
    <s v="06-04-2021"/>
    <d v="2021-04-06T00:00:00"/>
    <x v="9"/>
    <n v="2063.6"/>
  </r>
  <r>
    <x v="6"/>
    <s v="17-01-2023"/>
    <d v="2023-01-17T00:00:00"/>
    <x v="11"/>
    <n v="1618.2"/>
  </r>
  <r>
    <x v="9"/>
    <s v="27-07-2022"/>
    <d v="2022-07-27T00:00:00"/>
    <x v="6"/>
    <n v="3067.1"/>
  </r>
  <r>
    <x v="3"/>
    <s v="17-09-2023"/>
    <d v="2023-09-17T00:00:00"/>
    <x v="4"/>
    <n v="12786.7"/>
  </r>
  <r>
    <x v="4"/>
    <s v="15-03-2022"/>
    <d v="2022-03-15T00:00:00"/>
    <x v="0"/>
    <n v="958.7"/>
  </r>
  <r>
    <x v="4"/>
    <s v="18-08-2023"/>
    <d v="2023-08-18T00:00:00"/>
    <x v="3"/>
    <n v="4573.3999999999996"/>
  </r>
  <r>
    <x v="2"/>
    <s v="08-03-2022"/>
    <d v="2022-03-08T00:00:00"/>
    <x v="0"/>
    <n v="1974.4"/>
  </r>
  <r>
    <x v="11"/>
    <s v="16-12-2022"/>
    <d v="2022-12-16T00:00:00"/>
    <x v="2"/>
    <n v="1919"/>
  </r>
  <r>
    <x v="8"/>
    <s v="19-04-2021"/>
    <d v="2021-04-19T00:00:00"/>
    <x v="9"/>
    <n v="19607.099999999999"/>
  </r>
  <r>
    <x v="7"/>
    <s v="23-01-2023"/>
    <d v="2023-01-23T00:00:00"/>
    <x v="11"/>
    <n v="7278.4"/>
  </r>
  <r>
    <x v="10"/>
    <s v="01-10-2021"/>
    <d v="2021-10-01T00:00:00"/>
    <x v="5"/>
    <n v="7185.2"/>
  </r>
  <r>
    <x v="11"/>
    <s v="29-05-2023"/>
    <d v="2023-05-29T00:00:00"/>
    <x v="8"/>
    <n v="1009.2"/>
  </r>
  <r>
    <x v="11"/>
    <s v="14-01-2021"/>
    <d v="2021-01-14T00:00:00"/>
    <x v="11"/>
    <n v="7811.8"/>
  </r>
  <r>
    <x v="2"/>
    <s v="27-05-2024"/>
    <d v="2024-05-27T00:00:00"/>
    <x v="8"/>
    <n v="10552.9"/>
  </r>
  <r>
    <x v="6"/>
    <s v="17-02-2023"/>
    <d v="2023-02-17T00:00:00"/>
    <x v="7"/>
    <n v="12241.3"/>
  </r>
  <r>
    <x v="3"/>
    <s v="02-03-2023"/>
    <d v="2023-03-02T00:00:00"/>
    <x v="0"/>
    <n v="5721.7"/>
  </r>
  <r>
    <x v="2"/>
    <s v="24-12-2022"/>
    <d v="2022-12-24T00:00:00"/>
    <x v="2"/>
    <n v="16468.599999999999"/>
  </r>
  <r>
    <x v="3"/>
    <s v="01-04-2022"/>
    <d v="2022-04-01T00:00:00"/>
    <x v="9"/>
    <n v="1861.2"/>
  </r>
  <r>
    <x v="9"/>
    <s v="11-01-2023"/>
    <d v="2023-01-11T00:00:00"/>
    <x v="11"/>
    <n v="6691.3"/>
  </r>
  <r>
    <x v="1"/>
    <s v="02-04-2024"/>
    <d v="2024-04-02T00:00:00"/>
    <x v="9"/>
    <n v="3766.2"/>
  </r>
  <r>
    <x v="4"/>
    <s v="24-02-2021"/>
    <d v="2021-02-24T00:00:00"/>
    <x v="7"/>
    <n v="1143.3"/>
  </r>
  <r>
    <x v="8"/>
    <s v="27-05-2022"/>
    <d v="2022-05-27T00:00:00"/>
    <x v="8"/>
    <n v="2681.8"/>
  </r>
  <r>
    <x v="8"/>
    <s v="07-12-2024"/>
    <d v="2024-12-07T00:00:00"/>
    <x v="2"/>
    <n v="7065.2"/>
  </r>
  <r>
    <x v="9"/>
    <s v="09-08-2022"/>
    <d v="2022-08-09T00:00:00"/>
    <x v="3"/>
    <n v="3493"/>
  </r>
  <r>
    <x v="9"/>
    <s v="31-07-2024"/>
    <d v="2024-07-31T00:00:00"/>
    <x v="6"/>
    <n v="2200.8000000000002"/>
  </r>
  <r>
    <x v="5"/>
    <s v="13-11-2021"/>
    <d v="2021-11-13T00:00:00"/>
    <x v="1"/>
    <n v="7702.7"/>
  </r>
  <r>
    <x v="5"/>
    <s v="22-02-2024"/>
    <d v="2024-02-22T00:00:00"/>
    <x v="7"/>
    <n v="3896.9"/>
  </r>
  <r>
    <x v="10"/>
    <s v="16-08-2023"/>
    <d v="2023-08-16T00:00:00"/>
    <x v="3"/>
    <n v="5896.4"/>
  </r>
  <r>
    <x v="5"/>
    <s v="25-04-2023"/>
    <d v="2023-04-25T00:00:00"/>
    <x v="9"/>
    <n v="1925.3"/>
  </r>
  <r>
    <x v="9"/>
    <s v="03-11-2022"/>
    <d v="2022-11-03T00:00:00"/>
    <x v="1"/>
    <n v="1338.7"/>
  </r>
  <r>
    <x v="10"/>
    <s v="31-03-2021"/>
    <d v="2021-03-31T00:00:00"/>
    <x v="0"/>
    <n v="5248.8"/>
  </r>
  <r>
    <x v="5"/>
    <s v="12-06-2023"/>
    <d v="2023-06-12T00:00:00"/>
    <x v="10"/>
    <n v="13650"/>
  </r>
  <r>
    <x v="1"/>
    <s v="09-06-2022"/>
    <d v="2022-06-09T00:00:00"/>
    <x v="10"/>
    <n v="8369.7999999999993"/>
  </r>
  <r>
    <x v="4"/>
    <s v="24-05-2022"/>
    <d v="2022-05-24T00:00:00"/>
    <x v="8"/>
    <n v="9902"/>
  </r>
  <r>
    <x v="2"/>
    <s v="05-09-2024"/>
    <d v="2024-09-05T00:00:00"/>
    <x v="4"/>
    <n v="1671.6"/>
  </r>
  <r>
    <x v="11"/>
    <s v="27-03-2024"/>
    <d v="2024-03-27T00:00:00"/>
    <x v="0"/>
    <n v="6189.9"/>
  </r>
  <r>
    <x v="0"/>
    <s v="26-06-2023"/>
    <d v="2023-06-26T00:00:00"/>
    <x v="10"/>
    <n v="8648.4"/>
  </r>
  <r>
    <x v="3"/>
    <s v="26-09-2023"/>
    <d v="2023-09-26T00:00:00"/>
    <x v="4"/>
    <n v="1659.4"/>
  </r>
  <r>
    <x v="5"/>
    <s v="24-07-2024"/>
    <d v="2024-07-24T00:00:00"/>
    <x v="6"/>
    <n v="7624.9"/>
  </r>
  <r>
    <x v="1"/>
    <s v="31-05-2022"/>
    <d v="2022-05-31T00:00:00"/>
    <x v="8"/>
    <n v="9179.5"/>
  </r>
  <r>
    <x v="4"/>
    <s v="28-02-2023"/>
    <d v="2023-02-28T00:00:00"/>
    <x v="7"/>
    <n v="6247.9"/>
  </r>
  <r>
    <x v="6"/>
    <s v="04-09-2021"/>
    <d v="2021-09-04T00:00:00"/>
    <x v="4"/>
    <n v="1994.5"/>
  </r>
  <r>
    <x v="8"/>
    <s v="25-03-2023"/>
    <d v="2023-03-25T00:00:00"/>
    <x v="0"/>
    <n v="5020.3999999999996"/>
  </r>
  <r>
    <x v="10"/>
    <s v="09-05-2021"/>
    <d v="2021-05-09T00:00:00"/>
    <x v="8"/>
    <n v="5901.1"/>
  </r>
  <r>
    <x v="7"/>
    <s v="06-07-2022"/>
    <d v="2022-07-06T00:00:00"/>
    <x v="6"/>
    <n v="3701"/>
  </r>
  <r>
    <x v="4"/>
    <s v="20-07-2023"/>
    <d v="2023-07-20T00:00:00"/>
    <x v="6"/>
    <n v="5366.6"/>
  </r>
  <r>
    <x v="5"/>
    <s v="02-05-2022"/>
    <d v="2022-05-02T00:00:00"/>
    <x v="8"/>
    <n v="4639.5"/>
  </r>
  <r>
    <x v="11"/>
    <s v="06-07-2022"/>
    <d v="2022-07-06T00:00:00"/>
    <x v="6"/>
    <n v="3585.9"/>
  </r>
  <r>
    <x v="6"/>
    <s v="22-07-2023"/>
    <d v="2023-07-22T00:00:00"/>
    <x v="6"/>
    <n v="6090.8"/>
  </r>
  <r>
    <x v="3"/>
    <s v="13-05-2024"/>
    <d v="2024-05-13T00:00:00"/>
    <x v="8"/>
    <n v="10416.200000000001"/>
  </r>
  <r>
    <x v="9"/>
    <s v="11-07-2022"/>
    <d v="2022-07-11T00:00:00"/>
    <x v="6"/>
    <n v="16247.1"/>
  </r>
  <r>
    <x v="6"/>
    <s v="19-01-2022"/>
    <d v="2022-01-19T00:00:00"/>
    <x v="11"/>
    <n v="10658"/>
  </r>
  <r>
    <x v="5"/>
    <s v="15-06-2024"/>
    <d v="2024-06-15T00:00:00"/>
    <x v="10"/>
    <n v="5046.6000000000004"/>
  </r>
  <r>
    <x v="5"/>
    <s v="29-03-2021"/>
    <d v="2021-03-29T00:00:00"/>
    <x v="0"/>
    <n v="3057"/>
  </r>
  <r>
    <x v="6"/>
    <s v="08-10-2023"/>
    <d v="2023-10-08T00:00:00"/>
    <x v="5"/>
    <n v="11593.6"/>
  </r>
  <r>
    <x v="3"/>
    <s v="08-09-2024"/>
    <d v="2024-09-08T00:00:00"/>
    <x v="4"/>
    <n v="7781.9"/>
  </r>
  <r>
    <x v="11"/>
    <s v="26-01-2024"/>
    <d v="2024-01-26T00:00:00"/>
    <x v="11"/>
    <n v="14345.8"/>
  </r>
  <r>
    <x v="1"/>
    <s v="14-07-2022"/>
    <d v="2022-07-14T00:00:00"/>
    <x v="6"/>
    <n v="12944.8"/>
  </r>
  <r>
    <x v="1"/>
    <s v="23-03-2021"/>
    <d v="2021-03-23T00:00:00"/>
    <x v="0"/>
    <n v="2079.6999999999998"/>
  </r>
  <r>
    <x v="6"/>
    <s v="23-11-2021"/>
    <d v="2021-11-23T00:00:00"/>
    <x v="1"/>
    <n v="8287.7999999999993"/>
  </r>
  <r>
    <x v="5"/>
    <s v="04-01-2024"/>
    <d v="2024-01-04T00:00:00"/>
    <x v="11"/>
    <n v="3934.6"/>
  </r>
  <r>
    <x v="2"/>
    <s v="14-10-2024"/>
    <d v="2024-10-14T00:00:00"/>
    <x v="5"/>
    <n v="1512"/>
  </r>
  <r>
    <x v="8"/>
    <s v="04-09-2023"/>
    <d v="2023-09-04T00:00:00"/>
    <x v="4"/>
    <n v="2446.5"/>
  </r>
  <r>
    <x v="5"/>
    <s v="10-07-2023"/>
    <d v="2023-07-10T00:00:00"/>
    <x v="6"/>
    <n v="2743.3"/>
  </r>
  <r>
    <x v="5"/>
    <s v="27-02-2023"/>
    <d v="2023-02-27T00:00:00"/>
    <x v="7"/>
    <n v="8841.9"/>
  </r>
  <r>
    <x v="0"/>
    <s v="05-12-2022"/>
    <d v="2022-12-05T00:00:00"/>
    <x v="2"/>
    <n v="8580"/>
  </r>
  <r>
    <x v="10"/>
    <s v="28-06-2022"/>
    <d v="2022-06-28T00:00:00"/>
    <x v="10"/>
    <n v="5105.1000000000004"/>
  </r>
  <r>
    <x v="4"/>
    <s v="06-02-2022"/>
    <d v="2022-02-06T00:00:00"/>
    <x v="7"/>
    <n v="17379.8"/>
  </r>
  <r>
    <x v="3"/>
    <s v="13-08-2024"/>
    <d v="2024-08-13T00:00:00"/>
    <x v="3"/>
    <n v="13056.4"/>
  </r>
  <r>
    <x v="3"/>
    <s v="20-05-2022"/>
    <d v="2022-05-20T00:00:00"/>
    <x v="8"/>
    <n v="2371.1999999999998"/>
  </r>
  <r>
    <x v="0"/>
    <s v="21-11-2024"/>
    <d v="2024-11-21T00:00:00"/>
    <x v="1"/>
    <n v="17448.5"/>
  </r>
  <r>
    <x v="4"/>
    <s v="06-01-2021"/>
    <d v="2021-01-06T00:00:00"/>
    <x v="11"/>
    <n v="6994.7"/>
  </r>
  <r>
    <x v="11"/>
    <s v="02-06-2022"/>
    <d v="2022-06-02T00:00:00"/>
    <x v="10"/>
    <n v="7009.9"/>
  </r>
  <r>
    <x v="5"/>
    <s v="05-07-2021"/>
    <d v="2021-07-05T00:00:00"/>
    <x v="6"/>
    <n v="6503.7"/>
  </r>
  <r>
    <x v="2"/>
    <s v="23-07-2024"/>
    <d v="2024-07-23T00:00:00"/>
    <x v="6"/>
    <n v="3846.9"/>
  </r>
  <r>
    <x v="4"/>
    <s v="02-10-2021"/>
    <d v="2021-10-02T00:00:00"/>
    <x v="5"/>
    <n v="7890.4"/>
  </r>
  <r>
    <x v="11"/>
    <s v="20-11-2022"/>
    <d v="2022-11-20T00:00:00"/>
    <x v="1"/>
    <n v="7020.3"/>
  </r>
  <r>
    <x v="1"/>
    <s v="13-10-2023"/>
    <d v="2023-10-13T00:00:00"/>
    <x v="5"/>
    <n v="12695.3"/>
  </r>
  <r>
    <x v="3"/>
    <s v="29-04-2022"/>
    <d v="2022-04-29T00:00:00"/>
    <x v="9"/>
    <n v="13468.8"/>
  </r>
  <r>
    <x v="5"/>
    <s v="13-12-2022"/>
    <d v="2022-12-13T00:00:00"/>
    <x v="2"/>
    <n v="3334.6"/>
  </r>
  <r>
    <x v="8"/>
    <s v="07-05-2024"/>
    <d v="2024-05-07T00:00:00"/>
    <x v="8"/>
    <n v="3913.9"/>
  </r>
  <r>
    <x v="0"/>
    <s v="10-03-2021"/>
    <d v="2021-03-10T00:00:00"/>
    <x v="0"/>
    <n v="3985.3"/>
  </r>
  <r>
    <x v="8"/>
    <s v="28-07-2022"/>
    <d v="2022-07-28T00:00:00"/>
    <x v="6"/>
    <n v="19795.8"/>
  </r>
  <r>
    <x v="9"/>
    <s v="07-04-2023"/>
    <d v="2023-04-07T00:00:00"/>
    <x v="9"/>
    <n v="11992.3"/>
  </r>
  <r>
    <x v="1"/>
    <s v="30-06-2021"/>
    <d v="2021-06-30T00:00:00"/>
    <x v="10"/>
    <n v="10186.4"/>
  </r>
  <r>
    <x v="7"/>
    <s v="11-09-2024"/>
    <d v="2024-09-11T00:00:00"/>
    <x v="4"/>
    <n v="3062.5"/>
  </r>
  <r>
    <x v="9"/>
    <s v="11-11-2021"/>
    <d v="2021-11-11T00:00:00"/>
    <x v="1"/>
    <n v="2439.8000000000002"/>
  </r>
  <r>
    <x v="7"/>
    <s v="08-04-2022"/>
    <d v="2022-04-08T00:00:00"/>
    <x v="9"/>
    <n v="8122.6"/>
  </r>
  <r>
    <x v="2"/>
    <s v="06-02-2023"/>
    <d v="2023-02-06T00:00:00"/>
    <x v="7"/>
    <n v="6448.6"/>
  </r>
  <r>
    <x v="8"/>
    <s v="13-12-2023"/>
    <d v="2023-12-13T00:00:00"/>
    <x v="2"/>
    <n v="8063.7"/>
  </r>
  <r>
    <x v="7"/>
    <s v="09-12-2022"/>
    <d v="2022-12-09T00:00:00"/>
    <x v="2"/>
    <n v="20812.900000000001"/>
  </r>
  <r>
    <x v="3"/>
    <s v="07-03-2023"/>
    <d v="2023-03-07T00:00:00"/>
    <x v="0"/>
    <n v="7616.5"/>
  </r>
  <r>
    <x v="0"/>
    <s v="25-04-2023"/>
    <d v="2023-04-25T00:00:00"/>
    <x v="9"/>
    <n v="6151.9"/>
  </r>
  <r>
    <x v="7"/>
    <s v="28-12-2024"/>
    <d v="2024-12-28T00:00:00"/>
    <x v="2"/>
    <n v="1883.1"/>
  </r>
  <r>
    <x v="4"/>
    <s v="04-08-2021"/>
    <d v="2021-08-04T00:00:00"/>
    <x v="3"/>
    <n v="9509.2999999999993"/>
  </r>
  <r>
    <x v="8"/>
    <s v="06-07-2021"/>
    <d v="2021-07-06T00:00:00"/>
    <x v="6"/>
    <n v="2642.2"/>
  </r>
  <r>
    <x v="1"/>
    <s v="05-09-2021"/>
    <d v="2021-09-05T00:00:00"/>
    <x v="4"/>
    <n v="7261.1"/>
  </r>
  <r>
    <x v="9"/>
    <s v="15-02-2021"/>
    <d v="2021-02-15T00:00:00"/>
    <x v="7"/>
    <n v="4924.8"/>
  </r>
  <r>
    <x v="1"/>
    <s v="21-01-2024"/>
    <d v="2024-01-21T00:00:00"/>
    <x v="11"/>
    <n v="6638.6"/>
  </r>
  <r>
    <x v="0"/>
    <s v="28-11-2021"/>
    <d v="2021-11-28T00:00:00"/>
    <x v="1"/>
    <n v="3044.9"/>
  </r>
  <r>
    <x v="2"/>
    <s v="16-04-2023"/>
    <d v="2023-04-16T00:00:00"/>
    <x v="9"/>
    <n v="1592.8"/>
  </r>
  <r>
    <x v="10"/>
    <s v="09-02-2023"/>
    <d v="2023-02-09T00:00:00"/>
    <x v="7"/>
    <n v="1082.9000000000001"/>
  </r>
  <r>
    <x v="4"/>
    <s v="11-02-2023"/>
    <d v="2023-02-11T00:00:00"/>
    <x v="7"/>
    <n v="14598.4"/>
  </r>
  <r>
    <x v="10"/>
    <s v="01-10-2023"/>
    <d v="2023-10-01T00:00:00"/>
    <x v="5"/>
    <n v="3991.1"/>
  </r>
  <r>
    <x v="5"/>
    <s v="21-07-2023"/>
    <d v="2023-07-21T00:00:00"/>
    <x v="6"/>
    <n v="17324.900000000001"/>
  </r>
  <r>
    <x v="0"/>
    <s v="06-12-2021"/>
    <d v="2021-12-06T00:00:00"/>
    <x v="2"/>
    <n v="14099.7"/>
  </r>
  <r>
    <x v="5"/>
    <s v="22-03-2022"/>
    <d v="2022-03-22T00:00:00"/>
    <x v="0"/>
    <n v="815.7"/>
  </r>
  <r>
    <x v="9"/>
    <s v="28-03-2021"/>
    <d v="2021-03-28T00:00:00"/>
    <x v="0"/>
    <n v="1754.8"/>
  </r>
  <r>
    <x v="3"/>
    <s v="26-06-2023"/>
    <d v="2023-06-26T00:00:00"/>
    <x v="10"/>
    <n v="17464.3"/>
  </r>
  <r>
    <x v="9"/>
    <s v="17-11-2021"/>
    <d v="2021-11-17T00:00:00"/>
    <x v="1"/>
    <n v="18998.400000000001"/>
  </r>
  <r>
    <x v="6"/>
    <s v="25-04-2022"/>
    <d v="2022-04-25T00:00:00"/>
    <x v="9"/>
    <n v="8108.3"/>
  </r>
  <r>
    <x v="9"/>
    <s v="29-11-2022"/>
    <d v="2022-11-29T00:00:00"/>
    <x v="1"/>
    <n v="15304.6"/>
  </r>
  <r>
    <x v="6"/>
    <s v="09-12-2022"/>
    <d v="2022-12-09T00:00:00"/>
    <x v="2"/>
    <n v="2209.6999999999998"/>
  </r>
  <r>
    <x v="5"/>
    <s v="12-06-2023"/>
    <d v="2023-06-12T00:00:00"/>
    <x v="10"/>
    <n v="4565.6000000000004"/>
  </r>
  <r>
    <x v="9"/>
    <s v="22-01-2023"/>
    <d v="2023-01-22T00:00:00"/>
    <x v="11"/>
    <n v="1634.4"/>
  </r>
  <r>
    <x v="11"/>
    <s v="24-09-2021"/>
    <d v="2021-09-24T00:00:00"/>
    <x v="4"/>
    <n v="4018.1"/>
  </r>
  <r>
    <x v="6"/>
    <s v="14-09-2022"/>
    <d v="2022-09-14T00:00:00"/>
    <x v="4"/>
    <n v="9416.6"/>
  </r>
  <r>
    <x v="11"/>
    <s v="12-04-2021"/>
    <d v="2021-04-12T00:00:00"/>
    <x v="9"/>
    <n v="4784.8"/>
  </r>
  <r>
    <x v="2"/>
    <s v="28-10-2022"/>
    <d v="2022-10-28T00:00:00"/>
    <x v="5"/>
    <n v="888.3"/>
  </r>
  <r>
    <x v="7"/>
    <s v="04-09-2022"/>
    <d v="2022-09-04T00:00:00"/>
    <x v="4"/>
    <n v="2668.3"/>
  </r>
  <r>
    <x v="0"/>
    <s v="23-04-2023"/>
    <d v="2023-04-23T00:00:00"/>
    <x v="9"/>
    <n v="18222.2"/>
  </r>
  <r>
    <x v="1"/>
    <s v="03-04-2023"/>
    <d v="2023-04-03T00:00:00"/>
    <x v="9"/>
    <n v="5206.1000000000004"/>
  </r>
  <r>
    <x v="11"/>
    <s v="01-12-2021"/>
    <d v="2021-12-01T00:00:00"/>
    <x v="2"/>
    <n v="18681.8"/>
  </r>
  <r>
    <x v="5"/>
    <s v="17-03-2021"/>
    <d v="2021-03-17T00:00:00"/>
    <x v="0"/>
    <n v="9896"/>
  </r>
  <r>
    <x v="7"/>
    <s v="03-08-2021"/>
    <d v="2021-08-03T00:00:00"/>
    <x v="3"/>
    <n v="5880.5"/>
  </r>
  <r>
    <x v="0"/>
    <s v="07-05-2021"/>
    <d v="2021-05-07T00:00:00"/>
    <x v="8"/>
    <n v="6093"/>
  </r>
  <r>
    <x v="3"/>
    <s v="15-05-2024"/>
    <d v="2024-05-15T00:00:00"/>
    <x v="8"/>
    <n v="1598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CE5A7-86AC-4D1A-8390-F40C654C41FA}" name="PivotTable1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1"/>
        <item x="0"/>
        <item x="2"/>
        <item x="9"/>
        <item x="5"/>
        <item x="7"/>
        <item x="4"/>
        <item x="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_Monthly" fld="8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563D9-397A-4460-8332-A9B615792D3A}" name="PivotTable3" cacheId="9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 rowPageCount="1" colPageCount="1"/>
  <pivotFields count="1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6">
        <item x="1"/>
        <item h="1" x="4"/>
        <item h="1" x="0"/>
        <item h="1" x="3"/>
        <item h="1"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0" item="0" hier="-1"/>
  </pageFields>
  <dataFields count="1">
    <dataField name="Count of Offer_Status" fld="1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D54D7-FEC6-4F42-9F9F-CCB96683FF06}" name="PivotTable1" cacheId="9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17" firstHeaderRow="1" firstDataRow="2" firstDataCol="1"/>
  <pivotFields count="13"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7"/>
        <item x="2"/>
        <item x="4"/>
        <item x="11"/>
        <item x="0"/>
        <item x="5"/>
        <item x="6"/>
        <item x="8"/>
        <item x="1"/>
        <item x="10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ttrition_Pct" fld="6" baseField="0" baseItem="0"/>
  </dataField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7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8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9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9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58190-051E-4331-A6AF-21D60B03999A}" name="PivotTable2" cacheId="9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20" firstHeaderRow="1" firstDataRow="2" firstDataCol="1"/>
  <pivotFields count="14">
    <pivotField dataField="1" compact="0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6">
        <item x="8"/>
        <item x="0"/>
        <item x="2"/>
        <item x="3"/>
        <item x="9"/>
        <item x="7"/>
        <item x="10"/>
        <item x="4"/>
        <item x="6"/>
        <item x="13"/>
        <item x="1"/>
        <item x="5"/>
        <item x="14"/>
        <item x="12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ject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A882E-6F1C-48C7-A924-048702E16959}" name="PivotTable1" cacheId="9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2">
    <pivotField axis="axisRow" compact="0" outline="0" showAll="0">
      <items count="12">
        <item x="6"/>
        <item x="1"/>
        <item x="0"/>
        <item x="2"/>
        <item x="9"/>
        <item x="5"/>
        <item x="7"/>
        <item x="4"/>
        <item x="8"/>
        <item x="3"/>
        <item h="1" x="10"/>
        <item t="default"/>
      </items>
    </pivotField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Billable hours by department" fld="1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76103-425E-4310-B708-4C3CCBEEDE5B}" name="PivotTable4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C3:C4" firstHeaderRow="1" firstDataRow="1" firstDataCol="0" rowPageCount="1" colPageCount="1"/>
  <pivotFields count="14">
    <pivotField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5">
        <item x="2"/>
        <item h="1" x="0"/>
        <item h="1" x="3"/>
        <item h="1" x="1"/>
        <item t="default"/>
      </items>
    </pivotField>
    <pivotField compact="0" outline="0" showAll="0"/>
  </pivotFields>
  <rowItems count="1">
    <i/>
  </rowItems>
  <colItems count="1">
    <i/>
  </colItems>
  <pageFields count="1">
    <pageField fld="12" hier="-1"/>
  </pageFields>
  <dataFields count="1">
    <dataField name="Count of Employment_Status" fld="12" subtotal="count" baseField="0" baseItem="0"/>
  </dataFields>
  <chartFormats count="9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DBE9F-7A30-491D-9146-BBCBD61324FF}" name="PivotTable7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L1:M602" firstHeaderRow="1" firstDataRow="1" firstDataCol="1"/>
  <pivotFields count="14">
    <pivotField axis="axisRow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</pivotFields>
  <rowFields count="1">
    <field x="0"/>
  </rowFields>
  <rowItems count="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 t="grand">
      <x/>
    </i>
  </rowItems>
  <colItems count="1">
    <i/>
  </colItems>
  <dataFields count="1">
    <dataField name="Average of Salary_Monthly" fld="8" subtotal="average" baseField="0" baseItem="0" numFmtId="2"/>
  </dataFields>
  <formats count="1">
    <format dxfId="11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38967-A3DF-4D06-B2F8-D7CC424AE479}" name="PivotTable6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I3:J604" firstHeaderRow="1" firstDataRow="1" firstDataCol="1"/>
  <pivotFields count="14">
    <pivotField axis="axisRow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</pivotFields>
  <rowFields count="1">
    <field x="0"/>
  </rowFields>
  <rowItems count="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 t="grand">
      <x/>
    </i>
  </rowItems>
  <colItems count="1">
    <i/>
  </colItems>
  <dataFields count="1">
    <dataField name="Average of Performance_Rating" fld="11" subtotal="average" baseField="0" baseItem="0" numFmtId="2"/>
  </dataFields>
  <formats count="1">
    <format dxfId="1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E7705-0D0D-4E5A-B869-E7AD4F71BB68}" name="PivotTable5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3:F4" firstHeaderRow="1" firstDataRow="1" firstDataCol="0" rowPageCount="1" colPageCount="1"/>
  <pivotFields count="14">
    <pivotField dataField="1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</pivotFields>
  <rowItems count="1">
    <i/>
  </rowItems>
  <colItems count="1">
    <i/>
  </colItems>
  <pageFields count="1">
    <pageField fld="12" item="3" hier="-1"/>
  </pageFields>
  <dataFields count="1">
    <dataField name="Count of Employee_ID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B29B4-8611-46A7-B7A2-E4B13017C0F4}" name="PivotTable1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A4" firstHeaderRow="1" firstDataRow="1" firstDataCol="0"/>
  <pivotFields count="14">
    <pivotField dataField="1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5">
        <item x="2"/>
        <item h="1" x="0"/>
        <item h="1" x="3"/>
        <item h="1" x="1"/>
        <item t="default"/>
      </items>
    </pivotField>
    <pivotField compact="0" outline="0" showAll="0"/>
  </pivotFields>
  <rowItems count="1">
    <i/>
  </rowItems>
  <colItems count="1">
    <i/>
  </colItems>
  <dataFields count="1">
    <dataField name="Count of Employee_ID" fld="0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63DC7-95E9-4C0A-B2A4-629EBD176912}" name="PivotTable1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14" firstHeaderRow="0" firstDataRow="1" firstDataCol="1"/>
  <pivotFields count="14">
    <pivotField dataField="1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6"/>
        <item x="1"/>
        <item x="0"/>
        <item x="2"/>
        <item x="9"/>
        <item x="5"/>
        <item x="7"/>
        <item x="4"/>
        <item x="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Head Count" fld="0" subtotal="count" baseField="0" baseItem="0"/>
    <dataField name="Average of Salary_Monthly" fld="8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D647E-6EEA-4BFC-8626-2E0F19E7C396}" name="PivotTable2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2" firstHeaderRow="0" firstDataRow="1" firstDataCol="1"/>
  <pivotFields count="14">
    <pivotField dataField="1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6"/>
        <item x="1"/>
        <item x="0"/>
        <item x="2"/>
        <item x="9"/>
        <item x="5"/>
        <item x="7"/>
        <item x="4"/>
        <item x="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Head Count" fld="0" subtotal="count" baseField="0" baseItem="0"/>
    <dataField name="Average of Salary_Monthly" fld="8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5BE4F-7334-4F83-BF37-1A88AE1FAB2B}" name="PivotTable3" cacheId="9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6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>
      <items count="13">
        <item x="6"/>
        <item x="7"/>
        <item x="4"/>
        <item x="2"/>
        <item x="11"/>
        <item x="1"/>
        <item x="9"/>
        <item x="8"/>
        <item x="0"/>
        <item x="3"/>
        <item x="5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illable_Hours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F2E58-809C-470C-9C98-368AFF138F50}" name="PivotTable3" cacheId="9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N17" firstHeaderRow="1" firstDataRow="2" firstDataCol="1"/>
  <pivotFields count="5">
    <pivotField axis="axisCol" compact="0" outline="0" showAll="0">
      <items count="13">
        <item x="6"/>
        <item x="7"/>
        <item x="4"/>
        <item x="2"/>
        <item x="11"/>
        <item x="1"/>
        <item x="9"/>
        <item x="8"/>
        <item x="0"/>
        <item x="3"/>
        <item x="5"/>
        <item x="10"/>
        <item t="default"/>
      </items>
    </pivotField>
    <pivotField compact="0" outline="0" showAll="0"/>
    <pivotField compact="0" numFmtId="165" outline="0" showAll="0"/>
    <pivotField axis="axisRow" compact="0" outline="0" showAll="0">
      <items count="13">
        <item x="11"/>
        <item x="7"/>
        <item x="0"/>
        <item x="9"/>
        <item x="8"/>
        <item x="10"/>
        <item x="6"/>
        <item x="3"/>
        <item x="4"/>
        <item x="5"/>
        <item x="1"/>
        <item x="2"/>
        <item t="default"/>
      </items>
    </pivotField>
    <pivotField dataField="1"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Billable_Hours" fld="4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0147E-27C6-4C1D-84EF-35F28E7E77B7}" name="PivotTable1" cacheId="9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33548-D957-4825-808D-AE8F18202AA8}" name="PivotTable2" cacheId="9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workbookViewId="0">
      <selection activeCell="O3" sqref="O3"/>
    </sheetView>
  </sheetViews>
  <sheetFormatPr defaultRowHeight="15"/>
  <cols>
    <col min="1" max="1" width="14" style="6" customWidth="1"/>
    <col min="2" max="2" width="18.85546875" style="6" customWidth="1"/>
    <col min="3" max="3" width="11" style="6" customWidth="1"/>
    <col min="4" max="5" width="14.7109375" style="6" customWidth="1"/>
    <col min="6" max="6" width="17.7109375" style="6" customWidth="1"/>
    <col min="7" max="7" width="21.140625" style="6" customWidth="1"/>
    <col min="8" max="8" width="13.7109375" style="6" customWidth="1"/>
    <col min="9" max="9" width="10.85546875" style="6" customWidth="1"/>
    <col min="10" max="10" width="12.42578125" style="6" customWidth="1"/>
    <col min="11" max="11" width="10.7109375" style="6" customWidth="1"/>
    <col min="12" max="12" width="12.140625" style="6" customWidth="1"/>
    <col min="13" max="13" width="13.5703125" style="6" customWidth="1"/>
    <col min="14" max="14" width="10.140625" style="6" customWidth="1"/>
    <col min="16" max="16" width="26.7109375" customWidth="1"/>
  </cols>
  <sheetData>
    <row r="1" spans="1:16" ht="81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P1" s="36"/>
    </row>
    <row r="2" spans="1:16">
      <c r="A2" s="3" t="s">
        <v>13</v>
      </c>
      <c r="B2" s="3" t="s">
        <v>14</v>
      </c>
      <c r="C2" s="3" t="s">
        <v>15</v>
      </c>
      <c r="D2" s="3" t="s">
        <v>16</v>
      </c>
      <c r="E2" s="3" t="str">
        <f>PROPER(D2)</f>
        <v>Devops</v>
      </c>
      <c r="F2" s="3" t="s">
        <v>17</v>
      </c>
      <c r="G2" s="3" t="s">
        <v>18</v>
      </c>
      <c r="H2" s="3" t="s">
        <v>19</v>
      </c>
      <c r="I2" s="3">
        <v>82466</v>
      </c>
      <c r="J2" s="3"/>
      <c r="K2" s="3">
        <v>1.8</v>
      </c>
      <c r="L2" s="3">
        <v>4.5</v>
      </c>
      <c r="M2" s="3" t="s">
        <v>20</v>
      </c>
      <c r="N2" s="7"/>
    </row>
    <row r="3" spans="1:16">
      <c r="A3" s="4" t="s">
        <v>21</v>
      </c>
      <c r="B3" s="4" t="s">
        <v>22</v>
      </c>
      <c r="C3" s="4" t="s">
        <v>23</v>
      </c>
      <c r="D3" s="4" t="s">
        <v>24</v>
      </c>
      <c r="E3" s="3" t="str">
        <f t="shared" ref="E3:E66" si="0">PROPER(D3)</f>
        <v>Design</v>
      </c>
      <c r="F3" s="4" t="s">
        <v>25</v>
      </c>
      <c r="G3" s="4" t="s">
        <v>26</v>
      </c>
      <c r="H3" s="4" t="s">
        <v>27</v>
      </c>
      <c r="I3" s="4">
        <v>56048</v>
      </c>
      <c r="J3" s="4" t="s">
        <v>28</v>
      </c>
      <c r="K3" s="4">
        <v>2.8</v>
      </c>
      <c r="L3" s="4">
        <v>1.5</v>
      </c>
      <c r="M3" s="4" t="s">
        <v>29</v>
      </c>
      <c r="N3" s="8" t="s">
        <v>13</v>
      </c>
    </row>
    <row r="4" spans="1:16">
      <c r="A4" s="3" t="s">
        <v>30</v>
      </c>
      <c r="B4" s="3" t="s">
        <v>31</v>
      </c>
      <c r="C4" s="3" t="s">
        <v>23</v>
      </c>
      <c r="D4" s="3" t="s">
        <v>16</v>
      </c>
      <c r="E4" s="3" t="str">
        <f t="shared" si="0"/>
        <v>Devops</v>
      </c>
      <c r="F4" s="3" t="s">
        <v>17</v>
      </c>
      <c r="G4" s="3" t="s">
        <v>32</v>
      </c>
      <c r="H4" s="3" t="s">
        <v>33</v>
      </c>
      <c r="I4" s="3">
        <v>196711</v>
      </c>
      <c r="J4" s="3" t="s">
        <v>34</v>
      </c>
      <c r="K4" s="3">
        <v>3.8</v>
      </c>
      <c r="L4" s="3">
        <v>3.4</v>
      </c>
      <c r="M4" s="3" t="s">
        <v>35</v>
      </c>
      <c r="N4" s="7" t="s">
        <v>21</v>
      </c>
    </row>
    <row r="5" spans="1:16">
      <c r="A5" s="4" t="s">
        <v>36</v>
      </c>
      <c r="B5" s="4" t="s">
        <v>37</v>
      </c>
      <c r="C5" s="4" t="s">
        <v>38</v>
      </c>
      <c r="D5" s="4" t="s">
        <v>39</v>
      </c>
      <c r="E5" s="3" t="str">
        <f t="shared" si="0"/>
        <v>Engineering</v>
      </c>
      <c r="F5" s="4" t="s">
        <v>40</v>
      </c>
      <c r="G5" s="4" t="s">
        <v>18</v>
      </c>
      <c r="H5" s="4" t="s">
        <v>19</v>
      </c>
      <c r="I5" s="4">
        <v>55130</v>
      </c>
      <c r="J5" s="4" t="s">
        <v>41</v>
      </c>
      <c r="K5" s="4">
        <v>3.8</v>
      </c>
      <c r="L5" s="4">
        <v>2.7</v>
      </c>
      <c r="M5" s="4" t="s">
        <v>42</v>
      </c>
      <c r="N5" s="8" t="s">
        <v>21</v>
      </c>
    </row>
    <row r="6" spans="1:16">
      <c r="A6" s="3" t="s">
        <v>43</v>
      </c>
      <c r="B6" s="3" t="s">
        <v>44</v>
      </c>
      <c r="C6" s="3" t="s">
        <v>23</v>
      </c>
      <c r="D6" s="3" t="s">
        <v>24</v>
      </c>
      <c r="E6" s="3" t="str">
        <f t="shared" si="0"/>
        <v>Design</v>
      </c>
      <c r="F6" s="3" t="s">
        <v>45</v>
      </c>
      <c r="G6" s="3" t="s">
        <v>46</v>
      </c>
      <c r="H6" s="3" t="s">
        <v>47</v>
      </c>
      <c r="I6" s="3">
        <v>112039</v>
      </c>
      <c r="J6" s="3" t="s">
        <v>48</v>
      </c>
      <c r="K6" s="3">
        <v>1.5</v>
      </c>
      <c r="L6" s="3">
        <v>4.9000000000000004</v>
      </c>
      <c r="M6" s="3" t="s">
        <v>35</v>
      </c>
      <c r="N6" s="7" t="s">
        <v>30</v>
      </c>
    </row>
    <row r="7" spans="1:16">
      <c r="A7" s="4" t="s">
        <v>49</v>
      </c>
      <c r="B7" s="4" t="s">
        <v>50</v>
      </c>
      <c r="C7" s="4" t="s">
        <v>15</v>
      </c>
      <c r="D7" s="4" t="s">
        <v>51</v>
      </c>
      <c r="E7" s="3" t="str">
        <f t="shared" si="0"/>
        <v>Sales</v>
      </c>
      <c r="F7" s="4" t="s">
        <v>52</v>
      </c>
      <c r="G7" s="4" t="s">
        <v>53</v>
      </c>
      <c r="H7" s="4" t="s">
        <v>19</v>
      </c>
      <c r="I7" s="4">
        <v>90908</v>
      </c>
      <c r="J7" s="4" t="s">
        <v>54</v>
      </c>
      <c r="K7" s="4">
        <v>2.4</v>
      </c>
      <c r="L7" s="4">
        <v>2.9</v>
      </c>
      <c r="M7" s="4" t="s">
        <v>35</v>
      </c>
      <c r="N7" s="8" t="s">
        <v>21</v>
      </c>
    </row>
    <row r="8" spans="1:16">
      <c r="A8" s="3" t="s">
        <v>55</v>
      </c>
      <c r="B8" s="3" t="s">
        <v>56</v>
      </c>
      <c r="C8" s="3" t="s">
        <v>57</v>
      </c>
      <c r="D8" s="3" t="s">
        <v>16</v>
      </c>
      <c r="E8" s="3" t="str">
        <f t="shared" si="0"/>
        <v>Devops</v>
      </c>
      <c r="F8" s="3" t="s">
        <v>17</v>
      </c>
      <c r="G8" s="3" t="s">
        <v>46</v>
      </c>
      <c r="H8" s="3" t="s">
        <v>58</v>
      </c>
      <c r="I8" s="3">
        <v>146760</v>
      </c>
      <c r="J8" s="3" t="s">
        <v>59</v>
      </c>
      <c r="K8" s="3">
        <v>6</v>
      </c>
      <c r="L8" s="3"/>
      <c r="M8" s="3" t="s">
        <v>35</v>
      </c>
      <c r="N8" s="7" t="s">
        <v>21</v>
      </c>
    </row>
    <row r="9" spans="1:16">
      <c r="A9" s="4" t="s">
        <v>60</v>
      </c>
      <c r="B9" s="4" t="s">
        <v>61</v>
      </c>
      <c r="C9" s="4" t="s">
        <v>62</v>
      </c>
      <c r="D9" s="4" t="s">
        <v>63</v>
      </c>
      <c r="E9" s="3" t="str">
        <f t="shared" si="0"/>
        <v>Product</v>
      </c>
      <c r="F9" s="4" t="s">
        <v>64</v>
      </c>
      <c r="G9" s="4" t="s">
        <v>65</v>
      </c>
      <c r="H9" s="4" t="s">
        <v>19</v>
      </c>
      <c r="I9" s="4">
        <v>163509</v>
      </c>
      <c r="J9" s="4" t="s">
        <v>66</v>
      </c>
      <c r="K9" s="4">
        <v>1.9</v>
      </c>
      <c r="L9" s="4">
        <v>2.2999999999999998</v>
      </c>
      <c r="M9" s="4" t="s">
        <v>35</v>
      </c>
      <c r="N9" s="8" t="s">
        <v>36</v>
      </c>
    </row>
    <row r="10" spans="1:16">
      <c r="A10" s="3" t="s">
        <v>67</v>
      </c>
      <c r="B10" s="3" t="s">
        <v>68</v>
      </c>
      <c r="C10" s="3" t="s">
        <v>38</v>
      </c>
      <c r="D10" s="3" t="s">
        <v>51</v>
      </c>
      <c r="E10" s="3" t="str">
        <f t="shared" si="0"/>
        <v>Sales</v>
      </c>
      <c r="F10" s="3" t="s">
        <v>69</v>
      </c>
      <c r="G10" s="3" t="s">
        <v>70</v>
      </c>
      <c r="H10" s="3" t="s">
        <v>27</v>
      </c>
      <c r="I10" s="3">
        <v>27340</v>
      </c>
      <c r="J10" s="3" t="s">
        <v>71</v>
      </c>
      <c r="K10" s="3">
        <v>6.1</v>
      </c>
      <c r="L10" s="3">
        <v>3.2</v>
      </c>
      <c r="M10" s="3" t="s">
        <v>35</v>
      </c>
      <c r="N10" s="7" t="s">
        <v>30</v>
      </c>
    </row>
    <row r="11" spans="1:16">
      <c r="A11" s="4" t="s">
        <v>72</v>
      </c>
      <c r="B11" s="4" t="s">
        <v>73</v>
      </c>
      <c r="C11" s="4" t="s">
        <v>57</v>
      </c>
      <c r="D11" s="4" t="s">
        <v>24</v>
      </c>
      <c r="E11" s="3" t="str">
        <f t="shared" si="0"/>
        <v>Design</v>
      </c>
      <c r="F11" s="4" t="s">
        <v>74</v>
      </c>
      <c r="G11" s="4" t="s">
        <v>75</v>
      </c>
      <c r="H11" s="4" t="s">
        <v>19</v>
      </c>
      <c r="I11" s="4">
        <v>48871</v>
      </c>
      <c r="J11" s="4" t="s">
        <v>76</v>
      </c>
      <c r="K11" s="4">
        <v>2.9</v>
      </c>
      <c r="L11" s="4"/>
      <c r="M11" s="4" t="s">
        <v>42</v>
      </c>
      <c r="N11" s="8" t="s">
        <v>43</v>
      </c>
    </row>
    <row r="12" spans="1:16">
      <c r="A12" s="3" t="s">
        <v>77</v>
      </c>
      <c r="B12" s="3" t="s">
        <v>78</v>
      </c>
      <c r="C12" s="3" t="s">
        <v>23</v>
      </c>
      <c r="D12" s="3" t="s">
        <v>39</v>
      </c>
      <c r="E12" s="3" t="str">
        <f t="shared" si="0"/>
        <v>Engineering</v>
      </c>
      <c r="F12" s="3" t="s">
        <v>79</v>
      </c>
      <c r="G12" s="3" t="s">
        <v>32</v>
      </c>
      <c r="H12" s="3" t="s">
        <v>19</v>
      </c>
      <c r="I12" s="3">
        <v>181618</v>
      </c>
      <c r="J12" s="3" t="s">
        <v>80</v>
      </c>
      <c r="K12" s="3">
        <v>4.8</v>
      </c>
      <c r="L12" s="3">
        <v>4.7</v>
      </c>
      <c r="M12" s="3" t="s">
        <v>35</v>
      </c>
      <c r="N12" s="7" t="s">
        <v>67</v>
      </c>
    </row>
    <row r="13" spans="1:16">
      <c r="A13" s="4" t="s">
        <v>81</v>
      </c>
      <c r="B13" s="4" t="s">
        <v>82</v>
      </c>
      <c r="C13" s="4" t="s">
        <v>83</v>
      </c>
      <c r="D13" s="4" t="s">
        <v>84</v>
      </c>
      <c r="E13" s="3" t="str">
        <f t="shared" si="0"/>
        <v>Hr</v>
      </c>
      <c r="F13" s="4" t="s">
        <v>85</v>
      </c>
      <c r="G13" s="4" t="s">
        <v>65</v>
      </c>
      <c r="H13" s="4" t="s">
        <v>19</v>
      </c>
      <c r="I13" s="4">
        <v>215352</v>
      </c>
      <c r="J13" s="4" t="s">
        <v>86</v>
      </c>
      <c r="K13" s="4">
        <v>1.3</v>
      </c>
      <c r="L13" s="4">
        <v>2.6</v>
      </c>
      <c r="M13" s="4" t="s">
        <v>35</v>
      </c>
      <c r="N13" s="8" t="s">
        <v>55</v>
      </c>
    </row>
    <row r="14" spans="1:16">
      <c r="A14" s="3" t="s">
        <v>87</v>
      </c>
      <c r="B14" s="3" t="s">
        <v>88</v>
      </c>
      <c r="C14" s="3" t="s">
        <v>62</v>
      </c>
      <c r="D14" s="3" t="s">
        <v>89</v>
      </c>
      <c r="E14" s="3" t="str">
        <f t="shared" si="0"/>
        <v>Data Science</v>
      </c>
      <c r="F14" s="3" t="s">
        <v>90</v>
      </c>
      <c r="G14" s="3" t="s">
        <v>32</v>
      </c>
      <c r="H14" s="3" t="s">
        <v>27</v>
      </c>
      <c r="I14" s="3">
        <v>60493</v>
      </c>
      <c r="J14" s="3" t="s">
        <v>91</v>
      </c>
      <c r="K14" s="3">
        <v>2.4</v>
      </c>
      <c r="L14" s="3">
        <v>4.5999999999999996</v>
      </c>
      <c r="M14" s="3" t="s">
        <v>42</v>
      </c>
      <c r="N14" s="7" t="s">
        <v>49</v>
      </c>
    </row>
    <row r="15" spans="1:16">
      <c r="A15" s="4" t="s">
        <v>92</v>
      </c>
      <c r="B15" s="4" t="s">
        <v>93</v>
      </c>
      <c r="C15" s="4" t="s">
        <v>57</v>
      </c>
      <c r="D15" s="4" t="s">
        <v>24</v>
      </c>
      <c r="E15" s="3" t="str">
        <f t="shared" si="0"/>
        <v>Design</v>
      </c>
      <c r="F15" s="4" t="s">
        <v>94</v>
      </c>
      <c r="G15" s="4" t="s">
        <v>32</v>
      </c>
      <c r="H15" s="4" t="s">
        <v>33</v>
      </c>
      <c r="I15" s="4">
        <v>114298</v>
      </c>
      <c r="J15" s="4" t="s">
        <v>95</v>
      </c>
      <c r="K15" s="4">
        <v>4.9000000000000004</v>
      </c>
      <c r="L15" s="4">
        <v>3.5</v>
      </c>
      <c r="M15" s="4" t="s">
        <v>35</v>
      </c>
      <c r="N15" s="8" t="s">
        <v>36</v>
      </c>
    </row>
    <row r="16" spans="1:16">
      <c r="A16" s="3" t="s">
        <v>96</v>
      </c>
      <c r="B16" s="3" t="s">
        <v>97</v>
      </c>
      <c r="C16" s="3" t="s">
        <v>57</v>
      </c>
      <c r="D16" s="3" t="s">
        <v>16</v>
      </c>
      <c r="E16" s="3" t="str">
        <f t="shared" si="0"/>
        <v>Devops</v>
      </c>
      <c r="F16" s="3" t="s">
        <v>98</v>
      </c>
      <c r="G16" s="3" t="s">
        <v>46</v>
      </c>
      <c r="H16" s="3" t="s">
        <v>19</v>
      </c>
      <c r="I16" s="3">
        <v>204206</v>
      </c>
      <c r="J16" s="3" t="s">
        <v>99</v>
      </c>
      <c r="K16" s="3">
        <v>5.0999999999999996</v>
      </c>
      <c r="L16" s="3">
        <v>1.7</v>
      </c>
      <c r="M16" s="3" t="s">
        <v>42</v>
      </c>
      <c r="N16" s="7" t="s">
        <v>43</v>
      </c>
    </row>
    <row r="17" spans="1:14">
      <c r="A17" s="4" t="s">
        <v>100</v>
      </c>
      <c r="B17" s="4" t="s">
        <v>101</v>
      </c>
      <c r="C17" s="4" t="s">
        <v>15</v>
      </c>
      <c r="D17" s="4" t="s">
        <v>63</v>
      </c>
      <c r="E17" s="3" t="str">
        <f t="shared" si="0"/>
        <v>Product</v>
      </c>
      <c r="F17" s="4" t="s">
        <v>64</v>
      </c>
      <c r="G17" s="4" t="s">
        <v>18</v>
      </c>
      <c r="H17" s="4" t="s">
        <v>33</v>
      </c>
      <c r="I17" s="4">
        <v>89394</v>
      </c>
      <c r="J17" s="4" t="s">
        <v>102</v>
      </c>
      <c r="K17" s="4">
        <v>3.7</v>
      </c>
      <c r="L17" s="4">
        <v>4.0999999999999996</v>
      </c>
      <c r="M17" s="4" t="s">
        <v>35</v>
      </c>
      <c r="N17" s="8" t="s">
        <v>67</v>
      </c>
    </row>
    <row r="18" spans="1:14">
      <c r="A18" s="3" t="s">
        <v>103</v>
      </c>
      <c r="B18" s="3" t="s">
        <v>104</v>
      </c>
      <c r="C18" s="3" t="s">
        <v>83</v>
      </c>
      <c r="D18" s="3" t="s">
        <v>51</v>
      </c>
      <c r="E18" s="3" t="str">
        <f t="shared" si="0"/>
        <v>Sales</v>
      </c>
      <c r="F18" s="3" t="s">
        <v>105</v>
      </c>
      <c r="G18" s="3" t="s">
        <v>18</v>
      </c>
      <c r="H18" s="3" t="s">
        <v>19</v>
      </c>
      <c r="I18" s="3">
        <v>123031</v>
      </c>
      <c r="J18" s="3" t="s">
        <v>106</v>
      </c>
      <c r="K18" s="3">
        <v>1.2</v>
      </c>
      <c r="L18" s="3">
        <v>4.8</v>
      </c>
      <c r="M18" s="3" t="s">
        <v>29</v>
      </c>
      <c r="N18" s="7" t="s">
        <v>49</v>
      </c>
    </row>
    <row r="19" spans="1:14">
      <c r="A19" s="4" t="s">
        <v>107</v>
      </c>
      <c r="B19" s="4" t="s">
        <v>108</v>
      </c>
      <c r="C19" s="4" t="s">
        <v>38</v>
      </c>
      <c r="D19" s="4" t="s">
        <v>39</v>
      </c>
      <c r="E19" s="3" t="str">
        <f t="shared" si="0"/>
        <v>Engineering</v>
      </c>
      <c r="F19" s="4" t="s">
        <v>109</v>
      </c>
      <c r="G19" s="4" t="s">
        <v>53</v>
      </c>
      <c r="H19" s="4" t="s">
        <v>19</v>
      </c>
      <c r="I19" s="4">
        <v>104303</v>
      </c>
      <c r="J19" s="4" t="s">
        <v>110</v>
      </c>
      <c r="K19" s="4">
        <v>3.4</v>
      </c>
      <c r="L19" s="4">
        <v>1.8</v>
      </c>
      <c r="M19" s="4" t="s">
        <v>42</v>
      </c>
      <c r="N19" s="8" t="s">
        <v>72</v>
      </c>
    </row>
    <row r="20" spans="1:14">
      <c r="A20" s="3" t="s">
        <v>111</v>
      </c>
      <c r="B20" s="3" t="s">
        <v>112</v>
      </c>
      <c r="C20" s="3" t="s">
        <v>57</v>
      </c>
      <c r="D20" s="3" t="s">
        <v>89</v>
      </c>
      <c r="E20" s="3" t="str">
        <f t="shared" si="0"/>
        <v>Data Science</v>
      </c>
      <c r="F20" s="3" t="s">
        <v>113</v>
      </c>
      <c r="G20" s="3" t="s">
        <v>114</v>
      </c>
      <c r="H20" s="3" t="s">
        <v>19</v>
      </c>
      <c r="I20" s="3">
        <v>135019</v>
      </c>
      <c r="J20" s="3" t="s">
        <v>115</v>
      </c>
      <c r="K20" s="3">
        <v>4.9000000000000004</v>
      </c>
      <c r="L20" s="3">
        <v>3</v>
      </c>
      <c r="M20" s="3" t="s">
        <v>35</v>
      </c>
      <c r="N20" s="7" t="s">
        <v>43</v>
      </c>
    </row>
    <row r="21" spans="1:14">
      <c r="A21" s="4" t="s">
        <v>116</v>
      </c>
      <c r="B21" s="4" t="s">
        <v>117</v>
      </c>
      <c r="C21" s="4" t="s">
        <v>38</v>
      </c>
      <c r="D21" s="4" t="s">
        <v>118</v>
      </c>
      <c r="E21" s="3" t="str">
        <f t="shared" si="0"/>
        <v>Marketing</v>
      </c>
      <c r="F21" s="4" t="s">
        <v>119</v>
      </c>
      <c r="G21" s="4" t="s">
        <v>32</v>
      </c>
      <c r="H21" s="4" t="s">
        <v>27</v>
      </c>
      <c r="I21" s="4">
        <v>18476</v>
      </c>
      <c r="J21" s="4" t="s">
        <v>120</v>
      </c>
      <c r="K21" s="4">
        <v>5.2</v>
      </c>
      <c r="L21" s="4">
        <v>4.3</v>
      </c>
      <c r="M21" s="4" t="s">
        <v>35</v>
      </c>
      <c r="N21" s="8" t="s">
        <v>87</v>
      </c>
    </row>
    <row r="22" spans="1:14">
      <c r="A22" s="3" t="s">
        <v>121</v>
      </c>
      <c r="B22" s="3" t="s">
        <v>122</v>
      </c>
      <c r="C22" s="3" t="s">
        <v>83</v>
      </c>
      <c r="D22" s="3" t="s">
        <v>16</v>
      </c>
      <c r="E22" s="3" t="str">
        <f t="shared" si="0"/>
        <v>Devops</v>
      </c>
      <c r="F22" s="3" t="s">
        <v>123</v>
      </c>
      <c r="G22" s="3" t="s">
        <v>65</v>
      </c>
      <c r="H22" s="3" t="s">
        <v>19</v>
      </c>
      <c r="I22" s="3">
        <v>61682</v>
      </c>
      <c r="J22" s="3" t="s">
        <v>124</v>
      </c>
      <c r="K22" s="3">
        <v>4.8</v>
      </c>
      <c r="L22" s="3">
        <v>4.4000000000000004</v>
      </c>
      <c r="M22" s="3" t="s">
        <v>42</v>
      </c>
      <c r="N22" s="7" t="s">
        <v>55</v>
      </c>
    </row>
    <row r="23" spans="1:14">
      <c r="A23" s="4" t="s">
        <v>125</v>
      </c>
      <c r="B23" s="4" t="s">
        <v>126</v>
      </c>
      <c r="C23" s="4" t="s">
        <v>57</v>
      </c>
      <c r="D23" s="4" t="s">
        <v>118</v>
      </c>
      <c r="E23" s="3" t="str">
        <f t="shared" si="0"/>
        <v>Marketing</v>
      </c>
      <c r="F23" s="4" t="s">
        <v>119</v>
      </c>
      <c r="G23" s="4" t="s">
        <v>70</v>
      </c>
      <c r="H23" s="4" t="s">
        <v>33</v>
      </c>
      <c r="I23" s="4">
        <v>67370</v>
      </c>
      <c r="J23" s="4" t="s">
        <v>127</v>
      </c>
      <c r="K23" s="4">
        <v>0.8</v>
      </c>
      <c r="L23" s="4">
        <v>3</v>
      </c>
      <c r="M23" s="4" t="s">
        <v>35</v>
      </c>
      <c r="N23" s="8" t="s">
        <v>21</v>
      </c>
    </row>
    <row r="24" spans="1:14">
      <c r="A24" s="3" t="s">
        <v>128</v>
      </c>
      <c r="B24" s="3" t="s">
        <v>129</v>
      </c>
      <c r="C24" s="3" t="s">
        <v>23</v>
      </c>
      <c r="D24" s="3" t="s">
        <v>118</v>
      </c>
      <c r="E24" s="3" t="str">
        <f t="shared" si="0"/>
        <v>Marketing</v>
      </c>
      <c r="F24" s="3" t="s">
        <v>119</v>
      </c>
      <c r="G24" s="3" t="s">
        <v>32</v>
      </c>
      <c r="H24" s="3" t="s">
        <v>19</v>
      </c>
      <c r="I24" s="3">
        <v>146392</v>
      </c>
      <c r="J24" s="3" t="s">
        <v>130</v>
      </c>
      <c r="K24" s="3">
        <v>2.5</v>
      </c>
      <c r="L24" s="3">
        <v>3.9</v>
      </c>
      <c r="M24" s="3" t="s">
        <v>35</v>
      </c>
      <c r="N24" s="7" t="s">
        <v>13</v>
      </c>
    </row>
    <row r="25" spans="1:14">
      <c r="A25" s="4" t="s">
        <v>131</v>
      </c>
      <c r="B25" s="4" t="s">
        <v>132</v>
      </c>
      <c r="C25" s="4" t="s">
        <v>57</v>
      </c>
      <c r="D25" s="4" t="s">
        <v>133</v>
      </c>
      <c r="E25" s="3" t="str">
        <f t="shared" si="0"/>
        <v>Qa</v>
      </c>
      <c r="F25" s="4" t="s">
        <v>134</v>
      </c>
      <c r="G25" s="4" t="s">
        <v>53</v>
      </c>
      <c r="H25" s="4" t="s">
        <v>19</v>
      </c>
      <c r="I25" s="4">
        <v>60938</v>
      </c>
      <c r="J25" s="4" t="s">
        <v>135</v>
      </c>
      <c r="K25" s="4">
        <v>5.0999999999999996</v>
      </c>
      <c r="L25" s="4">
        <v>4.5</v>
      </c>
      <c r="M25" s="4" t="s">
        <v>29</v>
      </c>
      <c r="N25" s="8" t="s">
        <v>60</v>
      </c>
    </row>
    <row r="26" spans="1:14">
      <c r="A26" s="3" t="s">
        <v>136</v>
      </c>
      <c r="B26" s="3" t="s">
        <v>137</v>
      </c>
      <c r="C26" s="3" t="s">
        <v>15</v>
      </c>
      <c r="D26" s="3" t="s">
        <v>84</v>
      </c>
      <c r="E26" s="3" t="str">
        <f t="shared" si="0"/>
        <v>Hr</v>
      </c>
      <c r="F26" s="3" t="s">
        <v>138</v>
      </c>
      <c r="G26" s="3" t="s">
        <v>53</v>
      </c>
      <c r="H26" s="3" t="s">
        <v>58</v>
      </c>
      <c r="I26" s="3">
        <v>79498</v>
      </c>
      <c r="J26" s="3" t="s">
        <v>139</v>
      </c>
      <c r="K26" s="3">
        <v>5.7</v>
      </c>
      <c r="L26" s="3">
        <v>4.9000000000000004</v>
      </c>
      <c r="M26" s="3" t="s">
        <v>35</v>
      </c>
      <c r="N26" s="7" t="s">
        <v>128</v>
      </c>
    </row>
    <row r="27" spans="1:14">
      <c r="A27" s="4" t="s">
        <v>140</v>
      </c>
      <c r="B27" s="4" t="s">
        <v>141</v>
      </c>
      <c r="C27" s="4" t="s">
        <v>38</v>
      </c>
      <c r="D27" s="4" t="s">
        <v>84</v>
      </c>
      <c r="E27" s="3" t="str">
        <f t="shared" si="0"/>
        <v>Hr</v>
      </c>
      <c r="F27" s="4" t="s">
        <v>138</v>
      </c>
      <c r="G27" s="4" t="s">
        <v>26</v>
      </c>
      <c r="H27" s="4" t="s">
        <v>19</v>
      </c>
      <c r="I27" s="4">
        <v>27411</v>
      </c>
      <c r="J27" s="4" t="s">
        <v>142</v>
      </c>
      <c r="K27" s="4">
        <v>4.3</v>
      </c>
      <c r="L27" s="4">
        <v>4.0999999999999996</v>
      </c>
      <c r="M27" s="4" t="s">
        <v>29</v>
      </c>
      <c r="N27" s="8" t="s">
        <v>13</v>
      </c>
    </row>
    <row r="28" spans="1:14">
      <c r="A28" s="3" t="s">
        <v>143</v>
      </c>
      <c r="B28" s="3" t="s">
        <v>144</v>
      </c>
      <c r="C28" s="3" t="s">
        <v>23</v>
      </c>
      <c r="D28" s="3" t="s">
        <v>63</v>
      </c>
      <c r="E28" s="3" t="str">
        <f t="shared" si="0"/>
        <v>Product</v>
      </c>
      <c r="F28" s="3" t="s">
        <v>145</v>
      </c>
      <c r="G28" s="3" t="s">
        <v>32</v>
      </c>
      <c r="H28" s="3" t="s">
        <v>19</v>
      </c>
      <c r="I28" s="3">
        <v>59389</v>
      </c>
      <c r="J28" s="3" t="s">
        <v>146</v>
      </c>
      <c r="K28" s="3">
        <v>5.7</v>
      </c>
      <c r="L28" s="3">
        <v>3.9</v>
      </c>
      <c r="M28" s="3" t="s">
        <v>35</v>
      </c>
      <c r="N28" s="7" t="s">
        <v>81</v>
      </c>
    </row>
    <row r="29" spans="1:14">
      <c r="A29" s="4" t="s">
        <v>147</v>
      </c>
      <c r="B29" s="4" t="s">
        <v>148</v>
      </c>
      <c r="C29" s="4" t="s">
        <v>62</v>
      </c>
      <c r="D29" s="4" t="s">
        <v>63</v>
      </c>
      <c r="E29" s="3" t="str">
        <f t="shared" si="0"/>
        <v>Product</v>
      </c>
      <c r="F29" s="4" t="s">
        <v>145</v>
      </c>
      <c r="G29" s="4" t="s">
        <v>149</v>
      </c>
      <c r="H29" s="4" t="s">
        <v>47</v>
      </c>
      <c r="I29" s="4">
        <v>170334</v>
      </c>
      <c r="J29" s="4" t="s">
        <v>150</v>
      </c>
      <c r="K29" s="4">
        <v>4.9000000000000004</v>
      </c>
      <c r="L29" s="4">
        <v>2.8</v>
      </c>
      <c r="M29" s="4" t="s">
        <v>35</v>
      </c>
      <c r="N29" s="8" t="s">
        <v>43</v>
      </c>
    </row>
    <row r="30" spans="1:14">
      <c r="A30" s="3" t="s">
        <v>151</v>
      </c>
      <c r="B30" s="3" t="s">
        <v>152</v>
      </c>
      <c r="C30" s="3" t="s">
        <v>15</v>
      </c>
      <c r="D30" s="3" t="s">
        <v>133</v>
      </c>
      <c r="E30" s="3" t="str">
        <f t="shared" si="0"/>
        <v>Qa</v>
      </c>
      <c r="F30" s="3" t="s">
        <v>153</v>
      </c>
      <c r="G30" s="3" t="s">
        <v>18</v>
      </c>
      <c r="H30" s="3" t="s">
        <v>33</v>
      </c>
      <c r="I30" s="3">
        <v>164560</v>
      </c>
      <c r="J30" s="3" t="s">
        <v>99</v>
      </c>
      <c r="K30" s="3">
        <v>5.0999999999999996</v>
      </c>
      <c r="L30" s="3">
        <v>4.7</v>
      </c>
      <c r="M30" s="3" t="s">
        <v>35</v>
      </c>
      <c r="N30" s="7" t="s">
        <v>49</v>
      </c>
    </row>
    <row r="31" spans="1:14">
      <c r="A31" s="4" t="s">
        <v>154</v>
      </c>
      <c r="B31" s="4" t="s">
        <v>155</v>
      </c>
      <c r="C31" s="4" t="s">
        <v>57</v>
      </c>
      <c r="D31" s="4" t="s">
        <v>133</v>
      </c>
      <c r="E31" s="3" t="str">
        <f t="shared" si="0"/>
        <v>Qa</v>
      </c>
      <c r="F31" s="4" t="s">
        <v>153</v>
      </c>
      <c r="G31" s="4" t="s">
        <v>18</v>
      </c>
      <c r="H31" s="4" t="s">
        <v>33</v>
      </c>
      <c r="I31" s="4">
        <v>40814</v>
      </c>
      <c r="J31" s="4" t="s">
        <v>156</v>
      </c>
      <c r="K31" s="4">
        <v>2.1</v>
      </c>
      <c r="L31" s="4">
        <v>3.1</v>
      </c>
      <c r="M31" s="4" t="s">
        <v>42</v>
      </c>
      <c r="N31" s="8" t="s">
        <v>107</v>
      </c>
    </row>
    <row r="32" spans="1:14">
      <c r="A32" s="3" t="s">
        <v>157</v>
      </c>
      <c r="B32" s="3" t="s">
        <v>158</v>
      </c>
      <c r="C32" s="3" t="s">
        <v>38</v>
      </c>
      <c r="D32" s="3" t="s">
        <v>16</v>
      </c>
      <c r="E32" s="3" t="str">
        <f t="shared" si="0"/>
        <v>Devops</v>
      </c>
      <c r="F32" s="3" t="s">
        <v>98</v>
      </c>
      <c r="G32" s="3" t="s">
        <v>149</v>
      </c>
      <c r="H32" s="3" t="s">
        <v>27</v>
      </c>
      <c r="I32" s="3">
        <v>69831</v>
      </c>
      <c r="J32" s="3" t="s">
        <v>159</v>
      </c>
      <c r="K32" s="3">
        <v>5.0999999999999996</v>
      </c>
      <c r="L32" s="3">
        <v>2.2999999999999998</v>
      </c>
      <c r="M32" s="3" t="s">
        <v>35</v>
      </c>
      <c r="N32" s="7" t="s">
        <v>49</v>
      </c>
    </row>
    <row r="33" spans="1:14">
      <c r="A33" s="4" t="s">
        <v>160</v>
      </c>
      <c r="B33" s="4" t="s">
        <v>161</v>
      </c>
      <c r="C33" s="4" t="s">
        <v>62</v>
      </c>
      <c r="D33" s="4" t="s">
        <v>133</v>
      </c>
      <c r="E33" s="3" t="str">
        <f t="shared" si="0"/>
        <v>Qa</v>
      </c>
      <c r="F33" s="4" t="s">
        <v>162</v>
      </c>
      <c r="G33" s="4" t="s">
        <v>149</v>
      </c>
      <c r="H33" s="4" t="s">
        <v>19</v>
      </c>
      <c r="I33" s="4">
        <v>75148</v>
      </c>
      <c r="J33" s="4" t="s">
        <v>163</v>
      </c>
      <c r="K33" s="4">
        <v>6.9</v>
      </c>
      <c r="L33" s="4">
        <v>2.2000000000000002</v>
      </c>
      <c r="M33" s="4" t="s">
        <v>29</v>
      </c>
      <c r="N33" s="8" t="s">
        <v>103</v>
      </c>
    </row>
    <row r="34" spans="1:14">
      <c r="A34" s="3" t="s">
        <v>164</v>
      </c>
      <c r="B34" s="3" t="s">
        <v>165</v>
      </c>
      <c r="C34" s="3" t="s">
        <v>15</v>
      </c>
      <c r="D34" s="3" t="s">
        <v>39</v>
      </c>
      <c r="E34" s="3" t="str">
        <f t="shared" si="0"/>
        <v>Engineering</v>
      </c>
      <c r="F34" s="3" t="s">
        <v>40</v>
      </c>
      <c r="G34" s="3" t="s">
        <v>26</v>
      </c>
      <c r="H34" s="3" t="s">
        <v>27</v>
      </c>
      <c r="I34" s="3">
        <v>82622</v>
      </c>
      <c r="J34" s="3" t="s">
        <v>166</v>
      </c>
      <c r="K34" s="3">
        <v>0.9</v>
      </c>
      <c r="L34" s="3">
        <v>4.8</v>
      </c>
      <c r="M34" s="3" t="s">
        <v>35</v>
      </c>
      <c r="N34" s="7" t="s">
        <v>36</v>
      </c>
    </row>
    <row r="35" spans="1:14">
      <c r="A35" s="4" t="s">
        <v>167</v>
      </c>
      <c r="B35" s="4" t="s">
        <v>168</v>
      </c>
      <c r="C35" s="4" t="s">
        <v>62</v>
      </c>
      <c r="D35" s="4" t="s">
        <v>51</v>
      </c>
      <c r="E35" s="3" t="str">
        <f t="shared" si="0"/>
        <v>Sales</v>
      </c>
      <c r="F35" s="4" t="s">
        <v>52</v>
      </c>
      <c r="G35" s="4" t="s">
        <v>26</v>
      </c>
      <c r="H35" s="4" t="s">
        <v>19</v>
      </c>
      <c r="I35" s="4"/>
      <c r="J35" s="4" t="s">
        <v>169</v>
      </c>
      <c r="K35" s="4">
        <v>4.5</v>
      </c>
      <c r="L35" s="4">
        <v>3.8</v>
      </c>
      <c r="M35" s="4" t="s">
        <v>35</v>
      </c>
      <c r="N35" s="8" t="s">
        <v>107</v>
      </c>
    </row>
    <row r="36" spans="1:14">
      <c r="A36" s="3" t="s">
        <v>170</v>
      </c>
      <c r="B36" s="3" t="s">
        <v>171</v>
      </c>
      <c r="C36" s="3" t="s">
        <v>38</v>
      </c>
      <c r="D36" s="3" t="s">
        <v>89</v>
      </c>
      <c r="E36" s="3" t="str">
        <f t="shared" si="0"/>
        <v>Data Science</v>
      </c>
      <c r="F36" s="3" t="s">
        <v>90</v>
      </c>
      <c r="G36" s="3" t="s">
        <v>172</v>
      </c>
      <c r="H36" s="3" t="s">
        <v>33</v>
      </c>
      <c r="I36" s="3">
        <v>107257</v>
      </c>
      <c r="J36" s="3" t="s">
        <v>173</v>
      </c>
      <c r="K36" s="3">
        <v>1.9</v>
      </c>
      <c r="L36" s="3">
        <v>4.9000000000000004</v>
      </c>
      <c r="M36" s="3" t="s">
        <v>35</v>
      </c>
      <c r="N36" s="7" t="s">
        <v>67</v>
      </c>
    </row>
    <row r="37" spans="1:14">
      <c r="A37" s="4" t="s">
        <v>174</v>
      </c>
      <c r="B37" s="4" t="s">
        <v>175</v>
      </c>
      <c r="C37" s="4" t="s">
        <v>38</v>
      </c>
      <c r="D37" s="4" t="s">
        <v>176</v>
      </c>
      <c r="E37" s="3" t="str">
        <f t="shared" si="0"/>
        <v>Finance</v>
      </c>
      <c r="F37" s="4" t="s">
        <v>177</v>
      </c>
      <c r="G37" s="4" t="s">
        <v>26</v>
      </c>
      <c r="H37" s="4" t="s">
        <v>58</v>
      </c>
      <c r="I37" s="4">
        <v>169784</v>
      </c>
      <c r="J37" s="4" t="s">
        <v>178</v>
      </c>
      <c r="K37" s="4">
        <v>6.3</v>
      </c>
      <c r="L37" s="4">
        <v>2.4</v>
      </c>
      <c r="M37" s="4" t="s">
        <v>35</v>
      </c>
      <c r="N37" s="8" t="s">
        <v>87</v>
      </c>
    </row>
    <row r="38" spans="1:14">
      <c r="A38" s="3" t="s">
        <v>179</v>
      </c>
      <c r="B38" s="3" t="s">
        <v>180</v>
      </c>
      <c r="C38" s="3" t="s">
        <v>15</v>
      </c>
      <c r="D38" s="3" t="s">
        <v>118</v>
      </c>
      <c r="E38" s="3" t="str">
        <f t="shared" si="0"/>
        <v>Marketing</v>
      </c>
      <c r="F38" s="3" t="s">
        <v>181</v>
      </c>
      <c r="G38" s="3" t="s">
        <v>26</v>
      </c>
      <c r="H38" s="3" t="s">
        <v>47</v>
      </c>
      <c r="I38" s="3">
        <v>99048</v>
      </c>
      <c r="J38" s="3" t="s">
        <v>182</v>
      </c>
      <c r="K38" s="3">
        <v>6.3</v>
      </c>
      <c r="L38" s="3">
        <v>3.1</v>
      </c>
      <c r="M38" s="3" t="s">
        <v>42</v>
      </c>
      <c r="N38" s="7" t="s">
        <v>107</v>
      </c>
    </row>
    <row r="39" spans="1:14">
      <c r="A39" s="4" t="s">
        <v>183</v>
      </c>
      <c r="B39" s="4" t="s">
        <v>184</v>
      </c>
      <c r="C39" s="4" t="s">
        <v>23</v>
      </c>
      <c r="D39" s="4" t="s">
        <v>133</v>
      </c>
      <c r="E39" s="3" t="str">
        <f t="shared" si="0"/>
        <v>Qa</v>
      </c>
      <c r="F39" s="4" t="s">
        <v>134</v>
      </c>
      <c r="G39" s="4" t="s">
        <v>75</v>
      </c>
      <c r="H39" s="4" t="s">
        <v>27</v>
      </c>
      <c r="I39" s="4">
        <v>182023</v>
      </c>
      <c r="J39" s="4" t="s">
        <v>185</v>
      </c>
      <c r="K39" s="4">
        <v>2.1</v>
      </c>
      <c r="L39" s="4">
        <v>4.7</v>
      </c>
      <c r="M39" s="4" t="s">
        <v>29</v>
      </c>
      <c r="N39" s="8" t="s">
        <v>140</v>
      </c>
    </row>
    <row r="40" spans="1:14">
      <c r="A40" s="3" t="s">
        <v>186</v>
      </c>
      <c r="B40" s="3" t="s">
        <v>187</v>
      </c>
      <c r="C40" s="3" t="s">
        <v>23</v>
      </c>
      <c r="D40" s="3" t="s">
        <v>16</v>
      </c>
      <c r="E40" s="3" t="str">
        <f t="shared" si="0"/>
        <v>Devops</v>
      </c>
      <c r="F40" s="3" t="s">
        <v>98</v>
      </c>
      <c r="G40" s="3" t="s">
        <v>26</v>
      </c>
      <c r="H40" s="3" t="s">
        <v>33</v>
      </c>
      <c r="I40" s="3">
        <v>140041</v>
      </c>
      <c r="J40" s="3" t="s">
        <v>188</v>
      </c>
      <c r="K40" s="3">
        <v>3.6</v>
      </c>
      <c r="L40" s="3">
        <v>3.4</v>
      </c>
      <c r="M40" s="3" t="s">
        <v>35</v>
      </c>
      <c r="N40" s="7" t="s">
        <v>100</v>
      </c>
    </row>
    <row r="41" spans="1:14">
      <c r="A41" s="4" t="s">
        <v>189</v>
      </c>
      <c r="B41" s="4" t="s">
        <v>190</v>
      </c>
      <c r="C41" s="4" t="s">
        <v>38</v>
      </c>
      <c r="D41" s="4" t="s">
        <v>118</v>
      </c>
      <c r="E41" s="3" t="str">
        <f t="shared" si="0"/>
        <v>Marketing</v>
      </c>
      <c r="F41" s="4" t="s">
        <v>119</v>
      </c>
      <c r="G41" s="4" t="s">
        <v>75</v>
      </c>
      <c r="H41" s="4" t="s">
        <v>19</v>
      </c>
      <c r="I41" s="4">
        <v>159138</v>
      </c>
      <c r="J41" s="4" t="s">
        <v>191</v>
      </c>
      <c r="K41" s="4">
        <v>1.4</v>
      </c>
      <c r="L41" s="4">
        <v>2.9</v>
      </c>
      <c r="M41" s="4" t="s">
        <v>35</v>
      </c>
      <c r="N41" s="8" t="s">
        <v>143</v>
      </c>
    </row>
    <row r="42" spans="1:14">
      <c r="A42" s="3" t="s">
        <v>192</v>
      </c>
      <c r="B42" s="3" t="s">
        <v>193</v>
      </c>
      <c r="C42" s="3" t="s">
        <v>15</v>
      </c>
      <c r="D42" s="3" t="s">
        <v>16</v>
      </c>
      <c r="E42" s="3" t="str">
        <f t="shared" si="0"/>
        <v>Devops</v>
      </c>
      <c r="F42" s="3" t="s">
        <v>17</v>
      </c>
      <c r="G42" s="3" t="s">
        <v>46</v>
      </c>
      <c r="H42" s="3" t="s">
        <v>19</v>
      </c>
      <c r="I42" s="3">
        <v>25880</v>
      </c>
      <c r="J42" s="3" t="s">
        <v>194</v>
      </c>
      <c r="K42" s="3">
        <v>5.3</v>
      </c>
      <c r="L42" s="3">
        <v>3.1</v>
      </c>
      <c r="M42" s="3" t="s">
        <v>35</v>
      </c>
      <c r="N42" s="7" t="s">
        <v>125</v>
      </c>
    </row>
    <row r="43" spans="1:14">
      <c r="A43" s="4" t="s">
        <v>195</v>
      </c>
      <c r="B43" s="4" t="s">
        <v>196</v>
      </c>
      <c r="C43" s="4" t="s">
        <v>23</v>
      </c>
      <c r="D43" s="4" t="s">
        <v>39</v>
      </c>
      <c r="E43" s="3" t="str">
        <f t="shared" si="0"/>
        <v>Engineering</v>
      </c>
      <c r="F43" s="4" t="s">
        <v>197</v>
      </c>
      <c r="G43" s="4" t="s">
        <v>32</v>
      </c>
      <c r="H43" s="4" t="s">
        <v>47</v>
      </c>
      <c r="I43" s="4">
        <v>68820</v>
      </c>
      <c r="J43" s="4" t="s">
        <v>198</v>
      </c>
      <c r="K43" s="4">
        <v>3.1</v>
      </c>
      <c r="L43" s="4">
        <v>2.6</v>
      </c>
      <c r="M43" s="4" t="s">
        <v>29</v>
      </c>
      <c r="N43" s="8" t="s">
        <v>77</v>
      </c>
    </row>
    <row r="44" spans="1:14">
      <c r="A44" s="3" t="s">
        <v>199</v>
      </c>
      <c r="B44" s="3" t="s">
        <v>200</v>
      </c>
      <c r="C44" s="3" t="s">
        <v>83</v>
      </c>
      <c r="D44" s="3" t="s">
        <v>89</v>
      </c>
      <c r="E44" s="3" t="str">
        <f t="shared" si="0"/>
        <v>Data Science</v>
      </c>
      <c r="F44" s="3" t="s">
        <v>90</v>
      </c>
      <c r="G44" s="3" t="s">
        <v>65</v>
      </c>
      <c r="H44" s="3" t="s">
        <v>58</v>
      </c>
      <c r="I44" s="3">
        <v>148155</v>
      </c>
      <c r="J44" s="3" t="s">
        <v>201</v>
      </c>
      <c r="K44" s="3">
        <v>5</v>
      </c>
      <c r="L44" s="3">
        <v>3.3</v>
      </c>
      <c r="M44" s="3" t="s">
        <v>29</v>
      </c>
      <c r="N44" s="7" t="s">
        <v>157</v>
      </c>
    </row>
    <row r="45" spans="1:14">
      <c r="A45" s="4" t="s">
        <v>202</v>
      </c>
      <c r="B45" s="4" t="s">
        <v>203</v>
      </c>
      <c r="C45" s="4" t="s">
        <v>23</v>
      </c>
      <c r="D45" s="4" t="s">
        <v>84</v>
      </c>
      <c r="E45" s="3" t="str">
        <f t="shared" si="0"/>
        <v>Hr</v>
      </c>
      <c r="F45" s="4" t="s">
        <v>204</v>
      </c>
      <c r="G45" s="4" t="s">
        <v>70</v>
      </c>
      <c r="H45" s="4" t="s">
        <v>27</v>
      </c>
      <c r="I45" s="4">
        <v>209821</v>
      </c>
      <c r="J45" s="4" t="s">
        <v>205</v>
      </c>
      <c r="K45" s="4">
        <v>4.5999999999999996</v>
      </c>
      <c r="L45" s="4">
        <v>2.7</v>
      </c>
      <c r="M45" s="4" t="s">
        <v>35</v>
      </c>
      <c r="N45" s="8" t="s">
        <v>192</v>
      </c>
    </row>
    <row r="46" spans="1:14">
      <c r="A46" s="3" t="s">
        <v>206</v>
      </c>
      <c r="B46" s="3" t="s">
        <v>207</v>
      </c>
      <c r="C46" s="3" t="s">
        <v>83</v>
      </c>
      <c r="D46" s="3" t="s">
        <v>39</v>
      </c>
      <c r="E46" s="3" t="str">
        <f t="shared" si="0"/>
        <v>Engineering</v>
      </c>
      <c r="F46" s="3" t="s">
        <v>109</v>
      </c>
      <c r="G46" s="3" t="s">
        <v>149</v>
      </c>
      <c r="H46" s="3" t="s">
        <v>27</v>
      </c>
      <c r="I46" s="3">
        <v>152528</v>
      </c>
      <c r="J46" s="3" t="s">
        <v>208</v>
      </c>
      <c r="K46" s="3">
        <v>4.8</v>
      </c>
      <c r="L46" s="3">
        <v>4.3</v>
      </c>
      <c r="M46" s="3" t="s">
        <v>35</v>
      </c>
      <c r="N46" s="7" t="s">
        <v>136</v>
      </c>
    </row>
    <row r="47" spans="1:14">
      <c r="A47" s="4" t="s">
        <v>209</v>
      </c>
      <c r="B47" s="4" t="s">
        <v>210</v>
      </c>
      <c r="C47" s="4" t="s">
        <v>15</v>
      </c>
      <c r="D47" s="4" t="s">
        <v>84</v>
      </c>
      <c r="E47" s="3" t="str">
        <f t="shared" si="0"/>
        <v>Hr</v>
      </c>
      <c r="F47" s="4" t="s">
        <v>85</v>
      </c>
      <c r="G47" s="4" t="s">
        <v>149</v>
      </c>
      <c r="H47" s="4" t="s">
        <v>58</v>
      </c>
      <c r="I47" s="4">
        <v>97366</v>
      </c>
      <c r="J47" s="4" t="s">
        <v>211</v>
      </c>
      <c r="K47" s="4">
        <v>3.1</v>
      </c>
      <c r="L47" s="4">
        <v>2.2999999999999998</v>
      </c>
      <c r="M47" s="4" t="s">
        <v>35</v>
      </c>
      <c r="N47" s="8" t="s">
        <v>174</v>
      </c>
    </row>
    <row r="48" spans="1:14">
      <c r="A48" s="3" t="s">
        <v>212</v>
      </c>
      <c r="B48" s="3" t="s">
        <v>213</v>
      </c>
      <c r="C48" s="3" t="s">
        <v>62</v>
      </c>
      <c r="D48" s="3" t="s">
        <v>51</v>
      </c>
      <c r="E48" s="3" t="str">
        <f t="shared" si="0"/>
        <v>Sales</v>
      </c>
      <c r="F48" s="3" t="s">
        <v>69</v>
      </c>
      <c r="G48" s="3" t="s">
        <v>214</v>
      </c>
      <c r="H48" s="3" t="s">
        <v>47</v>
      </c>
      <c r="I48" s="3">
        <v>216086</v>
      </c>
      <c r="J48" s="3" t="s">
        <v>215</v>
      </c>
      <c r="K48" s="3">
        <v>4.5</v>
      </c>
      <c r="L48" s="3">
        <v>4.5</v>
      </c>
      <c r="M48" s="3" t="s">
        <v>35</v>
      </c>
      <c r="N48" s="7" t="s">
        <v>136</v>
      </c>
    </row>
    <row r="49" spans="1:14">
      <c r="A49" s="4" t="s">
        <v>216</v>
      </c>
      <c r="B49" s="4" t="s">
        <v>217</v>
      </c>
      <c r="C49" s="4" t="s">
        <v>83</v>
      </c>
      <c r="D49" s="4" t="s">
        <v>51</v>
      </c>
      <c r="E49" s="3" t="str">
        <f t="shared" si="0"/>
        <v>Sales</v>
      </c>
      <c r="F49" s="4" t="s">
        <v>69</v>
      </c>
      <c r="G49" s="4" t="s">
        <v>75</v>
      </c>
      <c r="H49" s="4" t="s">
        <v>19</v>
      </c>
      <c r="I49" s="4">
        <v>70884</v>
      </c>
      <c r="J49" s="4" t="s">
        <v>218</v>
      </c>
      <c r="K49" s="4">
        <v>5.5</v>
      </c>
      <c r="L49" s="4">
        <v>2.9</v>
      </c>
      <c r="M49" s="4" t="s">
        <v>35</v>
      </c>
      <c r="N49" s="8" t="s">
        <v>103</v>
      </c>
    </row>
    <row r="50" spans="1:14">
      <c r="A50" s="3" t="s">
        <v>219</v>
      </c>
      <c r="B50" s="3" t="s">
        <v>220</v>
      </c>
      <c r="C50" s="3" t="s">
        <v>23</v>
      </c>
      <c r="D50" s="3" t="s">
        <v>89</v>
      </c>
      <c r="E50" s="3" t="str">
        <f t="shared" si="0"/>
        <v>Data Science</v>
      </c>
      <c r="F50" s="3" t="s">
        <v>221</v>
      </c>
      <c r="G50" s="3" t="s">
        <v>70</v>
      </c>
      <c r="H50" s="3" t="s">
        <v>47</v>
      </c>
      <c r="I50" s="3">
        <v>110793</v>
      </c>
      <c r="J50" s="3" t="s">
        <v>222</v>
      </c>
      <c r="K50" s="3">
        <v>3.8</v>
      </c>
      <c r="L50" s="3">
        <v>2.8</v>
      </c>
      <c r="M50" s="3" t="s">
        <v>42</v>
      </c>
      <c r="N50" s="7" t="s">
        <v>60</v>
      </c>
    </row>
    <row r="51" spans="1:14">
      <c r="A51" s="4" t="s">
        <v>223</v>
      </c>
      <c r="B51" s="4" t="s">
        <v>224</v>
      </c>
      <c r="C51" s="4" t="s">
        <v>57</v>
      </c>
      <c r="D51" s="4" t="s">
        <v>63</v>
      </c>
      <c r="E51" s="3" t="str">
        <f t="shared" si="0"/>
        <v>Product</v>
      </c>
      <c r="F51" s="4" t="s">
        <v>225</v>
      </c>
      <c r="G51" s="4" t="s">
        <v>172</v>
      </c>
      <c r="H51" s="4" t="s">
        <v>19</v>
      </c>
      <c r="I51" s="4">
        <v>86586</v>
      </c>
      <c r="J51" s="4" t="s">
        <v>226</v>
      </c>
      <c r="K51" s="4">
        <v>0.5</v>
      </c>
      <c r="L51" s="4">
        <v>5</v>
      </c>
      <c r="M51" s="4" t="s">
        <v>35</v>
      </c>
      <c r="N51" s="8" t="s">
        <v>157</v>
      </c>
    </row>
    <row r="52" spans="1:14">
      <c r="A52" s="3" t="s">
        <v>227</v>
      </c>
      <c r="B52" s="3" t="s">
        <v>228</v>
      </c>
      <c r="C52" s="3" t="s">
        <v>62</v>
      </c>
      <c r="D52" s="3" t="s">
        <v>176</v>
      </c>
      <c r="E52" s="3" t="str">
        <f t="shared" si="0"/>
        <v>Finance</v>
      </c>
      <c r="F52" s="3" t="s">
        <v>229</v>
      </c>
      <c r="G52" s="3" t="s">
        <v>70</v>
      </c>
      <c r="H52" s="3" t="s">
        <v>19</v>
      </c>
      <c r="I52" s="3">
        <v>78651</v>
      </c>
      <c r="J52" s="3" t="s">
        <v>230</v>
      </c>
      <c r="K52" s="3">
        <v>4.3</v>
      </c>
      <c r="L52" s="3">
        <v>4.5999999999999996</v>
      </c>
      <c r="M52" s="3" t="s">
        <v>35</v>
      </c>
      <c r="N52" s="7" t="s">
        <v>77</v>
      </c>
    </row>
    <row r="53" spans="1:14">
      <c r="A53" s="4" t="s">
        <v>231</v>
      </c>
      <c r="B53" s="4" t="s">
        <v>232</v>
      </c>
      <c r="C53" s="4" t="s">
        <v>15</v>
      </c>
      <c r="D53" s="4" t="s">
        <v>63</v>
      </c>
      <c r="E53" s="3" t="str">
        <f t="shared" si="0"/>
        <v>Product</v>
      </c>
      <c r="F53" s="4" t="s">
        <v>145</v>
      </c>
      <c r="G53" s="4" t="s">
        <v>65</v>
      </c>
      <c r="H53" s="4" t="s">
        <v>47</v>
      </c>
      <c r="I53" s="4">
        <v>151447</v>
      </c>
      <c r="J53" s="4" t="s">
        <v>233</v>
      </c>
      <c r="K53" s="4">
        <v>3.8</v>
      </c>
      <c r="L53" s="4">
        <v>3.6</v>
      </c>
      <c r="M53" s="4" t="s">
        <v>29</v>
      </c>
      <c r="N53" s="8" t="s">
        <v>151</v>
      </c>
    </row>
    <row r="54" spans="1:14">
      <c r="A54" s="3" t="s">
        <v>234</v>
      </c>
      <c r="B54" s="3" t="s">
        <v>235</v>
      </c>
      <c r="C54" s="3" t="s">
        <v>83</v>
      </c>
      <c r="D54" s="3" t="s">
        <v>24</v>
      </c>
      <c r="E54" s="3" t="str">
        <f t="shared" si="0"/>
        <v>Design</v>
      </c>
      <c r="F54" s="3" t="s">
        <v>45</v>
      </c>
      <c r="G54" s="3" t="s">
        <v>53</v>
      </c>
      <c r="H54" s="3" t="s">
        <v>19</v>
      </c>
      <c r="I54" s="3">
        <v>182020</v>
      </c>
      <c r="J54" s="3" t="s">
        <v>236</v>
      </c>
      <c r="K54" s="3">
        <v>3</v>
      </c>
      <c r="L54" s="3">
        <v>1.5</v>
      </c>
      <c r="M54" s="3" t="s">
        <v>35</v>
      </c>
      <c r="N54" s="7" t="s">
        <v>121</v>
      </c>
    </row>
    <row r="55" spans="1:14">
      <c r="A55" s="4" t="s">
        <v>237</v>
      </c>
      <c r="B55" s="4" t="s">
        <v>238</v>
      </c>
      <c r="C55" s="4" t="s">
        <v>23</v>
      </c>
      <c r="D55" s="4" t="s">
        <v>176</v>
      </c>
      <c r="E55" s="3" t="str">
        <f t="shared" si="0"/>
        <v>Finance</v>
      </c>
      <c r="F55" s="4" t="s">
        <v>229</v>
      </c>
      <c r="G55" s="4" t="s">
        <v>214</v>
      </c>
      <c r="H55" s="4" t="s">
        <v>27</v>
      </c>
      <c r="I55" s="4">
        <v>156848</v>
      </c>
      <c r="J55" s="4" t="s">
        <v>239</v>
      </c>
      <c r="K55" s="4">
        <v>4.4000000000000004</v>
      </c>
      <c r="L55" s="4">
        <v>4.9000000000000004</v>
      </c>
      <c r="M55" s="4" t="s">
        <v>29</v>
      </c>
      <c r="N55" s="8" t="s">
        <v>77</v>
      </c>
    </row>
    <row r="56" spans="1:14">
      <c r="A56" s="3" t="s">
        <v>240</v>
      </c>
      <c r="B56" s="3" t="s">
        <v>241</v>
      </c>
      <c r="C56" s="3" t="s">
        <v>57</v>
      </c>
      <c r="D56" s="3" t="s">
        <v>39</v>
      </c>
      <c r="E56" s="3" t="str">
        <f t="shared" si="0"/>
        <v>Engineering</v>
      </c>
      <c r="F56" s="3" t="s">
        <v>242</v>
      </c>
      <c r="G56" s="3" t="s">
        <v>70</v>
      </c>
      <c r="H56" s="3" t="s">
        <v>58</v>
      </c>
      <c r="I56" s="3">
        <v>78572</v>
      </c>
      <c r="J56" s="3" t="s">
        <v>243</v>
      </c>
      <c r="K56" s="3">
        <v>4.3</v>
      </c>
      <c r="L56" s="3">
        <v>3.4</v>
      </c>
      <c r="M56" s="3" t="s">
        <v>42</v>
      </c>
      <c r="N56" s="7" t="s">
        <v>234</v>
      </c>
    </row>
    <row r="57" spans="1:14">
      <c r="A57" s="4" t="s">
        <v>244</v>
      </c>
      <c r="B57" s="4" t="s">
        <v>224</v>
      </c>
      <c r="C57" s="4" t="s">
        <v>23</v>
      </c>
      <c r="D57" s="4" t="s">
        <v>39</v>
      </c>
      <c r="E57" s="3" t="str">
        <f t="shared" si="0"/>
        <v>Engineering</v>
      </c>
      <c r="F57" s="4" t="s">
        <v>242</v>
      </c>
      <c r="G57" s="4" t="s">
        <v>75</v>
      </c>
      <c r="H57" s="4" t="s">
        <v>19</v>
      </c>
      <c r="I57" s="4">
        <v>104006</v>
      </c>
      <c r="J57" s="4" t="s">
        <v>245</v>
      </c>
      <c r="K57" s="4">
        <v>2.6</v>
      </c>
      <c r="L57" s="4">
        <v>1.6</v>
      </c>
      <c r="M57" s="4" t="s">
        <v>29</v>
      </c>
      <c r="N57" s="8" t="s">
        <v>192</v>
      </c>
    </row>
    <row r="58" spans="1:14">
      <c r="A58" s="3" t="s">
        <v>246</v>
      </c>
      <c r="B58" s="3" t="s">
        <v>247</v>
      </c>
      <c r="C58" s="3" t="s">
        <v>15</v>
      </c>
      <c r="D58" s="3" t="s">
        <v>118</v>
      </c>
      <c r="E58" s="3" t="str">
        <f t="shared" si="0"/>
        <v>Marketing</v>
      </c>
      <c r="F58" s="3" t="s">
        <v>119</v>
      </c>
      <c r="G58" s="3" t="s">
        <v>172</v>
      </c>
      <c r="H58" s="3" t="s">
        <v>27</v>
      </c>
      <c r="I58" s="3">
        <v>138740</v>
      </c>
      <c r="J58" s="3" t="s">
        <v>248</v>
      </c>
      <c r="K58" s="3">
        <v>6.6</v>
      </c>
      <c r="L58" s="3">
        <v>1.5</v>
      </c>
      <c r="M58" s="3" t="s">
        <v>35</v>
      </c>
      <c r="N58" s="7" t="s">
        <v>240</v>
      </c>
    </row>
    <row r="59" spans="1:14">
      <c r="A59" s="4" t="s">
        <v>249</v>
      </c>
      <c r="B59" s="4" t="s">
        <v>250</v>
      </c>
      <c r="C59" s="4" t="s">
        <v>15</v>
      </c>
      <c r="D59" s="4" t="s">
        <v>118</v>
      </c>
      <c r="E59" s="3" t="str">
        <f t="shared" si="0"/>
        <v>Marketing</v>
      </c>
      <c r="F59" s="4" t="s">
        <v>119</v>
      </c>
      <c r="G59" s="4" t="s">
        <v>53</v>
      </c>
      <c r="H59" s="4" t="s">
        <v>19</v>
      </c>
      <c r="I59" s="4">
        <v>218169</v>
      </c>
      <c r="J59" s="4" t="s">
        <v>251</v>
      </c>
      <c r="K59" s="4">
        <v>6.1</v>
      </c>
      <c r="L59" s="4">
        <v>1.5</v>
      </c>
      <c r="M59" s="4" t="s">
        <v>35</v>
      </c>
      <c r="N59" s="8" t="s">
        <v>219</v>
      </c>
    </row>
    <row r="60" spans="1:14">
      <c r="A60" s="3" t="s">
        <v>252</v>
      </c>
      <c r="B60" s="3" t="s">
        <v>253</v>
      </c>
      <c r="C60" s="3" t="s">
        <v>38</v>
      </c>
      <c r="D60" s="3" t="s">
        <v>118</v>
      </c>
      <c r="E60" s="3" t="str">
        <f t="shared" si="0"/>
        <v>Marketing</v>
      </c>
      <c r="F60" s="3" t="s">
        <v>254</v>
      </c>
      <c r="G60" s="3" t="s">
        <v>149</v>
      </c>
      <c r="H60" s="3" t="s">
        <v>19</v>
      </c>
      <c r="I60" s="3">
        <v>204952</v>
      </c>
      <c r="J60" s="3" t="s">
        <v>255</v>
      </c>
      <c r="K60" s="3">
        <v>6.3</v>
      </c>
      <c r="L60" s="3">
        <v>4.5999999999999996</v>
      </c>
      <c r="M60" s="3" t="s">
        <v>35</v>
      </c>
      <c r="N60" s="7" t="s">
        <v>216</v>
      </c>
    </row>
    <row r="61" spans="1:14">
      <c r="A61" s="4" t="s">
        <v>256</v>
      </c>
      <c r="B61" s="4" t="s">
        <v>68</v>
      </c>
      <c r="C61" s="4" t="s">
        <v>83</v>
      </c>
      <c r="D61" s="4" t="s">
        <v>257</v>
      </c>
      <c r="E61" s="3" t="str">
        <f t="shared" si="0"/>
        <v>Design</v>
      </c>
      <c r="F61" s="4" t="s">
        <v>45</v>
      </c>
      <c r="G61" s="4" t="s">
        <v>18</v>
      </c>
      <c r="H61" s="4" t="s">
        <v>27</v>
      </c>
      <c r="I61" s="4">
        <v>146603</v>
      </c>
      <c r="J61" s="4" t="s">
        <v>258</v>
      </c>
      <c r="K61" s="4">
        <v>1.9</v>
      </c>
      <c r="L61" s="4">
        <v>2.4</v>
      </c>
      <c r="M61" s="4" t="s">
        <v>35</v>
      </c>
      <c r="N61" s="8" t="s">
        <v>36</v>
      </c>
    </row>
    <row r="62" spans="1:14">
      <c r="A62" s="3" t="s">
        <v>259</v>
      </c>
      <c r="B62" s="3" t="s">
        <v>260</v>
      </c>
      <c r="C62" s="3" t="s">
        <v>83</v>
      </c>
      <c r="D62" s="3" t="s">
        <v>63</v>
      </c>
      <c r="E62" s="3" t="str">
        <f t="shared" si="0"/>
        <v>Product</v>
      </c>
      <c r="F62" s="3" t="s">
        <v>64</v>
      </c>
      <c r="G62" s="3" t="s">
        <v>26</v>
      </c>
      <c r="H62" s="3" t="s">
        <v>19</v>
      </c>
      <c r="I62" s="3">
        <v>188122</v>
      </c>
      <c r="J62" s="3" t="s">
        <v>261</v>
      </c>
      <c r="K62" s="3">
        <v>5.0999999999999996</v>
      </c>
      <c r="L62" s="3">
        <v>4.5</v>
      </c>
      <c r="M62" s="3" t="s">
        <v>35</v>
      </c>
      <c r="N62" s="7" t="s">
        <v>43</v>
      </c>
    </row>
    <row r="63" spans="1:14">
      <c r="A63" s="4" t="s">
        <v>262</v>
      </c>
      <c r="B63" s="4" t="s">
        <v>263</v>
      </c>
      <c r="C63" s="4" t="s">
        <v>15</v>
      </c>
      <c r="D63" s="4" t="s">
        <v>16</v>
      </c>
      <c r="E63" s="3" t="str">
        <f t="shared" si="0"/>
        <v>Devops</v>
      </c>
      <c r="F63" s="4" t="s">
        <v>98</v>
      </c>
      <c r="G63" s="4" t="s">
        <v>46</v>
      </c>
      <c r="H63" s="4" t="s">
        <v>27</v>
      </c>
      <c r="I63" s="4">
        <v>139124</v>
      </c>
      <c r="J63" s="4" t="s">
        <v>264</v>
      </c>
      <c r="K63" s="4">
        <v>1.9</v>
      </c>
      <c r="L63" s="4">
        <v>3.8</v>
      </c>
      <c r="M63" s="4" t="s">
        <v>42</v>
      </c>
      <c r="N63" s="8" t="s">
        <v>147</v>
      </c>
    </row>
    <row r="64" spans="1:14">
      <c r="A64" s="3" t="s">
        <v>265</v>
      </c>
      <c r="B64" s="3" t="s">
        <v>266</v>
      </c>
      <c r="C64" s="3" t="s">
        <v>15</v>
      </c>
      <c r="D64" s="3" t="s">
        <v>176</v>
      </c>
      <c r="E64" s="3" t="str">
        <f t="shared" si="0"/>
        <v>Finance</v>
      </c>
      <c r="F64" s="3" t="s">
        <v>177</v>
      </c>
      <c r="G64" s="3" t="s">
        <v>26</v>
      </c>
      <c r="H64" s="3" t="s">
        <v>58</v>
      </c>
      <c r="I64" s="3">
        <v>114528</v>
      </c>
      <c r="J64" s="3" t="s">
        <v>267</v>
      </c>
      <c r="K64" s="3">
        <v>1.7</v>
      </c>
      <c r="L64" s="3">
        <v>3.6</v>
      </c>
      <c r="M64" s="3" t="s">
        <v>29</v>
      </c>
      <c r="N64" s="7" t="s">
        <v>240</v>
      </c>
    </row>
    <row r="65" spans="1:14">
      <c r="A65" s="4" t="s">
        <v>268</v>
      </c>
      <c r="B65" s="4" t="s">
        <v>269</v>
      </c>
      <c r="C65" s="4" t="s">
        <v>38</v>
      </c>
      <c r="D65" s="4" t="s">
        <v>39</v>
      </c>
      <c r="E65" s="3" t="str">
        <f t="shared" si="0"/>
        <v>Engineering</v>
      </c>
      <c r="F65" s="4" t="s">
        <v>242</v>
      </c>
      <c r="G65" s="4" t="s">
        <v>26</v>
      </c>
      <c r="H65" s="4" t="s">
        <v>58</v>
      </c>
      <c r="I65" s="4">
        <v>140259</v>
      </c>
      <c r="J65" s="4" t="s">
        <v>270</v>
      </c>
      <c r="K65" s="4">
        <v>1</v>
      </c>
      <c r="L65" s="4">
        <v>1.5</v>
      </c>
      <c r="M65" s="4" t="s">
        <v>35</v>
      </c>
      <c r="N65" s="8" t="s">
        <v>234</v>
      </c>
    </row>
    <row r="66" spans="1:14">
      <c r="A66" s="3" t="s">
        <v>271</v>
      </c>
      <c r="B66" s="3" t="s">
        <v>272</v>
      </c>
      <c r="C66" s="3" t="s">
        <v>38</v>
      </c>
      <c r="D66" s="3" t="s">
        <v>24</v>
      </c>
      <c r="E66" s="3" t="str">
        <f t="shared" si="0"/>
        <v>Design</v>
      </c>
      <c r="F66" s="3" t="s">
        <v>45</v>
      </c>
      <c r="G66" s="3" t="s">
        <v>46</v>
      </c>
      <c r="H66" s="3" t="s">
        <v>19</v>
      </c>
      <c r="I66" s="3">
        <v>125209</v>
      </c>
      <c r="J66" s="3" t="s">
        <v>273</v>
      </c>
      <c r="K66" s="3">
        <v>0.8</v>
      </c>
      <c r="L66" s="3">
        <v>3.7</v>
      </c>
      <c r="M66" s="3" t="s">
        <v>35</v>
      </c>
      <c r="N66" s="7" t="s">
        <v>240</v>
      </c>
    </row>
    <row r="67" spans="1:14">
      <c r="A67" s="4" t="s">
        <v>274</v>
      </c>
      <c r="B67" s="4" t="s">
        <v>31</v>
      </c>
      <c r="C67" s="4" t="s">
        <v>15</v>
      </c>
      <c r="D67" s="4" t="s">
        <v>24</v>
      </c>
      <c r="E67" s="3" t="str">
        <f t="shared" ref="E67:E130" si="1">PROPER(D67)</f>
        <v>Design</v>
      </c>
      <c r="F67" s="4" t="s">
        <v>45</v>
      </c>
      <c r="G67" s="4" t="s">
        <v>18</v>
      </c>
      <c r="H67" s="4" t="s">
        <v>19</v>
      </c>
      <c r="I67" s="4">
        <v>83984</v>
      </c>
      <c r="J67" s="4" t="s">
        <v>275</v>
      </c>
      <c r="K67" s="4">
        <v>6.1</v>
      </c>
      <c r="L67" s="4">
        <v>1.8</v>
      </c>
      <c r="M67" s="4" t="s">
        <v>35</v>
      </c>
      <c r="N67" s="8" t="s">
        <v>271</v>
      </c>
    </row>
    <row r="68" spans="1:14">
      <c r="A68" s="3" t="s">
        <v>276</v>
      </c>
      <c r="B68" s="3" t="s">
        <v>277</v>
      </c>
      <c r="C68" s="3" t="s">
        <v>38</v>
      </c>
      <c r="D68" s="3" t="s">
        <v>51</v>
      </c>
      <c r="E68" s="3" t="str">
        <f t="shared" si="1"/>
        <v>Sales</v>
      </c>
      <c r="F68" s="3" t="s">
        <v>105</v>
      </c>
      <c r="G68" s="3" t="s">
        <v>75</v>
      </c>
      <c r="H68" s="3" t="s">
        <v>19</v>
      </c>
      <c r="I68" s="3">
        <v>195043</v>
      </c>
      <c r="J68" s="3" t="s">
        <v>278</v>
      </c>
      <c r="K68" s="3">
        <v>5.5</v>
      </c>
      <c r="L68" s="3">
        <v>2.7</v>
      </c>
      <c r="M68" s="3" t="s">
        <v>35</v>
      </c>
      <c r="N68" s="7" t="s">
        <v>60</v>
      </c>
    </row>
    <row r="69" spans="1:14">
      <c r="A69" s="4" t="s">
        <v>279</v>
      </c>
      <c r="B69" s="4" t="s">
        <v>280</v>
      </c>
      <c r="C69" s="4" t="s">
        <v>15</v>
      </c>
      <c r="D69" s="4" t="s">
        <v>24</v>
      </c>
      <c r="E69" s="3" t="str">
        <f t="shared" si="1"/>
        <v>Design</v>
      </c>
      <c r="F69" s="4" t="s">
        <v>74</v>
      </c>
      <c r="G69" s="4" t="s">
        <v>53</v>
      </c>
      <c r="H69" s="4" t="s">
        <v>47</v>
      </c>
      <c r="I69" s="4">
        <v>147464</v>
      </c>
      <c r="J69" s="4" t="s">
        <v>281</v>
      </c>
      <c r="K69" s="4">
        <v>1.7</v>
      </c>
      <c r="L69" s="4">
        <v>4.2</v>
      </c>
      <c r="M69" s="4" t="s">
        <v>29</v>
      </c>
      <c r="N69" s="8" t="s">
        <v>199</v>
      </c>
    </row>
    <row r="70" spans="1:14">
      <c r="A70" s="3" t="s">
        <v>282</v>
      </c>
      <c r="B70" s="3" t="s">
        <v>283</v>
      </c>
      <c r="C70" s="3" t="s">
        <v>57</v>
      </c>
      <c r="D70" s="3" t="s">
        <v>24</v>
      </c>
      <c r="E70" s="3" t="str">
        <f t="shared" si="1"/>
        <v>Design</v>
      </c>
      <c r="F70" s="3" t="s">
        <v>94</v>
      </c>
      <c r="G70" s="3" t="s">
        <v>214</v>
      </c>
      <c r="H70" s="3" t="s">
        <v>47</v>
      </c>
      <c r="I70" s="3">
        <v>191662</v>
      </c>
      <c r="J70" s="3" t="s">
        <v>284</v>
      </c>
      <c r="K70" s="3">
        <v>0.7</v>
      </c>
      <c r="L70" s="3">
        <v>4.3</v>
      </c>
      <c r="M70" s="3" t="s">
        <v>35</v>
      </c>
      <c r="N70" s="7" t="s">
        <v>116</v>
      </c>
    </row>
    <row r="71" spans="1:14">
      <c r="A71" s="4" t="s">
        <v>285</v>
      </c>
      <c r="B71" s="4" t="s">
        <v>286</v>
      </c>
      <c r="C71" s="4" t="s">
        <v>38</v>
      </c>
      <c r="D71" s="4" t="s">
        <v>176</v>
      </c>
      <c r="E71" s="3" t="str">
        <f t="shared" si="1"/>
        <v>Finance</v>
      </c>
      <c r="F71" s="4" t="s">
        <v>229</v>
      </c>
      <c r="G71" s="4" t="s">
        <v>214</v>
      </c>
      <c r="H71" s="4" t="s">
        <v>19</v>
      </c>
      <c r="I71" s="4">
        <v>147325</v>
      </c>
      <c r="J71" s="4" t="s">
        <v>287</v>
      </c>
      <c r="K71" s="4">
        <v>6.1</v>
      </c>
      <c r="L71" s="4">
        <v>4.3</v>
      </c>
      <c r="M71" s="4" t="s">
        <v>35</v>
      </c>
      <c r="N71" s="8" t="s">
        <v>121</v>
      </c>
    </row>
    <row r="72" spans="1:14">
      <c r="A72" s="3" t="s">
        <v>288</v>
      </c>
      <c r="B72" s="3" t="s">
        <v>289</v>
      </c>
      <c r="C72" s="3" t="s">
        <v>57</v>
      </c>
      <c r="D72" s="3" t="s">
        <v>118</v>
      </c>
      <c r="E72" s="3" t="str">
        <f t="shared" si="1"/>
        <v>Marketing</v>
      </c>
      <c r="F72" s="3" t="s">
        <v>254</v>
      </c>
      <c r="G72" s="3" t="s">
        <v>18</v>
      </c>
      <c r="H72" s="3" t="s">
        <v>58</v>
      </c>
      <c r="I72" s="3">
        <v>60223</v>
      </c>
      <c r="J72" s="3" t="s">
        <v>290</v>
      </c>
      <c r="K72" s="3">
        <v>2.5</v>
      </c>
      <c r="L72" s="3">
        <v>3.9</v>
      </c>
      <c r="M72" s="3" t="s">
        <v>29</v>
      </c>
      <c r="N72" s="7" t="s">
        <v>55</v>
      </c>
    </row>
    <row r="73" spans="1:14">
      <c r="A73" s="4" t="s">
        <v>291</v>
      </c>
      <c r="B73" s="4" t="s">
        <v>292</v>
      </c>
      <c r="C73" s="4" t="s">
        <v>38</v>
      </c>
      <c r="D73" s="4" t="s">
        <v>24</v>
      </c>
      <c r="E73" s="3" t="str">
        <f t="shared" si="1"/>
        <v>Design</v>
      </c>
      <c r="F73" s="4" t="s">
        <v>45</v>
      </c>
      <c r="G73" s="4" t="s">
        <v>26</v>
      </c>
      <c r="H73" s="4" t="s">
        <v>19</v>
      </c>
      <c r="I73" s="4">
        <v>171441</v>
      </c>
      <c r="J73" s="4" t="s">
        <v>293</v>
      </c>
      <c r="K73" s="4">
        <v>3.2</v>
      </c>
      <c r="L73" s="4">
        <v>1.8</v>
      </c>
      <c r="M73" s="4" t="s">
        <v>35</v>
      </c>
      <c r="N73" s="8" t="s">
        <v>179</v>
      </c>
    </row>
    <row r="74" spans="1:14">
      <c r="A74" s="3" t="s">
        <v>294</v>
      </c>
      <c r="B74" s="3" t="s">
        <v>56</v>
      </c>
      <c r="C74" s="3" t="s">
        <v>83</v>
      </c>
      <c r="D74" s="3" t="s">
        <v>84</v>
      </c>
      <c r="E74" s="3" t="str">
        <f t="shared" si="1"/>
        <v>Hr</v>
      </c>
      <c r="F74" s="3" t="s">
        <v>138</v>
      </c>
      <c r="G74" s="3" t="s">
        <v>46</v>
      </c>
      <c r="H74" s="3" t="s">
        <v>27</v>
      </c>
      <c r="I74" s="3">
        <v>160848</v>
      </c>
      <c r="J74" s="3" t="s">
        <v>295</v>
      </c>
      <c r="K74" s="3">
        <v>4.7</v>
      </c>
      <c r="L74" s="3">
        <v>3.6</v>
      </c>
      <c r="M74" s="3" t="s">
        <v>35</v>
      </c>
      <c r="N74" s="7" t="s">
        <v>219</v>
      </c>
    </row>
    <row r="75" spans="1:14">
      <c r="A75" s="4" t="s">
        <v>296</v>
      </c>
      <c r="B75" s="4" t="s">
        <v>297</v>
      </c>
      <c r="C75" s="4" t="s">
        <v>57</v>
      </c>
      <c r="D75" s="4" t="s">
        <v>63</v>
      </c>
      <c r="E75" s="3" t="str">
        <f t="shared" si="1"/>
        <v>Product</v>
      </c>
      <c r="F75" s="4" t="s">
        <v>64</v>
      </c>
      <c r="G75" s="4" t="s">
        <v>70</v>
      </c>
      <c r="H75" s="4" t="s">
        <v>19</v>
      </c>
      <c r="I75" s="4">
        <v>51851</v>
      </c>
      <c r="J75" s="4" t="s">
        <v>298</v>
      </c>
      <c r="K75" s="4">
        <v>4</v>
      </c>
      <c r="L75" s="4">
        <v>2.7</v>
      </c>
      <c r="M75" s="4" t="s">
        <v>35</v>
      </c>
      <c r="N75" s="8" t="s">
        <v>227</v>
      </c>
    </row>
    <row r="76" spans="1:14">
      <c r="A76" s="3" t="s">
        <v>299</v>
      </c>
      <c r="B76" s="3" t="s">
        <v>300</v>
      </c>
      <c r="C76" s="3" t="s">
        <v>62</v>
      </c>
      <c r="D76" s="3" t="s">
        <v>301</v>
      </c>
      <c r="E76" s="3" t="str">
        <f t="shared" si="1"/>
        <v>Qa</v>
      </c>
      <c r="F76" s="3" t="s">
        <v>134</v>
      </c>
      <c r="G76" s="3" t="s">
        <v>149</v>
      </c>
      <c r="H76" s="3" t="s">
        <v>33</v>
      </c>
      <c r="I76" s="3">
        <v>54271</v>
      </c>
      <c r="J76" s="3" t="s">
        <v>302</v>
      </c>
      <c r="K76" s="3">
        <v>2.7</v>
      </c>
      <c r="L76" s="3">
        <v>5</v>
      </c>
      <c r="M76" s="3" t="s">
        <v>35</v>
      </c>
      <c r="N76" s="7" t="s">
        <v>147</v>
      </c>
    </row>
    <row r="77" spans="1:14">
      <c r="A77" s="4" t="s">
        <v>303</v>
      </c>
      <c r="B77" s="4" t="s">
        <v>20</v>
      </c>
      <c r="C77" s="4" t="s">
        <v>23</v>
      </c>
      <c r="D77" s="4" t="s">
        <v>118</v>
      </c>
      <c r="E77" s="3" t="str">
        <f t="shared" si="1"/>
        <v>Marketing</v>
      </c>
      <c r="F77" s="4" t="s">
        <v>181</v>
      </c>
      <c r="G77" s="4" t="s">
        <v>26</v>
      </c>
      <c r="H77" s="4" t="s">
        <v>47</v>
      </c>
      <c r="I77" s="4">
        <v>185311</v>
      </c>
      <c r="J77" s="4" t="s">
        <v>304</v>
      </c>
      <c r="K77" s="4">
        <v>4.4000000000000004</v>
      </c>
      <c r="L77" s="4">
        <v>4.4000000000000004</v>
      </c>
      <c r="M77" s="4" t="s">
        <v>35</v>
      </c>
      <c r="N77" s="8" t="s">
        <v>179</v>
      </c>
    </row>
    <row r="78" spans="1:14">
      <c r="A78" s="3" t="s">
        <v>305</v>
      </c>
      <c r="B78" s="3" t="s">
        <v>306</v>
      </c>
      <c r="C78" s="3" t="s">
        <v>57</v>
      </c>
      <c r="D78" s="3" t="s">
        <v>51</v>
      </c>
      <c r="E78" s="3" t="str">
        <f t="shared" si="1"/>
        <v>Sales</v>
      </c>
      <c r="F78" s="3" t="s">
        <v>52</v>
      </c>
      <c r="G78" s="3" t="s">
        <v>26</v>
      </c>
      <c r="H78" s="3" t="s">
        <v>19</v>
      </c>
      <c r="I78" s="3">
        <v>21210</v>
      </c>
      <c r="J78" s="3" t="s">
        <v>307</v>
      </c>
      <c r="K78" s="3">
        <v>4.8</v>
      </c>
      <c r="L78" s="3">
        <v>3.1</v>
      </c>
      <c r="M78" s="3" t="s">
        <v>29</v>
      </c>
      <c r="N78" s="7" t="s">
        <v>285</v>
      </c>
    </row>
    <row r="79" spans="1:14">
      <c r="A79" s="4" t="s">
        <v>308</v>
      </c>
      <c r="B79" s="4" t="s">
        <v>187</v>
      </c>
      <c r="C79" s="4" t="s">
        <v>83</v>
      </c>
      <c r="D79" s="4" t="s">
        <v>39</v>
      </c>
      <c r="E79" s="3" t="str">
        <f t="shared" si="1"/>
        <v>Engineering</v>
      </c>
      <c r="F79" s="4" t="s">
        <v>79</v>
      </c>
      <c r="G79" s="4" t="s">
        <v>214</v>
      </c>
      <c r="H79" s="4" t="s">
        <v>19</v>
      </c>
      <c r="I79" s="4">
        <v>206224</v>
      </c>
      <c r="J79" s="4" t="s">
        <v>309</v>
      </c>
      <c r="K79" s="4">
        <v>1.4</v>
      </c>
      <c r="L79" s="4">
        <v>4.2</v>
      </c>
      <c r="M79" s="4" t="s">
        <v>35</v>
      </c>
      <c r="N79" s="8" t="s">
        <v>157</v>
      </c>
    </row>
    <row r="80" spans="1:14">
      <c r="A80" s="3" t="s">
        <v>310</v>
      </c>
      <c r="B80" s="3" t="s">
        <v>311</v>
      </c>
      <c r="C80" s="3" t="s">
        <v>23</v>
      </c>
      <c r="D80" s="3" t="s">
        <v>51</v>
      </c>
      <c r="E80" s="3" t="str">
        <f t="shared" si="1"/>
        <v>Sales</v>
      </c>
      <c r="F80" s="3" t="s">
        <v>52</v>
      </c>
      <c r="G80" s="3" t="s">
        <v>75</v>
      </c>
      <c r="H80" s="3" t="s">
        <v>58</v>
      </c>
      <c r="I80" s="3">
        <v>29751</v>
      </c>
      <c r="J80" s="3" t="s">
        <v>312</v>
      </c>
      <c r="K80" s="3">
        <v>4.2</v>
      </c>
      <c r="L80" s="3">
        <v>3.3</v>
      </c>
      <c r="M80" s="3" t="s">
        <v>29</v>
      </c>
      <c r="N80" s="7" t="s">
        <v>199</v>
      </c>
    </row>
    <row r="81" spans="1:14">
      <c r="A81" s="4" t="s">
        <v>313</v>
      </c>
      <c r="B81" s="4" t="s">
        <v>314</v>
      </c>
      <c r="C81" s="4" t="s">
        <v>57</v>
      </c>
      <c r="D81" s="4" t="s">
        <v>24</v>
      </c>
      <c r="E81" s="3" t="str">
        <f t="shared" si="1"/>
        <v>Design</v>
      </c>
      <c r="F81" s="4" t="s">
        <v>25</v>
      </c>
      <c r="G81" s="4" t="s">
        <v>172</v>
      </c>
      <c r="H81" s="4" t="s">
        <v>19</v>
      </c>
      <c r="I81" s="4">
        <v>144101</v>
      </c>
      <c r="J81" s="4" t="s">
        <v>315</v>
      </c>
      <c r="K81" s="4">
        <v>0.6</v>
      </c>
      <c r="L81" s="4">
        <v>2.2000000000000002</v>
      </c>
      <c r="M81" s="4" t="s">
        <v>35</v>
      </c>
      <c r="N81" s="8" t="s">
        <v>282</v>
      </c>
    </row>
    <row r="82" spans="1:14">
      <c r="A82" s="3" t="s">
        <v>316</v>
      </c>
      <c r="B82" s="3" t="s">
        <v>317</v>
      </c>
      <c r="C82" s="3" t="s">
        <v>57</v>
      </c>
      <c r="D82" s="3" t="s">
        <v>89</v>
      </c>
      <c r="E82" s="3" t="str">
        <f t="shared" si="1"/>
        <v>Data Science</v>
      </c>
      <c r="F82" s="3" t="s">
        <v>90</v>
      </c>
      <c r="G82" s="3" t="s">
        <v>149</v>
      </c>
      <c r="H82" s="3" t="s">
        <v>58</v>
      </c>
      <c r="I82" s="3">
        <v>216646</v>
      </c>
      <c r="J82" s="3" t="s">
        <v>318</v>
      </c>
      <c r="K82" s="3">
        <v>3.5</v>
      </c>
      <c r="L82" s="3">
        <v>3.3</v>
      </c>
      <c r="M82" s="3" t="s">
        <v>35</v>
      </c>
      <c r="N82" s="7" t="s">
        <v>36</v>
      </c>
    </row>
    <row r="83" spans="1:14">
      <c r="A83" s="4" t="s">
        <v>319</v>
      </c>
      <c r="B83" s="4" t="s">
        <v>320</v>
      </c>
      <c r="C83" s="4" t="s">
        <v>15</v>
      </c>
      <c r="D83" s="4" t="s">
        <v>39</v>
      </c>
      <c r="E83" s="3" t="str">
        <f t="shared" si="1"/>
        <v>Engineering</v>
      </c>
      <c r="F83" s="4" t="s">
        <v>79</v>
      </c>
      <c r="G83" s="4" t="s">
        <v>26</v>
      </c>
      <c r="H83" s="4" t="s">
        <v>33</v>
      </c>
      <c r="I83" s="4">
        <v>162895</v>
      </c>
      <c r="J83" s="4" t="s">
        <v>321</v>
      </c>
      <c r="K83" s="4">
        <v>3.4</v>
      </c>
      <c r="L83" s="4">
        <v>1.9</v>
      </c>
      <c r="M83" s="4" t="s">
        <v>35</v>
      </c>
      <c r="N83" s="8" t="s">
        <v>189</v>
      </c>
    </row>
    <row r="84" spans="1:14">
      <c r="A84" s="3" t="s">
        <v>322</v>
      </c>
      <c r="B84" s="3" t="s">
        <v>323</v>
      </c>
      <c r="C84" s="3" t="s">
        <v>57</v>
      </c>
      <c r="D84" s="3" t="s">
        <v>133</v>
      </c>
      <c r="E84" s="3" t="str">
        <f t="shared" si="1"/>
        <v>Qa</v>
      </c>
      <c r="F84" s="3" t="s">
        <v>134</v>
      </c>
      <c r="G84" s="3" t="s">
        <v>75</v>
      </c>
      <c r="H84" s="3" t="s">
        <v>27</v>
      </c>
      <c r="I84" s="3">
        <v>166422</v>
      </c>
      <c r="J84" s="3" t="s">
        <v>324</v>
      </c>
      <c r="K84" s="3">
        <v>4.0999999999999996</v>
      </c>
      <c r="L84" s="3">
        <v>3.1</v>
      </c>
      <c r="M84" s="3" t="s">
        <v>29</v>
      </c>
      <c r="N84" s="7" t="s">
        <v>252</v>
      </c>
    </row>
    <row r="85" spans="1:14">
      <c r="A85" s="4" t="s">
        <v>325</v>
      </c>
      <c r="B85" s="4" t="s">
        <v>161</v>
      </c>
      <c r="C85" s="4" t="s">
        <v>15</v>
      </c>
      <c r="D85" s="4" t="s">
        <v>39</v>
      </c>
      <c r="E85" s="3" t="str">
        <f t="shared" si="1"/>
        <v>Engineering</v>
      </c>
      <c r="F85" s="4" t="s">
        <v>40</v>
      </c>
      <c r="G85" s="4" t="s">
        <v>214</v>
      </c>
      <c r="H85" s="4" t="s">
        <v>47</v>
      </c>
      <c r="I85" s="4">
        <v>152673</v>
      </c>
      <c r="J85" s="4" t="s">
        <v>326</v>
      </c>
      <c r="K85" s="4">
        <v>5.2</v>
      </c>
      <c r="L85" s="4">
        <v>4.3</v>
      </c>
      <c r="M85" s="4" t="s">
        <v>35</v>
      </c>
      <c r="N85" s="8" t="s">
        <v>271</v>
      </c>
    </row>
    <row r="86" spans="1:14">
      <c r="A86" s="3" t="s">
        <v>327</v>
      </c>
      <c r="B86" s="3" t="s">
        <v>328</v>
      </c>
      <c r="C86" s="3" t="s">
        <v>83</v>
      </c>
      <c r="D86" s="3" t="s">
        <v>16</v>
      </c>
      <c r="E86" s="3" t="str">
        <f t="shared" si="1"/>
        <v>Devops</v>
      </c>
      <c r="F86" s="3" t="s">
        <v>123</v>
      </c>
      <c r="G86" s="3" t="s">
        <v>114</v>
      </c>
      <c r="H86" s="3" t="s">
        <v>58</v>
      </c>
      <c r="I86" s="3">
        <v>172835</v>
      </c>
      <c r="J86" s="3" t="s">
        <v>329</v>
      </c>
      <c r="K86" s="3">
        <v>6.1</v>
      </c>
      <c r="L86" s="3">
        <v>4.5999999999999996</v>
      </c>
      <c r="M86" s="3" t="s">
        <v>42</v>
      </c>
      <c r="N86" s="7" t="s">
        <v>303</v>
      </c>
    </row>
    <row r="87" spans="1:14">
      <c r="A87" s="4" t="s">
        <v>330</v>
      </c>
      <c r="B87" s="4" t="s">
        <v>331</v>
      </c>
      <c r="C87" s="4" t="s">
        <v>15</v>
      </c>
      <c r="D87" s="4" t="s">
        <v>24</v>
      </c>
      <c r="E87" s="3" t="str">
        <f t="shared" si="1"/>
        <v>Design</v>
      </c>
      <c r="F87" s="4" t="s">
        <v>45</v>
      </c>
      <c r="G87" s="4" t="s">
        <v>32</v>
      </c>
      <c r="H87" s="4" t="s">
        <v>19</v>
      </c>
      <c r="I87" s="4">
        <v>135640</v>
      </c>
      <c r="J87" s="4" t="s">
        <v>332</v>
      </c>
      <c r="K87" s="4">
        <v>3.9</v>
      </c>
      <c r="L87" s="4">
        <v>4.4000000000000004</v>
      </c>
      <c r="M87" s="4" t="s">
        <v>42</v>
      </c>
      <c r="N87" s="8" t="s">
        <v>183</v>
      </c>
    </row>
    <row r="88" spans="1:14">
      <c r="A88" s="3" t="s">
        <v>333</v>
      </c>
      <c r="B88" s="3" t="s">
        <v>334</v>
      </c>
      <c r="C88" s="3" t="s">
        <v>38</v>
      </c>
      <c r="D88" s="3" t="s">
        <v>16</v>
      </c>
      <c r="E88" s="3" t="str">
        <f t="shared" si="1"/>
        <v>Devops</v>
      </c>
      <c r="F88" s="3" t="s">
        <v>335</v>
      </c>
      <c r="G88" s="3" t="s">
        <v>26</v>
      </c>
      <c r="H88" s="3" t="s">
        <v>58</v>
      </c>
      <c r="I88" s="3">
        <v>92821</v>
      </c>
      <c r="J88" s="3" t="s">
        <v>336</v>
      </c>
      <c r="K88" s="3">
        <v>3.6</v>
      </c>
      <c r="L88" s="3">
        <v>4.9000000000000004</v>
      </c>
      <c r="M88" s="3" t="s">
        <v>42</v>
      </c>
      <c r="N88" s="7" t="s">
        <v>279</v>
      </c>
    </row>
    <row r="89" spans="1:14">
      <c r="A89" s="4" t="s">
        <v>337</v>
      </c>
      <c r="B89" s="4" t="s">
        <v>338</v>
      </c>
      <c r="C89" s="4" t="s">
        <v>62</v>
      </c>
      <c r="D89" s="4" t="s">
        <v>63</v>
      </c>
      <c r="E89" s="3" t="str">
        <f t="shared" si="1"/>
        <v>Product</v>
      </c>
      <c r="F89" s="4" t="s">
        <v>225</v>
      </c>
      <c r="G89" s="4" t="s">
        <v>172</v>
      </c>
      <c r="H89" s="4" t="s">
        <v>27</v>
      </c>
      <c r="I89" s="4">
        <v>171943</v>
      </c>
      <c r="J89" s="4" t="s">
        <v>339</v>
      </c>
      <c r="K89" s="4">
        <v>3.1</v>
      </c>
      <c r="L89" s="4">
        <v>1.9</v>
      </c>
      <c r="M89" s="4" t="s">
        <v>42</v>
      </c>
      <c r="N89" s="8" t="s">
        <v>186</v>
      </c>
    </row>
    <row r="90" spans="1:14">
      <c r="A90" s="3" t="s">
        <v>340</v>
      </c>
      <c r="B90" s="3" t="s">
        <v>341</v>
      </c>
      <c r="C90" s="3" t="s">
        <v>15</v>
      </c>
      <c r="D90" s="3" t="s">
        <v>89</v>
      </c>
      <c r="E90" s="3" t="str">
        <f t="shared" si="1"/>
        <v>Data Science</v>
      </c>
      <c r="F90" s="3" t="s">
        <v>113</v>
      </c>
      <c r="G90" s="3" t="s">
        <v>32</v>
      </c>
      <c r="H90" s="3" t="s">
        <v>58</v>
      </c>
      <c r="I90" s="3">
        <v>168067</v>
      </c>
      <c r="J90" s="3" t="s">
        <v>342</v>
      </c>
      <c r="K90" s="3">
        <v>1.4</v>
      </c>
      <c r="L90" s="3">
        <v>1.7</v>
      </c>
      <c r="M90" s="3" t="s">
        <v>42</v>
      </c>
      <c r="N90" s="7" t="s">
        <v>189</v>
      </c>
    </row>
    <row r="91" spans="1:14">
      <c r="A91" s="4" t="s">
        <v>343</v>
      </c>
      <c r="B91" s="4" t="s">
        <v>344</v>
      </c>
      <c r="C91" s="4" t="s">
        <v>57</v>
      </c>
      <c r="D91" s="4" t="s">
        <v>84</v>
      </c>
      <c r="E91" s="3" t="str">
        <f t="shared" si="1"/>
        <v>Hr</v>
      </c>
      <c r="F91" s="4" t="s">
        <v>85</v>
      </c>
      <c r="G91" s="4" t="s">
        <v>18</v>
      </c>
      <c r="H91" s="4" t="s">
        <v>19</v>
      </c>
      <c r="I91" s="4">
        <v>39381</v>
      </c>
      <c r="J91" s="4" t="s">
        <v>345</v>
      </c>
      <c r="K91" s="4">
        <v>5.9</v>
      </c>
      <c r="L91" s="4">
        <v>2.5</v>
      </c>
      <c r="M91" s="4" t="s">
        <v>42</v>
      </c>
      <c r="N91" s="8" t="s">
        <v>265</v>
      </c>
    </row>
    <row r="92" spans="1:14">
      <c r="A92" s="3" t="s">
        <v>346</v>
      </c>
      <c r="B92" s="3" t="s">
        <v>184</v>
      </c>
      <c r="C92" s="3" t="s">
        <v>57</v>
      </c>
      <c r="D92" s="3" t="s">
        <v>51</v>
      </c>
      <c r="E92" s="3" t="str">
        <f t="shared" si="1"/>
        <v>Sales</v>
      </c>
      <c r="F92" s="3" t="s">
        <v>52</v>
      </c>
      <c r="G92" s="3" t="s">
        <v>214</v>
      </c>
      <c r="H92" s="3" t="s">
        <v>58</v>
      </c>
      <c r="I92" s="3">
        <v>116535</v>
      </c>
      <c r="J92" s="3" t="s">
        <v>347</v>
      </c>
      <c r="K92" s="3">
        <v>3.8</v>
      </c>
      <c r="L92" s="3">
        <v>4</v>
      </c>
      <c r="M92" s="3" t="s">
        <v>42</v>
      </c>
      <c r="N92" s="7" t="s">
        <v>330</v>
      </c>
    </row>
    <row r="93" spans="1:14">
      <c r="A93" s="4" t="s">
        <v>348</v>
      </c>
      <c r="B93" s="4" t="s">
        <v>349</v>
      </c>
      <c r="C93" s="4" t="s">
        <v>23</v>
      </c>
      <c r="D93" s="4" t="s">
        <v>51</v>
      </c>
      <c r="E93" s="3" t="str">
        <f t="shared" si="1"/>
        <v>Sales</v>
      </c>
      <c r="F93" s="4" t="s">
        <v>105</v>
      </c>
      <c r="G93" s="4" t="s">
        <v>53</v>
      </c>
      <c r="H93" s="4" t="s">
        <v>19</v>
      </c>
      <c r="I93" s="4">
        <v>155371</v>
      </c>
      <c r="J93" s="4" t="s">
        <v>350</v>
      </c>
      <c r="K93" s="4">
        <v>2.2999999999999998</v>
      </c>
      <c r="L93" s="4">
        <v>2.9</v>
      </c>
      <c r="M93" s="4" t="s">
        <v>29</v>
      </c>
      <c r="N93" s="8" t="s">
        <v>67</v>
      </c>
    </row>
    <row r="94" spans="1:14">
      <c r="A94" s="3" t="s">
        <v>351</v>
      </c>
      <c r="B94" s="3" t="s">
        <v>328</v>
      </c>
      <c r="C94" s="3" t="s">
        <v>23</v>
      </c>
      <c r="D94" s="3" t="s">
        <v>24</v>
      </c>
      <c r="E94" s="3" t="str">
        <f t="shared" si="1"/>
        <v>Design</v>
      </c>
      <c r="F94" s="3" t="s">
        <v>45</v>
      </c>
      <c r="G94" s="3" t="s">
        <v>32</v>
      </c>
      <c r="H94" s="3" t="s">
        <v>33</v>
      </c>
      <c r="I94" s="3">
        <v>103116</v>
      </c>
      <c r="J94" s="3" t="s">
        <v>352</v>
      </c>
      <c r="K94" s="3">
        <v>0.7</v>
      </c>
      <c r="L94" s="3">
        <v>4.5999999999999996</v>
      </c>
      <c r="M94" s="3" t="s">
        <v>35</v>
      </c>
      <c r="N94" s="7" t="s">
        <v>294</v>
      </c>
    </row>
    <row r="95" spans="1:14">
      <c r="A95" s="4" t="s">
        <v>353</v>
      </c>
      <c r="B95" s="4" t="s">
        <v>354</v>
      </c>
      <c r="C95" s="4" t="s">
        <v>15</v>
      </c>
      <c r="D95" s="4" t="s">
        <v>63</v>
      </c>
      <c r="E95" s="3" t="str">
        <f t="shared" si="1"/>
        <v>Product</v>
      </c>
      <c r="F95" s="4" t="s">
        <v>225</v>
      </c>
      <c r="G95" s="4" t="s">
        <v>53</v>
      </c>
      <c r="H95" s="4" t="s">
        <v>27</v>
      </c>
      <c r="I95" s="4">
        <v>81344</v>
      </c>
      <c r="J95" s="4" t="s">
        <v>355</v>
      </c>
      <c r="K95" s="4">
        <v>2.4</v>
      </c>
      <c r="L95" s="4">
        <v>4.7</v>
      </c>
      <c r="M95" s="4" t="s">
        <v>35</v>
      </c>
      <c r="N95" s="8" t="s">
        <v>143</v>
      </c>
    </row>
    <row r="96" spans="1:14">
      <c r="A96" s="3" t="s">
        <v>356</v>
      </c>
      <c r="B96" s="3" t="s">
        <v>148</v>
      </c>
      <c r="C96" s="3" t="s">
        <v>38</v>
      </c>
      <c r="D96" s="3" t="s">
        <v>16</v>
      </c>
      <c r="E96" s="3" t="str">
        <f t="shared" si="1"/>
        <v>Devops</v>
      </c>
      <c r="F96" s="3" t="s">
        <v>98</v>
      </c>
      <c r="G96" s="3" t="s">
        <v>172</v>
      </c>
      <c r="H96" s="3" t="s">
        <v>27</v>
      </c>
      <c r="I96" s="3">
        <v>97775</v>
      </c>
      <c r="J96" s="3" t="s">
        <v>357</v>
      </c>
      <c r="K96" s="3">
        <v>2.5</v>
      </c>
      <c r="L96" s="3">
        <v>2</v>
      </c>
      <c r="M96" s="3" t="s">
        <v>35</v>
      </c>
      <c r="N96" s="7" t="s">
        <v>322</v>
      </c>
    </row>
    <row r="97" spans="1:14">
      <c r="A97" s="4" t="s">
        <v>358</v>
      </c>
      <c r="B97" s="4" t="s">
        <v>247</v>
      </c>
      <c r="C97" s="4" t="s">
        <v>23</v>
      </c>
      <c r="D97" s="4" t="s">
        <v>176</v>
      </c>
      <c r="E97" s="3" t="str">
        <f t="shared" si="1"/>
        <v>Finance</v>
      </c>
      <c r="F97" s="4" t="s">
        <v>359</v>
      </c>
      <c r="G97" s="4" t="s">
        <v>18</v>
      </c>
      <c r="H97" s="4" t="s">
        <v>27</v>
      </c>
      <c r="I97" s="4">
        <v>79443</v>
      </c>
      <c r="J97" s="4" t="s">
        <v>360</v>
      </c>
      <c r="K97" s="4">
        <v>1.6</v>
      </c>
      <c r="L97" s="4">
        <v>4.4000000000000004</v>
      </c>
      <c r="M97" s="4" t="s">
        <v>42</v>
      </c>
      <c r="N97" s="8" t="s">
        <v>308</v>
      </c>
    </row>
    <row r="98" spans="1:14">
      <c r="A98" s="3" t="s">
        <v>361</v>
      </c>
      <c r="B98" s="3" t="s">
        <v>241</v>
      </c>
      <c r="C98" s="3" t="s">
        <v>38</v>
      </c>
      <c r="D98" s="3" t="s">
        <v>118</v>
      </c>
      <c r="E98" s="3" t="str">
        <f t="shared" si="1"/>
        <v>Marketing</v>
      </c>
      <c r="F98" s="3" t="s">
        <v>119</v>
      </c>
      <c r="G98" s="3" t="s">
        <v>26</v>
      </c>
      <c r="H98" s="3" t="s">
        <v>58</v>
      </c>
      <c r="I98" s="3">
        <v>144649</v>
      </c>
      <c r="J98" s="3" t="s">
        <v>362</v>
      </c>
      <c r="K98" s="3">
        <v>4.0999999999999996</v>
      </c>
      <c r="L98" s="3">
        <v>2.9</v>
      </c>
      <c r="M98" s="3" t="s">
        <v>35</v>
      </c>
      <c r="N98" s="7" t="s">
        <v>131</v>
      </c>
    </row>
    <row r="99" spans="1:14">
      <c r="A99" s="4" t="s">
        <v>363</v>
      </c>
      <c r="B99" s="4" t="s">
        <v>364</v>
      </c>
      <c r="C99" s="4" t="s">
        <v>38</v>
      </c>
      <c r="D99" s="4" t="s">
        <v>51</v>
      </c>
      <c r="E99" s="3" t="str">
        <f t="shared" si="1"/>
        <v>Sales</v>
      </c>
      <c r="F99" s="4" t="s">
        <v>69</v>
      </c>
      <c r="G99" s="4" t="s">
        <v>26</v>
      </c>
      <c r="H99" s="4" t="s">
        <v>19</v>
      </c>
      <c r="I99" s="4">
        <v>74877</v>
      </c>
      <c r="J99" s="4" t="s">
        <v>365</v>
      </c>
      <c r="K99" s="4">
        <v>6.9</v>
      </c>
      <c r="L99" s="4">
        <v>2.9</v>
      </c>
      <c r="M99" s="4" t="s">
        <v>35</v>
      </c>
      <c r="N99" s="8" t="s">
        <v>361</v>
      </c>
    </row>
    <row r="100" spans="1:14">
      <c r="A100" s="3" t="s">
        <v>366</v>
      </c>
      <c r="B100" s="3" t="s">
        <v>367</v>
      </c>
      <c r="C100" s="3" t="s">
        <v>62</v>
      </c>
      <c r="D100" s="3" t="s">
        <v>51</v>
      </c>
      <c r="E100" s="3" t="str">
        <f t="shared" si="1"/>
        <v>Sales</v>
      </c>
      <c r="F100" s="3" t="s">
        <v>105</v>
      </c>
      <c r="G100" s="3" t="s">
        <v>32</v>
      </c>
      <c r="H100" s="3" t="s">
        <v>19</v>
      </c>
      <c r="I100" s="3">
        <v>91290</v>
      </c>
      <c r="J100" s="3" t="s">
        <v>368</v>
      </c>
      <c r="K100" s="3">
        <v>3.1</v>
      </c>
      <c r="L100" s="3">
        <v>2.9</v>
      </c>
      <c r="M100" s="3" t="s">
        <v>35</v>
      </c>
      <c r="N100" s="7" t="s">
        <v>116</v>
      </c>
    </row>
    <row r="101" spans="1:14">
      <c r="A101" s="4" t="s">
        <v>369</v>
      </c>
      <c r="B101" s="4" t="s">
        <v>31</v>
      </c>
      <c r="C101" s="4" t="s">
        <v>62</v>
      </c>
      <c r="D101" s="4" t="s">
        <v>24</v>
      </c>
      <c r="E101" s="3" t="str">
        <f t="shared" si="1"/>
        <v>Design</v>
      </c>
      <c r="F101" s="4" t="s">
        <v>74</v>
      </c>
      <c r="G101" s="4" t="s">
        <v>32</v>
      </c>
      <c r="H101" s="4" t="s">
        <v>19</v>
      </c>
      <c r="I101" s="4">
        <v>109864</v>
      </c>
      <c r="J101" s="4" t="s">
        <v>370</v>
      </c>
      <c r="K101" s="4">
        <v>2.6</v>
      </c>
      <c r="L101" s="4">
        <v>2.5</v>
      </c>
      <c r="M101" s="4" t="s">
        <v>29</v>
      </c>
      <c r="N101" s="8" t="s">
        <v>276</v>
      </c>
    </row>
    <row r="102" spans="1:14">
      <c r="A102" s="3" t="s">
        <v>371</v>
      </c>
      <c r="B102" s="3" t="s">
        <v>372</v>
      </c>
      <c r="C102" s="3" t="s">
        <v>83</v>
      </c>
      <c r="D102" s="3" t="s">
        <v>39</v>
      </c>
      <c r="E102" s="3" t="str">
        <f t="shared" si="1"/>
        <v>Engineering</v>
      </c>
      <c r="F102" s="3" t="s">
        <v>242</v>
      </c>
      <c r="G102" s="3" t="s">
        <v>149</v>
      </c>
      <c r="H102" s="3" t="s">
        <v>19</v>
      </c>
      <c r="I102" s="3">
        <v>112692</v>
      </c>
      <c r="J102" s="3" t="s">
        <v>373</v>
      </c>
      <c r="K102" s="3">
        <v>6.8</v>
      </c>
      <c r="L102" s="3">
        <v>1.9</v>
      </c>
      <c r="M102" s="3" t="s">
        <v>29</v>
      </c>
      <c r="N102" s="7" t="s">
        <v>128</v>
      </c>
    </row>
    <row r="103" spans="1:14">
      <c r="A103" s="4" t="s">
        <v>374</v>
      </c>
      <c r="B103" s="4" t="s">
        <v>375</v>
      </c>
      <c r="C103" s="4" t="s">
        <v>57</v>
      </c>
      <c r="D103" s="4" t="s">
        <v>89</v>
      </c>
      <c r="E103" s="3" t="str">
        <f t="shared" si="1"/>
        <v>Data Science</v>
      </c>
      <c r="F103" s="4" t="s">
        <v>376</v>
      </c>
      <c r="G103" s="4" t="s">
        <v>70</v>
      </c>
      <c r="H103" s="4" t="s">
        <v>19</v>
      </c>
      <c r="I103" s="4">
        <v>176983</v>
      </c>
      <c r="J103" s="4" t="s">
        <v>355</v>
      </c>
      <c r="K103" s="4">
        <v>2.4</v>
      </c>
      <c r="L103" s="4">
        <v>3.4</v>
      </c>
      <c r="M103" s="4" t="s">
        <v>42</v>
      </c>
      <c r="N103" s="8" t="s">
        <v>361</v>
      </c>
    </row>
    <row r="104" spans="1:14">
      <c r="A104" s="3" t="s">
        <v>377</v>
      </c>
      <c r="B104" s="3" t="s">
        <v>378</v>
      </c>
      <c r="C104" s="3" t="s">
        <v>23</v>
      </c>
      <c r="D104" s="3" t="s">
        <v>39</v>
      </c>
      <c r="E104" s="3" t="str">
        <f t="shared" si="1"/>
        <v>Engineering</v>
      </c>
      <c r="F104" s="3" t="s">
        <v>79</v>
      </c>
      <c r="G104" s="3" t="s">
        <v>32</v>
      </c>
      <c r="H104" s="3" t="s">
        <v>19</v>
      </c>
      <c r="I104" s="3">
        <v>84562</v>
      </c>
      <c r="J104" s="3" t="s">
        <v>379</v>
      </c>
      <c r="K104" s="3">
        <v>2.4</v>
      </c>
      <c r="L104" s="3">
        <v>3.8</v>
      </c>
      <c r="M104" s="3" t="s">
        <v>29</v>
      </c>
      <c r="N104" s="7" t="s">
        <v>199</v>
      </c>
    </row>
    <row r="105" spans="1:14">
      <c r="A105" s="4" t="s">
        <v>380</v>
      </c>
      <c r="B105" s="4" t="s">
        <v>187</v>
      </c>
      <c r="C105" s="4" t="s">
        <v>23</v>
      </c>
      <c r="D105" s="4" t="s">
        <v>133</v>
      </c>
      <c r="E105" s="3" t="str">
        <f t="shared" si="1"/>
        <v>Qa</v>
      </c>
      <c r="F105" s="4" t="s">
        <v>153</v>
      </c>
      <c r="G105" s="4" t="s">
        <v>214</v>
      </c>
      <c r="H105" s="4" t="s">
        <v>33</v>
      </c>
      <c r="I105" s="4">
        <v>24064</v>
      </c>
      <c r="J105" s="4" t="s">
        <v>381</v>
      </c>
      <c r="K105" s="4">
        <v>4.7</v>
      </c>
      <c r="L105" s="4">
        <v>3</v>
      </c>
      <c r="M105" s="4" t="s">
        <v>35</v>
      </c>
      <c r="N105" s="8" t="s">
        <v>154</v>
      </c>
    </row>
    <row r="106" spans="1:14">
      <c r="A106" s="3" t="s">
        <v>382</v>
      </c>
      <c r="B106" s="3" t="s">
        <v>383</v>
      </c>
      <c r="C106" s="3" t="s">
        <v>23</v>
      </c>
      <c r="D106" s="3" t="s">
        <v>84</v>
      </c>
      <c r="E106" s="3" t="str">
        <f t="shared" si="1"/>
        <v>Hr</v>
      </c>
      <c r="F106" s="3" t="s">
        <v>138</v>
      </c>
      <c r="G106" s="3" t="s">
        <v>32</v>
      </c>
      <c r="H106" s="3" t="s">
        <v>47</v>
      </c>
      <c r="I106" s="3">
        <v>210235</v>
      </c>
      <c r="J106" s="3" t="s">
        <v>384</v>
      </c>
      <c r="K106" s="3">
        <v>3.3</v>
      </c>
      <c r="L106" s="3">
        <v>2.5</v>
      </c>
      <c r="M106" s="3" t="s">
        <v>35</v>
      </c>
      <c r="N106" s="7" t="s">
        <v>136</v>
      </c>
    </row>
    <row r="107" spans="1:14">
      <c r="A107" s="4" t="s">
        <v>385</v>
      </c>
      <c r="B107" s="4" t="s">
        <v>386</v>
      </c>
      <c r="C107" s="4" t="s">
        <v>57</v>
      </c>
      <c r="D107" s="4" t="s">
        <v>39</v>
      </c>
      <c r="E107" s="3" t="str">
        <f t="shared" si="1"/>
        <v>Engineering</v>
      </c>
      <c r="F107" s="4" t="s">
        <v>109</v>
      </c>
      <c r="G107" s="4" t="s">
        <v>75</v>
      </c>
      <c r="H107" s="4" t="s">
        <v>19</v>
      </c>
      <c r="I107" s="4">
        <v>117095</v>
      </c>
      <c r="J107" s="4" t="s">
        <v>387</v>
      </c>
      <c r="K107" s="4">
        <v>4.5999999999999996</v>
      </c>
      <c r="L107" s="4">
        <v>3.9</v>
      </c>
      <c r="M107" s="4" t="s">
        <v>42</v>
      </c>
      <c r="N107" s="8" t="s">
        <v>358</v>
      </c>
    </row>
    <row r="108" spans="1:14">
      <c r="A108" s="3" t="s">
        <v>388</v>
      </c>
      <c r="B108" s="3" t="s">
        <v>389</v>
      </c>
      <c r="C108" s="3" t="s">
        <v>15</v>
      </c>
      <c r="D108" s="3" t="s">
        <v>24</v>
      </c>
      <c r="E108" s="3" t="str">
        <f t="shared" si="1"/>
        <v>Design</v>
      </c>
      <c r="F108" s="3" t="s">
        <v>45</v>
      </c>
      <c r="G108" s="3" t="s">
        <v>46</v>
      </c>
      <c r="H108" s="3" t="s">
        <v>58</v>
      </c>
      <c r="I108" s="3">
        <v>185754</v>
      </c>
      <c r="J108" s="3" t="s">
        <v>293</v>
      </c>
      <c r="K108" s="3">
        <v>3.2</v>
      </c>
      <c r="L108" s="3">
        <v>4.3</v>
      </c>
      <c r="M108" s="3" t="s">
        <v>42</v>
      </c>
      <c r="N108" s="7" t="s">
        <v>160</v>
      </c>
    </row>
    <row r="109" spans="1:14">
      <c r="A109" s="4" t="s">
        <v>390</v>
      </c>
      <c r="B109" s="4" t="s">
        <v>391</v>
      </c>
      <c r="C109" s="4" t="s">
        <v>83</v>
      </c>
      <c r="D109" s="4" t="s">
        <v>176</v>
      </c>
      <c r="E109" s="3" t="str">
        <f t="shared" si="1"/>
        <v>Finance</v>
      </c>
      <c r="F109" s="4" t="s">
        <v>177</v>
      </c>
      <c r="G109" s="4" t="s">
        <v>46</v>
      </c>
      <c r="H109" s="4" t="s">
        <v>19</v>
      </c>
      <c r="I109" s="4">
        <v>84612</v>
      </c>
      <c r="J109" s="4" t="s">
        <v>392</v>
      </c>
      <c r="K109" s="4">
        <v>3.8</v>
      </c>
      <c r="L109" s="4">
        <v>3.7</v>
      </c>
      <c r="M109" s="4" t="s">
        <v>29</v>
      </c>
      <c r="N109" s="8" t="s">
        <v>308</v>
      </c>
    </row>
    <row r="110" spans="1:14">
      <c r="A110" s="3" t="s">
        <v>393</v>
      </c>
      <c r="B110" s="3" t="s">
        <v>297</v>
      </c>
      <c r="C110" s="3" t="s">
        <v>62</v>
      </c>
      <c r="D110" s="3" t="s">
        <v>176</v>
      </c>
      <c r="E110" s="3" t="str">
        <f t="shared" si="1"/>
        <v>Finance</v>
      </c>
      <c r="F110" s="3" t="s">
        <v>359</v>
      </c>
      <c r="G110" s="3" t="s">
        <v>70</v>
      </c>
      <c r="H110" s="3" t="s">
        <v>19</v>
      </c>
      <c r="I110" s="3">
        <v>32915</v>
      </c>
      <c r="J110" s="3" t="s">
        <v>394</v>
      </c>
      <c r="K110" s="3">
        <v>5.7</v>
      </c>
      <c r="L110" s="3">
        <v>3.1</v>
      </c>
      <c r="M110" s="3" t="s">
        <v>35</v>
      </c>
      <c r="N110" s="7" t="s">
        <v>234</v>
      </c>
    </row>
    <row r="111" spans="1:14">
      <c r="A111" s="4" t="s">
        <v>395</v>
      </c>
      <c r="B111" s="4" t="s">
        <v>354</v>
      </c>
      <c r="C111" s="4" t="s">
        <v>23</v>
      </c>
      <c r="D111" s="4" t="s">
        <v>133</v>
      </c>
      <c r="E111" s="3" t="str">
        <f t="shared" si="1"/>
        <v>Qa</v>
      </c>
      <c r="F111" s="4" t="s">
        <v>162</v>
      </c>
      <c r="G111" s="4" t="s">
        <v>214</v>
      </c>
      <c r="H111" s="4" t="s">
        <v>33</v>
      </c>
      <c r="I111" s="4">
        <v>45809</v>
      </c>
      <c r="J111" s="4" t="s">
        <v>396</v>
      </c>
      <c r="K111" s="4">
        <v>5.0999999999999996</v>
      </c>
      <c r="L111" s="4">
        <v>4</v>
      </c>
      <c r="M111" s="4" t="s">
        <v>35</v>
      </c>
      <c r="N111" s="8" t="s">
        <v>92</v>
      </c>
    </row>
    <row r="112" spans="1:14">
      <c r="A112" s="3" t="s">
        <v>397</v>
      </c>
      <c r="B112" s="3" t="s">
        <v>398</v>
      </c>
      <c r="C112" s="3" t="s">
        <v>15</v>
      </c>
      <c r="D112" s="3" t="s">
        <v>118</v>
      </c>
      <c r="E112" s="3" t="str">
        <f t="shared" si="1"/>
        <v>Marketing</v>
      </c>
      <c r="F112" s="3" t="s">
        <v>119</v>
      </c>
      <c r="G112" s="3" t="s">
        <v>70</v>
      </c>
      <c r="H112" s="3" t="s">
        <v>27</v>
      </c>
      <c r="I112" s="3">
        <v>190882</v>
      </c>
      <c r="J112" s="3" t="s">
        <v>399</v>
      </c>
      <c r="K112" s="3">
        <v>3.7</v>
      </c>
      <c r="L112" s="3">
        <v>4.5</v>
      </c>
      <c r="M112" s="3" t="s">
        <v>35</v>
      </c>
      <c r="N112" s="7" t="s">
        <v>356</v>
      </c>
    </row>
    <row r="113" spans="1:14">
      <c r="A113" s="4" t="s">
        <v>400</v>
      </c>
      <c r="B113" s="4" t="s">
        <v>401</v>
      </c>
      <c r="C113" s="4" t="s">
        <v>62</v>
      </c>
      <c r="D113" s="4" t="s">
        <v>51</v>
      </c>
      <c r="E113" s="3" t="str">
        <f t="shared" si="1"/>
        <v>Sales</v>
      </c>
      <c r="F113" s="4" t="s">
        <v>105</v>
      </c>
      <c r="G113" s="4" t="s">
        <v>114</v>
      </c>
      <c r="H113" s="4" t="s">
        <v>19</v>
      </c>
      <c r="I113" s="4">
        <v>144317</v>
      </c>
      <c r="J113" s="4" t="s">
        <v>402</v>
      </c>
      <c r="K113" s="4">
        <v>6.8</v>
      </c>
      <c r="L113" s="4">
        <v>4.8</v>
      </c>
      <c r="M113" s="4" t="s">
        <v>35</v>
      </c>
      <c r="N113" s="8" t="s">
        <v>346</v>
      </c>
    </row>
    <row r="114" spans="1:14">
      <c r="A114" s="3" t="s">
        <v>403</v>
      </c>
      <c r="B114" s="3" t="s">
        <v>404</v>
      </c>
      <c r="C114" s="3" t="s">
        <v>38</v>
      </c>
      <c r="D114" s="3" t="s">
        <v>118</v>
      </c>
      <c r="E114" s="3" t="str">
        <f t="shared" si="1"/>
        <v>Marketing</v>
      </c>
      <c r="F114" s="3" t="s">
        <v>181</v>
      </c>
      <c r="G114" s="3" t="s">
        <v>46</v>
      </c>
      <c r="H114" s="3" t="s">
        <v>33</v>
      </c>
      <c r="I114" s="3">
        <v>46613</v>
      </c>
      <c r="J114" s="3" t="s">
        <v>405</v>
      </c>
      <c r="K114" s="3">
        <v>4.7</v>
      </c>
      <c r="L114" s="3">
        <v>3.8</v>
      </c>
      <c r="M114" s="3" t="s">
        <v>42</v>
      </c>
      <c r="N114" s="7" t="s">
        <v>371</v>
      </c>
    </row>
    <row r="115" spans="1:14">
      <c r="A115" s="4" t="s">
        <v>406</v>
      </c>
      <c r="B115" s="4" t="s">
        <v>73</v>
      </c>
      <c r="C115" s="4" t="s">
        <v>83</v>
      </c>
      <c r="D115" s="4" t="s">
        <v>51</v>
      </c>
      <c r="E115" s="3" t="str">
        <f t="shared" si="1"/>
        <v>Sales</v>
      </c>
      <c r="F115" s="4" t="s">
        <v>69</v>
      </c>
      <c r="G115" s="4" t="s">
        <v>65</v>
      </c>
      <c r="H115" s="4" t="s">
        <v>19</v>
      </c>
      <c r="I115" s="4">
        <v>49155</v>
      </c>
      <c r="J115" s="4" t="s">
        <v>407</v>
      </c>
      <c r="K115" s="4">
        <v>1.8</v>
      </c>
      <c r="L115" s="4"/>
      <c r="M115" s="4" t="s">
        <v>35</v>
      </c>
      <c r="N115" s="8" t="s">
        <v>92</v>
      </c>
    </row>
    <row r="116" spans="1:14">
      <c r="A116" s="3" t="s">
        <v>408</v>
      </c>
      <c r="B116" s="3" t="s">
        <v>409</v>
      </c>
      <c r="C116" s="3" t="s">
        <v>38</v>
      </c>
      <c r="D116" s="3" t="s">
        <v>410</v>
      </c>
      <c r="E116" s="3" t="str">
        <f t="shared" si="1"/>
        <v>Sales</v>
      </c>
      <c r="F116" s="3" t="s">
        <v>105</v>
      </c>
      <c r="G116" s="3" t="s">
        <v>26</v>
      </c>
      <c r="H116" s="3" t="s">
        <v>33</v>
      </c>
      <c r="I116" s="3">
        <v>153126</v>
      </c>
      <c r="J116" s="3" t="s">
        <v>411</v>
      </c>
      <c r="K116" s="3">
        <v>6.7</v>
      </c>
      <c r="L116" s="3">
        <v>4.7</v>
      </c>
      <c r="M116" s="3" t="s">
        <v>42</v>
      </c>
      <c r="N116" s="7" t="s">
        <v>348</v>
      </c>
    </row>
    <row r="117" spans="1:14">
      <c r="A117" s="4" t="s">
        <v>412</v>
      </c>
      <c r="B117" s="4" t="s">
        <v>413</v>
      </c>
      <c r="C117" s="4" t="s">
        <v>57</v>
      </c>
      <c r="D117" s="4" t="s">
        <v>414</v>
      </c>
      <c r="E117" s="3" t="str">
        <f t="shared" si="1"/>
        <v>Devops</v>
      </c>
      <c r="F117" s="4" t="s">
        <v>17</v>
      </c>
      <c r="G117" s="4" t="s">
        <v>214</v>
      </c>
      <c r="H117" s="4" t="s">
        <v>33</v>
      </c>
      <c r="I117" s="4">
        <v>107461</v>
      </c>
      <c r="J117" s="4" t="s">
        <v>415</v>
      </c>
      <c r="K117" s="4">
        <v>6.8</v>
      </c>
      <c r="L117" s="4">
        <v>3.1</v>
      </c>
      <c r="M117" s="4" t="s">
        <v>35</v>
      </c>
      <c r="N117" s="8" t="s">
        <v>369</v>
      </c>
    </row>
    <row r="118" spans="1:14">
      <c r="A118" s="3" t="s">
        <v>416</v>
      </c>
      <c r="B118" s="3" t="s">
        <v>417</v>
      </c>
      <c r="C118" s="3" t="s">
        <v>57</v>
      </c>
      <c r="D118" s="3" t="s">
        <v>24</v>
      </c>
      <c r="E118" s="3" t="str">
        <f t="shared" si="1"/>
        <v>Design</v>
      </c>
      <c r="F118" s="3" t="s">
        <v>25</v>
      </c>
      <c r="G118" s="3" t="s">
        <v>214</v>
      </c>
      <c r="H118" s="3" t="s">
        <v>19</v>
      </c>
      <c r="I118" s="3">
        <v>145043</v>
      </c>
      <c r="J118" s="3" t="s">
        <v>418</v>
      </c>
      <c r="K118" s="3">
        <v>7</v>
      </c>
      <c r="L118" s="3">
        <v>3.8</v>
      </c>
      <c r="M118" s="3" t="s">
        <v>35</v>
      </c>
      <c r="N118" s="7" t="s">
        <v>265</v>
      </c>
    </row>
    <row r="119" spans="1:14">
      <c r="A119" s="4" t="s">
        <v>419</v>
      </c>
      <c r="B119" s="4" t="s">
        <v>420</v>
      </c>
      <c r="C119" s="4" t="s">
        <v>23</v>
      </c>
      <c r="D119" s="4" t="s">
        <v>84</v>
      </c>
      <c r="E119" s="3" t="str">
        <f t="shared" si="1"/>
        <v>Hr</v>
      </c>
      <c r="F119" s="4" t="s">
        <v>204</v>
      </c>
      <c r="G119" s="4" t="s">
        <v>75</v>
      </c>
      <c r="H119" s="4" t="s">
        <v>33</v>
      </c>
      <c r="I119" s="4">
        <v>58648</v>
      </c>
      <c r="J119" s="4" t="s">
        <v>421</v>
      </c>
      <c r="K119" s="4">
        <v>4.3</v>
      </c>
      <c r="L119" s="4">
        <v>2.4</v>
      </c>
      <c r="M119" s="4" t="s">
        <v>29</v>
      </c>
      <c r="N119" s="8" t="s">
        <v>13</v>
      </c>
    </row>
    <row r="120" spans="1:14">
      <c r="A120" s="3" t="s">
        <v>422</v>
      </c>
      <c r="B120" s="3" t="s">
        <v>398</v>
      </c>
      <c r="C120" s="3" t="s">
        <v>62</v>
      </c>
      <c r="D120" s="3" t="s">
        <v>51</v>
      </c>
      <c r="E120" s="3" t="str">
        <f t="shared" si="1"/>
        <v>Sales</v>
      </c>
      <c r="F120" s="3" t="s">
        <v>105</v>
      </c>
      <c r="G120" s="3" t="s">
        <v>114</v>
      </c>
      <c r="H120" s="3" t="s">
        <v>33</v>
      </c>
      <c r="I120" s="3">
        <v>66700</v>
      </c>
      <c r="J120" s="3" t="s">
        <v>423</v>
      </c>
      <c r="K120" s="3">
        <v>6.4</v>
      </c>
      <c r="L120" s="3">
        <v>3.3</v>
      </c>
      <c r="M120" s="3" t="s">
        <v>29</v>
      </c>
      <c r="N120" s="7" t="s">
        <v>240</v>
      </c>
    </row>
    <row r="121" spans="1:14">
      <c r="A121" s="4" t="s">
        <v>424</v>
      </c>
      <c r="B121" s="4" t="s">
        <v>425</v>
      </c>
      <c r="C121" s="4" t="s">
        <v>62</v>
      </c>
      <c r="D121" s="4" t="s">
        <v>24</v>
      </c>
      <c r="E121" s="3" t="str">
        <f t="shared" si="1"/>
        <v>Design</v>
      </c>
      <c r="F121" s="4" t="s">
        <v>25</v>
      </c>
      <c r="G121" s="4" t="s">
        <v>70</v>
      </c>
      <c r="H121" s="4" t="s">
        <v>27</v>
      </c>
      <c r="I121" s="4">
        <v>103329</v>
      </c>
      <c r="J121" s="4" t="s">
        <v>426</v>
      </c>
      <c r="K121" s="4">
        <v>2.2999999999999998</v>
      </c>
      <c r="L121" s="4">
        <v>2.5</v>
      </c>
      <c r="M121" s="4" t="s">
        <v>35</v>
      </c>
      <c r="N121" s="8" t="s">
        <v>369</v>
      </c>
    </row>
    <row r="122" spans="1:14">
      <c r="A122" s="3" t="s">
        <v>427</v>
      </c>
      <c r="B122" s="3" t="s">
        <v>428</v>
      </c>
      <c r="C122" s="3" t="s">
        <v>62</v>
      </c>
      <c r="D122" s="3" t="s">
        <v>118</v>
      </c>
      <c r="E122" s="3" t="str">
        <f t="shared" si="1"/>
        <v>Marketing</v>
      </c>
      <c r="F122" s="3" t="s">
        <v>119</v>
      </c>
      <c r="G122" s="3" t="s">
        <v>75</v>
      </c>
      <c r="H122" s="3" t="s">
        <v>19</v>
      </c>
      <c r="I122" s="3">
        <v>175475</v>
      </c>
      <c r="J122" s="3" t="s">
        <v>429</v>
      </c>
      <c r="K122" s="3">
        <v>2.7</v>
      </c>
      <c r="L122" s="3">
        <v>2.6</v>
      </c>
      <c r="M122" s="3" t="s">
        <v>35</v>
      </c>
      <c r="N122" s="7" t="s">
        <v>366</v>
      </c>
    </row>
    <row r="123" spans="1:14">
      <c r="A123" s="4" t="s">
        <v>430</v>
      </c>
      <c r="B123" s="4" t="s">
        <v>180</v>
      </c>
      <c r="C123" s="4" t="s">
        <v>23</v>
      </c>
      <c r="D123" s="4" t="s">
        <v>118</v>
      </c>
      <c r="E123" s="3" t="str">
        <f t="shared" si="1"/>
        <v>Marketing</v>
      </c>
      <c r="F123" s="4" t="s">
        <v>119</v>
      </c>
      <c r="G123" s="4" t="s">
        <v>214</v>
      </c>
      <c r="H123" s="4" t="s">
        <v>47</v>
      </c>
      <c r="I123" s="4">
        <v>207513</v>
      </c>
      <c r="J123" s="4" t="s">
        <v>431</v>
      </c>
      <c r="K123" s="4">
        <v>4.0999999999999996</v>
      </c>
      <c r="L123" s="4">
        <v>4.7</v>
      </c>
      <c r="M123" s="4" t="s">
        <v>42</v>
      </c>
      <c r="N123" s="8" t="s">
        <v>154</v>
      </c>
    </row>
    <row r="124" spans="1:14">
      <c r="A124" s="3" t="s">
        <v>432</v>
      </c>
      <c r="B124" s="3" t="s">
        <v>433</v>
      </c>
      <c r="C124" s="3" t="s">
        <v>15</v>
      </c>
      <c r="D124" s="3" t="s">
        <v>89</v>
      </c>
      <c r="E124" s="3" t="str">
        <f t="shared" si="1"/>
        <v>Data Science</v>
      </c>
      <c r="F124" s="3" t="s">
        <v>113</v>
      </c>
      <c r="G124" s="3" t="s">
        <v>65</v>
      </c>
      <c r="H124" s="3" t="s">
        <v>19</v>
      </c>
      <c r="I124" s="3">
        <v>130003</v>
      </c>
      <c r="J124" s="3" t="s">
        <v>332</v>
      </c>
      <c r="K124" s="3">
        <v>3.9</v>
      </c>
      <c r="L124" s="3">
        <v>1.9</v>
      </c>
      <c r="M124" s="3" t="s">
        <v>29</v>
      </c>
      <c r="N124" s="7" t="s">
        <v>192</v>
      </c>
    </row>
    <row r="125" spans="1:14">
      <c r="A125" s="4" t="s">
        <v>434</v>
      </c>
      <c r="B125" s="4" t="s">
        <v>435</v>
      </c>
      <c r="C125" s="4" t="s">
        <v>62</v>
      </c>
      <c r="D125" s="4" t="s">
        <v>176</v>
      </c>
      <c r="E125" s="3" t="str">
        <f t="shared" si="1"/>
        <v>Finance</v>
      </c>
      <c r="F125" s="4" t="s">
        <v>177</v>
      </c>
      <c r="G125" s="4" t="s">
        <v>149</v>
      </c>
      <c r="H125" s="4" t="s">
        <v>19</v>
      </c>
      <c r="I125" s="4">
        <v>43422</v>
      </c>
      <c r="J125" s="4" t="s">
        <v>436</v>
      </c>
      <c r="K125" s="4">
        <v>0.9</v>
      </c>
      <c r="L125" s="4">
        <v>3.8</v>
      </c>
      <c r="M125" s="4" t="s">
        <v>42</v>
      </c>
      <c r="N125" s="8" t="s">
        <v>128</v>
      </c>
    </row>
    <row r="126" spans="1:14">
      <c r="A126" s="3" t="s">
        <v>437</v>
      </c>
      <c r="B126" s="3" t="s">
        <v>413</v>
      </c>
      <c r="C126" s="3" t="s">
        <v>83</v>
      </c>
      <c r="D126" s="3" t="s">
        <v>118</v>
      </c>
      <c r="E126" s="3" t="str">
        <f t="shared" si="1"/>
        <v>Marketing</v>
      </c>
      <c r="F126" s="3" t="s">
        <v>119</v>
      </c>
      <c r="G126" s="3" t="s">
        <v>53</v>
      </c>
      <c r="H126" s="3" t="s">
        <v>27</v>
      </c>
      <c r="I126" s="3">
        <v>169094</v>
      </c>
      <c r="J126" s="3" t="s">
        <v>438</v>
      </c>
      <c r="K126" s="3">
        <v>0.5</v>
      </c>
      <c r="L126" s="3">
        <v>3.8</v>
      </c>
      <c r="M126" s="3" t="s">
        <v>35</v>
      </c>
      <c r="N126" s="7" t="s">
        <v>67</v>
      </c>
    </row>
    <row r="127" spans="1:14">
      <c r="A127" s="4" t="s">
        <v>439</v>
      </c>
      <c r="B127" s="4" t="s">
        <v>440</v>
      </c>
      <c r="C127" s="4" t="s">
        <v>15</v>
      </c>
      <c r="D127" s="4" t="s">
        <v>118</v>
      </c>
      <c r="E127" s="3" t="str">
        <f t="shared" si="1"/>
        <v>Marketing</v>
      </c>
      <c r="F127" s="4" t="s">
        <v>254</v>
      </c>
      <c r="G127" s="4" t="s">
        <v>26</v>
      </c>
      <c r="H127" s="4" t="s">
        <v>19</v>
      </c>
      <c r="I127" s="4">
        <v>171587</v>
      </c>
      <c r="J127" s="4" t="s">
        <v>441</v>
      </c>
      <c r="K127" s="4">
        <v>5.4</v>
      </c>
      <c r="L127" s="4">
        <v>3.4</v>
      </c>
      <c r="M127" s="4" t="s">
        <v>35</v>
      </c>
      <c r="N127" s="8" t="s">
        <v>333</v>
      </c>
    </row>
    <row r="128" spans="1:14">
      <c r="A128" s="3" t="s">
        <v>442</v>
      </c>
      <c r="B128" s="3" t="s">
        <v>443</v>
      </c>
      <c r="C128" s="3" t="s">
        <v>83</v>
      </c>
      <c r="D128" s="3" t="s">
        <v>39</v>
      </c>
      <c r="E128" s="3" t="str">
        <f t="shared" si="1"/>
        <v>Engineering</v>
      </c>
      <c r="F128" s="3" t="s">
        <v>79</v>
      </c>
      <c r="G128" s="3" t="s">
        <v>70</v>
      </c>
      <c r="H128" s="3" t="s">
        <v>19</v>
      </c>
      <c r="I128" s="3">
        <v>134602</v>
      </c>
      <c r="J128" s="3" t="s">
        <v>444</v>
      </c>
      <c r="K128" s="3">
        <v>3.4</v>
      </c>
      <c r="L128" s="3">
        <v>4.4000000000000004</v>
      </c>
      <c r="M128" s="3" t="s">
        <v>35</v>
      </c>
      <c r="N128" s="7" t="s">
        <v>369</v>
      </c>
    </row>
    <row r="129" spans="1:14">
      <c r="A129" s="4" t="s">
        <v>445</v>
      </c>
      <c r="B129" s="4" t="s">
        <v>446</v>
      </c>
      <c r="C129" s="4" t="s">
        <v>57</v>
      </c>
      <c r="D129" s="4" t="s">
        <v>118</v>
      </c>
      <c r="E129" s="3" t="str">
        <f t="shared" si="1"/>
        <v>Marketing</v>
      </c>
      <c r="F129" s="4" t="s">
        <v>181</v>
      </c>
      <c r="G129" s="4" t="s">
        <v>114</v>
      </c>
      <c r="H129" s="4" t="s">
        <v>47</v>
      </c>
      <c r="I129" s="4">
        <v>75928</v>
      </c>
      <c r="J129" s="4" t="s">
        <v>447</v>
      </c>
      <c r="K129" s="4">
        <v>4.8</v>
      </c>
      <c r="L129" s="4"/>
      <c r="M129" s="4" t="s">
        <v>35</v>
      </c>
      <c r="N129" s="8" t="s">
        <v>274</v>
      </c>
    </row>
    <row r="130" spans="1:14">
      <c r="A130" s="3" t="s">
        <v>448</v>
      </c>
      <c r="B130" s="3" t="s">
        <v>449</v>
      </c>
      <c r="C130" s="3" t="s">
        <v>83</v>
      </c>
      <c r="D130" s="3" t="s">
        <v>89</v>
      </c>
      <c r="E130" s="3" t="str">
        <f t="shared" si="1"/>
        <v>Data Science</v>
      </c>
      <c r="F130" s="3" t="s">
        <v>221</v>
      </c>
      <c r="G130" s="3" t="s">
        <v>46</v>
      </c>
      <c r="H130" s="3" t="s">
        <v>19</v>
      </c>
      <c r="I130" s="3">
        <v>169926</v>
      </c>
      <c r="J130" s="3" t="s">
        <v>450</v>
      </c>
      <c r="K130" s="3">
        <v>4.3</v>
      </c>
      <c r="L130" s="3">
        <v>4.5999999999999996</v>
      </c>
      <c r="M130" s="3" t="s">
        <v>35</v>
      </c>
      <c r="N130" s="7" t="s">
        <v>160</v>
      </c>
    </row>
    <row r="131" spans="1:14">
      <c r="A131" s="4" t="s">
        <v>451</v>
      </c>
      <c r="B131" s="4" t="s">
        <v>452</v>
      </c>
      <c r="C131" s="4" t="s">
        <v>15</v>
      </c>
      <c r="D131" s="4" t="s">
        <v>176</v>
      </c>
      <c r="E131" s="3" t="str">
        <f t="shared" ref="E131:E194" si="2">PROPER(D131)</f>
        <v>Finance</v>
      </c>
      <c r="F131" s="4" t="s">
        <v>177</v>
      </c>
      <c r="G131" s="4" t="s">
        <v>149</v>
      </c>
      <c r="H131" s="4" t="s">
        <v>19</v>
      </c>
      <c r="I131" s="4">
        <v>33691</v>
      </c>
      <c r="J131" s="4" t="s">
        <v>453</v>
      </c>
      <c r="K131" s="4">
        <v>1.7</v>
      </c>
      <c r="L131" s="4">
        <v>1.7</v>
      </c>
      <c r="M131" s="4" t="s">
        <v>35</v>
      </c>
      <c r="N131" s="8" t="s">
        <v>408</v>
      </c>
    </row>
    <row r="132" spans="1:14">
      <c r="A132" s="3" t="s">
        <v>454</v>
      </c>
      <c r="B132" s="3" t="s">
        <v>435</v>
      </c>
      <c r="C132" s="3" t="s">
        <v>15</v>
      </c>
      <c r="D132" s="3" t="s">
        <v>118</v>
      </c>
      <c r="E132" s="3" t="str">
        <f t="shared" si="2"/>
        <v>Marketing</v>
      </c>
      <c r="F132" s="3" t="s">
        <v>254</v>
      </c>
      <c r="G132" s="3" t="s">
        <v>32</v>
      </c>
      <c r="H132" s="3" t="s">
        <v>27</v>
      </c>
      <c r="I132" s="3">
        <v>45224</v>
      </c>
      <c r="J132" s="3" t="s">
        <v>455</v>
      </c>
      <c r="K132" s="3">
        <v>6.6</v>
      </c>
      <c r="L132" s="3">
        <v>1.7</v>
      </c>
      <c r="M132" s="3" t="s">
        <v>35</v>
      </c>
      <c r="N132" s="7" t="s">
        <v>406</v>
      </c>
    </row>
    <row r="133" spans="1:14">
      <c r="A133" s="4" t="s">
        <v>456</v>
      </c>
      <c r="B133" s="4" t="s">
        <v>457</v>
      </c>
      <c r="C133" s="4" t="s">
        <v>23</v>
      </c>
      <c r="D133" s="4" t="s">
        <v>24</v>
      </c>
      <c r="E133" s="3" t="str">
        <f t="shared" si="2"/>
        <v>Design</v>
      </c>
      <c r="F133" s="4" t="s">
        <v>74</v>
      </c>
      <c r="G133" s="4" t="s">
        <v>149</v>
      </c>
      <c r="H133" s="4" t="s">
        <v>19</v>
      </c>
      <c r="I133" s="4">
        <v>60261</v>
      </c>
      <c r="J133" s="4" t="s">
        <v>458</v>
      </c>
      <c r="K133" s="4">
        <v>6.9</v>
      </c>
      <c r="L133" s="4">
        <v>3.2</v>
      </c>
      <c r="M133" s="4" t="s">
        <v>35</v>
      </c>
      <c r="N133" s="8" t="s">
        <v>151</v>
      </c>
    </row>
    <row r="134" spans="1:14">
      <c r="A134" s="3" t="s">
        <v>459</v>
      </c>
      <c r="B134" s="3" t="s">
        <v>460</v>
      </c>
      <c r="C134" s="3" t="s">
        <v>83</v>
      </c>
      <c r="D134" s="3" t="s">
        <v>118</v>
      </c>
      <c r="E134" s="3" t="str">
        <f t="shared" si="2"/>
        <v>Marketing</v>
      </c>
      <c r="F134" s="3" t="s">
        <v>119</v>
      </c>
      <c r="G134" s="3" t="s">
        <v>18</v>
      </c>
      <c r="H134" s="3" t="s">
        <v>58</v>
      </c>
      <c r="I134" s="3">
        <v>195850</v>
      </c>
      <c r="J134" s="3" t="s">
        <v>461</v>
      </c>
      <c r="K134" s="3">
        <v>6.3</v>
      </c>
      <c r="L134" s="3">
        <v>2.9</v>
      </c>
      <c r="M134" s="3" t="s">
        <v>29</v>
      </c>
      <c r="N134" s="7" t="s">
        <v>388</v>
      </c>
    </row>
    <row r="135" spans="1:14">
      <c r="A135" s="4" t="s">
        <v>462</v>
      </c>
      <c r="B135" s="4" t="s">
        <v>404</v>
      </c>
      <c r="C135" s="4" t="s">
        <v>83</v>
      </c>
      <c r="D135" s="4" t="s">
        <v>133</v>
      </c>
      <c r="E135" s="3" t="str">
        <f t="shared" si="2"/>
        <v>Qa</v>
      </c>
      <c r="F135" s="4" t="s">
        <v>162</v>
      </c>
      <c r="G135" s="4" t="s">
        <v>53</v>
      </c>
      <c r="H135" s="4" t="s">
        <v>47</v>
      </c>
      <c r="I135" s="4">
        <v>172635</v>
      </c>
      <c r="J135" s="4" t="s">
        <v>463</v>
      </c>
      <c r="K135" s="4">
        <v>3</v>
      </c>
      <c r="L135" s="4">
        <v>2.6</v>
      </c>
      <c r="M135" s="4" t="s">
        <v>35</v>
      </c>
      <c r="N135" s="8" t="s">
        <v>459</v>
      </c>
    </row>
    <row r="136" spans="1:14">
      <c r="A136" s="3" t="s">
        <v>464</v>
      </c>
      <c r="B136" s="3" t="s">
        <v>465</v>
      </c>
      <c r="C136" s="3" t="s">
        <v>15</v>
      </c>
      <c r="D136" s="3" t="s">
        <v>118</v>
      </c>
      <c r="E136" s="3" t="str">
        <f t="shared" si="2"/>
        <v>Marketing</v>
      </c>
      <c r="F136" s="3" t="s">
        <v>119</v>
      </c>
      <c r="G136" s="3" t="s">
        <v>46</v>
      </c>
      <c r="H136" s="3" t="s">
        <v>19</v>
      </c>
      <c r="I136" s="3">
        <v>91791</v>
      </c>
      <c r="J136" s="3" t="s">
        <v>466</v>
      </c>
      <c r="K136" s="3">
        <v>5.8</v>
      </c>
      <c r="L136" s="3">
        <v>1.9</v>
      </c>
      <c r="M136" s="3" t="s">
        <v>35</v>
      </c>
      <c r="N136" s="7" t="s">
        <v>316</v>
      </c>
    </row>
    <row r="137" spans="1:14">
      <c r="A137" s="4" t="s">
        <v>467</v>
      </c>
      <c r="B137" s="4" t="s">
        <v>468</v>
      </c>
      <c r="C137" s="4" t="s">
        <v>38</v>
      </c>
      <c r="D137" s="4" t="s">
        <v>89</v>
      </c>
      <c r="E137" s="3" t="str">
        <f t="shared" si="2"/>
        <v>Data Science</v>
      </c>
      <c r="F137" s="4" t="s">
        <v>376</v>
      </c>
      <c r="G137" s="4" t="s">
        <v>172</v>
      </c>
      <c r="H137" s="4" t="s">
        <v>58</v>
      </c>
      <c r="I137" s="4">
        <v>75944</v>
      </c>
      <c r="J137" s="4" t="s">
        <v>469</v>
      </c>
      <c r="K137" s="4">
        <v>2.2999999999999998</v>
      </c>
      <c r="L137" s="4">
        <v>1.6</v>
      </c>
      <c r="M137" s="4" t="s">
        <v>35</v>
      </c>
      <c r="N137" s="8" t="s">
        <v>100</v>
      </c>
    </row>
    <row r="138" spans="1:14">
      <c r="A138" s="3" t="s">
        <v>470</v>
      </c>
      <c r="B138" s="3" t="s">
        <v>471</v>
      </c>
      <c r="C138" s="3" t="s">
        <v>15</v>
      </c>
      <c r="D138" s="3" t="s">
        <v>176</v>
      </c>
      <c r="E138" s="3" t="str">
        <f t="shared" si="2"/>
        <v>Finance</v>
      </c>
      <c r="F138" s="3" t="s">
        <v>359</v>
      </c>
      <c r="G138" s="3" t="s">
        <v>149</v>
      </c>
      <c r="H138" s="3" t="s">
        <v>19</v>
      </c>
      <c r="I138" s="3">
        <v>63115</v>
      </c>
      <c r="J138" s="3" t="s">
        <v>472</v>
      </c>
      <c r="K138" s="3">
        <v>2.1</v>
      </c>
      <c r="L138" s="3">
        <v>1.7</v>
      </c>
      <c r="M138" s="3" t="s">
        <v>35</v>
      </c>
      <c r="N138" s="7" t="s">
        <v>319</v>
      </c>
    </row>
    <row r="139" spans="1:14">
      <c r="A139" s="4" t="s">
        <v>473</v>
      </c>
      <c r="B139" s="4" t="s">
        <v>272</v>
      </c>
      <c r="C139" s="4" t="s">
        <v>83</v>
      </c>
      <c r="D139" s="4" t="s">
        <v>63</v>
      </c>
      <c r="E139" s="3" t="str">
        <f t="shared" si="2"/>
        <v>Product</v>
      </c>
      <c r="F139" s="4" t="s">
        <v>64</v>
      </c>
      <c r="G139" s="4" t="s">
        <v>18</v>
      </c>
      <c r="H139" s="4" t="s">
        <v>47</v>
      </c>
      <c r="I139" s="4">
        <v>190530</v>
      </c>
      <c r="J139" s="4" t="s">
        <v>474</v>
      </c>
      <c r="K139" s="4">
        <v>0.9</v>
      </c>
      <c r="L139" s="4">
        <v>2.4</v>
      </c>
      <c r="M139" s="4" t="s">
        <v>29</v>
      </c>
      <c r="N139" s="8" t="s">
        <v>351</v>
      </c>
    </row>
    <row r="140" spans="1:14">
      <c r="A140" s="3" t="s">
        <v>475</v>
      </c>
      <c r="B140" s="3" t="s">
        <v>476</v>
      </c>
      <c r="C140" s="3" t="s">
        <v>83</v>
      </c>
      <c r="D140" s="3" t="s">
        <v>257</v>
      </c>
      <c r="E140" s="3" t="str">
        <f t="shared" si="2"/>
        <v>Design</v>
      </c>
      <c r="F140" s="3" t="s">
        <v>45</v>
      </c>
      <c r="G140" s="3" t="s">
        <v>114</v>
      </c>
      <c r="H140" s="3" t="s">
        <v>19</v>
      </c>
      <c r="I140" s="3">
        <v>56860</v>
      </c>
      <c r="J140" s="3" t="s">
        <v>477</v>
      </c>
      <c r="K140" s="3">
        <v>0.9</v>
      </c>
      <c r="L140" s="3"/>
      <c r="M140" s="3" t="s">
        <v>42</v>
      </c>
      <c r="N140" s="7" t="s">
        <v>231</v>
      </c>
    </row>
    <row r="141" spans="1:14">
      <c r="A141" s="4" t="s">
        <v>478</v>
      </c>
      <c r="B141" s="4" t="s">
        <v>479</v>
      </c>
      <c r="C141" s="4" t="s">
        <v>23</v>
      </c>
      <c r="D141" s="4" t="s">
        <v>84</v>
      </c>
      <c r="E141" s="3" t="str">
        <f t="shared" si="2"/>
        <v>Hr</v>
      </c>
      <c r="F141" s="4" t="s">
        <v>85</v>
      </c>
      <c r="G141" s="4" t="s">
        <v>114</v>
      </c>
      <c r="H141" s="4" t="s">
        <v>19</v>
      </c>
      <c r="I141" s="4">
        <v>174126</v>
      </c>
      <c r="J141" s="4" t="s">
        <v>480</v>
      </c>
      <c r="K141" s="4">
        <v>1.3</v>
      </c>
      <c r="L141" s="4">
        <v>2.8</v>
      </c>
      <c r="M141" s="4" t="s">
        <v>35</v>
      </c>
      <c r="N141" s="8" t="s">
        <v>271</v>
      </c>
    </row>
    <row r="142" spans="1:14">
      <c r="A142" s="3" t="s">
        <v>481</v>
      </c>
      <c r="B142" s="3" t="s">
        <v>482</v>
      </c>
      <c r="C142" s="3" t="s">
        <v>62</v>
      </c>
      <c r="D142" s="3" t="s">
        <v>89</v>
      </c>
      <c r="E142" s="3" t="str">
        <f t="shared" si="2"/>
        <v>Data Science</v>
      </c>
      <c r="F142" s="3" t="s">
        <v>90</v>
      </c>
      <c r="G142" s="3" t="s">
        <v>149</v>
      </c>
      <c r="H142" s="3" t="s">
        <v>19</v>
      </c>
      <c r="I142" s="3">
        <v>149593</v>
      </c>
      <c r="J142" s="3" t="s">
        <v>483</v>
      </c>
      <c r="K142" s="3">
        <v>3.9</v>
      </c>
      <c r="L142" s="3">
        <v>4.2</v>
      </c>
      <c r="M142" s="3" t="s">
        <v>42</v>
      </c>
      <c r="N142" s="7" t="s">
        <v>216</v>
      </c>
    </row>
    <row r="143" spans="1:14">
      <c r="A143" s="4" t="s">
        <v>484</v>
      </c>
      <c r="B143" s="4" t="s">
        <v>485</v>
      </c>
      <c r="C143" s="4" t="s">
        <v>62</v>
      </c>
      <c r="D143" s="4" t="s">
        <v>133</v>
      </c>
      <c r="E143" s="3" t="str">
        <f t="shared" si="2"/>
        <v>Qa</v>
      </c>
      <c r="F143" s="4" t="s">
        <v>486</v>
      </c>
      <c r="G143" s="4" t="s">
        <v>70</v>
      </c>
      <c r="H143" s="4" t="s">
        <v>19</v>
      </c>
      <c r="I143" s="4">
        <v>74665</v>
      </c>
      <c r="J143" s="4" t="s">
        <v>487</v>
      </c>
      <c r="K143" s="4">
        <v>5</v>
      </c>
      <c r="L143" s="4">
        <v>4</v>
      </c>
      <c r="M143" s="4" t="s">
        <v>35</v>
      </c>
      <c r="N143" s="8" t="s">
        <v>454</v>
      </c>
    </row>
    <row r="144" spans="1:14">
      <c r="A144" s="3" t="s">
        <v>488</v>
      </c>
      <c r="B144" s="3" t="s">
        <v>375</v>
      </c>
      <c r="C144" s="3" t="s">
        <v>38</v>
      </c>
      <c r="D144" s="3" t="s">
        <v>16</v>
      </c>
      <c r="E144" s="3" t="str">
        <f t="shared" si="2"/>
        <v>Devops</v>
      </c>
      <c r="F144" s="3" t="s">
        <v>98</v>
      </c>
      <c r="G144" s="3" t="s">
        <v>46</v>
      </c>
      <c r="H144" s="3" t="s">
        <v>19</v>
      </c>
      <c r="I144" s="3">
        <v>90827</v>
      </c>
      <c r="J144" s="3" t="s">
        <v>489</v>
      </c>
      <c r="K144" s="3">
        <v>3.2</v>
      </c>
      <c r="L144" s="3">
        <v>1.7</v>
      </c>
      <c r="M144" s="3" t="s">
        <v>29</v>
      </c>
      <c r="N144" s="7" t="s">
        <v>199</v>
      </c>
    </row>
    <row r="145" spans="1:14">
      <c r="A145" s="4" t="s">
        <v>490</v>
      </c>
      <c r="B145" s="4" t="s">
        <v>468</v>
      </c>
      <c r="C145" s="4" t="s">
        <v>83</v>
      </c>
      <c r="D145" s="4" t="s">
        <v>133</v>
      </c>
      <c r="E145" s="3" t="str">
        <f t="shared" si="2"/>
        <v>Qa</v>
      </c>
      <c r="F145" s="4" t="s">
        <v>153</v>
      </c>
      <c r="G145" s="4" t="s">
        <v>26</v>
      </c>
      <c r="H145" s="4" t="s">
        <v>47</v>
      </c>
      <c r="I145" s="4">
        <v>63381</v>
      </c>
      <c r="J145" s="4" t="s">
        <v>491</v>
      </c>
      <c r="K145" s="4">
        <v>4.7</v>
      </c>
      <c r="L145" s="4">
        <v>2.1</v>
      </c>
      <c r="M145" s="4" t="s">
        <v>35</v>
      </c>
      <c r="N145" s="8" t="s">
        <v>397</v>
      </c>
    </row>
    <row r="146" spans="1:14">
      <c r="A146" s="3" t="s">
        <v>492</v>
      </c>
      <c r="B146" s="3" t="s">
        <v>82</v>
      </c>
      <c r="C146" s="3" t="s">
        <v>23</v>
      </c>
      <c r="D146" s="3" t="s">
        <v>493</v>
      </c>
      <c r="E146" s="3" t="str">
        <f t="shared" si="2"/>
        <v>Marketing</v>
      </c>
      <c r="F146" s="3" t="s">
        <v>254</v>
      </c>
      <c r="G146" s="3" t="s">
        <v>114</v>
      </c>
      <c r="H146" s="3" t="s">
        <v>33</v>
      </c>
      <c r="I146" s="3">
        <v>38253</v>
      </c>
      <c r="J146" s="3" t="s">
        <v>494</v>
      </c>
      <c r="K146" s="3">
        <v>1.4</v>
      </c>
      <c r="L146" s="3">
        <v>3</v>
      </c>
      <c r="M146" s="3" t="s">
        <v>35</v>
      </c>
      <c r="N146" s="7" t="s">
        <v>131</v>
      </c>
    </row>
    <row r="147" spans="1:14">
      <c r="A147" s="4" t="s">
        <v>495</v>
      </c>
      <c r="B147" s="4" t="s">
        <v>496</v>
      </c>
      <c r="C147" s="4" t="s">
        <v>23</v>
      </c>
      <c r="D147" s="4" t="s">
        <v>39</v>
      </c>
      <c r="E147" s="3" t="str">
        <f t="shared" si="2"/>
        <v>Engineering</v>
      </c>
      <c r="F147" s="4" t="s">
        <v>197</v>
      </c>
      <c r="G147" s="4" t="s">
        <v>114</v>
      </c>
      <c r="H147" s="4" t="s">
        <v>33</v>
      </c>
      <c r="I147" s="4">
        <v>81373</v>
      </c>
      <c r="J147" s="4" t="s">
        <v>497</v>
      </c>
      <c r="K147" s="4">
        <v>3.7</v>
      </c>
      <c r="L147" s="4">
        <v>2.2000000000000002</v>
      </c>
      <c r="M147" s="4" t="s">
        <v>35</v>
      </c>
      <c r="N147" s="8" t="s">
        <v>366</v>
      </c>
    </row>
    <row r="148" spans="1:14">
      <c r="A148" s="3" t="s">
        <v>498</v>
      </c>
      <c r="B148" s="3" t="s">
        <v>499</v>
      </c>
      <c r="C148" s="3" t="s">
        <v>62</v>
      </c>
      <c r="D148" s="3" t="s">
        <v>16</v>
      </c>
      <c r="E148" s="3" t="str">
        <f t="shared" si="2"/>
        <v>Devops</v>
      </c>
      <c r="F148" s="3" t="s">
        <v>123</v>
      </c>
      <c r="G148" s="3" t="s">
        <v>53</v>
      </c>
      <c r="H148" s="3" t="s">
        <v>27</v>
      </c>
      <c r="I148" s="3">
        <v>123174</v>
      </c>
      <c r="J148" s="3" t="s">
        <v>500</v>
      </c>
      <c r="K148" s="3">
        <v>3.8</v>
      </c>
      <c r="L148" s="3">
        <v>4.8</v>
      </c>
      <c r="M148" s="3" t="s">
        <v>42</v>
      </c>
      <c r="N148" s="7" t="s">
        <v>240</v>
      </c>
    </row>
    <row r="149" spans="1:14">
      <c r="A149" s="4" t="s">
        <v>501</v>
      </c>
      <c r="B149" s="4" t="s">
        <v>502</v>
      </c>
      <c r="C149" s="4" t="s">
        <v>62</v>
      </c>
      <c r="D149" s="4" t="s">
        <v>503</v>
      </c>
      <c r="E149" s="3" t="str">
        <f t="shared" si="2"/>
        <v>Data Science</v>
      </c>
      <c r="F149" s="4" t="s">
        <v>221</v>
      </c>
      <c r="G149" s="4" t="s">
        <v>26</v>
      </c>
      <c r="H149" s="4" t="s">
        <v>19</v>
      </c>
      <c r="I149" s="4">
        <v>168332</v>
      </c>
      <c r="J149" s="4" t="s">
        <v>504</v>
      </c>
      <c r="K149" s="4">
        <v>5.3</v>
      </c>
      <c r="L149" s="4">
        <v>1.5</v>
      </c>
      <c r="M149" s="4" t="s">
        <v>35</v>
      </c>
      <c r="N149" s="8" t="s">
        <v>380</v>
      </c>
    </row>
    <row r="150" spans="1:14">
      <c r="A150" s="3" t="s">
        <v>505</v>
      </c>
      <c r="B150" s="3" t="s">
        <v>506</v>
      </c>
      <c r="C150" s="3" t="s">
        <v>62</v>
      </c>
      <c r="D150" s="3" t="s">
        <v>84</v>
      </c>
      <c r="E150" s="3" t="str">
        <f t="shared" si="2"/>
        <v>Hr</v>
      </c>
      <c r="F150" s="3" t="s">
        <v>138</v>
      </c>
      <c r="G150" s="3" t="s">
        <v>32</v>
      </c>
      <c r="H150" s="3" t="s">
        <v>19</v>
      </c>
      <c r="I150" s="3">
        <v>219745</v>
      </c>
      <c r="J150" s="3" t="s">
        <v>507</v>
      </c>
      <c r="K150" s="3">
        <v>4.2</v>
      </c>
      <c r="L150" s="3">
        <v>4</v>
      </c>
      <c r="M150" s="3" t="s">
        <v>42</v>
      </c>
      <c r="N150" s="7" t="s">
        <v>67</v>
      </c>
    </row>
    <row r="151" spans="1:14">
      <c r="A151" s="4" t="s">
        <v>508</v>
      </c>
      <c r="B151" s="4" t="s">
        <v>509</v>
      </c>
      <c r="C151" s="4" t="s">
        <v>62</v>
      </c>
      <c r="D151" s="4" t="s">
        <v>51</v>
      </c>
      <c r="E151" s="3" t="str">
        <f t="shared" si="2"/>
        <v>Sales</v>
      </c>
      <c r="F151" s="4" t="s">
        <v>52</v>
      </c>
      <c r="G151" s="4" t="s">
        <v>18</v>
      </c>
      <c r="H151" s="4" t="s">
        <v>47</v>
      </c>
      <c r="I151" s="4">
        <v>214161</v>
      </c>
      <c r="J151" s="4" t="s">
        <v>510</v>
      </c>
      <c r="K151" s="4">
        <v>1.1000000000000001</v>
      </c>
      <c r="L151" s="4">
        <v>4.4000000000000004</v>
      </c>
      <c r="M151" s="4" t="s">
        <v>35</v>
      </c>
      <c r="N151" s="8" t="s">
        <v>111</v>
      </c>
    </row>
    <row r="152" spans="1:14">
      <c r="A152" s="3" t="s">
        <v>511</v>
      </c>
      <c r="B152" s="3" t="s">
        <v>512</v>
      </c>
      <c r="C152" s="3" t="s">
        <v>15</v>
      </c>
      <c r="D152" s="3" t="s">
        <v>84</v>
      </c>
      <c r="E152" s="3" t="str">
        <f t="shared" si="2"/>
        <v>Hr</v>
      </c>
      <c r="F152" s="3" t="s">
        <v>204</v>
      </c>
      <c r="G152" s="3" t="s">
        <v>70</v>
      </c>
      <c r="H152" s="3" t="s">
        <v>47</v>
      </c>
      <c r="I152" s="3">
        <v>89103</v>
      </c>
      <c r="J152" s="3" t="s">
        <v>466</v>
      </c>
      <c r="K152" s="3">
        <v>5.8</v>
      </c>
      <c r="L152" s="3">
        <v>3.3</v>
      </c>
      <c r="M152" s="3" t="s">
        <v>29</v>
      </c>
      <c r="N152" s="7" t="s">
        <v>395</v>
      </c>
    </row>
    <row r="153" spans="1:14">
      <c r="A153" s="4" t="s">
        <v>513</v>
      </c>
      <c r="B153" s="4" t="s">
        <v>283</v>
      </c>
      <c r="C153" s="4" t="s">
        <v>83</v>
      </c>
      <c r="D153" s="4" t="s">
        <v>39</v>
      </c>
      <c r="E153" s="3" t="str">
        <f t="shared" si="2"/>
        <v>Engineering</v>
      </c>
      <c r="F153" s="4" t="s">
        <v>242</v>
      </c>
      <c r="G153" s="4" t="s">
        <v>70</v>
      </c>
      <c r="H153" s="4" t="s">
        <v>19</v>
      </c>
      <c r="I153" s="4">
        <v>19238</v>
      </c>
      <c r="J153" s="4" t="s">
        <v>514</v>
      </c>
      <c r="K153" s="4">
        <v>2.2999999999999998</v>
      </c>
      <c r="L153" s="4">
        <v>3.7</v>
      </c>
      <c r="M153" s="4" t="s">
        <v>35</v>
      </c>
      <c r="N153" s="8" t="s">
        <v>279</v>
      </c>
    </row>
    <row r="154" spans="1:14">
      <c r="A154" s="3" t="s">
        <v>515</v>
      </c>
      <c r="B154" s="3" t="s">
        <v>516</v>
      </c>
      <c r="C154" s="3" t="s">
        <v>83</v>
      </c>
      <c r="D154" s="3" t="s">
        <v>118</v>
      </c>
      <c r="E154" s="3" t="str">
        <f t="shared" si="2"/>
        <v>Marketing</v>
      </c>
      <c r="F154" s="3" t="s">
        <v>254</v>
      </c>
      <c r="G154" s="3" t="s">
        <v>18</v>
      </c>
      <c r="H154" s="3" t="s">
        <v>19</v>
      </c>
      <c r="I154" s="3">
        <v>81077</v>
      </c>
      <c r="J154" s="3" t="s">
        <v>517</v>
      </c>
      <c r="K154" s="3">
        <v>6.2</v>
      </c>
      <c r="L154" s="3">
        <v>3</v>
      </c>
      <c r="M154" s="3" t="s">
        <v>42</v>
      </c>
      <c r="N154" s="7" t="s">
        <v>439</v>
      </c>
    </row>
    <row r="155" spans="1:14">
      <c r="A155" s="4" t="s">
        <v>518</v>
      </c>
      <c r="B155" s="4" t="s">
        <v>519</v>
      </c>
      <c r="C155" s="4" t="s">
        <v>83</v>
      </c>
      <c r="D155" s="4" t="s">
        <v>89</v>
      </c>
      <c r="E155" s="3" t="str">
        <f t="shared" si="2"/>
        <v>Data Science</v>
      </c>
      <c r="F155" s="4" t="s">
        <v>113</v>
      </c>
      <c r="G155" s="4" t="s">
        <v>172</v>
      </c>
      <c r="H155" s="4" t="s">
        <v>33</v>
      </c>
      <c r="I155" s="4">
        <v>194720</v>
      </c>
      <c r="J155" s="4" t="s">
        <v>520</v>
      </c>
      <c r="K155" s="4">
        <v>3.9</v>
      </c>
      <c r="L155" s="4">
        <v>2.2000000000000002</v>
      </c>
      <c r="M155" s="4" t="s">
        <v>29</v>
      </c>
      <c r="N155" s="8" t="s">
        <v>498</v>
      </c>
    </row>
    <row r="156" spans="1:14">
      <c r="A156" s="3" t="s">
        <v>521</v>
      </c>
      <c r="B156" s="3" t="s">
        <v>522</v>
      </c>
      <c r="C156" s="3" t="s">
        <v>23</v>
      </c>
      <c r="D156" s="3" t="s">
        <v>39</v>
      </c>
      <c r="E156" s="3" t="str">
        <f t="shared" si="2"/>
        <v>Engineering</v>
      </c>
      <c r="F156" s="3" t="s">
        <v>242</v>
      </c>
      <c r="G156" s="3" t="s">
        <v>32</v>
      </c>
      <c r="H156" s="3" t="s">
        <v>19</v>
      </c>
      <c r="I156" s="3">
        <v>170702</v>
      </c>
      <c r="J156" s="3" t="s">
        <v>523</v>
      </c>
      <c r="K156" s="3">
        <v>1.2</v>
      </c>
      <c r="L156" s="3">
        <v>2.1</v>
      </c>
      <c r="M156" s="3" t="s">
        <v>42</v>
      </c>
      <c r="N156" s="7" t="s">
        <v>55</v>
      </c>
    </row>
    <row r="157" spans="1:14">
      <c r="A157" s="4" t="s">
        <v>524</v>
      </c>
      <c r="B157" s="4" t="s">
        <v>525</v>
      </c>
      <c r="C157" s="4" t="s">
        <v>83</v>
      </c>
      <c r="D157" s="4" t="s">
        <v>51</v>
      </c>
      <c r="E157" s="3" t="str">
        <f t="shared" si="2"/>
        <v>Sales</v>
      </c>
      <c r="F157" s="4" t="s">
        <v>69</v>
      </c>
      <c r="G157" s="4" t="s">
        <v>75</v>
      </c>
      <c r="H157" s="4" t="s">
        <v>27</v>
      </c>
      <c r="I157" s="4">
        <v>205879</v>
      </c>
      <c r="J157" s="4" t="s">
        <v>526</v>
      </c>
      <c r="K157" s="4">
        <v>4.8</v>
      </c>
      <c r="L157" s="4">
        <v>3.2</v>
      </c>
      <c r="M157" s="4" t="s">
        <v>35</v>
      </c>
      <c r="N157" s="8" t="s">
        <v>274</v>
      </c>
    </row>
    <row r="158" spans="1:14">
      <c r="A158" s="3" t="s">
        <v>527</v>
      </c>
      <c r="B158" s="3" t="s">
        <v>528</v>
      </c>
      <c r="C158" s="3" t="s">
        <v>23</v>
      </c>
      <c r="D158" s="3" t="s">
        <v>133</v>
      </c>
      <c r="E158" s="3" t="str">
        <f t="shared" si="2"/>
        <v>Qa</v>
      </c>
      <c r="F158" s="3" t="s">
        <v>486</v>
      </c>
      <c r="G158" s="3" t="s">
        <v>75</v>
      </c>
      <c r="H158" s="3" t="s">
        <v>19</v>
      </c>
      <c r="I158" s="3">
        <v>53910</v>
      </c>
      <c r="J158" s="3" t="s">
        <v>529</v>
      </c>
      <c r="K158" s="3">
        <v>6.9</v>
      </c>
      <c r="L158" s="3">
        <v>2.1</v>
      </c>
      <c r="M158" s="3" t="s">
        <v>42</v>
      </c>
      <c r="N158" s="7" t="s">
        <v>481</v>
      </c>
    </row>
    <row r="159" spans="1:14">
      <c r="A159" s="4" t="s">
        <v>530</v>
      </c>
      <c r="B159" s="4" t="s">
        <v>531</v>
      </c>
      <c r="C159" s="4" t="s">
        <v>57</v>
      </c>
      <c r="D159" s="4" t="s">
        <v>176</v>
      </c>
      <c r="E159" s="3" t="str">
        <f t="shared" si="2"/>
        <v>Finance</v>
      </c>
      <c r="F159" s="4" t="s">
        <v>359</v>
      </c>
      <c r="G159" s="4" t="s">
        <v>53</v>
      </c>
      <c r="H159" s="4" t="s">
        <v>47</v>
      </c>
      <c r="I159" s="4">
        <v>106978</v>
      </c>
      <c r="J159" s="4" t="s">
        <v>532</v>
      </c>
      <c r="K159" s="4">
        <v>2.6</v>
      </c>
      <c r="L159" s="4">
        <v>1.9</v>
      </c>
      <c r="M159" s="4" t="s">
        <v>35</v>
      </c>
      <c r="N159" s="8" t="s">
        <v>388</v>
      </c>
    </row>
    <row r="160" spans="1:14">
      <c r="A160" s="3" t="s">
        <v>533</v>
      </c>
      <c r="B160" s="3" t="s">
        <v>534</v>
      </c>
      <c r="C160" s="3" t="s">
        <v>23</v>
      </c>
      <c r="D160" s="3" t="s">
        <v>24</v>
      </c>
      <c r="E160" s="3" t="str">
        <f t="shared" si="2"/>
        <v>Design</v>
      </c>
      <c r="F160" s="3" t="s">
        <v>45</v>
      </c>
      <c r="G160" s="3" t="s">
        <v>46</v>
      </c>
      <c r="H160" s="3" t="s">
        <v>47</v>
      </c>
      <c r="I160" s="3">
        <v>45446</v>
      </c>
      <c r="J160" s="3" t="s">
        <v>535</v>
      </c>
      <c r="K160" s="3">
        <v>6.3</v>
      </c>
      <c r="L160" s="3">
        <v>3.6</v>
      </c>
      <c r="M160" s="3" t="s">
        <v>35</v>
      </c>
      <c r="N160" s="7" t="s">
        <v>92</v>
      </c>
    </row>
    <row r="161" spans="1:14">
      <c r="A161" s="4" t="s">
        <v>536</v>
      </c>
      <c r="B161" s="4" t="s">
        <v>289</v>
      </c>
      <c r="C161" s="4" t="s">
        <v>23</v>
      </c>
      <c r="D161" s="4" t="s">
        <v>24</v>
      </c>
      <c r="E161" s="3" t="str">
        <f t="shared" si="2"/>
        <v>Design</v>
      </c>
      <c r="F161" s="4" t="s">
        <v>45</v>
      </c>
      <c r="G161" s="4" t="s">
        <v>75</v>
      </c>
      <c r="H161" s="4" t="s">
        <v>27</v>
      </c>
      <c r="I161" s="4">
        <v>48696</v>
      </c>
      <c r="J161" s="4" t="s">
        <v>537</v>
      </c>
      <c r="K161" s="4">
        <v>4.3</v>
      </c>
      <c r="L161" s="4">
        <v>3.3</v>
      </c>
      <c r="M161" s="4" t="s">
        <v>35</v>
      </c>
      <c r="N161" s="8" t="s">
        <v>303</v>
      </c>
    </row>
    <row r="162" spans="1:14">
      <c r="A162" s="3" t="s">
        <v>538</v>
      </c>
      <c r="B162" s="3" t="s">
        <v>539</v>
      </c>
      <c r="C162" s="3" t="s">
        <v>57</v>
      </c>
      <c r="D162" s="3" t="s">
        <v>84</v>
      </c>
      <c r="E162" s="3" t="str">
        <f t="shared" si="2"/>
        <v>Hr</v>
      </c>
      <c r="F162" s="3" t="s">
        <v>204</v>
      </c>
      <c r="G162" s="3" t="s">
        <v>75</v>
      </c>
      <c r="H162" s="3" t="s">
        <v>47</v>
      </c>
      <c r="I162" s="3">
        <v>137558</v>
      </c>
      <c r="J162" s="3" t="s">
        <v>540</v>
      </c>
      <c r="K162" s="3">
        <v>5.3</v>
      </c>
      <c r="L162" s="3">
        <v>3.5</v>
      </c>
      <c r="M162" s="3" t="s">
        <v>35</v>
      </c>
      <c r="N162" s="7" t="s">
        <v>464</v>
      </c>
    </row>
    <row r="163" spans="1:14">
      <c r="A163" s="4" t="s">
        <v>541</v>
      </c>
      <c r="B163" s="4" t="s">
        <v>542</v>
      </c>
      <c r="C163" s="4" t="s">
        <v>62</v>
      </c>
      <c r="D163" s="4" t="s">
        <v>51</v>
      </c>
      <c r="E163" s="3" t="str">
        <f t="shared" si="2"/>
        <v>Sales</v>
      </c>
      <c r="F163" s="4" t="s">
        <v>69</v>
      </c>
      <c r="G163" s="4" t="s">
        <v>75</v>
      </c>
      <c r="H163" s="4" t="s">
        <v>27</v>
      </c>
      <c r="I163" s="4">
        <v>67650</v>
      </c>
      <c r="J163" s="4" t="s">
        <v>543</v>
      </c>
      <c r="K163" s="4">
        <v>5.6</v>
      </c>
      <c r="L163" s="4">
        <v>1.7</v>
      </c>
      <c r="M163" s="4" t="s">
        <v>35</v>
      </c>
      <c r="N163" s="8" t="s">
        <v>49</v>
      </c>
    </row>
    <row r="164" spans="1:14">
      <c r="A164" s="3" t="s">
        <v>544</v>
      </c>
      <c r="B164" s="3" t="s">
        <v>545</v>
      </c>
      <c r="C164" s="3" t="s">
        <v>62</v>
      </c>
      <c r="D164" s="3" t="s">
        <v>176</v>
      </c>
      <c r="E164" s="3" t="str">
        <f t="shared" si="2"/>
        <v>Finance</v>
      </c>
      <c r="F164" s="3" t="s">
        <v>359</v>
      </c>
      <c r="G164" s="3" t="s">
        <v>172</v>
      </c>
      <c r="H164" s="3" t="s">
        <v>58</v>
      </c>
      <c r="I164" s="3">
        <v>186926</v>
      </c>
      <c r="J164" s="3" t="s">
        <v>546</v>
      </c>
      <c r="K164" s="3">
        <v>5.7</v>
      </c>
      <c r="L164" s="3">
        <v>4.7</v>
      </c>
      <c r="M164" s="3" t="s">
        <v>35</v>
      </c>
      <c r="N164" s="7" t="s">
        <v>437</v>
      </c>
    </row>
    <row r="165" spans="1:14">
      <c r="A165" s="4" t="s">
        <v>547</v>
      </c>
      <c r="B165" s="4" t="s">
        <v>548</v>
      </c>
      <c r="C165" s="4" t="s">
        <v>23</v>
      </c>
      <c r="D165" s="4" t="s">
        <v>84</v>
      </c>
      <c r="E165" s="3" t="str">
        <f t="shared" si="2"/>
        <v>Hr</v>
      </c>
      <c r="F165" s="4" t="s">
        <v>204</v>
      </c>
      <c r="G165" s="4" t="s">
        <v>214</v>
      </c>
      <c r="H165" s="4" t="s">
        <v>27</v>
      </c>
      <c r="I165" s="4">
        <v>132736</v>
      </c>
      <c r="J165" s="4" t="s">
        <v>549</v>
      </c>
      <c r="K165" s="4">
        <v>6.2</v>
      </c>
      <c r="L165" s="4">
        <v>3.2</v>
      </c>
      <c r="M165" s="4" t="s">
        <v>35</v>
      </c>
      <c r="N165" s="8" t="s">
        <v>30</v>
      </c>
    </row>
    <row r="166" spans="1:14">
      <c r="A166" s="3" t="s">
        <v>550</v>
      </c>
      <c r="B166" s="3" t="s">
        <v>551</v>
      </c>
      <c r="C166" s="3" t="s">
        <v>83</v>
      </c>
      <c r="D166" s="3" t="s">
        <v>51</v>
      </c>
      <c r="E166" s="3" t="str">
        <f t="shared" si="2"/>
        <v>Sales</v>
      </c>
      <c r="F166" s="3" t="s">
        <v>105</v>
      </c>
      <c r="G166" s="3" t="s">
        <v>46</v>
      </c>
      <c r="H166" s="3" t="s">
        <v>58</v>
      </c>
      <c r="I166" s="3">
        <v>125051</v>
      </c>
      <c r="J166" s="3" t="s">
        <v>552</v>
      </c>
      <c r="K166" s="3">
        <v>3.3</v>
      </c>
      <c r="L166" s="3">
        <v>3.2</v>
      </c>
      <c r="M166" s="3" t="s">
        <v>35</v>
      </c>
      <c r="N166" s="7" t="s">
        <v>432</v>
      </c>
    </row>
    <row r="167" spans="1:14">
      <c r="A167" s="4" t="s">
        <v>553</v>
      </c>
      <c r="B167" s="4" t="s">
        <v>554</v>
      </c>
      <c r="C167" s="4" t="s">
        <v>62</v>
      </c>
      <c r="D167" s="4" t="s">
        <v>51</v>
      </c>
      <c r="E167" s="3" t="str">
        <f t="shared" si="2"/>
        <v>Sales</v>
      </c>
      <c r="F167" s="4" t="s">
        <v>69</v>
      </c>
      <c r="G167" s="4" t="s">
        <v>214</v>
      </c>
      <c r="H167" s="4" t="s">
        <v>47</v>
      </c>
      <c r="I167" s="4">
        <v>94446</v>
      </c>
      <c r="J167" s="4" t="s">
        <v>555</v>
      </c>
      <c r="K167" s="4">
        <v>6.4</v>
      </c>
      <c r="L167" s="4">
        <v>4.5</v>
      </c>
      <c r="M167" s="4" t="s">
        <v>35</v>
      </c>
      <c r="N167" s="8" t="s">
        <v>279</v>
      </c>
    </row>
    <row r="168" spans="1:14">
      <c r="A168" s="3" t="s">
        <v>556</v>
      </c>
      <c r="B168" s="3" t="s">
        <v>557</v>
      </c>
      <c r="C168" s="3" t="s">
        <v>83</v>
      </c>
      <c r="D168" s="3" t="s">
        <v>558</v>
      </c>
      <c r="E168" s="3" t="str">
        <f t="shared" si="2"/>
        <v>Finance</v>
      </c>
      <c r="F168" s="3" t="s">
        <v>359</v>
      </c>
      <c r="G168" s="3" t="s">
        <v>65</v>
      </c>
      <c r="H168" s="3" t="s">
        <v>47</v>
      </c>
      <c r="I168" s="3">
        <v>49078</v>
      </c>
      <c r="J168" s="3" t="s">
        <v>559</v>
      </c>
      <c r="K168" s="3">
        <v>5.5</v>
      </c>
      <c r="L168" s="3">
        <v>3.9</v>
      </c>
      <c r="M168" s="3" t="s">
        <v>29</v>
      </c>
      <c r="N168" s="7" t="s">
        <v>538</v>
      </c>
    </row>
    <row r="169" spans="1:14">
      <c r="A169" s="4" t="s">
        <v>560</v>
      </c>
      <c r="B169" s="4" t="s">
        <v>561</v>
      </c>
      <c r="C169" s="4" t="s">
        <v>83</v>
      </c>
      <c r="D169" s="4" t="s">
        <v>89</v>
      </c>
      <c r="E169" s="3" t="str">
        <f t="shared" si="2"/>
        <v>Data Science</v>
      </c>
      <c r="F169" s="4" t="s">
        <v>90</v>
      </c>
      <c r="G169" s="4" t="s">
        <v>18</v>
      </c>
      <c r="H169" s="4" t="s">
        <v>19</v>
      </c>
      <c r="I169" s="4">
        <v>140755</v>
      </c>
      <c r="J169" s="4" t="s">
        <v>562</v>
      </c>
      <c r="K169" s="4">
        <v>3.3</v>
      </c>
      <c r="L169" s="4">
        <v>3</v>
      </c>
      <c r="M169" s="4" t="s">
        <v>35</v>
      </c>
      <c r="N169" s="8" t="s">
        <v>397</v>
      </c>
    </row>
    <row r="170" spans="1:14">
      <c r="A170" s="3" t="s">
        <v>563</v>
      </c>
      <c r="B170" s="3" t="s">
        <v>564</v>
      </c>
      <c r="C170" s="3" t="s">
        <v>83</v>
      </c>
      <c r="D170" s="3" t="s">
        <v>89</v>
      </c>
      <c r="E170" s="3" t="str">
        <f t="shared" si="2"/>
        <v>Data Science</v>
      </c>
      <c r="F170" s="3" t="s">
        <v>90</v>
      </c>
      <c r="G170" s="3" t="s">
        <v>18</v>
      </c>
      <c r="H170" s="3" t="s">
        <v>47</v>
      </c>
      <c r="I170" s="3">
        <v>123694</v>
      </c>
      <c r="J170" s="3" t="s">
        <v>565</v>
      </c>
      <c r="K170" s="3">
        <v>1.8</v>
      </c>
      <c r="L170" s="3">
        <v>2.4</v>
      </c>
      <c r="M170" s="3" t="s">
        <v>42</v>
      </c>
      <c r="N170" s="7" t="s">
        <v>484</v>
      </c>
    </row>
    <row r="171" spans="1:14">
      <c r="A171" s="4" t="s">
        <v>566</v>
      </c>
      <c r="B171" s="4" t="s">
        <v>567</v>
      </c>
      <c r="C171" s="4" t="s">
        <v>83</v>
      </c>
      <c r="D171" s="4" t="s">
        <v>51</v>
      </c>
      <c r="E171" s="3" t="str">
        <f t="shared" si="2"/>
        <v>Sales</v>
      </c>
      <c r="F171" s="4" t="s">
        <v>69</v>
      </c>
      <c r="G171" s="4" t="s">
        <v>65</v>
      </c>
      <c r="H171" s="4" t="s">
        <v>19</v>
      </c>
      <c r="I171" s="4">
        <v>122059</v>
      </c>
      <c r="J171" s="4" t="s">
        <v>568</v>
      </c>
      <c r="K171" s="4">
        <v>4.5</v>
      </c>
      <c r="L171" s="4"/>
      <c r="M171" s="4" t="s">
        <v>29</v>
      </c>
      <c r="N171" s="8" t="s">
        <v>348</v>
      </c>
    </row>
    <row r="172" spans="1:14">
      <c r="A172" s="3" t="s">
        <v>569</v>
      </c>
      <c r="B172" s="3" t="s">
        <v>570</v>
      </c>
      <c r="C172" s="3" t="s">
        <v>38</v>
      </c>
      <c r="D172" s="3" t="s">
        <v>39</v>
      </c>
      <c r="E172" s="3" t="str">
        <f t="shared" si="2"/>
        <v>Engineering</v>
      </c>
      <c r="F172" s="3" t="s">
        <v>109</v>
      </c>
      <c r="G172" s="3" t="s">
        <v>53</v>
      </c>
      <c r="H172" s="3" t="s">
        <v>47</v>
      </c>
      <c r="I172" s="3">
        <v>180770</v>
      </c>
      <c r="J172" s="3" t="s">
        <v>571</v>
      </c>
      <c r="K172" s="3">
        <v>1.8</v>
      </c>
      <c r="L172" s="3">
        <v>2.5</v>
      </c>
      <c r="M172" s="3" t="s">
        <v>35</v>
      </c>
      <c r="N172" s="7" t="s">
        <v>131</v>
      </c>
    </row>
    <row r="173" spans="1:14">
      <c r="A173" s="4" t="s">
        <v>572</v>
      </c>
      <c r="B173" s="4" t="s">
        <v>573</v>
      </c>
      <c r="C173" s="4" t="s">
        <v>15</v>
      </c>
      <c r="D173" s="4" t="s">
        <v>84</v>
      </c>
      <c r="E173" s="3" t="str">
        <f t="shared" si="2"/>
        <v>Hr</v>
      </c>
      <c r="F173" s="4" t="s">
        <v>204</v>
      </c>
      <c r="G173" s="4" t="s">
        <v>214</v>
      </c>
      <c r="H173" s="4" t="s">
        <v>58</v>
      </c>
      <c r="I173" s="4">
        <v>116868</v>
      </c>
      <c r="J173" s="4" t="s">
        <v>574</v>
      </c>
      <c r="K173" s="4">
        <v>2</v>
      </c>
      <c r="L173" s="4">
        <v>1.6</v>
      </c>
      <c r="M173" s="4" t="s">
        <v>29</v>
      </c>
      <c r="N173" s="8" t="s">
        <v>530</v>
      </c>
    </row>
    <row r="174" spans="1:14">
      <c r="A174" s="3" t="s">
        <v>575</v>
      </c>
      <c r="B174" s="3" t="s">
        <v>576</v>
      </c>
      <c r="C174" s="3" t="s">
        <v>23</v>
      </c>
      <c r="D174" s="3" t="s">
        <v>133</v>
      </c>
      <c r="E174" s="3" t="str">
        <f t="shared" si="2"/>
        <v>Qa</v>
      </c>
      <c r="F174" s="3" t="s">
        <v>162</v>
      </c>
      <c r="G174" s="3" t="s">
        <v>18</v>
      </c>
      <c r="H174" s="3" t="s">
        <v>19</v>
      </c>
      <c r="I174" s="3">
        <v>114814</v>
      </c>
      <c r="J174" s="3" t="s">
        <v>577</v>
      </c>
      <c r="K174" s="3">
        <v>1.9</v>
      </c>
      <c r="L174" s="3">
        <v>2.8</v>
      </c>
      <c r="M174" s="3" t="s">
        <v>35</v>
      </c>
      <c r="N174" s="7" t="s">
        <v>566</v>
      </c>
    </row>
    <row r="175" spans="1:14">
      <c r="A175" s="4" t="s">
        <v>578</v>
      </c>
      <c r="B175" s="4" t="s">
        <v>579</v>
      </c>
      <c r="C175" s="4" t="s">
        <v>15</v>
      </c>
      <c r="D175" s="4" t="s">
        <v>24</v>
      </c>
      <c r="E175" s="3" t="str">
        <f t="shared" si="2"/>
        <v>Design</v>
      </c>
      <c r="F175" s="4" t="s">
        <v>45</v>
      </c>
      <c r="G175" s="4" t="s">
        <v>114</v>
      </c>
      <c r="H175" s="4" t="s">
        <v>19</v>
      </c>
      <c r="I175" s="4">
        <v>37507</v>
      </c>
      <c r="J175" s="4" t="s">
        <v>580</v>
      </c>
      <c r="K175" s="4">
        <v>6.4</v>
      </c>
      <c r="L175" s="4">
        <v>4.0999999999999996</v>
      </c>
      <c r="M175" s="4" t="s">
        <v>35</v>
      </c>
      <c r="N175" s="8" t="s">
        <v>151</v>
      </c>
    </row>
    <row r="176" spans="1:14">
      <c r="A176" s="3" t="s">
        <v>581</v>
      </c>
      <c r="B176" s="3" t="s">
        <v>582</v>
      </c>
      <c r="C176" s="3" t="s">
        <v>15</v>
      </c>
      <c r="D176" s="3" t="s">
        <v>51</v>
      </c>
      <c r="E176" s="3" t="str">
        <f t="shared" si="2"/>
        <v>Sales</v>
      </c>
      <c r="F176" s="3" t="s">
        <v>52</v>
      </c>
      <c r="G176" s="3" t="s">
        <v>149</v>
      </c>
      <c r="H176" s="3" t="s">
        <v>19</v>
      </c>
      <c r="I176" s="3">
        <v>162109</v>
      </c>
      <c r="J176" s="3" t="s">
        <v>583</v>
      </c>
      <c r="K176" s="3">
        <v>5.2</v>
      </c>
      <c r="L176" s="3">
        <v>4.5999999999999996</v>
      </c>
      <c r="M176" s="3" t="s">
        <v>29</v>
      </c>
      <c r="N176" s="7" t="s">
        <v>566</v>
      </c>
    </row>
    <row r="177" spans="1:14">
      <c r="A177" s="4" t="s">
        <v>584</v>
      </c>
      <c r="B177" s="4" t="s">
        <v>213</v>
      </c>
      <c r="C177" s="4" t="s">
        <v>83</v>
      </c>
      <c r="D177" s="4" t="s">
        <v>133</v>
      </c>
      <c r="E177" s="3" t="str">
        <f t="shared" si="2"/>
        <v>Qa</v>
      </c>
      <c r="F177" s="4" t="s">
        <v>134</v>
      </c>
      <c r="G177" s="4" t="s">
        <v>65</v>
      </c>
      <c r="H177" s="4" t="s">
        <v>27</v>
      </c>
      <c r="I177" s="4">
        <v>82695</v>
      </c>
      <c r="J177" s="4" t="s">
        <v>585</v>
      </c>
      <c r="K177" s="4">
        <v>1.8</v>
      </c>
      <c r="L177" s="4">
        <v>2.9</v>
      </c>
      <c r="M177" s="4" t="s">
        <v>35</v>
      </c>
      <c r="N177" s="8" t="s">
        <v>107</v>
      </c>
    </row>
    <row r="178" spans="1:14">
      <c r="A178" s="3" t="s">
        <v>586</v>
      </c>
      <c r="B178" s="3" t="s">
        <v>512</v>
      </c>
      <c r="C178" s="3" t="s">
        <v>62</v>
      </c>
      <c r="D178" s="3" t="s">
        <v>84</v>
      </c>
      <c r="E178" s="3" t="str">
        <f t="shared" si="2"/>
        <v>Hr</v>
      </c>
      <c r="F178" s="3" t="s">
        <v>85</v>
      </c>
      <c r="G178" s="3" t="s">
        <v>18</v>
      </c>
      <c r="H178" s="3" t="s">
        <v>33</v>
      </c>
      <c r="I178" s="3">
        <v>40296</v>
      </c>
      <c r="J178" s="3" t="s">
        <v>587</v>
      </c>
      <c r="K178" s="3">
        <v>5.4</v>
      </c>
      <c r="L178" s="3">
        <v>4.3</v>
      </c>
      <c r="M178" s="3" t="s">
        <v>42</v>
      </c>
      <c r="N178" s="7" t="s">
        <v>192</v>
      </c>
    </row>
    <row r="179" spans="1:14">
      <c r="A179" s="4" t="s">
        <v>588</v>
      </c>
      <c r="B179" s="4" t="s">
        <v>589</v>
      </c>
      <c r="C179" s="4" t="s">
        <v>23</v>
      </c>
      <c r="D179" s="4" t="s">
        <v>118</v>
      </c>
      <c r="E179" s="3" t="str">
        <f t="shared" si="2"/>
        <v>Marketing</v>
      </c>
      <c r="F179" s="4" t="s">
        <v>119</v>
      </c>
      <c r="G179" s="4" t="s">
        <v>214</v>
      </c>
      <c r="H179" s="4" t="s">
        <v>19</v>
      </c>
      <c r="I179" s="4">
        <v>147550</v>
      </c>
      <c r="J179" s="4" t="s">
        <v>590</v>
      </c>
      <c r="K179" s="4">
        <v>1</v>
      </c>
      <c r="L179" s="4">
        <v>4.7</v>
      </c>
      <c r="M179" s="4" t="s">
        <v>35</v>
      </c>
      <c r="N179" s="8" t="s">
        <v>276</v>
      </c>
    </row>
    <row r="180" spans="1:14">
      <c r="A180" s="3" t="s">
        <v>591</v>
      </c>
      <c r="B180" s="3" t="s">
        <v>592</v>
      </c>
      <c r="C180" s="3" t="s">
        <v>23</v>
      </c>
      <c r="D180" s="3" t="s">
        <v>118</v>
      </c>
      <c r="E180" s="3" t="str">
        <f t="shared" si="2"/>
        <v>Marketing</v>
      </c>
      <c r="F180" s="3" t="s">
        <v>119</v>
      </c>
      <c r="G180" s="3" t="s">
        <v>32</v>
      </c>
      <c r="H180" s="3" t="s">
        <v>27</v>
      </c>
      <c r="I180" s="3">
        <v>163247</v>
      </c>
      <c r="J180" s="3" t="s">
        <v>593</v>
      </c>
      <c r="K180" s="3">
        <v>3.1</v>
      </c>
      <c r="L180" s="3">
        <v>3.5</v>
      </c>
      <c r="M180" s="3" t="s">
        <v>35</v>
      </c>
      <c r="N180" s="7" t="s">
        <v>356</v>
      </c>
    </row>
    <row r="181" spans="1:14">
      <c r="A181" s="4" t="s">
        <v>594</v>
      </c>
      <c r="B181" s="4" t="s">
        <v>595</v>
      </c>
      <c r="C181" s="4" t="s">
        <v>83</v>
      </c>
      <c r="D181" s="4" t="s">
        <v>63</v>
      </c>
      <c r="E181" s="3" t="str">
        <f t="shared" si="2"/>
        <v>Product</v>
      </c>
      <c r="F181" s="4" t="s">
        <v>64</v>
      </c>
      <c r="G181" s="4" t="s">
        <v>149</v>
      </c>
      <c r="H181" s="4" t="s">
        <v>19</v>
      </c>
      <c r="I181" s="4">
        <v>92419</v>
      </c>
      <c r="J181" s="4" t="s">
        <v>596</v>
      </c>
      <c r="K181" s="4">
        <v>2.5</v>
      </c>
      <c r="L181" s="4">
        <v>1.6</v>
      </c>
      <c r="M181" s="4" t="s">
        <v>35</v>
      </c>
      <c r="N181" s="8" t="s">
        <v>400</v>
      </c>
    </row>
    <row r="182" spans="1:14">
      <c r="A182" s="3" t="s">
        <v>597</v>
      </c>
      <c r="B182" s="3" t="s">
        <v>598</v>
      </c>
      <c r="C182" s="3" t="s">
        <v>62</v>
      </c>
      <c r="D182" s="3" t="s">
        <v>133</v>
      </c>
      <c r="E182" s="3" t="str">
        <f t="shared" si="2"/>
        <v>Qa</v>
      </c>
      <c r="F182" s="3" t="s">
        <v>162</v>
      </c>
      <c r="G182" s="3" t="s">
        <v>26</v>
      </c>
      <c r="H182" s="3" t="s">
        <v>19</v>
      </c>
      <c r="I182" s="3">
        <v>166315</v>
      </c>
      <c r="J182" s="3" t="s">
        <v>599</v>
      </c>
      <c r="K182" s="3">
        <v>6.6</v>
      </c>
      <c r="L182" s="3">
        <v>2.8</v>
      </c>
      <c r="M182" s="3" t="s">
        <v>35</v>
      </c>
      <c r="N182" s="7" t="s">
        <v>186</v>
      </c>
    </row>
    <row r="183" spans="1:14">
      <c r="A183" s="4" t="s">
        <v>600</v>
      </c>
      <c r="B183" s="4" t="s">
        <v>601</v>
      </c>
      <c r="C183" s="4" t="s">
        <v>83</v>
      </c>
      <c r="D183" s="4" t="s">
        <v>63</v>
      </c>
      <c r="E183" s="3" t="str">
        <f t="shared" si="2"/>
        <v>Product</v>
      </c>
      <c r="F183" s="4" t="s">
        <v>225</v>
      </c>
      <c r="G183" s="4" t="s">
        <v>214</v>
      </c>
      <c r="H183" s="4" t="s">
        <v>19</v>
      </c>
      <c r="I183" s="4">
        <v>116226</v>
      </c>
      <c r="J183" s="4" t="s">
        <v>602</v>
      </c>
      <c r="K183" s="4">
        <v>2.4</v>
      </c>
      <c r="L183" s="4">
        <v>2.1</v>
      </c>
      <c r="M183" s="4" t="s">
        <v>42</v>
      </c>
      <c r="N183" s="8" t="s">
        <v>490</v>
      </c>
    </row>
    <row r="184" spans="1:14">
      <c r="A184" s="3" t="s">
        <v>603</v>
      </c>
      <c r="B184" s="3" t="s">
        <v>604</v>
      </c>
      <c r="C184" s="3" t="s">
        <v>23</v>
      </c>
      <c r="D184" s="3" t="s">
        <v>16</v>
      </c>
      <c r="E184" s="3" t="str">
        <f t="shared" si="2"/>
        <v>Devops</v>
      </c>
      <c r="F184" s="3" t="s">
        <v>123</v>
      </c>
      <c r="G184" s="3" t="s">
        <v>46</v>
      </c>
      <c r="H184" s="3" t="s">
        <v>58</v>
      </c>
      <c r="I184" s="3">
        <v>136915</v>
      </c>
      <c r="J184" s="3" t="s">
        <v>605</v>
      </c>
      <c r="K184" s="3">
        <v>1.6</v>
      </c>
      <c r="L184" s="3">
        <v>4.0999999999999996</v>
      </c>
      <c r="M184" s="3" t="s">
        <v>35</v>
      </c>
      <c r="N184" s="7" t="s">
        <v>358</v>
      </c>
    </row>
    <row r="185" spans="1:14">
      <c r="A185" s="4" t="s">
        <v>606</v>
      </c>
      <c r="B185" s="4" t="s">
        <v>607</v>
      </c>
      <c r="C185" s="4" t="s">
        <v>23</v>
      </c>
      <c r="D185" s="4" t="s">
        <v>84</v>
      </c>
      <c r="E185" s="3" t="str">
        <f t="shared" si="2"/>
        <v>Hr</v>
      </c>
      <c r="F185" s="4" t="s">
        <v>204</v>
      </c>
      <c r="G185" s="4" t="s">
        <v>18</v>
      </c>
      <c r="H185" s="4" t="s">
        <v>19</v>
      </c>
      <c r="I185" s="4">
        <v>82984</v>
      </c>
      <c r="J185" s="4" t="s">
        <v>608</v>
      </c>
      <c r="K185" s="4">
        <v>3.9</v>
      </c>
      <c r="L185" s="4">
        <v>4.8</v>
      </c>
      <c r="M185" s="4" t="s">
        <v>29</v>
      </c>
      <c r="N185" s="8" t="s">
        <v>422</v>
      </c>
    </row>
    <row r="186" spans="1:14">
      <c r="A186" s="3" t="s">
        <v>609</v>
      </c>
      <c r="B186" s="3" t="s">
        <v>409</v>
      </c>
      <c r="C186" s="3" t="s">
        <v>15</v>
      </c>
      <c r="D186" s="3" t="s">
        <v>84</v>
      </c>
      <c r="E186" s="3" t="str">
        <f t="shared" si="2"/>
        <v>Hr</v>
      </c>
      <c r="F186" s="3" t="s">
        <v>138</v>
      </c>
      <c r="G186" s="3" t="s">
        <v>46</v>
      </c>
      <c r="H186" s="3" t="s">
        <v>58</v>
      </c>
      <c r="I186" s="3">
        <v>136568</v>
      </c>
      <c r="J186" s="3" t="s">
        <v>610</v>
      </c>
      <c r="K186" s="3">
        <v>5.4</v>
      </c>
      <c r="L186" s="3">
        <v>4</v>
      </c>
      <c r="M186" s="3" t="s">
        <v>35</v>
      </c>
      <c r="N186" s="7" t="s">
        <v>397</v>
      </c>
    </row>
    <row r="187" spans="1:14">
      <c r="A187" s="4" t="s">
        <v>611</v>
      </c>
      <c r="B187" s="4" t="s">
        <v>328</v>
      </c>
      <c r="C187" s="4" t="s">
        <v>57</v>
      </c>
      <c r="D187" s="4" t="s">
        <v>176</v>
      </c>
      <c r="E187" s="3" t="str">
        <f t="shared" si="2"/>
        <v>Finance</v>
      </c>
      <c r="F187" s="4" t="s">
        <v>359</v>
      </c>
      <c r="G187" s="4" t="s">
        <v>18</v>
      </c>
      <c r="H187" s="4" t="s">
        <v>19</v>
      </c>
      <c r="I187" s="4">
        <v>39577</v>
      </c>
      <c r="J187" s="4" t="s">
        <v>500</v>
      </c>
      <c r="K187" s="4">
        <v>3.8</v>
      </c>
      <c r="L187" s="4">
        <v>4</v>
      </c>
      <c r="M187" s="4" t="s">
        <v>35</v>
      </c>
      <c r="N187" s="8" t="s">
        <v>100</v>
      </c>
    </row>
    <row r="188" spans="1:14">
      <c r="A188" s="3" t="s">
        <v>612</v>
      </c>
      <c r="B188" s="3" t="s">
        <v>613</v>
      </c>
      <c r="C188" s="3" t="s">
        <v>57</v>
      </c>
      <c r="D188" s="3" t="s">
        <v>39</v>
      </c>
      <c r="E188" s="3" t="str">
        <f t="shared" si="2"/>
        <v>Engineering</v>
      </c>
      <c r="F188" s="3" t="s">
        <v>197</v>
      </c>
      <c r="G188" s="3" t="s">
        <v>172</v>
      </c>
      <c r="H188" s="3" t="s">
        <v>33</v>
      </c>
      <c r="I188" s="3">
        <v>189038</v>
      </c>
      <c r="J188" s="3" t="s">
        <v>614</v>
      </c>
      <c r="K188" s="3">
        <v>1.8</v>
      </c>
      <c r="L188" s="3">
        <v>3.2</v>
      </c>
      <c r="M188" s="3" t="s">
        <v>35</v>
      </c>
      <c r="N188" s="7" t="s">
        <v>403</v>
      </c>
    </row>
    <row r="189" spans="1:14">
      <c r="A189" s="4" t="s">
        <v>615</v>
      </c>
      <c r="B189" s="4" t="s">
        <v>616</v>
      </c>
      <c r="C189" s="4" t="s">
        <v>15</v>
      </c>
      <c r="D189" s="4" t="s">
        <v>118</v>
      </c>
      <c r="E189" s="3" t="str">
        <f t="shared" si="2"/>
        <v>Marketing</v>
      </c>
      <c r="F189" s="4" t="s">
        <v>254</v>
      </c>
      <c r="G189" s="4" t="s">
        <v>46</v>
      </c>
      <c r="H189" s="4" t="s">
        <v>33</v>
      </c>
      <c r="I189" s="4">
        <v>104855</v>
      </c>
      <c r="J189" s="4" t="s">
        <v>617</v>
      </c>
      <c r="K189" s="4">
        <v>3.4</v>
      </c>
      <c r="L189" s="4"/>
      <c r="M189" s="4" t="s">
        <v>35</v>
      </c>
      <c r="N189" s="8" t="s">
        <v>209</v>
      </c>
    </row>
    <row r="190" spans="1:14">
      <c r="A190" s="3" t="s">
        <v>618</v>
      </c>
      <c r="B190" s="3" t="s">
        <v>449</v>
      </c>
      <c r="C190" s="3" t="s">
        <v>57</v>
      </c>
      <c r="D190" s="3" t="s">
        <v>118</v>
      </c>
      <c r="E190" s="3" t="str">
        <f t="shared" si="2"/>
        <v>Marketing</v>
      </c>
      <c r="F190" s="3" t="s">
        <v>254</v>
      </c>
      <c r="G190" s="3" t="s">
        <v>75</v>
      </c>
      <c r="H190" s="3" t="s">
        <v>47</v>
      </c>
      <c r="I190" s="3">
        <v>145073</v>
      </c>
      <c r="J190" s="3" t="s">
        <v>619</v>
      </c>
      <c r="K190" s="3">
        <v>1.5</v>
      </c>
      <c r="L190" s="3">
        <v>2.9</v>
      </c>
      <c r="M190" s="3" t="s">
        <v>35</v>
      </c>
      <c r="N190" s="7" t="s">
        <v>170</v>
      </c>
    </row>
    <row r="191" spans="1:14">
      <c r="A191" s="4" t="s">
        <v>620</v>
      </c>
      <c r="B191" s="4" t="s">
        <v>196</v>
      </c>
      <c r="C191" s="4" t="s">
        <v>15</v>
      </c>
      <c r="D191" s="4" t="s">
        <v>39</v>
      </c>
      <c r="E191" s="3" t="str">
        <f t="shared" si="2"/>
        <v>Engineering</v>
      </c>
      <c r="F191" s="4" t="s">
        <v>40</v>
      </c>
      <c r="G191" s="4" t="s">
        <v>75</v>
      </c>
      <c r="H191" s="4" t="s">
        <v>47</v>
      </c>
      <c r="I191" s="4">
        <v>98046</v>
      </c>
      <c r="J191" s="4" t="s">
        <v>621</v>
      </c>
      <c r="K191" s="4">
        <v>4.4000000000000004</v>
      </c>
      <c r="L191" s="4">
        <v>2.6</v>
      </c>
      <c r="M191" s="4" t="s">
        <v>35</v>
      </c>
      <c r="N191" s="8" t="s">
        <v>390</v>
      </c>
    </row>
    <row r="192" spans="1:14">
      <c r="A192" s="3" t="s">
        <v>622</v>
      </c>
      <c r="B192" s="3" t="s">
        <v>200</v>
      </c>
      <c r="C192" s="3" t="s">
        <v>23</v>
      </c>
      <c r="D192" s="3" t="s">
        <v>410</v>
      </c>
      <c r="E192" s="3" t="str">
        <f t="shared" si="2"/>
        <v>Sales</v>
      </c>
      <c r="F192" s="3" t="s">
        <v>52</v>
      </c>
      <c r="G192" s="3" t="s">
        <v>214</v>
      </c>
      <c r="H192" s="3" t="s">
        <v>27</v>
      </c>
      <c r="I192" s="3">
        <v>149981</v>
      </c>
      <c r="J192" s="3" t="s">
        <v>623</v>
      </c>
      <c r="K192" s="3">
        <v>4.7</v>
      </c>
      <c r="L192" s="3">
        <v>1.6</v>
      </c>
      <c r="M192" s="3" t="s">
        <v>42</v>
      </c>
      <c r="N192" s="7" t="s">
        <v>147</v>
      </c>
    </row>
    <row r="193" spans="1:14">
      <c r="A193" s="4" t="s">
        <v>624</v>
      </c>
      <c r="B193" s="4" t="s">
        <v>625</v>
      </c>
      <c r="C193" s="4" t="s">
        <v>23</v>
      </c>
      <c r="D193" s="4" t="s">
        <v>16</v>
      </c>
      <c r="E193" s="3" t="str">
        <f t="shared" si="2"/>
        <v>Devops</v>
      </c>
      <c r="F193" s="4" t="s">
        <v>335</v>
      </c>
      <c r="G193" s="4" t="s">
        <v>149</v>
      </c>
      <c r="H193" s="4" t="s">
        <v>58</v>
      </c>
      <c r="I193" s="4">
        <v>144014</v>
      </c>
      <c r="J193" s="4" t="s">
        <v>626</v>
      </c>
      <c r="K193" s="4">
        <v>1.7</v>
      </c>
      <c r="L193" s="4">
        <v>4.5</v>
      </c>
      <c r="M193" s="4" t="s">
        <v>35</v>
      </c>
      <c r="N193" s="8" t="s">
        <v>575</v>
      </c>
    </row>
    <row r="194" spans="1:14">
      <c r="A194" s="3" t="s">
        <v>627</v>
      </c>
      <c r="B194" s="3" t="s">
        <v>628</v>
      </c>
      <c r="C194" s="3" t="s">
        <v>62</v>
      </c>
      <c r="D194" s="3" t="s">
        <v>84</v>
      </c>
      <c r="E194" s="3" t="str">
        <f t="shared" si="2"/>
        <v>Hr</v>
      </c>
      <c r="F194" s="3" t="s">
        <v>204</v>
      </c>
      <c r="G194" s="3" t="s">
        <v>75</v>
      </c>
      <c r="H194" s="3" t="s">
        <v>19</v>
      </c>
      <c r="I194" s="3"/>
      <c r="J194" s="3" t="s">
        <v>629</v>
      </c>
      <c r="K194" s="3">
        <v>4.4000000000000004</v>
      </c>
      <c r="L194" s="3">
        <v>2.1</v>
      </c>
      <c r="M194" s="3" t="s">
        <v>35</v>
      </c>
      <c r="N194" s="7" t="s">
        <v>538</v>
      </c>
    </row>
    <row r="195" spans="1:14">
      <c r="A195" s="4" t="s">
        <v>630</v>
      </c>
      <c r="B195" s="4" t="s">
        <v>631</v>
      </c>
      <c r="C195" s="4" t="s">
        <v>62</v>
      </c>
      <c r="D195" s="4" t="s">
        <v>118</v>
      </c>
      <c r="E195" s="3" t="str">
        <f t="shared" ref="E195:E258" si="3">PROPER(D195)</f>
        <v>Marketing</v>
      </c>
      <c r="F195" s="4" t="s">
        <v>181</v>
      </c>
      <c r="G195" s="4" t="s">
        <v>149</v>
      </c>
      <c r="H195" s="4" t="s">
        <v>19</v>
      </c>
      <c r="I195" s="4">
        <v>213196</v>
      </c>
      <c r="J195" s="4" t="s">
        <v>632</v>
      </c>
      <c r="K195" s="4">
        <v>2.1</v>
      </c>
      <c r="L195" s="4">
        <v>3.1</v>
      </c>
      <c r="M195" s="4" t="s">
        <v>42</v>
      </c>
      <c r="N195" s="8" t="s">
        <v>36</v>
      </c>
    </row>
    <row r="196" spans="1:14">
      <c r="A196" s="3" t="s">
        <v>633</v>
      </c>
      <c r="B196" s="3" t="s">
        <v>634</v>
      </c>
      <c r="C196" s="3" t="s">
        <v>83</v>
      </c>
      <c r="D196" s="3" t="s">
        <v>39</v>
      </c>
      <c r="E196" s="3" t="str">
        <f t="shared" si="3"/>
        <v>Engineering</v>
      </c>
      <c r="F196" s="3" t="s">
        <v>79</v>
      </c>
      <c r="G196" s="3" t="s">
        <v>149</v>
      </c>
      <c r="H196" s="3" t="s">
        <v>47</v>
      </c>
      <c r="I196" s="3">
        <v>94389</v>
      </c>
      <c r="J196" s="3" t="s">
        <v>635</v>
      </c>
      <c r="K196" s="3">
        <v>2</v>
      </c>
      <c r="L196" s="3">
        <v>4.2</v>
      </c>
      <c r="M196" s="3" t="s">
        <v>42</v>
      </c>
      <c r="N196" s="7" t="s">
        <v>490</v>
      </c>
    </row>
    <row r="197" spans="1:14">
      <c r="A197" s="4" t="s">
        <v>636</v>
      </c>
      <c r="B197" s="4" t="s">
        <v>637</v>
      </c>
      <c r="C197" s="4" t="s">
        <v>57</v>
      </c>
      <c r="D197" s="4" t="s">
        <v>16</v>
      </c>
      <c r="E197" s="3" t="str">
        <f t="shared" si="3"/>
        <v>Devops</v>
      </c>
      <c r="F197" s="4" t="s">
        <v>98</v>
      </c>
      <c r="G197" s="4" t="s">
        <v>172</v>
      </c>
      <c r="H197" s="4" t="s">
        <v>19</v>
      </c>
      <c r="I197" s="4">
        <v>218566</v>
      </c>
      <c r="J197" s="4" t="s">
        <v>593</v>
      </c>
      <c r="K197" s="4">
        <v>3.1</v>
      </c>
      <c r="L197" s="4">
        <v>4.9000000000000004</v>
      </c>
      <c r="M197" s="4" t="s">
        <v>35</v>
      </c>
      <c r="N197" s="8" t="s">
        <v>353</v>
      </c>
    </row>
    <row r="198" spans="1:14">
      <c r="A198" s="3" t="s">
        <v>638</v>
      </c>
      <c r="B198" s="3" t="s">
        <v>129</v>
      </c>
      <c r="C198" s="3" t="s">
        <v>15</v>
      </c>
      <c r="D198" s="3" t="s">
        <v>39</v>
      </c>
      <c r="E198" s="3" t="str">
        <f t="shared" si="3"/>
        <v>Engineering</v>
      </c>
      <c r="F198" s="3" t="s">
        <v>109</v>
      </c>
      <c r="G198" s="3" t="s">
        <v>214</v>
      </c>
      <c r="H198" s="3" t="s">
        <v>19</v>
      </c>
      <c r="I198" s="3">
        <v>36707</v>
      </c>
      <c r="J198" s="3" t="s">
        <v>639</v>
      </c>
      <c r="K198" s="3">
        <v>4.9000000000000004</v>
      </c>
      <c r="L198" s="3">
        <v>3.9</v>
      </c>
      <c r="M198" s="3" t="s">
        <v>29</v>
      </c>
      <c r="N198" s="7" t="s">
        <v>591</v>
      </c>
    </row>
    <row r="199" spans="1:14">
      <c r="A199" s="4" t="s">
        <v>640</v>
      </c>
      <c r="B199" s="4" t="s">
        <v>641</v>
      </c>
      <c r="C199" s="4" t="s">
        <v>15</v>
      </c>
      <c r="D199" s="4" t="s">
        <v>24</v>
      </c>
      <c r="E199" s="3" t="str">
        <f t="shared" si="3"/>
        <v>Design</v>
      </c>
      <c r="F199" s="4" t="s">
        <v>74</v>
      </c>
      <c r="G199" s="4" t="s">
        <v>18</v>
      </c>
      <c r="H199" s="4" t="s">
        <v>47</v>
      </c>
      <c r="I199" s="4">
        <v>23041</v>
      </c>
      <c r="J199" s="4" t="s">
        <v>642</v>
      </c>
      <c r="K199" s="4">
        <v>2.7</v>
      </c>
      <c r="L199" s="4">
        <v>2.7</v>
      </c>
      <c r="M199" s="4" t="s">
        <v>35</v>
      </c>
      <c r="N199" s="8" t="s">
        <v>103</v>
      </c>
    </row>
    <row r="200" spans="1:14">
      <c r="A200" s="3" t="s">
        <v>643</v>
      </c>
      <c r="B200" s="3" t="s">
        <v>644</v>
      </c>
      <c r="C200" s="3" t="s">
        <v>57</v>
      </c>
      <c r="D200" s="3" t="s">
        <v>84</v>
      </c>
      <c r="E200" s="3" t="str">
        <f t="shared" si="3"/>
        <v>Hr</v>
      </c>
      <c r="F200" s="3" t="s">
        <v>204</v>
      </c>
      <c r="G200" s="3" t="s">
        <v>172</v>
      </c>
      <c r="H200" s="3" t="s">
        <v>19</v>
      </c>
      <c r="I200" s="3">
        <v>113874</v>
      </c>
      <c r="J200" s="3" t="s">
        <v>645</v>
      </c>
      <c r="K200" s="3">
        <v>1.2</v>
      </c>
      <c r="L200" s="3">
        <v>2.7</v>
      </c>
      <c r="M200" s="3" t="s">
        <v>35</v>
      </c>
      <c r="N200" s="7" t="s">
        <v>206</v>
      </c>
    </row>
    <row r="201" spans="1:14">
      <c r="A201" s="4" t="s">
        <v>646</v>
      </c>
      <c r="B201" s="4" t="s">
        <v>647</v>
      </c>
      <c r="C201" s="4" t="s">
        <v>83</v>
      </c>
      <c r="D201" s="4" t="s">
        <v>24</v>
      </c>
      <c r="E201" s="3" t="str">
        <f t="shared" si="3"/>
        <v>Design</v>
      </c>
      <c r="F201" s="4" t="s">
        <v>25</v>
      </c>
      <c r="G201" s="4" t="s">
        <v>32</v>
      </c>
      <c r="H201" s="4" t="s">
        <v>19</v>
      </c>
      <c r="I201" s="4">
        <v>117488</v>
      </c>
      <c r="J201" s="4" t="s">
        <v>648</v>
      </c>
      <c r="K201" s="4">
        <v>5.2</v>
      </c>
      <c r="L201" s="4">
        <v>4.8</v>
      </c>
      <c r="M201" s="4" t="s">
        <v>35</v>
      </c>
      <c r="N201" s="8" t="s">
        <v>636</v>
      </c>
    </row>
    <row r="202" spans="1:14">
      <c r="A202" s="3" t="s">
        <v>649</v>
      </c>
      <c r="B202" s="3" t="s">
        <v>650</v>
      </c>
      <c r="C202" s="3" t="s">
        <v>62</v>
      </c>
      <c r="D202" s="3" t="s">
        <v>133</v>
      </c>
      <c r="E202" s="3" t="str">
        <f t="shared" si="3"/>
        <v>Qa</v>
      </c>
      <c r="F202" s="3" t="s">
        <v>134</v>
      </c>
      <c r="G202" s="3" t="s">
        <v>53</v>
      </c>
      <c r="H202" s="3" t="s">
        <v>47</v>
      </c>
      <c r="I202" s="3">
        <v>46510</v>
      </c>
      <c r="J202" s="3" t="s">
        <v>651</v>
      </c>
      <c r="K202" s="3">
        <v>4.0999999999999996</v>
      </c>
      <c r="L202" s="3">
        <v>4.2</v>
      </c>
      <c r="M202" s="3" t="s">
        <v>35</v>
      </c>
      <c r="N202" s="7" t="s">
        <v>620</v>
      </c>
    </row>
    <row r="203" spans="1:14">
      <c r="A203" s="4" t="s">
        <v>652</v>
      </c>
      <c r="B203" s="4" t="s">
        <v>175</v>
      </c>
      <c r="C203" s="4" t="s">
        <v>23</v>
      </c>
      <c r="D203" s="4" t="s">
        <v>63</v>
      </c>
      <c r="E203" s="3" t="str">
        <f t="shared" si="3"/>
        <v>Product</v>
      </c>
      <c r="F203" s="4" t="s">
        <v>225</v>
      </c>
      <c r="G203" s="4" t="s">
        <v>70</v>
      </c>
      <c r="H203" s="4" t="s">
        <v>27</v>
      </c>
      <c r="I203" s="4">
        <v>32605</v>
      </c>
      <c r="J203" s="4" t="s">
        <v>653</v>
      </c>
      <c r="K203" s="4">
        <v>0.7</v>
      </c>
      <c r="L203" s="4">
        <v>1.7</v>
      </c>
      <c r="M203" s="4" t="s">
        <v>29</v>
      </c>
      <c r="N203" s="8" t="s">
        <v>518</v>
      </c>
    </row>
    <row r="204" spans="1:14">
      <c r="A204" s="3" t="s">
        <v>654</v>
      </c>
      <c r="B204" s="3" t="s">
        <v>655</v>
      </c>
      <c r="C204" s="3" t="s">
        <v>38</v>
      </c>
      <c r="D204" s="3" t="s">
        <v>84</v>
      </c>
      <c r="E204" s="3" t="str">
        <f t="shared" si="3"/>
        <v>Hr</v>
      </c>
      <c r="F204" s="3" t="s">
        <v>204</v>
      </c>
      <c r="G204" s="3" t="s">
        <v>114</v>
      </c>
      <c r="H204" s="3" t="s">
        <v>19</v>
      </c>
      <c r="I204" s="3">
        <v>192636</v>
      </c>
      <c r="J204" s="3" t="s">
        <v>656</v>
      </c>
      <c r="K204" s="3">
        <v>5.7</v>
      </c>
      <c r="L204" s="3">
        <v>4.5999999999999996</v>
      </c>
      <c r="M204" s="3" t="s">
        <v>29</v>
      </c>
      <c r="N204" s="7" t="s">
        <v>151</v>
      </c>
    </row>
    <row r="205" spans="1:14">
      <c r="A205" s="4" t="s">
        <v>657</v>
      </c>
      <c r="B205" s="4" t="s">
        <v>658</v>
      </c>
      <c r="C205" s="4" t="s">
        <v>83</v>
      </c>
      <c r="D205" s="4" t="s">
        <v>39</v>
      </c>
      <c r="E205" s="3" t="str">
        <f t="shared" si="3"/>
        <v>Engineering</v>
      </c>
      <c r="F205" s="4" t="s">
        <v>242</v>
      </c>
      <c r="G205" s="4" t="s">
        <v>53</v>
      </c>
      <c r="H205" s="4" t="s">
        <v>27</v>
      </c>
      <c r="I205" s="4">
        <v>137740</v>
      </c>
      <c r="J205" s="4" t="s">
        <v>163</v>
      </c>
      <c r="K205" s="4">
        <v>6.9</v>
      </c>
      <c r="L205" s="4">
        <v>3.8</v>
      </c>
      <c r="M205" s="4" t="s">
        <v>29</v>
      </c>
      <c r="N205" s="8" t="s">
        <v>77</v>
      </c>
    </row>
    <row r="206" spans="1:14">
      <c r="A206" s="3" t="s">
        <v>659</v>
      </c>
      <c r="B206" s="3" t="s">
        <v>446</v>
      </c>
      <c r="C206" s="3" t="s">
        <v>23</v>
      </c>
      <c r="D206" s="3" t="s">
        <v>89</v>
      </c>
      <c r="E206" s="3" t="str">
        <f t="shared" si="3"/>
        <v>Data Science</v>
      </c>
      <c r="F206" s="3" t="s">
        <v>90</v>
      </c>
      <c r="G206" s="3" t="s">
        <v>53</v>
      </c>
      <c r="H206" s="3" t="s">
        <v>19</v>
      </c>
      <c r="I206" s="3">
        <v>167697</v>
      </c>
      <c r="J206" s="3" t="s">
        <v>660</v>
      </c>
      <c r="K206" s="3">
        <v>6.5</v>
      </c>
      <c r="L206" s="3">
        <v>4.9000000000000004</v>
      </c>
      <c r="M206" s="3" t="s">
        <v>42</v>
      </c>
      <c r="N206" s="7" t="s">
        <v>246</v>
      </c>
    </row>
    <row r="207" spans="1:14">
      <c r="A207" s="4" t="s">
        <v>661</v>
      </c>
      <c r="B207" s="4" t="s">
        <v>662</v>
      </c>
      <c r="C207" s="4" t="s">
        <v>57</v>
      </c>
      <c r="D207" s="4" t="s">
        <v>118</v>
      </c>
      <c r="E207" s="3" t="str">
        <f t="shared" si="3"/>
        <v>Marketing</v>
      </c>
      <c r="F207" s="4" t="s">
        <v>254</v>
      </c>
      <c r="G207" s="4" t="s">
        <v>70</v>
      </c>
      <c r="H207" s="4" t="s">
        <v>19</v>
      </c>
      <c r="I207" s="4">
        <v>219929</v>
      </c>
      <c r="J207" s="4" t="s">
        <v>663</v>
      </c>
      <c r="K207" s="4">
        <v>5.9</v>
      </c>
      <c r="L207" s="4">
        <v>3</v>
      </c>
      <c r="M207" s="4" t="s">
        <v>35</v>
      </c>
      <c r="N207" s="8" t="s">
        <v>390</v>
      </c>
    </row>
    <row r="208" spans="1:14">
      <c r="A208" s="3" t="s">
        <v>664</v>
      </c>
      <c r="B208" s="3" t="s">
        <v>665</v>
      </c>
      <c r="C208" s="3" t="s">
        <v>38</v>
      </c>
      <c r="D208" s="3" t="s">
        <v>16</v>
      </c>
      <c r="E208" s="3" t="str">
        <f t="shared" si="3"/>
        <v>Devops</v>
      </c>
      <c r="F208" s="3" t="s">
        <v>98</v>
      </c>
      <c r="G208" s="3" t="s">
        <v>18</v>
      </c>
      <c r="H208" s="3" t="s">
        <v>33</v>
      </c>
      <c r="I208" s="3">
        <v>174708</v>
      </c>
      <c r="J208" s="3" t="s">
        <v>666</v>
      </c>
      <c r="K208" s="3">
        <v>5.4</v>
      </c>
      <c r="L208" s="3">
        <v>2</v>
      </c>
      <c r="M208" s="3" t="s">
        <v>42</v>
      </c>
      <c r="N208" s="7" t="s">
        <v>611</v>
      </c>
    </row>
    <row r="209" spans="1:14">
      <c r="A209" s="4" t="s">
        <v>667</v>
      </c>
      <c r="B209" s="4" t="s">
        <v>668</v>
      </c>
      <c r="C209" s="4" t="s">
        <v>62</v>
      </c>
      <c r="D209" s="4" t="s">
        <v>51</v>
      </c>
      <c r="E209" s="3" t="str">
        <f t="shared" si="3"/>
        <v>Sales</v>
      </c>
      <c r="F209" s="4" t="s">
        <v>69</v>
      </c>
      <c r="G209" s="4" t="s">
        <v>214</v>
      </c>
      <c r="H209" s="4" t="s">
        <v>19</v>
      </c>
      <c r="I209" s="4">
        <v>143623</v>
      </c>
      <c r="J209" s="4" t="s">
        <v>669</v>
      </c>
      <c r="K209" s="4">
        <v>0.7</v>
      </c>
      <c r="L209" s="4">
        <v>2.4</v>
      </c>
      <c r="M209" s="4" t="s">
        <v>42</v>
      </c>
      <c r="N209" s="8" t="s">
        <v>611</v>
      </c>
    </row>
    <row r="210" spans="1:14">
      <c r="A210" s="3" t="s">
        <v>670</v>
      </c>
      <c r="B210" s="3" t="s">
        <v>425</v>
      </c>
      <c r="C210" s="3" t="s">
        <v>62</v>
      </c>
      <c r="D210" s="3" t="s">
        <v>51</v>
      </c>
      <c r="E210" s="3" t="str">
        <f t="shared" si="3"/>
        <v>Sales</v>
      </c>
      <c r="F210" s="3" t="s">
        <v>69</v>
      </c>
      <c r="G210" s="3" t="s">
        <v>149</v>
      </c>
      <c r="H210" s="3" t="s">
        <v>47</v>
      </c>
      <c r="I210" s="3">
        <v>188373</v>
      </c>
      <c r="J210" s="3" t="s">
        <v>671</v>
      </c>
      <c r="K210" s="3">
        <v>2.2000000000000002</v>
      </c>
      <c r="L210" s="3">
        <v>4.9000000000000004</v>
      </c>
      <c r="M210" s="3" t="s">
        <v>35</v>
      </c>
      <c r="N210" s="7" t="s">
        <v>442</v>
      </c>
    </row>
    <row r="211" spans="1:14">
      <c r="A211" s="4" t="s">
        <v>672</v>
      </c>
      <c r="B211" s="4" t="s">
        <v>673</v>
      </c>
      <c r="C211" s="4" t="s">
        <v>38</v>
      </c>
      <c r="D211" s="4" t="s">
        <v>51</v>
      </c>
      <c r="E211" s="3" t="str">
        <f t="shared" si="3"/>
        <v>Sales</v>
      </c>
      <c r="F211" s="4" t="s">
        <v>105</v>
      </c>
      <c r="G211" s="4" t="s">
        <v>32</v>
      </c>
      <c r="H211" s="4" t="s">
        <v>19</v>
      </c>
      <c r="I211" s="4">
        <v>75653</v>
      </c>
      <c r="J211" s="4" t="s">
        <v>674</v>
      </c>
      <c r="K211" s="4">
        <v>0.6</v>
      </c>
      <c r="L211" s="4">
        <v>4.5</v>
      </c>
      <c r="M211" s="4" t="s">
        <v>35</v>
      </c>
      <c r="N211" s="8" t="s">
        <v>259</v>
      </c>
    </row>
    <row r="212" spans="1:14">
      <c r="A212" s="3" t="s">
        <v>675</v>
      </c>
      <c r="B212" s="3" t="s">
        <v>650</v>
      </c>
      <c r="C212" s="3" t="s">
        <v>57</v>
      </c>
      <c r="D212" s="3" t="s">
        <v>63</v>
      </c>
      <c r="E212" s="3" t="str">
        <f t="shared" si="3"/>
        <v>Product</v>
      </c>
      <c r="F212" s="3" t="s">
        <v>64</v>
      </c>
      <c r="G212" s="3" t="s">
        <v>75</v>
      </c>
      <c r="H212" s="3" t="s">
        <v>58</v>
      </c>
      <c r="I212" s="3">
        <v>95895</v>
      </c>
      <c r="J212" s="3" t="s">
        <v>676</v>
      </c>
      <c r="K212" s="3">
        <v>0.7</v>
      </c>
      <c r="L212" s="3">
        <v>2.2000000000000002</v>
      </c>
      <c r="M212" s="3" t="s">
        <v>35</v>
      </c>
      <c r="N212" s="7" t="s">
        <v>638</v>
      </c>
    </row>
    <row r="213" spans="1:14">
      <c r="A213" s="4" t="s">
        <v>677</v>
      </c>
      <c r="B213" s="4" t="s">
        <v>678</v>
      </c>
      <c r="C213" s="4" t="s">
        <v>83</v>
      </c>
      <c r="D213" s="4" t="s">
        <v>16</v>
      </c>
      <c r="E213" s="3" t="str">
        <f t="shared" si="3"/>
        <v>Devops</v>
      </c>
      <c r="F213" s="4" t="s">
        <v>17</v>
      </c>
      <c r="G213" s="4" t="s">
        <v>18</v>
      </c>
      <c r="H213" s="4" t="s">
        <v>58</v>
      </c>
      <c r="I213" s="4">
        <v>55643</v>
      </c>
      <c r="J213" s="4" t="s">
        <v>679</v>
      </c>
      <c r="K213" s="4">
        <v>5.9</v>
      </c>
      <c r="L213" s="4">
        <v>3.8</v>
      </c>
      <c r="M213" s="4" t="s">
        <v>29</v>
      </c>
      <c r="N213" s="8" t="s">
        <v>353</v>
      </c>
    </row>
    <row r="214" spans="1:14">
      <c r="A214" s="3" t="s">
        <v>680</v>
      </c>
      <c r="B214" s="3" t="s">
        <v>681</v>
      </c>
      <c r="C214" s="3" t="s">
        <v>62</v>
      </c>
      <c r="D214" s="3" t="s">
        <v>24</v>
      </c>
      <c r="E214" s="3" t="str">
        <f t="shared" si="3"/>
        <v>Design</v>
      </c>
      <c r="F214" s="3" t="s">
        <v>25</v>
      </c>
      <c r="G214" s="3" t="s">
        <v>114</v>
      </c>
      <c r="H214" s="3" t="s">
        <v>19</v>
      </c>
      <c r="I214" s="3"/>
      <c r="J214" s="3" t="s">
        <v>682</v>
      </c>
      <c r="K214" s="3">
        <v>3.4</v>
      </c>
      <c r="L214" s="3">
        <v>2.2000000000000002</v>
      </c>
      <c r="M214" s="3" t="s">
        <v>35</v>
      </c>
      <c r="N214" s="7" t="s">
        <v>313</v>
      </c>
    </row>
    <row r="215" spans="1:14">
      <c r="A215" s="4" t="s">
        <v>683</v>
      </c>
      <c r="B215" s="4" t="s">
        <v>684</v>
      </c>
      <c r="C215" s="4" t="s">
        <v>15</v>
      </c>
      <c r="D215" s="4" t="s">
        <v>24</v>
      </c>
      <c r="E215" s="3" t="str">
        <f t="shared" si="3"/>
        <v>Design</v>
      </c>
      <c r="F215" s="4" t="s">
        <v>94</v>
      </c>
      <c r="G215" s="4" t="s">
        <v>70</v>
      </c>
      <c r="H215" s="4" t="s">
        <v>19</v>
      </c>
      <c r="I215" s="4">
        <v>122022</v>
      </c>
      <c r="J215" s="4" t="s">
        <v>685</v>
      </c>
      <c r="K215" s="4">
        <v>3</v>
      </c>
      <c r="L215" s="4">
        <v>4.7</v>
      </c>
      <c r="M215" s="4" t="s">
        <v>35</v>
      </c>
      <c r="N215" s="8" t="s">
        <v>511</v>
      </c>
    </row>
    <row r="216" spans="1:14">
      <c r="A216" s="3" t="s">
        <v>686</v>
      </c>
      <c r="B216" s="3" t="s">
        <v>554</v>
      </c>
      <c r="C216" s="3" t="s">
        <v>38</v>
      </c>
      <c r="D216" s="3" t="s">
        <v>24</v>
      </c>
      <c r="E216" s="3" t="str">
        <f t="shared" si="3"/>
        <v>Design</v>
      </c>
      <c r="F216" s="3" t="s">
        <v>74</v>
      </c>
      <c r="G216" s="3" t="s">
        <v>70</v>
      </c>
      <c r="H216" s="3" t="s">
        <v>58</v>
      </c>
      <c r="I216" s="3">
        <v>138776</v>
      </c>
      <c r="J216" s="3" t="s">
        <v>687</v>
      </c>
      <c r="K216" s="3">
        <v>5.4</v>
      </c>
      <c r="L216" s="3">
        <v>3</v>
      </c>
      <c r="M216" s="3" t="s">
        <v>35</v>
      </c>
      <c r="N216" s="7" t="s">
        <v>174</v>
      </c>
    </row>
    <row r="217" spans="1:14">
      <c r="A217" s="4" t="s">
        <v>688</v>
      </c>
      <c r="B217" s="4" t="s">
        <v>689</v>
      </c>
      <c r="C217" s="4" t="s">
        <v>23</v>
      </c>
      <c r="D217" s="4" t="s">
        <v>16</v>
      </c>
      <c r="E217" s="3" t="str">
        <f t="shared" si="3"/>
        <v>Devops</v>
      </c>
      <c r="F217" s="4" t="s">
        <v>123</v>
      </c>
      <c r="G217" s="4" t="s">
        <v>75</v>
      </c>
      <c r="H217" s="4" t="s">
        <v>19</v>
      </c>
      <c r="I217" s="4">
        <v>141830</v>
      </c>
      <c r="J217" s="4" t="s">
        <v>690</v>
      </c>
      <c r="K217" s="4">
        <v>3.1</v>
      </c>
      <c r="L217" s="4">
        <v>3.7</v>
      </c>
      <c r="M217" s="4" t="s">
        <v>35</v>
      </c>
      <c r="N217" s="8" t="s">
        <v>683</v>
      </c>
    </row>
    <row r="218" spans="1:14">
      <c r="A218" s="3" t="s">
        <v>691</v>
      </c>
      <c r="B218" s="3" t="s">
        <v>692</v>
      </c>
      <c r="C218" s="3" t="s">
        <v>62</v>
      </c>
      <c r="D218" s="3" t="s">
        <v>16</v>
      </c>
      <c r="E218" s="3" t="str">
        <f t="shared" si="3"/>
        <v>Devops</v>
      </c>
      <c r="F218" s="3" t="s">
        <v>123</v>
      </c>
      <c r="G218" s="3" t="s">
        <v>114</v>
      </c>
      <c r="H218" s="3" t="s">
        <v>19</v>
      </c>
      <c r="I218" s="3">
        <v>109779</v>
      </c>
      <c r="J218" s="3" t="s">
        <v>693</v>
      </c>
      <c r="K218" s="3">
        <v>6.1</v>
      </c>
      <c r="L218" s="3">
        <v>1.6</v>
      </c>
      <c r="M218" s="3" t="s">
        <v>35</v>
      </c>
      <c r="N218" s="7" t="s">
        <v>492</v>
      </c>
    </row>
    <row r="219" spans="1:14">
      <c r="A219" s="4" t="s">
        <v>694</v>
      </c>
      <c r="B219" s="4" t="s">
        <v>570</v>
      </c>
      <c r="C219" s="4" t="s">
        <v>62</v>
      </c>
      <c r="D219" s="4" t="s">
        <v>118</v>
      </c>
      <c r="E219" s="3" t="str">
        <f t="shared" si="3"/>
        <v>Marketing</v>
      </c>
      <c r="F219" s="4" t="s">
        <v>181</v>
      </c>
      <c r="G219" s="4" t="s">
        <v>149</v>
      </c>
      <c r="H219" s="4" t="s">
        <v>19</v>
      </c>
      <c r="I219" s="4">
        <v>61137</v>
      </c>
      <c r="J219" s="4" t="s">
        <v>695</v>
      </c>
      <c r="K219" s="4">
        <v>5.9</v>
      </c>
      <c r="L219" s="4">
        <v>4.4000000000000004</v>
      </c>
      <c r="M219" s="4" t="s">
        <v>35</v>
      </c>
      <c r="N219" s="8" t="s">
        <v>591</v>
      </c>
    </row>
    <row r="220" spans="1:14">
      <c r="A220" s="3" t="s">
        <v>696</v>
      </c>
      <c r="B220" s="3" t="s">
        <v>446</v>
      </c>
      <c r="C220" s="3" t="s">
        <v>23</v>
      </c>
      <c r="D220" s="3" t="s">
        <v>16</v>
      </c>
      <c r="E220" s="3" t="str">
        <f t="shared" si="3"/>
        <v>Devops</v>
      </c>
      <c r="F220" s="3" t="s">
        <v>335</v>
      </c>
      <c r="G220" s="3" t="s">
        <v>114</v>
      </c>
      <c r="H220" s="3" t="s">
        <v>33</v>
      </c>
      <c r="I220" s="3">
        <v>169180</v>
      </c>
      <c r="J220" s="3" t="s">
        <v>697</v>
      </c>
      <c r="K220" s="3">
        <v>1.7</v>
      </c>
      <c r="L220" s="3">
        <v>3.7</v>
      </c>
      <c r="M220" s="3" t="s">
        <v>35</v>
      </c>
      <c r="N220" s="7" t="s">
        <v>393</v>
      </c>
    </row>
    <row r="221" spans="1:14">
      <c r="A221" s="4" t="s">
        <v>698</v>
      </c>
      <c r="B221" s="4" t="s">
        <v>699</v>
      </c>
      <c r="C221" s="4" t="s">
        <v>15</v>
      </c>
      <c r="D221" s="4" t="s">
        <v>84</v>
      </c>
      <c r="E221" s="3" t="str">
        <f t="shared" si="3"/>
        <v>Hr</v>
      </c>
      <c r="F221" s="4" t="s">
        <v>138</v>
      </c>
      <c r="G221" s="4" t="s">
        <v>26</v>
      </c>
      <c r="H221" s="4" t="s">
        <v>19</v>
      </c>
      <c r="I221" s="4">
        <v>34054</v>
      </c>
      <c r="J221" s="4" t="s">
        <v>700</v>
      </c>
      <c r="K221" s="4">
        <v>6.3</v>
      </c>
      <c r="L221" s="4">
        <v>3.4</v>
      </c>
      <c r="M221" s="4" t="s">
        <v>29</v>
      </c>
      <c r="N221" s="8" t="s">
        <v>271</v>
      </c>
    </row>
    <row r="222" spans="1:14">
      <c r="A222" s="3" t="s">
        <v>701</v>
      </c>
      <c r="B222" s="3" t="s">
        <v>702</v>
      </c>
      <c r="C222" s="3" t="s">
        <v>83</v>
      </c>
      <c r="D222" s="3" t="s">
        <v>16</v>
      </c>
      <c r="E222" s="3" t="str">
        <f t="shared" si="3"/>
        <v>Devops</v>
      </c>
      <c r="F222" s="3" t="s">
        <v>335</v>
      </c>
      <c r="G222" s="3" t="s">
        <v>32</v>
      </c>
      <c r="H222" s="3" t="s">
        <v>27</v>
      </c>
      <c r="I222" s="3">
        <v>161737</v>
      </c>
      <c r="J222" s="3" t="s">
        <v>368</v>
      </c>
      <c r="K222" s="3">
        <v>3.1</v>
      </c>
      <c r="L222" s="3">
        <v>2.2000000000000002</v>
      </c>
      <c r="M222" s="3" t="s">
        <v>42</v>
      </c>
      <c r="N222" s="7" t="s">
        <v>294</v>
      </c>
    </row>
    <row r="223" spans="1:14">
      <c r="A223" s="4" t="s">
        <v>703</v>
      </c>
      <c r="B223" s="4" t="s">
        <v>561</v>
      </c>
      <c r="C223" s="4" t="s">
        <v>15</v>
      </c>
      <c r="D223" s="4" t="s">
        <v>89</v>
      </c>
      <c r="E223" s="3" t="str">
        <f t="shared" si="3"/>
        <v>Data Science</v>
      </c>
      <c r="F223" s="4" t="s">
        <v>113</v>
      </c>
      <c r="G223" s="4" t="s">
        <v>70</v>
      </c>
      <c r="H223" s="4" t="s">
        <v>58</v>
      </c>
      <c r="I223" s="4">
        <v>196785</v>
      </c>
      <c r="J223" s="4" t="s">
        <v>704</v>
      </c>
      <c r="K223" s="4">
        <v>1.5</v>
      </c>
      <c r="L223" s="4">
        <v>4.2</v>
      </c>
      <c r="M223" s="4" t="s">
        <v>35</v>
      </c>
      <c r="N223" s="8" t="s">
        <v>416</v>
      </c>
    </row>
    <row r="224" spans="1:14">
      <c r="A224" s="3" t="s">
        <v>705</v>
      </c>
      <c r="B224" s="3" t="s">
        <v>706</v>
      </c>
      <c r="C224" s="3" t="s">
        <v>62</v>
      </c>
      <c r="D224" s="3" t="s">
        <v>39</v>
      </c>
      <c r="E224" s="3" t="str">
        <f t="shared" si="3"/>
        <v>Engineering</v>
      </c>
      <c r="F224" s="3" t="s">
        <v>242</v>
      </c>
      <c r="G224" s="3" t="s">
        <v>32</v>
      </c>
      <c r="H224" s="3" t="s">
        <v>19</v>
      </c>
      <c r="I224" s="3">
        <v>195207</v>
      </c>
      <c r="J224" s="3" t="s">
        <v>707</v>
      </c>
      <c r="K224" s="3">
        <v>4.9000000000000004</v>
      </c>
      <c r="L224" s="3">
        <v>4.8</v>
      </c>
      <c r="M224" s="3" t="s">
        <v>35</v>
      </c>
      <c r="N224" s="7" t="s">
        <v>464</v>
      </c>
    </row>
    <row r="225" spans="1:14">
      <c r="A225" s="4" t="s">
        <v>708</v>
      </c>
      <c r="B225" s="4" t="s">
        <v>354</v>
      </c>
      <c r="C225" s="4" t="s">
        <v>23</v>
      </c>
      <c r="D225" s="4" t="s">
        <v>89</v>
      </c>
      <c r="E225" s="3" t="str">
        <f t="shared" si="3"/>
        <v>Data Science</v>
      </c>
      <c r="F225" s="4" t="s">
        <v>221</v>
      </c>
      <c r="G225" s="4" t="s">
        <v>46</v>
      </c>
      <c r="H225" s="4" t="s">
        <v>19</v>
      </c>
      <c r="I225" s="4">
        <v>127488</v>
      </c>
      <c r="J225" s="4" t="s">
        <v>709</v>
      </c>
      <c r="K225" s="4">
        <v>1.3</v>
      </c>
      <c r="L225" s="4">
        <v>2.1</v>
      </c>
      <c r="M225" s="4" t="s">
        <v>35</v>
      </c>
      <c r="N225" s="8" t="s">
        <v>633</v>
      </c>
    </row>
    <row r="226" spans="1:14">
      <c r="A226" s="3" t="s">
        <v>710</v>
      </c>
      <c r="B226" s="3" t="s">
        <v>37</v>
      </c>
      <c r="C226" s="3" t="s">
        <v>23</v>
      </c>
      <c r="D226" s="3" t="s">
        <v>24</v>
      </c>
      <c r="E226" s="3" t="str">
        <f t="shared" si="3"/>
        <v>Design</v>
      </c>
      <c r="F226" s="3" t="s">
        <v>74</v>
      </c>
      <c r="G226" s="3" t="s">
        <v>53</v>
      </c>
      <c r="H226" s="3" t="s">
        <v>19</v>
      </c>
      <c r="I226" s="3">
        <v>138000</v>
      </c>
      <c r="J226" s="3" t="s">
        <v>711</v>
      </c>
      <c r="K226" s="3">
        <v>2</v>
      </c>
      <c r="L226" s="3">
        <v>1.7</v>
      </c>
      <c r="M226" s="3" t="s">
        <v>35</v>
      </c>
      <c r="N226" s="7" t="s">
        <v>501</v>
      </c>
    </row>
    <row r="227" spans="1:14">
      <c r="A227" s="4" t="s">
        <v>712</v>
      </c>
      <c r="B227" s="4" t="s">
        <v>539</v>
      </c>
      <c r="C227" s="4" t="s">
        <v>23</v>
      </c>
      <c r="D227" s="4" t="s">
        <v>118</v>
      </c>
      <c r="E227" s="3" t="str">
        <f t="shared" si="3"/>
        <v>Marketing</v>
      </c>
      <c r="F227" s="4" t="s">
        <v>181</v>
      </c>
      <c r="G227" s="4" t="s">
        <v>149</v>
      </c>
      <c r="H227" s="4" t="s">
        <v>47</v>
      </c>
      <c r="I227" s="4">
        <v>29023</v>
      </c>
      <c r="J227" s="4" t="s">
        <v>713</v>
      </c>
      <c r="K227" s="4">
        <v>3.4</v>
      </c>
      <c r="L227" s="4">
        <v>1.8</v>
      </c>
      <c r="M227" s="4" t="s">
        <v>35</v>
      </c>
      <c r="N227" s="8" t="s">
        <v>603</v>
      </c>
    </row>
    <row r="228" spans="1:14">
      <c r="A228" s="3" t="s">
        <v>714</v>
      </c>
      <c r="B228" s="3" t="s">
        <v>715</v>
      </c>
      <c r="C228" s="3" t="s">
        <v>23</v>
      </c>
      <c r="D228" s="3" t="s">
        <v>63</v>
      </c>
      <c r="E228" s="3" t="str">
        <f t="shared" si="3"/>
        <v>Product</v>
      </c>
      <c r="F228" s="3" t="s">
        <v>64</v>
      </c>
      <c r="G228" s="3" t="s">
        <v>32</v>
      </c>
      <c r="H228" s="3" t="s">
        <v>33</v>
      </c>
      <c r="I228" s="3">
        <v>178207</v>
      </c>
      <c r="J228" s="3" t="s">
        <v>716</v>
      </c>
      <c r="K228" s="3">
        <v>1.2</v>
      </c>
      <c r="L228" s="3">
        <v>3.5</v>
      </c>
      <c r="M228" s="3" t="s">
        <v>35</v>
      </c>
      <c r="N228" s="7" t="s">
        <v>244</v>
      </c>
    </row>
    <row r="229" spans="1:14">
      <c r="A229" s="4" t="s">
        <v>717</v>
      </c>
      <c r="B229" s="4" t="s">
        <v>718</v>
      </c>
      <c r="C229" s="4" t="s">
        <v>15</v>
      </c>
      <c r="D229" s="4" t="s">
        <v>89</v>
      </c>
      <c r="E229" s="3" t="str">
        <f t="shared" si="3"/>
        <v>Data Science</v>
      </c>
      <c r="F229" s="4" t="s">
        <v>376</v>
      </c>
      <c r="G229" s="4" t="s">
        <v>65</v>
      </c>
      <c r="H229" s="4" t="s">
        <v>19</v>
      </c>
      <c r="I229" s="4">
        <v>146717</v>
      </c>
      <c r="J229" s="4" t="s">
        <v>719</v>
      </c>
      <c r="K229" s="4">
        <v>5.5</v>
      </c>
      <c r="L229" s="4">
        <v>1.7</v>
      </c>
      <c r="M229" s="4" t="s">
        <v>42</v>
      </c>
      <c r="N229" s="8" t="s">
        <v>490</v>
      </c>
    </row>
    <row r="230" spans="1:14">
      <c r="A230" s="3" t="s">
        <v>720</v>
      </c>
      <c r="B230" s="3" t="s">
        <v>721</v>
      </c>
      <c r="C230" s="3" t="s">
        <v>38</v>
      </c>
      <c r="D230" s="3" t="s">
        <v>24</v>
      </c>
      <c r="E230" s="3" t="str">
        <f t="shared" si="3"/>
        <v>Design</v>
      </c>
      <c r="F230" s="3" t="s">
        <v>25</v>
      </c>
      <c r="G230" s="3" t="s">
        <v>172</v>
      </c>
      <c r="H230" s="3" t="s">
        <v>27</v>
      </c>
      <c r="I230" s="3">
        <v>61180</v>
      </c>
      <c r="J230" s="3" t="s">
        <v>722</v>
      </c>
      <c r="K230" s="3">
        <v>1.5</v>
      </c>
      <c r="L230" s="3">
        <v>2</v>
      </c>
      <c r="M230" s="3" t="s">
        <v>42</v>
      </c>
      <c r="N230" s="7" t="s">
        <v>227</v>
      </c>
    </row>
    <row r="231" spans="1:14">
      <c r="A231" s="4" t="s">
        <v>723</v>
      </c>
      <c r="B231" s="4" t="s">
        <v>724</v>
      </c>
      <c r="C231" s="4" t="s">
        <v>23</v>
      </c>
      <c r="D231" s="4" t="s">
        <v>63</v>
      </c>
      <c r="E231" s="3" t="str">
        <f t="shared" si="3"/>
        <v>Product</v>
      </c>
      <c r="F231" s="4" t="s">
        <v>145</v>
      </c>
      <c r="G231" s="4" t="s">
        <v>65</v>
      </c>
      <c r="H231" s="4" t="s">
        <v>33</v>
      </c>
      <c r="I231" s="4">
        <v>133179</v>
      </c>
      <c r="J231" s="4" t="s">
        <v>725</v>
      </c>
      <c r="K231" s="4">
        <v>1.6</v>
      </c>
      <c r="L231" s="4">
        <v>3.7</v>
      </c>
      <c r="M231" s="4" t="s">
        <v>35</v>
      </c>
      <c r="N231" s="8" t="s">
        <v>49</v>
      </c>
    </row>
    <row r="232" spans="1:14">
      <c r="A232" s="3" t="s">
        <v>726</v>
      </c>
      <c r="B232" s="3" t="s">
        <v>727</v>
      </c>
      <c r="C232" s="3" t="s">
        <v>83</v>
      </c>
      <c r="D232" s="3" t="s">
        <v>39</v>
      </c>
      <c r="E232" s="3" t="str">
        <f t="shared" si="3"/>
        <v>Engineering</v>
      </c>
      <c r="F232" s="3" t="s">
        <v>242</v>
      </c>
      <c r="G232" s="3" t="s">
        <v>46</v>
      </c>
      <c r="H232" s="3" t="s">
        <v>58</v>
      </c>
      <c r="I232" s="3">
        <v>183033</v>
      </c>
      <c r="J232" s="3" t="s">
        <v>728</v>
      </c>
      <c r="K232" s="3">
        <v>2.2999999999999998</v>
      </c>
      <c r="L232" s="3">
        <v>2.9</v>
      </c>
      <c r="M232" s="3" t="s">
        <v>35</v>
      </c>
      <c r="N232" s="7" t="s">
        <v>125</v>
      </c>
    </row>
    <row r="233" spans="1:14">
      <c r="A233" s="4" t="s">
        <v>729</v>
      </c>
      <c r="B233" s="4" t="s">
        <v>730</v>
      </c>
      <c r="C233" s="4" t="s">
        <v>83</v>
      </c>
      <c r="D233" s="4" t="s">
        <v>133</v>
      </c>
      <c r="E233" s="3" t="str">
        <f t="shared" si="3"/>
        <v>Qa</v>
      </c>
      <c r="F233" s="4" t="s">
        <v>153</v>
      </c>
      <c r="G233" s="4" t="s">
        <v>65</v>
      </c>
      <c r="H233" s="4" t="s">
        <v>19</v>
      </c>
      <c r="I233" s="4">
        <v>37827</v>
      </c>
      <c r="J233" s="4" t="s">
        <v>731</v>
      </c>
      <c r="K233" s="4">
        <v>6.8</v>
      </c>
      <c r="L233" s="4">
        <v>1.5</v>
      </c>
      <c r="M233" s="4" t="s">
        <v>42</v>
      </c>
      <c r="N233" s="8" t="s">
        <v>279</v>
      </c>
    </row>
    <row r="234" spans="1:14">
      <c r="A234" s="3" t="s">
        <v>732</v>
      </c>
      <c r="B234" s="3" t="s">
        <v>733</v>
      </c>
      <c r="C234" s="3" t="s">
        <v>38</v>
      </c>
      <c r="D234" s="3" t="s">
        <v>16</v>
      </c>
      <c r="E234" s="3" t="str">
        <f t="shared" si="3"/>
        <v>Devops</v>
      </c>
      <c r="F234" s="3" t="s">
        <v>123</v>
      </c>
      <c r="G234" s="3" t="s">
        <v>214</v>
      </c>
      <c r="H234" s="3" t="s">
        <v>19</v>
      </c>
      <c r="I234" s="3">
        <v>147504</v>
      </c>
      <c r="J234" s="3" t="s">
        <v>734</v>
      </c>
      <c r="K234" s="3">
        <v>2.6</v>
      </c>
      <c r="L234" s="3">
        <v>4</v>
      </c>
      <c r="M234" s="3" t="s">
        <v>35</v>
      </c>
      <c r="N234" s="7" t="s">
        <v>533</v>
      </c>
    </row>
    <row r="235" spans="1:14">
      <c r="A235" s="4" t="s">
        <v>735</v>
      </c>
      <c r="B235" s="4" t="s">
        <v>736</v>
      </c>
      <c r="C235" s="4" t="s">
        <v>57</v>
      </c>
      <c r="D235" s="4" t="s">
        <v>24</v>
      </c>
      <c r="E235" s="3" t="str">
        <f t="shared" si="3"/>
        <v>Design</v>
      </c>
      <c r="F235" s="4" t="s">
        <v>25</v>
      </c>
      <c r="G235" s="4" t="s">
        <v>65</v>
      </c>
      <c r="H235" s="4" t="s">
        <v>33</v>
      </c>
      <c r="I235" s="4">
        <v>85041</v>
      </c>
      <c r="J235" s="4" t="s">
        <v>737</v>
      </c>
      <c r="K235" s="4">
        <v>5</v>
      </c>
      <c r="L235" s="4">
        <v>4.5</v>
      </c>
      <c r="M235" s="4" t="s">
        <v>35</v>
      </c>
      <c r="N235" s="8" t="s">
        <v>234</v>
      </c>
    </row>
    <row r="236" spans="1:14">
      <c r="A236" s="3" t="s">
        <v>738</v>
      </c>
      <c r="B236" s="3" t="s">
        <v>739</v>
      </c>
      <c r="C236" s="3" t="s">
        <v>83</v>
      </c>
      <c r="D236" s="3" t="s">
        <v>51</v>
      </c>
      <c r="E236" s="3" t="str">
        <f t="shared" si="3"/>
        <v>Sales</v>
      </c>
      <c r="F236" s="3" t="s">
        <v>105</v>
      </c>
      <c r="G236" s="3" t="s">
        <v>214</v>
      </c>
      <c r="H236" s="3" t="s">
        <v>19</v>
      </c>
      <c r="I236" s="3">
        <v>107744</v>
      </c>
      <c r="J236" s="3" t="s">
        <v>740</v>
      </c>
      <c r="K236" s="3">
        <v>4.2</v>
      </c>
      <c r="L236" s="3">
        <v>4.3</v>
      </c>
      <c r="M236" s="3" t="s">
        <v>35</v>
      </c>
      <c r="N236" s="7" t="s">
        <v>369</v>
      </c>
    </row>
    <row r="237" spans="1:14">
      <c r="A237" s="4" t="s">
        <v>741</v>
      </c>
      <c r="B237" s="4" t="s">
        <v>742</v>
      </c>
      <c r="C237" s="4" t="s">
        <v>23</v>
      </c>
      <c r="D237" s="4" t="s">
        <v>24</v>
      </c>
      <c r="E237" s="3" t="str">
        <f t="shared" si="3"/>
        <v>Design</v>
      </c>
      <c r="F237" s="4" t="s">
        <v>25</v>
      </c>
      <c r="G237" s="4" t="s">
        <v>75</v>
      </c>
      <c r="H237" s="4" t="s">
        <v>19</v>
      </c>
      <c r="I237" s="4">
        <v>106396</v>
      </c>
      <c r="J237" s="4" t="s">
        <v>743</v>
      </c>
      <c r="K237" s="4">
        <v>6</v>
      </c>
      <c r="L237" s="4">
        <v>3.1</v>
      </c>
      <c r="M237" s="4" t="s">
        <v>35</v>
      </c>
      <c r="N237" s="8" t="s">
        <v>116</v>
      </c>
    </row>
    <row r="238" spans="1:14">
      <c r="A238" s="3" t="s">
        <v>744</v>
      </c>
      <c r="B238" s="3" t="s">
        <v>641</v>
      </c>
      <c r="C238" s="3" t="s">
        <v>15</v>
      </c>
      <c r="D238" s="3" t="s">
        <v>558</v>
      </c>
      <c r="E238" s="3" t="str">
        <f t="shared" si="3"/>
        <v>Finance</v>
      </c>
      <c r="F238" s="3" t="s">
        <v>177</v>
      </c>
      <c r="G238" s="3" t="s">
        <v>32</v>
      </c>
      <c r="H238" s="3" t="s">
        <v>27</v>
      </c>
      <c r="I238" s="3">
        <v>115237</v>
      </c>
      <c r="J238" s="3" t="s">
        <v>745</v>
      </c>
      <c r="K238" s="3">
        <v>4</v>
      </c>
      <c r="L238" s="3">
        <v>2.9</v>
      </c>
      <c r="M238" s="3" t="s">
        <v>42</v>
      </c>
      <c r="N238" s="7" t="s">
        <v>385</v>
      </c>
    </row>
    <row r="239" spans="1:14">
      <c r="A239" s="4" t="s">
        <v>746</v>
      </c>
      <c r="B239" s="4" t="s">
        <v>747</v>
      </c>
      <c r="C239" s="4" t="s">
        <v>57</v>
      </c>
      <c r="D239" s="4" t="s">
        <v>84</v>
      </c>
      <c r="E239" s="3" t="str">
        <f t="shared" si="3"/>
        <v>Hr</v>
      </c>
      <c r="F239" s="4" t="s">
        <v>85</v>
      </c>
      <c r="G239" s="4" t="s">
        <v>172</v>
      </c>
      <c r="H239" s="4" t="s">
        <v>33</v>
      </c>
      <c r="I239" s="4">
        <v>207018</v>
      </c>
      <c r="J239" s="4" t="s">
        <v>748</v>
      </c>
      <c r="K239" s="4">
        <v>3.8</v>
      </c>
      <c r="L239" s="4">
        <v>2.8</v>
      </c>
      <c r="M239" s="4" t="s">
        <v>35</v>
      </c>
      <c r="N239" s="8" t="s">
        <v>448</v>
      </c>
    </row>
    <row r="240" spans="1:14">
      <c r="A240" s="3" t="s">
        <v>749</v>
      </c>
      <c r="B240" s="3" t="s">
        <v>750</v>
      </c>
      <c r="C240" s="3" t="s">
        <v>15</v>
      </c>
      <c r="D240" s="3" t="s">
        <v>89</v>
      </c>
      <c r="E240" s="3" t="str">
        <f t="shared" si="3"/>
        <v>Data Science</v>
      </c>
      <c r="F240" s="3" t="s">
        <v>113</v>
      </c>
      <c r="G240" s="3" t="s">
        <v>18</v>
      </c>
      <c r="H240" s="3" t="s">
        <v>19</v>
      </c>
      <c r="I240" s="3">
        <v>93086</v>
      </c>
      <c r="J240" s="3" t="s">
        <v>751</v>
      </c>
      <c r="K240" s="3">
        <v>5.4</v>
      </c>
      <c r="L240" s="3">
        <v>2.6</v>
      </c>
      <c r="M240" s="3" t="s">
        <v>35</v>
      </c>
      <c r="N240" s="7" t="s">
        <v>612</v>
      </c>
    </row>
    <row r="241" spans="1:14">
      <c r="A241" s="4" t="s">
        <v>752</v>
      </c>
      <c r="B241" s="4" t="s">
        <v>753</v>
      </c>
      <c r="C241" s="4" t="s">
        <v>15</v>
      </c>
      <c r="D241" s="4" t="s">
        <v>24</v>
      </c>
      <c r="E241" s="3" t="str">
        <f t="shared" si="3"/>
        <v>Design</v>
      </c>
      <c r="F241" s="4" t="s">
        <v>45</v>
      </c>
      <c r="G241" s="4" t="s">
        <v>114</v>
      </c>
      <c r="H241" s="4" t="s">
        <v>19</v>
      </c>
      <c r="I241" s="4">
        <v>29188</v>
      </c>
      <c r="J241" s="4" t="s">
        <v>754</v>
      </c>
      <c r="K241" s="4">
        <v>1.4</v>
      </c>
      <c r="L241" s="4">
        <v>3.9</v>
      </c>
      <c r="M241" s="4" t="s">
        <v>42</v>
      </c>
      <c r="N241" s="8" t="s">
        <v>515</v>
      </c>
    </row>
    <row r="242" spans="1:14">
      <c r="A242" s="3" t="s">
        <v>755</v>
      </c>
      <c r="B242" s="3" t="s">
        <v>756</v>
      </c>
      <c r="C242" s="3" t="s">
        <v>23</v>
      </c>
      <c r="D242" s="3" t="s">
        <v>63</v>
      </c>
      <c r="E242" s="3" t="str">
        <f t="shared" si="3"/>
        <v>Product</v>
      </c>
      <c r="F242" s="3" t="s">
        <v>64</v>
      </c>
      <c r="G242" s="3" t="s">
        <v>46</v>
      </c>
      <c r="H242" s="3" t="s">
        <v>19</v>
      </c>
      <c r="I242" s="3">
        <v>32539</v>
      </c>
      <c r="J242" s="3" t="s">
        <v>757</v>
      </c>
      <c r="K242" s="3">
        <v>2.8</v>
      </c>
      <c r="L242" s="3">
        <v>3.6</v>
      </c>
      <c r="M242" s="3" t="s">
        <v>42</v>
      </c>
      <c r="N242" s="7" t="s">
        <v>652</v>
      </c>
    </row>
    <row r="243" spans="1:14">
      <c r="A243" s="4" t="s">
        <v>758</v>
      </c>
      <c r="B243" s="4" t="s">
        <v>759</v>
      </c>
      <c r="C243" s="4" t="s">
        <v>38</v>
      </c>
      <c r="D243" s="4" t="s">
        <v>133</v>
      </c>
      <c r="E243" s="3" t="str">
        <f t="shared" si="3"/>
        <v>Qa</v>
      </c>
      <c r="F243" s="4" t="s">
        <v>134</v>
      </c>
      <c r="G243" s="4" t="s">
        <v>70</v>
      </c>
      <c r="H243" s="4" t="s">
        <v>19</v>
      </c>
      <c r="I243" s="4">
        <v>107162</v>
      </c>
      <c r="J243" s="4" t="s">
        <v>760</v>
      </c>
      <c r="K243" s="4">
        <v>2.6</v>
      </c>
      <c r="L243" s="4">
        <v>2.4</v>
      </c>
      <c r="M243" s="4" t="s">
        <v>29</v>
      </c>
      <c r="N243" s="8" t="s">
        <v>705</v>
      </c>
    </row>
    <row r="244" spans="1:14">
      <c r="A244" s="3" t="s">
        <v>761</v>
      </c>
      <c r="B244" s="3" t="s">
        <v>61</v>
      </c>
      <c r="C244" s="3" t="s">
        <v>83</v>
      </c>
      <c r="D244" s="3" t="s">
        <v>118</v>
      </c>
      <c r="E244" s="3" t="str">
        <f t="shared" si="3"/>
        <v>Marketing</v>
      </c>
      <c r="F244" s="3" t="s">
        <v>181</v>
      </c>
      <c r="G244" s="3" t="s">
        <v>18</v>
      </c>
      <c r="H244" s="3" t="s">
        <v>47</v>
      </c>
      <c r="I244" s="3">
        <v>30456</v>
      </c>
      <c r="J244" s="3" t="s">
        <v>762</v>
      </c>
      <c r="K244" s="3">
        <v>2.6</v>
      </c>
      <c r="L244" s="3">
        <v>2</v>
      </c>
      <c r="M244" s="3" t="s">
        <v>35</v>
      </c>
      <c r="N244" s="7" t="s">
        <v>654</v>
      </c>
    </row>
    <row r="245" spans="1:14">
      <c r="A245" s="4" t="s">
        <v>763</v>
      </c>
      <c r="B245" s="4" t="s">
        <v>187</v>
      </c>
      <c r="C245" s="4" t="s">
        <v>23</v>
      </c>
      <c r="D245" s="4" t="s">
        <v>51</v>
      </c>
      <c r="E245" s="3" t="str">
        <f t="shared" si="3"/>
        <v>Sales</v>
      </c>
      <c r="F245" s="4" t="s">
        <v>52</v>
      </c>
      <c r="G245" s="4" t="s">
        <v>114</v>
      </c>
      <c r="H245" s="4" t="s">
        <v>33</v>
      </c>
      <c r="I245" s="4">
        <v>212941</v>
      </c>
      <c r="J245" s="4" t="s">
        <v>764</v>
      </c>
      <c r="K245" s="4">
        <v>6.4</v>
      </c>
      <c r="L245" s="4">
        <v>4.4000000000000004</v>
      </c>
      <c r="M245" s="4" t="s">
        <v>29</v>
      </c>
      <c r="N245" s="8" t="s">
        <v>147</v>
      </c>
    </row>
    <row r="246" spans="1:14">
      <c r="A246" s="3" t="s">
        <v>765</v>
      </c>
      <c r="B246" s="3" t="s">
        <v>766</v>
      </c>
      <c r="C246" s="3" t="s">
        <v>38</v>
      </c>
      <c r="D246" s="3" t="s">
        <v>89</v>
      </c>
      <c r="E246" s="3" t="str">
        <f t="shared" si="3"/>
        <v>Data Science</v>
      </c>
      <c r="F246" s="3" t="s">
        <v>221</v>
      </c>
      <c r="G246" s="3" t="s">
        <v>46</v>
      </c>
      <c r="H246" s="3" t="s">
        <v>19</v>
      </c>
      <c r="I246" s="3">
        <v>145462</v>
      </c>
      <c r="J246" s="3" t="s">
        <v>767</v>
      </c>
      <c r="K246" s="3">
        <v>2.2999999999999998</v>
      </c>
      <c r="L246" s="3">
        <v>2.1</v>
      </c>
      <c r="M246" s="3" t="s">
        <v>42</v>
      </c>
      <c r="N246" s="7" t="s">
        <v>717</v>
      </c>
    </row>
    <row r="247" spans="1:14">
      <c r="A247" s="4" t="s">
        <v>768</v>
      </c>
      <c r="B247" s="4" t="s">
        <v>769</v>
      </c>
      <c r="C247" s="4" t="s">
        <v>57</v>
      </c>
      <c r="D247" s="4" t="s">
        <v>176</v>
      </c>
      <c r="E247" s="3" t="str">
        <f t="shared" si="3"/>
        <v>Finance</v>
      </c>
      <c r="F247" s="4" t="s">
        <v>229</v>
      </c>
      <c r="G247" s="4" t="s">
        <v>214</v>
      </c>
      <c r="H247" s="4" t="s">
        <v>19</v>
      </c>
      <c r="I247" s="4">
        <v>90829</v>
      </c>
      <c r="J247" s="4" t="s">
        <v>770</v>
      </c>
      <c r="K247" s="4">
        <v>1.2</v>
      </c>
      <c r="L247" s="4">
        <v>4</v>
      </c>
      <c r="M247" s="4" t="s">
        <v>35</v>
      </c>
      <c r="N247" s="8" t="s">
        <v>430</v>
      </c>
    </row>
    <row r="248" spans="1:14">
      <c r="A248" s="3" t="s">
        <v>771</v>
      </c>
      <c r="B248" s="3" t="s">
        <v>772</v>
      </c>
      <c r="C248" s="3" t="s">
        <v>57</v>
      </c>
      <c r="D248" s="3" t="s">
        <v>118</v>
      </c>
      <c r="E248" s="3" t="str">
        <f t="shared" si="3"/>
        <v>Marketing</v>
      </c>
      <c r="F248" s="3" t="s">
        <v>254</v>
      </c>
      <c r="G248" s="3" t="s">
        <v>172</v>
      </c>
      <c r="H248" s="3" t="s">
        <v>58</v>
      </c>
      <c r="I248" s="3">
        <v>128917</v>
      </c>
      <c r="J248" s="3" t="s">
        <v>773</v>
      </c>
      <c r="K248" s="3">
        <v>1.6</v>
      </c>
      <c r="L248" s="3"/>
      <c r="M248" s="3" t="s">
        <v>42</v>
      </c>
      <c r="N248" s="7" t="s">
        <v>164</v>
      </c>
    </row>
    <row r="249" spans="1:14">
      <c r="A249" s="4" t="s">
        <v>774</v>
      </c>
      <c r="B249" s="4" t="s">
        <v>775</v>
      </c>
      <c r="C249" s="4" t="s">
        <v>38</v>
      </c>
      <c r="D249" s="4" t="s">
        <v>89</v>
      </c>
      <c r="E249" s="3" t="str">
        <f t="shared" si="3"/>
        <v>Data Science</v>
      </c>
      <c r="F249" s="4" t="s">
        <v>221</v>
      </c>
      <c r="G249" s="4" t="s">
        <v>114</v>
      </c>
      <c r="H249" s="4" t="s">
        <v>27</v>
      </c>
      <c r="I249" s="4">
        <v>182705</v>
      </c>
      <c r="J249" s="4" t="s">
        <v>776</v>
      </c>
      <c r="K249" s="4">
        <v>2.2999999999999998</v>
      </c>
      <c r="L249" s="4"/>
      <c r="M249" s="4" t="s">
        <v>35</v>
      </c>
      <c r="N249" s="8" t="s">
        <v>268</v>
      </c>
    </row>
    <row r="250" spans="1:14">
      <c r="A250" s="3" t="s">
        <v>777</v>
      </c>
      <c r="B250" s="3" t="s">
        <v>702</v>
      </c>
      <c r="C250" s="3" t="s">
        <v>23</v>
      </c>
      <c r="D250" s="3" t="s">
        <v>778</v>
      </c>
      <c r="E250" s="3" t="str">
        <f t="shared" si="3"/>
        <v>Product</v>
      </c>
      <c r="F250" s="3" t="s">
        <v>64</v>
      </c>
      <c r="G250" s="3" t="s">
        <v>172</v>
      </c>
      <c r="H250" s="3" t="s">
        <v>19</v>
      </c>
      <c r="I250" s="3">
        <v>140721</v>
      </c>
      <c r="J250" s="3" t="s">
        <v>779</v>
      </c>
      <c r="K250" s="3">
        <v>6.2</v>
      </c>
      <c r="L250" s="3">
        <v>2.1</v>
      </c>
      <c r="M250" s="3" t="s">
        <v>42</v>
      </c>
      <c r="N250" s="7" t="s">
        <v>553</v>
      </c>
    </row>
    <row r="251" spans="1:14">
      <c r="A251" s="4" t="s">
        <v>780</v>
      </c>
      <c r="B251" s="4" t="s">
        <v>263</v>
      </c>
      <c r="C251" s="4" t="s">
        <v>57</v>
      </c>
      <c r="D251" s="4" t="s">
        <v>51</v>
      </c>
      <c r="E251" s="3" t="str">
        <f t="shared" si="3"/>
        <v>Sales</v>
      </c>
      <c r="F251" s="4" t="s">
        <v>52</v>
      </c>
      <c r="G251" s="4" t="s">
        <v>18</v>
      </c>
      <c r="H251" s="4" t="s">
        <v>19</v>
      </c>
      <c r="I251" s="4">
        <v>91647</v>
      </c>
      <c r="J251" s="4" t="s">
        <v>781</v>
      </c>
      <c r="K251" s="4">
        <v>0.7</v>
      </c>
      <c r="L251" s="4">
        <v>2</v>
      </c>
      <c r="M251" s="4" t="s">
        <v>42</v>
      </c>
      <c r="N251" s="8" t="s">
        <v>356</v>
      </c>
    </row>
    <row r="252" spans="1:14">
      <c r="A252" s="3" t="s">
        <v>782</v>
      </c>
      <c r="B252" s="3" t="s">
        <v>88</v>
      </c>
      <c r="C252" s="3" t="s">
        <v>57</v>
      </c>
      <c r="D252" s="3" t="s">
        <v>24</v>
      </c>
      <c r="E252" s="3" t="str">
        <f t="shared" si="3"/>
        <v>Design</v>
      </c>
      <c r="F252" s="3" t="s">
        <v>25</v>
      </c>
      <c r="G252" s="3" t="s">
        <v>18</v>
      </c>
      <c r="H252" s="3" t="s">
        <v>47</v>
      </c>
      <c r="I252" s="3"/>
      <c r="J252" s="3" t="s">
        <v>783</v>
      </c>
      <c r="K252" s="3">
        <v>5.3</v>
      </c>
      <c r="L252" s="3">
        <v>3.4</v>
      </c>
      <c r="M252" s="3" t="s">
        <v>42</v>
      </c>
      <c r="N252" s="7" t="s">
        <v>209</v>
      </c>
    </row>
    <row r="253" spans="1:14">
      <c r="A253" s="4" t="s">
        <v>784</v>
      </c>
      <c r="B253" s="4" t="s">
        <v>785</v>
      </c>
      <c r="C253" s="4" t="s">
        <v>57</v>
      </c>
      <c r="D253" s="4" t="s">
        <v>24</v>
      </c>
      <c r="E253" s="3" t="str">
        <f t="shared" si="3"/>
        <v>Design</v>
      </c>
      <c r="F253" s="4" t="s">
        <v>45</v>
      </c>
      <c r="G253" s="4" t="s">
        <v>114</v>
      </c>
      <c r="H253" s="4" t="s">
        <v>27</v>
      </c>
      <c r="I253" s="4">
        <v>93662</v>
      </c>
      <c r="J253" s="4" t="s">
        <v>786</v>
      </c>
      <c r="K253" s="4">
        <v>4.8</v>
      </c>
      <c r="L253" s="4">
        <v>4.7</v>
      </c>
      <c r="M253" s="4" t="s">
        <v>42</v>
      </c>
      <c r="N253" s="8" t="s">
        <v>382</v>
      </c>
    </row>
    <row r="254" spans="1:14">
      <c r="A254" s="3" t="s">
        <v>787</v>
      </c>
      <c r="B254" s="3" t="s">
        <v>788</v>
      </c>
      <c r="C254" s="3" t="s">
        <v>62</v>
      </c>
      <c r="D254" s="3" t="s">
        <v>63</v>
      </c>
      <c r="E254" s="3" t="str">
        <f t="shared" si="3"/>
        <v>Product</v>
      </c>
      <c r="F254" s="3" t="s">
        <v>64</v>
      </c>
      <c r="G254" s="3" t="s">
        <v>75</v>
      </c>
      <c r="H254" s="3" t="s">
        <v>33</v>
      </c>
      <c r="I254" s="3">
        <v>90707</v>
      </c>
      <c r="J254" s="3" t="s">
        <v>789</v>
      </c>
      <c r="K254" s="3">
        <v>6.6</v>
      </c>
      <c r="L254" s="3">
        <v>2</v>
      </c>
      <c r="M254" s="3" t="s">
        <v>29</v>
      </c>
      <c r="N254" s="7" t="s">
        <v>265</v>
      </c>
    </row>
    <row r="255" spans="1:14">
      <c r="A255" s="4" t="s">
        <v>790</v>
      </c>
      <c r="B255" s="4" t="s">
        <v>791</v>
      </c>
      <c r="C255" s="4" t="s">
        <v>83</v>
      </c>
      <c r="D255" s="4" t="s">
        <v>176</v>
      </c>
      <c r="E255" s="3" t="str">
        <f t="shared" si="3"/>
        <v>Finance</v>
      </c>
      <c r="F255" s="4" t="s">
        <v>359</v>
      </c>
      <c r="G255" s="4" t="s">
        <v>32</v>
      </c>
      <c r="H255" s="4" t="s">
        <v>19</v>
      </c>
      <c r="I255" s="4">
        <v>27922</v>
      </c>
      <c r="J255" s="4" t="s">
        <v>792</v>
      </c>
      <c r="K255" s="4">
        <v>0.9</v>
      </c>
      <c r="L255" s="4">
        <v>2.9</v>
      </c>
      <c r="M255" s="4" t="s">
        <v>35</v>
      </c>
      <c r="N255" s="8" t="s">
        <v>672</v>
      </c>
    </row>
    <row r="256" spans="1:14">
      <c r="A256" s="3" t="s">
        <v>793</v>
      </c>
      <c r="B256" s="3" t="s">
        <v>126</v>
      </c>
      <c r="C256" s="3" t="s">
        <v>38</v>
      </c>
      <c r="D256" s="3" t="s">
        <v>24</v>
      </c>
      <c r="E256" s="3" t="str">
        <f t="shared" si="3"/>
        <v>Design</v>
      </c>
      <c r="F256" s="3" t="s">
        <v>25</v>
      </c>
      <c r="G256" s="3" t="s">
        <v>53</v>
      </c>
      <c r="H256" s="3" t="s">
        <v>27</v>
      </c>
      <c r="I256" s="3"/>
      <c r="J256" s="3" t="s">
        <v>794</v>
      </c>
      <c r="K256" s="3">
        <v>7</v>
      </c>
      <c r="L256" s="3">
        <v>3.7</v>
      </c>
      <c r="M256" s="3" t="s">
        <v>42</v>
      </c>
      <c r="N256" s="7" t="s">
        <v>675</v>
      </c>
    </row>
    <row r="257" spans="1:14">
      <c r="A257" s="4" t="s">
        <v>795</v>
      </c>
      <c r="B257" s="4" t="s">
        <v>681</v>
      </c>
      <c r="C257" s="4" t="s">
        <v>15</v>
      </c>
      <c r="D257" s="4" t="s">
        <v>63</v>
      </c>
      <c r="E257" s="3" t="str">
        <f t="shared" si="3"/>
        <v>Product</v>
      </c>
      <c r="F257" s="4" t="s">
        <v>225</v>
      </c>
      <c r="G257" s="4" t="s">
        <v>65</v>
      </c>
      <c r="H257" s="4" t="s">
        <v>47</v>
      </c>
      <c r="I257" s="4">
        <v>181886</v>
      </c>
      <c r="J257" s="4" t="s">
        <v>796</v>
      </c>
      <c r="K257" s="4">
        <v>0.9</v>
      </c>
      <c r="L257" s="4">
        <v>2.8</v>
      </c>
      <c r="M257" s="4" t="s">
        <v>35</v>
      </c>
      <c r="N257" s="8" t="s">
        <v>652</v>
      </c>
    </row>
    <row r="258" spans="1:14">
      <c r="A258" s="3" t="s">
        <v>797</v>
      </c>
      <c r="B258" s="3" t="s">
        <v>798</v>
      </c>
      <c r="C258" s="3" t="s">
        <v>23</v>
      </c>
      <c r="D258" s="3" t="s">
        <v>89</v>
      </c>
      <c r="E258" s="3" t="str">
        <f t="shared" si="3"/>
        <v>Data Science</v>
      </c>
      <c r="F258" s="3" t="s">
        <v>113</v>
      </c>
      <c r="G258" s="3" t="s">
        <v>75</v>
      </c>
      <c r="H258" s="3" t="s">
        <v>19</v>
      </c>
      <c r="I258" s="3">
        <v>73853</v>
      </c>
      <c r="J258" s="3" t="s">
        <v>315</v>
      </c>
      <c r="K258" s="3">
        <v>0.6</v>
      </c>
      <c r="L258" s="3">
        <v>2.2999999999999998</v>
      </c>
      <c r="M258" s="3" t="s">
        <v>35</v>
      </c>
      <c r="N258" s="7" t="s">
        <v>303</v>
      </c>
    </row>
    <row r="259" spans="1:14">
      <c r="A259" s="4" t="s">
        <v>799</v>
      </c>
      <c r="B259" s="4" t="s">
        <v>323</v>
      </c>
      <c r="C259" s="4" t="s">
        <v>62</v>
      </c>
      <c r="D259" s="4" t="s">
        <v>176</v>
      </c>
      <c r="E259" s="3" t="str">
        <f t="shared" ref="E259:E322" si="4">PROPER(D259)</f>
        <v>Finance</v>
      </c>
      <c r="F259" s="4" t="s">
        <v>177</v>
      </c>
      <c r="G259" s="4" t="s">
        <v>53</v>
      </c>
      <c r="H259" s="4" t="s">
        <v>19</v>
      </c>
      <c r="I259" s="4">
        <v>115955</v>
      </c>
      <c r="J259" s="4" t="s">
        <v>800</v>
      </c>
      <c r="K259" s="4">
        <v>4.7</v>
      </c>
      <c r="L259" s="4">
        <v>3.7</v>
      </c>
      <c r="M259" s="4" t="s">
        <v>35</v>
      </c>
      <c r="N259" s="8" t="s">
        <v>501</v>
      </c>
    </row>
    <row r="260" spans="1:14">
      <c r="A260" s="3" t="s">
        <v>801</v>
      </c>
      <c r="B260" s="3" t="s">
        <v>802</v>
      </c>
      <c r="C260" s="3" t="s">
        <v>23</v>
      </c>
      <c r="D260" s="3" t="s">
        <v>133</v>
      </c>
      <c r="E260" s="3" t="str">
        <f t="shared" si="4"/>
        <v>Qa</v>
      </c>
      <c r="F260" s="3" t="s">
        <v>153</v>
      </c>
      <c r="G260" s="3" t="s">
        <v>53</v>
      </c>
      <c r="H260" s="3" t="s">
        <v>19</v>
      </c>
      <c r="I260" s="3"/>
      <c r="J260" s="3" t="s">
        <v>803</v>
      </c>
      <c r="K260" s="3">
        <v>1.7</v>
      </c>
      <c r="L260" s="3">
        <v>3</v>
      </c>
      <c r="M260" s="3" t="s">
        <v>29</v>
      </c>
      <c r="N260" s="7" t="s">
        <v>765</v>
      </c>
    </row>
    <row r="261" spans="1:14">
      <c r="A261" s="4" t="s">
        <v>804</v>
      </c>
      <c r="B261" s="4" t="s">
        <v>420</v>
      </c>
      <c r="C261" s="4" t="s">
        <v>38</v>
      </c>
      <c r="D261" s="4" t="s">
        <v>16</v>
      </c>
      <c r="E261" s="3" t="str">
        <f t="shared" si="4"/>
        <v>Devops</v>
      </c>
      <c r="F261" s="4" t="s">
        <v>98</v>
      </c>
      <c r="G261" s="4" t="s">
        <v>53</v>
      </c>
      <c r="H261" s="4" t="s">
        <v>27</v>
      </c>
      <c r="I261" s="4">
        <v>65721</v>
      </c>
      <c r="J261" s="4" t="s">
        <v>805</v>
      </c>
      <c r="K261" s="4">
        <v>2.4</v>
      </c>
      <c r="L261" s="4">
        <v>3.5</v>
      </c>
      <c r="M261" s="4" t="s">
        <v>42</v>
      </c>
      <c r="N261" s="8" t="s">
        <v>544</v>
      </c>
    </row>
    <row r="262" spans="1:14">
      <c r="A262" s="3" t="s">
        <v>806</v>
      </c>
      <c r="B262" s="3" t="s">
        <v>452</v>
      </c>
      <c r="C262" s="3" t="s">
        <v>38</v>
      </c>
      <c r="D262" s="3" t="s">
        <v>84</v>
      </c>
      <c r="E262" s="3" t="str">
        <f t="shared" si="4"/>
        <v>Hr</v>
      </c>
      <c r="F262" s="3" t="s">
        <v>204</v>
      </c>
      <c r="G262" s="3" t="s">
        <v>46</v>
      </c>
      <c r="H262" s="3" t="s">
        <v>47</v>
      </c>
      <c r="I262" s="3">
        <v>91697</v>
      </c>
      <c r="J262" s="3" t="s">
        <v>807</v>
      </c>
      <c r="K262" s="3">
        <v>2.1</v>
      </c>
      <c r="L262" s="3">
        <v>3.3</v>
      </c>
      <c r="M262" s="3" t="s">
        <v>29</v>
      </c>
      <c r="N262" s="7" t="s">
        <v>726</v>
      </c>
    </row>
    <row r="263" spans="1:14">
      <c r="A263" s="4" t="s">
        <v>808</v>
      </c>
      <c r="B263" s="4" t="s">
        <v>341</v>
      </c>
      <c r="C263" s="4" t="s">
        <v>15</v>
      </c>
      <c r="D263" s="4" t="s">
        <v>24</v>
      </c>
      <c r="E263" s="3" t="str">
        <f t="shared" si="4"/>
        <v>Design</v>
      </c>
      <c r="F263" s="4" t="s">
        <v>94</v>
      </c>
      <c r="G263" s="4" t="s">
        <v>214</v>
      </c>
      <c r="H263" s="4" t="s">
        <v>19</v>
      </c>
      <c r="I263" s="4">
        <v>179557</v>
      </c>
      <c r="J263" s="4" t="s">
        <v>809</v>
      </c>
      <c r="K263" s="4">
        <v>1</v>
      </c>
      <c r="L263" s="4">
        <v>2.4</v>
      </c>
      <c r="M263" s="4" t="s">
        <v>42</v>
      </c>
      <c r="N263" s="8" t="s">
        <v>646</v>
      </c>
    </row>
    <row r="264" spans="1:14">
      <c r="A264" s="3" t="s">
        <v>810</v>
      </c>
      <c r="B264" s="3" t="s">
        <v>811</v>
      </c>
      <c r="C264" s="3" t="s">
        <v>15</v>
      </c>
      <c r="D264" s="3" t="s">
        <v>24</v>
      </c>
      <c r="E264" s="3" t="str">
        <f t="shared" si="4"/>
        <v>Design</v>
      </c>
      <c r="F264" s="3" t="s">
        <v>45</v>
      </c>
      <c r="G264" s="3" t="s">
        <v>75</v>
      </c>
      <c r="H264" s="3" t="s">
        <v>33</v>
      </c>
      <c r="I264" s="3">
        <v>74089</v>
      </c>
      <c r="J264" s="3" t="s">
        <v>812</v>
      </c>
      <c r="K264" s="3">
        <v>2.1</v>
      </c>
      <c r="L264" s="3">
        <v>1.8</v>
      </c>
      <c r="M264" s="3" t="s">
        <v>35</v>
      </c>
      <c r="N264" s="7" t="s">
        <v>804</v>
      </c>
    </row>
    <row r="265" spans="1:14">
      <c r="A265" s="4" t="s">
        <v>813</v>
      </c>
      <c r="B265" s="4" t="s">
        <v>814</v>
      </c>
      <c r="C265" s="4" t="s">
        <v>57</v>
      </c>
      <c r="D265" s="4" t="s">
        <v>51</v>
      </c>
      <c r="E265" s="3" t="str">
        <f t="shared" si="4"/>
        <v>Sales</v>
      </c>
      <c r="F265" s="4" t="s">
        <v>69</v>
      </c>
      <c r="G265" s="4" t="s">
        <v>65</v>
      </c>
      <c r="H265" s="4" t="s">
        <v>19</v>
      </c>
      <c r="I265" s="4">
        <v>170703</v>
      </c>
      <c r="J265" s="4" t="s">
        <v>815</v>
      </c>
      <c r="K265" s="4">
        <v>1.2</v>
      </c>
      <c r="L265" s="4">
        <v>2.8</v>
      </c>
      <c r="M265" s="4" t="s">
        <v>29</v>
      </c>
      <c r="N265" s="8" t="s">
        <v>406</v>
      </c>
    </row>
    <row r="266" spans="1:14">
      <c r="A266" s="3" t="s">
        <v>816</v>
      </c>
      <c r="B266" s="3" t="s">
        <v>331</v>
      </c>
      <c r="C266" s="3" t="s">
        <v>83</v>
      </c>
      <c r="D266" s="3" t="s">
        <v>39</v>
      </c>
      <c r="E266" s="3" t="str">
        <f t="shared" si="4"/>
        <v>Engineering</v>
      </c>
      <c r="F266" s="3" t="s">
        <v>242</v>
      </c>
      <c r="G266" s="3" t="s">
        <v>26</v>
      </c>
      <c r="H266" s="3" t="s">
        <v>58</v>
      </c>
      <c r="I266" s="3">
        <v>82577</v>
      </c>
      <c r="J266" s="3" t="s">
        <v>817</v>
      </c>
      <c r="K266" s="3">
        <v>3.1</v>
      </c>
      <c r="L266" s="3">
        <v>3</v>
      </c>
      <c r="M266" s="3" t="s">
        <v>35</v>
      </c>
      <c r="N266" s="7" t="s">
        <v>550</v>
      </c>
    </row>
    <row r="267" spans="1:14">
      <c r="A267" s="4" t="s">
        <v>818</v>
      </c>
      <c r="B267" s="4" t="s">
        <v>165</v>
      </c>
      <c r="C267" s="4" t="s">
        <v>62</v>
      </c>
      <c r="D267" s="4" t="s">
        <v>118</v>
      </c>
      <c r="E267" s="3" t="str">
        <f t="shared" si="4"/>
        <v>Marketing</v>
      </c>
      <c r="F267" s="4" t="s">
        <v>181</v>
      </c>
      <c r="G267" s="4" t="s">
        <v>75</v>
      </c>
      <c r="H267" s="4" t="s">
        <v>47</v>
      </c>
      <c r="I267" s="4">
        <v>43388</v>
      </c>
      <c r="J267" s="4" t="s">
        <v>819</v>
      </c>
      <c r="K267" s="4">
        <v>1.7</v>
      </c>
      <c r="L267" s="4">
        <v>2</v>
      </c>
      <c r="M267" s="4" t="s">
        <v>29</v>
      </c>
      <c r="N267" s="8" t="s">
        <v>424</v>
      </c>
    </row>
    <row r="268" spans="1:14">
      <c r="A268" s="3" t="s">
        <v>820</v>
      </c>
      <c r="B268" s="3" t="s">
        <v>673</v>
      </c>
      <c r="C268" s="3" t="s">
        <v>57</v>
      </c>
      <c r="D268" s="3" t="s">
        <v>24</v>
      </c>
      <c r="E268" s="3" t="str">
        <f t="shared" si="4"/>
        <v>Design</v>
      </c>
      <c r="F268" s="3" t="s">
        <v>94</v>
      </c>
      <c r="G268" s="3" t="s">
        <v>149</v>
      </c>
      <c r="H268" s="3" t="s">
        <v>19</v>
      </c>
      <c r="I268" s="3">
        <v>208868</v>
      </c>
      <c r="J268" s="3" t="s">
        <v>821</v>
      </c>
      <c r="K268" s="3">
        <v>3.5</v>
      </c>
      <c r="L268" s="3">
        <v>4.4000000000000004</v>
      </c>
      <c r="M268" s="3" t="s">
        <v>42</v>
      </c>
      <c r="N268" s="7" t="s">
        <v>77</v>
      </c>
    </row>
    <row r="269" spans="1:14">
      <c r="A269" s="4" t="s">
        <v>822</v>
      </c>
      <c r="B269" s="4" t="s">
        <v>823</v>
      </c>
      <c r="C269" s="4" t="s">
        <v>15</v>
      </c>
      <c r="D269" s="4" t="s">
        <v>133</v>
      </c>
      <c r="E269" s="3" t="str">
        <f t="shared" si="4"/>
        <v>Qa</v>
      </c>
      <c r="F269" s="4" t="s">
        <v>153</v>
      </c>
      <c r="G269" s="4" t="s">
        <v>114</v>
      </c>
      <c r="H269" s="4" t="s">
        <v>33</v>
      </c>
      <c r="I269" s="4">
        <v>172309</v>
      </c>
      <c r="J269" s="4" t="s">
        <v>824</v>
      </c>
      <c r="K269" s="4">
        <v>3.4</v>
      </c>
      <c r="L269" s="4">
        <v>3.3</v>
      </c>
      <c r="M269" s="4" t="s">
        <v>29</v>
      </c>
      <c r="N269" s="8" t="s">
        <v>299</v>
      </c>
    </row>
    <row r="270" spans="1:14">
      <c r="A270" s="3" t="s">
        <v>825</v>
      </c>
      <c r="B270" s="3" t="s">
        <v>826</v>
      </c>
      <c r="C270" s="3" t="s">
        <v>15</v>
      </c>
      <c r="D270" s="3" t="s">
        <v>51</v>
      </c>
      <c r="E270" s="3" t="str">
        <f t="shared" si="4"/>
        <v>Sales</v>
      </c>
      <c r="F270" s="3" t="s">
        <v>105</v>
      </c>
      <c r="G270" s="3" t="s">
        <v>214</v>
      </c>
      <c r="H270" s="3" t="s">
        <v>33</v>
      </c>
      <c r="I270" s="3">
        <v>147528</v>
      </c>
      <c r="J270" s="3" t="s">
        <v>827</v>
      </c>
      <c r="K270" s="3">
        <v>1.2</v>
      </c>
      <c r="L270" s="3">
        <v>4.5</v>
      </c>
      <c r="M270" s="3" t="s">
        <v>35</v>
      </c>
      <c r="N270" s="7" t="s">
        <v>675</v>
      </c>
    </row>
    <row r="271" spans="1:14">
      <c r="A271" s="4" t="s">
        <v>828</v>
      </c>
      <c r="B271" s="4" t="s">
        <v>829</v>
      </c>
      <c r="C271" s="4" t="s">
        <v>38</v>
      </c>
      <c r="D271" s="4" t="s">
        <v>84</v>
      </c>
      <c r="E271" s="3" t="str">
        <f t="shared" si="4"/>
        <v>Hr</v>
      </c>
      <c r="F271" s="4" t="s">
        <v>204</v>
      </c>
      <c r="G271" s="4" t="s">
        <v>53</v>
      </c>
      <c r="H271" s="4" t="s">
        <v>19</v>
      </c>
      <c r="I271" s="4">
        <v>170324</v>
      </c>
      <c r="J271" s="4" t="s">
        <v>830</v>
      </c>
      <c r="K271" s="4">
        <v>3.7</v>
      </c>
      <c r="L271" s="4">
        <v>2.8</v>
      </c>
      <c r="M271" s="4" t="s">
        <v>35</v>
      </c>
      <c r="N271" s="8" t="s">
        <v>717</v>
      </c>
    </row>
    <row r="272" spans="1:14">
      <c r="A272" s="3" t="s">
        <v>831</v>
      </c>
      <c r="B272" s="3" t="s">
        <v>832</v>
      </c>
      <c r="C272" s="3" t="s">
        <v>57</v>
      </c>
      <c r="D272" s="3" t="s">
        <v>118</v>
      </c>
      <c r="E272" s="3" t="str">
        <f t="shared" si="4"/>
        <v>Marketing</v>
      </c>
      <c r="F272" s="3" t="s">
        <v>254</v>
      </c>
      <c r="G272" s="3" t="s">
        <v>46</v>
      </c>
      <c r="H272" s="3" t="s">
        <v>19</v>
      </c>
      <c r="I272" s="3">
        <v>21478</v>
      </c>
      <c r="J272" s="3" t="s">
        <v>833</v>
      </c>
      <c r="K272" s="3">
        <v>2.1</v>
      </c>
      <c r="L272" s="3">
        <v>4</v>
      </c>
      <c r="M272" s="3" t="s">
        <v>42</v>
      </c>
      <c r="N272" s="7" t="s">
        <v>303</v>
      </c>
    </row>
    <row r="273" spans="1:14">
      <c r="A273" s="4" t="s">
        <v>834</v>
      </c>
      <c r="B273" s="4" t="s">
        <v>835</v>
      </c>
      <c r="C273" s="4" t="s">
        <v>83</v>
      </c>
      <c r="D273" s="4" t="s">
        <v>16</v>
      </c>
      <c r="E273" s="3" t="str">
        <f t="shared" si="4"/>
        <v>Devops</v>
      </c>
      <c r="F273" s="4" t="s">
        <v>17</v>
      </c>
      <c r="G273" s="4" t="s">
        <v>149</v>
      </c>
      <c r="H273" s="4" t="s">
        <v>19</v>
      </c>
      <c r="I273" s="4">
        <v>79466</v>
      </c>
      <c r="J273" s="4" t="s">
        <v>836</v>
      </c>
      <c r="K273" s="4">
        <v>6.1</v>
      </c>
      <c r="L273" s="4">
        <v>3</v>
      </c>
      <c r="M273" s="4" t="s">
        <v>35</v>
      </c>
      <c r="N273" s="8" t="s">
        <v>170</v>
      </c>
    </row>
    <row r="274" spans="1:14">
      <c r="A274" s="3" t="s">
        <v>837</v>
      </c>
      <c r="B274" s="3" t="s">
        <v>561</v>
      </c>
      <c r="C274" s="3" t="s">
        <v>38</v>
      </c>
      <c r="D274" s="3" t="s">
        <v>176</v>
      </c>
      <c r="E274" s="3" t="str">
        <f t="shared" si="4"/>
        <v>Finance</v>
      </c>
      <c r="F274" s="3" t="s">
        <v>359</v>
      </c>
      <c r="G274" s="3" t="s">
        <v>214</v>
      </c>
      <c r="H274" s="3" t="s">
        <v>47</v>
      </c>
      <c r="I274" s="3">
        <v>146777</v>
      </c>
      <c r="J274" s="3" t="s">
        <v>838</v>
      </c>
      <c r="K274" s="3">
        <v>0.8</v>
      </c>
      <c r="L274" s="3">
        <v>4.5999999999999996</v>
      </c>
      <c r="M274" s="3" t="s">
        <v>29</v>
      </c>
      <c r="N274" s="7" t="s">
        <v>741</v>
      </c>
    </row>
    <row r="275" spans="1:14">
      <c r="A275" s="4" t="s">
        <v>839</v>
      </c>
      <c r="B275" s="4" t="s">
        <v>292</v>
      </c>
      <c r="C275" s="4" t="s">
        <v>38</v>
      </c>
      <c r="D275" s="4" t="s">
        <v>778</v>
      </c>
      <c r="E275" s="3" t="str">
        <f t="shared" si="4"/>
        <v>Product</v>
      </c>
      <c r="F275" s="4" t="s">
        <v>145</v>
      </c>
      <c r="G275" s="4" t="s">
        <v>53</v>
      </c>
      <c r="H275" s="4" t="s">
        <v>19</v>
      </c>
      <c r="I275" s="4">
        <v>129225</v>
      </c>
      <c r="J275" s="4" t="s">
        <v>840</v>
      </c>
      <c r="K275" s="4">
        <v>7</v>
      </c>
      <c r="L275" s="4">
        <v>4.0999999999999996</v>
      </c>
      <c r="M275" s="4" t="s">
        <v>35</v>
      </c>
      <c r="N275" s="8" t="s">
        <v>765</v>
      </c>
    </row>
    <row r="276" spans="1:14">
      <c r="A276" s="3" t="s">
        <v>841</v>
      </c>
      <c r="B276" s="3" t="s">
        <v>842</v>
      </c>
      <c r="C276" s="3" t="s">
        <v>83</v>
      </c>
      <c r="D276" s="3" t="s">
        <v>257</v>
      </c>
      <c r="E276" s="3" t="str">
        <f t="shared" si="4"/>
        <v>Design</v>
      </c>
      <c r="F276" s="3" t="s">
        <v>25</v>
      </c>
      <c r="G276" s="3" t="s">
        <v>53</v>
      </c>
      <c r="H276" s="3" t="s">
        <v>19</v>
      </c>
      <c r="I276" s="3">
        <v>190115</v>
      </c>
      <c r="J276" s="3" t="s">
        <v>843</v>
      </c>
      <c r="K276" s="3">
        <v>2.4</v>
      </c>
      <c r="L276" s="3">
        <v>3.1</v>
      </c>
      <c r="M276" s="3" t="s">
        <v>35</v>
      </c>
      <c r="N276" s="7" t="s">
        <v>274</v>
      </c>
    </row>
    <row r="277" spans="1:14">
      <c r="A277" s="4" t="s">
        <v>844</v>
      </c>
      <c r="B277" s="4" t="s">
        <v>845</v>
      </c>
      <c r="C277" s="4" t="s">
        <v>23</v>
      </c>
      <c r="D277" s="4" t="s">
        <v>89</v>
      </c>
      <c r="E277" s="3" t="str">
        <f t="shared" si="4"/>
        <v>Data Science</v>
      </c>
      <c r="F277" s="4" t="s">
        <v>90</v>
      </c>
      <c r="G277" s="4" t="s">
        <v>70</v>
      </c>
      <c r="H277" s="4" t="s">
        <v>33</v>
      </c>
      <c r="I277" s="4">
        <v>123180</v>
      </c>
      <c r="J277" s="4" t="s">
        <v>846</v>
      </c>
      <c r="K277" s="4">
        <v>3.3</v>
      </c>
      <c r="L277" s="4">
        <v>3.5</v>
      </c>
      <c r="M277" s="4" t="s">
        <v>29</v>
      </c>
      <c r="N277" s="8" t="s">
        <v>313</v>
      </c>
    </row>
    <row r="278" spans="1:14">
      <c r="A278" s="3" t="s">
        <v>847</v>
      </c>
      <c r="B278" s="3" t="s">
        <v>848</v>
      </c>
      <c r="C278" s="3" t="s">
        <v>62</v>
      </c>
      <c r="D278" s="3" t="s">
        <v>778</v>
      </c>
      <c r="E278" s="3" t="str">
        <f t="shared" si="4"/>
        <v>Product</v>
      </c>
      <c r="F278" s="3" t="s">
        <v>225</v>
      </c>
      <c r="G278" s="3" t="s">
        <v>214</v>
      </c>
      <c r="H278" s="3" t="s">
        <v>47</v>
      </c>
      <c r="I278" s="3"/>
      <c r="J278" s="3" t="s">
        <v>849</v>
      </c>
      <c r="K278" s="3">
        <v>2.2000000000000002</v>
      </c>
      <c r="L278" s="3">
        <v>3.5</v>
      </c>
      <c r="M278" s="3" t="s">
        <v>29</v>
      </c>
      <c r="N278" s="7" t="s">
        <v>622</v>
      </c>
    </row>
    <row r="279" spans="1:14">
      <c r="A279" s="4" t="s">
        <v>850</v>
      </c>
      <c r="B279" s="4" t="s">
        <v>851</v>
      </c>
      <c r="C279" s="4" t="s">
        <v>15</v>
      </c>
      <c r="D279" s="4" t="s">
        <v>63</v>
      </c>
      <c r="E279" s="3" t="str">
        <f t="shared" si="4"/>
        <v>Product</v>
      </c>
      <c r="F279" s="4" t="s">
        <v>145</v>
      </c>
      <c r="G279" s="4" t="s">
        <v>149</v>
      </c>
      <c r="H279" s="4" t="s">
        <v>19</v>
      </c>
      <c r="I279" s="4">
        <v>206549</v>
      </c>
      <c r="J279" s="4" t="s">
        <v>852</v>
      </c>
      <c r="K279" s="4">
        <v>1.2</v>
      </c>
      <c r="L279" s="4">
        <v>3</v>
      </c>
      <c r="M279" s="4" t="s">
        <v>35</v>
      </c>
      <c r="N279" s="8" t="s">
        <v>374</v>
      </c>
    </row>
    <row r="280" spans="1:14">
      <c r="A280" s="3" t="s">
        <v>853</v>
      </c>
      <c r="B280" s="3" t="s">
        <v>854</v>
      </c>
      <c r="C280" s="3" t="s">
        <v>62</v>
      </c>
      <c r="D280" s="3" t="s">
        <v>39</v>
      </c>
      <c r="E280" s="3" t="str">
        <f t="shared" si="4"/>
        <v>Engineering</v>
      </c>
      <c r="F280" s="3" t="s">
        <v>79</v>
      </c>
      <c r="G280" s="3" t="s">
        <v>214</v>
      </c>
      <c r="H280" s="3" t="s">
        <v>58</v>
      </c>
      <c r="I280" s="3">
        <v>88679</v>
      </c>
      <c r="J280" s="3" t="s">
        <v>855</v>
      </c>
      <c r="K280" s="3">
        <v>3</v>
      </c>
      <c r="L280" s="3">
        <v>2.4</v>
      </c>
      <c r="M280" s="3" t="s">
        <v>35</v>
      </c>
      <c r="N280" s="7" t="s">
        <v>505</v>
      </c>
    </row>
    <row r="281" spans="1:14">
      <c r="A281" s="4" t="s">
        <v>856</v>
      </c>
      <c r="B281" s="4" t="s">
        <v>97</v>
      </c>
      <c r="C281" s="4" t="s">
        <v>38</v>
      </c>
      <c r="D281" s="4" t="s">
        <v>84</v>
      </c>
      <c r="E281" s="3" t="str">
        <f t="shared" si="4"/>
        <v>Hr</v>
      </c>
      <c r="F281" s="4" t="s">
        <v>138</v>
      </c>
      <c r="G281" s="4" t="s">
        <v>53</v>
      </c>
      <c r="H281" s="4" t="s">
        <v>19</v>
      </c>
      <c r="I281" s="4">
        <v>54125</v>
      </c>
      <c r="J281" s="4" t="s">
        <v>857</v>
      </c>
      <c r="K281" s="4">
        <v>1</v>
      </c>
      <c r="L281" s="4">
        <v>4.0999999999999996</v>
      </c>
      <c r="M281" s="4" t="s">
        <v>29</v>
      </c>
      <c r="N281" s="8" t="s">
        <v>167</v>
      </c>
    </row>
    <row r="282" spans="1:14">
      <c r="A282" s="3" t="s">
        <v>858</v>
      </c>
      <c r="B282" s="3" t="s">
        <v>859</v>
      </c>
      <c r="C282" s="3" t="s">
        <v>83</v>
      </c>
      <c r="D282" s="3" t="s">
        <v>24</v>
      </c>
      <c r="E282" s="3" t="str">
        <f t="shared" si="4"/>
        <v>Design</v>
      </c>
      <c r="F282" s="3" t="s">
        <v>74</v>
      </c>
      <c r="G282" s="3" t="s">
        <v>149</v>
      </c>
      <c r="H282" s="3" t="s">
        <v>58</v>
      </c>
      <c r="I282" s="3">
        <v>76976</v>
      </c>
      <c r="J282" s="3" t="s">
        <v>860</v>
      </c>
      <c r="K282" s="3">
        <v>3</v>
      </c>
      <c r="L282" s="3">
        <v>3.7</v>
      </c>
      <c r="M282" s="3" t="s">
        <v>35</v>
      </c>
      <c r="N282" s="7" t="s">
        <v>828</v>
      </c>
    </row>
    <row r="283" spans="1:14">
      <c r="A283" s="4" t="s">
        <v>861</v>
      </c>
      <c r="B283" s="4" t="s">
        <v>862</v>
      </c>
      <c r="C283" s="4" t="s">
        <v>62</v>
      </c>
      <c r="D283" s="4" t="s">
        <v>63</v>
      </c>
      <c r="E283" s="3" t="str">
        <f t="shared" si="4"/>
        <v>Product</v>
      </c>
      <c r="F283" s="4" t="s">
        <v>64</v>
      </c>
      <c r="G283" s="4" t="s">
        <v>46</v>
      </c>
      <c r="H283" s="4" t="s">
        <v>19</v>
      </c>
      <c r="I283" s="4">
        <v>67428</v>
      </c>
      <c r="J283" s="4" t="s">
        <v>863</v>
      </c>
      <c r="K283" s="4">
        <v>2.4</v>
      </c>
      <c r="L283" s="4">
        <v>3.3</v>
      </c>
      <c r="M283" s="4" t="s">
        <v>35</v>
      </c>
      <c r="N283" s="8" t="s">
        <v>698</v>
      </c>
    </row>
    <row r="284" spans="1:14">
      <c r="A284" s="3" t="s">
        <v>864</v>
      </c>
      <c r="B284" s="3" t="s">
        <v>865</v>
      </c>
      <c r="C284" s="3" t="s">
        <v>83</v>
      </c>
      <c r="D284" s="3" t="s">
        <v>24</v>
      </c>
      <c r="E284" s="3" t="str">
        <f t="shared" si="4"/>
        <v>Design</v>
      </c>
      <c r="F284" s="3" t="s">
        <v>45</v>
      </c>
      <c r="G284" s="3" t="s">
        <v>172</v>
      </c>
      <c r="H284" s="3" t="s">
        <v>47</v>
      </c>
      <c r="I284" s="3">
        <v>21362</v>
      </c>
      <c r="J284" s="3" t="s">
        <v>866</v>
      </c>
      <c r="K284" s="3">
        <v>3.9</v>
      </c>
      <c r="L284" s="3">
        <v>3.8</v>
      </c>
      <c r="M284" s="3" t="s">
        <v>35</v>
      </c>
      <c r="N284" s="7" t="s">
        <v>125</v>
      </c>
    </row>
    <row r="285" spans="1:14">
      <c r="A285" s="4" t="s">
        <v>867</v>
      </c>
      <c r="B285" s="4" t="s">
        <v>868</v>
      </c>
      <c r="C285" s="4" t="s">
        <v>83</v>
      </c>
      <c r="D285" s="4" t="s">
        <v>63</v>
      </c>
      <c r="E285" s="3" t="str">
        <f t="shared" si="4"/>
        <v>Product</v>
      </c>
      <c r="F285" s="4" t="s">
        <v>225</v>
      </c>
      <c r="G285" s="4" t="s">
        <v>32</v>
      </c>
      <c r="H285" s="4" t="s">
        <v>33</v>
      </c>
      <c r="I285" s="4">
        <v>194576</v>
      </c>
      <c r="J285" s="4" t="s">
        <v>869</v>
      </c>
      <c r="K285" s="4">
        <v>0.6</v>
      </c>
      <c r="L285" s="4">
        <v>1.6</v>
      </c>
      <c r="M285" s="4" t="s">
        <v>42</v>
      </c>
      <c r="N285" s="8" t="s">
        <v>638</v>
      </c>
    </row>
    <row r="286" spans="1:14">
      <c r="A286" s="3" t="s">
        <v>870</v>
      </c>
      <c r="B286" s="3" t="s">
        <v>871</v>
      </c>
      <c r="C286" s="3" t="s">
        <v>57</v>
      </c>
      <c r="D286" s="3" t="s">
        <v>24</v>
      </c>
      <c r="E286" s="3" t="str">
        <f t="shared" si="4"/>
        <v>Design</v>
      </c>
      <c r="F286" s="3" t="s">
        <v>94</v>
      </c>
      <c r="G286" s="3" t="s">
        <v>46</v>
      </c>
      <c r="H286" s="3" t="s">
        <v>19</v>
      </c>
      <c r="I286" s="3">
        <v>149194</v>
      </c>
      <c r="J286" s="3" t="s">
        <v>872</v>
      </c>
      <c r="K286" s="3">
        <v>1.3</v>
      </c>
      <c r="L286" s="3">
        <v>4.7</v>
      </c>
      <c r="M286" s="3" t="s">
        <v>35</v>
      </c>
      <c r="N286" s="7" t="s">
        <v>652</v>
      </c>
    </row>
    <row r="287" spans="1:14">
      <c r="A287" s="4" t="s">
        <v>873</v>
      </c>
      <c r="B287" s="4" t="s">
        <v>874</v>
      </c>
      <c r="C287" s="4" t="s">
        <v>83</v>
      </c>
      <c r="D287" s="4" t="s">
        <v>84</v>
      </c>
      <c r="E287" s="3" t="str">
        <f t="shared" si="4"/>
        <v>Hr</v>
      </c>
      <c r="F287" s="4" t="s">
        <v>138</v>
      </c>
      <c r="G287" s="4" t="s">
        <v>75</v>
      </c>
      <c r="H287" s="4" t="s">
        <v>58</v>
      </c>
      <c r="I287" s="4">
        <v>121017</v>
      </c>
      <c r="J287" s="4" t="s">
        <v>875</v>
      </c>
      <c r="K287" s="4">
        <v>5.9</v>
      </c>
      <c r="L287" s="4">
        <v>3.3</v>
      </c>
      <c r="M287" s="4" t="s">
        <v>35</v>
      </c>
      <c r="N287" s="8" t="s">
        <v>427</v>
      </c>
    </row>
    <row r="288" spans="1:14">
      <c r="A288" s="3" t="s">
        <v>876</v>
      </c>
      <c r="B288" s="3" t="s">
        <v>425</v>
      </c>
      <c r="C288" s="3" t="s">
        <v>57</v>
      </c>
      <c r="D288" s="3" t="s">
        <v>63</v>
      </c>
      <c r="E288" s="3" t="str">
        <f t="shared" si="4"/>
        <v>Product</v>
      </c>
      <c r="F288" s="3" t="s">
        <v>145</v>
      </c>
      <c r="G288" s="3" t="s">
        <v>65</v>
      </c>
      <c r="H288" s="3" t="s">
        <v>19</v>
      </c>
      <c r="I288" s="3">
        <v>100208</v>
      </c>
      <c r="J288" s="3" t="s">
        <v>877</v>
      </c>
      <c r="K288" s="3">
        <v>4.2</v>
      </c>
      <c r="L288" s="3">
        <v>1.6</v>
      </c>
      <c r="M288" s="3" t="s">
        <v>35</v>
      </c>
      <c r="N288" s="7" t="s">
        <v>107</v>
      </c>
    </row>
    <row r="289" spans="1:14">
      <c r="A289" s="4" t="s">
        <v>878</v>
      </c>
      <c r="B289" s="4" t="s">
        <v>879</v>
      </c>
      <c r="C289" s="4" t="s">
        <v>15</v>
      </c>
      <c r="D289" s="4" t="s">
        <v>39</v>
      </c>
      <c r="E289" s="3" t="str">
        <f t="shared" si="4"/>
        <v>Engineering</v>
      </c>
      <c r="F289" s="4" t="s">
        <v>109</v>
      </c>
      <c r="G289" s="4" t="s">
        <v>114</v>
      </c>
      <c r="H289" s="4" t="s">
        <v>19</v>
      </c>
      <c r="I289" s="4">
        <v>118155</v>
      </c>
      <c r="J289" s="4" t="s">
        <v>99</v>
      </c>
      <c r="K289" s="4">
        <v>5.0999999999999996</v>
      </c>
      <c r="L289" s="4">
        <v>1.9</v>
      </c>
      <c r="M289" s="4" t="s">
        <v>35</v>
      </c>
      <c r="N289" s="8" t="s">
        <v>627</v>
      </c>
    </row>
    <row r="290" spans="1:14">
      <c r="A290" s="3" t="s">
        <v>880</v>
      </c>
      <c r="B290" s="3" t="s">
        <v>881</v>
      </c>
      <c r="C290" s="3" t="s">
        <v>62</v>
      </c>
      <c r="D290" s="3" t="s">
        <v>118</v>
      </c>
      <c r="E290" s="3" t="str">
        <f t="shared" si="4"/>
        <v>Marketing</v>
      </c>
      <c r="F290" s="3" t="s">
        <v>181</v>
      </c>
      <c r="G290" s="3" t="s">
        <v>149</v>
      </c>
      <c r="H290" s="3" t="s">
        <v>19</v>
      </c>
      <c r="I290" s="3">
        <v>20810</v>
      </c>
      <c r="J290" s="3" t="s">
        <v>882</v>
      </c>
      <c r="K290" s="3">
        <v>1.4</v>
      </c>
      <c r="L290" s="3">
        <v>4.5999999999999996</v>
      </c>
      <c r="M290" s="3" t="s">
        <v>35</v>
      </c>
      <c r="N290" s="7" t="s">
        <v>839</v>
      </c>
    </row>
    <row r="291" spans="1:14">
      <c r="A291" s="4" t="s">
        <v>883</v>
      </c>
      <c r="B291" s="4" t="s">
        <v>658</v>
      </c>
      <c r="C291" s="4" t="s">
        <v>15</v>
      </c>
      <c r="D291" s="4" t="s">
        <v>89</v>
      </c>
      <c r="E291" s="3" t="str">
        <f t="shared" si="4"/>
        <v>Data Science</v>
      </c>
      <c r="F291" s="4" t="s">
        <v>376</v>
      </c>
      <c r="G291" s="4" t="s">
        <v>18</v>
      </c>
      <c r="H291" s="4" t="s">
        <v>27</v>
      </c>
      <c r="I291" s="4">
        <v>54488</v>
      </c>
      <c r="J291" s="4" t="s">
        <v>884</v>
      </c>
      <c r="K291" s="4">
        <v>5.9</v>
      </c>
      <c r="L291" s="4">
        <v>1.9</v>
      </c>
      <c r="M291" s="4" t="s">
        <v>35</v>
      </c>
      <c r="N291" s="8" t="s">
        <v>556</v>
      </c>
    </row>
    <row r="292" spans="1:14">
      <c r="A292" s="3" t="s">
        <v>885</v>
      </c>
      <c r="B292" s="3" t="s">
        <v>886</v>
      </c>
      <c r="C292" s="3" t="s">
        <v>57</v>
      </c>
      <c r="D292" s="3" t="s">
        <v>24</v>
      </c>
      <c r="E292" s="3" t="str">
        <f t="shared" si="4"/>
        <v>Design</v>
      </c>
      <c r="F292" s="3" t="s">
        <v>25</v>
      </c>
      <c r="G292" s="3" t="s">
        <v>70</v>
      </c>
      <c r="H292" s="3" t="s">
        <v>19</v>
      </c>
      <c r="I292" s="3">
        <v>103184</v>
      </c>
      <c r="J292" s="3" t="s">
        <v>887</v>
      </c>
      <c r="K292" s="3">
        <v>5.6</v>
      </c>
      <c r="L292" s="3">
        <v>3.6</v>
      </c>
      <c r="M292" s="3" t="s">
        <v>35</v>
      </c>
      <c r="N292" s="7" t="s">
        <v>654</v>
      </c>
    </row>
    <row r="293" spans="1:14">
      <c r="A293" s="4" t="s">
        <v>888</v>
      </c>
      <c r="B293" s="4" t="s">
        <v>644</v>
      </c>
      <c r="C293" s="4" t="s">
        <v>57</v>
      </c>
      <c r="D293" s="4" t="s">
        <v>24</v>
      </c>
      <c r="E293" s="3" t="str">
        <f t="shared" si="4"/>
        <v>Design</v>
      </c>
      <c r="F293" s="4" t="s">
        <v>94</v>
      </c>
      <c r="G293" s="4" t="s">
        <v>214</v>
      </c>
      <c r="H293" s="4" t="s">
        <v>58</v>
      </c>
      <c r="I293" s="4">
        <v>130185</v>
      </c>
      <c r="J293" s="4" t="s">
        <v>889</v>
      </c>
      <c r="K293" s="4">
        <v>0.7</v>
      </c>
      <c r="L293" s="4">
        <v>3.7</v>
      </c>
      <c r="M293" s="4" t="s">
        <v>35</v>
      </c>
      <c r="N293" s="8" t="s">
        <v>262</v>
      </c>
    </row>
    <row r="294" spans="1:14">
      <c r="A294" s="3" t="s">
        <v>890</v>
      </c>
      <c r="B294" s="3" t="s">
        <v>280</v>
      </c>
      <c r="C294" s="3" t="s">
        <v>15</v>
      </c>
      <c r="D294" s="3" t="s">
        <v>133</v>
      </c>
      <c r="E294" s="3" t="str">
        <f t="shared" si="4"/>
        <v>Qa</v>
      </c>
      <c r="F294" s="3" t="s">
        <v>134</v>
      </c>
      <c r="G294" s="3" t="s">
        <v>172</v>
      </c>
      <c r="H294" s="3" t="s">
        <v>33</v>
      </c>
      <c r="I294" s="3">
        <v>74105</v>
      </c>
      <c r="J294" s="3" t="s">
        <v>891</v>
      </c>
      <c r="K294" s="3">
        <v>2.7</v>
      </c>
      <c r="L294" s="3">
        <v>4.4000000000000004</v>
      </c>
      <c r="M294" s="3" t="s">
        <v>35</v>
      </c>
      <c r="N294" s="7" t="s">
        <v>451</v>
      </c>
    </row>
    <row r="295" spans="1:14">
      <c r="A295" s="4" t="s">
        <v>892</v>
      </c>
      <c r="B295" s="4" t="s">
        <v>534</v>
      </c>
      <c r="C295" s="4" t="s">
        <v>15</v>
      </c>
      <c r="D295" s="4" t="s">
        <v>63</v>
      </c>
      <c r="E295" s="3" t="str">
        <f t="shared" si="4"/>
        <v>Product</v>
      </c>
      <c r="F295" s="4" t="s">
        <v>225</v>
      </c>
      <c r="G295" s="4" t="s">
        <v>53</v>
      </c>
      <c r="H295" s="4" t="s">
        <v>47</v>
      </c>
      <c r="I295" s="4">
        <v>75354</v>
      </c>
      <c r="J295" s="4" t="s">
        <v>893</v>
      </c>
      <c r="K295" s="4">
        <v>3.1</v>
      </c>
      <c r="L295" s="4">
        <v>3.3</v>
      </c>
      <c r="M295" s="4" t="s">
        <v>42</v>
      </c>
      <c r="N295" s="8" t="s">
        <v>296</v>
      </c>
    </row>
    <row r="296" spans="1:14">
      <c r="A296" s="3" t="s">
        <v>894</v>
      </c>
      <c r="B296" s="3" t="s">
        <v>341</v>
      </c>
      <c r="C296" s="3" t="s">
        <v>38</v>
      </c>
      <c r="D296" s="3" t="s">
        <v>63</v>
      </c>
      <c r="E296" s="3" t="str">
        <f t="shared" si="4"/>
        <v>Product</v>
      </c>
      <c r="F296" s="3" t="s">
        <v>64</v>
      </c>
      <c r="G296" s="3" t="s">
        <v>75</v>
      </c>
      <c r="H296" s="3" t="s">
        <v>19</v>
      </c>
      <c r="I296" s="3">
        <v>187534</v>
      </c>
      <c r="J296" s="3" t="s">
        <v>895</v>
      </c>
      <c r="K296" s="3">
        <v>5.7</v>
      </c>
      <c r="L296" s="3">
        <v>4.8</v>
      </c>
      <c r="M296" s="3" t="s">
        <v>35</v>
      </c>
      <c r="N296" s="7" t="s">
        <v>873</v>
      </c>
    </row>
    <row r="297" spans="1:14">
      <c r="A297" s="4" t="s">
        <v>896</v>
      </c>
      <c r="B297" s="4" t="s">
        <v>733</v>
      </c>
      <c r="C297" s="4" t="s">
        <v>57</v>
      </c>
      <c r="D297" s="4" t="s">
        <v>51</v>
      </c>
      <c r="E297" s="3" t="str">
        <f t="shared" si="4"/>
        <v>Sales</v>
      </c>
      <c r="F297" s="4" t="s">
        <v>105</v>
      </c>
      <c r="G297" s="4" t="s">
        <v>149</v>
      </c>
      <c r="H297" s="4" t="s">
        <v>19</v>
      </c>
      <c r="I297" s="4">
        <v>56851</v>
      </c>
      <c r="J297" s="4" t="s">
        <v>897</v>
      </c>
      <c r="K297" s="4">
        <v>4.2</v>
      </c>
      <c r="L297" s="4">
        <v>4.8</v>
      </c>
      <c r="M297" s="4" t="s">
        <v>42</v>
      </c>
      <c r="N297" s="8" t="s">
        <v>327</v>
      </c>
    </row>
    <row r="298" spans="1:14">
      <c r="A298" s="3" t="s">
        <v>898</v>
      </c>
      <c r="B298" s="3" t="s">
        <v>50</v>
      </c>
      <c r="C298" s="3" t="s">
        <v>57</v>
      </c>
      <c r="D298" s="3" t="s">
        <v>410</v>
      </c>
      <c r="E298" s="3" t="str">
        <f t="shared" si="4"/>
        <v>Sales</v>
      </c>
      <c r="F298" s="3" t="s">
        <v>52</v>
      </c>
      <c r="G298" s="3" t="s">
        <v>32</v>
      </c>
      <c r="H298" s="3" t="s">
        <v>19</v>
      </c>
      <c r="I298" s="3">
        <v>106185</v>
      </c>
      <c r="J298" s="3" t="s">
        <v>899</v>
      </c>
      <c r="K298" s="3">
        <v>4</v>
      </c>
      <c r="L298" s="3"/>
      <c r="M298" s="3" t="s">
        <v>35</v>
      </c>
      <c r="N298" s="7" t="s">
        <v>705</v>
      </c>
    </row>
    <row r="299" spans="1:14">
      <c r="A299" s="4" t="s">
        <v>900</v>
      </c>
      <c r="B299" s="4" t="s">
        <v>901</v>
      </c>
      <c r="C299" s="4" t="s">
        <v>62</v>
      </c>
      <c r="D299" s="4" t="s">
        <v>63</v>
      </c>
      <c r="E299" s="3" t="str">
        <f t="shared" si="4"/>
        <v>Product</v>
      </c>
      <c r="F299" s="4" t="s">
        <v>64</v>
      </c>
      <c r="G299" s="4" t="s">
        <v>53</v>
      </c>
      <c r="H299" s="4" t="s">
        <v>33</v>
      </c>
      <c r="I299" s="4">
        <v>57886</v>
      </c>
      <c r="J299" s="4" t="s">
        <v>902</v>
      </c>
      <c r="K299" s="4">
        <v>2.2000000000000002</v>
      </c>
      <c r="L299" s="4">
        <v>4.4000000000000004</v>
      </c>
      <c r="M299" s="4" t="s">
        <v>35</v>
      </c>
      <c r="N299" s="8" t="s">
        <v>839</v>
      </c>
    </row>
    <row r="300" spans="1:14">
      <c r="A300" s="3" t="s">
        <v>903</v>
      </c>
      <c r="B300" s="3" t="s">
        <v>904</v>
      </c>
      <c r="C300" s="3" t="s">
        <v>38</v>
      </c>
      <c r="D300" s="3" t="s">
        <v>24</v>
      </c>
      <c r="E300" s="3" t="str">
        <f t="shared" si="4"/>
        <v>Design</v>
      </c>
      <c r="F300" s="3" t="s">
        <v>94</v>
      </c>
      <c r="G300" s="3" t="s">
        <v>75</v>
      </c>
      <c r="H300" s="3" t="s">
        <v>47</v>
      </c>
      <c r="I300" s="3">
        <v>144943</v>
      </c>
      <c r="J300" s="3" t="s">
        <v>905</v>
      </c>
      <c r="K300" s="3">
        <v>5.4</v>
      </c>
      <c r="L300" s="3">
        <v>2.7</v>
      </c>
      <c r="M300" s="3" t="s">
        <v>35</v>
      </c>
      <c r="N300" s="7" t="s">
        <v>661</v>
      </c>
    </row>
    <row r="301" spans="1:14">
      <c r="A301" s="4" t="s">
        <v>906</v>
      </c>
      <c r="B301" s="4" t="s">
        <v>907</v>
      </c>
      <c r="C301" s="4" t="s">
        <v>23</v>
      </c>
      <c r="D301" s="4" t="s">
        <v>176</v>
      </c>
      <c r="E301" s="3" t="str">
        <f t="shared" si="4"/>
        <v>Finance</v>
      </c>
      <c r="F301" s="4" t="s">
        <v>359</v>
      </c>
      <c r="G301" s="4" t="s">
        <v>114</v>
      </c>
      <c r="H301" s="4" t="s">
        <v>47</v>
      </c>
      <c r="I301" s="4">
        <v>106598</v>
      </c>
      <c r="J301" s="4" t="s">
        <v>908</v>
      </c>
      <c r="K301" s="4">
        <v>1.7</v>
      </c>
      <c r="L301" s="4">
        <v>2.9</v>
      </c>
      <c r="M301" s="4" t="s">
        <v>35</v>
      </c>
      <c r="N301" s="8" t="s">
        <v>530</v>
      </c>
    </row>
    <row r="302" spans="1:14">
      <c r="A302" s="3" t="s">
        <v>909</v>
      </c>
      <c r="B302" s="3" t="s">
        <v>297</v>
      </c>
      <c r="C302" s="3" t="s">
        <v>23</v>
      </c>
      <c r="D302" s="3" t="s">
        <v>89</v>
      </c>
      <c r="E302" s="3" t="str">
        <f t="shared" si="4"/>
        <v>Data Science</v>
      </c>
      <c r="F302" s="3" t="s">
        <v>90</v>
      </c>
      <c r="G302" s="3" t="s">
        <v>46</v>
      </c>
      <c r="H302" s="3" t="s">
        <v>19</v>
      </c>
      <c r="I302" s="3">
        <v>100155</v>
      </c>
      <c r="J302" s="3" t="s">
        <v>910</v>
      </c>
      <c r="K302" s="3">
        <v>5.2</v>
      </c>
      <c r="L302" s="3">
        <v>2.4</v>
      </c>
      <c r="M302" s="3" t="s">
        <v>35</v>
      </c>
      <c r="N302" s="7" t="s">
        <v>271</v>
      </c>
    </row>
    <row r="303" spans="1:14">
      <c r="A303" s="4" t="s">
        <v>911</v>
      </c>
      <c r="B303" s="4" t="s">
        <v>912</v>
      </c>
      <c r="C303" s="4" t="s">
        <v>38</v>
      </c>
      <c r="D303" s="4" t="s">
        <v>63</v>
      </c>
      <c r="E303" s="3" t="str">
        <f t="shared" si="4"/>
        <v>Product</v>
      </c>
      <c r="F303" s="4" t="s">
        <v>145</v>
      </c>
      <c r="G303" s="4" t="s">
        <v>53</v>
      </c>
      <c r="H303" s="4" t="s">
        <v>27</v>
      </c>
      <c r="I303" s="4">
        <v>191704</v>
      </c>
      <c r="J303" s="4" t="s">
        <v>913</v>
      </c>
      <c r="K303" s="4">
        <v>3.7</v>
      </c>
      <c r="L303" s="4">
        <v>3.4</v>
      </c>
      <c r="M303" s="4" t="s">
        <v>35</v>
      </c>
      <c r="N303" s="8" t="s">
        <v>738</v>
      </c>
    </row>
    <row r="304" spans="1:14">
      <c r="A304" s="3" t="s">
        <v>914</v>
      </c>
      <c r="B304" s="3" t="s">
        <v>479</v>
      </c>
      <c r="C304" s="3" t="s">
        <v>83</v>
      </c>
      <c r="D304" s="3" t="s">
        <v>118</v>
      </c>
      <c r="E304" s="3" t="str">
        <f t="shared" si="4"/>
        <v>Marketing</v>
      </c>
      <c r="F304" s="3" t="s">
        <v>254</v>
      </c>
      <c r="G304" s="3" t="s">
        <v>65</v>
      </c>
      <c r="H304" s="3" t="s">
        <v>47</v>
      </c>
      <c r="I304" s="3">
        <v>58653</v>
      </c>
      <c r="J304" s="3" t="s">
        <v>915</v>
      </c>
      <c r="K304" s="3">
        <v>1.5</v>
      </c>
      <c r="L304" s="3">
        <v>4.5999999999999996</v>
      </c>
      <c r="M304" s="3" t="s">
        <v>35</v>
      </c>
      <c r="N304" s="7" t="s">
        <v>664</v>
      </c>
    </row>
    <row r="305" spans="1:14">
      <c r="A305" s="4" t="s">
        <v>916</v>
      </c>
      <c r="B305" s="4" t="s">
        <v>266</v>
      </c>
      <c r="C305" s="4" t="s">
        <v>23</v>
      </c>
      <c r="D305" s="4" t="s">
        <v>39</v>
      </c>
      <c r="E305" s="3" t="str">
        <f t="shared" si="4"/>
        <v>Engineering</v>
      </c>
      <c r="F305" s="4" t="s">
        <v>40</v>
      </c>
      <c r="G305" s="4" t="s">
        <v>149</v>
      </c>
      <c r="H305" s="4" t="s">
        <v>33</v>
      </c>
      <c r="I305" s="4">
        <v>199308</v>
      </c>
      <c r="J305" s="4" t="s">
        <v>917</v>
      </c>
      <c r="K305" s="4">
        <v>1.4</v>
      </c>
      <c r="L305" s="4">
        <v>2.2000000000000002</v>
      </c>
      <c r="M305" s="4" t="s">
        <v>35</v>
      </c>
      <c r="N305" s="8" t="s">
        <v>186</v>
      </c>
    </row>
    <row r="306" spans="1:14">
      <c r="A306" s="3" t="s">
        <v>918</v>
      </c>
      <c r="B306" s="3" t="s">
        <v>919</v>
      </c>
      <c r="C306" s="3" t="s">
        <v>23</v>
      </c>
      <c r="D306" s="3" t="s">
        <v>133</v>
      </c>
      <c r="E306" s="3" t="str">
        <f t="shared" si="4"/>
        <v>Qa</v>
      </c>
      <c r="F306" s="3" t="s">
        <v>153</v>
      </c>
      <c r="G306" s="3" t="s">
        <v>53</v>
      </c>
      <c r="H306" s="3" t="s">
        <v>47</v>
      </c>
      <c r="I306" s="3">
        <v>202858</v>
      </c>
      <c r="J306" s="3" t="s">
        <v>920</v>
      </c>
      <c r="K306" s="3">
        <v>0.8</v>
      </c>
      <c r="L306" s="3">
        <v>2.2999999999999998</v>
      </c>
      <c r="M306" s="3" t="s">
        <v>35</v>
      </c>
      <c r="N306" s="7" t="s">
        <v>234</v>
      </c>
    </row>
    <row r="307" spans="1:14">
      <c r="A307" s="4" t="s">
        <v>921</v>
      </c>
      <c r="B307" s="4" t="s">
        <v>922</v>
      </c>
      <c r="C307" s="4" t="s">
        <v>23</v>
      </c>
      <c r="D307" s="4" t="s">
        <v>558</v>
      </c>
      <c r="E307" s="3" t="str">
        <f t="shared" si="4"/>
        <v>Finance</v>
      </c>
      <c r="F307" s="4" t="s">
        <v>229</v>
      </c>
      <c r="G307" s="4" t="s">
        <v>75</v>
      </c>
      <c r="H307" s="4" t="s">
        <v>27</v>
      </c>
      <c r="I307" s="4">
        <v>49819</v>
      </c>
      <c r="J307" s="4" t="s">
        <v>923</v>
      </c>
      <c r="K307" s="4">
        <v>2.2999999999999998</v>
      </c>
      <c r="L307" s="4">
        <v>1.7</v>
      </c>
      <c r="M307" s="4" t="s">
        <v>35</v>
      </c>
      <c r="N307" s="8" t="s">
        <v>406</v>
      </c>
    </row>
    <row r="308" spans="1:14">
      <c r="A308" s="3" t="s">
        <v>924</v>
      </c>
      <c r="B308" s="3" t="s">
        <v>341</v>
      </c>
      <c r="C308" s="3" t="s">
        <v>83</v>
      </c>
      <c r="D308" s="3" t="s">
        <v>24</v>
      </c>
      <c r="E308" s="3" t="str">
        <f t="shared" si="4"/>
        <v>Design</v>
      </c>
      <c r="F308" s="3" t="s">
        <v>25</v>
      </c>
      <c r="G308" s="3" t="s">
        <v>172</v>
      </c>
      <c r="H308" s="3" t="s">
        <v>58</v>
      </c>
      <c r="I308" s="3">
        <v>196830</v>
      </c>
      <c r="J308" s="3" t="s">
        <v>925</v>
      </c>
      <c r="K308" s="3">
        <v>4.3</v>
      </c>
      <c r="L308" s="3">
        <v>3.4</v>
      </c>
      <c r="M308" s="3" t="s">
        <v>35</v>
      </c>
      <c r="N308" s="7" t="s">
        <v>609</v>
      </c>
    </row>
    <row r="309" spans="1:14">
      <c r="A309" s="4" t="s">
        <v>926</v>
      </c>
      <c r="B309" s="4" t="s">
        <v>184</v>
      </c>
      <c r="C309" s="4" t="s">
        <v>83</v>
      </c>
      <c r="D309" s="4" t="s">
        <v>24</v>
      </c>
      <c r="E309" s="3" t="str">
        <f t="shared" si="4"/>
        <v>Design</v>
      </c>
      <c r="F309" s="4" t="s">
        <v>25</v>
      </c>
      <c r="G309" s="4" t="s">
        <v>26</v>
      </c>
      <c r="H309" s="4" t="s">
        <v>19</v>
      </c>
      <c r="I309" s="4">
        <v>104114</v>
      </c>
      <c r="J309" s="4" t="s">
        <v>927</v>
      </c>
      <c r="K309" s="4">
        <v>1.4</v>
      </c>
      <c r="L309" s="4">
        <v>2.1</v>
      </c>
      <c r="M309" s="4" t="s">
        <v>42</v>
      </c>
      <c r="N309" s="8" t="s">
        <v>633</v>
      </c>
    </row>
    <row r="310" spans="1:14">
      <c r="A310" s="3" t="s">
        <v>928</v>
      </c>
      <c r="B310" s="3" t="s">
        <v>929</v>
      </c>
      <c r="C310" s="3" t="s">
        <v>38</v>
      </c>
      <c r="D310" s="3" t="s">
        <v>16</v>
      </c>
      <c r="E310" s="3" t="str">
        <f t="shared" si="4"/>
        <v>Devops</v>
      </c>
      <c r="F310" s="3" t="s">
        <v>123</v>
      </c>
      <c r="G310" s="3" t="s">
        <v>70</v>
      </c>
      <c r="H310" s="3" t="s">
        <v>58</v>
      </c>
      <c r="I310" s="3">
        <v>117880</v>
      </c>
      <c r="J310" s="3" t="s">
        <v>930</v>
      </c>
      <c r="K310" s="3">
        <v>5.5</v>
      </c>
      <c r="L310" s="3">
        <v>4.7</v>
      </c>
      <c r="M310" s="3" t="s">
        <v>35</v>
      </c>
      <c r="N310" s="7" t="s">
        <v>237</v>
      </c>
    </row>
    <row r="311" spans="1:14">
      <c r="A311" s="4" t="s">
        <v>931</v>
      </c>
      <c r="B311" s="4" t="s">
        <v>932</v>
      </c>
      <c r="C311" s="4" t="s">
        <v>38</v>
      </c>
      <c r="D311" s="4" t="s">
        <v>51</v>
      </c>
      <c r="E311" s="3" t="str">
        <f t="shared" si="4"/>
        <v>Sales</v>
      </c>
      <c r="F311" s="4" t="s">
        <v>69</v>
      </c>
      <c r="G311" s="4" t="s">
        <v>149</v>
      </c>
      <c r="H311" s="4" t="s">
        <v>58</v>
      </c>
      <c r="I311" s="4">
        <v>101994</v>
      </c>
      <c r="J311" s="4" t="s">
        <v>933</v>
      </c>
      <c r="K311" s="4">
        <v>6.3</v>
      </c>
      <c r="L311" s="4">
        <v>2.5</v>
      </c>
      <c r="M311" s="4" t="s">
        <v>35</v>
      </c>
      <c r="N311" s="8" t="s">
        <v>553</v>
      </c>
    </row>
    <row r="312" spans="1:14">
      <c r="A312" s="3" t="s">
        <v>934</v>
      </c>
      <c r="B312" s="3" t="s">
        <v>935</v>
      </c>
      <c r="C312" s="3" t="s">
        <v>57</v>
      </c>
      <c r="D312" s="3" t="s">
        <v>84</v>
      </c>
      <c r="E312" s="3" t="str">
        <f t="shared" si="4"/>
        <v>Hr</v>
      </c>
      <c r="F312" s="3" t="s">
        <v>138</v>
      </c>
      <c r="G312" s="3" t="s">
        <v>18</v>
      </c>
      <c r="H312" s="3" t="s">
        <v>47</v>
      </c>
      <c r="I312" s="3">
        <v>196624</v>
      </c>
      <c r="J312" s="3" t="s">
        <v>182</v>
      </c>
      <c r="K312" s="3">
        <v>6.3</v>
      </c>
      <c r="L312" s="3"/>
      <c r="M312" s="3" t="s">
        <v>29</v>
      </c>
      <c r="N312" s="7" t="s">
        <v>765</v>
      </c>
    </row>
    <row r="313" spans="1:14">
      <c r="A313" s="4" t="s">
        <v>936</v>
      </c>
      <c r="B313" s="4" t="s">
        <v>937</v>
      </c>
      <c r="C313" s="4" t="s">
        <v>15</v>
      </c>
      <c r="D313" s="4" t="s">
        <v>176</v>
      </c>
      <c r="E313" s="3" t="str">
        <f t="shared" si="4"/>
        <v>Finance</v>
      </c>
      <c r="F313" s="4" t="s">
        <v>229</v>
      </c>
      <c r="G313" s="4" t="s">
        <v>26</v>
      </c>
      <c r="H313" s="4" t="s">
        <v>27</v>
      </c>
      <c r="I313" s="4">
        <v>129574</v>
      </c>
      <c r="J313" s="4" t="s">
        <v>938</v>
      </c>
      <c r="K313" s="4">
        <v>2.6</v>
      </c>
      <c r="L313" s="4">
        <v>4.3</v>
      </c>
      <c r="M313" s="4" t="s">
        <v>35</v>
      </c>
      <c r="N313" s="8" t="s">
        <v>252</v>
      </c>
    </row>
    <row r="314" spans="1:14">
      <c r="A314" s="3" t="s">
        <v>939</v>
      </c>
      <c r="B314" s="3" t="s">
        <v>567</v>
      </c>
      <c r="C314" s="3" t="s">
        <v>23</v>
      </c>
      <c r="D314" s="3" t="s">
        <v>503</v>
      </c>
      <c r="E314" s="3" t="str">
        <f t="shared" si="4"/>
        <v>Data Science</v>
      </c>
      <c r="F314" s="3" t="s">
        <v>90</v>
      </c>
      <c r="G314" s="3" t="s">
        <v>75</v>
      </c>
      <c r="H314" s="3" t="s">
        <v>19</v>
      </c>
      <c r="I314" s="3">
        <v>21614</v>
      </c>
      <c r="J314" s="3" t="s">
        <v>940</v>
      </c>
      <c r="K314" s="3">
        <v>6.9</v>
      </c>
      <c r="L314" s="3">
        <v>4.8</v>
      </c>
      <c r="M314" s="3" t="s">
        <v>35</v>
      </c>
      <c r="N314" s="7" t="s">
        <v>143</v>
      </c>
    </row>
    <row r="315" spans="1:14">
      <c r="A315" s="4" t="s">
        <v>941</v>
      </c>
      <c r="B315" s="4" t="s">
        <v>650</v>
      </c>
      <c r="C315" s="4" t="s">
        <v>23</v>
      </c>
      <c r="D315" s="4" t="s">
        <v>16</v>
      </c>
      <c r="E315" s="3" t="str">
        <f t="shared" si="4"/>
        <v>Devops</v>
      </c>
      <c r="F315" s="4" t="s">
        <v>335</v>
      </c>
      <c r="G315" s="4" t="s">
        <v>214</v>
      </c>
      <c r="H315" s="4" t="s">
        <v>19</v>
      </c>
      <c r="I315" s="4">
        <v>216959</v>
      </c>
      <c r="J315" s="4" t="s">
        <v>942</v>
      </c>
      <c r="K315" s="4">
        <v>3.8</v>
      </c>
      <c r="L315" s="4">
        <v>3.3</v>
      </c>
      <c r="M315" s="4" t="s">
        <v>35</v>
      </c>
      <c r="N315" s="8" t="s">
        <v>723</v>
      </c>
    </row>
    <row r="316" spans="1:14">
      <c r="A316" s="3" t="s">
        <v>943</v>
      </c>
      <c r="B316" s="3" t="s">
        <v>944</v>
      </c>
      <c r="C316" s="3" t="s">
        <v>15</v>
      </c>
      <c r="D316" s="3" t="s">
        <v>118</v>
      </c>
      <c r="E316" s="3" t="str">
        <f t="shared" si="4"/>
        <v>Marketing</v>
      </c>
      <c r="F316" s="3" t="s">
        <v>119</v>
      </c>
      <c r="G316" s="3" t="s">
        <v>70</v>
      </c>
      <c r="H316" s="3" t="s">
        <v>33</v>
      </c>
      <c r="I316" s="3">
        <v>41675</v>
      </c>
      <c r="J316" s="3" t="s">
        <v>945</v>
      </c>
      <c r="K316" s="3">
        <v>3.3</v>
      </c>
      <c r="L316" s="3">
        <v>2</v>
      </c>
      <c r="M316" s="3" t="s">
        <v>35</v>
      </c>
      <c r="N316" s="7" t="s">
        <v>340</v>
      </c>
    </row>
    <row r="317" spans="1:14">
      <c r="A317" s="4" t="s">
        <v>946</v>
      </c>
      <c r="B317" s="4" t="s">
        <v>947</v>
      </c>
      <c r="C317" s="4" t="s">
        <v>83</v>
      </c>
      <c r="D317" s="4" t="s">
        <v>24</v>
      </c>
      <c r="E317" s="3" t="str">
        <f t="shared" si="4"/>
        <v>Design</v>
      </c>
      <c r="F317" s="4" t="s">
        <v>25</v>
      </c>
      <c r="G317" s="4" t="s">
        <v>75</v>
      </c>
      <c r="H317" s="4" t="s">
        <v>27</v>
      </c>
      <c r="I317" s="4">
        <v>154546</v>
      </c>
      <c r="J317" s="4" t="s">
        <v>948</v>
      </c>
      <c r="K317" s="4">
        <v>0.8</v>
      </c>
      <c r="L317" s="4">
        <v>4.5</v>
      </c>
      <c r="M317" s="4" t="s">
        <v>35</v>
      </c>
      <c r="N317" s="8" t="s">
        <v>782</v>
      </c>
    </row>
    <row r="318" spans="1:14">
      <c r="A318" s="3" t="s">
        <v>949</v>
      </c>
      <c r="B318" s="3" t="s">
        <v>306</v>
      </c>
      <c r="C318" s="3" t="s">
        <v>83</v>
      </c>
      <c r="D318" s="3" t="s">
        <v>133</v>
      </c>
      <c r="E318" s="3" t="str">
        <f t="shared" si="4"/>
        <v>Qa</v>
      </c>
      <c r="F318" s="3" t="s">
        <v>134</v>
      </c>
      <c r="G318" s="3" t="s">
        <v>75</v>
      </c>
      <c r="H318" s="3" t="s">
        <v>58</v>
      </c>
      <c r="I318" s="3">
        <v>109813</v>
      </c>
      <c r="J318" s="3" t="s">
        <v>950</v>
      </c>
      <c r="K318" s="3">
        <v>6.4</v>
      </c>
      <c r="L318" s="3">
        <v>4.3</v>
      </c>
      <c r="M318" s="3" t="s">
        <v>29</v>
      </c>
      <c r="N318" s="7" t="s">
        <v>340</v>
      </c>
    </row>
    <row r="319" spans="1:14">
      <c r="A319" s="4" t="s">
        <v>951</v>
      </c>
      <c r="B319" s="4" t="s">
        <v>673</v>
      </c>
      <c r="C319" s="4" t="s">
        <v>15</v>
      </c>
      <c r="D319" s="4" t="s">
        <v>89</v>
      </c>
      <c r="E319" s="3" t="str">
        <f t="shared" si="4"/>
        <v>Data Science</v>
      </c>
      <c r="F319" s="4" t="s">
        <v>113</v>
      </c>
      <c r="G319" s="4" t="s">
        <v>214</v>
      </c>
      <c r="H319" s="4" t="s">
        <v>19</v>
      </c>
      <c r="I319" s="4">
        <v>215570</v>
      </c>
      <c r="J319" s="4" t="s">
        <v>952</v>
      </c>
      <c r="K319" s="4">
        <v>2.9</v>
      </c>
      <c r="L319" s="4">
        <v>2.5</v>
      </c>
      <c r="M319" s="4" t="s">
        <v>35</v>
      </c>
      <c r="N319" s="8" t="s">
        <v>853</v>
      </c>
    </row>
    <row r="320" spans="1:14">
      <c r="A320" s="3" t="s">
        <v>953</v>
      </c>
      <c r="B320" s="3" t="s">
        <v>625</v>
      </c>
      <c r="C320" s="3" t="s">
        <v>62</v>
      </c>
      <c r="D320" s="3" t="s">
        <v>39</v>
      </c>
      <c r="E320" s="3" t="str">
        <f t="shared" si="4"/>
        <v>Engineering</v>
      </c>
      <c r="F320" s="3" t="s">
        <v>79</v>
      </c>
      <c r="G320" s="3" t="s">
        <v>46</v>
      </c>
      <c r="H320" s="3" t="s">
        <v>33</v>
      </c>
      <c r="I320" s="3">
        <v>142649</v>
      </c>
      <c r="J320" s="3" t="s">
        <v>954</v>
      </c>
      <c r="K320" s="3">
        <v>6.4</v>
      </c>
      <c r="L320" s="3">
        <v>1.9</v>
      </c>
      <c r="M320" s="3" t="s">
        <v>35</v>
      </c>
      <c r="N320" s="7" t="s">
        <v>219</v>
      </c>
    </row>
    <row r="321" spans="1:14">
      <c r="A321" s="4" t="s">
        <v>955</v>
      </c>
      <c r="B321" s="4" t="s">
        <v>785</v>
      </c>
      <c r="C321" s="4" t="s">
        <v>62</v>
      </c>
      <c r="D321" s="4" t="s">
        <v>24</v>
      </c>
      <c r="E321" s="3" t="str">
        <f t="shared" si="4"/>
        <v>Design</v>
      </c>
      <c r="F321" s="4" t="s">
        <v>25</v>
      </c>
      <c r="G321" s="4" t="s">
        <v>75</v>
      </c>
      <c r="H321" s="4" t="s">
        <v>47</v>
      </c>
      <c r="I321" s="4">
        <v>40218</v>
      </c>
      <c r="J321" s="4" t="s">
        <v>956</v>
      </c>
      <c r="K321" s="4">
        <v>2.8</v>
      </c>
      <c r="L321" s="4">
        <v>3.5</v>
      </c>
      <c r="M321" s="4" t="s">
        <v>35</v>
      </c>
      <c r="N321" s="8" t="s">
        <v>72</v>
      </c>
    </row>
    <row r="322" spans="1:14">
      <c r="A322" s="3" t="s">
        <v>957</v>
      </c>
      <c r="B322" s="3" t="s">
        <v>958</v>
      </c>
      <c r="C322" s="3" t="s">
        <v>57</v>
      </c>
      <c r="D322" s="3" t="s">
        <v>39</v>
      </c>
      <c r="E322" s="3" t="str">
        <f t="shared" si="4"/>
        <v>Engineering</v>
      </c>
      <c r="F322" s="3" t="s">
        <v>197</v>
      </c>
      <c r="G322" s="3" t="s">
        <v>53</v>
      </c>
      <c r="H322" s="3" t="s">
        <v>47</v>
      </c>
      <c r="I322" s="3"/>
      <c r="J322" s="3" t="s">
        <v>959</v>
      </c>
      <c r="K322" s="3">
        <v>2.1</v>
      </c>
      <c r="L322" s="3">
        <v>2.1</v>
      </c>
      <c r="M322" s="3" t="s">
        <v>35</v>
      </c>
      <c r="N322" s="7" t="s">
        <v>147</v>
      </c>
    </row>
    <row r="323" spans="1:14">
      <c r="A323" s="4" t="s">
        <v>960</v>
      </c>
      <c r="B323" s="4" t="s">
        <v>961</v>
      </c>
      <c r="C323" s="4" t="s">
        <v>62</v>
      </c>
      <c r="D323" s="4" t="s">
        <v>63</v>
      </c>
      <c r="E323" s="3" t="str">
        <f t="shared" ref="E323:E386" si="5">PROPER(D323)</f>
        <v>Product</v>
      </c>
      <c r="F323" s="4" t="s">
        <v>64</v>
      </c>
      <c r="G323" s="4" t="s">
        <v>18</v>
      </c>
      <c r="H323" s="4" t="s">
        <v>19</v>
      </c>
      <c r="I323" s="4">
        <v>64683</v>
      </c>
      <c r="J323" s="4" t="s">
        <v>962</v>
      </c>
      <c r="K323" s="4">
        <v>2.8</v>
      </c>
      <c r="L323" s="4">
        <v>1.7</v>
      </c>
      <c r="M323" s="4" t="s">
        <v>29</v>
      </c>
      <c r="N323" s="8" t="s">
        <v>313</v>
      </c>
    </row>
    <row r="324" spans="1:14">
      <c r="A324" s="3" t="s">
        <v>963</v>
      </c>
      <c r="B324" s="3" t="s">
        <v>964</v>
      </c>
      <c r="C324" s="3" t="s">
        <v>38</v>
      </c>
      <c r="D324" s="3" t="s">
        <v>133</v>
      </c>
      <c r="E324" s="3" t="str">
        <f t="shared" si="5"/>
        <v>Qa</v>
      </c>
      <c r="F324" s="3" t="s">
        <v>153</v>
      </c>
      <c r="G324" s="3" t="s">
        <v>65</v>
      </c>
      <c r="H324" s="3" t="s">
        <v>19</v>
      </c>
      <c r="I324" s="3">
        <v>81920</v>
      </c>
      <c r="J324" s="3" t="s">
        <v>312</v>
      </c>
      <c r="K324" s="3">
        <v>4.2</v>
      </c>
      <c r="L324" s="3">
        <v>4.2</v>
      </c>
      <c r="M324" s="3" t="s">
        <v>29</v>
      </c>
      <c r="N324" s="7" t="s">
        <v>892</v>
      </c>
    </row>
    <row r="325" spans="1:14">
      <c r="A325" s="4" t="s">
        <v>965</v>
      </c>
      <c r="B325" s="4" t="s">
        <v>966</v>
      </c>
      <c r="C325" s="4" t="s">
        <v>15</v>
      </c>
      <c r="D325" s="4" t="s">
        <v>967</v>
      </c>
      <c r="E325" s="3" t="str">
        <f t="shared" si="5"/>
        <v>Engineering</v>
      </c>
      <c r="F325" s="4" t="s">
        <v>79</v>
      </c>
      <c r="G325" s="4" t="s">
        <v>214</v>
      </c>
      <c r="H325" s="4" t="s">
        <v>19</v>
      </c>
      <c r="I325" s="4">
        <v>146813</v>
      </c>
      <c r="J325" s="4" t="s">
        <v>968</v>
      </c>
      <c r="K325" s="4">
        <v>5.2</v>
      </c>
      <c r="L325" s="4">
        <v>5</v>
      </c>
      <c r="M325" s="4" t="s">
        <v>35</v>
      </c>
      <c r="N325" s="8" t="s">
        <v>924</v>
      </c>
    </row>
    <row r="326" spans="1:14">
      <c r="A326" s="3" t="s">
        <v>969</v>
      </c>
      <c r="B326" s="3" t="s">
        <v>970</v>
      </c>
      <c r="C326" s="3" t="s">
        <v>62</v>
      </c>
      <c r="D326" s="3" t="s">
        <v>89</v>
      </c>
      <c r="E326" s="3" t="str">
        <f t="shared" si="5"/>
        <v>Data Science</v>
      </c>
      <c r="F326" s="3" t="s">
        <v>376</v>
      </c>
      <c r="G326" s="3" t="s">
        <v>172</v>
      </c>
      <c r="H326" s="3" t="s">
        <v>47</v>
      </c>
      <c r="I326" s="3">
        <v>23682</v>
      </c>
      <c r="J326" s="3" t="s">
        <v>971</v>
      </c>
      <c r="K326" s="3">
        <v>4.9000000000000004</v>
      </c>
      <c r="L326" s="3">
        <v>4.9000000000000004</v>
      </c>
      <c r="M326" s="3" t="s">
        <v>35</v>
      </c>
      <c r="N326" s="7" t="s">
        <v>768</v>
      </c>
    </row>
    <row r="327" spans="1:14">
      <c r="A327" s="4" t="s">
        <v>972</v>
      </c>
      <c r="B327" s="4" t="s">
        <v>443</v>
      </c>
      <c r="C327" s="4" t="s">
        <v>38</v>
      </c>
      <c r="D327" s="4" t="s">
        <v>24</v>
      </c>
      <c r="E327" s="3" t="str">
        <f t="shared" si="5"/>
        <v>Design</v>
      </c>
      <c r="F327" s="4" t="s">
        <v>25</v>
      </c>
      <c r="G327" s="4" t="s">
        <v>70</v>
      </c>
      <c r="H327" s="4" t="s">
        <v>58</v>
      </c>
      <c r="I327" s="4">
        <v>213306</v>
      </c>
      <c r="J327" s="4" t="s">
        <v>973</v>
      </c>
      <c r="K327" s="4">
        <v>2.9</v>
      </c>
      <c r="L327" s="4">
        <v>3</v>
      </c>
      <c r="M327" s="4" t="s">
        <v>35</v>
      </c>
      <c r="N327" s="8" t="s">
        <v>195</v>
      </c>
    </row>
    <row r="328" spans="1:14">
      <c r="A328" s="3" t="s">
        <v>974</v>
      </c>
      <c r="B328" s="3" t="s">
        <v>975</v>
      </c>
      <c r="C328" s="3" t="s">
        <v>62</v>
      </c>
      <c r="D328" s="3" t="s">
        <v>976</v>
      </c>
      <c r="E328" s="3" t="str">
        <f t="shared" si="5"/>
        <v>Hr</v>
      </c>
      <c r="F328" s="3" t="s">
        <v>138</v>
      </c>
      <c r="G328" s="3" t="s">
        <v>70</v>
      </c>
      <c r="H328" s="3" t="s">
        <v>47</v>
      </c>
      <c r="I328" s="3">
        <v>192476</v>
      </c>
      <c r="J328" s="3" t="s">
        <v>977</v>
      </c>
      <c r="K328" s="3">
        <v>1.5</v>
      </c>
      <c r="L328" s="3">
        <v>3.9</v>
      </c>
      <c r="M328" s="3" t="s">
        <v>35</v>
      </c>
      <c r="N328" s="7" t="s">
        <v>325</v>
      </c>
    </row>
    <row r="329" spans="1:14">
      <c r="A329" s="4" t="s">
        <v>978</v>
      </c>
      <c r="B329" s="4" t="s">
        <v>171</v>
      </c>
      <c r="C329" s="4" t="s">
        <v>62</v>
      </c>
      <c r="D329" s="4" t="s">
        <v>84</v>
      </c>
      <c r="E329" s="3" t="str">
        <f t="shared" si="5"/>
        <v>Hr</v>
      </c>
      <c r="F329" s="4" t="s">
        <v>85</v>
      </c>
      <c r="G329" s="4" t="s">
        <v>65</v>
      </c>
      <c r="H329" s="4" t="s">
        <v>19</v>
      </c>
      <c r="I329" s="4">
        <v>204754</v>
      </c>
      <c r="J329" s="4" t="s">
        <v>139</v>
      </c>
      <c r="K329" s="4">
        <v>5.7</v>
      </c>
      <c r="L329" s="4">
        <v>4.0999999999999996</v>
      </c>
      <c r="M329" s="4" t="s">
        <v>35</v>
      </c>
      <c r="N329" s="8" t="s">
        <v>227</v>
      </c>
    </row>
    <row r="330" spans="1:14">
      <c r="A330" s="3" t="s">
        <v>979</v>
      </c>
      <c r="B330" s="3" t="s">
        <v>980</v>
      </c>
      <c r="C330" s="3" t="s">
        <v>23</v>
      </c>
      <c r="D330" s="3" t="s">
        <v>133</v>
      </c>
      <c r="E330" s="3" t="str">
        <f t="shared" si="5"/>
        <v>Qa</v>
      </c>
      <c r="F330" s="3" t="s">
        <v>162</v>
      </c>
      <c r="G330" s="3" t="s">
        <v>172</v>
      </c>
      <c r="H330" s="3" t="s">
        <v>47</v>
      </c>
      <c r="I330" s="3">
        <v>180805</v>
      </c>
      <c r="J330" s="3" t="s">
        <v>981</v>
      </c>
      <c r="K330" s="3">
        <v>3.5</v>
      </c>
      <c r="L330" s="3">
        <v>4.5999999999999996</v>
      </c>
      <c r="M330" s="3" t="s">
        <v>35</v>
      </c>
      <c r="N330" s="7" t="s">
        <v>712</v>
      </c>
    </row>
    <row r="331" spans="1:14">
      <c r="A331" s="4" t="s">
        <v>982</v>
      </c>
      <c r="B331" s="4" t="s">
        <v>144</v>
      </c>
      <c r="C331" s="4" t="s">
        <v>15</v>
      </c>
      <c r="D331" s="4" t="s">
        <v>976</v>
      </c>
      <c r="E331" s="3" t="str">
        <f t="shared" si="5"/>
        <v>Hr</v>
      </c>
      <c r="F331" s="4" t="s">
        <v>85</v>
      </c>
      <c r="G331" s="4" t="s">
        <v>75</v>
      </c>
      <c r="H331" s="4" t="s">
        <v>19</v>
      </c>
      <c r="I331" s="4">
        <v>204255</v>
      </c>
      <c r="J331" s="4" t="s">
        <v>805</v>
      </c>
      <c r="K331" s="4">
        <v>2.4</v>
      </c>
      <c r="L331" s="4">
        <v>2.6</v>
      </c>
      <c r="M331" s="4" t="s">
        <v>35</v>
      </c>
      <c r="N331" s="8" t="s">
        <v>147</v>
      </c>
    </row>
    <row r="332" spans="1:14">
      <c r="A332" s="3" t="s">
        <v>983</v>
      </c>
      <c r="B332" s="3" t="s">
        <v>984</v>
      </c>
      <c r="C332" s="3" t="s">
        <v>23</v>
      </c>
      <c r="D332" s="3" t="s">
        <v>89</v>
      </c>
      <c r="E332" s="3" t="str">
        <f t="shared" si="5"/>
        <v>Data Science</v>
      </c>
      <c r="F332" s="3" t="s">
        <v>90</v>
      </c>
      <c r="G332" s="3" t="s">
        <v>32</v>
      </c>
      <c r="H332" s="3" t="s">
        <v>19</v>
      </c>
      <c r="I332" s="3">
        <v>117570</v>
      </c>
      <c r="J332" s="3" t="s">
        <v>985</v>
      </c>
      <c r="K332" s="3">
        <v>6</v>
      </c>
      <c r="L332" s="3">
        <v>2.9</v>
      </c>
      <c r="M332" s="3" t="s">
        <v>35</v>
      </c>
      <c r="N332" s="7" t="s">
        <v>111</v>
      </c>
    </row>
    <row r="333" spans="1:14">
      <c r="A333" s="4" t="s">
        <v>986</v>
      </c>
      <c r="B333" s="4" t="s">
        <v>987</v>
      </c>
      <c r="C333" s="4" t="s">
        <v>83</v>
      </c>
      <c r="D333" s="4" t="s">
        <v>89</v>
      </c>
      <c r="E333" s="3" t="str">
        <f t="shared" si="5"/>
        <v>Data Science</v>
      </c>
      <c r="F333" s="4" t="s">
        <v>90</v>
      </c>
      <c r="G333" s="4" t="s">
        <v>32</v>
      </c>
      <c r="H333" s="4" t="s">
        <v>27</v>
      </c>
      <c r="I333" s="4">
        <v>149295</v>
      </c>
      <c r="J333" s="4" t="s">
        <v>988</v>
      </c>
      <c r="K333" s="4">
        <v>1.9</v>
      </c>
      <c r="L333" s="4">
        <v>4.8</v>
      </c>
      <c r="M333" s="4" t="s">
        <v>35</v>
      </c>
      <c r="N333" s="8" t="s">
        <v>755</v>
      </c>
    </row>
    <row r="334" spans="1:14">
      <c r="A334" s="3" t="s">
        <v>989</v>
      </c>
      <c r="B334" s="3" t="s">
        <v>990</v>
      </c>
      <c r="C334" s="3" t="s">
        <v>15</v>
      </c>
      <c r="D334" s="3" t="s">
        <v>63</v>
      </c>
      <c r="E334" s="3" t="str">
        <f t="shared" si="5"/>
        <v>Product</v>
      </c>
      <c r="F334" s="3" t="s">
        <v>145</v>
      </c>
      <c r="G334" s="3" t="s">
        <v>172</v>
      </c>
      <c r="H334" s="3" t="s">
        <v>19</v>
      </c>
      <c r="I334" s="3">
        <v>149292</v>
      </c>
      <c r="J334" s="3" t="s">
        <v>713</v>
      </c>
      <c r="K334" s="3">
        <v>3.4</v>
      </c>
      <c r="L334" s="3">
        <v>2</v>
      </c>
      <c r="M334" s="3" t="s">
        <v>35</v>
      </c>
      <c r="N334" s="7" t="s">
        <v>154</v>
      </c>
    </row>
    <row r="335" spans="1:14">
      <c r="A335" s="4" t="s">
        <v>991</v>
      </c>
      <c r="B335" s="4" t="s">
        <v>589</v>
      </c>
      <c r="C335" s="4" t="s">
        <v>23</v>
      </c>
      <c r="D335" s="4" t="s">
        <v>778</v>
      </c>
      <c r="E335" s="3" t="str">
        <f t="shared" si="5"/>
        <v>Product</v>
      </c>
      <c r="F335" s="4" t="s">
        <v>64</v>
      </c>
      <c r="G335" s="4" t="s">
        <v>149</v>
      </c>
      <c r="H335" s="4" t="s">
        <v>58</v>
      </c>
      <c r="I335" s="4">
        <v>52851</v>
      </c>
      <c r="J335" s="4" t="s">
        <v>992</v>
      </c>
      <c r="K335" s="4">
        <v>6.2</v>
      </c>
      <c r="L335" s="4">
        <v>2.4</v>
      </c>
      <c r="M335" s="4" t="s">
        <v>35</v>
      </c>
      <c r="N335" s="8" t="s">
        <v>544</v>
      </c>
    </row>
    <row r="336" spans="1:14">
      <c r="A336" s="3" t="s">
        <v>993</v>
      </c>
      <c r="B336" s="3" t="s">
        <v>443</v>
      </c>
      <c r="C336" s="3" t="s">
        <v>15</v>
      </c>
      <c r="D336" s="3" t="s">
        <v>16</v>
      </c>
      <c r="E336" s="3" t="str">
        <f t="shared" si="5"/>
        <v>Devops</v>
      </c>
      <c r="F336" s="3" t="s">
        <v>123</v>
      </c>
      <c r="G336" s="3" t="s">
        <v>70</v>
      </c>
      <c r="H336" s="3" t="s">
        <v>47</v>
      </c>
      <c r="I336" s="3">
        <v>30614</v>
      </c>
      <c r="J336" s="3" t="s">
        <v>994</v>
      </c>
      <c r="K336" s="3">
        <v>2.2000000000000002</v>
      </c>
      <c r="L336" s="3">
        <v>4.5999999999999996</v>
      </c>
      <c r="M336" s="3" t="s">
        <v>35</v>
      </c>
      <c r="N336" s="7" t="s">
        <v>183</v>
      </c>
    </row>
    <row r="337" spans="1:14">
      <c r="A337" s="4" t="s">
        <v>995</v>
      </c>
      <c r="B337" s="4" t="s">
        <v>996</v>
      </c>
      <c r="C337" s="4" t="s">
        <v>23</v>
      </c>
      <c r="D337" s="4" t="s">
        <v>63</v>
      </c>
      <c r="E337" s="3" t="str">
        <f t="shared" si="5"/>
        <v>Product</v>
      </c>
      <c r="F337" s="4" t="s">
        <v>225</v>
      </c>
      <c r="G337" s="4" t="s">
        <v>114</v>
      </c>
      <c r="H337" s="4" t="s">
        <v>19</v>
      </c>
      <c r="I337" s="4">
        <v>138715</v>
      </c>
      <c r="J337" s="4" t="s">
        <v>593</v>
      </c>
      <c r="K337" s="4">
        <v>3.1</v>
      </c>
      <c r="L337" s="4">
        <v>4</v>
      </c>
      <c r="M337" s="4" t="s">
        <v>29</v>
      </c>
      <c r="N337" s="8" t="s">
        <v>305</v>
      </c>
    </row>
    <row r="338" spans="1:14">
      <c r="A338" s="3" t="s">
        <v>997</v>
      </c>
      <c r="B338" s="3" t="s">
        <v>628</v>
      </c>
      <c r="C338" s="3" t="s">
        <v>62</v>
      </c>
      <c r="D338" s="3" t="s">
        <v>24</v>
      </c>
      <c r="E338" s="3" t="str">
        <f t="shared" si="5"/>
        <v>Design</v>
      </c>
      <c r="F338" s="3" t="s">
        <v>45</v>
      </c>
      <c r="G338" s="3" t="s">
        <v>75</v>
      </c>
      <c r="H338" s="3" t="s">
        <v>33</v>
      </c>
      <c r="I338" s="3">
        <v>56042</v>
      </c>
      <c r="J338" s="3" t="s">
        <v>998</v>
      </c>
      <c r="K338" s="3">
        <v>4.4000000000000004</v>
      </c>
      <c r="L338" s="3">
        <v>3</v>
      </c>
      <c r="M338" s="3" t="s">
        <v>35</v>
      </c>
      <c r="N338" s="7" t="s">
        <v>900</v>
      </c>
    </row>
    <row r="339" spans="1:14">
      <c r="A339" s="4" t="s">
        <v>999</v>
      </c>
      <c r="B339" s="4" t="s">
        <v>1000</v>
      </c>
      <c r="C339" s="4" t="s">
        <v>57</v>
      </c>
      <c r="D339" s="4" t="s">
        <v>24</v>
      </c>
      <c r="E339" s="3" t="str">
        <f t="shared" si="5"/>
        <v>Design</v>
      </c>
      <c r="F339" s="4" t="s">
        <v>94</v>
      </c>
      <c r="G339" s="4" t="s">
        <v>172</v>
      </c>
      <c r="H339" s="4" t="s">
        <v>19</v>
      </c>
      <c r="I339" s="4">
        <v>61065</v>
      </c>
      <c r="J339" s="4" t="s">
        <v>466</v>
      </c>
      <c r="K339" s="4">
        <v>5.8</v>
      </c>
      <c r="L339" s="4">
        <v>3.7</v>
      </c>
      <c r="M339" s="4" t="s">
        <v>35</v>
      </c>
      <c r="N339" s="8" t="s">
        <v>979</v>
      </c>
    </row>
    <row r="340" spans="1:14">
      <c r="A340" s="3" t="s">
        <v>1001</v>
      </c>
      <c r="B340" s="3" t="s">
        <v>727</v>
      </c>
      <c r="C340" s="3" t="s">
        <v>15</v>
      </c>
      <c r="D340" s="3" t="s">
        <v>39</v>
      </c>
      <c r="E340" s="3" t="str">
        <f t="shared" si="5"/>
        <v>Engineering</v>
      </c>
      <c r="F340" s="3" t="s">
        <v>109</v>
      </c>
      <c r="G340" s="3" t="s">
        <v>65</v>
      </c>
      <c r="H340" s="3" t="s">
        <v>19</v>
      </c>
      <c r="I340" s="3">
        <v>147073</v>
      </c>
      <c r="J340" s="3" t="s">
        <v>270</v>
      </c>
      <c r="K340" s="3">
        <v>1</v>
      </c>
      <c r="L340" s="3">
        <v>4.4000000000000004</v>
      </c>
      <c r="M340" s="3" t="s">
        <v>42</v>
      </c>
      <c r="N340" s="7" t="s">
        <v>550</v>
      </c>
    </row>
    <row r="341" spans="1:14">
      <c r="A341" s="4" t="s">
        <v>1002</v>
      </c>
      <c r="B341" s="4" t="s">
        <v>509</v>
      </c>
      <c r="C341" s="4" t="s">
        <v>15</v>
      </c>
      <c r="D341" s="4" t="s">
        <v>176</v>
      </c>
      <c r="E341" s="3" t="str">
        <f t="shared" si="5"/>
        <v>Finance</v>
      </c>
      <c r="F341" s="4" t="s">
        <v>359</v>
      </c>
      <c r="G341" s="4" t="s">
        <v>149</v>
      </c>
      <c r="H341" s="4" t="s">
        <v>19</v>
      </c>
      <c r="I341" s="4">
        <v>158491</v>
      </c>
      <c r="J341" s="4" t="s">
        <v>1003</v>
      </c>
      <c r="K341" s="4">
        <v>3.4</v>
      </c>
      <c r="L341" s="4">
        <v>4.9000000000000004</v>
      </c>
      <c r="M341" s="4" t="s">
        <v>42</v>
      </c>
      <c r="N341" s="8" t="s">
        <v>495</v>
      </c>
    </row>
    <row r="342" spans="1:14">
      <c r="A342" s="3" t="s">
        <v>1004</v>
      </c>
      <c r="B342" s="3" t="s">
        <v>1005</v>
      </c>
      <c r="C342" s="3" t="s">
        <v>38</v>
      </c>
      <c r="D342" s="3" t="s">
        <v>63</v>
      </c>
      <c r="E342" s="3" t="str">
        <f t="shared" si="5"/>
        <v>Product</v>
      </c>
      <c r="F342" s="3" t="s">
        <v>64</v>
      </c>
      <c r="G342" s="3" t="s">
        <v>32</v>
      </c>
      <c r="H342" s="3" t="s">
        <v>19</v>
      </c>
      <c r="I342" s="3">
        <v>140959</v>
      </c>
      <c r="J342" s="3" t="s">
        <v>1006</v>
      </c>
      <c r="K342" s="3">
        <v>4.2</v>
      </c>
      <c r="L342" s="3">
        <v>3.6</v>
      </c>
      <c r="M342" s="3" t="s">
        <v>35</v>
      </c>
      <c r="N342" s="7" t="s">
        <v>219</v>
      </c>
    </row>
    <row r="343" spans="1:14">
      <c r="A343" s="4" t="s">
        <v>1007</v>
      </c>
      <c r="B343" s="4" t="s">
        <v>122</v>
      </c>
      <c r="C343" s="4" t="s">
        <v>57</v>
      </c>
      <c r="D343" s="4" t="s">
        <v>16</v>
      </c>
      <c r="E343" s="3" t="str">
        <f t="shared" si="5"/>
        <v>Devops</v>
      </c>
      <c r="F343" s="4" t="s">
        <v>98</v>
      </c>
      <c r="G343" s="4" t="s">
        <v>149</v>
      </c>
      <c r="H343" s="4" t="s">
        <v>19</v>
      </c>
      <c r="I343" s="4">
        <v>188030</v>
      </c>
      <c r="J343" s="4" t="s">
        <v>1008</v>
      </c>
      <c r="K343" s="4">
        <v>1.6</v>
      </c>
      <c r="L343" s="4">
        <v>2.6</v>
      </c>
      <c r="M343" s="4" t="s">
        <v>35</v>
      </c>
      <c r="N343" s="8" t="s">
        <v>30</v>
      </c>
    </row>
    <row r="344" spans="1:14">
      <c r="A344" s="3" t="s">
        <v>1009</v>
      </c>
      <c r="B344" s="3" t="s">
        <v>1010</v>
      </c>
      <c r="C344" s="3" t="s">
        <v>62</v>
      </c>
      <c r="D344" s="3" t="s">
        <v>133</v>
      </c>
      <c r="E344" s="3" t="str">
        <f t="shared" si="5"/>
        <v>Qa</v>
      </c>
      <c r="F344" s="3" t="s">
        <v>153</v>
      </c>
      <c r="G344" s="3" t="s">
        <v>114</v>
      </c>
      <c r="H344" s="3" t="s">
        <v>58</v>
      </c>
      <c r="I344" s="3">
        <v>130516</v>
      </c>
      <c r="J344" s="3" t="s">
        <v>1011</v>
      </c>
      <c r="K344" s="3">
        <v>2</v>
      </c>
      <c r="L344" s="3">
        <v>1.6</v>
      </c>
      <c r="M344" s="3" t="s">
        <v>29</v>
      </c>
      <c r="N344" s="7" t="s">
        <v>606</v>
      </c>
    </row>
    <row r="345" spans="1:14">
      <c r="A345" s="4" t="s">
        <v>1012</v>
      </c>
      <c r="B345" s="4" t="s">
        <v>637</v>
      </c>
      <c r="C345" s="4" t="s">
        <v>57</v>
      </c>
      <c r="D345" s="4" t="s">
        <v>39</v>
      </c>
      <c r="E345" s="3" t="str">
        <f t="shared" si="5"/>
        <v>Engineering</v>
      </c>
      <c r="F345" s="4" t="s">
        <v>79</v>
      </c>
      <c r="G345" s="4" t="s">
        <v>65</v>
      </c>
      <c r="H345" s="4" t="s">
        <v>47</v>
      </c>
      <c r="I345" s="4">
        <v>125189</v>
      </c>
      <c r="J345" s="4" t="s">
        <v>1013</v>
      </c>
      <c r="K345" s="4">
        <v>2</v>
      </c>
      <c r="L345" s="4">
        <v>2.9</v>
      </c>
      <c r="M345" s="4" t="s">
        <v>29</v>
      </c>
      <c r="N345" s="8" t="s">
        <v>140</v>
      </c>
    </row>
    <row r="346" spans="1:14">
      <c r="A346" s="3" t="s">
        <v>1014</v>
      </c>
      <c r="B346" s="3" t="s">
        <v>341</v>
      </c>
      <c r="C346" s="3" t="s">
        <v>15</v>
      </c>
      <c r="D346" s="3" t="s">
        <v>118</v>
      </c>
      <c r="E346" s="3" t="str">
        <f t="shared" si="5"/>
        <v>Marketing</v>
      </c>
      <c r="F346" s="3" t="s">
        <v>119</v>
      </c>
      <c r="G346" s="3" t="s">
        <v>75</v>
      </c>
      <c r="H346" s="3" t="s">
        <v>19</v>
      </c>
      <c r="I346" s="3">
        <v>146360</v>
      </c>
      <c r="J346" s="3" t="s">
        <v>1015</v>
      </c>
      <c r="K346" s="3">
        <v>6</v>
      </c>
      <c r="L346" s="3">
        <v>4.5</v>
      </c>
      <c r="M346" s="3" t="s">
        <v>35</v>
      </c>
      <c r="N346" s="7" t="s">
        <v>972</v>
      </c>
    </row>
    <row r="347" spans="1:14">
      <c r="A347" s="4" t="s">
        <v>1016</v>
      </c>
      <c r="B347" s="4" t="s">
        <v>1017</v>
      </c>
      <c r="C347" s="4" t="s">
        <v>23</v>
      </c>
      <c r="D347" s="4" t="s">
        <v>176</v>
      </c>
      <c r="E347" s="3" t="str">
        <f t="shared" si="5"/>
        <v>Finance</v>
      </c>
      <c r="F347" s="4" t="s">
        <v>359</v>
      </c>
      <c r="G347" s="4" t="s">
        <v>26</v>
      </c>
      <c r="H347" s="4" t="s">
        <v>27</v>
      </c>
      <c r="I347" s="4">
        <v>219373</v>
      </c>
      <c r="J347" s="4" t="s">
        <v>1018</v>
      </c>
      <c r="K347" s="4">
        <v>6.4</v>
      </c>
      <c r="L347" s="4">
        <v>4.3</v>
      </c>
      <c r="M347" s="4" t="s">
        <v>35</v>
      </c>
      <c r="N347" s="8" t="s">
        <v>265</v>
      </c>
    </row>
    <row r="348" spans="1:14">
      <c r="A348" s="3" t="s">
        <v>1019</v>
      </c>
      <c r="B348" s="3" t="s">
        <v>1020</v>
      </c>
      <c r="C348" s="3" t="s">
        <v>15</v>
      </c>
      <c r="D348" s="3" t="s">
        <v>84</v>
      </c>
      <c r="E348" s="3" t="str">
        <f t="shared" si="5"/>
        <v>Hr</v>
      </c>
      <c r="F348" s="3" t="s">
        <v>204</v>
      </c>
      <c r="G348" s="3" t="s">
        <v>65</v>
      </c>
      <c r="H348" s="3" t="s">
        <v>47</v>
      </c>
      <c r="I348" s="3">
        <v>48001</v>
      </c>
      <c r="J348" s="3" t="s">
        <v>1021</v>
      </c>
      <c r="K348" s="3">
        <v>5.2</v>
      </c>
      <c r="L348" s="3">
        <v>4.8</v>
      </c>
      <c r="M348" s="3" t="s">
        <v>35</v>
      </c>
      <c r="N348" s="7" t="s">
        <v>563</v>
      </c>
    </row>
    <row r="349" spans="1:14">
      <c r="A349" s="4" t="s">
        <v>1022</v>
      </c>
      <c r="B349" s="4" t="s">
        <v>1023</v>
      </c>
      <c r="C349" s="4" t="s">
        <v>83</v>
      </c>
      <c r="D349" s="4" t="s">
        <v>39</v>
      </c>
      <c r="E349" s="3" t="str">
        <f t="shared" si="5"/>
        <v>Engineering</v>
      </c>
      <c r="F349" s="4" t="s">
        <v>197</v>
      </c>
      <c r="G349" s="4" t="s">
        <v>114</v>
      </c>
      <c r="H349" s="4" t="s">
        <v>19</v>
      </c>
      <c r="I349" s="4">
        <v>170847</v>
      </c>
      <c r="J349" s="4" t="s">
        <v>1024</v>
      </c>
      <c r="K349" s="4">
        <v>2.2000000000000002</v>
      </c>
      <c r="L349" s="4">
        <v>2.1</v>
      </c>
      <c r="M349" s="4" t="s">
        <v>35</v>
      </c>
      <c r="N349" s="8" t="s">
        <v>256</v>
      </c>
    </row>
    <row r="350" spans="1:14">
      <c r="A350" s="3" t="s">
        <v>1025</v>
      </c>
      <c r="B350" s="3" t="s">
        <v>1026</v>
      </c>
      <c r="C350" s="3" t="s">
        <v>62</v>
      </c>
      <c r="D350" s="3" t="s">
        <v>63</v>
      </c>
      <c r="E350" s="3" t="str">
        <f t="shared" si="5"/>
        <v>Product</v>
      </c>
      <c r="F350" s="3" t="s">
        <v>64</v>
      </c>
      <c r="G350" s="3" t="s">
        <v>32</v>
      </c>
      <c r="H350" s="3" t="s">
        <v>19</v>
      </c>
      <c r="I350" s="3">
        <v>47083</v>
      </c>
      <c r="J350" s="3" t="s">
        <v>1027</v>
      </c>
      <c r="K350" s="3">
        <v>3.5</v>
      </c>
      <c r="L350" s="3">
        <v>2.2999999999999998</v>
      </c>
      <c r="M350" s="3" t="s">
        <v>35</v>
      </c>
      <c r="N350" s="7" t="s">
        <v>454</v>
      </c>
    </row>
    <row r="351" spans="1:14">
      <c r="A351" s="4" t="s">
        <v>1028</v>
      </c>
      <c r="B351" s="4" t="s">
        <v>82</v>
      </c>
      <c r="C351" s="4" t="s">
        <v>38</v>
      </c>
      <c r="D351" s="4" t="s">
        <v>414</v>
      </c>
      <c r="E351" s="3" t="str">
        <f t="shared" si="5"/>
        <v>Devops</v>
      </c>
      <c r="F351" s="4" t="s">
        <v>123</v>
      </c>
      <c r="G351" s="4" t="s">
        <v>26</v>
      </c>
      <c r="H351" s="4" t="s">
        <v>33</v>
      </c>
      <c r="I351" s="4">
        <v>199069</v>
      </c>
      <c r="J351" s="4" t="s">
        <v>1029</v>
      </c>
      <c r="K351" s="4">
        <v>4.0999999999999996</v>
      </c>
      <c r="L351" s="4">
        <v>3.8</v>
      </c>
      <c r="M351" s="4" t="s">
        <v>35</v>
      </c>
      <c r="N351" s="8" t="s">
        <v>167</v>
      </c>
    </row>
    <row r="352" spans="1:14">
      <c r="A352" s="3" t="s">
        <v>1030</v>
      </c>
      <c r="B352" s="3" t="s">
        <v>68</v>
      </c>
      <c r="C352" s="3" t="s">
        <v>38</v>
      </c>
      <c r="D352" s="3" t="s">
        <v>257</v>
      </c>
      <c r="E352" s="3" t="str">
        <f t="shared" si="5"/>
        <v>Design</v>
      </c>
      <c r="F352" s="3" t="s">
        <v>74</v>
      </c>
      <c r="G352" s="3" t="s">
        <v>32</v>
      </c>
      <c r="H352" s="3" t="s">
        <v>19</v>
      </c>
      <c r="I352" s="3">
        <v>63697</v>
      </c>
      <c r="J352" s="3" t="s">
        <v>1031</v>
      </c>
      <c r="K352" s="3">
        <v>7</v>
      </c>
      <c r="L352" s="3">
        <v>3.5</v>
      </c>
      <c r="M352" s="3" t="s">
        <v>35</v>
      </c>
      <c r="N352" s="7" t="s">
        <v>858</v>
      </c>
    </row>
    <row r="353" spans="1:14">
      <c r="A353" s="4" t="s">
        <v>1032</v>
      </c>
      <c r="B353" s="4" t="s">
        <v>573</v>
      </c>
      <c r="C353" s="4" t="s">
        <v>62</v>
      </c>
      <c r="D353" s="4" t="s">
        <v>89</v>
      </c>
      <c r="E353" s="3" t="str">
        <f t="shared" si="5"/>
        <v>Data Science</v>
      </c>
      <c r="F353" s="4" t="s">
        <v>113</v>
      </c>
      <c r="G353" s="4" t="s">
        <v>214</v>
      </c>
      <c r="H353" s="4" t="s">
        <v>47</v>
      </c>
      <c r="I353" s="4">
        <v>88344</v>
      </c>
      <c r="J353" s="4" t="s">
        <v>1033</v>
      </c>
      <c r="K353" s="4">
        <v>5.3</v>
      </c>
      <c r="L353" s="4">
        <v>4</v>
      </c>
      <c r="M353" s="4" t="s">
        <v>35</v>
      </c>
      <c r="N353" s="8" t="s">
        <v>691</v>
      </c>
    </row>
    <row r="354" spans="1:14">
      <c r="A354" s="3" t="s">
        <v>1034</v>
      </c>
      <c r="B354" s="3" t="s">
        <v>1035</v>
      </c>
      <c r="C354" s="3" t="s">
        <v>23</v>
      </c>
      <c r="D354" s="3" t="s">
        <v>414</v>
      </c>
      <c r="E354" s="3" t="str">
        <f t="shared" si="5"/>
        <v>Devops</v>
      </c>
      <c r="F354" s="3" t="s">
        <v>335</v>
      </c>
      <c r="G354" s="3" t="s">
        <v>172</v>
      </c>
      <c r="H354" s="3" t="s">
        <v>19</v>
      </c>
      <c r="I354" s="3">
        <v>32878</v>
      </c>
      <c r="J354" s="3" t="s">
        <v>1036</v>
      </c>
      <c r="K354" s="3">
        <v>4.7</v>
      </c>
      <c r="L354" s="3">
        <v>1.6</v>
      </c>
      <c r="M354" s="3" t="s">
        <v>35</v>
      </c>
      <c r="N354" s="7" t="s">
        <v>361</v>
      </c>
    </row>
    <row r="355" spans="1:14">
      <c r="A355" s="4" t="s">
        <v>1037</v>
      </c>
      <c r="B355" s="4" t="s">
        <v>1038</v>
      </c>
      <c r="C355" s="4" t="s">
        <v>57</v>
      </c>
      <c r="D355" s="4" t="s">
        <v>63</v>
      </c>
      <c r="E355" s="3" t="str">
        <f t="shared" si="5"/>
        <v>Product</v>
      </c>
      <c r="F355" s="4" t="s">
        <v>145</v>
      </c>
      <c r="G355" s="4" t="s">
        <v>75</v>
      </c>
      <c r="H355" s="4" t="s">
        <v>27</v>
      </c>
      <c r="I355" s="4">
        <v>182126</v>
      </c>
      <c r="J355" s="4" t="s">
        <v>1039</v>
      </c>
      <c r="K355" s="4">
        <v>5.8</v>
      </c>
      <c r="L355" s="4">
        <v>2</v>
      </c>
      <c r="M355" s="4" t="s">
        <v>42</v>
      </c>
      <c r="N355" s="8" t="s">
        <v>271</v>
      </c>
    </row>
    <row r="356" spans="1:14">
      <c r="A356" s="3" t="s">
        <v>1040</v>
      </c>
      <c r="B356" s="3" t="s">
        <v>1041</v>
      </c>
      <c r="C356" s="3" t="s">
        <v>38</v>
      </c>
      <c r="D356" s="3" t="s">
        <v>176</v>
      </c>
      <c r="E356" s="3" t="str">
        <f t="shared" si="5"/>
        <v>Finance</v>
      </c>
      <c r="F356" s="3" t="s">
        <v>177</v>
      </c>
      <c r="G356" s="3" t="s">
        <v>114</v>
      </c>
      <c r="H356" s="3" t="s">
        <v>19</v>
      </c>
      <c r="I356" s="3">
        <v>160182</v>
      </c>
      <c r="J356" s="3" t="s">
        <v>1042</v>
      </c>
      <c r="K356" s="3">
        <v>1.7</v>
      </c>
      <c r="L356" s="3">
        <v>4.2</v>
      </c>
      <c r="M356" s="3" t="s">
        <v>42</v>
      </c>
      <c r="N356" s="7" t="s">
        <v>894</v>
      </c>
    </row>
    <row r="357" spans="1:14">
      <c r="A357" s="4" t="s">
        <v>1043</v>
      </c>
      <c r="B357" s="4" t="s">
        <v>1020</v>
      </c>
      <c r="C357" s="4" t="s">
        <v>23</v>
      </c>
      <c r="D357" s="4" t="s">
        <v>89</v>
      </c>
      <c r="E357" s="3" t="str">
        <f t="shared" si="5"/>
        <v>Data Science</v>
      </c>
      <c r="F357" s="4" t="s">
        <v>376</v>
      </c>
      <c r="G357" s="4" t="s">
        <v>114</v>
      </c>
      <c r="H357" s="4" t="s">
        <v>33</v>
      </c>
      <c r="I357" s="4">
        <v>59431</v>
      </c>
      <c r="J357" s="4" t="s">
        <v>261</v>
      </c>
      <c r="K357" s="4">
        <v>5.0999999999999996</v>
      </c>
      <c r="L357" s="4">
        <v>4.8</v>
      </c>
      <c r="M357" s="4" t="s">
        <v>35</v>
      </c>
      <c r="N357" s="8" t="s">
        <v>694</v>
      </c>
    </row>
    <row r="358" spans="1:14">
      <c r="A358" s="3" t="s">
        <v>1044</v>
      </c>
      <c r="B358" s="3" t="s">
        <v>1045</v>
      </c>
      <c r="C358" s="3" t="s">
        <v>15</v>
      </c>
      <c r="D358" s="3" t="s">
        <v>16</v>
      </c>
      <c r="E358" s="3" t="str">
        <f t="shared" si="5"/>
        <v>Devops</v>
      </c>
      <c r="F358" s="3" t="s">
        <v>335</v>
      </c>
      <c r="G358" s="3" t="s">
        <v>114</v>
      </c>
      <c r="H358" s="3" t="s">
        <v>19</v>
      </c>
      <c r="I358" s="3">
        <v>181561</v>
      </c>
      <c r="J358" s="3" t="s">
        <v>381</v>
      </c>
      <c r="K358" s="3">
        <v>4.7</v>
      </c>
      <c r="L358" s="3">
        <v>2.8</v>
      </c>
      <c r="M358" s="3" t="s">
        <v>29</v>
      </c>
      <c r="N358" s="7" t="s">
        <v>422</v>
      </c>
    </row>
    <row r="359" spans="1:14">
      <c r="A359" s="4" t="s">
        <v>1046</v>
      </c>
      <c r="B359" s="4" t="s">
        <v>378</v>
      </c>
      <c r="C359" s="4" t="s">
        <v>23</v>
      </c>
      <c r="D359" s="4" t="s">
        <v>63</v>
      </c>
      <c r="E359" s="3" t="str">
        <f t="shared" si="5"/>
        <v>Product</v>
      </c>
      <c r="F359" s="4" t="s">
        <v>145</v>
      </c>
      <c r="G359" s="4" t="s">
        <v>114</v>
      </c>
      <c r="H359" s="4" t="s">
        <v>27</v>
      </c>
      <c r="I359" s="4">
        <v>180425</v>
      </c>
      <c r="J359" s="4" t="s">
        <v>474</v>
      </c>
      <c r="K359" s="4">
        <v>0.9</v>
      </c>
      <c r="L359" s="4"/>
      <c r="M359" s="4" t="s">
        <v>35</v>
      </c>
      <c r="N359" s="8" t="s">
        <v>974</v>
      </c>
    </row>
    <row r="360" spans="1:14">
      <c r="A360" s="3" t="s">
        <v>1047</v>
      </c>
      <c r="B360" s="3" t="s">
        <v>1048</v>
      </c>
      <c r="C360" s="3" t="s">
        <v>15</v>
      </c>
      <c r="D360" s="3" t="s">
        <v>176</v>
      </c>
      <c r="E360" s="3" t="str">
        <f t="shared" si="5"/>
        <v>Finance</v>
      </c>
      <c r="F360" s="3" t="s">
        <v>177</v>
      </c>
      <c r="G360" s="3" t="s">
        <v>149</v>
      </c>
      <c r="H360" s="3" t="s">
        <v>33</v>
      </c>
      <c r="I360" s="3">
        <v>68542</v>
      </c>
      <c r="J360" s="3" t="s">
        <v>1049</v>
      </c>
      <c r="K360" s="3">
        <v>4</v>
      </c>
      <c r="L360" s="3">
        <v>2.6</v>
      </c>
      <c r="M360" s="3" t="s">
        <v>35</v>
      </c>
      <c r="N360" s="7" t="s">
        <v>538</v>
      </c>
    </row>
    <row r="361" spans="1:14">
      <c r="A361" s="4" t="s">
        <v>1050</v>
      </c>
      <c r="B361" s="4" t="s">
        <v>1051</v>
      </c>
      <c r="C361" s="4" t="s">
        <v>38</v>
      </c>
      <c r="D361" s="4" t="s">
        <v>39</v>
      </c>
      <c r="E361" s="3" t="str">
        <f t="shared" si="5"/>
        <v>Engineering</v>
      </c>
      <c r="F361" s="4" t="s">
        <v>40</v>
      </c>
      <c r="G361" s="4" t="s">
        <v>53</v>
      </c>
      <c r="H361" s="4" t="s">
        <v>19</v>
      </c>
      <c r="I361" s="4">
        <v>122794</v>
      </c>
      <c r="J361" s="4" t="s">
        <v>1052</v>
      </c>
      <c r="K361" s="4">
        <v>4.7</v>
      </c>
      <c r="L361" s="4">
        <v>3.4</v>
      </c>
      <c r="M361" s="4" t="s">
        <v>35</v>
      </c>
      <c r="N361" s="8" t="s">
        <v>1007</v>
      </c>
    </row>
    <row r="362" spans="1:14">
      <c r="A362" s="3" t="s">
        <v>1053</v>
      </c>
      <c r="B362" s="3" t="s">
        <v>1054</v>
      </c>
      <c r="C362" s="3" t="s">
        <v>38</v>
      </c>
      <c r="D362" s="3" t="s">
        <v>16</v>
      </c>
      <c r="E362" s="3" t="str">
        <f t="shared" si="5"/>
        <v>Devops</v>
      </c>
      <c r="F362" s="3" t="s">
        <v>123</v>
      </c>
      <c r="G362" s="3" t="s">
        <v>114</v>
      </c>
      <c r="H362" s="3" t="s">
        <v>58</v>
      </c>
      <c r="I362" s="3">
        <v>205957</v>
      </c>
      <c r="J362" s="3" t="s">
        <v>1055</v>
      </c>
      <c r="K362" s="3">
        <v>1</v>
      </c>
      <c r="L362" s="3">
        <v>3.2</v>
      </c>
      <c r="M362" s="3" t="s">
        <v>29</v>
      </c>
      <c r="N362" s="7" t="s">
        <v>327</v>
      </c>
    </row>
    <row r="363" spans="1:14">
      <c r="A363" s="4" t="s">
        <v>1056</v>
      </c>
      <c r="B363" s="4" t="s">
        <v>1057</v>
      </c>
      <c r="C363" s="4" t="s">
        <v>23</v>
      </c>
      <c r="D363" s="4" t="s">
        <v>89</v>
      </c>
      <c r="E363" s="3" t="str">
        <f t="shared" si="5"/>
        <v>Data Science</v>
      </c>
      <c r="F363" s="4" t="s">
        <v>376</v>
      </c>
      <c r="G363" s="4" t="s">
        <v>18</v>
      </c>
      <c r="H363" s="4" t="s">
        <v>19</v>
      </c>
      <c r="I363" s="4">
        <v>82868</v>
      </c>
      <c r="J363" s="4" t="s">
        <v>1058</v>
      </c>
      <c r="K363" s="4">
        <v>4.4000000000000004</v>
      </c>
      <c r="L363" s="4">
        <v>1.6</v>
      </c>
      <c r="M363" s="4" t="s">
        <v>35</v>
      </c>
      <c r="N363" s="8" t="s">
        <v>636</v>
      </c>
    </row>
    <row r="364" spans="1:14">
      <c r="A364" s="3" t="s">
        <v>1059</v>
      </c>
      <c r="B364" s="3" t="s">
        <v>1060</v>
      </c>
      <c r="C364" s="3" t="s">
        <v>62</v>
      </c>
      <c r="D364" s="3" t="s">
        <v>39</v>
      </c>
      <c r="E364" s="3" t="str">
        <f t="shared" si="5"/>
        <v>Engineering</v>
      </c>
      <c r="F364" s="3" t="s">
        <v>79</v>
      </c>
      <c r="G364" s="3" t="s">
        <v>149</v>
      </c>
      <c r="H364" s="3" t="s">
        <v>19</v>
      </c>
      <c r="I364" s="3">
        <v>36303</v>
      </c>
      <c r="J364" s="3" t="s">
        <v>1061</v>
      </c>
      <c r="K364" s="3">
        <v>0.6</v>
      </c>
      <c r="L364" s="3">
        <v>1.7</v>
      </c>
      <c r="M364" s="3" t="s">
        <v>35</v>
      </c>
      <c r="N364" s="7" t="s">
        <v>1044</v>
      </c>
    </row>
    <row r="365" spans="1:14">
      <c r="A365" s="4" t="s">
        <v>1062</v>
      </c>
      <c r="B365" s="4" t="s">
        <v>730</v>
      </c>
      <c r="C365" s="4" t="s">
        <v>15</v>
      </c>
      <c r="D365" s="4" t="s">
        <v>24</v>
      </c>
      <c r="E365" s="3" t="str">
        <f t="shared" si="5"/>
        <v>Design</v>
      </c>
      <c r="F365" s="4" t="s">
        <v>25</v>
      </c>
      <c r="G365" s="4" t="s">
        <v>65</v>
      </c>
      <c r="H365" s="4" t="s">
        <v>47</v>
      </c>
      <c r="I365" s="4">
        <v>164732</v>
      </c>
      <c r="J365" s="4" t="s">
        <v>1063</v>
      </c>
      <c r="K365" s="4">
        <v>4.9000000000000004</v>
      </c>
      <c r="L365" s="4">
        <v>1.7</v>
      </c>
      <c r="M365" s="4" t="s">
        <v>35</v>
      </c>
      <c r="N365" s="8" t="s">
        <v>787</v>
      </c>
    </row>
    <row r="366" spans="1:14">
      <c r="A366" s="3" t="s">
        <v>1064</v>
      </c>
      <c r="B366" s="3" t="s">
        <v>446</v>
      </c>
      <c r="C366" s="3" t="s">
        <v>62</v>
      </c>
      <c r="D366" s="3" t="s">
        <v>84</v>
      </c>
      <c r="E366" s="3" t="str">
        <f t="shared" si="5"/>
        <v>Hr</v>
      </c>
      <c r="F366" s="3" t="s">
        <v>85</v>
      </c>
      <c r="G366" s="3" t="s">
        <v>149</v>
      </c>
      <c r="H366" s="3" t="s">
        <v>19</v>
      </c>
      <c r="I366" s="3">
        <v>181772</v>
      </c>
      <c r="J366" s="3" t="s">
        <v>1065</v>
      </c>
      <c r="K366" s="3">
        <v>5.5</v>
      </c>
      <c r="L366" s="3">
        <v>4.5999999999999996</v>
      </c>
      <c r="M366" s="3" t="s">
        <v>35</v>
      </c>
      <c r="N366" s="7" t="s">
        <v>620</v>
      </c>
    </row>
    <row r="367" spans="1:14">
      <c r="A367" s="4" t="s">
        <v>1066</v>
      </c>
      <c r="B367" s="4" t="s">
        <v>1067</v>
      </c>
      <c r="C367" s="4" t="s">
        <v>83</v>
      </c>
      <c r="D367" s="4" t="s">
        <v>133</v>
      </c>
      <c r="E367" s="3" t="str">
        <f t="shared" si="5"/>
        <v>Qa</v>
      </c>
      <c r="F367" s="4" t="s">
        <v>162</v>
      </c>
      <c r="G367" s="4" t="s">
        <v>214</v>
      </c>
      <c r="H367" s="4" t="s">
        <v>19</v>
      </c>
      <c r="I367" s="4">
        <v>78308</v>
      </c>
      <c r="J367" s="4" t="s">
        <v>1068</v>
      </c>
      <c r="K367" s="4">
        <v>0.7</v>
      </c>
      <c r="L367" s="4">
        <v>3.2</v>
      </c>
      <c r="M367" s="4" t="s">
        <v>35</v>
      </c>
      <c r="N367" s="8" t="s">
        <v>609</v>
      </c>
    </row>
    <row r="368" spans="1:14">
      <c r="A368" s="3" t="s">
        <v>1069</v>
      </c>
      <c r="B368" s="3" t="s">
        <v>601</v>
      </c>
      <c r="C368" s="3" t="s">
        <v>23</v>
      </c>
      <c r="D368" s="3" t="s">
        <v>24</v>
      </c>
      <c r="E368" s="3" t="str">
        <f t="shared" si="5"/>
        <v>Design</v>
      </c>
      <c r="F368" s="3" t="s">
        <v>25</v>
      </c>
      <c r="G368" s="3" t="s">
        <v>53</v>
      </c>
      <c r="H368" s="3" t="s">
        <v>19</v>
      </c>
      <c r="I368" s="3">
        <v>95687</v>
      </c>
      <c r="J368" s="3" t="s">
        <v>1070</v>
      </c>
      <c r="K368" s="3">
        <v>2.1</v>
      </c>
      <c r="L368" s="3">
        <v>1.9</v>
      </c>
      <c r="M368" s="3" t="s">
        <v>35</v>
      </c>
      <c r="N368" s="7" t="s">
        <v>726</v>
      </c>
    </row>
    <row r="369" spans="1:14">
      <c r="A369" s="4" t="s">
        <v>1071</v>
      </c>
      <c r="B369" s="4" t="s">
        <v>1072</v>
      </c>
      <c r="C369" s="4" t="s">
        <v>15</v>
      </c>
      <c r="D369" s="4" t="s">
        <v>118</v>
      </c>
      <c r="E369" s="3" t="str">
        <f t="shared" si="5"/>
        <v>Marketing</v>
      </c>
      <c r="F369" s="4" t="s">
        <v>254</v>
      </c>
      <c r="G369" s="4" t="s">
        <v>32</v>
      </c>
      <c r="H369" s="4" t="s">
        <v>27</v>
      </c>
      <c r="I369" s="4">
        <v>65299</v>
      </c>
      <c r="J369" s="4" t="s">
        <v>1073</v>
      </c>
      <c r="K369" s="4">
        <v>3.4</v>
      </c>
      <c r="L369" s="4"/>
      <c r="M369" s="4" t="s">
        <v>29</v>
      </c>
      <c r="N369" s="8" t="s">
        <v>227</v>
      </c>
    </row>
    <row r="370" spans="1:14">
      <c r="A370" s="3" t="s">
        <v>1074</v>
      </c>
      <c r="B370" s="3" t="s">
        <v>78</v>
      </c>
      <c r="C370" s="3" t="s">
        <v>57</v>
      </c>
      <c r="D370" s="3" t="s">
        <v>63</v>
      </c>
      <c r="E370" s="3" t="str">
        <f t="shared" si="5"/>
        <v>Product</v>
      </c>
      <c r="F370" s="3" t="s">
        <v>64</v>
      </c>
      <c r="G370" s="3" t="s">
        <v>46</v>
      </c>
      <c r="H370" s="3" t="s">
        <v>33</v>
      </c>
      <c r="I370" s="3">
        <v>168312</v>
      </c>
      <c r="J370" s="3" t="s">
        <v>1075</v>
      </c>
      <c r="K370" s="3">
        <v>1</v>
      </c>
      <c r="L370" s="3">
        <v>4.4000000000000004</v>
      </c>
      <c r="M370" s="3" t="s">
        <v>35</v>
      </c>
      <c r="N370" s="7" t="s">
        <v>464</v>
      </c>
    </row>
    <row r="371" spans="1:14">
      <c r="A371" s="4" t="s">
        <v>1076</v>
      </c>
      <c r="B371" s="4" t="s">
        <v>165</v>
      </c>
      <c r="C371" s="4" t="s">
        <v>15</v>
      </c>
      <c r="D371" s="4" t="s">
        <v>778</v>
      </c>
      <c r="E371" s="3" t="str">
        <f t="shared" si="5"/>
        <v>Product</v>
      </c>
      <c r="F371" s="4" t="s">
        <v>225</v>
      </c>
      <c r="G371" s="4" t="s">
        <v>53</v>
      </c>
      <c r="H371" s="4" t="s">
        <v>19</v>
      </c>
      <c r="I371" s="4">
        <v>102805</v>
      </c>
      <c r="J371" s="4" t="s">
        <v>1077</v>
      </c>
      <c r="K371" s="4">
        <v>3.9</v>
      </c>
      <c r="L371" s="4"/>
      <c r="M371" s="4" t="s">
        <v>35</v>
      </c>
      <c r="N371" s="8" t="s">
        <v>136</v>
      </c>
    </row>
    <row r="372" spans="1:14">
      <c r="A372" s="3" t="s">
        <v>1078</v>
      </c>
      <c r="B372" s="3" t="s">
        <v>1079</v>
      </c>
      <c r="C372" s="3" t="s">
        <v>15</v>
      </c>
      <c r="D372" s="3" t="s">
        <v>24</v>
      </c>
      <c r="E372" s="3" t="str">
        <f t="shared" si="5"/>
        <v>Design</v>
      </c>
      <c r="F372" s="3" t="s">
        <v>74</v>
      </c>
      <c r="G372" s="3" t="s">
        <v>26</v>
      </c>
      <c r="H372" s="3" t="s">
        <v>19</v>
      </c>
      <c r="I372" s="3">
        <v>196621</v>
      </c>
      <c r="J372" s="3" t="s">
        <v>836</v>
      </c>
      <c r="K372" s="3">
        <v>6.1</v>
      </c>
      <c r="L372" s="3">
        <v>1.6</v>
      </c>
      <c r="M372" s="3" t="s">
        <v>42</v>
      </c>
      <c r="N372" s="7" t="s">
        <v>963</v>
      </c>
    </row>
    <row r="373" spans="1:14">
      <c r="A373" s="4" t="s">
        <v>1080</v>
      </c>
      <c r="B373" s="4" t="s">
        <v>1079</v>
      </c>
      <c r="C373" s="4" t="s">
        <v>23</v>
      </c>
      <c r="D373" s="4" t="s">
        <v>39</v>
      </c>
      <c r="E373" s="3" t="str">
        <f t="shared" si="5"/>
        <v>Engineering</v>
      </c>
      <c r="F373" s="4" t="s">
        <v>40</v>
      </c>
      <c r="G373" s="4" t="s">
        <v>75</v>
      </c>
      <c r="H373" s="4" t="s">
        <v>33</v>
      </c>
      <c r="I373" s="4">
        <v>122868</v>
      </c>
      <c r="J373" s="4" t="s">
        <v>1081</v>
      </c>
      <c r="K373" s="4">
        <v>6.9</v>
      </c>
      <c r="L373" s="4">
        <v>1.5</v>
      </c>
      <c r="M373" s="4" t="s">
        <v>35</v>
      </c>
      <c r="N373" s="8" t="s">
        <v>116</v>
      </c>
    </row>
    <row r="374" spans="1:14">
      <c r="A374" s="3" t="s">
        <v>1082</v>
      </c>
      <c r="B374" s="3" t="s">
        <v>1083</v>
      </c>
      <c r="C374" s="3" t="s">
        <v>38</v>
      </c>
      <c r="D374" s="3" t="s">
        <v>24</v>
      </c>
      <c r="E374" s="3" t="str">
        <f t="shared" si="5"/>
        <v>Design</v>
      </c>
      <c r="F374" s="3" t="s">
        <v>45</v>
      </c>
      <c r="G374" s="3" t="s">
        <v>18</v>
      </c>
      <c r="H374" s="3" t="s">
        <v>27</v>
      </c>
      <c r="I374" s="3">
        <v>77730</v>
      </c>
      <c r="J374" s="3" t="s">
        <v>1084</v>
      </c>
      <c r="K374" s="3">
        <v>1</v>
      </c>
      <c r="L374" s="3">
        <v>2.7</v>
      </c>
      <c r="M374" s="3" t="s">
        <v>35</v>
      </c>
      <c r="N374" s="7" t="s">
        <v>670</v>
      </c>
    </row>
    <row r="375" spans="1:14">
      <c r="A375" s="4" t="s">
        <v>1085</v>
      </c>
      <c r="B375" s="4" t="s">
        <v>1086</v>
      </c>
      <c r="C375" s="4" t="s">
        <v>23</v>
      </c>
      <c r="D375" s="4" t="s">
        <v>16</v>
      </c>
      <c r="E375" s="3" t="str">
        <f t="shared" si="5"/>
        <v>Devops</v>
      </c>
      <c r="F375" s="4" t="s">
        <v>17</v>
      </c>
      <c r="G375" s="4" t="s">
        <v>18</v>
      </c>
      <c r="H375" s="4" t="s">
        <v>47</v>
      </c>
      <c r="I375" s="4">
        <v>103254</v>
      </c>
      <c r="J375" s="4" t="s">
        <v>1087</v>
      </c>
      <c r="K375" s="4">
        <v>6.1</v>
      </c>
      <c r="L375" s="4">
        <v>3.4</v>
      </c>
      <c r="M375" s="4" t="s">
        <v>42</v>
      </c>
      <c r="N375" s="8" t="s">
        <v>755</v>
      </c>
    </row>
    <row r="376" spans="1:14">
      <c r="A376" s="3" t="s">
        <v>1088</v>
      </c>
      <c r="B376" s="3" t="s">
        <v>1089</v>
      </c>
      <c r="C376" s="3" t="s">
        <v>62</v>
      </c>
      <c r="D376" s="3" t="s">
        <v>176</v>
      </c>
      <c r="E376" s="3" t="str">
        <f t="shared" si="5"/>
        <v>Finance</v>
      </c>
      <c r="F376" s="3" t="s">
        <v>359</v>
      </c>
      <c r="G376" s="3" t="s">
        <v>172</v>
      </c>
      <c r="H376" s="3" t="s">
        <v>19</v>
      </c>
      <c r="I376" s="3">
        <v>89287</v>
      </c>
      <c r="J376" s="3" t="s">
        <v>1090</v>
      </c>
      <c r="K376" s="3">
        <v>2.8</v>
      </c>
      <c r="L376" s="3">
        <v>3.9</v>
      </c>
      <c r="M376" s="3" t="s">
        <v>35</v>
      </c>
      <c r="N376" s="7" t="s">
        <v>883</v>
      </c>
    </row>
    <row r="377" spans="1:14">
      <c r="A377" s="4" t="s">
        <v>1091</v>
      </c>
      <c r="B377" s="4" t="s">
        <v>306</v>
      </c>
      <c r="C377" s="4" t="s">
        <v>15</v>
      </c>
      <c r="D377" s="4" t="s">
        <v>133</v>
      </c>
      <c r="E377" s="3" t="str">
        <f t="shared" si="5"/>
        <v>Qa</v>
      </c>
      <c r="F377" s="4" t="s">
        <v>153</v>
      </c>
      <c r="G377" s="4" t="s">
        <v>214</v>
      </c>
      <c r="H377" s="4" t="s">
        <v>19</v>
      </c>
      <c r="I377" s="4">
        <v>189763</v>
      </c>
      <c r="J377" s="4" t="s">
        <v>1092</v>
      </c>
      <c r="K377" s="4">
        <v>1.4</v>
      </c>
      <c r="L377" s="4">
        <v>3.7</v>
      </c>
      <c r="M377" s="4" t="s">
        <v>42</v>
      </c>
      <c r="N377" s="8" t="s">
        <v>481</v>
      </c>
    </row>
    <row r="378" spans="1:14">
      <c r="A378" s="3" t="s">
        <v>1093</v>
      </c>
      <c r="B378" s="3" t="s">
        <v>375</v>
      </c>
      <c r="C378" s="3" t="s">
        <v>57</v>
      </c>
      <c r="D378" s="3" t="s">
        <v>89</v>
      </c>
      <c r="E378" s="3" t="str">
        <f t="shared" si="5"/>
        <v>Data Science</v>
      </c>
      <c r="F378" s="3" t="s">
        <v>90</v>
      </c>
      <c r="G378" s="3" t="s">
        <v>32</v>
      </c>
      <c r="H378" s="3" t="s">
        <v>19</v>
      </c>
      <c r="I378" s="3">
        <v>198328</v>
      </c>
      <c r="J378" s="3" t="s">
        <v>1094</v>
      </c>
      <c r="K378" s="3">
        <v>5.3</v>
      </c>
      <c r="L378" s="3">
        <v>1.9</v>
      </c>
      <c r="M378" s="3" t="s">
        <v>35</v>
      </c>
      <c r="N378" s="7" t="s">
        <v>661</v>
      </c>
    </row>
    <row r="379" spans="1:14">
      <c r="A379" s="4" t="s">
        <v>1095</v>
      </c>
      <c r="B379" s="4" t="s">
        <v>1096</v>
      </c>
      <c r="C379" s="4" t="s">
        <v>23</v>
      </c>
      <c r="D379" s="4" t="s">
        <v>410</v>
      </c>
      <c r="E379" s="3" t="str">
        <f t="shared" si="5"/>
        <v>Sales</v>
      </c>
      <c r="F379" s="4" t="s">
        <v>52</v>
      </c>
      <c r="G379" s="4" t="s">
        <v>75</v>
      </c>
      <c r="H379" s="4" t="s">
        <v>33</v>
      </c>
      <c r="I379" s="4">
        <v>75137</v>
      </c>
      <c r="J379" s="4" t="s">
        <v>1097</v>
      </c>
      <c r="K379" s="4">
        <v>1.3</v>
      </c>
      <c r="L379" s="4">
        <v>4.2</v>
      </c>
      <c r="M379" s="4" t="s">
        <v>35</v>
      </c>
      <c r="N379" s="8" t="s">
        <v>1028</v>
      </c>
    </row>
    <row r="380" spans="1:14">
      <c r="A380" s="3" t="s">
        <v>1098</v>
      </c>
      <c r="B380" s="3" t="s">
        <v>112</v>
      </c>
      <c r="C380" s="3" t="s">
        <v>15</v>
      </c>
      <c r="D380" s="3" t="s">
        <v>16</v>
      </c>
      <c r="E380" s="3" t="str">
        <f t="shared" si="5"/>
        <v>Devops</v>
      </c>
      <c r="F380" s="3" t="s">
        <v>335</v>
      </c>
      <c r="G380" s="3" t="s">
        <v>172</v>
      </c>
      <c r="H380" s="3" t="s">
        <v>19</v>
      </c>
      <c r="I380" s="3">
        <v>66900</v>
      </c>
      <c r="J380" s="3" t="s">
        <v>1099</v>
      </c>
      <c r="K380" s="3">
        <v>2</v>
      </c>
      <c r="L380" s="3">
        <v>2.5</v>
      </c>
      <c r="M380" s="3" t="s">
        <v>42</v>
      </c>
      <c r="N380" s="7" t="s">
        <v>1028</v>
      </c>
    </row>
    <row r="381" spans="1:14">
      <c r="A381" s="4" t="s">
        <v>1100</v>
      </c>
      <c r="B381" s="4" t="s">
        <v>607</v>
      </c>
      <c r="C381" s="4" t="s">
        <v>62</v>
      </c>
      <c r="D381" s="4" t="s">
        <v>16</v>
      </c>
      <c r="E381" s="3" t="str">
        <f t="shared" si="5"/>
        <v>Devops</v>
      </c>
      <c r="F381" s="4" t="s">
        <v>17</v>
      </c>
      <c r="G381" s="4" t="s">
        <v>46</v>
      </c>
      <c r="H381" s="4" t="s">
        <v>19</v>
      </c>
      <c r="I381" s="4">
        <v>134088</v>
      </c>
      <c r="J381" s="4" t="s">
        <v>1101</v>
      </c>
      <c r="K381" s="4">
        <v>4</v>
      </c>
      <c r="L381" s="4">
        <v>2.5</v>
      </c>
      <c r="M381" s="4" t="s">
        <v>29</v>
      </c>
      <c r="N381" s="8" t="s">
        <v>894</v>
      </c>
    </row>
    <row r="382" spans="1:14">
      <c r="A382" s="3" t="s">
        <v>1102</v>
      </c>
      <c r="B382" s="3" t="s">
        <v>1103</v>
      </c>
      <c r="C382" s="3" t="s">
        <v>83</v>
      </c>
      <c r="D382" s="3" t="s">
        <v>118</v>
      </c>
      <c r="E382" s="3" t="str">
        <f t="shared" si="5"/>
        <v>Marketing</v>
      </c>
      <c r="F382" s="3" t="s">
        <v>181</v>
      </c>
      <c r="G382" s="3" t="s">
        <v>53</v>
      </c>
      <c r="H382" s="3" t="s">
        <v>19</v>
      </c>
      <c r="I382" s="3">
        <v>127972</v>
      </c>
      <c r="J382" s="3" t="s">
        <v>1104</v>
      </c>
      <c r="K382" s="3">
        <v>2.5</v>
      </c>
      <c r="L382" s="3">
        <v>4.9000000000000004</v>
      </c>
      <c r="M382" s="3" t="s">
        <v>29</v>
      </c>
      <c r="N382" s="7" t="s">
        <v>313</v>
      </c>
    </row>
    <row r="383" spans="1:14">
      <c r="A383" s="4" t="s">
        <v>1105</v>
      </c>
      <c r="B383" s="4" t="s">
        <v>944</v>
      </c>
      <c r="C383" s="4" t="s">
        <v>15</v>
      </c>
      <c r="D383" s="4" t="s">
        <v>84</v>
      </c>
      <c r="E383" s="3" t="str">
        <f t="shared" si="5"/>
        <v>Hr</v>
      </c>
      <c r="F383" s="4" t="s">
        <v>85</v>
      </c>
      <c r="G383" s="4" t="s">
        <v>214</v>
      </c>
      <c r="H383" s="4" t="s">
        <v>19</v>
      </c>
      <c r="I383" s="4">
        <v>98254</v>
      </c>
      <c r="J383" s="4" t="s">
        <v>1106</v>
      </c>
      <c r="K383" s="4">
        <v>1.6</v>
      </c>
      <c r="L383" s="4">
        <v>2.4</v>
      </c>
      <c r="M383" s="4" t="s">
        <v>29</v>
      </c>
      <c r="N383" s="8" t="s">
        <v>755</v>
      </c>
    </row>
    <row r="384" spans="1:14">
      <c r="A384" s="3" t="s">
        <v>1107</v>
      </c>
      <c r="B384" s="3" t="s">
        <v>1108</v>
      </c>
      <c r="C384" s="3" t="s">
        <v>15</v>
      </c>
      <c r="D384" s="3" t="s">
        <v>24</v>
      </c>
      <c r="E384" s="3" t="str">
        <f t="shared" si="5"/>
        <v>Design</v>
      </c>
      <c r="F384" s="3" t="s">
        <v>74</v>
      </c>
      <c r="G384" s="3" t="s">
        <v>53</v>
      </c>
      <c r="H384" s="3" t="s">
        <v>19</v>
      </c>
      <c r="I384" s="3">
        <v>190711</v>
      </c>
      <c r="J384" s="3" t="s">
        <v>173</v>
      </c>
      <c r="K384" s="3">
        <v>1.9</v>
      </c>
      <c r="L384" s="3">
        <v>1.9</v>
      </c>
      <c r="M384" s="3" t="s">
        <v>29</v>
      </c>
      <c r="N384" s="7" t="s">
        <v>890</v>
      </c>
    </row>
    <row r="385" spans="1:14">
      <c r="A385" s="4" t="s">
        <v>1109</v>
      </c>
      <c r="B385" s="4" t="s">
        <v>912</v>
      </c>
      <c r="C385" s="4" t="s">
        <v>23</v>
      </c>
      <c r="D385" s="4" t="s">
        <v>51</v>
      </c>
      <c r="E385" s="3" t="str">
        <f t="shared" si="5"/>
        <v>Sales</v>
      </c>
      <c r="F385" s="4" t="s">
        <v>52</v>
      </c>
      <c r="G385" s="4" t="s">
        <v>26</v>
      </c>
      <c r="H385" s="4" t="s">
        <v>19</v>
      </c>
      <c r="I385" s="4">
        <v>136842</v>
      </c>
      <c r="J385" s="4" t="s">
        <v>1110</v>
      </c>
      <c r="K385" s="4">
        <v>4.9000000000000004</v>
      </c>
      <c r="L385" s="4">
        <v>2.1</v>
      </c>
      <c r="M385" s="4" t="s">
        <v>35</v>
      </c>
      <c r="N385" s="8" t="s">
        <v>271</v>
      </c>
    </row>
    <row r="386" spans="1:14">
      <c r="A386" s="3" t="s">
        <v>1111</v>
      </c>
      <c r="B386" s="3" t="s">
        <v>1112</v>
      </c>
      <c r="C386" s="3" t="s">
        <v>62</v>
      </c>
      <c r="D386" s="3" t="s">
        <v>89</v>
      </c>
      <c r="E386" s="3" t="str">
        <f t="shared" si="5"/>
        <v>Data Science</v>
      </c>
      <c r="F386" s="3" t="s">
        <v>221</v>
      </c>
      <c r="G386" s="3" t="s">
        <v>65</v>
      </c>
      <c r="H386" s="3" t="s">
        <v>33</v>
      </c>
      <c r="I386" s="3">
        <v>189060</v>
      </c>
      <c r="J386" s="3" t="s">
        <v>1113</v>
      </c>
      <c r="K386" s="3">
        <v>1</v>
      </c>
      <c r="L386" s="3">
        <v>3</v>
      </c>
      <c r="M386" s="3" t="s">
        <v>35</v>
      </c>
      <c r="N386" s="7" t="s">
        <v>547</v>
      </c>
    </row>
    <row r="387" spans="1:14">
      <c r="A387" s="4" t="s">
        <v>1114</v>
      </c>
      <c r="B387" s="4" t="s">
        <v>766</v>
      </c>
      <c r="C387" s="4" t="s">
        <v>15</v>
      </c>
      <c r="D387" s="4" t="s">
        <v>51</v>
      </c>
      <c r="E387" s="3" t="str">
        <f t="shared" ref="E387:E450" si="6">PROPER(D387)</f>
        <v>Sales</v>
      </c>
      <c r="F387" s="4" t="s">
        <v>69</v>
      </c>
      <c r="G387" s="4" t="s">
        <v>46</v>
      </c>
      <c r="H387" s="4" t="s">
        <v>27</v>
      </c>
      <c r="I387" s="4">
        <v>184497</v>
      </c>
      <c r="J387" s="4" t="s">
        <v>767</v>
      </c>
      <c r="K387" s="4">
        <v>2.2999999999999998</v>
      </c>
      <c r="L387" s="4">
        <v>3.8</v>
      </c>
      <c r="M387" s="4" t="s">
        <v>35</v>
      </c>
      <c r="N387" s="8" t="s">
        <v>720</v>
      </c>
    </row>
    <row r="388" spans="1:14">
      <c r="A388" s="3" t="s">
        <v>1115</v>
      </c>
      <c r="B388" s="3" t="s">
        <v>791</v>
      </c>
      <c r="C388" s="3" t="s">
        <v>62</v>
      </c>
      <c r="D388" s="3" t="s">
        <v>778</v>
      </c>
      <c r="E388" s="3" t="str">
        <f t="shared" si="6"/>
        <v>Product</v>
      </c>
      <c r="F388" s="3" t="s">
        <v>64</v>
      </c>
      <c r="G388" s="3" t="s">
        <v>26</v>
      </c>
      <c r="H388" s="3" t="s">
        <v>47</v>
      </c>
      <c r="I388" s="3">
        <v>219196</v>
      </c>
      <c r="J388" s="3" t="s">
        <v>1116</v>
      </c>
      <c r="K388" s="3">
        <v>6.8</v>
      </c>
      <c r="L388" s="3">
        <v>2.8</v>
      </c>
      <c r="M388" s="3" t="s">
        <v>35</v>
      </c>
      <c r="N388" s="7" t="s">
        <v>456</v>
      </c>
    </row>
    <row r="389" spans="1:14">
      <c r="A389" s="4" t="s">
        <v>1117</v>
      </c>
      <c r="B389" s="4" t="s">
        <v>1112</v>
      </c>
      <c r="C389" s="4" t="s">
        <v>83</v>
      </c>
      <c r="D389" s="4" t="s">
        <v>118</v>
      </c>
      <c r="E389" s="3" t="str">
        <f t="shared" si="6"/>
        <v>Marketing</v>
      </c>
      <c r="F389" s="4" t="s">
        <v>181</v>
      </c>
      <c r="G389" s="4" t="s">
        <v>214</v>
      </c>
      <c r="H389" s="4" t="s">
        <v>19</v>
      </c>
      <c r="I389" s="4">
        <v>92781</v>
      </c>
      <c r="J389" s="4" t="s">
        <v>1118</v>
      </c>
      <c r="K389" s="4">
        <v>4.5999999999999996</v>
      </c>
      <c r="L389" s="4">
        <v>4.8</v>
      </c>
      <c r="M389" s="4" t="s">
        <v>35</v>
      </c>
      <c r="N389" s="8" t="s">
        <v>1107</v>
      </c>
    </row>
    <row r="390" spans="1:14">
      <c r="A390" s="3" t="s">
        <v>1119</v>
      </c>
      <c r="B390" s="3" t="s">
        <v>1120</v>
      </c>
      <c r="C390" s="3" t="s">
        <v>83</v>
      </c>
      <c r="D390" s="3" t="s">
        <v>84</v>
      </c>
      <c r="E390" s="3" t="str">
        <f t="shared" si="6"/>
        <v>Hr</v>
      </c>
      <c r="F390" s="3" t="s">
        <v>85</v>
      </c>
      <c r="G390" s="3" t="s">
        <v>18</v>
      </c>
      <c r="H390" s="3" t="s">
        <v>47</v>
      </c>
      <c r="I390" s="3">
        <v>86329</v>
      </c>
      <c r="J390" s="3" t="s">
        <v>1121</v>
      </c>
      <c r="K390" s="3">
        <v>4</v>
      </c>
      <c r="L390" s="3">
        <v>1.5</v>
      </c>
      <c r="M390" s="3" t="s">
        <v>35</v>
      </c>
      <c r="N390" s="7" t="s">
        <v>92</v>
      </c>
    </row>
    <row r="391" spans="1:14">
      <c r="A391" s="4" t="s">
        <v>1122</v>
      </c>
      <c r="B391" s="4" t="s">
        <v>1123</v>
      </c>
      <c r="C391" s="4" t="s">
        <v>15</v>
      </c>
      <c r="D391" s="4" t="s">
        <v>84</v>
      </c>
      <c r="E391" s="3" t="str">
        <f t="shared" si="6"/>
        <v>Hr</v>
      </c>
      <c r="F391" s="4" t="s">
        <v>85</v>
      </c>
      <c r="G391" s="4" t="s">
        <v>214</v>
      </c>
      <c r="H391" s="4" t="s">
        <v>47</v>
      </c>
      <c r="I391" s="4">
        <v>160769</v>
      </c>
      <c r="J391" s="4" t="s">
        <v>610</v>
      </c>
      <c r="K391" s="4">
        <v>5.4</v>
      </c>
      <c r="L391" s="4">
        <v>3.5</v>
      </c>
      <c r="M391" s="4" t="s">
        <v>42</v>
      </c>
      <c r="N391" s="8" t="s">
        <v>804</v>
      </c>
    </row>
    <row r="392" spans="1:14">
      <c r="A392" s="3" t="s">
        <v>1124</v>
      </c>
      <c r="B392" s="3" t="s">
        <v>1125</v>
      </c>
      <c r="C392" s="3" t="s">
        <v>23</v>
      </c>
      <c r="D392" s="3" t="s">
        <v>118</v>
      </c>
      <c r="E392" s="3" t="str">
        <f t="shared" si="6"/>
        <v>Marketing</v>
      </c>
      <c r="F392" s="3" t="s">
        <v>119</v>
      </c>
      <c r="G392" s="3" t="s">
        <v>46</v>
      </c>
      <c r="H392" s="3" t="s">
        <v>19</v>
      </c>
      <c r="I392" s="3">
        <v>183015</v>
      </c>
      <c r="J392" s="3" t="s">
        <v>1126</v>
      </c>
      <c r="K392" s="3">
        <v>6.8</v>
      </c>
      <c r="L392" s="3">
        <v>4.7</v>
      </c>
      <c r="M392" s="3" t="s">
        <v>29</v>
      </c>
      <c r="N392" s="7" t="s">
        <v>847</v>
      </c>
    </row>
    <row r="393" spans="1:14">
      <c r="A393" s="4" t="s">
        <v>1127</v>
      </c>
      <c r="B393" s="4" t="s">
        <v>1128</v>
      </c>
      <c r="C393" s="4" t="s">
        <v>15</v>
      </c>
      <c r="D393" s="4" t="s">
        <v>51</v>
      </c>
      <c r="E393" s="3" t="str">
        <f t="shared" si="6"/>
        <v>Sales</v>
      </c>
      <c r="F393" s="4" t="s">
        <v>52</v>
      </c>
      <c r="G393" s="4" t="s">
        <v>75</v>
      </c>
      <c r="H393" s="4" t="s">
        <v>27</v>
      </c>
      <c r="I393" s="4">
        <v>200703</v>
      </c>
      <c r="J393" s="4" t="s">
        <v>1129</v>
      </c>
      <c r="K393" s="4">
        <v>3.8</v>
      </c>
      <c r="L393" s="4">
        <v>2.8</v>
      </c>
      <c r="M393" s="4" t="s">
        <v>35</v>
      </c>
      <c r="N393" s="8" t="s">
        <v>771</v>
      </c>
    </row>
    <row r="394" spans="1:14">
      <c r="A394" s="3" t="s">
        <v>1130</v>
      </c>
      <c r="B394" s="3" t="s">
        <v>1131</v>
      </c>
      <c r="C394" s="3" t="s">
        <v>62</v>
      </c>
      <c r="D394" s="3" t="s">
        <v>51</v>
      </c>
      <c r="E394" s="3" t="str">
        <f t="shared" si="6"/>
        <v>Sales</v>
      </c>
      <c r="F394" s="3" t="s">
        <v>52</v>
      </c>
      <c r="G394" s="3" t="s">
        <v>214</v>
      </c>
      <c r="H394" s="3" t="s">
        <v>19</v>
      </c>
      <c r="I394" s="3">
        <v>155514</v>
      </c>
      <c r="J394" s="3" t="s">
        <v>1132</v>
      </c>
      <c r="K394" s="3">
        <v>4.0999999999999996</v>
      </c>
      <c r="L394" s="3">
        <v>3.2</v>
      </c>
      <c r="M394" s="3" t="s">
        <v>35</v>
      </c>
      <c r="N394" s="7" t="s">
        <v>501</v>
      </c>
    </row>
    <row r="395" spans="1:14">
      <c r="A395" s="4" t="s">
        <v>1133</v>
      </c>
      <c r="B395" s="4" t="s">
        <v>1134</v>
      </c>
      <c r="C395" s="4" t="s">
        <v>15</v>
      </c>
      <c r="D395" s="4" t="s">
        <v>51</v>
      </c>
      <c r="E395" s="3" t="str">
        <f t="shared" si="6"/>
        <v>Sales</v>
      </c>
      <c r="F395" s="4" t="s">
        <v>105</v>
      </c>
      <c r="G395" s="4" t="s">
        <v>18</v>
      </c>
      <c r="H395" s="4" t="s">
        <v>27</v>
      </c>
      <c r="I395" s="4">
        <v>190615</v>
      </c>
      <c r="J395" s="4" t="s">
        <v>908</v>
      </c>
      <c r="K395" s="4">
        <v>1.7</v>
      </c>
      <c r="L395" s="4">
        <v>2.7</v>
      </c>
      <c r="M395" s="4" t="s">
        <v>35</v>
      </c>
      <c r="N395" s="8" t="s">
        <v>586</v>
      </c>
    </row>
    <row r="396" spans="1:14">
      <c r="A396" s="3" t="s">
        <v>1135</v>
      </c>
      <c r="B396" s="3" t="s">
        <v>1136</v>
      </c>
      <c r="C396" s="3" t="s">
        <v>57</v>
      </c>
      <c r="D396" s="3" t="s">
        <v>24</v>
      </c>
      <c r="E396" s="3" t="str">
        <f t="shared" si="6"/>
        <v>Design</v>
      </c>
      <c r="F396" s="3" t="s">
        <v>45</v>
      </c>
      <c r="G396" s="3" t="s">
        <v>114</v>
      </c>
      <c r="H396" s="3" t="s">
        <v>19</v>
      </c>
      <c r="I396" s="3">
        <v>120944</v>
      </c>
      <c r="J396" s="3" t="s">
        <v>1137</v>
      </c>
      <c r="K396" s="3">
        <v>4.7</v>
      </c>
      <c r="L396" s="3">
        <v>3.8</v>
      </c>
      <c r="M396" s="3" t="s">
        <v>35</v>
      </c>
      <c r="N396" s="7" t="s">
        <v>825</v>
      </c>
    </row>
    <row r="397" spans="1:14">
      <c r="A397" s="4" t="s">
        <v>1138</v>
      </c>
      <c r="B397" s="4" t="s">
        <v>1139</v>
      </c>
      <c r="C397" s="4" t="s">
        <v>38</v>
      </c>
      <c r="D397" s="4" t="s">
        <v>118</v>
      </c>
      <c r="E397" s="3" t="str">
        <f t="shared" si="6"/>
        <v>Marketing</v>
      </c>
      <c r="F397" s="4" t="s">
        <v>181</v>
      </c>
      <c r="G397" s="4" t="s">
        <v>75</v>
      </c>
      <c r="H397" s="4" t="s">
        <v>47</v>
      </c>
      <c r="I397" s="4">
        <v>217420</v>
      </c>
      <c r="J397" s="4" t="s">
        <v>315</v>
      </c>
      <c r="K397" s="4">
        <v>0.6</v>
      </c>
      <c r="L397" s="4">
        <v>2.1</v>
      </c>
      <c r="M397" s="4" t="s">
        <v>35</v>
      </c>
      <c r="N397" s="8" t="s">
        <v>955</v>
      </c>
    </row>
    <row r="398" spans="1:14">
      <c r="A398" s="3" t="s">
        <v>1140</v>
      </c>
      <c r="B398" s="3" t="s">
        <v>180</v>
      </c>
      <c r="C398" s="3" t="s">
        <v>62</v>
      </c>
      <c r="D398" s="3" t="s">
        <v>51</v>
      </c>
      <c r="E398" s="3" t="str">
        <f t="shared" si="6"/>
        <v>Sales</v>
      </c>
      <c r="F398" s="3" t="s">
        <v>105</v>
      </c>
      <c r="G398" s="3" t="s">
        <v>53</v>
      </c>
      <c r="H398" s="3" t="s">
        <v>27</v>
      </c>
      <c r="I398" s="3">
        <v>41833</v>
      </c>
      <c r="J398" s="3" t="s">
        <v>1141</v>
      </c>
      <c r="K398" s="3">
        <v>5</v>
      </c>
      <c r="L398" s="3">
        <v>2.6</v>
      </c>
      <c r="M398" s="3" t="s">
        <v>35</v>
      </c>
      <c r="N398" s="7" t="s">
        <v>121</v>
      </c>
    </row>
    <row r="399" spans="1:14">
      <c r="A399" s="4" t="s">
        <v>1142</v>
      </c>
      <c r="B399" s="4" t="s">
        <v>589</v>
      </c>
      <c r="C399" s="4" t="s">
        <v>57</v>
      </c>
      <c r="D399" s="4" t="s">
        <v>176</v>
      </c>
      <c r="E399" s="3" t="str">
        <f t="shared" si="6"/>
        <v>Finance</v>
      </c>
      <c r="F399" s="4" t="s">
        <v>359</v>
      </c>
      <c r="G399" s="4" t="s">
        <v>172</v>
      </c>
      <c r="H399" s="4" t="s">
        <v>58</v>
      </c>
      <c r="I399" s="4">
        <v>90160</v>
      </c>
      <c r="J399" s="4" t="s">
        <v>1143</v>
      </c>
      <c r="K399" s="4">
        <v>3.1</v>
      </c>
      <c r="L399" s="4">
        <v>1.8</v>
      </c>
      <c r="M399" s="4" t="s">
        <v>35</v>
      </c>
      <c r="N399" s="8" t="s">
        <v>96</v>
      </c>
    </row>
    <row r="400" spans="1:14">
      <c r="A400" s="3" t="s">
        <v>1144</v>
      </c>
      <c r="B400" s="3" t="s">
        <v>1145</v>
      </c>
      <c r="C400" s="3" t="s">
        <v>57</v>
      </c>
      <c r="D400" s="3" t="s">
        <v>24</v>
      </c>
      <c r="E400" s="3" t="str">
        <f t="shared" si="6"/>
        <v>Design</v>
      </c>
      <c r="F400" s="3" t="s">
        <v>45</v>
      </c>
      <c r="G400" s="3" t="s">
        <v>18</v>
      </c>
      <c r="H400" s="3" t="s">
        <v>19</v>
      </c>
      <c r="I400" s="3">
        <v>135092</v>
      </c>
      <c r="J400" s="3" t="s">
        <v>1146</v>
      </c>
      <c r="K400" s="3">
        <v>5.3</v>
      </c>
      <c r="L400" s="3">
        <v>4.8</v>
      </c>
      <c r="M400" s="3" t="s">
        <v>35</v>
      </c>
      <c r="N400" s="7" t="s">
        <v>361</v>
      </c>
    </row>
    <row r="401" spans="1:14">
      <c r="A401" s="4" t="s">
        <v>1147</v>
      </c>
      <c r="B401" s="4" t="s">
        <v>1148</v>
      </c>
      <c r="C401" s="4" t="s">
        <v>83</v>
      </c>
      <c r="D401" s="4" t="s">
        <v>24</v>
      </c>
      <c r="E401" s="3" t="str">
        <f t="shared" si="6"/>
        <v>Design</v>
      </c>
      <c r="F401" s="4" t="s">
        <v>94</v>
      </c>
      <c r="G401" s="4" t="s">
        <v>70</v>
      </c>
      <c r="H401" s="4" t="s">
        <v>27</v>
      </c>
      <c r="I401" s="4">
        <v>95751</v>
      </c>
      <c r="J401" s="4" t="s">
        <v>1149</v>
      </c>
      <c r="K401" s="4">
        <v>1.7</v>
      </c>
      <c r="L401" s="4">
        <v>2.2999999999999998</v>
      </c>
      <c r="M401" s="4" t="s">
        <v>42</v>
      </c>
      <c r="N401" s="8" t="s">
        <v>861</v>
      </c>
    </row>
    <row r="402" spans="1:14">
      <c r="A402" s="3" t="s">
        <v>1150</v>
      </c>
      <c r="B402" s="3" t="s">
        <v>272</v>
      </c>
      <c r="C402" s="3" t="s">
        <v>62</v>
      </c>
      <c r="D402" s="3" t="s">
        <v>39</v>
      </c>
      <c r="E402" s="3" t="str">
        <f t="shared" si="6"/>
        <v>Engineering</v>
      </c>
      <c r="F402" s="3" t="s">
        <v>197</v>
      </c>
      <c r="G402" s="3" t="s">
        <v>214</v>
      </c>
      <c r="H402" s="3" t="s">
        <v>33</v>
      </c>
      <c r="I402" s="3">
        <v>156124</v>
      </c>
      <c r="J402" s="3" t="s">
        <v>1151</v>
      </c>
      <c r="K402" s="3">
        <v>6.1</v>
      </c>
      <c r="L402" s="3">
        <v>3.5</v>
      </c>
      <c r="M402" s="3" t="s">
        <v>35</v>
      </c>
      <c r="N402" s="7" t="s">
        <v>661</v>
      </c>
    </row>
    <row r="403" spans="1:14">
      <c r="A403" s="4" t="s">
        <v>1152</v>
      </c>
      <c r="B403" s="4" t="s">
        <v>1153</v>
      </c>
      <c r="C403" s="4" t="s">
        <v>15</v>
      </c>
      <c r="D403" s="4" t="s">
        <v>24</v>
      </c>
      <c r="E403" s="3" t="str">
        <f t="shared" si="6"/>
        <v>Design</v>
      </c>
      <c r="F403" s="4" t="s">
        <v>45</v>
      </c>
      <c r="G403" s="4" t="s">
        <v>214</v>
      </c>
      <c r="H403" s="4" t="s">
        <v>27</v>
      </c>
      <c r="I403" s="4">
        <v>74140</v>
      </c>
      <c r="J403" s="4" t="s">
        <v>1154</v>
      </c>
      <c r="K403" s="4">
        <v>3.6</v>
      </c>
      <c r="L403" s="4">
        <v>4</v>
      </c>
      <c r="M403" s="4" t="s">
        <v>35</v>
      </c>
      <c r="N403" s="8" t="s">
        <v>1037</v>
      </c>
    </row>
    <row r="404" spans="1:14">
      <c r="A404" s="3" t="s">
        <v>1155</v>
      </c>
      <c r="B404" s="3" t="s">
        <v>1156</v>
      </c>
      <c r="C404" s="3" t="s">
        <v>15</v>
      </c>
      <c r="D404" s="3" t="s">
        <v>84</v>
      </c>
      <c r="E404" s="3" t="str">
        <f t="shared" si="6"/>
        <v>Hr</v>
      </c>
      <c r="F404" s="3" t="s">
        <v>138</v>
      </c>
      <c r="G404" s="3" t="s">
        <v>46</v>
      </c>
      <c r="H404" s="3" t="s">
        <v>27</v>
      </c>
      <c r="I404" s="3">
        <v>124353</v>
      </c>
      <c r="J404" s="3" t="s">
        <v>1157</v>
      </c>
      <c r="K404" s="3">
        <v>4</v>
      </c>
      <c r="L404" s="3">
        <v>1.8</v>
      </c>
      <c r="M404" s="3" t="s">
        <v>35</v>
      </c>
      <c r="N404" s="7" t="s">
        <v>828</v>
      </c>
    </row>
    <row r="405" spans="1:14">
      <c r="A405" s="4" t="s">
        <v>1158</v>
      </c>
      <c r="B405" s="4" t="s">
        <v>1159</v>
      </c>
      <c r="C405" s="4" t="s">
        <v>57</v>
      </c>
      <c r="D405" s="4" t="s">
        <v>84</v>
      </c>
      <c r="E405" s="3" t="str">
        <f t="shared" si="6"/>
        <v>Hr</v>
      </c>
      <c r="F405" s="4" t="s">
        <v>204</v>
      </c>
      <c r="G405" s="4" t="s">
        <v>114</v>
      </c>
      <c r="H405" s="4" t="s">
        <v>33</v>
      </c>
      <c r="I405" s="4">
        <v>34860</v>
      </c>
      <c r="J405" s="4" t="s">
        <v>1160</v>
      </c>
      <c r="K405" s="4">
        <v>3.7</v>
      </c>
      <c r="L405" s="4"/>
      <c r="M405" s="4" t="s">
        <v>35</v>
      </c>
      <c r="N405" s="8" t="s">
        <v>1053</v>
      </c>
    </row>
    <row r="406" spans="1:14">
      <c r="A406" s="3" t="s">
        <v>1161</v>
      </c>
      <c r="B406" s="3" t="s">
        <v>554</v>
      </c>
      <c r="C406" s="3" t="s">
        <v>83</v>
      </c>
      <c r="D406" s="3" t="s">
        <v>118</v>
      </c>
      <c r="E406" s="3" t="str">
        <f t="shared" si="6"/>
        <v>Marketing</v>
      </c>
      <c r="F406" s="3" t="s">
        <v>181</v>
      </c>
      <c r="G406" s="3" t="s">
        <v>53</v>
      </c>
      <c r="H406" s="3" t="s">
        <v>47</v>
      </c>
      <c r="I406" s="3">
        <v>74903</v>
      </c>
      <c r="J406" s="3" t="s">
        <v>1162</v>
      </c>
      <c r="K406" s="3">
        <v>3.5</v>
      </c>
      <c r="L406" s="3">
        <v>1.8</v>
      </c>
      <c r="M406" s="3" t="s">
        <v>29</v>
      </c>
      <c r="N406" s="7" t="s">
        <v>140</v>
      </c>
    </row>
    <row r="407" spans="1:14">
      <c r="A407" s="4" t="s">
        <v>1163</v>
      </c>
      <c r="B407" s="4" t="s">
        <v>1164</v>
      </c>
      <c r="C407" s="4" t="s">
        <v>57</v>
      </c>
      <c r="D407" s="4" t="s">
        <v>133</v>
      </c>
      <c r="E407" s="3" t="str">
        <f t="shared" si="6"/>
        <v>Qa</v>
      </c>
      <c r="F407" s="4" t="s">
        <v>153</v>
      </c>
      <c r="G407" s="4" t="s">
        <v>214</v>
      </c>
      <c r="H407" s="4" t="s">
        <v>19</v>
      </c>
      <c r="I407" s="4">
        <v>31950</v>
      </c>
      <c r="J407" s="4" t="s">
        <v>1165</v>
      </c>
      <c r="K407" s="4">
        <v>3.9</v>
      </c>
      <c r="L407" s="4">
        <v>3.9</v>
      </c>
      <c r="M407" s="4" t="s">
        <v>35</v>
      </c>
      <c r="N407" s="8" t="s">
        <v>151</v>
      </c>
    </row>
    <row r="408" spans="1:14">
      <c r="A408" s="3" t="s">
        <v>1166</v>
      </c>
      <c r="B408" s="3" t="s">
        <v>1167</v>
      </c>
      <c r="C408" s="3" t="s">
        <v>62</v>
      </c>
      <c r="D408" s="3" t="s">
        <v>84</v>
      </c>
      <c r="E408" s="3" t="str">
        <f t="shared" si="6"/>
        <v>Hr</v>
      </c>
      <c r="F408" s="3" t="s">
        <v>138</v>
      </c>
      <c r="G408" s="3" t="s">
        <v>75</v>
      </c>
      <c r="H408" s="3" t="s">
        <v>27</v>
      </c>
      <c r="I408" s="3">
        <v>179674</v>
      </c>
      <c r="J408" s="3" t="s">
        <v>1168</v>
      </c>
      <c r="K408" s="3">
        <v>3.4</v>
      </c>
      <c r="L408" s="3"/>
      <c r="M408" s="3" t="s">
        <v>29</v>
      </c>
      <c r="N408" s="7" t="s">
        <v>390</v>
      </c>
    </row>
    <row r="409" spans="1:14">
      <c r="A409" s="4" t="s">
        <v>1169</v>
      </c>
      <c r="B409" s="4" t="s">
        <v>187</v>
      </c>
      <c r="C409" s="4" t="s">
        <v>62</v>
      </c>
      <c r="D409" s="4" t="s">
        <v>39</v>
      </c>
      <c r="E409" s="3" t="str">
        <f t="shared" si="6"/>
        <v>Engineering</v>
      </c>
      <c r="F409" s="4" t="s">
        <v>40</v>
      </c>
      <c r="G409" s="4" t="s">
        <v>114</v>
      </c>
      <c r="H409" s="4" t="s">
        <v>58</v>
      </c>
      <c r="I409" s="4">
        <v>107470</v>
      </c>
      <c r="J409" s="4" t="s">
        <v>1170</v>
      </c>
      <c r="K409" s="4">
        <v>4.5</v>
      </c>
      <c r="L409" s="4">
        <v>1.8</v>
      </c>
      <c r="M409" s="4" t="s">
        <v>35</v>
      </c>
      <c r="N409" s="8" t="s">
        <v>765</v>
      </c>
    </row>
    <row r="410" spans="1:14">
      <c r="A410" s="3" t="s">
        <v>1171</v>
      </c>
      <c r="B410" s="3" t="s">
        <v>364</v>
      </c>
      <c r="C410" s="3" t="s">
        <v>15</v>
      </c>
      <c r="D410" s="3" t="s">
        <v>84</v>
      </c>
      <c r="E410" s="3" t="str">
        <f t="shared" si="6"/>
        <v>Hr</v>
      </c>
      <c r="F410" s="3" t="s">
        <v>138</v>
      </c>
      <c r="G410" s="3" t="s">
        <v>172</v>
      </c>
      <c r="H410" s="3" t="s">
        <v>33</v>
      </c>
      <c r="I410" s="3">
        <v>210218</v>
      </c>
      <c r="J410" s="3" t="s">
        <v>1172</v>
      </c>
      <c r="K410" s="3">
        <v>1.4</v>
      </c>
      <c r="L410" s="3">
        <v>1.5</v>
      </c>
      <c r="M410" s="3" t="s">
        <v>35</v>
      </c>
      <c r="N410" s="7" t="s">
        <v>1056</v>
      </c>
    </row>
    <row r="411" spans="1:14">
      <c r="A411" s="4" t="s">
        <v>1173</v>
      </c>
      <c r="B411" s="4" t="s">
        <v>826</v>
      </c>
      <c r="C411" s="4" t="s">
        <v>57</v>
      </c>
      <c r="D411" s="4" t="s">
        <v>89</v>
      </c>
      <c r="E411" s="3" t="str">
        <f t="shared" si="6"/>
        <v>Data Science</v>
      </c>
      <c r="F411" s="4" t="s">
        <v>221</v>
      </c>
      <c r="G411" s="4" t="s">
        <v>32</v>
      </c>
      <c r="H411" s="4" t="s">
        <v>19</v>
      </c>
      <c r="I411" s="4">
        <v>187975</v>
      </c>
      <c r="J411" s="4" t="s">
        <v>529</v>
      </c>
      <c r="K411" s="4">
        <v>6.9</v>
      </c>
      <c r="L411" s="4">
        <v>4.5999999999999996</v>
      </c>
      <c r="M411" s="4" t="s">
        <v>35</v>
      </c>
      <c r="N411" s="8" t="s">
        <v>883</v>
      </c>
    </row>
    <row r="412" spans="1:14">
      <c r="A412" s="3" t="s">
        <v>1174</v>
      </c>
      <c r="B412" s="3" t="s">
        <v>1175</v>
      </c>
      <c r="C412" s="3" t="s">
        <v>23</v>
      </c>
      <c r="D412" s="3" t="s">
        <v>118</v>
      </c>
      <c r="E412" s="3" t="str">
        <f t="shared" si="6"/>
        <v>Marketing</v>
      </c>
      <c r="F412" s="3" t="s">
        <v>119</v>
      </c>
      <c r="G412" s="3" t="s">
        <v>46</v>
      </c>
      <c r="H412" s="3" t="s">
        <v>19</v>
      </c>
      <c r="I412" s="3">
        <v>21141</v>
      </c>
      <c r="J412" s="3" t="s">
        <v>1176</v>
      </c>
      <c r="K412" s="3">
        <v>7</v>
      </c>
      <c r="L412" s="3">
        <v>2.2000000000000002</v>
      </c>
      <c r="M412" s="3" t="s">
        <v>35</v>
      </c>
      <c r="N412" s="7" t="s">
        <v>572</v>
      </c>
    </row>
    <row r="413" spans="1:14">
      <c r="A413" s="4" t="s">
        <v>1177</v>
      </c>
      <c r="B413" s="4" t="s">
        <v>420</v>
      </c>
      <c r="C413" s="4" t="s">
        <v>62</v>
      </c>
      <c r="D413" s="4" t="s">
        <v>410</v>
      </c>
      <c r="E413" s="3" t="str">
        <f t="shared" si="6"/>
        <v>Sales</v>
      </c>
      <c r="F413" s="4" t="s">
        <v>69</v>
      </c>
      <c r="G413" s="4" t="s">
        <v>75</v>
      </c>
      <c r="H413" s="4" t="s">
        <v>47</v>
      </c>
      <c r="I413" s="4">
        <v>163817</v>
      </c>
      <c r="J413" s="4" t="s">
        <v>1178</v>
      </c>
      <c r="K413" s="4">
        <v>3.9</v>
      </c>
      <c r="L413" s="4">
        <v>1.8</v>
      </c>
      <c r="M413" s="4" t="s">
        <v>29</v>
      </c>
      <c r="N413" s="8" t="s">
        <v>1064</v>
      </c>
    </row>
    <row r="414" spans="1:14">
      <c r="A414" s="3" t="s">
        <v>1179</v>
      </c>
      <c r="B414" s="3" t="s">
        <v>1180</v>
      </c>
      <c r="C414" s="3" t="s">
        <v>57</v>
      </c>
      <c r="D414" s="3" t="s">
        <v>967</v>
      </c>
      <c r="E414" s="3" t="str">
        <f t="shared" si="6"/>
        <v>Engineering</v>
      </c>
      <c r="F414" s="3" t="s">
        <v>197</v>
      </c>
      <c r="G414" s="3" t="s">
        <v>172</v>
      </c>
      <c r="H414" s="3" t="s">
        <v>19</v>
      </c>
      <c r="I414" s="3">
        <v>208633</v>
      </c>
      <c r="J414" s="3" t="s">
        <v>1181</v>
      </c>
      <c r="K414" s="3">
        <v>2.4</v>
      </c>
      <c r="L414" s="3">
        <v>4.9000000000000004</v>
      </c>
      <c r="M414" s="3" t="s">
        <v>35</v>
      </c>
      <c r="N414" s="7" t="s">
        <v>667</v>
      </c>
    </row>
    <row r="415" spans="1:14">
      <c r="A415" s="4" t="s">
        <v>1182</v>
      </c>
      <c r="B415" s="4" t="s">
        <v>1183</v>
      </c>
      <c r="C415" s="4" t="s">
        <v>62</v>
      </c>
      <c r="D415" s="4" t="s">
        <v>84</v>
      </c>
      <c r="E415" s="3" t="str">
        <f t="shared" si="6"/>
        <v>Hr</v>
      </c>
      <c r="F415" s="4" t="s">
        <v>85</v>
      </c>
      <c r="G415" s="4" t="s">
        <v>18</v>
      </c>
      <c r="H415" s="4" t="s">
        <v>33</v>
      </c>
      <c r="I415" s="4">
        <v>84122</v>
      </c>
      <c r="J415" s="4" t="s">
        <v>1184</v>
      </c>
      <c r="K415" s="4">
        <v>1.4</v>
      </c>
      <c r="L415" s="4">
        <v>2.7</v>
      </c>
      <c r="M415" s="4" t="s">
        <v>35</v>
      </c>
      <c r="N415" s="8" t="s">
        <v>544</v>
      </c>
    </row>
    <row r="416" spans="1:14">
      <c r="A416" s="3" t="s">
        <v>1185</v>
      </c>
      <c r="B416" s="3" t="s">
        <v>747</v>
      </c>
      <c r="C416" s="3" t="s">
        <v>23</v>
      </c>
      <c r="D416" s="3" t="s">
        <v>16</v>
      </c>
      <c r="E416" s="3" t="str">
        <f t="shared" si="6"/>
        <v>Devops</v>
      </c>
      <c r="F416" s="3" t="s">
        <v>17</v>
      </c>
      <c r="G416" s="3" t="s">
        <v>75</v>
      </c>
      <c r="H416" s="3" t="s">
        <v>19</v>
      </c>
      <c r="I416" s="3">
        <v>137314</v>
      </c>
      <c r="J416" s="3" t="s">
        <v>1186</v>
      </c>
      <c r="K416" s="3">
        <v>4</v>
      </c>
      <c r="L416" s="3">
        <v>3.9</v>
      </c>
      <c r="M416" s="3" t="s">
        <v>35</v>
      </c>
      <c r="N416" s="7" t="s">
        <v>1117</v>
      </c>
    </row>
    <row r="417" spans="1:14">
      <c r="A417" s="4" t="s">
        <v>1187</v>
      </c>
      <c r="B417" s="4" t="s">
        <v>1188</v>
      </c>
      <c r="C417" s="4" t="s">
        <v>62</v>
      </c>
      <c r="D417" s="4" t="s">
        <v>24</v>
      </c>
      <c r="E417" s="3" t="str">
        <f t="shared" si="6"/>
        <v>Design</v>
      </c>
      <c r="F417" s="4" t="s">
        <v>25</v>
      </c>
      <c r="G417" s="4" t="s">
        <v>46</v>
      </c>
      <c r="H417" s="4" t="s">
        <v>27</v>
      </c>
      <c r="I417" s="4">
        <v>174989</v>
      </c>
      <c r="J417" s="4" t="s">
        <v>1189</v>
      </c>
      <c r="K417" s="4">
        <v>5.8</v>
      </c>
      <c r="L417" s="4">
        <v>2.6</v>
      </c>
      <c r="M417" s="4" t="s">
        <v>29</v>
      </c>
      <c r="N417" s="8" t="s">
        <v>1158</v>
      </c>
    </row>
    <row r="418" spans="1:14">
      <c r="A418" s="3" t="s">
        <v>1190</v>
      </c>
      <c r="B418" s="3" t="s">
        <v>1191</v>
      </c>
      <c r="C418" s="3" t="s">
        <v>83</v>
      </c>
      <c r="D418" s="3" t="s">
        <v>39</v>
      </c>
      <c r="E418" s="3" t="str">
        <f t="shared" si="6"/>
        <v>Engineering</v>
      </c>
      <c r="F418" s="3" t="s">
        <v>109</v>
      </c>
      <c r="G418" s="3" t="s">
        <v>214</v>
      </c>
      <c r="H418" s="3" t="s">
        <v>19</v>
      </c>
      <c r="I418" s="3">
        <v>84724</v>
      </c>
      <c r="J418" s="3" t="s">
        <v>1192</v>
      </c>
      <c r="K418" s="3">
        <v>1.5</v>
      </c>
      <c r="L418" s="3">
        <v>2.1</v>
      </c>
      <c r="M418" s="3" t="s">
        <v>35</v>
      </c>
      <c r="N418" s="7" t="s">
        <v>1095</v>
      </c>
    </row>
    <row r="419" spans="1:14">
      <c r="A419" s="4" t="s">
        <v>1193</v>
      </c>
      <c r="B419" s="4" t="s">
        <v>1194</v>
      </c>
      <c r="C419" s="4" t="s">
        <v>23</v>
      </c>
      <c r="D419" s="4" t="s">
        <v>63</v>
      </c>
      <c r="E419" s="3" t="str">
        <f t="shared" si="6"/>
        <v>Product</v>
      </c>
      <c r="F419" s="4" t="s">
        <v>64</v>
      </c>
      <c r="G419" s="4" t="s">
        <v>172</v>
      </c>
      <c r="H419" s="4" t="s">
        <v>58</v>
      </c>
      <c r="I419" s="4">
        <v>74357</v>
      </c>
      <c r="J419" s="4" t="s">
        <v>1195</v>
      </c>
      <c r="K419" s="4">
        <v>5.5</v>
      </c>
      <c r="L419" s="4">
        <v>4.7</v>
      </c>
      <c r="M419" s="4" t="s">
        <v>35</v>
      </c>
      <c r="N419" s="8" t="s">
        <v>1109</v>
      </c>
    </row>
    <row r="420" spans="1:14">
      <c r="A420" s="3" t="s">
        <v>1196</v>
      </c>
      <c r="B420" s="3" t="s">
        <v>542</v>
      </c>
      <c r="C420" s="3" t="s">
        <v>38</v>
      </c>
      <c r="D420" s="3" t="s">
        <v>558</v>
      </c>
      <c r="E420" s="3" t="str">
        <f t="shared" si="6"/>
        <v>Finance</v>
      </c>
      <c r="F420" s="3" t="s">
        <v>177</v>
      </c>
      <c r="G420" s="3" t="s">
        <v>172</v>
      </c>
      <c r="H420" s="3" t="s">
        <v>58</v>
      </c>
      <c r="I420" s="3">
        <v>63921</v>
      </c>
      <c r="J420" s="3" t="s">
        <v>1197</v>
      </c>
      <c r="K420" s="3">
        <v>1.3</v>
      </c>
      <c r="L420" s="3">
        <v>4.9000000000000004</v>
      </c>
      <c r="M420" s="3" t="s">
        <v>35</v>
      </c>
      <c r="N420" s="7" t="s">
        <v>675</v>
      </c>
    </row>
    <row r="421" spans="1:14">
      <c r="A421" s="4" t="s">
        <v>1198</v>
      </c>
      <c r="B421" s="4" t="s">
        <v>476</v>
      </c>
      <c r="C421" s="4" t="s">
        <v>23</v>
      </c>
      <c r="D421" s="4" t="s">
        <v>63</v>
      </c>
      <c r="E421" s="3" t="str">
        <f t="shared" si="6"/>
        <v>Product</v>
      </c>
      <c r="F421" s="4" t="s">
        <v>225</v>
      </c>
      <c r="G421" s="4" t="s">
        <v>18</v>
      </c>
      <c r="H421" s="4" t="s">
        <v>19</v>
      </c>
      <c r="I421" s="4">
        <v>119992</v>
      </c>
      <c r="J421" s="4" t="s">
        <v>1199</v>
      </c>
      <c r="K421" s="4">
        <v>3.7</v>
      </c>
      <c r="L421" s="4">
        <v>4.7</v>
      </c>
      <c r="M421" s="4" t="s">
        <v>35</v>
      </c>
      <c r="N421" s="8" t="s">
        <v>717</v>
      </c>
    </row>
    <row r="422" spans="1:14">
      <c r="A422" s="3" t="s">
        <v>1200</v>
      </c>
      <c r="B422" s="3" t="s">
        <v>452</v>
      </c>
      <c r="C422" s="3" t="s">
        <v>23</v>
      </c>
      <c r="D422" s="3" t="s">
        <v>84</v>
      </c>
      <c r="E422" s="3" t="str">
        <f t="shared" si="6"/>
        <v>Hr</v>
      </c>
      <c r="F422" s="3" t="s">
        <v>138</v>
      </c>
      <c r="G422" s="3" t="s">
        <v>18</v>
      </c>
      <c r="H422" s="3" t="s">
        <v>27</v>
      </c>
      <c r="I422" s="3">
        <v>71465</v>
      </c>
      <c r="J422" s="3" t="s">
        <v>1201</v>
      </c>
      <c r="K422" s="3">
        <v>2.2000000000000002</v>
      </c>
      <c r="L422" s="3">
        <v>3.2</v>
      </c>
      <c r="M422" s="3" t="s">
        <v>42</v>
      </c>
      <c r="N422" s="7" t="s">
        <v>412</v>
      </c>
    </row>
    <row r="423" spans="1:14">
      <c r="A423" s="4" t="s">
        <v>1202</v>
      </c>
      <c r="B423" s="4" t="s">
        <v>1203</v>
      </c>
      <c r="C423" s="4" t="s">
        <v>62</v>
      </c>
      <c r="D423" s="4" t="s">
        <v>51</v>
      </c>
      <c r="E423" s="3" t="str">
        <f t="shared" si="6"/>
        <v>Sales</v>
      </c>
      <c r="F423" s="4" t="s">
        <v>69</v>
      </c>
      <c r="G423" s="4" t="s">
        <v>32</v>
      </c>
      <c r="H423" s="4" t="s">
        <v>19</v>
      </c>
      <c r="I423" s="4">
        <v>42543</v>
      </c>
      <c r="J423" s="4" t="s">
        <v>1204</v>
      </c>
      <c r="K423" s="4">
        <v>1.9</v>
      </c>
      <c r="L423" s="4">
        <v>2.6</v>
      </c>
      <c r="M423" s="4" t="s">
        <v>35</v>
      </c>
      <c r="N423" s="8" t="s">
        <v>1169</v>
      </c>
    </row>
    <row r="424" spans="1:14">
      <c r="A424" s="3" t="s">
        <v>1205</v>
      </c>
      <c r="B424" s="3" t="s">
        <v>1206</v>
      </c>
      <c r="C424" s="3" t="s">
        <v>83</v>
      </c>
      <c r="D424" s="3" t="s">
        <v>24</v>
      </c>
      <c r="E424" s="3" t="str">
        <f t="shared" si="6"/>
        <v>Design</v>
      </c>
      <c r="F424" s="3" t="s">
        <v>25</v>
      </c>
      <c r="G424" s="3" t="s">
        <v>46</v>
      </c>
      <c r="H424" s="3" t="s">
        <v>19</v>
      </c>
      <c r="I424" s="3">
        <v>19205</v>
      </c>
      <c r="J424" s="3" t="s">
        <v>1207</v>
      </c>
      <c r="K424" s="3">
        <v>2</v>
      </c>
      <c r="L424" s="3">
        <v>3.4</v>
      </c>
      <c r="M424" s="3" t="s">
        <v>35</v>
      </c>
      <c r="N424" s="7" t="s">
        <v>804</v>
      </c>
    </row>
    <row r="425" spans="1:14">
      <c r="A425" s="4" t="s">
        <v>1208</v>
      </c>
      <c r="B425" s="4" t="s">
        <v>1209</v>
      </c>
      <c r="C425" s="4" t="s">
        <v>57</v>
      </c>
      <c r="D425" s="4" t="s">
        <v>51</v>
      </c>
      <c r="E425" s="3" t="str">
        <f t="shared" si="6"/>
        <v>Sales</v>
      </c>
      <c r="F425" s="4" t="s">
        <v>105</v>
      </c>
      <c r="G425" s="4" t="s">
        <v>18</v>
      </c>
      <c r="H425" s="4" t="s">
        <v>33</v>
      </c>
      <c r="I425" s="4">
        <v>27240</v>
      </c>
      <c r="J425" s="4" t="s">
        <v>1210</v>
      </c>
      <c r="K425" s="4">
        <v>2.2000000000000002</v>
      </c>
      <c r="L425" s="4">
        <v>3.9</v>
      </c>
      <c r="M425" s="4" t="s">
        <v>29</v>
      </c>
      <c r="N425" s="8" t="s">
        <v>1080</v>
      </c>
    </row>
    <row r="426" spans="1:14">
      <c r="A426" s="3" t="s">
        <v>1211</v>
      </c>
      <c r="B426" s="3" t="s">
        <v>112</v>
      </c>
      <c r="C426" s="3" t="s">
        <v>15</v>
      </c>
      <c r="D426" s="3" t="s">
        <v>63</v>
      </c>
      <c r="E426" s="3" t="str">
        <f t="shared" si="6"/>
        <v>Product</v>
      </c>
      <c r="F426" s="3" t="s">
        <v>225</v>
      </c>
      <c r="G426" s="3" t="s">
        <v>75</v>
      </c>
      <c r="H426" s="3" t="s">
        <v>47</v>
      </c>
      <c r="I426" s="3"/>
      <c r="J426" s="3" t="s">
        <v>1212</v>
      </c>
      <c r="K426" s="3">
        <v>5.3</v>
      </c>
      <c r="L426" s="3">
        <v>2.1</v>
      </c>
      <c r="M426" s="3" t="s">
        <v>35</v>
      </c>
      <c r="N426" s="7" t="s">
        <v>1105</v>
      </c>
    </row>
    <row r="427" spans="1:14">
      <c r="A427" s="4" t="s">
        <v>1213</v>
      </c>
      <c r="B427" s="4" t="s">
        <v>112</v>
      </c>
      <c r="C427" s="4" t="s">
        <v>83</v>
      </c>
      <c r="D427" s="4" t="s">
        <v>89</v>
      </c>
      <c r="E427" s="3" t="str">
        <f t="shared" si="6"/>
        <v>Data Science</v>
      </c>
      <c r="F427" s="4" t="s">
        <v>221</v>
      </c>
      <c r="G427" s="4" t="s">
        <v>75</v>
      </c>
      <c r="H427" s="4" t="s">
        <v>19</v>
      </c>
      <c r="I427" s="4">
        <v>198852</v>
      </c>
      <c r="J427" s="4" t="s">
        <v>1214</v>
      </c>
      <c r="K427" s="4">
        <v>0.5</v>
      </c>
      <c r="L427" s="4">
        <v>3.9</v>
      </c>
      <c r="M427" s="4" t="s">
        <v>35</v>
      </c>
      <c r="N427" s="8" t="s">
        <v>586</v>
      </c>
    </row>
    <row r="428" spans="1:14">
      <c r="A428" s="3" t="s">
        <v>1215</v>
      </c>
      <c r="B428" s="3" t="s">
        <v>1216</v>
      </c>
      <c r="C428" s="3" t="s">
        <v>83</v>
      </c>
      <c r="D428" s="3" t="s">
        <v>84</v>
      </c>
      <c r="E428" s="3" t="str">
        <f t="shared" si="6"/>
        <v>Hr</v>
      </c>
      <c r="F428" s="3" t="s">
        <v>204</v>
      </c>
      <c r="G428" s="3" t="s">
        <v>65</v>
      </c>
      <c r="H428" s="3" t="s">
        <v>19</v>
      </c>
      <c r="I428" s="3">
        <v>217771</v>
      </c>
      <c r="J428" s="3" t="s">
        <v>1217</v>
      </c>
      <c r="K428" s="3">
        <v>1</v>
      </c>
      <c r="L428" s="3"/>
      <c r="M428" s="3" t="s">
        <v>35</v>
      </c>
      <c r="N428" s="7" t="s">
        <v>1012</v>
      </c>
    </row>
    <row r="429" spans="1:14">
      <c r="A429" s="4" t="s">
        <v>1218</v>
      </c>
      <c r="B429" s="4" t="s">
        <v>1219</v>
      </c>
      <c r="C429" s="4" t="s">
        <v>62</v>
      </c>
      <c r="D429" s="4" t="s">
        <v>16</v>
      </c>
      <c r="E429" s="3" t="str">
        <f t="shared" si="6"/>
        <v>Devops</v>
      </c>
      <c r="F429" s="4" t="s">
        <v>17</v>
      </c>
      <c r="G429" s="4" t="s">
        <v>172</v>
      </c>
      <c r="H429" s="4" t="s">
        <v>19</v>
      </c>
      <c r="I429" s="4"/>
      <c r="J429" s="4" t="s">
        <v>1220</v>
      </c>
      <c r="K429" s="4">
        <v>0.7</v>
      </c>
      <c r="L429" s="4">
        <v>2</v>
      </c>
      <c r="M429" s="4" t="s">
        <v>35</v>
      </c>
      <c r="N429" s="8" t="s">
        <v>1202</v>
      </c>
    </row>
    <row r="430" spans="1:14">
      <c r="A430" s="3" t="s">
        <v>1221</v>
      </c>
      <c r="B430" s="3" t="s">
        <v>375</v>
      </c>
      <c r="C430" s="3" t="s">
        <v>15</v>
      </c>
      <c r="D430" s="3" t="s">
        <v>16</v>
      </c>
      <c r="E430" s="3" t="str">
        <f t="shared" si="6"/>
        <v>Devops</v>
      </c>
      <c r="F430" s="3" t="s">
        <v>17</v>
      </c>
      <c r="G430" s="3" t="s">
        <v>46</v>
      </c>
      <c r="H430" s="3" t="s">
        <v>47</v>
      </c>
      <c r="I430" s="3">
        <v>63750</v>
      </c>
      <c r="J430" s="3" t="s">
        <v>1222</v>
      </c>
      <c r="K430" s="3">
        <v>2.8</v>
      </c>
      <c r="L430" s="3">
        <v>3.7</v>
      </c>
      <c r="M430" s="3" t="s">
        <v>29</v>
      </c>
      <c r="N430" s="7" t="s">
        <v>240</v>
      </c>
    </row>
    <row r="431" spans="1:14">
      <c r="A431" s="4" t="s">
        <v>1223</v>
      </c>
      <c r="B431" s="4" t="s">
        <v>1224</v>
      </c>
      <c r="C431" s="4" t="s">
        <v>62</v>
      </c>
      <c r="D431" s="4" t="s">
        <v>133</v>
      </c>
      <c r="E431" s="3" t="str">
        <f t="shared" si="6"/>
        <v>Qa</v>
      </c>
      <c r="F431" s="4" t="s">
        <v>134</v>
      </c>
      <c r="G431" s="4" t="s">
        <v>70</v>
      </c>
      <c r="H431" s="4" t="s">
        <v>27</v>
      </c>
      <c r="I431" s="4">
        <v>180650</v>
      </c>
      <c r="J431" s="4" t="s">
        <v>1225</v>
      </c>
      <c r="K431" s="4">
        <v>3.1</v>
      </c>
      <c r="L431" s="4">
        <v>2.9</v>
      </c>
      <c r="M431" s="4" t="s">
        <v>42</v>
      </c>
      <c r="N431" s="8" t="s">
        <v>366</v>
      </c>
    </row>
    <row r="432" spans="1:14">
      <c r="A432" s="3" t="s">
        <v>1226</v>
      </c>
      <c r="B432" s="3" t="s">
        <v>1023</v>
      </c>
      <c r="C432" s="3" t="s">
        <v>38</v>
      </c>
      <c r="D432" s="3" t="s">
        <v>89</v>
      </c>
      <c r="E432" s="3" t="str">
        <f t="shared" si="6"/>
        <v>Data Science</v>
      </c>
      <c r="F432" s="3" t="s">
        <v>221</v>
      </c>
      <c r="G432" s="3" t="s">
        <v>114</v>
      </c>
      <c r="H432" s="3" t="s">
        <v>33</v>
      </c>
      <c r="I432" s="3">
        <v>47147</v>
      </c>
      <c r="J432" s="3" t="s">
        <v>1227</v>
      </c>
      <c r="K432" s="3">
        <v>6.3</v>
      </c>
      <c r="L432" s="3">
        <v>2.1</v>
      </c>
      <c r="M432" s="3" t="s">
        <v>35</v>
      </c>
      <c r="N432" s="7" t="s">
        <v>609</v>
      </c>
    </row>
    <row r="433" spans="1:14">
      <c r="A433" s="4" t="s">
        <v>1228</v>
      </c>
      <c r="B433" s="4" t="s">
        <v>525</v>
      </c>
      <c r="C433" s="4" t="s">
        <v>38</v>
      </c>
      <c r="D433" s="4" t="s">
        <v>51</v>
      </c>
      <c r="E433" s="3" t="str">
        <f t="shared" si="6"/>
        <v>Sales</v>
      </c>
      <c r="F433" s="4" t="s">
        <v>69</v>
      </c>
      <c r="G433" s="4" t="s">
        <v>65</v>
      </c>
      <c r="H433" s="4" t="s">
        <v>33</v>
      </c>
      <c r="I433" s="4">
        <v>206153</v>
      </c>
      <c r="J433" s="4" t="s">
        <v>623</v>
      </c>
      <c r="K433" s="4">
        <v>4.7</v>
      </c>
      <c r="L433" s="4">
        <v>4.7</v>
      </c>
      <c r="M433" s="4" t="s">
        <v>29</v>
      </c>
      <c r="N433" s="8" t="s">
        <v>793</v>
      </c>
    </row>
    <row r="434" spans="1:14">
      <c r="A434" s="3" t="s">
        <v>1229</v>
      </c>
      <c r="B434" s="3" t="s">
        <v>144</v>
      </c>
      <c r="C434" s="3" t="s">
        <v>38</v>
      </c>
      <c r="D434" s="3" t="s">
        <v>63</v>
      </c>
      <c r="E434" s="3" t="str">
        <f t="shared" si="6"/>
        <v>Product</v>
      </c>
      <c r="F434" s="3" t="s">
        <v>225</v>
      </c>
      <c r="G434" s="3" t="s">
        <v>26</v>
      </c>
      <c r="H434" s="3" t="s">
        <v>19</v>
      </c>
      <c r="I434" s="3"/>
      <c r="J434" s="3" t="s">
        <v>1230</v>
      </c>
      <c r="K434" s="3">
        <v>2.6</v>
      </c>
      <c r="L434" s="3">
        <v>2.5</v>
      </c>
      <c r="M434" s="3" t="s">
        <v>35</v>
      </c>
      <c r="N434" s="7" t="s">
        <v>434</v>
      </c>
    </row>
    <row r="435" spans="1:14">
      <c r="A435" s="4" t="s">
        <v>1231</v>
      </c>
      <c r="B435" s="4" t="s">
        <v>658</v>
      </c>
      <c r="C435" s="4" t="s">
        <v>23</v>
      </c>
      <c r="D435" s="4" t="s">
        <v>39</v>
      </c>
      <c r="E435" s="3" t="str">
        <f t="shared" si="6"/>
        <v>Engineering</v>
      </c>
      <c r="F435" s="4" t="s">
        <v>242</v>
      </c>
      <c r="G435" s="4" t="s">
        <v>149</v>
      </c>
      <c r="H435" s="4" t="s">
        <v>19</v>
      </c>
      <c r="I435" s="4">
        <v>186981</v>
      </c>
      <c r="J435" s="4" t="s">
        <v>1232</v>
      </c>
      <c r="K435" s="4">
        <v>2.4</v>
      </c>
      <c r="L435" s="4"/>
      <c r="M435" s="4" t="s">
        <v>29</v>
      </c>
      <c r="N435" s="8" t="s">
        <v>936</v>
      </c>
    </row>
    <row r="436" spans="1:14">
      <c r="A436" s="3" t="s">
        <v>1233</v>
      </c>
      <c r="B436" s="3" t="s">
        <v>344</v>
      </c>
      <c r="C436" s="3" t="s">
        <v>83</v>
      </c>
      <c r="D436" s="3" t="s">
        <v>51</v>
      </c>
      <c r="E436" s="3" t="str">
        <f t="shared" si="6"/>
        <v>Sales</v>
      </c>
      <c r="F436" s="3" t="s">
        <v>105</v>
      </c>
      <c r="G436" s="3" t="s">
        <v>149</v>
      </c>
      <c r="H436" s="3" t="s">
        <v>33</v>
      </c>
      <c r="I436" s="3">
        <v>178954</v>
      </c>
      <c r="J436" s="3" t="s">
        <v>942</v>
      </c>
      <c r="K436" s="3">
        <v>3.8</v>
      </c>
      <c r="L436" s="3">
        <v>4.5999999999999996</v>
      </c>
      <c r="M436" s="3" t="s">
        <v>35</v>
      </c>
      <c r="N436" s="7" t="s">
        <v>972</v>
      </c>
    </row>
    <row r="437" spans="1:14">
      <c r="A437" s="4" t="s">
        <v>1234</v>
      </c>
      <c r="B437" s="4" t="s">
        <v>1235</v>
      </c>
      <c r="C437" s="4" t="s">
        <v>62</v>
      </c>
      <c r="D437" s="4" t="s">
        <v>503</v>
      </c>
      <c r="E437" s="3" t="str">
        <f t="shared" si="6"/>
        <v>Data Science</v>
      </c>
      <c r="F437" s="4" t="s">
        <v>90</v>
      </c>
      <c r="G437" s="4" t="s">
        <v>70</v>
      </c>
      <c r="H437" s="4" t="s">
        <v>33</v>
      </c>
      <c r="I437" s="4">
        <v>134544</v>
      </c>
      <c r="J437" s="4" t="s">
        <v>1236</v>
      </c>
      <c r="K437" s="4">
        <v>5.2</v>
      </c>
      <c r="L437" s="4">
        <v>3</v>
      </c>
      <c r="M437" s="4" t="s">
        <v>35</v>
      </c>
      <c r="N437" s="8" t="s">
        <v>252</v>
      </c>
    </row>
    <row r="438" spans="1:14">
      <c r="A438" s="3" t="s">
        <v>1237</v>
      </c>
      <c r="B438" s="3" t="s">
        <v>428</v>
      </c>
      <c r="C438" s="3" t="s">
        <v>38</v>
      </c>
      <c r="D438" s="3" t="s">
        <v>24</v>
      </c>
      <c r="E438" s="3" t="str">
        <f t="shared" si="6"/>
        <v>Design</v>
      </c>
      <c r="F438" s="3" t="s">
        <v>25</v>
      </c>
      <c r="G438" s="3" t="s">
        <v>172</v>
      </c>
      <c r="H438" s="3" t="s">
        <v>27</v>
      </c>
      <c r="I438" s="3">
        <v>210082</v>
      </c>
      <c r="J438" s="3" t="s">
        <v>1238</v>
      </c>
      <c r="K438" s="3">
        <v>1.5</v>
      </c>
      <c r="L438" s="3">
        <v>3.2</v>
      </c>
      <c r="M438" s="3" t="s">
        <v>29</v>
      </c>
      <c r="N438" s="7" t="s">
        <v>806</v>
      </c>
    </row>
    <row r="439" spans="1:14">
      <c r="A439" s="4" t="s">
        <v>1239</v>
      </c>
      <c r="B439" s="4" t="s">
        <v>1240</v>
      </c>
      <c r="C439" s="4" t="s">
        <v>23</v>
      </c>
      <c r="D439" s="4" t="s">
        <v>84</v>
      </c>
      <c r="E439" s="3" t="str">
        <f t="shared" si="6"/>
        <v>Hr</v>
      </c>
      <c r="F439" s="4" t="s">
        <v>204</v>
      </c>
      <c r="G439" s="4" t="s">
        <v>70</v>
      </c>
      <c r="H439" s="4" t="s">
        <v>27</v>
      </c>
      <c r="I439" s="4">
        <v>83752</v>
      </c>
      <c r="J439" s="4" t="s">
        <v>1241</v>
      </c>
      <c r="K439" s="4">
        <v>7</v>
      </c>
      <c r="L439" s="4">
        <v>2.7</v>
      </c>
      <c r="M439" s="4" t="s">
        <v>35</v>
      </c>
      <c r="N439" s="8" t="s">
        <v>356</v>
      </c>
    </row>
    <row r="440" spans="1:14">
      <c r="A440" s="3" t="s">
        <v>1242</v>
      </c>
      <c r="B440" s="3" t="s">
        <v>1243</v>
      </c>
      <c r="C440" s="3" t="s">
        <v>83</v>
      </c>
      <c r="D440" s="3" t="s">
        <v>257</v>
      </c>
      <c r="E440" s="3" t="str">
        <f t="shared" si="6"/>
        <v>Design</v>
      </c>
      <c r="F440" s="3" t="s">
        <v>25</v>
      </c>
      <c r="G440" s="3" t="s">
        <v>172</v>
      </c>
      <c r="H440" s="3" t="s">
        <v>47</v>
      </c>
      <c r="I440" s="3">
        <v>69084</v>
      </c>
      <c r="J440" s="3" t="s">
        <v>693</v>
      </c>
      <c r="K440" s="3">
        <v>6.1</v>
      </c>
      <c r="L440" s="3">
        <v>3</v>
      </c>
      <c r="M440" s="3" t="s">
        <v>29</v>
      </c>
      <c r="N440" s="7" t="s">
        <v>761</v>
      </c>
    </row>
    <row r="441" spans="1:14">
      <c r="A441" s="4" t="s">
        <v>1244</v>
      </c>
      <c r="B441" s="4" t="s">
        <v>1245</v>
      </c>
      <c r="C441" s="4" t="s">
        <v>23</v>
      </c>
      <c r="D441" s="4" t="s">
        <v>133</v>
      </c>
      <c r="E441" s="3" t="str">
        <f t="shared" si="6"/>
        <v>Qa</v>
      </c>
      <c r="F441" s="4" t="s">
        <v>153</v>
      </c>
      <c r="G441" s="4" t="s">
        <v>114</v>
      </c>
      <c r="H441" s="4" t="s">
        <v>19</v>
      </c>
      <c r="I441" s="4">
        <v>121602</v>
      </c>
      <c r="J441" s="4" t="s">
        <v>1246</v>
      </c>
      <c r="K441" s="4">
        <v>3</v>
      </c>
      <c r="L441" s="4">
        <v>4.4000000000000004</v>
      </c>
      <c r="M441" s="4" t="s">
        <v>35</v>
      </c>
      <c r="N441" s="8" t="s">
        <v>274</v>
      </c>
    </row>
    <row r="442" spans="1:14">
      <c r="A442" s="3" t="s">
        <v>1247</v>
      </c>
      <c r="B442" s="3" t="s">
        <v>525</v>
      </c>
      <c r="C442" s="3" t="s">
        <v>57</v>
      </c>
      <c r="D442" s="3" t="s">
        <v>84</v>
      </c>
      <c r="E442" s="3" t="str">
        <f t="shared" si="6"/>
        <v>Hr</v>
      </c>
      <c r="F442" s="3" t="s">
        <v>138</v>
      </c>
      <c r="G442" s="3" t="s">
        <v>75</v>
      </c>
      <c r="H442" s="3" t="s">
        <v>19</v>
      </c>
      <c r="I442" s="3">
        <v>31685</v>
      </c>
      <c r="J442" s="3" t="s">
        <v>1210</v>
      </c>
      <c r="K442" s="3">
        <v>2.2000000000000002</v>
      </c>
      <c r="L442" s="3">
        <v>4.7</v>
      </c>
      <c r="M442" s="3" t="s">
        <v>35</v>
      </c>
      <c r="N442" s="7" t="s">
        <v>397</v>
      </c>
    </row>
    <row r="443" spans="1:14">
      <c r="A443" s="4" t="s">
        <v>1248</v>
      </c>
      <c r="B443" s="4" t="s">
        <v>401</v>
      </c>
      <c r="C443" s="4" t="s">
        <v>57</v>
      </c>
      <c r="D443" s="4" t="s">
        <v>118</v>
      </c>
      <c r="E443" s="3" t="str">
        <f t="shared" si="6"/>
        <v>Marketing</v>
      </c>
      <c r="F443" s="4" t="s">
        <v>181</v>
      </c>
      <c r="G443" s="4" t="s">
        <v>114</v>
      </c>
      <c r="H443" s="4" t="s">
        <v>27</v>
      </c>
      <c r="I443" s="4">
        <v>135951</v>
      </c>
      <c r="J443" s="4" t="s">
        <v>1249</v>
      </c>
      <c r="K443" s="4">
        <v>2</v>
      </c>
      <c r="L443" s="4">
        <v>3.1</v>
      </c>
      <c r="M443" s="4" t="s">
        <v>29</v>
      </c>
      <c r="N443" s="8" t="s">
        <v>380</v>
      </c>
    </row>
    <row r="444" spans="1:14">
      <c r="A444" s="3" t="s">
        <v>1250</v>
      </c>
      <c r="B444" s="3" t="s">
        <v>1251</v>
      </c>
      <c r="C444" s="3" t="s">
        <v>38</v>
      </c>
      <c r="D444" s="3" t="s">
        <v>16</v>
      </c>
      <c r="E444" s="3" t="str">
        <f t="shared" si="6"/>
        <v>Devops</v>
      </c>
      <c r="F444" s="3" t="s">
        <v>335</v>
      </c>
      <c r="G444" s="3" t="s">
        <v>18</v>
      </c>
      <c r="H444" s="3" t="s">
        <v>19</v>
      </c>
      <c r="I444" s="3">
        <v>58136</v>
      </c>
      <c r="J444" s="3" t="s">
        <v>1252</v>
      </c>
      <c r="K444" s="3">
        <v>6.5</v>
      </c>
      <c r="L444" s="3">
        <v>2</v>
      </c>
      <c r="M444" s="3" t="s">
        <v>35</v>
      </c>
      <c r="N444" s="7" t="s">
        <v>382</v>
      </c>
    </row>
    <row r="445" spans="1:14">
      <c r="A445" s="4" t="s">
        <v>1253</v>
      </c>
      <c r="B445" s="4" t="s">
        <v>1254</v>
      </c>
      <c r="C445" s="4" t="s">
        <v>83</v>
      </c>
      <c r="D445" s="4" t="s">
        <v>493</v>
      </c>
      <c r="E445" s="3" t="str">
        <f t="shared" si="6"/>
        <v>Marketing</v>
      </c>
      <c r="F445" s="4" t="s">
        <v>254</v>
      </c>
      <c r="G445" s="4" t="s">
        <v>172</v>
      </c>
      <c r="H445" s="4" t="s">
        <v>27</v>
      </c>
      <c r="I445" s="4">
        <v>104911</v>
      </c>
      <c r="J445" s="4" t="s">
        <v>1255</v>
      </c>
      <c r="K445" s="4">
        <v>0.5</v>
      </c>
      <c r="L445" s="4">
        <v>2.2000000000000002</v>
      </c>
      <c r="M445" s="4" t="s">
        <v>35</v>
      </c>
      <c r="N445" s="8" t="s">
        <v>388</v>
      </c>
    </row>
    <row r="446" spans="1:14">
      <c r="A446" s="3" t="s">
        <v>1256</v>
      </c>
      <c r="B446" s="3" t="s">
        <v>1257</v>
      </c>
      <c r="C446" s="3" t="s">
        <v>83</v>
      </c>
      <c r="D446" s="3" t="s">
        <v>133</v>
      </c>
      <c r="E446" s="3" t="str">
        <f t="shared" si="6"/>
        <v>Qa</v>
      </c>
      <c r="F446" s="3" t="s">
        <v>162</v>
      </c>
      <c r="G446" s="3" t="s">
        <v>46</v>
      </c>
      <c r="H446" s="3" t="s">
        <v>27</v>
      </c>
      <c r="I446" s="3">
        <v>74550</v>
      </c>
      <c r="J446" s="3" t="s">
        <v>776</v>
      </c>
      <c r="K446" s="3">
        <v>2.2999999999999998</v>
      </c>
      <c r="L446" s="3">
        <v>1.9</v>
      </c>
      <c r="M446" s="3" t="s">
        <v>35</v>
      </c>
      <c r="N446" s="7" t="s">
        <v>1115</v>
      </c>
    </row>
    <row r="447" spans="1:14">
      <c r="A447" s="4" t="s">
        <v>1258</v>
      </c>
      <c r="B447" s="4" t="s">
        <v>1259</v>
      </c>
      <c r="C447" s="4" t="s">
        <v>57</v>
      </c>
      <c r="D447" s="4" t="s">
        <v>51</v>
      </c>
      <c r="E447" s="3" t="str">
        <f t="shared" si="6"/>
        <v>Sales</v>
      </c>
      <c r="F447" s="4" t="s">
        <v>105</v>
      </c>
      <c r="G447" s="4" t="s">
        <v>172</v>
      </c>
      <c r="H447" s="4" t="s">
        <v>27</v>
      </c>
      <c r="I447" s="4">
        <v>129219</v>
      </c>
      <c r="J447" s="4" t="s">
        <v>1260</v>
      </c>
      <c r="K447" s="4">
        <v>1.6</v>
      </c>
      <c r="L447" s="4">
        <v>4.2</v>
      </c>
      <c r="M447" s="4" t="s">
        <v>35</v>
      </c>
      <c r="N447" s="8" t="s">
        <v>1014</v>
      </c>
    </row>
    <row r="448" spans="1:14">
      <c r="A448" s="3" t="s">
        <v>1261</v>
      </c>
      <c r="B448" s="3" t="s">
        <v>1123</v>
      </c>
      <c r="C448" s="3" t="s">
        <v>62</v>
      </c>
      <c r="D448" s="3" t="s">
        <v>63</v>
      </c>
      <c r="E448" s="3" t="str">
        <f t="shared" si="6"/>
        <v>Product</v>
      </c>
      <c r="F448" s="3" t="s">
        <v>225</v>
      </c>
      <c r="G448" s="3" t="s">
        <v>149</v>
      </c>
      <c r="H448" s="3" t="s">
        <v>19</v>
      </c>
      <c r="I448" s="3">
        <v>122666</v>
      </c>
      <c r="J448" s="3" t="s">
        <v>1262</v>
      </c>
      <c r="K448" s="3">
        <v>4.3</v>
      </c>
      <c r="L448" s="3">
        <v>3.5</v>
      </c>
      <c r="M448" s="3" t="s">
        <v>35</v>
      </c>
      <c r="N448" s="7" t="s">
        <v>1133</v>
      </c>
    </row>
    <row r="449" spans="1:14">
      <c r="A449" s="4" t="s">
        <v>1263</v>
      </c>
      <c r="B449" s="4" t="s">
        <v>1264</v>
      </c>
      <c r="C449" s="4" t="s">
        <v>15</v>
      </c>
      <c r="D449" s="4" t="s">
        <v>84</v>
      </c>
      <c r="E449" s="3" t="str">
        <f t="shared" si="6"/>
        <v>Hr</v>
      </c>
      <c r="F449" s="4" t="s">
        <v>138</v>
      </c>
      <c r="G449" s="4" t="s">
        <v>75</v>
      </c>
      <c r="H449" s="4" t="s">
        <v>47</v>
      </c>
      <c r="I449" s="4">
        <v>128346</v>
      </c>
      <c r="J449" s="4" t="s">
        <v>1265</v>
      </c>
      <c r="K449" s="4">
        <v>2.1</v>
      </c>
      <c r="L449" s="4">
        <v>3</v>
      </c>
      <c r="M449" s="4" t="s">
        <v>35</v>
      </c>
      <c r="N449" s="8" t="s">
        <v>752</v>
      </c>
    </row>
    <row r="450" spans="1:14">
      <c r="A450" s="3" t="s">
        <v>1266</v>
      </c>
      <c r="B450" s="3" t="s">
        <v>1267</v>
      </c>
      <c r="C450" s="3" t="s">
        <v>15</v>
      </c>
      <c r="D450" s="3" t="s">
        <v>51</v>
      </c>
      <c r="E450" s="3" t="str">
        <f t="shared" si="6"/>
        <v>Sales</v>
      </c>
      <c r="F450" s="3" t="s">
        <v>52</v>
      </c>
      <c r="G450" s="3" t="s">
        <v>53</v>
      </c>
      <c r="H450" s="3" t="s">
        <v>33</v>
      </c>
      <c r="I450" s="3">
        <v>140407</v>
      </c>
      <c r="J450" s="3" t="s">
        <v>1268</v>
      </c>
      <c r="K450" s="3">
        <v>2.2000000000000002</v>
      </c>
      <c r="L450" s="3">
        <v>3.3</v>
      </c>
      <c r="M450" s="3" t="s">
        <v>35</v>
      </c>
      <c r="N450" s="7" t="s">
        <v>385</v>
      </c>
    </row>
    <row r="451" spans="1:14">
      <c r="A451" s="4" t="s">
        <v>1269</v>
      </c>
      <c r="B451" s="4" t="s">
        <v>516</v>
      </c>
      <c r="C451" s="4" t="s">
        <v>15</v>
      </c>
      <c r="D451" s="4" t="s">
        <v>39</v>
      </c>
      <c r="E451" s="3" t="str">
        <f t="shared" ref="E451:E514" si="7">PROPER(D451)</f>
        <v>Engineering</v>
      </c>
      <c r="F451" s="4" t="s">
        <v>109</v>
      </c>
      <c r="G451" s="4" t="s">
        <v>70</v>
      </c>
      <c r="H451" s="4" t="s">
        <v>47</v>
      </c>
      <c r="I451" s="4">
        <v>190598</v>
      </c>
      <c r="J451" s="4" t="s">
        <v>1270</v>
      </c>
      <c r="K451" s="4">
        <v>0.7</v>
      </c>
      <c r="L451" s="4">
        <v>1.8</v>
      </c>
      <c r="M451" s="4" t="s">
        <v>29</v>
      </c>
      <c r="N451" s="8" t="s">
        <v>850</v>
      </c>
    </row>
    <row r="452" spans="1:14">
      <c r="A452" s="3" t="s">
        <v>1271</v>
      </c>
      <c r="B452" s="3" t="s">
        <v>344</v>
      </c>
      <c r="C452" s="3" t="s">
        <v>57</v>
      </c>
      <c r="D452" s="3" t="s">
        <v>84</v>
      </c>
      <c r="E452" s="3" t="str">
        <f t="shared" si="7"/>
        <v>Hr</v>
      </c>
      <c r="F452" s="3" t="s">
        <v>85</v>
      </c>
      <c r="G452" s="3" t="s">
        <v>46</v>
      </c>
      <c r="H452" s="3" t="s">
        <v>33</v>
      </c>
      <c r="I452" s="3">
        <v>18643</v>
      </c>
      <c r="J452" s="3" t="s">
        <v>1272</v>
      </c>
      <c r="K452" s="3">
        <v>1.3</v>
      </c>
      <c r="L452" s="3">
        <v>4.5999999999999996</v>
      </c>
      <c r="M452" s="3" t="s">
        <v>42</v>
      </c>
      <c r="N452" s="7" t="s">
        <v>1211</v>
      </c>
    </row>
    <row r="453" spans="1:14">
      <c r="A453" s="4" t="s">
        <v>1273</v>
      </c>
      <c r="B453" s="4" t="s">
        <v>1274</v>
      </c>
      <c r="C453" s="4" t="s">
        <v>15</v>
      </c>
      <c r="D453" s="4" t="s">
        <v>176</v>
      </c>
      <c r="E453" s="3" t="str">
        <f t="shared" si="7"/>
        <v>Finance</v>
      </c>
      <c r="F453" s="4" t="s">
        <v>359</v>
      </c>
      <c r="G453" s="4" t="s">
        <v>70</v>
      </c>
      <c r="H453" s="4" t="s">
        <v>27</v>
      </c>
      <c r="I453" s="4">
        <v>31740</v>
      </c>
      <c r="J453" s="4" t="s">
        <v>1275</v>
      </c>
      <c r="K453" s="4">
        <v>2.2999999999999998</v>
      </c>
      <c r="L453" s="4">
        <v>3.5</v>
      </c>
      <c r="M453" s="4" t="s">
        <v>35</v>
      </c>
      <c r="N453" s="8" t="s">
        <v>60</v>
      </c>
    </row>
    <row r="454" spans="1:14">
      <c r="A454" s="3" t="s">
        <v>1276</v>
      </c>
      <c r="B454" s="3" t="s">
        <v>104</v>
      </c>
      <c r="C454" s="3" t="s">
        <v>62</v>
      </c>
      <c r="D454" s="3" t="s">
        <v>176</v>
      </c>
      <c r="E454" s="3" t="str">
        <f t="shared" si="7"/>
        <v>Finance</v>
      </c>
      <c r="F454" s="3" t="s">
        <v>229</v>
      </c>
      <c r="G454" s="3" t="s">
        <v>65</v>
      </c>
      <c r="H454" s="3" t="s">
        <v>19</v>
      </c>
      <c r="I454" s="3">
        <v>192849</v>
      </c>
      <c r="J454" s="3" t="s">
        <v>1277</v>
      </c>
      <c r="K454" s="3">
        <v>2.9</v>
      </c>
      <c r="L454" s="3">
        <v>3.9</v>
      </c>
      <c r="M454" s="3" t="s">
        <v>35</v>
      </c>
      <c r="N454" s="7" t="s">
        <v>553</v>
      </c>
    </row>
    <row r="455" spans="1:14">
      <c r="A455" s="4" t="s">
        <v>1278</v>
      </c>
      <c r="B455" s="4" t="s">
        <v>851</v>
      </c>
      <c r="C455" s="4" t="s">
        <v>62</v>
      </c>
      <c r="D455" s="4" t="s">
        <v>133</v>
      </c>
      <c r="E455" s="3" t="str">
        <f t="shared" si="7"/>
        <v>Qa</v>
      </c>
      <c r="F455" s="4" t="s">
        <v>486</v>
      </c>
      <c r="G455" s="4" t="s">
        <v>70</v>
      </c>
      <c r="H455" s="4" t="s">
        <v>19</v>
      </c>
      <c r="I455" s="4">
        <v>152497</v>
      </c>
      <c r="J455" s="4" t="s">
        <v>1279</v>
      </c>
      <c r="K455" s="4">
        <v>1.9</v>
      </c>
      <c r="L455" s="4">
        <v>3.1</v>
      </c>
      <c r="M455" s="4" t="s">
        <v>35</v>
      </c>
      <c r="N455" s="8" t="s">
        <v>268</v>
      </c>
    </row>
    <row r="456" spans="1:14">
      <c r="A456" s="3" t="s">
        <v>1280</v>
      </c>
      <c r="B456" s="3" t="s">
        <v>668</v>
      </c>
      <c r="C456" s="3" t="s">
        <v>83</v>
      </c>
      <c r="D456" s="3" t="s">
        <v>63</v>
      </c>
      <c r="E456" s="3" t="str">
        <f t="shared" si="7"/>
        <v>Product</v>
      </c>
      <c r="F456" s="3" t="s">
        <v>225</v>
      </c>
      <c r="G456" s="3" t="s">
        <v>65</v>
      </c>
      <c r="H456" s="3" t="s">
        <v>27</v>
      </c>
      <c r="I456" s="3">
        <v>87841</v>
      </c>
      <c r="J456" s="3" t="s">
        <v>1281</v>
      </c>
      <c r="K456" s="3">
        <v>4.0999999999999996</v>
      </c>
      <c r="L456" s="3">
        <v>3.4</v>
      </c>
      <c r="M456" s="3" t="s">
        <v>35</v>
      </c>
      <c r="N456" s="7" t="s">
        <v>864</v>
      </c>
    </row>
    <row r="457" spans="1:14">
      <c r="A457" s="4" t="s">
        <v>1282</v>
      </c>
      <c r="B457" s="4" t="s">
        <v>1283</v>
      </c>
      <c r="C457" s="4" t="s">
        <v>38</v>
      </c>
      <c r="D457" s="4" t="s">
        <v>89</v>
      </c>
      <c r="E457" s="3" t="str">
        <f t="shared" si="7"/>
        <v>Data Science</v>
      </c>
      <c r="F457" s="4" t="s">
        <v>221</v>
      </c>
      <c r="G457" s="4" t="s">
        <v>53</v>
      </c>
      <c r="H457" s="4" t="s">
        <v>27</v>
      </c>
      <c r="I457" s="4">
        <v>157794</v>
      </c>
      <c r="J457" s="4" t="s">
        <v>1284</v>
      </c>
      <c r="K457" s="4">
        <v>5.5</v>
      </c>
      <c r="L457" s="4">
        <v>2.1</v>
      </c>
      <c r="M457" s="4" t="s">
        <v>35</v>
      </c>
      <c r="N457" s="8" t="s">
        <v>174</v>
      </c>
    </row>
    <row r="458" spans="1:14">
      <c r="A458" s="3" t="s">
        <v>1285</v>
      </c>
      <c r="B458" s="3" t="s">
        <v>1286</v>
      </c>
      <c r="C458" s="3" t="s">
        <v>15</v>
      </c>
      <c r="D458" s="3" t="s">
        <v>51</v>
      </c>
      <c r="E458" s="3" t="str">
        <f t="shared" si="7"/>
        <v>Sales</v>
      </c>
      <c r="F458" s="3" t="s">
        <v>105</v>
      </c>
      <c r="G458" s="3" t="s">
        <v>46</v>
      </c>
      <c r="H458" s="3" t="s">
        <v>33</v>
      </c>
      <c r="I458" s="3">
        <v>82676</v>
      </c>
      <c r="J458" s="3" t="s">
        <v>1287</v>
      </c>
      <c r="K458" s="3">
        <v>0.5</v>
      </c>
      <c r="L458" s="3">
        <v>3.9</v>
      </c>
      <c r="M458" s="3" t="s">
        <v>35</v>
      </c>
      <c r="N458" s="7" t="s">
        <v>978</v>
      </c>
    </row>
    <row r="459" spans="1:14">
      <c r="A459" s="4" t="s">
        <v>1288</v>
      </c>
      <c r="B459" s="4" t="s">
        <v>1235</v>
      </c>
      <c r="C459" s="4" t="s">
        <v>23</v>
      </c>
      <c r="D459" s="4" t="s">
        <v>39</v>
      </c>
      <c r="E459" s="3" t="str">
        <f t="shared" si="7"/>
        <v>Engineering</v>
      </c>
      <c r="F459" s="4" t="s">
        <v>197</v>
      </c>
      <c r="G459" s="4" t="s">
        <v>214</v>
      </c>
      <c r="H459" s="4" t="s">
        <v>27</v>
      </c>
      <c r="I459" s="4">
        <v>215077</v>
      </c>
      <c r="J459" s="4" t="s">
        <v>1289</v>
      </c>
      <c r="K459" s="4">
        <v>3.3</v>
      </c>
      <c r="L459" s="4">
        <v>4.4000000000000004</v>
      </c>
      <c r="M459" s="4" t="s">
        <v>35</v>
      </c>
      <c r="N459" s="8" t="s">
        <v>240</v>
      </c>
    </row>
    <row r="460" spans="1:14">
      <c r="A460" s="3" t="s">
        <v>1290</v>
      </c>
      <c r="B460" s="3" t="s">
        <v>1291</v>
      </c>
      <c r="C460" s="3" t="s">
        <v>23</v>
      </c>
      <c r="D460" s="3" t="s">
        <v>176</v>
      </c>
      <c r="E460" s="3" t="str">
        <f t="shared" si="7"/>
        <v>Finance</v>
      </c>
      <c r="F460" s="3" t="s">
        <v>229</v>
      </c>
      <c r="G460" s="3" t="s">
        <v>172</v>
      </c>
      <c r="H460" s="3" t="s">
        <v>58</v>
      </c>
      <c r="I460" s="3">
        <v>82647</v>
      </c>
      <c r="J460" s="3" t="s">
        <v>474</v>
      </c>
      <c r="K460" s="3">
        <v>0.9</v>
      </c>
      <c r="L460" s="3">
        <v>1.8</v>
      </c>
      <c r="M460" s="3" t="s">
        <v>42</v>
      </c>
      <c r="N460" s="7" t="s">
        <v>1091</v>
      </c>
    </row>
    <row r="461" spans="1:14">
      <c r="A461" s="4" t="s">
        <v>1292</v>
      </c>
      <c r="B461" s="4" t="s">
        <v>1293</v>
      </c>
      <c r="C461" s="4" t="s">
        <v>62</v>
      </c>
      <c r="D461" s="4" t="s">
        <v>16</v>
      </c>
      <c r="E461" s="3" t="str">
        <f t="shared" si="7"/>
        <v>Devops</v>
      </c>
      <c r="F461" s="4" t="s">
        <v>335</v>
      </c>
      <c r="G461" s="4" t="s">
        <v>214</v>
      </c>
      <c r="H461" s="4" t="s">
        <v>19</v>
      </c>
      <c r="I461" s="4">
        <v>216401</v>
      </c>
      <c r="J461" s="4" t="s">
        <v>899</v>
      </c>
      <c r="K461" s="4">
        <v>4</v>
      </c>
      <c r="L461" s="4">
        <v>3.6</v>
      </c>
      <c r="M461" s="4" t="s">
        <v>42</v>
      </c>
      <c r="N461" s="8" t="s">
        <v>451</v>
      </c>
    </row>
    <row r="462" spans="1:14">
      <c r="A462" s="3" t="s">
        <v>1294</v>
      </c>
      <c r="B462" s="3" t="s">
        <v>1295</v>
      </c>
      <c r="C462" s="3" t="s">
        <v>23</v>
      </c>
      <c r="D462" s="3" t="s">
        <v>16</v>
      </c>
      <c r="E462" s="3" t="str">
        <f t="shared" si="7"/>
        <v>Devops</v>
      </c>
      <c r="F462" s="3" t="s">
        <v>335</v>
      </c>
      <c r="G462" s="3" t="s">
        <v>53</v>
      </c>
      <c r="H462" s="3" t="s">
        <v>19</v>
      </c>
      <c r="I462" s="3">
        <v>114474</v>
      </c>
      <c r="J462" s="3" t="s">
        <v>959</v>
      </c>
      <c r="K462" s="3">
        <v>2.1</v>
      </c>
      <c r="L462" s="3">
        <v>3.3</v>
      </c>
      <c r="M462" s="3" t="s">
        <v>35</v>
      </c>
      <c r="N462" s="7" t="s">
        <v>712</v>
      </c>
    </row>
    <row r="463" spans="1:14">
      <c r="A463" s="4" t="s">
        <v>1296</v>
      </c>
      <c r="B463" s="4" t="s">
        <v>1297</v>
      </c>
      <c r="C463" s="4" t="s">
        <v>83</v>
      </c>
      <c r="D463" s="4" t="s">
        <v>63</v>
      </c>
      <c r="E463" s="3" t="str">
        <f t="shared" si="7"/>
        <v>Product</v>
      </c>
      <c r="F463" s="4" t="s">
        <v>225</v>
      </c>
      <c r="G463" s="4" t="s">
        <v>53</v>
      </c>
      <c r="H463" s="4" t="s">
        <v>33</v>
      </c>
      <c r="I463" s="4">
        <v>100069</v>
      </c>
      <c r="J463" s="4" t="s">
        <v>429</v>
      </c>
      <c r="K463" s="4">
        <v>2.7</v>
      </c>
      <c r="L463" s="4">
        <v>3.6</v>
      </c>
      <c r="M463" s="4" t="s">
        <v>42</v>
      </c>
      <c r="N463" s="8" t="s">
        <v>777</v>
      </c>
    </row>
    <row r="464" spans="1:14">
      <c r="A464" s="3" t="s">
        <v>1298</v>
      </c>
      <c r="B464" s="3" t="s">
        <v>990</v>
      </c>
      <c r="C464" s="3" t="s">
        <v>38</v>
      </c>
      <c r="D464" s="3" t="s">
        <v>24</v>
      </c>
      <c r="E464" s="3" t="str">
        <f t="shared" si="7"/>
        <v>Design</v>
      </c>
      <c r="F464" s="3" t="s">
        <v>94</v>
      </c>
      <c r="G464" s="3" t="s">
        <v>53</v>
      </c>
      <c r="H464" s="3" t="s">
        <v>19</v>
      </c>
      <c r="I464" s="3">
        <v>48237</v>
      </c>
      <c r="J464" s="3" t="s">
        <v>1299</v>
      </c>
      <c r="K464" s="3">
        <v>3.3</v>
      </c>
      <c r="L464" s="3">
        <v>3</v>
      </c>
      <c r="M464" s="3" t="s">
        <v>35</v>
      </c>
      <c r="N464" s="7" t="s">
        <v>343</v>
      </c>
    </row>
    <row r="465" spans="1:14">
      <c r="A465" s="4" t="s">
        <v>1300</v>
      </c>
      <c r="B465" s="4" t="s">
        <v>548</v>
      </c>
      <c r="C465" s="4" t="s">
        <v>57</v>
      </c>
      <c r="D465" s="4" t="s">
        <v>84</v>
      </c>
      <c r="E465" s="3" t="str">
        <f t="shared" si="7"/>
        <v>Hr</v>
      </c>
      <c r="F465" s="4" t="s">
        <v>85</v>
      </c>
      <c r="G465" s="4" t="s">
        <v>18</v>
      </c>
      <c r="H465" s="4" t="s">
        <v>33</v>
      </c>
      <c r="I465" s="4">
        <v>26822</v>
      </c>
      <c r="J465" s="4" t="s">
        <v>1301</v>
      </c>
      <c r="K465" s="4">
        <v>6.7</v>
      </c>
      <c r="L465" s="4">
        <v>5</v>
      </c>
      <c r="M465" s="4" t="s">
        <v>35</v>
      </c>
      <c r="N465" s="8" t="s">
        <v>237</v>
      </c>
    </row>
    <row r="466" spans="1:14">
      <c r="A466" s="3" t="s">
        <v>1302</v>
      </c>
      <c r="B466" s="3" t="s">
        <v>1048</v>
      </c>
      <c r="C466" s="3" t="s">
        <v>57</v>
      </c>
      <c r="D466" s="3" t="s">
        <v>176</v>
      </c>
      <c r="E466" s="3" t="str">
        <f t="shared" si="7"/>
        <v>Finance</v>
      </c>
      <c r="F466" s="3" t="s">
        <v>359</v>
      </c>
      <c r="G466" s="3" t="s">
        <v>114</v>
      </c>
      <c r="H466" s="3" t="s">
        <v>47</v>
      </c>
      <c r="I466" s="3">
        <v>142462</v>
      </c>
      <c r="J466" s="3" t="s">
        <v>491</v>
      </c>
      <c r="K466" s="3">
        <v>4.7</v>
      </c>
      <c r="L466" s="3">
        <v>3.8</v>
      </c>
      <c r="M466" s="3" t="s">
        <v>29</v>
      </c>
      <c r="N466" s="7" t="s">
        <v>825</v>
      </c>
    </row>
    <row r="467" spans="1:14">
      <c r="A467" s="4" t="s">
        <v>1303</v>
      </c>
      <c r="B467" s="4" t="s">
        <v>528</v>
      </c>
      <c r="C467" s="4" t="s">
        <v>38</v>
      </c>
      <c r="D467" s="4" t="s">
        <v>51</v>
      </c>
      <c r="E467" s="3" t="str">
        <f t="shared" si="7"/>
        <v>Sales</v>
      </c>
      <c r="F467" s="4" t="s">
        <v>105</v>
      </c>
      <c r="G467" s="4" t="s">
        <v>18</v>
      </c>
      <c r="H467" s="4" t="s">
        <v>47</v>
      </c>
      <c r="I467" s="4">
        <v>198475</v>
      </c>
      <c r="J467" s="4" t="s">
        <v>1304</v>
      </c>
      <c r="K467" s="4">
        <v>6</v>
      </c>
      <c r="L467" s="4">
        <v>2.8</v>
      </c>
      <c r="M467" s="4" t="s">
        <v>35</v>
      </c>
      <c r="N467" s="8" t="s">
        <v>793</v>
      </c>
    </row>
    <row r="468" spans="1:14">
      <c r="A468" s="3" t="s">
        <v>1305</v>
      </c>
      <c r="B468" s="3" t="s">
        <v>1125</v>
      </c>
      <c r="C468" s="3" t="s">
        <v>15</v>
      </c>
      <c r="D468" s="3" t="s">
        <v>63</v>
      </c>
      <c r="E468" s="3" t="str">
        <f t="shared" si="7"/>
        <v>Product</v>
      </c>
      <c r="F468" s="3" t="s">
        <v>145</v>
      </c>
      <c r="G468" s="3" t="s">
        <v>172</v>
      </c>
      <c r="H468" s="3" t="s">
        <v>19</v>
      </c>
      <c r="I468" s="3">
        <v>173949</v>
      </c>
      <c r="J468" s="3" t="s">
        <v>1306</v>
      </c>
      <c r="K468" s="3">
        <v>5.2</v>
      </c>
      <c r="L468" s="3">
        <v>3.2</v>
      </c>
      <c r="M468" s="3" t="s">
        <v>42</v>
      </c>
      <c r="N468" s="7" t="s">
        <v>615</v>
      </c>
    </row>
    <row r="469" spans="1:14">
      <c r="A469" s="4" t="s">
        <v>1307</v>
      </c>
      <c r="B469" s="4" t="s">
        <v>1308</v>
      </c>
      <c r="C469" s="4" t="s">
        <v>38</v>
      </c>
      <c r="D469" s="4" t="s">
        <v>133</v>
      </c>
      <c r="E469" s="3" t="str">
        <f t="shared" si="7"/>
        <v>Qa</v>
      </c>
      <c r="F469" s="4" t="s">
        <v>134</v>
      </c>
      <c r="G469" s="4" t="s">
        <v>18</v>
      </c>
      <c r="H469" s="4" t="s">
        <v>19</v>
      </c>
      <c r="I469" s="4">
        <v>96853</v>
      </c>
      <c r="J469" s="4" t="s">
        <v>599</v>
      </c>
      <c r="K469" s="4">
        <v>6.6</v>
      </c>
      <c r="L469" s="4">
        <v>3</v>
      </c>
      <c r="M469" s="4" t="s">
        <v>35</v>
      </c>
      <c r="N469" s="8" t="s">
        <v>931</v>
      </c>
    </row>
    <row r="470" spans="1:14">
      <c r="A470" s="3" t="s">
        <v>1309</v>
      </c>
      <c r="B470" s="3" t="s">
        <v>718</v>
      </c>
      <c r="C470" s="3" t="s">
        <v>62</v>
      </c>
      <c r="D470" s="3" t="s">
        <v>39</v>
      </c>
      <c r="E470" s="3" t="str">
        <f t="shared" si="7"/>
        <v>Engineering</v>
      </c>
      <c r="F470" s="3" t="s">
        <v>79</v>
      </c>
      <c r="G470" s="3" t="s">
        <v>18</v>
      </c>
      <c r="H470" s="3" t="s">
        <v>58</v>
      </c>
      <c r="I470" s="3">
        <v>137761</v>
      </c>
      <c r="J470" s="3" t="s">
        <v>1310</v>
      </c>
      <c r="K470" s="3">
        <v>3.4</v>
      </c>
      <c r="L470" s="3">
        <v>4.8</v>
      </c>
      <c r="M470" s="3" t="s">
        <v>42</v>
      </c>
      <c r="N470" s="7" t="s">
        <v>445</v>
      </c>
    </row>
    <row r="471" spans="1:14">
      <c r="A471" s="4" t="s">
        <v>1311</v>
      </c>
      <c r="B471" s="4" t="s">
        <v>1312</v>
      </c>
      <c r="C471" s="4" t="s">
        <v>23</v>
      </c>
      <c r="D471" s="4" t="s">
        <v>63</v>
      </c>
      <c r="E471" s="3" t="str">
        <f t="shared" si="7"/>
        <v>Product</v>
      </c>
      <c r="F471" s="4" t="s">
        <v>225</v>
      </c>
      <c r="G471" s="4" t="s">
        <v>32</v>
      </c>
      <c r="H471" s="4" t="s">
        <v>19</v>
      </c>
      <c r="I471" s="4">
        <v>164890</v>
      </c>
      <c r="J471" s="4" t="s">
        <v>1094</v>
      </c>
      <c r="K471" s="4">
        <v>5.3</v>
      </c>
      <c r="L471" s="4">
        <v>1.5</v>
      </c>
      <c r="M471" s="4" t="s">
        <v>42</v>
      </c>
      <c r="N471" s="8" t="s">
        <v>541</v>
      </c>
    </row>
    <row r="472" spans="1:14">
      <c r="A472" s="3" t="s">
        <v>1313</v>
      </c>
      <c r="B472" s="3" t="s">
        <v>200</v>
      </c>
      <c r="C472" s="3" t="s">
        <v>15</v>
      </c>
      <c r="D472" s="3" t="s">
        <v>176</v>
      </c>
      <c r="E472" s="3" t="str">
        <f t="shared" si="7"/>
        <v>Finance</v>
      </c>
      <c r="F472" s="3" t="s">
        <v>229</v>
      </c>
      <c r="G472" s="3" t="s">
        <v>32</v>
      </c>
      <c r="H472" s="3" t="s">
        <v>19</v>
      </c>
      <c r="I472" s="3">
        <v>118813</v>
      </c>
      <c r="J472" s="3" t="s">
        <v>1314</v>
      </c>
      <c r="K472" s="3">
        <v>4.8</v>
      </c>
      <c r="L472" s="3">
        <v>2.9</v>
      </c>
      <c r="M472" s="3" t="s">
        <v>35</v>
      </c>
      <c r="N472" s="7" t="s">
        <v>624</v>
      </c>
    </row>
    <row r="473" spans="1:14">
      <c r="A473" s="4" t="s">
        <v>1315</v>
      </c>
      <c r="B473" s="4" t="s">
        <v>1134</v>
      </c>
      <c r="C473" s="4" t="s">
        <v>83</v>
      </c>
      <c r="D473" s="4" t="s">
        <v>39</v>
      </c>
      <c r="E473" s="3" t="str">
        <f t="shared" si="7"/>
        <v>Engineering</v>
      </c>
      <c r="F473" s="4" t="s">
        <v>242</v>
      </c>
      <c r="G473" s="4" t="s">
        <v>32</v>
      </c>
      <c r="H473" s="4" t="s">
        <v>27</v>
      </c>
      <c r="I473" s="4">
        <v>99611</v>
      </c>
      <c r="J473" s="4" t="s">
        <v>1316</v>
      </c>
      <c r="K473" s="4">
        <v>6.3</v>
      </c>
      <c r="L473" s="4">
        <v>4.3</v>
      </c>
      <c r="M473" s="4" t="s">
        <v>35</v>
      </c>
      <c r="N473" s="8" t="s">
        <v>395</v>
      </c>
    </row>
    <row r="474" spans="1:14">
      <c r="A474" s="3" t="s">
        <v>1317</v>
      </c>
      <c r="B474" s="3" t="s">
        <v>141</v>
      </c>
      <c r="C474" s="3" t="s">
        <v>83</v>
      </c>
      <c r="D474" s="3" t="s">
        <v>24</v>
      </c>
      <c r="E474" s="3" t="str">
        <f t="shared" si="7"/>
        <v>Design</v>
      </c>
      <c r="F474" s="3" t="s">
        <v>45</v>
      </c>
      <c r="G474" s="3" t="s">
        <v>75</v>
      </c>
      <c r="H474" s="3" t="s">
        <v>47</v>
      </c>
      <c r="I474" s="3">
        <v>110593</v>
      </c>
      <c r="J474" s="3" t="s">
        <v>469</v>
      </c>
      <c r="K474" s="3">
        <v>2.2999999999999998</v>
      </c>
      <c r="L474" s="3">
        <v>2.4</v>
      </c>
      <c r="M474" s="3" t="s">
        <v>35</v>
      </c>
      <c r="N474" s="7" t="s">
        <v>1215</v>
      </c>
    </row>
    <row r="475" spans="1:14">
      <c r="A475" s="4" t="s">
        <v>1318</v>
      </c>
      <c r="B475" s="4" t="s">
        <v>673</v>
      </c>
      <c r="C475" s="4" t="s">
        <v>62</v>
      </c>
      <c r="D475" s="4" t="s">
        <v>24</v>
      </c>
      <c r="E475" s="3" t="str">
        <f t="shared" si="7"/>
        <v>Design</v>
      </c>
      <c r="F475" s="4" t="s">
        <v>45</v>
      </c>
      <c r="G475" s="4" t="s">
        <v>32</v>
      </c>
      <c r="H475" s="4" t="s">
        <v>19</v>
      </c>
      <c r="I475" s="4">
        <v>30296</v>
      </c>
      <c r="J475" s="4" t="s">
        <v>321</v>
      </c>
      <c r="K475" s="4">
        <v>3.4</v>
      </c>
      <c r="L475" s="4">
        <v>2.5</v>
      </c>
      <c r="M475" s="4" t="s">
        <v>35</v>
      </c>
      <c r="N475" s="8" t="s">
        <v>1014</v>
      </c>
    </row>
    <row r="476" spans="1:14">
      <c r="A476" s="3" t="s">
        <v>1319</v>
      </c>
      <c r="B476" s="3" t="s">
        <v>1320</v>
      </c>
      <c r="C476" s="3" t="s">
        <v>38</v>
      </c>
      <c r="D476" s="3" t="s">
        <v>39</v>
      </c>
      <c r="E476" s="3" t="str">
        <f t="shared" si="7"/>
        <v>Engineering</v>
      </c>
      <c r="F476" s="3" t="s">
        <v>40</v>
      </c>
      <c r="G476" s="3" t="s">
        <v>46</v>
      </c>
      <c r="H476" s="3" t="s">
        <v>27</v>
      </c>
      <c r="I476" s="3">
        <v>56834</v>
      </c>
      <c r="J476" s="3" t="s">
        <v>1321</v>
      </c>
      <c r="K476" s="3">
        <v>0.8</v>
      </c>
      <c r="L476" s="3">
        <v>3.2</v>
      </c>
      <c r="M476" s="3" t="s">
        <v>35</v>
      </c>
      <c r="N476" s="7" t="s">
        <v>924</v>
      </c>
    </row>
    <row r="477" spans="1:14">
      <c r="A477" s="4" t="s">
        <v>1322</v>
      </c>
      <c r="B477" s="4" t="s">
        <v>1323</v>
      </c>
      <c r="C477" s="4" t="s">
        <v>57</v>
      </c>
      <c r="D477" s="4" t="s">
        <v>118</v>
      </c>
      <c r="E477" s="3" t="str">
        <f t="shared" si="7"/>
        <v>Marketing</v>
      </c>
      <c r="F477" s="4" t="s">
        <v>119</v>
      </c>
      <c r="G477" s="4" t="s">
        <v>26</v>
      </c>
      <c r="H477" s="4" t="s">
        <v>58</v>
      </c>
      <c r="I477" s="4">
        <v>153967</v>
      </c>
      <c r="J477" s="4" t="s">
        <v>1324</v>
      </c>
      <c r="K477" s="4">
        <v>3.4</v>
      </c>
      <c r="L477" s="4">
        <v>4.3</v>
      </c>
      <c r="M477" s="4" t="s">
        <v>29</v>
      </c>
      <c r="N477" s="8" t="s">
        <v>1095</v>
      </c>
    </row>
    <row r="478" spans="1:14">
      <c r="A478" s="3" t="s">
        <v>1325</v>
      </c>
      <c r="B478" s="3" t="s">
        <v>101</v>
      </c>
      <c r="C478" s="3" t="s">
        <v>83</v>
      </c>
      <c r="D478" s="3" t="s">
        <v>39</v>
      </c>
      <c r="E478" s="3" t="str">
        <f t="shared" si="7"/>
        <v>Engineering</v>
      </c>
      <c r="F478" s="3" t="s">
        <v>242</v>
      </c>
      <c r="G478" s="3" t="s">
        <v>18</v>
      </c>
      <c r="H478" s="3" t="s">
        <v>58</v>
      </c>
      <c r="I478" s="3">
        <v>22135</v>
      </c>
      <c r="J478" s="3" t="s">
        <v>1326</v>
      </c>
      <c r="K478" s="3">
        <v>4.2</v>
      </c>
      <c r="L478" s="3">
        <v>5</v>
      </c>
      <c r="M478" s="3" t="s">
        <v>29</v>
      </c>
      <c r="N478" s="7" t="s">
        <v>790</v>
      </c>
    </row>
    <row r="479" spans="1:14">
      <c r="A479" s="4" t="s">
        <v>1327</v>
      </c>
      <c r="B479" s="4" t="s">
        <v>1328</v>
      </c>
      <c r="C479" s="4" t="s">
        <v>83</v>
      </c>
      <c r="D479" s="4" t="s">
        <v>89</v>
      </c>
      <c r="E479" s="3" t="str">
        <f t="shared" si="7"/>
        <v>Data Science</v>
      </c>
      <c r="F479" s="4" t="s">
        <v>113</v>
      </c>
      <c r="G479" s="4" t="s">
        <v>65</v>
      </c>
      <c r="H479" s="4" t="s">
        <v>19</v>
      </c>
      <c r="I479" s="4">
        <v>155179</v>
      </c>
      <c r="J479" s="4" t="s">
        <v>1329</v>
      </c>
      <c r="K479" s="4">
        <v>1.1000000000000001</v>
      </c>
      <c r="L479" s="4">
        <v>4.7</v>
      </c>
      <c r="M479" s="4" t="s">
        <v>35</v>
      </c>
      <c r="N479" s="8" t="s">
        <v>1040</v>
      </c>
    </row>
    <row r="480" spans="1:14">
      <c r="A480" s="3" t="s">
        <v>1330</v>
      </c>
      <c r="B480" s="3" t="s">
        <v>1194</v>
      </c>
      <c r="C480" s="3" t="s">
        <v>23</v>
      </c>
      <c r="D480" s="3" t="s">
        <v>63</v>
      </c>
      <c r="E480" s="3" t="str">
        <f t="shared" si="7"/>
        <v>Product</v>
      </c>
      <c r="F480" s="3" t="s">
        <v>64</v>
      </c>
      <c r="G480" s="3" t="s">
        <v>214</v>
      </c>
      <c r="H480" s="3" t="s">
        <v>47</v>
      </c>
      <c r="I480" s="3">
        <v>146564</v>
      </c>
      <c r="J480" s="3" t="s">
        <v>1331</v>
      </c>
      <c r="K480" s="3">
        <v>2.6</v>
      </c>
      <c r="L480" s="3">
        <v>4.7</v>
      </c>
      <c r="M480" s="3" t="s">
        <v>35</v>
      </c>
      <c r="N480" s="7" t="s">
        <v>305</v>
      </c>
    </row>
    <row r="481" spans="1:14">
      <c r="A481" s="4" t="s">
        <v>1332</v>
      </c>
      <c r="B481" s="4" t="s">
        <v>137</v>
      </c>
      <c r="C481" s="4" t="s">
        <v>83</v>
      </c>
      <c r="D481" s="4" t="s">
        <v>89</v>
      </c>
      <c r="E481" s="3" t="str">
        <f t="shared" si="7"/>
        <v>Data Science</v>
      </c>
      <c r="F481" s="4" t="s">
        <v>376</v>
      </c>
      <c r="G481" s="4" t="s">
        <v>172</v>
      </c>
      <c r="H481" s="4" t="s">
        <v>27</v>
      </c>
      <c r="I481" s="4">
        <v>100835</v>
      </c>
      <c r="J481" s="4" t="s">
        <v>1333</v>
      </c>
      <c r="K481" s="4">
        <v>6.2</v>
      </c>
      <c r="L481" s="4"/>
      <c r="M481" s="4" t="s">
        <v>29</v>
      </c>
      <c r="N481" s="8" t="s">
        <v>892</v>
      </c>
    </row>
    <row r="482" spans="1:14">
      <c r="A482" s="3" t="s">
        <v>1334</v>
      </c>
      <c r="B482" s="3" t="s">
        <v>1240</v>
      </c>
      <c r="C482" s="3" t="s">
        <v>38</v>
      </c>
      <c r="D482" s="3" t="s">
        <v>118</v>
      </c>
      <c r="E482" s="3" t="str">
        <f t="shared" si="7"/>
        <v>Marketing</v>
      </c>
      <c r="F482" s="3" t="s">
        <v>254</v>
      </c>
      <c r="G482" s="3" t="s">
        <v>65</v>
      </c>
      <c r="H482" s="3" t="s">
        <v>47</v>
      </c>
      <c r="I482" s="3">
        <v>146483</v>
      </c>
      <c r="J482" s="3" t="s">
        <v>1335</v>
      </c>
      <c r="K482" s="3">
        <v>5.5</v>
      </c>
      <c r="L482" s="3">
        <v>3.3</v>
      </c>
      <c r="M482" s="3" t="s">
        <v>35</v>
      </c>
      <c r="N482" s="7" t="s">
        <v>603</v>
      </c>
    </row>
    <row r="483" spans="1:14">
      <c r="A483" s="4" t="s">
        <v>1336</v>
      </c>
      <c r="B483" s="4" t="s">
        <v>344</v>
      </c>
      <c r="C483" s="4" t="s">
        <v>83</v>
      </c>
      <c r="D483" s="4" t="s">
        <v>16</v>
      </c>
      <c r="E483" s="3" t="str">
        <f t="shared" si="7"/>
        <v>Devops</v>
      </c>
      <c r="F483" s="4" t="s">
        <v>335</v>
      </c>
      <c r="G483" s="4" t="s">
        <v>26</v>
      </c>
      <c r="H483" s="4" t="s">
        <v>58</v>
      </c>
      <c r="I483" s="4">
        <v>112854</v>
      </c>
      <c r="J483" s="4" t="s">
        <v>1337</v>
      </c>
      <c r="K483" s="4">
        <v>0.6</v>
      </c>
      <c r="L483" s="4">
        <v>2.8</v>
      </c>
      <c r="M483" s="4" t="s">
        <v>29</v>
      </c>
      <c r="N483" s="8" t="s">
        <v>1102</v>
      </c>
    </row>
    <row r="484" spans="1:14">
      <c r="A484" s="3" t="s">
        <v>1338</v>
      </c>
      <c r="B484" s="3" t="s">
        <v>1251</v>
      </c>
      <c r="C484" s="3" t="s">
        <v>62</v>
      </c>
      <c r="D484" s="3" t="s">
        <v>51</v>
      </c>
      <c r="E484" s="3" t="str">
        <f t="shared" si="7"/>
        <v>Sales</v>
      </c>
      <c r="F484" s="3" t="s">
        <v>69</v>
      </c>
      <c r="G484" s="3" t="s">
        <v>32</v>
      </c>
      <c r="H484" s="3" t="s">
        <v>47</v>
      </c>
      <c r="I484" s="3">
        <v>63037</v>
      </c>
      <c r="J484" s="3" t="s">
        <v>1052</v>
      </c>
      <c r="K484" s="3">
        <v>4.7</v>
      </c>
      <c r="L484" s="3">
        <v>2.5</v>
      </c>
      <c r="M484" s="3" t="s">
        <v>42</v>
      </c>
      <c r="N484" s="7" t="s">
        <v>1258</v>
      </c>
    </row>
    <row r="485" spans="1:14">
      <c r="A485" s="4" t="s">
        <v>1339</v>
      </c>
      <c r="B485" s="4" t="s">
        <v>1340</v>
      </c>
      <c r="C485" s="4" t="s">
        <v>83</v>
      </c>
      <c r="D485" s="4" t="s">
        <v>51</v>
      </c>
      <c r="E485" s="3" t="str">
        <f t="shared" si="7"/>
        <v>Sales</v>
      </c>
      <c r="F485" s="4" t="s">
        <v>69</v>
      </c>
      <c r="G485" s="4" t="s">
        <v>172</v>
      </c>
      <c r="H485" s="4" t="s">
        <v>19</v>
      </c>
      <c r="I485" s="4">
        <v>84413</v>
      </c>
      <c r="J485" s="4" t="s">
        <v>830</v>
      </c>
      <c r="K485" s="4">
        <v>3.7</v>
      </c>
      <c r="L485" s="4">
        <v>4.8</v>
      </c>
      <c r="M485" s="4" t="s">
        <v>29</v>
      </c>
      <c r="N485" s="8" t="s">
        <v>1109</v>
      </c>
    </row>
    <row r="486" spans="1:14">
      <c r="A486" s="3" t="s">
        <v>1341</v>
      </c>
      <c r="B486" s="3" t="s">
        <v>193</v>
      </c>
      <c r="C486" s="3" t="s">
        <v>23</v>
      </c>
      <c r="D486" s="3" t="s">
        <v>493</v>
      </c>
      <c r="E486" s="3" t="str">
        <f t="shared" si="7"/>
        <v>Marketing</v>
      </c>
      <c r="F486" s="3" t="s">
        <v>119</v>
      </c>
      <c r="G486" s="3" t="s">
        <v>46</v>
      </c>
      <c r="H486" s="3" t="s">
        <v>19</v>
      </c>
      <c r="I486" s="3">
        <v>49521</v>
      </c>
      <c r="J486" s="3" t="s">
        <v>1342</v>
      </c>
      <c r="K486" s="3">
        <v>5.2</v>
      </c>
      <c r="L486" s="3">
        <v>1.9</v>
      </c>
      <c r="M486" s="3" t="s">
        <v>35</v>
      </c>
      <c r="N486" s="7" t="s">
        <v>353</v>
      </c>
    </row>
    <row r="487" spans="1:14">
      <c r="A487" s="4" t="s">
        <v>1343</v>
      </c>
      <c r="B487" s="4" t="s">
        <v>1344</v>
      </c>
      <c r="C487" s="4" t="s">
        <v>62</v>
      </c>
      <c r="D487" s="4" t="s">
        <v>558</v>
      </c>
      <c r="E487" s="3" t="str">
        <f t="shared" si="7"/>
        <v>Finance</v>
      </c>
      <c r="F487" s="4" t="s">
        <v>229</v>
      </c>
      <c r="G487" s="4" t="s">
        <v>214</v>
      </c>
      <c r="H487" s="4" t="s">
        <v>27</v>
      </c>
      <c r="I487" s="4">
        <v>61917</v>
      </c>
      <c r="J487" s="4" t="s">
        <v>1345</v>
      </c>
      <c r="K487" s="4">
        <v>1.8</v>
      </c>
      <c r="L487" s="4">
        <v>3.1</v>
      </c>
      <c r="M487" s="4" t="s">
        <v>35</v>
      </c>
      <c r="N487" s="8" t="s">
        <v>154</v>
      </c>
    </row>
    <row r="488" spans="1:14">
      <c r="A488" s="3" t="s">
        <v>1346</v>
      </c>
      <c r="B488" s="3" t="s">
        <v>1347</v>
      </c>
      <c r="C488" s="3" t="s">
        <v>23</v>
      </c>
      <c r="D488" s="3" t="s">
        <v>118</v>
      </c>
      <c r="E488" s="3" t="str">
        <f t="shared" si="7"/>
        <v>Marketing</v>
      </c>
      <c r="F488" s="3" t="s">
        <v>254</v>
      </c>
      <c r="G488" s="3" t="s">
        <v>46</v>
      </c>
      <c r="H488" s="3" t="s">
        <v>19</v>
      </c>
      <c r="I488" s="3">
        <v>206394</v>
      </c>
      <c r="J488" s="3" t="s">
        <v>1348</v>
      </c>
      <c r="K488" s="3">
        <v>2.7</v>
      </c>
      <c r="L488" s="3">
        <v>2.1</v>
      </c>
      <c r="M488" s="3" t="s">
        <v>35</v>
      </c>
      <c r="N488" s="7" t="s">
        <v>348</v>
      </c>
    </row>
    <row r="489" spans="1:14">
      <c r="A489" s="4" t="s">
        <v>1349</v>
      </c>
      <c r="B489" s="4" t="s">
        <v>1257</v>
      </c>
      <c r="C489" s="4" t="s">
        <v>23</v>
      </c>
      <c r="D489" s="4" t="s">
        <v>16</v>
      </c>
      <c r="E489" s="3" t="str">
        <f t="shared" si="7"/>
        <v>Devops</v>
      </c>
      <c r="F489" s="4" t="s">
        <v>17</v>
      </c>
      <c r="G489" s="4" t="s">
        <v>70</v>
      </c>
      <c r="H489" s="4" t="s">
        <v>19</v>
      </c>
      <c r="I489" s="4">
        <v>118199</v>
      </c>
      <c r="J489" s="4" t="s">
        <v>1329</v>
      </c>
      <c r="K489" s="4">
        <v>1.1000000000000001</v>
      </c>
      <c r="L489" s="4">
        <v>4.0999999999999996</v>
      </c>
      <c r="M489" s="4" t="s">
        <v>35</v>
      </c>
      <c r="N489" s="8" t="s">
        <v>771</v>
      </c>
    </row>
    <row r="490" spans="1:14">
      <c r="A490" s="3" t="s">
        <v>1350</v>
      </c>
      <c r="B490" s="3" t="s">
        <v>1351</v>
      </c>
      <c r="C490" s="3" t="s">
        <v>62</v>
      </c>
      <c r="D490" s="3" t="s">
        <v>84</v>
      </c>
      <c r="E490" s="3" t="str">
        <f t="shared" si="7"/>
        <v>Hr</v>
      </c>
      <c r="F490" s="3" t="s">
        <v>85</v>
      </c>
      <c r="G490" s="3" t="s">
        <v>214</v>
      </c>
      <c r="H490" s="3" t="s">
        <v>33</v>
      </c>
      <c r="I490" s="3">
        <v>50943</v>
      </c>
      <c r="J490" s="3" t="s">
        <v>1352</v>
      </c>
      <c r="K490" s="3">
        <v>4.9000000000000004</v>
      </c>
      <c r="L490" s="3">
        <v>3.7</v>
      </c>
      <c r="M490" s="3" t="s">
        <v>35</v>
      </c>
      <c r="N490" s="7" t="s">
        <v>646</v>
      </c>
    </row>
    <row r="491" spans="1:14">
      <c r="A491" s="4" t="s">
        <v>1353</v>
      </c>
      <c r="B491" s="4" t="s">
        <v>137</v>
      </c>
      <c r="C491" s="4" t="s">
        <v>57</v>
      </c>
      <c r="D491" s="4" t="s">
        <v>63</v>
      </c>
      <c r="E491" s="3" t="str">
        <f t="shared" si="7"/>
        <v>Product</v>
      </c>
      <c r="F491" s="4" t="s">
        <v>64</v>
      </c>
      <c r="G491" s="4" t="s">
        <v>172</v>
      </c>
      <c r="H491" s="4" t="s">
        <v>19</v>
      </c>
      <c r="I491" s="4">
        <v>136418</v>
      </c>
      <c r="J491" s="4" t="s">
        <v>1354</v>
      </c>
      <c r="K491" s="4">
        <v>4.5</v>
      </c>
      <c r="L491" s="4">
        <v>4.7</v>
      </c>
      <c r="M491" s="4" t="s">
        <v>35</v>
      </c>
      <c r="N491" s="8" t="s">
        <v>1071</v>
      </c>
    </row>
    <row r="492" spans="1:14">
      <c r="A492" s="3" t="s">
        <v>1355</v>
      </c>
      <c r="B492" s="3" t="s">
        <v>823</v>
      </c>
      <c r="C492" s="3" t="s">
        <v>83</v>
      </c>
      <c r="D492" s="3" t="s">
        <v>51</v>
      </c>
      <c r="E492" s="3" t="str">
        <f t="shared" si="7"/>
        <v>Sales</v>
      </c>
      <c r="F492" s="3" t="s">
        <v>105</v>
      </c>
      <c r="G492" s="3" t="s">
        <v>65</v>
      </c>
      <c r="H492" s="3" t="s">
        <v>19</v>
      </c>
      <c r="I492" s="3">
        <v>180261</v>
      </c>
      <c r="J492" s="3" t="s">
        <v>1356</v>
      </c>
      <c r="K492" s="3">
        <v>3.1</v>
      </c>
      <c r="L492" s="3">
        <v>3.6</v>
      </c>
      <c r="M492" s="3" t="s">
        <v>29</v>
      </c>
      <c r="N492" s="7" t="s">
        <v>538</v>
      </c>
    </row>
    <row r="493" spans="1:14">
      <c r="A493" s="4" t="s">
        <v>1357</v>
      </c>
      <c r="B493" s="4" t="s">
        <v>576</v>
      </c>
      <c r="C493" s="4" t="s">
        <v>62</v>
      </c>
      <c r="D493" s="4" t="s">
        <v>84</v>
      </c>
      <c r="E493" s="3" t="str">
        <f t="shared" si="7"/>
        <v>Hr</v>
      </c>
      <c r="F493" s="4" t="s">
        <v>204</v>
      </c>
      <c r="G493" s="4" t="s">
        <v>32</v>
      </c>
      <c r="H493" s="4" t="s">
        <v>58</v>
      </c>
      <c r="I493" s="4">
        <v>57000</v>
      </c>
      <c r="J493" s="4" t="s">
        <v>1358</v>
      </c>
      <c r="K493" s="4">
        <v>4.7</v>
      </c>
      <c r="L493" s="4">
        <v>3.8</v>
      </c>
      <c r="M493" s="4" t="s">
        <v>29</v>
      </c>
      <c r="N493" s="8" t="s">
        <v>1336</v>
      </c>
    </row>
    <row r="494" spans="1:14">
      <c r="A494" s="3" t="s">
        <v>1359</v>
      </c>
      <c r="B494" s="3" t="s">
        <v>1360</v>
      </c>
      <c r="C494" s="3" t="s">
        <v>62</v>
      </c>
      <c r="D494" s="3" t="s">
        <v>63</v>
      </c>
      <c r="E494" s="3" t="str">
        <f t="shared" si="7"/>
        <v>Product</v>
      </c>
      <c r="F494" s="3" t="s">
        <v>64</v>
      </c>
      <c r="G494" s="3" t="s">
        <v>18</v>
      </c>
      <c r="H494" s="3" t="s">
        <v>19</v>
      </c>
      <c r="I494" s="3">
        <v>103450</v>
      </c>
      <c r="J494" s="3" t="s">
        <v>1361</v>
      </c>
      <c r="K494" s="3">
        <v>5.9</v>
      </c>
      <c r="L494" s="3">
        <v>2.8</v>
      </c>
      <c r="M494" s="3" t="s">
        <v>42</v>
      </c>
      <c r="N494" s="7" t="s">
        <v>140</v>
      </c>
    </row>
    <row r="495" spans="1:14">
      <c r="A495" s="4" t="s">
        <v>1362</v>
      </c>
      <c r="B495" s="4" t="s">
        <v>1363</v>
      </c>
      <c r="C495" s="4" t="s">
        <v>15</v>
      </c>
      <c r="D495" s="4" t="s">
        <v>39</v>
      </c>
      <c r="E495" s="3" t="str">
        <f t="shared" si="7"/>
        <v>Engineering</v>
      </c>
      <c r="F495" s="4" t="s">
        <v>109</v>
      </c>
      <c r="G495" s="4" t="s">
        <v>18</v>
      </c>
      <c r="H495" s="4" t="s">
        <v>58</v>
      </c>
      <c r="I495" s="4">
        <v>173765</v>
      </c>
      <c r="J495" s="4" t="s">
        <v>1364</v>
      </c>
      <c r="K495" s="4">
        <v>3</v>
      </c>
      <c r="L495" s="4">
        <v>4.4000000000000004</v>
      </c>
      <c r="M495" s="4" t="s">
        <v>42</v>
      </c>
      <c r="N495" s="8" t="s">
        <v>1309</v>
      </c>
    </row>
    <row r="496" spans="1:14">
      <c r="A496" s="3" t="s">
        <v>1365</v>
      </c>
      <c r="B496" s="3" t="s">
        <v>1366</v>
      </c>
      <c r="C496" s="3" t="s">
        <v>15</v>
      </c>
      <c r="D496" s="3" t="s">
        <v>24</v>
      </c>
      <c r="E496" s="3" t="str">
        <f t="shared" si="7"/>
        <v>Design</v>
      </c>
      <c r="F496" s="3" t="s">
        <v>74</v>
      </c>
      <c r="G496" s="3" t="s">
        <v>53</v>
      </c>
      <c r="H496" s="3" t="s">
        <v>47</v>
      </c>
      <c r="I496" s="3">
        <v>149673</v>
      </c>
      <c r="J496" s="3" t="s">
        <v>1367</v>
      </c>
      <c r="K496" s="3">
        <v>2.2999999999999998</v>
      </c>
      <c r="L496" s="3">
        <v>3.6</v>
      </c>
      <c r="M496" s="3" t="s">
        <v>35</v>
      </c>
      <c r="N496" s="7" t="s">
        <v>566</v>
      </c>
    </row>
    <row r="497" spans="1:14">
      <c r="A497" s="4" t="s">
        <v>1368</v>
      </c>
      <c r="B497" s="4" t="s">
        <v>756</v>
      </c>
      <c r="C497" s="4" t="s">
        <v>15</v>
      </c>
      <c r="D497" s="4" t="s">
        <v>118</v>
      </c>
      <c r="E497" s="3" t="str">
        <f t="shared" si="7"/>
        <v>Marketing</v>
      </c>
      <c r="F497" s="4" t="s">
        <v>254</v>
      </c>
      <c r="G497" s="4" t="s">
        <v>114</v>
      </c>
      <c r="H497" s="4" t="s">
        <v>33</v>
      </c>
      <c r="I497" s="4">
        <v>201186</v>
      </c>
      <c r="J497" s="4" t="s">
        <v>1369</v>
      </c>
      <c r="K497" s="4">
        <v>5.0999999999999996</v>
      </c>
      <c r="L497" s="4">
        <v>4.7</v>
      </c>
      <c r="M497" s="4" t="s">
        <v>35</v>
      </c>
      <c r="N497" s="8" t="s">
        <v>498</v>
      </c>
    </row>
    <row r="498" spans="1:14">
      <c r="A498" s="3" t="s">
        <v>1370</v>
      </c>
      <c r="B498" s="3" t="s">
        <v>289</v>
      </c>
      <c r="C498" s="3" t="s">
        <v>23</v>
      </c>
      <c r="D498" s="3" t="s">
        <v>16</v>
      </c>
      <c r="E498" s="3" t="str">
        <f t="shared" si="7"/>
        <v>Devops</v>
      </c>
      <c r="F498" s="3" t="s">
        <v>17</v>
      </c>
      <c r="G498" s="3" t="s">
        <v>53</v>
      </c>
      <c r="H498" s="3" t="s">
        <v>47</v>
      </c>
      <c r="I498" s="3">
        <v>168866</v>
      </c>
      <c r="J498" s="3" t="s">
        <v>1371</v>
      </c>
      <c r="K498" s="3">
        <v>3.1</v>
      </c>
      <c r="L498" s="3">
        <v>2.4</v>
      </c>
      <c r="M498" s="3" t="s">
        <v>35</v>
      </c>
      <c r="N498" s="7" t="s">
        <v>844</v>
      </c>
    </row>
    <row r="499" spans="1:14">
      <c r="A499" s="4" t="s">
        <v>1372</v>
      </c>
      <c r="B499" s="4" t="s">
        <v>1373</v>
      </c>
      <c r="C499" s="4" t="s">
        <v>15</v>
      </c>
      <c r="D499" s="4" t="s">
        <v>24</v>
      </c>
      <c r="E499" s="3" t="str">
        <f t="shared" si="7"/>
        <v>Design</v>
      </c>
      <c r="F499" s="4" t="s">
        <v>74</v>
      </c>
      <c r="G499" s="4" t="s">
        <v>46</v>
      </c>
      <c r="H499" s="4" t="s">
        <v>19</v>
      </c>
      <c r="I499" s="4">
        <v>149503</v>
      </c>
      <c r="J499" s="4" t="s">
        <v>1374</v>
      </c>
      <c r="K499" s="4">
        <v>4.2</v>
      </c>
      <c r="L499" s="4">
        <v>2.4</v>
      </c>
      <c r="M499" s="4" t="s">
        <v>35</v>
      </c>
      <c r="N499" s="8" t="s">
        <v>916</v>
      </c>
    </row>
    <row r="500" spans="1:14">
      <c r="A500" s="3" t="s">
        <v>1375</v>
      </c>
      <c r="B500" s="3" t="s">
        <v>1376</v>
      </c>
      <c r="C500" s="3" t="s">
        <v>57</v>
      </c>
      <c r="D500" s="3" t="s">
        <v>24</v>
      </c>
      <c r="E500" s="3" t="str">
        <f t="shared" si="7"/>
        <v>Design</v>
      </c>
      <c r="F500" s="3" t="s">
        <v>45</v>
      </c>
      <c r="G500" s="3" t="s">
        <v>70</v>
      </c>
      <c r="H500" s="3" t="s">
        <v>19</v>
      </c>
      <c r="I500" s="3">
        <v>58907</v>
      </c>
      <c r="J500" s="3" t="s">
        <v>1377</v>
      </c>
      <c r="K500" s="3">
        <v>3.9</v>
      </c>
      <c r="L500" s="3"/>
      <c r="M500" s="3" t="s">
        <v>29</v>
      </c>
      <c r="N500" s="7" t="s">
        <v>1343</v>
      </c>
    </row>
    <row r="501" spans="1:14">
      <c r="A501" s="4" t="s">
        <v>1378</v>
      </c>
      <c r="B501" s="4" t="s">
        <v>1188</v>
      </c>
      <c r="C501" s="4" t="s">
        <v>62</v>
      </c>
      <c r="D501" s="4" t="s">
        <v>84</v>
      </c>
      <c r="E501" s="3" t="str">
        <f t="shared" si="7"/>
        <v>Hr</v>
      </c>
      <c r="F501" s="4" t="s">
        <v>138</v>
      </c>
      <c r="G501" s="4" t="s">
        <v>53</v>
      </c>
      <c r="H501" s="4" t="s">
        <v>33</v>
      </c>
      <c r="I501" s="4">
        <v>64161</v>
      </c>
      <c r="J501" s="4" t="s">
        <v>1379</v>
      </c>
      <c r="K501" s="4">
        <v>2.4</v>
      </c>
      <c r="L501" s="4">
        <v>1.5</v>
      </c>
      <c r="M501" s="4" t="s">
        <v>35</v>
      </c>
      <c r="N501" s="8" t="s">
        <v>157</v>
      </c>
    </row>
    <row r="502" spans="1:14">
      <c r="A502" s="3" t="s">
        <v>1380</v>
      </c>
      <c r="B502" s="3" t="s">
        <v>1283</v>
      </c>
      <c r="C502" s="3" t="s">
        <v>83</v>
      </c>
      <c r="D502" s="3" t="s">
        <v>16</v>
      </c>
      <c r="E502" s="3" t="str">
        <f t="shared" si="7"/>
        <v>Devops</v>
      </c>
      <c r="F502" s="3" t="s">
        <v>335</v>
      </c>
      <c r="G502" s="3" t="s">
        <v>26</v>
      </c>
      <c r="H502" s="3" t="s">
        <v>47</v>
      </c>
      <c r="I502" s="3">
        <v>125313</v>
      </c>
      <c r="J502" s="3" t="s">
        <v>1381</v>
      </c>
      <c r="K502" s="3">
        <v>1.9</v>
      </c>
      <c r="L502" s="3">
        <v>1.6</v>
      </c>
      <c r="M502" s="3" t="s">
        <v>35</v>
      </c>
      <c r="N502" s="7" t="s">
        <v>898</v>
      </c>
    </row>
    <row r="503" spans="1:14">
      <c r="A503" s="4" t="s">
        <v>1382</v>
      </c>
      <c r="B503" s="4" t="s">
        <v>1383</v>
      </c>
      <c r="C503" s="4" t="s">
        <v>83</v>
      </c>
      <c r="D503" s="4" t="s">
        <v>51</v>
      </c>
      <c r="E503" s="3" t="str">
        <f t="shared" si="7"/>
        <v>Sales</v>
      </c>
      <c r="F503" s="4" t="s">
        <v>69</v>
      </c>
      <c r="G503" s="4" t="s">
        <v>65</v>
      </c>
      <c r="H503" s="4" t="s">
        <v>33</v>
      </c>
      <c r="I503" s="4">
        <v>165096</v>
      </c>
      <c r="J503" s="4" t="s">
        <v>1384</v>
      </c>
      <c r="K503" s="4">
        <v>2.8</v>
      </c>
      <c r="L503" s="4">
        <v>4.9000000000000004</v>
      </c>
      <c r="M503" s="4" t="s">
        <v>42</v>
      </c>
      <c r="N503" s="8" t="s">
        <v>569</v>
      </c>
    </row>
    <row r="504" spans="1:14">
      <c r="A504" s="3" t="s">
        <v>1385</v>
      </c>
      <c r="B504" s="3" t="s">
        <v>1386</v>
      </c>
      <c r="C504" s="3" t="s">
        <v>15</v>
      </c>
      <c r="D504" s="3" t="s">
        <v>39</v>
      </c>
      <c r="E504" s="3" t="str">
        <f t="shared" si="7"/>
        <v>Engineering</v>
      </c>
      <c r="F504" s="3" t="s">
        <v>242</v>
      </c>
      <c r="G504" s="3" t="s">
        <v>70</v>
      </c>
      <c r="H504" s="3" t="s">
        <v>33</v>
      </c>
      <c r="I504" s="3">
        <v>87117</v>
      </c>
      <c r="J504" s="3" t="s">
        <v>1387</v>
      </c>
      <c r="K504" s="3">
        <v>2.8</v>
      </c>
      <c r="L504" s="3">
        <v>3.1</v>
      </c>
      <c r="M504" s="3" t="s">
        <v>35</v>
      </c>
      <c r="N504" s="7" t="s">
        <v>1229</v>
      </c>
    </row>
    <row r="505" spans="1:14">
      <c r="A505" s="4" t="s">
        <v>1388</v>
      </c>
      <c r="B505" s="4" t="s">
        <v>1209</v>
      </c>
      <c r="C505" s="4" t="s">
        <v>23</v>
      </c>
      <c r="D505" s="4" t="s">
        <v>89</v>
      </c>
      <c r="E505" s="3" t="str">
        <f t="shared" si="7"/>
        <v>Data Science</v>
      </c>
      <c r="F505" s="4" t="s">
        <v>221</v>
      </c>
      <c r="G505" s="4" t="s">
        <v>214</v>
      </c>
      <c r="H505" s="4" t="s">
        <v>58</v>
      </c>
      <c r="I505" s="4">
        <v>29849</v>
      </c>
      <c r="J505" s="4" t="s">
        <v>1389</v>
      </c>
      <c r="K505" s="4">
        <v>7</v>
      </c>
      <c r="L505" s="4">
        <v>2.6</v>
      </c>
      <c r="M505" s="4" t="s">
        <v>35</v>
      </c>
      <c r="N505" s="8" t="s">
        <v>1163</v>
      </c>
    </row>
    <row r="506" spans="1:14">
      <c r="A506" s="3" t="s">
        <v>1390</v>
      </c>
      <c r="B506" s="3" t="s">
        <v>1391</v>
      </c>
      <c r="C506" s="3" t="s">
        <v>57</v>
      </c>
      <c r="D506" s="3" t="s">
        <v>503</v>
      </c>
      <c r="E506" s="3" t="str">
        <f t="shared" si="7"/>
        <v>Data Science</v>
      </c>
      <c r="F506" s="3" t="s">
        <v>221</v>
      </c>
      <c r="G506" s="3" t="s">
        <v>46</v>
      </c>
      <c r="H506" s="3" t="s">
        <v>47</v>
      </c>
      <c r="I506" s="3">
        <v>160001</v>
      </c>
      <c r="J506" s="3" t="s">
        <v>1392</v>
      </c>
      <c r="K506" s="3">
        <v>6.7</v>
      </c>
      <c r="L506" s="3">
        <v>4.4000000000000004</v>
      </c>
      <c r="M506" s="3" t="s">
        <v>35</v>
      </c>
      <c r="N506" s="7" t="s">
        <v>1346</v>
      </c>
    </row>
    <row r="507" spans="1:14">
      <c r="A507" s="4" t="s">
        <v>1393</v>
      </c>
      <c r="B507" s="4" t="s">
        <v>196</v>
      </c>
      <c r="C507" s="4" t="s">
        <v>23</v>
      </c>
      <c r="D507" s="4" t="s">
        <v>89</v>
      </c>
      <c r="E507" s="3" t="str">
        <f t="shared" si="7"/>
        <v>Data Science</v>
      </c>
      <c r="F507" s="4" t="s">
        <v>90</v>
      </c>
      <c r="G507" s="4" t="s">
        <v>53</v>
      </c>
      <c r="H507" s="4" t="s">
        <v>47</v>
      </c>
      <c r="I507" s="4">
        <v>194497</v>
      </c>
      <c r="J507" s="4" t="s">
        <v>1394</v>
      </c>
      <c r="K507" s="4">
        <v>5.2</v>
      </c>
      <c r="L507" s="4">
        <v>1.5</v>
      </c>
      <c r="M507" s="4" t="s">
        <v>35</v>
      </c>
      <c r="N507" s="8" t="s">
        <v>1062</v>
      </c>
    </row>
    <row r="508" spans="1:14">
      <c r="A508" s="3" t="s">
        <v>1395</v>
      </c>
      <c r="B508" s="3" t="s">
        <v>1396</v>
      </c>
      <c r="C508" s="3" t="s">
        <v>15</v>
      </c>
      <c r="D508" s="3" t="s">
        <v>16</v>
      </c>
      <c r="E508" s="3" t="str">
        <f t="shared" si="7"/>
        <v>Devops</v>
      </c>
      <c r="F508" s="3" t="s">
        <v>335</v>
      </c>
      <c r="G508" s="3" t="s">
        <v>65</v>
      </c>
      <c r="H508" s="3" t="s">
        <v>19</v>
      </c>
      <c r="I508" s="3">
        <v>40509</v>
      </c>
      <c r="J508" s="3" t="s">
        <v>1397</v>
      </c>
      <c r="K508" s="3">
        <v>6.4</v>
      </c>
      <c r="L508" s="3">
        <v>4.5</v>
      </c>
      <c r="M508" s="3" t="s">
        <v>35</v>
      </c>
      <c r="N508" s="7" t="s">
        <v>703</v>
      </c>
    </row>
    <row r="509" spans="1:14">
      <c r="A509" s="4" t="s">
        <v>1398</v>
      </c>
      <c r="B509" s="4" t="s">
        <v>548</v>
      </c>
      <c r="C509" s="4" t="s">
        <v>15</v>
      </c>
      <c r="D509" s="4" t="s">
        <v>89</v>
      </c>
      <c r="E509" s="3" t="str">
        <f t="shared" si="7"/>
        <v>Data Science</v>
      </c>
      <c r="F509" s="4" t="s">
        <v>221</v>
      </c>
      <c r="G509" s="4" t="s">
        <v>26</v>
      </c>
      <c r="H509" s="4" t="s">
        <v>58</v>
      </c>
      <c r="I509" s="4">
        <v>72377</v>
      </c>
      <c r="J509" s="4" t="s">
        <v>656</v>
      </c>
      <c r="K509" s="4">
        <v>5.7</v>
      </c>
      <c r="L509" s="4">
        <v>4.4000000000000004</v>
      </c>
      <c r="M509" s="4" t="s">
        <v>42</v>
      </c>
      <c r="N509" s="8" t="s">
        <v>1239</v>
      </c>
    </row>
    <row r="510" spans="1:14">
      <c r="A510" s="3" t="s">
        <v>1399</v>
      </c>
      <c r="B510" s="3" t="s">
        <v>1400</v>
      </c>
      <c r="C510" s="3" t="s">
        <v>62</v>
      </c>
      <c r="D510" s="3" t="s">
        <v>89</v>
      </c>
      <c r="E510" s="3" t="str">
        <f t="shared" si="7"/>
        <v>Data Science</v>
      </c>
      <c r="F510" s="3" t="s">
        <v>376</v>
      </c>
      <c r="G510" s="3" t="s">
        <v>18</v>
      </c>
      <c r="H510" s="3" t="s">
        <v>33</v>
      </c>
      <c r="I510" s="3">
        <v>205877</v>
      </c>
      <c r="J510" s="3" t="s">
        <v>1401</v>
      </c>
      <c r="K510" s="3">
        <v>2.7</v>
      </c>
      <c r="L510" s="3">
        <v>3.4</v>
      </c>
      <c r="M510" s="3" t="s">
        <v>35</v>
      </c>
      <c r="N510" s="7" t="s">
        <v>946</v>
      </c>
    </row>
    <row r="511" spans="1:14">
      <c r="A511" s="4" t="s">
        <v>1402</v>
      </c>
      <c r="B511" s="4" t="s">
        <v>1403</v>
      </c>
      <c r="C511" s="4" t="s">
        <v>38</v>
      </c>
      <c r="D511" s="4" t="s">
        <v>16</v>
      </c>
      <c r="E511" s="3" t="str">
        <f t="shared" si="7"/>
        <v>Devops</v>
      </c>
      <c r="F511" s="4" t="s">
        <v>123</v>
      </c>
      <c r="G511" s="4" t="s">
        <v>26</v>
      </c>
      <c r="H511" s="4" t="s">
        <v>27</v>
      </c>
      <c r="I511" s="4">
        <v>116998</v>
      </c>
      <c r="J511" s="4" t="s">
        <v>1404</v>
      </c>
      <c r="K511" s="4">
        <v>1.2</v>
      </c>
      <c r="L511" s="4">
        <v>3.1</v>
      </c>
      <c r="M511" s="4" t="s">
        <v>29</v>
      </c>
      <c r="N511" s="8" t="s">
        <v>847</v>
      </c>
    </row>
    <row r="512" spans="1:14">
      <c r="A512" s="3" t="s">
        <v>1405</v>
      </c>
      <c r="B512" s="3" t="s">
        <v>389</v>
      </c>
      <c r="C512" s="3" t="s">
        <v>57</v>
      </c>
      <c r="D512" s="3" t="s">
        <v>89</v>
      </c>
      <c r="E512" s="3" t="str">
        <f t="shared" si="7"/>
        <v>Data Science</v>
      </c>
      <c r="F512" s="3" t="s">
        <v>221</v>
      </c>
      <c r="G512" s="3" t="s">
        <v>114</v>
      </c>
      <c r="H512" s="3" t="s">
        <v>19</v>
      </c>
      <c r="I512" s="3">
        <v>156685</v>
      </c>
      <c r="J512" s="3" t="s">
        <v>1406</v>
      </c>
      <c r="K512" s="3">
        <v>5</v>
      </c>
      <c r="L512" s="3">
        <v>2.4</v>
      </c>
      <c r="M512" s="3" t="s">
        <v>29</v>
      </c>
      <c r="N512" s="7" t="s">
        <v>358</v>
      </c>
    </row>
    <row r="513" spans="1:14">
      <c r="A513" s="4" t="s">
        <v>1407</v>
      </c>
      <c r="B513" s="4" t="s">
        <v>1408</v>
      </c>
      <c r="C513" s="4" t="s">
        <v>57</v>
      </c>
      <c r="D513" s="4" t="s">
        <v>118</v>
      </c>
      <c r="E513" s="3" t="str">
        <f t="shared" si="7"/>
        <v>Marketing</v>
      </c>
      <c r="F513" s="4" t="s">
        <v>119</v>
      </c>
      <c r="G513" s="4" t="s">
        <v>53</v>
      </c>
      <c r="H513" s="4" t="s">
        <v>58</v>
      </c>
      <c r="I513" s="4">
        <v>85256</v>
      </c>
      <c r="J513" s="4" t="s">
        <v>1409</v>
      </c>
      <c r="K513" s="4">
        <v>3</v>
      </c>
      <c r="L513" s="4"/>
      <c r="M513" s="4" t="s">
        <v>35</v>
      </c>
      <c r="N513" s="8" t="s">
        <v>1237</v>
      </c>
    </row>
    <row r="514" spans="1:14">
      <c r="A514" s="3" t="s">
        <v>1410</v>
      </c>
      <c r="B514" s="3" t="s">
        <v>1274</v>
      </c>
      <c r="C514" s="3" t="s">
        <v>57</v>
      </c>
      <c r="D514" s="3" t="s">
        <v>16</v>
      </c>
      <c r="E514" s="3" t="str">
        <f t="shared" si="7"/>
        <v>Devops</v>
      </c>
      <c r="F514" s="3" t="s">
        <v>335</v>
      </c>
      <c r="G514" s="3" t="s">
        <v>172</v>
      </c>
      <c r="H514" s="3" t="s">
        <v>19</v>
      </c>
      <c r="I514" s="3">
        <v>108108</v>
      </c>
      <c r="J514" s="3" t="s">
        <v>106</v>
      </c>
      <c r="K514" s="3">
        <v>1.2</v>
      </c>
      <c r="L514" s="3">
        <v>2.5</v>
      </c>
      <c r="M514" s="3" t="s">
        <v>29</v>
      </c>
      <c r="N514" s="7" t="s">
        <v>547</v>
      </c>
    </row>
    <row r="515" spans="1:14">
      <c r="A515" s="4" t="s">
        <v>1411</v>
      </c>
      <c r="B515" s="4" t="s">
        <v>958</v>
      </c>
      <c r="C515" s="4" t="s">
        <v>57</v>
      </c>
      <c r="D515" s="4" t="s">
        <v>63</v>
      </c>
      <c r="E515" s="3" t="str">
        <f t="shared" ref="E515:E578" si="8">PROPER(D515)</f>
        <v>Product</v>
      </c>
      <c r="F515" s="4" t="s">
        <v>145</v>
      </c>
      <c r="G515" s="4" t="s">
        <v>172</v>
      </c>
      <c r="H515" s="4" t="s">
        <v>19</v>
      </c>
      <c r="I515" s="4">
        <v>34105</v>
      </c>
      <c r="J515" s="4" t="s">
        <v>1412</v>
      </c>
      <c r="K515" s="4">
        <v>3.3</v>
      </c>
      <c r="L515" s="4">
        <v>2.5</v>
      </c>
      <c r="M515" s="4" t="s">
        <v>42</v>
      </c>
      <c r="N515" s="8" t="s">
        <v>572</v>
      </c>
    </row>
    <row r="516" spans="1:14">
      <c r="A516" s="3" t="s">
        <v>1413</v>
      </c>
      <c r="B516" s="3" t="s">
        <v>1414</v>
      </c>
      <c r="C516" s="3" t="s">
        <v>38</v>
      </c>
      <c r="D516" s="3" t="s">
        <v>24</v>
      </c>
      <c r="E516" s="3" t="str">
        <f t="shared" si="8"/>
        <v>Design</v>
      </c>
      <c r="F516" s="3" t="s">
        <v>45</v>
      </c>
      <c r="G516" s="3" t="s">
        <v>32</v>
      </c>
      <c r="H516" s="3" t="s">
        <v>47</v>
      </c>
      <c r="I516" s="3">
        <v>126814</v>
      </c>
      <c r="J516" s="3" t="s">
        <v>1415</v>
      </c>
      <c r="K516" s="3">
        <v>4.5</v>
      </c>
      <c r="L516" s="3">
        <v>3.8</v>
      </c>
      <c r="M516" s="3" t="s">
        <v>29</v>
      </c>
      <c r="N516" s="7" t="s">
        <v>271</v>
      </c>
    </row>
    <row r="517" spans="1:14">
      <c r="A517" s="4" t="s">
        <v>1416</v>
      </c>
      <c r="B517" s="4" t="s">
        <v>364</v>
      </c>
      <c r="C517" s="4" t="s">
        <v>83</v>
      </c>
      <c r="D517" s="4" t="s">
        <v>89</v>
      </c>
      <c r="E517" s="3" t="str">
        <f t="shared" si="8"/>
        <v>Data Science</v>
      </c>
      <c r="F517" s="4" t="s">
        <v>90</v>
      </c>
      <c r="G517" s="4" t="s">
        <v>26</v>
      </c>
      <c r="H517" s="4" t="s">
        <v>58</v>
      </c>
      <c r="I517" s="4">
        <v>138017</v>
      </c>
      <c r="J517" s="4" t="s">
        <v>1417</v>
      </c>
      <c r="K517" s="4">
        <v>3.6</v>
      </c>
      <c r="L517" s="4">
        <v>2.6</v>
      </c>
      <c r="M517" s="4" t="s">
        <v>29</v>
      </c>
      <c r="N517" s="8" t="s">
        <v>825</v>
      </c>
    </row>
    <row r="518" spans="1:14">
      <c r="A518" s="3" t="s">
        <v>1418</v>
      </c>
      <c r="B518" s="3" t="s">
        <v>1419</v>
      </c>
      <c r="C518" s="3" t="s">
        <v>23</v>
      </c>
      <c r="D518" s="3" t="s">
        <v>133</v>
      </c>
      <c r="E518" s="3" t="str">
        <f t="shared" si="8"/>
        <v>Qa</v>
      </c>
      <c r="F518" s="3" t="s">
        <v>486</v>
      </c>
      <c r="G518" s="3" t="s">
        <v>65</v>
      </c>
      <c r="H518" s="3" t="s">
        <v>58</v>
      </c>
      <c r="I518" s="3">
        <v>117892</v>
      </c>
      <c r="J518" s="3" t="s">
        <v>1420</v>
      </c>
      <c r="K518" s="3">
        <v>0.7</v>
      </c>
      <c r="L518" s="3">
        <v>5</v>
      </c>
      <c r="M518" s="3" t="s">
        <v>42</v>
      </c>
      <c r="N518" s="7" t="s">
        <v>299</v>
      </c>
    </row>
    <row r="519" spans="1:14">
      <c r="A519" s="4" t="s">
        <v>1421</v>
      </c>
      <c r="B519" s="4" t="s">
        <v>220</v>
      </c>
      <c r="C519" s="4" t="s">
        <v>83</v>
      </c>
      <c r="D519" s="4" t="s">
        <v>176</v>
      </c>
      <c r="E519" s="3" t="str">
        <f t="shared" si="8"/>
        <v>Finance</v>
      </c>
      <c r="F519" s="4" t="s">
        <v>177</v>
      </c>
      <c r="G519" s="4" t="s">
        <v>65</v>
      </c>
      <c r="H519" s="4" t="s">
        <v>27</v>
      </c>
      <c r="I519" s="4">
        <v>104042</v>
      </c>
      <c r="J519" s="4" t="s">
        <v>1422</v>
      </c>
      <c r="K519" s="4">
        <v>6.4</v>
      </c>
      <c r="L519" s="4">
        <v>4.4000000000000004</v>
      </c>
      <c r="M519" s="4" t="s">
        <v>29</v>
      </c>
      <c r="N519" s="8" t="s">
        <v>299</v>
      </c>
    </row>
    <row r="520" spans="1:14">
      <c r="A520" s="3" t="s">
        <v>1423</v>
      </c>
      <c r="B520" s="3" t="s">
        <v>44</v>
      </c>
      <c r="C520" s="3" t="s">
        <v>15</v>
      </c>
      <c r="D520" s="3" t="s">
        <v>51</v>
      </c>
      <c r="E520" s="3" t="str">
        <f t="shared" si="8"/>
        <v>Sales</v>
      </c>
      <c r="F520" s="3" t="s">
        <v>52</v>
      </c>
      <c r="G520" s="3" t="s">
        <v>46</v>
      </c>
      <c r="H520" s="3" t="s">
        <v>33</v>
      </c>
      <c r="I520" s="3">
        <v>114335</v>
      </c>
      <c r="J520" s="3" t="s">
        <v>1424</v>
      </c>
      <c r="K520" s="3">
        <v>1.8</v>
      </c>
      <c r="L520" s="3">
        <v>4.4000000000000004</v>
      </c>
      <c r="M520" s="3" t="s">
        <v>35</v>
      </c>
      <c r="N520" s="7" t="s">
        <v>560</v>
      </c>
    </row>
    <row r="521" spans="1:14">
      <c r="A521" s="4" t="s">
        <v>1425</v>
      </c>
      <c r="B521" s="4" t="s">
        <v>1060</v>
      </c>
      <c r="C521" s="4" t="s">
        <v>15</v>
      </c>
      <c r="D521" s="4" t="s">
        <v>39</v>
      </c>
      <c r="E521" s="3" t="str">
        <f t="shared" si="8"/>
        <v>Engineering</v>
      </c>
      <c r="F521" s="4" t="s">
        <v>242</v>
      </c>
      <c r="G521" s="4" t="s">
        <v>53</v>
      </c>
      <c r="H521" s="4" t="s">
        <v>19</v>
      </c>
      <c r="I521" s="4">
        <v>215689</v>
      </c>
      <c r="J521" s="4" t="s">
        <v>1426</v>
      </c>
      <c r="K521" s="4">
        <v>0.8</v>
      </c>
      <c r="L521" s="4">
        <v>5</v>
      </c>
      <c r="M521" s="4" t="s">
        <v>35</v>
      </c>
      <c r="N521" s="8" t="s">
        <v>808</v>
      </c>
    </row>
    <row r="522" spans="1:14">
      <c r="A522" s="3" t="s">
        <v>1427</v>
      </c>
      <c r="B522" s="3" t="s">
        <v>715</v>
      </c>
      <c r="C522" s="3" t="s">
        <v>83</v>
      </c>
      <c r="D522" s="3" t="s">
        <v>24</v>
      </c>
      <c r="E522" s="3" t="str">
        <f t="shared" si="8"/>
        <v>Design</v>
      </c>
      <c r="F522" s="3" t="s">
        <v>74</v>
      </c>
      <c r="G522" s="3" t="s">
        <v>75</v>
      </c>
      <c r="H522" s="3" t="s">
        <v>19</v>
      </c>
      <c r="I522" s="3">
        <v>29861</v>
      </c>
      <c r="J522" s="3" t="s">
        <v>1428</v>
      </c>
      <c r="K522" s="3">
        <v>6.1</v>
      </c>
      <c r="L522" s="3">
        <v>4.0999999999999996</v>
      </c>
      <c r="M522" s="3" t="s">
        <v>29</v>
      </c>
      <c r="N522" s="7" t="s">
        <v>1208</v>
      </c>
    </row>
    <row r="523" spans="1:14">
      <c r="A523" s="4" t="s">
        <v>1429</v>
      </c>
      <c r="B523" s="4" t="s">
        <v>879</v>
      </c>
      <c r="C523" s="4" t="s">
        <v>83</v>
      </c>
      <c r="D523" s="4" t="s">
        <v>118</v>
      </c>
      <c r="E523" s="3" t="str">
        <f t="shared" si="8"/>
        <v>Marketing</v>
      </c>
      <c r="F523" s="4" t="s">
        <v>119</v>
      </c>
      <c r="G523" s="4" t="s">
        <v>32</v>
      </c>
      <c r="H523" s="4" t="s">
        <v>58</v>
      </c>
      <c r="I523" s="4">
        <v>146001</v>
      </c>
      <c r="J523" s="4" t="s">
        <v>1430</v>
      </c>
      <c r="K523" s="4">
        <v>1.8</v>
      </c>
      <c r="L523" s="4">
        <v>3.8</v>
      </c>
      <c r="M523" s="4" t="s">
        <v>35</v>
      </c>
      <c r="N523" s="8" t="s">
        <v>847</v>
      </c>
    </row>
    <row r="524" spans="1:14">
      <c r="A524" s="3" t="s">
        <v>1431</v>
      </c>
      <c r="B524" s="3" t="s">
        <v>104</v>
      </c>
      <c r="C524" s="3" t="s">
        <v>38</v>
      </c>
      <c r="D524" s="3" t="s">
        <v>89</v>
      </c>
      <c r="E524" s="3" t="str">
        <f t="shared" si="8"/>
        <v>Data Science</v>
      </c>
      <c r="F524" s="3" t="s">
        <v>376</v>
      </c>
      <c r="G524" s="3" t="s">
        <v>172</v>
      </c>
      <c r="H524" s="3" t="s">
        <v>27</v>
      </c>
      <c r="I524" s="3">
        <v>34716</v>
      </c>
      <c r="J524" s="3" t="s">
        <v>1432</v>
      </c>
      <c r="K524" s="3">
        <v>5.5</v>
      </c>
      <c r="L524" s="3">
        <v>4.3</v>
      </c>
      <c r="M524" s="3" t="s">
        <v>35</v>
      </c>
      <c r="N524" s="7" t="s">
        <v>694</v>
      </c>
    </row>
    <row r="525" spans="1:14">
      <c r="A525" s="4" t="s">
        <v>1433</v>
      </c>
      <c r="B525" s="4" t="s">
        <v>1434</v>
      </c>
      <c r="C525" s="4" t="s">
        <v>38</v>
      </c>
      <c r="D525" s="4" t="s">
        <v>16</v>
      </c>
      <c r="E525" s="3" t="str">
        <f t="shared" si="8"/>
        <v>Devops</v>
      </c>
      <c r="F525" s="4" t="s">
        <v>17</v>
      </c>
      <c r="G525" s="4" t="s">
        <v>46</v>
      </c>
      <c r="H525" s="4" t="s">
        <v>19</v>
      </c>
      <c r="I525" s="4">
        <v>125364</v>
      </c>
      <c r="J525" s="4" t="s">
        <v>1435</v>
      </c>
      <c r="K525" s="4">
        <v>0.5</v>
      </c>
      <c r="L525" s="4">
        <v>3.9</v>
      </c>
      <c r="M525" s="4" t="s">
        <v>35</v>
      </c>
      <c r="N525" s="8" t="s">
        <v>1423</v>
      </c>
    </row>
    <row r="526" spans="1:14">
      <c r="A526" s="3" t="s">
        <v>1436</v>
      </c>
      <c r="B526" s="3" t="s">
        <v>1251</v>
      </c>
      <c r="C526" s="3" t="s">
        <v>38</v>
      </c>
      <c r="D526" s="3" t="s">
        <v>24</v>
      </c>
      <c r="E526" s="3" t="str">
        <f t="shared" si="8"/>
        <v>Design</v>
      </c>
      <c r="F526" s="3" t="s">
        <v>94</v>
      </c>
      <c r="G526" s="3" t="s">
        <v>75</v>
      </c>
      <c r="H526" s="3" t="s">
        <v>27</v>
      </c>
      <c r="I526" s="3">
        <v>36463</v>
      </c>
      <c r="J526" s="3" t="s">
        <v>1437</v>
      </c>
      <c r="K526" s="3">
        <v>1.1000000000000001</v>
      </c>
      <c r="L526" s="3">
        <v>1.9</v>
      </c>
      <c r="M526" s="3" t="s">
        <v>35</v>
      </c>
      <c r="N526" s="7" t="s">
        <v>1022</v>
      </c>
    </row>
    <row r="527" spans="1:14">
      <c r="A527" s="4" t="s">
        <v>1438</v>
      </c>
      <c r="B527" s="4" t="s">
        <v>1439</v>
      </c>
      <c r="C527" s="4" t="s">
        <v>38</v>
      </c>
      <c r="D527" s="4" t="s">
        <v>24</v>
      </c>
      <c r="E527" s="3" t="str">
        <f t="shared" si="8"/>
        <v>Design</v>
      </c>
      <c r="F527" s="4" t="s">
        <v>25</v>
      </c>
      <c r="G527" s="4" t="s">
        <v>149</v>
      </c>
      <c r="H527" s="4" t="s">
        <v>27</v>
      </c>
      <c r="I527" s="4">
        <v>198369</v>
      </c>
      <c r="J527" s="4" t="s">
        <v>1440</v>
      </c>
      <c r="K527" s="4">
        <v>2.9</v>
      </c>
      <c r="L527" s="4">
        <v>2.4</v>
      </c>
      <c r="M527" s="4" t="s">
        <v>35</v>
      </c>
      <c r="N527" s="8" t="s">
        <v>1336</v>
      </c>
    </row>
    <row r="528" spans="1:14">
      <c r="A528" s="3" t="s">
        <v>1441</v>
      </c>
      <c r="B528" s="3" t="s">
        <v>73</v>
      </c>
      <c r="C528" s="3" t="s">
        <v>23</v>
      </c>
      <c r="D528" s="3" t="s">
        <v>118</v>
      </c>
      <c r="E528" s="3" t="str">
        <f t="shared" si="8"/>
        <v>Marketing</v>
      </c>
      <c r="F528" s="3" t="s">
        <v>119</v>
      </c>
      <c r="G528" s="3" t="s">
        <v>214</v>
      </c>
      <c r="H528" s="3" t="s">
        <v>58</v>
      </c>
      <c r="I528" s="3">
        <v>182794</v>
      </c>
      <c r="J528" s="3" t="s">
        <v>1442</v>
      </c>
      <c r="K528" s="3">
        <v>5.3</v>
      </c>
      <c r="L528" s="3">
        <v>4</v>
      </c>
      <c r="M528" s="3" t="s">
        <v>35</v>
      </c>
      <c r="N528" s="7" t="s">
        <v>873</v>
      </c>
    </row>
    <row r="529" spans="1:14">
      <c r="A529" s="4" t="s">
        <v>1443</v>
      </c>
      <c r="B529" s="4" t="s">
        <v>1344</v>
      </c>
      <c r="C529" s="4" t="s">
        <v>62</v>
      </c>
      <c r="D529" s="4" t="s">
        <v>89</v>
      </c>
      <c r="E529" s="3" t="str">
        <f t="shared" si="8"/>
        <v>Data Science</v>
      </c>
      <c r="F529" s="4" t="s">
        <v>221</v>
      </c>
      <c r="G529" s="4" t="s">
        <v>65</v>
      </c>
      <c r="H529" s="4" t="s">
        <v>33</v>
      </c>
      <c r="I529" s="4">
        <v>106309</v>
      </c>
      <c r="J529" s="4" t="s">
        <v>273</v>
      </c>
      <c r="K529" s="4">
        <v>0.8</v>
      </c>
      <c r="L529" s="4"/>
      <c r="M529" s="4" t="s">
        <v>35</v>
      </c>
      <c r="N529" s="8" t="s">
        <v>720</v>
      </c>
    </row>
    <row r="530" spans="1:14">
      <c r="A530" s="3" t="s">
        <v>1444</v>
      </c>
      <c r="B530" s="3" t="s">
        <v>1083</v>
      </c>
      <c r="C530" s="3" t="s">
        <v>57</v>
      </c>
      <c r="D530" s="3" t="s">
        <v>24</v>
      </c>
      <c r="E530" s="3" t="str">
        <f t="shared" si="8"/>
        <v>Design</v>
      </c>
      <c r="F530" s="3" t="s">
        <v>25</v>
      </c>
      <c r="G530" s="3" t="s">
        <v>75</v>
      </c>
      <c r="H530" s="3" t="s">
        <v>19</v>
      </c>
      <c r="I530" s="3">
        <v>141846</v>
      </c>
      <c r="J530" s="3" t="s">
        <v>1445</v>
      </c>
      <c r="K530" s="3">
        <v>3.7</v>
      </c>
      <c r="L530" s="3">
        <v>4.5</v>
      </c>
      <c r="M530" s="3" t="s">
        <v>29</v>
      </c>
      <c r="N530" s="7" t="s">
        <v>547</v>
      </c>
    </row>
    <row r="531" spans="1:14">
      <c r="A531" s="4" t="s">
        <v>1446</v>
      </c>
      <c r="B531" s="4" t="s">
        <v>1447</v>
      </c>
      <c r="C531" s="4" t="s">
        <v>15</v>
      </c>
      <c r="D531" s="4" t="s">
        <v>176</v>
      </c>
      <c r="E531" s="3" t="str">
        <f t="shared" si="8"/>
        <v>Finance</v>
      </c>
      <c r="F531" s="4" t="s">
        <v>177</v>
      </c>
      <c r="G531" s="4" t="s">
        <v>65</v>
      </c>
      <c r="H531" s="4" t="s">
        <v>47</v>
      </c>
      <c r="I531" s="4">
        <v>169329</v>
      </c>
      <c r="J531" s="4" t="s">
        <v>1392</v>
      </c>
      <c r="K531" s="4">
        <v>6.7</v>
      </c>
      <c r="L531" s="4">
        <v>4.5999999999999996</v>
      </c>
      <c r="M531" s="4" t="s">
        <v>35</v>
      </c>
      <c r="N531" s="8" t="s">
        <v>1076</v>
      </c>
    </row>
    <row r="532" spans="1:14">
      <c r="A532" s="3" t="s">
        <v>1448</v>
      </c>
      <c r="B532" s="3" t="s">
        <v>235</v>
      </c>
      <c r="C532" s="3" t="s">
        <v>15</v>
      </c>
      <c r="D532" s="3" t="s">
        <v>51</v>
      </c>
      <c r="E532" s="3" t="str">
        <f t="shared" si="8"/>
        <v>Sales</v>
      </c>
      <c r="F532" s="3" t="s">
        <v>52</v>
      </c>
      <c r="G532" s="3" t="s">
        <v>53</v>
      </c>
      <c r="H532" s="3" t="s">
        <v>27</v>
      </c>
      <c r="I532" s="3">
        <v>154641</v>
      </c>
      <c r="J532" s="3" t="s">
        <v>1449</v>
      </c>
      <c r="K532" s="3">
        <v>2.2999999999999998</v>
      </c>
      <c r="L532" s="3">
        <v>2.2000000000000002</v>
      </c>
      <c r="M532" s="3" t="s">
        <v>42</v>
      </c>
      <c r="N532" s="7" t="s">
        <v>327</v>
      </c>
    </row>
    <row r="533" spans="1:14">
      <c r="A533" s="4" t="s">
        <v>1450</v>
      </c>
      <c r="B533" s="4" t="s">
        <v>1451</v>
      </c>
      <c r="C533" s="4" t="s">
        <v>83</v>
      </c>
      <c r="D533" s="4" t="s">
        <v>133</v>
      </c>
      <c r="E533" s="3" t="str">
        <f t="shared" si="8"/>
        <v>Qa</v>
      </c>
      <c r="F533" s="4" t="s">
        <v>486</v>
      </c>
      <c r="G533" s="4" t="s">
        <v>32</v>
      </c>
      <c r="H533" s="4" t="s">
        <v>33</v>
      </c>
      <c r="I533" s="4">
        <v>217617</v>
      </c>
      <c r="J533" s="4" t="s">
        <v>1452</v>
      </c>
      <c r="K533" s="4">
        <v>4.5999999999999996</v>
      </c>
      <c r="L533" s="4">
        <v>4.2</v>
      </c>
      <c r="M533" s="4" t="s">
        <v>35</v>
      </c>
      <c r="N533" s="8" t="s">
        <v>1280</v>
      </c>
    </row>
    <row r="534" spans="1:14">
      <c r="A534" s="3" t="s">
        <v>1453</v>
      </c>
      <c r="B534" s="3" t="s">
        <v>1219</v>
      </c>
      <c r="C534" s="3" t="s">
        <v>23</v>
      </c>
      <c r="D534" s="3" t="s">
        <v>176</v>
      </c>
      <c r="E534" s="3" t="str">
        <f t="shared" si="8"/>
        <v>Finance</v>
      </c>
      <c r="F534" s="3" t="s">
        <v>359</v>
      </c>
      <c r="G534" s="3" t="s">
        <v>18</v>
      </c>
      <c r="H534" s="3" t="s">
        <v>47</v>
      </c>
      <c r="I534" s="3">
        <v>36129</v>
      </c>
      <c r="J534" s="3" t="s">
        <v>1454</v>
      </c>
      <c r="K534" s="3">
        <v>2.1</v>
      </c>
      <c r="L534" s="3">
        <v>3.6</v>
      </c>
      <c r="M534" s="3" t="s">
        <v>35</v>
      </c>
      <c r="N534" s="7" t="s">
        <v>67</v>
      </c>
    </row>
    <row r="535" spans="1:14">
      <c r="A535" s="4" t="s">
        <v>1455</v>
      </c>
      <c r="B535" s="4" t="s">
        <v>193</v>
      </c>
      <c r="C535" s="4" t="s">
        <v>23</v>
      </c>
      <c r="D535" s="4" t="s">
        <v>89</v>
      </c>
      <c r="E535" s="3" t="str">
        <f t="shared" si="8"/>
        <v>Data Science</v>
      </c>
      <c r="F535" s="4" t="s">
        <v>90</v>
      </c>
      <c r="G535" s="4" t="s">
        <v>70</v>
      </c>
      <c r="H535" s="4" t="s">
        <v>19</v>
      </c>
      <c r="I535" s="4">
        <v>176130</v>
      </c>
      <c r="J535" s="4" t="s">
        <v>1456</v>
      </c>
      <c r="K535" s="4">
        <v>4.5</v>
      </c>
      <c r="L535" s="4">
        <v>4.5</v>
      </c>
      <c r="M535" s="4" t="s">
        <v>35</v>
      </c>
      <c r="N535" s="8" t="s">
        <v>1001</v>
      </c>
    </row>
    <row r="536" spans="1:14">
      <c r="A536" s="3" t="s">
        <v>1457</v>
      </c>
      <c r="B536" s="3" t="s">
        <v>901</v>
      </c>
      <c r="C536" s="3" t="s">
        <v>23</v>
      </c>
      <c r="D536" s="3" t="s">
        <v>84</v>
      </c>
      <c r="E536" s="3" t="str">
        <f t="shared" si="8"/>
        <v>Hr</v>
      </c>
      <c r="F536" s="3" t="s">
        <v>204</v>
      </c>
      <c r="G536" s="3" t="s">
        <v>75</v>
      </c>
      <c r="H536" s="3" t="s">
        <v>19</v>
      </c>
      <c r="I536" s="3">
        <v>40982</v>
      </c>
      <c r="J536" s="3" t="s">
        <v>1458</v>
      </c>
      <c r="K536" s="3">
        <v>3.3</v>
      </c>
      <c r="L536" s="3">
        <v>2</v>
      </c>
      <c r="M536" s="3" t="s">
        <v>35</v>
      </c>
      <c r="N536" s="7" t="s">
        <v>527</v>
      </c>
    </row>
    <row r="537" spans="1:14">
      <c r="A537" s="4" t="s">
        <v>1459</v>
      </c>
      <c r="B537" s="4" t="s">
        <v>1460</v>
      </c>
      <c r="C537" s="4" t="s">
        <v>15</v>
      </c>
      <c r="D537" s="4" t="s">
        <v>51</v>
      </c>
      <c r="E537" s="3" t="str">
        <f t="shared" si="8"/>
        <v>Sales</v>
      </c>
      <c r="F537" s="4" t="s">
        <v>105</v>
      </c>
      <c r="G537" s="4" t="s">
        <v>75</v>
      </c>
      <c r="H537" s="4" t="s">
        <v>19</v>
      </c>
      <c r="I537" s="4">
        <v>136793</v>
      </c>
      <c r="J537" s="4" t="s">
        <v>1461</v>
      </c>
      <c r="K537" s="4">
        <v>2.7</v>
      </c>
      <c r="L537" s="4">
        <v>3.3</v>
      </c>
      <c r="M537" s="4" t="s">
        <v>35</v>
      </c>
      <c r="N537" s="8" t="s">
        <v>305</v>
      </c>
    </row>
    <row r="538" spans="1:14">
      <c r="A538" s="3" t="s">
        <v>1462</v>
      </c>
      <c r="B538" s="3" t="s">
        <v>601</v>
      </c>
      <c r="C538" s="3" t="s">
        <v>57</v>
      </c>
      <c r="D538" s="3" t="s">
        <v>118</v>
      </c>
      <c r="E538" s="3" t="str">
        <f t="shared" si="8"/>
        <v>Marketing</v>
      </c>
      <c r="F538" s="3" t="s">
        <v>254</v>
      </c>
      <c r="G538" s="3" t="s">
        <v>149</v>
      </c>
      <c r="H538" s="3" t="s">
        <v>27</v>
      </c>
      <c r="I538" s="3">
        <v>86654</v>
      </c>
      <c r="J538" s="3" t="s">
        <v>248</v>
      </c>
      <c r="K538" s="3">
        <v>6.6</v>
      </c>
      <c r="L538" s="3">
        <v>3.8</v>
      </c>
      <c r="M538" s="3" t="s">
        <v>29</v>
      </c>
      <c r="N538" s="7" t="s">
        <v>659</v>
      </c>
    </row>
    <row r="539" spans="1:14">
      <c r="A539" s="4" t="s">
        <v>1463</v>
      </c>
      <c r="B539" s="4" t="s">
        <v>1264</v>
      </c>
      <c r="C539" s="4" t="s">
        <v>23</v>
      </c>
      <c r="D539" s="4" t="s">
        <v>133</v>
      </c>
      <c r="E539" s="3" t="str">
        <f t="shared" si="8"/>
        <v>Qa</v>
      </c>
      <c r="F539" s="4" t="s">
        <v>134</v>
      </c>
      <c r="G539" s="4" t="s">
        <v>26</v>
      </c>
      <c r="H539" s="4" t="s">
        <v>58</v>
      </c>
      <c r="I539" s="4">
        <v>115918</v>
      </c>
      <c r="J539" s="4" t="s">
        <v>1464</v>
      </c>
      <c r="K539" s="4">
        <v>2.8</v>
      </c>
      <c r="L539" s="4">
        <v>4.3</v>
      </c>
      <c r="M539" s="4" t="s">
        <v>35</v>
      </c>
      <c r="N539" s="8" t="s">
        <v>252</v>
      </c>
    </row>
    <row r="540" spans="1:14">
      <c r="A540" s="3" t="s">
        <v>1465</v>
      </c>
      <c r="B540" s="3" t="s">
        <v>1123</v>
      </c>
      <c r="C540" s="3" t="s">
        <v>57</v>
      </c>
      <c r="D540" s="3" t="s">
        <v>24</v>
      </c>
      <c r="E540" s="3" t="str">
        <f t="shared" si="8"/>
        <v>Design</v>
      </c>
      <c r="F540" s="3" t="s">
        <v>94</v>
      </c>
      <c r="G540" s="3" t="s">
        <v>32</v>
      </c>
      <c r="H540" s="3" t="s">
        <v>19</v>
      </c>
      <c r="I540" s="3">
        <v>202409</v>
      </c>
      <c r="J540" s="3" t="s">
        <v>1466</v>
      </c>
      <c r="K540" s="3">
        <v>3.5</v>
      </c>
      <c r="L540" s="3">
        <v>3.9</v>
      </c>
      <c r="M540" s="3" t="s">
        <v>35</v>
      </c>
      <c r="N540" s="7" t="s">
        <v>926</v>
      </c>
    </row>
    <row r="541" spans="1:14">
      <c r="A541" s="4" t="s">
        <v>1467</v>
      </c>
      <c r="B541" s="4" t="s">
        <v>802</v>
      </c>
      <c r="C541" s="4" t="s">
        <v>38</v>
      </c>
      <c r="D541" s="4" t="s">
        <v>176</v>
      </c>
      <c r="E541" s="3" t="str">
        <f t="shared" si="8"/>
        <v>Finance</v>
      </c>
      <c r="F541" s="4" t="s">
        <v>359</v>
      </c>
      <c r="G541" s="4" t="s">
        <v>65</v>
      </c>
      <c r="H541" s="4" t="s">
        <v>19</v>
      </c>
      <c r="I541" s="4">
        <v>18338</v>
      </c>
      <c r="J541" s="4" t="s">
        <v>1468</v>
      </c>
      <c r="K541" s="4">
        <v>0.9</v>
      </c>
      <c r="L541" s="4">
        <v>4.2</v>
      </c>
      <c r="M541" s="4" t="s">
        <v>29</v>
      </c>
      <c r="N541" s="8" t="s">
        <v>1130</v>
      </c>
    </row>
    <row r="542" spans="1:14">
      <c r="A542" s="3" t="s">
        <v>1469</v>
      </c>
      <c r="B542" s="3" t="s">
        <v>1089</v>
      </c>
      <c r="C542" s="3" t="s">
        <v>23</v>
      </c>
      <c r="D542" s="3" t="s">
        <v>39</v>
      </c>
      <c r="E542" s="3" t="str">
        <f t="shared" si="8"/>
        <v>Engineering</v>
      </c>
      <c r="F542" s="3" t="s">
        <v>40</v>
      </c>
      <c r="G542" s="3" t="s">
        <v>65</v>
      </c>
      <c r="H542" s="3" t="s">
        <v>19</v>
      </c>
      <c r="I542" s="3">
        <v>211686</v>
      </c>
      <c r="J542" s="3" t="s">
        <v>1470</v>
      </c>
      <c r="K542" s="3">
        <v>2.5</v>
      </c>
      <c r="L542" s="3"/>
      <c r="M542" s="3" t="s">
        <v>35</v>
      </c>
      <c r="N542" s="7" t="s">
        <v>1433</v>
      </c>
    </row>
    <row r="543" spans="1:14">
      <c r="A543" s="4" t="s">
        <v>1471</v>
      </c>
      <c r="B543" s="4" t="s">
        <v>868</v>
      </c>
      <c r="C543" s="4" t="s">
        <v>15</v>
      </c>
      <c r="D543" s="4" t="s">
        <v>176</v>
      </c>
      <c r="E543" s="3" t="str">
        <f t="shared" si="8"/>
        <v>Finance</v>
      </c>
      <c r="F543" s="4" t="s">
        <v>229</v>
      </c>
      <c r="G543" s="4" t="s">
        <v>149</v>
      </c>
      <c r="H543" s="4" t="s">
        <v>19</v>
      </c>
      <c r="I543" s="4">
        <v>45135</v>
      </c>
      <c r="J543" s="4" t="s">
        <v>1472</v>
      </c>
      <c r="K543" s="4">
        <v>5.7</v>
      </c>
      <c r="L543" s="4">
        <v>2.1</v>
      </c>
      <c r="M543" s="4" t="s">
        <v>42</v>
      </c>
      <c r="N543" s="8" t="s">
        <v>1395</v>
      </c>
    </row>
    <row r="544" spans="1:14">
      <c r="A544" s="3" t="s">
        <v>1473</v>
      </c>
      <c r="B544" s="3" t="s">
        <v>1474</v>
      </c>
      <c r="C544" s="3" t="s">
        <v>38</v>
      </c>
      <c r="D544" s="3" t="s">
        <v>89</v>
      </c>
      <c r="E544" s="3" t="str">
        <f t="shared" si="8"/>
        <v>Data Science</v>
      </c>
      <c r="F544" s="3" t="s">
        <v>90</v>
      </c>
      <c r="G544" s="3" t="s">
        <v>46</v>
      </c>
      <c r="H544" s="3" t="s">
        <v>27</v>
      </c>
      <c r="I544" s="3">
        <v>204291</v>
      </c>
      <c r="J544" s="3" t="s">
        <v>1475</v>
      </c>
      <c r="K544" s="3">
        <v>6.4</v>
      </c>
      <c r="L544" s="3">
        <v>2.2999999999999998</v>
      </c>
      <c r="M544" s="3" t="s">
        <v>35</v>
      </c>
      <c r="N544" s="7" t="s">
        <v>771</v>
      </c>
    </row>
    <row r="545" spans="1:14">
      <c r="A545" s="4" t="s">
        <v>1476</v>
      </c>
      <c r="B545" s="4" t="s">
        <v>715</v>
      </c>
      <c r="C545" s="4" t="s">
        <v>23</v>
      </c>
      <c r="D545" s="4" t="s">
        <v>84</v>
      </c>
      <c r="E545" s="3" t="str">
        <f t="shared" si="8"/>
        <v>Hr</v>
      </c>
      <c r="F545" s="4" t="s">
        <v>204</v>
      </c>
      <c r="G545" s="4" t="s">
        <v>114</v>
      </c>
      <c r="H545" s="4" t="s">
        <v>19</v>
      </c>
      <c r="I545" s="4">
        <v>53668</v>
      </c>
      <c r="J545" s="4" t="s">
        <v>1477</v>
      </c>
      <c r="K545" s="4">
        <v>0.8</v>
      </c>
      <c r="L545" s="4">
        <v>4.2</v>
      </c>
      <c r="M545" s="4" t="s">
        <v>35</v>
      </c>
      <c r="N545" s="8" t="s">
        <v>279</v>
      </c>
    </row>
    <row r="546" spans="1:14">
      <c r="A546" s="3" t="s">
        <v>1478</v>
      </c>
      <c r="B546" s="3" t="s">
        <v>681</v>
      </c>
      <c r="C546" s="3" t="s">
        <v>62</v>
      </c>
      <c r="D546" s="3" t="s">
        <v>84</v>
      </c>
      <c r="E546" s="3" t="str">
        <f t="shared" si="8"/>
        <v>Hr</v>
      </c>
      <c r="F546" s="3" t="s">
        <v>138</v>
      </c>
      <c r="G546" s="3" t="s">
        <v>46</v>
      </c>
      <c r="H546" s="3" t="s">
        <v>19</v>
      </c>
      <c r="I546" s="3">
        <v>39169</v>
      </c>
      <c r="J546" s="3" t="s">
        <v>648</v>
      </c>
      <c r="K546" s="3">
        <v>5.2</v>
      </c>
      <c r="L546" s="3">
        <v>2.7</v>
      </c>
      <c r="M546" s="3" t="s">
        <v>42</v>
      </c>
      <c r="N546" s="7" t="s">
        <v>1273</v>
      </c>
    </row>
    <row r="547" spans="1:14">
      <c r="A547" s="4" t="s">
        <v>1479</v>
      </c>
      <c r="B547" s="4" t="s">
        <v>736</v>
      </c>
      <c r="C547" s="4" t="s">
        <v>38</v>
      </c>
      <c r="D547" s="4" t="s">
        <v>16</v>
      </c>
      <c r="E547" s="3" t="str">
        <f t="shared" si="8"/>
        <v>Devops</v>
      </c>
      <c r="F547" s="4" t="s">
        <v>335</v>
      </c>
      <c r="G547" s="4" t="s">
        <v>70</v>
      </c>
      <c r="H547" s="4" t="s">
        <v>19</v>
      </c>
      <c r="I547" s="4">
        <v>40892</v>
      </c>
      <c r="J547" s="4" t="s">
        <v>1480</v>
      </c>
      <c r="K547" s="4">
        <v>6.8</v>
      </c>
      <c r="L547" s="4">
        <v>4</v>
      </c>
      <c r="M547" s="4" t="s">
        <v>35</v>
      </c>
      <c r="N547" s="8" t="s">
        <v>1393</v>
      </c>
    </row>
    <row r="548" spans="1:14">
      <c r="A548" s="3" t="s">
        <v>1481</v>
      </c>
      <c r="B548" s="3" t="s">
        <v>1482</v>
      </c>
      <c r="C548" s="3" t="s">
        <v>57</v>
      </c>
      <c r="D548" s="3" t="s">
        <v>133</v>
      </c>
      <c r="E548" s="3" t="str">
        <f t="shared" si="8"/>
        <v>Qa</v>
      </c>
      <c r="F548" s="3" t="s">
        <v>162</v>
      </c>
      <c r="G548" s="3" t="s">
        <v>65</v>
      </c>
      <c r="H548" s="3" t="s">
        <v>19</v>
      </c>
      <c r="I548" s="3">
        <v>101730</v>
      </c>
      <c r="J548" s="3" t="s">
        <v>1483</v>
      </c>
      <c r="K548" s="3">
        <v>6.7</v>
      </c>
      <c r="L548" s="3">
        <v>1.9</v>
      </c>
      <c r="M548" s="3" t="s">
        <v>35</v>
      </c>
      <c r="N548" s="7" t="s">
        <v>462</v>
      </c>
    </row>
    <row r="549" spans="1:14">
      <c r="A549" s="4" t="s">
        <v>1484</v>
      </c>
      <c r="B549" s="4" t="s">
        <v>417</v>
      </c>
      <c r="C549" s="4" t="s">
        <v>57</v>
      </c>
      <c r="D549" s="4" t="s">
        <v>133</v>
      </c>
      <c r="E549" s="3" t="str">
        <f t="shared" si="8"/>
        <v>Qa</v>
      </c>
      <c r="F549" s="4" t="s">
        <v>153</v>
      </c>
      <c r="G549" s="4" t="s">
        <v>26</v>
      </c>
      <c r="H549" s="4" t="s">
        <v>27</v>
      </c>
      <c r="I549" s="4">
        <v>37567</v>
      </c>
      <c r="J549" s="4" t="s">
        <v>1485</v>
      </c>
      <c r="K549" s="4">
        <v>6.5</v>
      </c>
      <c r="L549" s="4"/>
      <c r="M549" s="4" t="s">
        <v>35</v>
      </c>
      <c r="N549" s="8" t="s">
        <v>1313</v>
      </c>
    </row>
    <row r="550" spans="1:14">
      <c r="A550" s="3" t="s">
        <v>1486</v>
      </c>
      <c r="B550" s="3" t="s">
        <v>798</v>
      </c>
      <c r="C550" s="3" t="s">
        <v>23</v>
      </c>
      <c r="D550" s="3" t="s">
        <v>133</v>
      </c>
      <c r="E550" s="3" t="str">
        <f t="shared" si="8"/>
        <v>Qa</v>
      </c>
      <c r="F550" s="3" t="s">
        <v>486</v>
      </c>
      <c r="G550" s="3" t="s">
        <v>70</v>
      </c>
      <c r="H550" s="3" t="s">
        <v>47</v>
      </c>
      <c r="I550" s="3">
        <v>21637</v>
      </c>
      <c r="J550" s="3" t="s">
        <v>1487</v>
      </c>
      <c r="K550" s="3">
        <v>4.5999999999999996</v>
      </c>
      <c r="L550" s="3">
        <v>4.8</v>
      </c>
      <c r="M550" s="3" t="s">
        <v>35</v>
      </c>
      <c r="N550" s="7" t="s">
        <v>157</v>
      </c>
    </row>
    <row r="551" spans="1:14">
      <c r="A551" s="4" t="s">
        <v>1488</v>
      </c>
      <c r="B551" s="4" t="s">
        <v>1283</v>
      </c>
      <c r="C551" s="4" t="s">
        <v>62</v>
      </c>
      <c r="D551" s="4" t="s">
        <v>133</v>
      </c>
      <c r="E551" s="3" t="str">
        <f t="shared" si="8"/>
        <v>Qa</v>
      </c>
      <c r="F551" s="4" t="s">
        <v>162</v>
      </c>
      <c r="G551" s="4" t="s">
        <v>26</v>
      </c>
      <c r="H551" s="4" t="s">
        <v>19</v>
      </c>
      <c r="I551" s="4">
        <v>170625</v>
      </c>
      <c r="J551" s="4" t="s">
        <v>1489</v>
      </c>
      <c r="K551" s="4">
        <v>2.7</v>
      </c>
      <c r="L551" s="4">
        <v>1.8</v>
      </c>
      <c r="M551" s="4" t="s">
        <v>42</v>
      </c>
      <c r="N551" s="8" t="s">
        <v>758</v>
      </c>
    </row>
    <row r="552" spans="1:14">
      <c r="A552" s="3" t="s">
        <v>1490</v>
      </c>
      <c r="B552" s="3" t="s">
        <v>1491</v>
      </c>
      <c r="C552" s="3" t="s">
        <v>57</v>
      </c>
      <c r="D552" s="3" t="s">
        <v>84</v>
      </c>
      <c r="E552" s="3" t="str">
        <f t="shared" si="8"/>
        <v>Hr</v>
      </c>
      <c r="F552" s="3" t="s">
        <v>204</v>
      </c>
      <c r="G552" s="3" t="s">
        <v>70</v>
      </c>
      <c r="H552" s="3" t="s">
        <v>19</v>
      </c>
      <c r="I552" s="3">
        <v>75032</v>
      </c>
      <c r="J552" s="3" t="s">
        <v>1492</v>
      </c>
      <c r="K552" s="3">
        <v>6.5</v>
      </c>
      <c r="L552" s="3">
        <v>3.5</v>
      </c>
      <c r="M552" s="3" t="s">
        <v>29</v>
      </c>
      <c r="N552" s="7" t="s">
        <v>60</v>
      </c>
    </row>
    <row r="553" spans="1:14">
      <c r="A553" s="4" t="s">
        <v>1493</v>
      </c>
      <c r="B553" s="4" t="s">
        <v>404</v>
      </c>
      <c r="C553" s="4" t="s">
        <v>38</v>
      </c>
      <c r="D553" s="4" t="s">
        <v>89</v>
      </c>
      <c r="E553" s="3" t="str">
        <f t="shared" si="8"/>
        <v>Data Science</v>
      </c>
      <c r="F553" s="4" t="s">
        <v>113</v>
      </c>
      <c r="G553" s="4" t="s">
        <v>53</v>
      </c>
      <c r="H553" s="4" t="s">
        <v>19</v>
      </c>
      <c r="I553" s="4">
        <v>99254</v>
      </c>
      <c r="J553" s="4" t="s">
        <v>1494</v>
      </c>
      <c r="K553" s="4">
        <v>4.9000000000000004</v>
      </c>
      <c r="L553" s="4">
        <v>2.6</v>
      </c>
      <c r="M553" s="4" t="s">
        <v>35</v>
      </c>
      <c r="N553" s="8" t="s">
        <v>179</v>
      </c>
    </row>
    <row r="554" spans="1:14">
      <c r="A554" s="3" t="s">
        <v>1495</v>
      </c>
      <c r="B554" s="3" t="s">
        <v>1496</v>
      </c>
      <c r="C554" s="3" t="s">
        <v>15</v>
      </c>
      <c r="D554" s="3" t="s">
        <v>133</v>
      </c>
      <c r="E554" s="3" t="str">
        <f t="shared" si="8"/>
        <v>Qa</v>
      </c>
      <c r="F554" s="3" t="s">
        <v>153</v>
      </c>
      <c r="G554" s="3" t="s">
        <v>53</v>
      </c>
      <c r="H554" s="3" t="s">
        <v>19</v>
      </c>
      <c r="I554" s="3">
        <v>165303</v>
      </c>
      <c r="J554" s="3" t="s">
        <v>1497</v>
      </c>
      <c r="K554" s="3">
        <v>3.2</v>
      </c>
      <c r="L554" s="3">
        <v>2.2999999999999998</v>
      </c>
      <c r="M554" s="3" t="s">
        <v>35</v>
      </c>
      <c r="N554" s="7" t="s">
        <v>157</v>
      </c>
    </row>
    <row r="555" spans="1:14">
      <c r="A555" s="4" t="s">
        <v>1498</v>
      </c>
      <c r="B555" s="4" t="s">
        <v>736</v>
      </c>
      <c r="C555" s="4" t="s">
        <v>57</v>
      </c>
      <c r="D555" s="4" t="s">
        <v>118</v>
      </c>
      <c r="E555" s="3" t="str">
        <f t="shared" si="8"/>
        <v>Marketing</v>
      </c>
      <c r="F555" s="4" t="s">
        <v>119</v>
      </c>
      <c r="G555" s="4" t="s">
        <v>75</v>
      </c>
      <c r="H555" s="4" t="s">
        <v>19</v>
      </c>
      <c r="I555" s="4">
        <v>36859</v>
      </c>
      <c r="J555" s="4" t="s">
        <v>1499</v>
      </c>
      <c r="K555" s="4">
        <v>4.7</v>
      </c>
      <c r="L555" s="4">
        <v>3.7</v>
      </c>
      <c r="M555" s="4" t="s">
        <v>35</v>
      </c>
      <c r="N555" s="8" t="s">
        <v>1211</v>
      </c>
    </row>
    <row r="556" spans="1:14">
      <c r="A556" s="3" t="s">
        <v>1500</v>
      </c>
      <c r="B556" s="3" t="s">
        <v>1145</v>
      </c>
      <c r="C556" s="3" t="s">
        <v>62</v>
      </c>
      <c r="D556" s="3" t="s">
        <v>89</v>
      </c>
      <c r="E556" s="3" t="str">
        <f t="shared" si="8"/>
        <v>Data Science</v>
      </c>
      <c r="F556" s="3" t="s">
        <v>113</v>
      </c>
      <c r="G556" s="3" t="s">
        <v>32</v>
      </c>
      <c r="H556" s="3" t="s">
        <v>27</v>
      </c>
      <c r="I556" s="3">
        <v>91105</v>
      </c>
      <c r="J556" s="3" t="s">
        <v>1377</v>
      </c>
      <c r="K556" s="3">
        <v>3.9</v>
      </c>
      <c r="L556" s="3">
        <v>3.6</v>
      </c>
      <c r="M556" s="3" t="s">
        <v>29</v>
      </c>
      <c r="N556" s="7" t="s">
        <v>978</v>
      </c>
    </row>
    <row r="557" spans="1:14">
      <c r="A557" s="4" t="s">
        <v>1501</v>
      </c>
      <c r="B557" s="4" t="s">
        <v>1286</v>
      </c>
      <c r="C557" s="4" t="s">
        <v>62</v>
      </c>
      <c r="D557" s="4" t="s">
        <v>39</v>
      </c>
      <c r="E557" s="3" t="str">
        <f t="shared" si="8"/>
        <v>Engineering</v>
      </c>
      <c r="F557" s="4" t="s">
        <v>40</v>
      </c>
      <c r="G557" s="4" t="s">
        <v>172</v>
      </c>
      <c r="H557" s="4" t="s">
        <v>33</v>
      </c>
      <c r="I557" s="4">
        <v>94193</v>
      </c>
      <c r="J557" s="4" t="s">
        <v>1502</v>
      </c>
      <c r="K557" s="4">
        <v>3</v>
      </c>
      <c r="L557" s="4">
        <v>4</v>
      </c>
      <c r="M557" s="4" t="s">
        <v>35</v>
      </c>
      <c r="N557" s="8" t="s">
        <v>1450</v>
      </c>
    </row>
    <row r="558" spans="1:14">
      <c r="A558" s="3" t="s">
        <v>1503</v>
      </c>
      <c r="B558" s="3" t="s">
        <v>1496</v>
      </c>
      <c r="C558" s="3" t="s">
        <v>23</v>
      </c>
      <c r="D558" s="3" t="s">
        <v>24</v>
      </c>
      <c r="E558" s="3" t="str">
        <f t="shared" si="8"/>
        <v>Design</v>
      </c>
      <c r="F558" s="3" t="s">
        <v>74</v>
      </c>
      <c r="G558" s="3" t="s">
        <v>65</v>
      </c>
      <c r="H558" s="3" t="s">
        <v>58</v>
      </c>
      <c r="I558" s="3">
        <v>200612</v>
      </c>
      <c r="J558" s="3" t="s">
        <v>1504</v>
      </c>
      <c r="K558" s="3">
        <v>2.9</v>
      </c>
      <c r="L558" s="3">
        <v>2.8</v>
      </c>
      <c r="M558" s="3" t="s">
        <v>42</v>
      </c>
      <c r="N558" s="7" t="s">
        <v>900</v>
      </c>
    </row>
    <row r="559" spans="1:14">
      <c r="A559" s="4" t="s">
        <v>1505</v>
      </c>
      <c r="B559" s="4" t="s">
        <v>1240</v>
      </c>
      <c r="C559" s="4" t="s">
        <v>62</v>
      </c>
      <c r="D559" s="4" t="s">
        <v>39</v>
      </c>
      <c r="E559" s="3" t="str">
        <f t="shared" si="8"/>
        <v>Engineering</v>
      </c>
      <c r="F559" s="4" t="s">
        <v>109</v>
      </c>
      <c r="G559" s="4" t="s">
        <v>26</v>
      </c>
      <c r="H559" s="4" t="s">
        <v>47</v>
      </c>
      <c r="I559" s="4">
        <v>18443</v>
      </c>
      <c r="J559" s="4" t="s">
        <v>1506</v>
      </c>
      <c r="K559" s="4">
        <v>2.8</v>
      </c>
      <c r="L559" s="4">
        <v>1.9</v>
      </c>
      <c r="M559" s="4" t="s">
        <v>29</v>
      </c>
      <c r="N559" s="8" t="s">
        <v>60</v>
      </c>
    </row>
    <row r="560" spans="1:14">
      <c r="A560" s="3" t="s">
        <v>1507</v>
      </c>
      <c r="B560" s="3" t="s">
        <v>331</v>
      </c>
      <c r="C560" s="3" t="s">
        <v>62</v>
      </c>
      <c r="D560" s="3" t="s">
        <v>133</v>
      </c>
      <c r="E560" s="3" t="str">
        <f t="shared" si="8"/>
        <v>Qa</v>
      </c>
      <c r="F560" s="3" t="s">
        <v>162</v>
      </c>
      <c r="G560" s="3" t="s">
        <v>26</v>
      </c>
      <c r="H560" s="3" t="s">
        <v>33</v>
      </c>
      <c r="I560" s="3">
        <v>42237</v>
      </c>
      <c r="J560" s="3" t="s">
        <v>1255</v>
      </c>
      <c r="K560" s="3">
        <v>0.5</v>
      </c>
      <c r="L560" s="3">
        <v>2.9</v>
      </c>
      <c r="M560" s="3" t="s">
        <v>35</v>
      </c>
      <c r="N560" s="7" t="s">
        <v>1341</v>
      </c>
    </row>
    <row r="561" spans="1:14">
      <c r="A561" s="4" t="s">
        <v>1508</v>
      </c>
      <c r="B561" s="4" t="s">
        <v>1496</v>
      </c>
      <c r="C561" s="4" t="s">
        <v>38</v>
      </c>
      <c r="D561" s="4" t="s">
        <v>133</v>
      </c>
      <c r="E561" s="3" t="str">
        <f t="shared" si="8"/>
        <v>Qa</v>
      </c>
      <c r="F561" s="4" t="s">
        <v>486</v>
      </c>
      <c r="G561" s="4" t="s">
        <v>32</v>
      </c>
      <c r="H561" s="4" t="s">
        <v>47</v>
      </c>
      <c r="I561" s="4">
        <v>201310</v>
      </c>
      <c r="J561" s="4" t="s">
        <v>1509</v>
      </c>
      <c r="K561" s="4">
        <v>3.8</v>
      </c>
      <c r="L561" s="4">
        <v>4.0999999999999996</v>
      </c>
      <c r="M561" s="4" t="s">
        <v>42</v>
      </c>
      <c r="N561" s="8" t="s">
        <v>1248</v>
      </c>
    </row>
    <row r="562" spans="1:14">
      <c r="A562" s="3" t="s">
        <v>1510</v>
      </c>
      <c r="B562" s="3" t="s">
        <v>1283</v>
      </c>
      <c r="C562" s="3" t="s">
        <v>23</v>
      </c>
      <c r="D562" s="3" t="s">
        <v>84</v>
      </c>
      <c r="E562" s="3" t="str">
        <f t="shared" si="8"/>
        <v>Hr</v>
      </c>
      <c r="F562" s="3" t="s">
        <v>138</v>
      </c>
      <c r="G562" s="3" t="s">
        <v>26</v>
      </c>
      <c r="H562" s="3" t="s">
        <v>47</v>
      </c>
      <c r="I562" s="3">
        <v>69932</v>
      </c>
      <c r="J562" s="3" t="s">
        <v>1511</v>
      </c>
      <c r="K562" s="3">
        <v>0.8</v>
      </c>
      <c r="L562" s="3">
        <v>1.8</v>
      </c>
      <c r="M562" s="3" t="s">
        <v>35</v>
      </c>
      <c r="N562" s="7" t="s">
        <v>732</v>
      </c>
    </row>
    <row r="563" spans="1:14">
      <c r="A563" s="4" t="s">
        <v>1512</v>
      </c>
      <c r="B563" s="4" t="s">
        <v>739</v>
      </c>
      <c r="C563" s="4" t="s">
        <v>62</v>
      </c>
      <c r="D563" s="4" t="s">
        <v>63</v>
      </c>
      <c r="E563" s="3" t="str">
        <f t="shared" si="8"/>
        <v>Product</v>
      </c>
      <c r="F563" s="4" t="s">
        <v>64</v>
      </c>
      <c r="G563" s="4" t="s">
        <v>172</v>
      </c>
      <c r="H563" s="4" t="s">
        <v>58</v>
      </c>
      <c r="I563" s="4">
        <v>46817</v>
      </c>
      <c r="J563" s="4" t="s">
        <v>267</v>
      </c>
      <c r="K563" s="4">
        <v>1.7</v>
      </c>
      <c r="L563" s="4">
        <v>4.7</v>
      </c>
      <c r="M563" s="4" t="s">
        <v>35</v>
      </c>
      <c r="N563" s="8" t="s">
        <v>914</v>
      </c>
    </row>
    <row r="564" spans="1:14">
      <c r="A564" s="3" t="s">
        <v>1513</v>
      </c>
      <c r="B564" s="3" t="s">
        <v>1254</v>
      </c>
      <c r="C564" s="3" t="s">
        <v>83</v>
      </c>
      <c r="D564" s="3" t="s">
        <v>24</v>
      </c>
      <c r="E564" s="3" t="str">
        <f t="shared" si="8"/>
        <v>Design</v>
      </c>
      <c r="F564" s="3" t="s">
        <v>94</v>
      </c>
      <c r="G564" s="3" t="s">
        <v>26</v>
      </c>
      <c r="H564" s="3" t="s">
        <v>27</v>
      </c>
      <c r="I564" s="3">
        <v>28048</v>
      </c>
      <c r="J564" s="3" t="s">
        <v>373</v>
      </c>
      <c r="K564" s="3">
        <v>6.8</v>
      </c>
      <c r="L564" s="3">
        <v>4</v>
      </c>
      <c r="M564" s="3" t="s">
        <v>35</v>
      </c>
      <c r="N564" s="7" t="s">
        <v>939</v>
      </c>
    </row>
    <row r="565" spans="1:14">
      <c r="A565" s="4" t="s">
        <v>1514</v>
      </c>
      <c r="B565" s="4" t="s">
        <v>1083</v>
      </c>
      <c r="C565" s="4" t="s">
        <v>83</v>
      </c>
      <c r="D565" s="4" t="s">
        <v>16</v>
      </c>
      <c r="E565" s="3" t="str">
        <f t="shared" si="8"/>
        <v>Devops</v>
      </c>
      <c r="F565" s="4" t="s">
        <v>123</v>
      </c>
      <c r="G565" s="4" t="s">
        <v>65</v>
      </c>
      <c r="H565" s="4" t="s">
        <v>58</v>
      </c>
      <c r="I565" s="4">
        <v>145096</v>
      </c>
      <c r="J565" s="4" t="s">
        <v>1515</v>
      </c>
      <c r="K565" s="4">
        <v>6.6</v>
      </c>
      <c r="L565" s="4">
        <v>3.6</v>
      </c>
      <c r="M565" s="4" t="s">
        <v>29</v>
      </c>
      <c r="N565" s="8" t="s">
        <v>1455</v>
      </c>
    </row>
    <row r="566" spans="1:14">
      <c r="A566" s="3" t="s">
        <v>1516</v>
      </c>
      <c r="B566" s="3" t="s">
        <v>534</v>
      </c>
      <c r="C566" s="3" t="s">
        <v>15</v>
      </c>
      <c r="D566" s="3" t="s">
        <v>176</v>
      </c>
      <c r="E566" s="3" t="str">
        <f t="shared" si="8"/>
        <v>Finance</v>
      </c>
      <c r="F566" s="3" t="s">
        <v>359</v>
      </c>
      <c r="G566" s="3" t="s">
        <v>18</v>
      </c>
      <c r="H566" s="3" t="s">
        <v>19</v>
      </c>
      <c r="I566" s="3">
        <v>26323</v>
      </c>
      <c r="J566" s="3" t="s">
        <v>80</v>
      </c>
      <c r="K566" s="3">
        <v>4.8</v>
      </c>
      <c r="L566" s="3">
        <v>3</v>
      </c>
      <c r="M566" s="3" t="s">
        <v>35</v>
      </c>
      <c r="N566" s="7" t="s">
        <v>1388</v>
      </c>
    </row>
    <row r="567" spans="1:14">
      <c r="A567" s="4" t="s">
        <v>1517</v>
      </c>
      <c r="B567" s="4" t="s">
        <v>1518</v>
      </c>
      <c r="C567" s="4" t="s">
        <v>38</v>
      </c>
      <c r="D567" s="4" t="s">
        <v>16</v>
      </c>
      <c r="E567" s="3" t="str">
        <f t="shared" si="8"/>
        <v>Devops</v>
      </c>
      <c r="F567" s="4" t="s">
        <v>98</v>
      </c>
      <c r="G567" s="4" t="s">
        <v>53</v>
      </c>
      <c r="H567" s="4" t="s">
        <v>47</v>
      </c>
      <c r="I567" s="4">
        <v>34213</v>
      </c>
      <c r="J567" s="4" t="s">
        <v>1519</v>
      </c>
      <c r="K567" s="4">
        <v>4.2</v>
      </c>
      <c r="L567" s="4">
        <v>3.1</v>
      </c>
      <c r="M567" s="4" t="s">
        <v>35</v>
      </c>
      <c r="N567" s="8" t="s">
        <v>624</v>
      </c>
    </row>
    <row r="568" spans="1:14">
      <c r="A568" s="3" t="s">
        <v>1520</v>
      </c>
      <c r="B568" s="3" t="s">
        <v>1096</v>
      </c>
      <c r="C568" s="3" t="s">
        <v>38</v>
      </c>
      <c r="D568" s="3" t="s">
        <v>133</v>
      </c>
      <c r="E568" s="3" t="str">
        <f t="shared" si="8"/>
        <v>Qa</v>
      </c>
      <c r="F568" s="3" t="s">
        <v>162</v>
      </c>
      <c r="G568" s="3" t="s">
        <v>32</v>
      </c>
      <c r="H568" s="3" t="s">
        <v>19</v>
      </c>
      <c r="I568" s="3">
        <v>67959</v>
      </c>
      <c r="J568" s="3" t="s">
        <v>1521</v>
      </c>
      <c r="K568" s="3">
        <v>2</v>
      </c>
      <c r="L568" s="3">
        <v>2.7</v>
      </c>
      <c r="M568" s="3" t="s">
        <v>29</v>
      </c>
      <c r="N568" s="7" t="s">
        <v>841</v>
      </c>
    </row>
    <row r="569" spans="1:14">
      <c r="A569" s="4" t="s">
        <v>1522</v>
      </c>
      <c r="B569" s="4" t="s">
        <v>1523</v>
      </c>
      <c r="C569" s="4" t="s">
        <v>15</v>
      </c>
      <c r="D569" s="4" t="s">
        <v>89</v>
      </c>
      <c r="E569" s="3" t="str">
        <f t="shared" si="8"/>
        <v>Data Science</v>
      </c>
      <c r="F569" s="4" t="s">
        <v>113</v>
      </c>
      <c r="G569" s="4" t="s">
        <v>65</v>
      </c>
      <c r="H569" s="4" t="s">
        <v>19</v>
      </c>
      <c r="I569" s="4">
        <v>145378</v>
      </c>
      <c r="J569" s="4" t="s">
        <v>1524</v>
      </c>
      <c r="K569" s="4">
        <v>5.8</v>
      </c>
      <c r="L569" s="4"/>
      <c r="M569" s="4" t="s">
        <v>29</v>
      </c>
      <c r="N569" s="8" t="s">
        <v>560</v>
      </c>
    </row>
    <row r="570" spans="1:14">
      <c r="A570" s="3" t="s">
        <v>1525</v>
      </c>
      <c r="B570" s="3" t="s">
        <v>766</v>
      </c>
      <c r="C570" s="3" t="s">
        <v>38</v>
      </c>
      <c r="D570" s="3" t="s">
        <v>51</v>
      </c>
      <c r="E570" s="3" t="str">
        <f t="shared" si="8"/>
        <v>Sales</v>
      </c>
      <c r="F570" s="3" t="s">
        <v>69</v>
      </c>
      <c r="G570" s="3" t="s">
        <v>26</v>
      </c>
      <c r="H570" s="3" t="s">
        <v>19</v>
      </c>
      <c r="I570" s="3">
        <v>95319</v>
      </c>
      <c r="J570" s="3" t="s">
        <v>1526</v>
      </c>
      <c r="K570" s="3">
        <v>2.7</v>
      </c>
      <c r="L570" s="3">
        <v>2.9</v>
      </c>
      <c r="M570" s="3" t="s">
        <v>35</v>
      </c>
      <c r="N570" s="7" t="s">
        <v>1114</v>
      </c>
    </row>
    <row r="571" spans="1:14">
      <c r="A571" s="4" t="s">
        <v>1527</v>
      </c>
      <c r="B571" s="4" t="s">
        <v>1383</v>
      </c>
      <c r="C571" s="4" t="s">
        <v>38</v>
      </c>
      <c r="D571" s="4" t="s">
        <v>51</v>
      </c>
      <c r="E571" s="3" t="str">
        <f t="shared" si="8"/>
        <v>Sales</v>
      </c>
      <c r="F571" s="4" t="s">
        <v>69</v>
      </c>
      <c r="G571" s="4" t="s">
        <v>114</v>
      </c>
      <c r="H571" s="4" t="s">
        <v>58</v>
      </c>
      <c r="I571" s="4">
        <v>29710</v>
      </c>
      <c r="J571" s="4" t="s">
        <v>1528</v>
      </c>
      <c r="K571" s="4">
        <v>6.1</v>
      </c>
      <c r="L571" s="4">
        <v>5</v>
      </c>
      <c r="M571" s="4" t="s">
        <v>35</v>
      </c>
      <c r="N571" s="8" t="s">
        <v>790</v>
      </c>
    </row>
    <row r="572" spans="1:14">
      <c r="A572" s="3" t="s">
        <v>1529</v>
      </c>
      <c r="B572" s="3" t="s">
        <v>1530</v>
      </c>
      <c r="C572" s="3" t="s">
        <v>62</v>
      </c>
      <c r="D572" s="3" t="s">
        <v>16</v>
      </c>
      <c r="E572" s="3" t="str">
        <f t="shared" si="8"/>
        <v>Devops</v>
      </c>
      <c r="F572" s="3" t="s">
        <v>335</v>
      </c>
      <c r="G572" s="3" t="s">
        <v>65</v>
      </c>
      <c r="H572" s="3" t="s">
        <v>27</v>
      </c>
      <c r="I572" s="3">
        <v>121958</v>
      </c>
      <c r="J572" s="3" t="s">
        <v>1531</v>
      </c>
      <c r="K572" s="3">
        <v>5.7</v>
      </c>
      <c r="L572" s="3"/>
      <c r="M572" s="3" t="s">
        <v>29</v>
      </c>
      <c r="N572" s="7" t="s">
        <v>1034</v>
      </c>
    </row>
    <row r="573" spans="1:14">
      <c r="A573" s="4" t="s">
        <v>1532</v>
      </c>
      <c r="B573" s="4" t="s">
        <v>655</v>
      </c>
      <c r="C573" s="4" t="s">
        <v>83</v>
      </c>
      <c r="D573" s="4" t="s">
        <v>176</v>
      </c>
      <c r="E573" s="3" t="str">
        <f t="shared" si="8"/>
        <v>Finance</v>
      </c>
      <c r="F573" s="4" t="s">
        <v>177</v>
      </c>
      <c r="G573" s="4" t="s">
        <v>53</v>
      </c>
      <c r="H573" s="4" t="s">
        <v>19</v>
      </c>
      <c r="I573" s="4">
        <v>20264</v>
      </c>
      <c r="J573" s="4" t="s">
        <v>971</v>
      </c>
      <c r="K573" s="4">
        <v>4.9000000000000004</v>
      </c>
      <c r="L573" s="4">
        <v>3.9</v>
      </c>
      <c r="M573" s="4" t="s">
        <v>42</v>
      </c>
      <c r="N573" s="8" t="s">
        <v>1500</v>
      </c>
    </row>
    <row r="574" spans="1:14">
      <c r="A574" s="3" t="s">
        <v>1533</v>
      </c>
      <c r="B574" s="3" t="s">
        <v>1534</v>
      </c>
      <c r="C574" s="3" t="s">
        <v>83</v>
      </c>
      <c r="D574" s="3" t="s">
        <v>133</v>
      </c>
      <c r="E574" s="3" t="str">
        <f t="shared" si="8"/>
        <v>Qa</v>
      </c>
      <c r="F574" s="3" t="s">
        <v>153</v>
      </c>
      <c r="G574" s="3" t="s">
        <v>65</v>
      </c>
      <c r="H574" s="3" t="s">
        <v>19</v>
      </c>
      <c r="I574" s="3">
        <v>25135</v>
      </c>
      <c r="J574" s="3" t="s">
        <v>1143</v>
      </c>
      <c r="K574" s="3">
        <v>3.1</v>
      </c>
      <c r="L574" s="3">
        <v>4.5</v>
      </c>
      <c r="M574" s="3" t="s">
        <v>29</v>
      </c>
      <c r="N574" s="7" t="s">
        <v>202</v>
      </c>
    </row>
    <row r="575" spans="1:14">
      <c r="A575" s="4" t="s">
        <v>1535</v>
      </c>
      <c r="B575" s="4" t="s">
        <v>1123</v>
      </c>
      <c r="C575" s="4" t="s">
        <v>23</v>
      </c>
      <c r="D575" s="4" t="s">
        <v>51</v>
      </c>
      <c r="E575" s="3" t="str">
        <f t="shared" si="8"/>
        <v>Sales</v>
      </c>
      <c r="F575" s="4" t="s">
        <v>69</v>
      </c>
      <c r="G575" s="4" t="s">
        <v>46</v>
      </c>
      <c r="H575" s="4" t="s">
        <v>19</v>
      </c>
      <c r="I575" s="4">
        <v>181995</v>
      </c>
      <c r="J575" s="4" t="s">
        <v>1536</v>
      </c>
      <c r="K575" s="4">
        <v>4.5</v>
      </c>
      <c r="L575" s="4">
        <v>3.3</v>
      </c>
      <c r="M575" s="4" t="s">
        <v>35</v>
      </c>
      <c r="N575" s="8" t="s">
        <v>390</v>
      </c>
    </row>
    <row r="576" spans="1:14">
      <c r="A576" s="3" t="s">
        <v>1537</v>
      </c>
      <c r="B576" s="3" t="s">
        <v>1538</v>
      </c>
      <c r="C576" s="3" t="s">
        <v>62</v>
      </c>
      <c r="D576" s="3" t="s">
        <v>51</v>
      </c>
      <c r="E576" s="3" t="str">
        <f t="shared" si="8"/>
        <v>Sales</v>
      </c>
      <c r="F576" s="3" t="s">
        <v>105</v>
      </c>
      <c r="G576" s="3" t="s">
        <v>46</v>
      </c>
      <c r="H576" s="3" t="s">
        <v>19</v>
      </c>
      <c r="I576" s="3">
        <v>192743</v>
      </c>
      <c r="J576" s="3" t="s">
        <v>1539</v>
      </c>
      <c r="K576" s="3">
        <v>5.6</v>
      </c>
      <c r="L576" s="3">
        <v>2.6</v>
      </c>
      <c r="M576" s="3" t="s">
        <v>35</v>
      </c>
      <c r="N576" s="7" t="s">
        <v>380</v>
      </c>
    </row>
    <row r="577" spans="1:14">
      <c r="A577" s="4" t="s">
        <v>1540</v>
      </c>
      <c r="B577" s="4" t="s">
        <v>129</v>
      </c>
      <c r="C577" s="4" t="s">
        <v>38</v>
      </c>
      <c r="D577" s="4" t="s">
        <v>84</v>
      </c>
      <c r="E577" s="3" t="str">
        <f t="shared" si="8"/>
        <v>Hr</v>
      </c>
      <c r="F577" s="4" t="s">
        <v>204</v>
      </c>
      <c r="G577" s="4" t="s">
        <v>53</v>
      </c>
      <c r="H577" s="4" t="s">
        <v>19</v>
      </c>
      <c r="I577" s="4">
        <v>189632</v>
      </c>
      <c r="J577" s="4" t="s">
        <v>1541</v>
      </c>
      <c r="K577" s="4">
        <v>5.7</v>
      </c>
      <c r="L577" s="4">
        <v>2.4</v>
      </c>
      <c r="M577" s="4" t="s">
        <v>35</v>
      </c>
      <c r="N577" s="8" t="s">
        <v>1256</v>
      </c>
    </row>
    <row r="578" spans="1:14">
      <c r="A578" s="3" t="s">
        <v>1542</v>
      </c>
      <c r="B578" s="3" t="s">
        <v>1543</v>
      </c>
      <c r="C578" s="3" t="s">
        <v>15</v>
      </c>
      <c r="D578" s="3" t="s">
        <v>89</v>
      </c>
      <c r="E578" s="3" t="str">
        <f t="shared" si="8"/>
        <v>Data Science</v>
      </c>
      <c r="F578" s="3" t="s">
        <v>376</v>
      </c>
      <c r="G578" s="3" t="s">
        <v>46</v>
      </c>
      <c r="H578" s="3" t="s">
        <v>19</v>
      </c>
      <c r="I578" s="3">
        <v>118058</v>
      </c>
      <c r="J578" s="3" t="s">
        <v>1544</v>
      </c>
      <c r="K578" s="3">
        <v>3.5</v>
      </c>
      <c r="L578" s="3">
        <v>3.1</v>
      </c>
      <c r="M578" s="3" t="s">
        <v>35</v>
      </c>
      <c r="N578" s="7" t="s">
        <v>1115</v>
      </c>
    </row>
    <row r="579" spans="1:14">
      <c r="A579" s="4" t="s">
        <v>1545</v>
      </c>
      <c r="B579" s="4" t="s">
        <v>1546</v>
      </c>
      <c r="C579" s="4" t="s">
        <v>83</v>
      </c>
      <c r="D579" s="4" t="s">
        <v>84</v>
      </c>
      <c r="E579" s="3" t="str">
        <f t="shared" ref="E579:E601" si="9">PROPER(D579)</f>
        <v>Hr</v>
      </c>
      <c r="F579" s="4" t="s">
        <v>204</v>
      </c>
      <c r="G579" s="4" t="s">
        <v>149</v>
      </c>
      <c r="H579" s="4" t="s">
        <v>33</v>
      </c>
      <c r="I579" s="4">
        <v>56512</v>
      </c>
      <c r="J579" s="4" t="s">
        <v>1547</v>
      </c>
      <c r="K579" s="4">
        <v>6.1</v>
      </c>
      <c r="L579" s="4">
        <v>5</v>
      </c>
      <c r="M579" s="4" t="s">
        <v>35</v>
      </c>
      <c r="N579" s="8" t="s">
        <v>1196</v>
      </c>
    </row>
    <row r="580" spans="1:14">
      <c r="A580" s="3" t="s">
        <v>1548</v>
      </c>
      <c r="B580" s="3" t="s">
        <v>1414</v>
      </c>
      <c r="C580" s="3" t="s">
        <v>23</v>
      </c>
      <c r="D580" s="3" t="s">
        <v>63</v>
      </c>
      <c r="E580" s="3" t="str">
        <f t="shared" si="9"/>
        <v>Product</v>
      </c>
      <c r="F580" s="3" t="s">
        <v>64</v>
      </c>
      <c r="G580" s="3" t="s">
        <v>149</v>
      </c>
      <c r="H580" s="3" t="s">
        <v>19</v>
      </c>
      <c r="I580" s="3">
        <v>98230</v>
      </c>
      <c r="J580" s="3" t="s">
        <v>1549</v>
      </c>
      <c r="K580" s="3">
        <v>4.4000000000000004</v>
      </c>
      <c r="L580" s="3">
        <v>3.5</v>
      </c>
      <c r="M580" s="3" t="s">
        <v>29</v>
      </c>
      <c r="N580" s="7" t="s">
        <v>1280</v>
      </c>
    </row>
    <row r="581" spans="1:14">
      <c r="A581" s="4" t="s">
        <v>1550</v>
      </c>
      <c r="B581" s="4" t="s">
        <v>452</v>
      </c>
      <c r="C581" s="4" t="s">
        <v>15</v>
      </c>
      <c r="D581" s="4" t="s">
        <v>410</v>
      </c>
      <c r="E581" s="3" t="str">
        <f t="shared" si="9"/>
        <v>Sales</v>
      </c>
      <c r="F581" s="4" t="s">
        <v>105</v>
      </c>
      <c r="G581" s="4" t="s">
        <v>32</v>
      </c>
      <c r="H581" s="4" t="s">
        <v>19</v>
      </c>
      <c r="I581" s="4">
        <v>113100</v>
      </c>
      <c r="J581" s="4" t="s">
        <v>1551</v>
      </c>
      <c r="K581" s="4">
        <v>6.9</v>
      </c>
      <c r="L581" s="4">
        <v>2.4</v>
      </c>
      <c r="M581" s="4" t="s">
        <v>35</v>
      </c>
      <c r="N581" s="8" t="s">
        <v>1242</v>
      </c>
    </row>
    <row r="582" spans="1:14">
      <c r="A582" s="3" t="s">
        <v>1552</v>
      </c>
      <c r="B582" s="3" t="s">
        <v>314</v>
      </c>
      <c r="C582" s="3" t="s">
        <v>15</v>
      </c>
      <c r="D582" s="3" t="s">
        <v>84</v>
      </c>
      <c r="E582" s="3" t="str">
        <f t="shared" si="9"/>
        <v>Hr</v>
      </c>
      <c r="F582" s="3" t="s">
        <v>138</v>
      </c>
      <c r="G582" s="3" t="s">
        <v>172</v>
      </c>
      <c r="H582" s="3" t="s">
        <v>47</v>
      </c>
      <c r="I582" s="3">
        <v>124157</v>
      </c>
      <c r="J582" s="3" t="s">
        <v>1553</v>
      </c>
      <c r="K582" s="3">
        <v>4.0999999999999996</v>
      </c>
      <c r="L582" s="3">
        <v>1.8</v>
      </c>
      <c r="M582" s="3" t="s">
        <v>35</v>
      </c>
      <c r="N582" s="7" t="s">
        <v>1362</v>
      </c>
    </row>
    <row r="583" spans="1:14">
      <c r="A583" s="4" t="s">
        <v>1554</v>
      </c>
      <c r="B583" s="4" t="s">
        <v>1235</v>
      </c>
      <c r="C583" s="4" t="s">
        <v>15</v>
      </c>
      <c r="D583" s="4" t="s">
        <v>16</v>
      </c>
      <c r="E583" s="3" t="str">
        <f t="shared" si="9"/>
        <v>Devops</v>
      </c>
      <c r="F583" s="4" t="s">
        <v>335</v>
      </c>
      <c r="G583" s="4" t="s">
        <v>172</v>
      </c>
      <c r="H583" s="4" t="s">
        <v>19</v>
      </c>
      <c r="I583" s="4">
        <v>111176</v>
      </c>
      <c r="J583" s="4" t="s">
        <v>1555</v>
      </c>
      <c r="K583" s="4">
        <v>5.0999999999999996</v>
      </c>
      <c r="L583" s="4"/>
      <c r="M583" s="4" t="s">
        <v>35</v>
      </c>
      <c r="N583" s="8" t="s">
        <v>808</v>
      </c>
    </row>
    <row r="584" spans="1:14">
      <c r="A584" s="3" t="s">
        <v>1556</v>
      </c>
      <c r="B584" s="3" t="s">
        <v>468</v>
      </c>
      <c r="C584" s="3" t="s">
        <v>15</v>
      </c>
      <c r="D584" s="3" t="s">
        <v>24</v>
      </c>
      <c r="E584" s="3" t="str">
        <f t="shared" si="9"/>
        <v>Design</v>
      </c>
      <c r="F584" s="3" t="s">
        <v>94</v>
      </c>
      <c r="G584" s="3" t="s">
        <v>53</v>
      </c>
      <c r="H584" s="3" t="s">
        <v>58</v>
      </c>
      <c r="I584" s="3">
        <v>102347</v>
      </c>
      <c r="J584" s="3" t="s">
        <v>1154</v>
      </c>
      <c r="K584" s="3">
        <v>3.6</v>
      </c>
      <c r="L584" s="3">
        <v>4.8</v>
      </c>
      <c r="M584" s="3" t="s">
        <v>35</v>
      </c>
      <c r="N584" s="7" t="s">
        <v>274</v>
      </c>
    </row>
    <row r="585" spans="1:14">
      <c r="A585" s="4" t="s">
        <v>1557</v>
      </c>
      <c r="B585" s="4" t="s">
        <v>499</v>
      </c>
      <c r="C585" s="4" t="s">
        <v>57</v>
      </c>
      <c r="D585" s="4" t="s">
        <v>24</v>
      </c>
      <c r="E585" s="3" t="str">
        <f t="shared" si="9"/>
        <v>Design</v>
      </c>
      <c r="F585" s="4" t="s">
        <v>45</v>
      </c>
      <c r="G585" s="4" t="s">
        <v>18</v>
      </c>
      <c r="H585" s="4" t="s">
        <v>47</v>
      </c>
      <c r="I585" s="4">
        <v>164683</v>
      </c>
      <c r="J585" s="4" t="s">
        <v>1558</v>
      </c>
      <c r="K585" s="4">
        <v>6.9</v>
      </c>
      <c r="L585" s="4">
        <v>3.8</v>
      </c>
      <c r="M585" s="4" t="s">
        <v>29</v>
      </c>
      <c r="N585" s="8" t="s">
        <v>841</v>
      </c>
    </row>
    <row r="586" spans="1:14">
      <c r="A586" s="3" t="s">
        <v>1559</v>
      </c>
      <c r="B586" s="3" t="s">
        <v>509</v>
      </c>
      <c r="C586" s="3" t="s">
        <v>23</v>
      </c>
      <c r="D586" s="3" t="s">
        <v>63</v>
      </c>
      <c r="E586" s="3" t="str">
        <f t="shared" si="9"/>
        <v>Product</v>
      </c>
      <c r="F586" s="3" t="s">
        <v>64</v>
      </c>
      <c r="G586" s="3" t="s">
        <v>214</v>
      </c>
      <c r="H586" s="3" t="s">
        <v>27</v>
      </c>
      <c r="I586" s="3">
        <v>197795</v>
      </c>
      <c r="J586" s="3" t="s">
        <v>1560</v>
      </c>
      <c r="K586" s="3">
        <v>2.5</v>
      </c>
      <c r="L586" s="3">
        <v>3</v>
      </c>
      <c r="M586" s="3" t="s">
        <v>29</v>
      </c>
      <c r="N586" s="7" t="s">
        <v>1473</v>
      </c>
    </row>
    <row r="587" spans="1:14">
      <c r="A587" s="4" t="s">
        <v>1561</v>
      </c>
      <c r="B587" s="4" t="s">
        <v>1183</v>
      </c>
      <c r="C587" s="4" t="s">
        <v>83</v>
      </c>
      <c r="D587" s="4" t="s">
        <v>133</v>
      </c>
      <c r="E587" s="3" t="str">
        <f t="shared" si="9"/>
        <v>Qa</v>
      </c>
      <c r="F587" s="4" t="s">
        <v>153</v>
      </c>
      <c r="G587" s="4" t="s">
        <v>32</v>
      </c>
      <c r="H587" s="4" t="s">
        <v>47</v>
      </c>
      <c r="I587" s="4">
        <v>209497</v>
      </c>
      <c r="J587" s="4" t="s">
        <v>1562</v>
      </c>
      <c r="K587" s="4">
        <v>4.9000000000000004</v>
      </c>
      <c r="L587" s="4">
        <v>4.2</v>
      </c>
      <c r="M587" s="4" t="s">
        <v>35</v>
      </c>
      <c r="N587" s="8" t="s">
        <v>279</v>
      </c>
    </row>
    <row r="588" spans="1:14">
      <c r="A588" s="3" t="s">
        <v>1563</v>
      </c>
      <c r="B588" s="3" t="s">
        <v>1564</v>
      </c>
      <c r="C588" s="3" t="s">
        <v>57</v>
      </c>
      <c r="D588" s="3" t="s">
        <v>39</v>
      </c>
      <c r="E588" s="3" t="str">
        <f t="shared" si="9"/>
        <v>Engineering</v>
      </c>
      <c r="F588" s="3" t="s">
        <v>109</v>
      </c>
      <c r="G588" s="3" t="s">
        <v>214</v>
      </c>
      <c r="H588" s="3" t="s">
        <v>47</v>
      </c>
      <c r="I588" s="3">
        <v>105654</v>
      </c>
      <c r="J588" s="3" t="s">
        <v>1499</v>
      </c>
      <c r="K588" s="3">
        <v>4.7</v>
      </c>
      <c r="L588" s="3">
        <v>3.5</v>
      </c>
      <c r="M588" s="3" t="s">
        <v>42</v>
      </c>
      <c r="N588" s="7" t="s">
        <v>358</v>
      </c>
    </row>
    <row r="589" spans="1:14">
      <c r="A589" s="4" t="s">
        <v>1565</v>
      </c>
      <c r="B589" s="4" t="s">
        <v>1566</v>
      </c>
      <c r="C589" s="4" t="s">
        <v>57</v>
      </c>
      <c r="D589" s="4" t="s">
        <v>16</v>
      </c>
      <c r="E589" s="3" t="str">
        <f t="shared" si="9"/>
        <v>Devops</v>
      </c>
      <c r="F589" s="4" t="s">
        <v>123</v>
      </c>
      <c r="G589" s="4" t="s">
        <v>114</v>
      </c>
      <c r="H589" s="4" t="s">
        <v>19</v>
      </c>
      <c r="I589" s="4">
        <v>79717</v>
      </c>
      <c r="J589" s="4" t="s">
        <v>1567</v>
      </c>
      <c r="K589" s="4">
        <v>6.9</v>
      </c>
      <c r="L589" s="4">
        <v>1.5</v>
      </c>
      <c r="M589" s="4" t="s">
        <v>42</v>
      </c>
      <c r="N589" s="8" t="s">
        <v>1463</v>
      </c>
    </row>
    <row r="590" spans="1:14">
      <c r="A590" s="3" t="s">
        <v>1568</v>
      </c>
      <c r="B590" s="3" t="s">
        <v>1569</v>
      </c>
      <c r="C590" s="3" t="s">
        <v>57</v>
      </c>
      <c r="D590" s="3" t="s">
        <v>133</v>
      </c>
      <c r="E590" s="3" t="str">
        <f t="shared" si="9"/>
        <v>Qa</v>
      </c>
      <c r="F590" s="3" t="s">
        <v>134</v>
      </c>
      <c r="G590" s="3" t="s">
        <v>75</v>
      </c>
      <c r="H590" s="3" t="s">
        <v>33</v>
      </c>
      <c r="I590" s="3">
        <v>135287</v>
      </c>
      <c r="J590" s="3" t="s">
        <v>1570</v>
      </c>
      <c r="K590" s="3">
        <v>1.7</v>
      </c>
      <c r="L590" s="3">
        <v>3.9</v>
      </c>
      <c r="M590" s="3" t="s">
        <v>35</v>
      </c>
      <c r="N590" s="7" t="s">
        <v>1525</v>
      </c>
    </row>
    <row r="591" spans="1:14">
      <c r="A591" s="4" t="s">
        <v>1571</v>
      </c>
      <c r="B591" s="4" t="s">
        <v>468</v>
      </c>
      <c r="C591" s="4" t="s">
        <v>57</v>
      </c>
      <c r="D591" s="4" t="s">
        <v>84</v>
      </c>
      <c r="E591" s="3" t="str">
        <f t="shared" si="9"/>
        <v>Hr</v>
      </c>
      <c r="F591" s="4" t="s">
        <v>85</v>
      </c>
      <c r="G591" s="4" t="s">
        <v>70</v>
      </c>
      <c r="H591" s="4" t="s">
        <v>19</v>
      </c>
      <c r="I591" s="4">
        <v>158509</v>
      </c>
      <c r="J591" s="4" t="s">
        <v>653</v>
      </c>
      <c r="K591" s="4">
        <v>0.7</v>
      </c>
      <c r="L591" s="4">
        <v>1.8</v>
      </c>
      <c r="M591" s="4" t="s">
        <v>35</v>
      </c>
      <c r="N591" s="8" t="s">
        <v>680</v>
      </c>
    </row>
    <row r="592" spans="1:14">
      <c r="A592" s="3" t="s">
        <v>1572</v>
      </c>
      <c r="B592" s="3" t="s">
        <v>1573</v>
      </c>
      <c r="C592" s="3" t="s">
        <v>15</v>
      </c>
      <c r="D592" s="3" t="s">
        <v>176</v>
      </c>
      <c r="E592" s="3" t="str">
        <f t="shared" si="9"/>
        <v>Finance</v>
      </c>
      <c r="F592" s="3" t="s">
        <v>177</v>
      </c>
      <c r="G592" s="3" t="s">
        <v>172</v>
      </c>
      <c r="H592" s="3" t="s">
        <v>47</v>
      </c>
      <c r="I592" s="3">
        <v>30819</v>
      </c>
      <c r="J592" s="3" t="s">
        <v>1574</v>
      </c>
      <c r="K592" s="3">
        <v>6.4</v>
      </c>
      <c r="L592" s="3">
        <v>2.4</v>
      </c>
      <c r="M592" s="3" t="s">
        <v>35</v>
      </c>
      <c r="N592" s="7" t="s">
        <v>299</v>
      </c>
    </row>
    <row r="593" spans="1:14">
      <c r="A593" s="4" t="s">
        <v>1575</v>
      </c>
      <c r="B593" s="4" t="s">
        <v>1576</v>
      </c>
      <c r="C593" s="4" t="s">
        <v>62</v>
      </c>
      <c r="D593" s="4" t="s">
        <v>84</v>
      </c>
      <c r="E593" s="3" t="str">
        <f t="shared" si="9"/>
        <v>Hr</v>
      </c>
      <c r="F593" s="4" t="s">
        <v>138</v>
      </c>
      <c r="G593" s="4" t="s">
        <v>114</v>
      </c>
      <c r="H593" s="4" t="s">
        <v>33</v>
      </c>
      <c r="I593" s="4">
        <v>218808</v>
      </c>
      <c r="J593" s="4" t="s">
        <v>1577</v>
      </c>
      <c r="K593" s="4">
        <v>1.7</v>
      </c>
      <c r="L593" s="4">
        <v>4.7</v>
      </c>
      <c r="M593" s="4" t="s">
        <v>42</v>
      </c>
      <c r="N593" s="8" t="s">
        <v>797</v>
      </c>
    </row>
    <row r="594" spans="1:14">
      <c r="A594" s="3" t="s">
        <v>1578</v>
      </c>
      <c r="B594" s="3" t="s">
        <v>1579</v>
      </c>
      <c r="C594" s="3" t="s">
        <v>38</v>
      </c>
      <c r="D594" s="3" t="s">
        <v>39</v>
      </c>
      <c r="E594" s="3" t="str">
        <f t="shared" si="9"/>
        <v>Engineering</v>
      </c>
      <c r="F594" s="3" t="s">
        <v>242</v>
      </c>
      <c r="G594" s="3" t="s">
        <v>18</v>
      </c>
      <c r="H594" s="3" t="s">
        <v>33</v>
      </c>
      <c r="I594" s="3">
        <v>53074</v>
      </c>
      <c r="J594" s="3" t="s">
        <v>1580</v>
      </c>
      <c r="K594" s="3">
        <v>1.3</v>
      </c>
      <c r="L594" s="3">
        <v>3.1</v>
      </c>
      <c r="M594" s="3" t="s">
        <v>42</v>
      </c>
      <c r="N594" s="7" t="s">
        <v>714</v>
      </c>
    </row>
    <row r="595" spans="1:14">
      <c r="A595" s="4" t="s">
        <v>1581</v>
      </c>
      <c r="B595" s="4" t="s">
        <v>769</v>
      </c>
      <c r="C595" s="4" t="s">
        <v>57</v>
      </c>
      <c r="D595" s="4" t="s">
        <v>89</v>
      </c>
      <c r="E595" s="3" t="str">
        <f t="shared" si="9"/>
        <v>Data Science</v>
      </c>
      <c r="F595" s="4" t="s">
        <v>90</v>
      </c>
      <c r="G595" s="4" t="s">
        <v>114</v>
      </c>
      <c r="H595" s="4" t="s">
        <v>47</v>
      </c>
      <c r="I595" s="4">
        <v>178143</v>
      </c>
      <c r="J595" s="4" t="s">
        <v>1582</v>
      </c>
      <c r="K595" s="4">
        <v>2</v>
      </c>
      <c r="L595" s="4">
        <v>3.3</v>
      </c>
      <c r="M595" s="4" t="s">
        <v>35</v>
      </c>
      <c r="N595" s="8" t="s">
        <v>1234</v>
      </c>
    </row>
    <row r="596" spans="1:14">
      <c r="A596" s="3" t="s">
        <v>1583</v>
      </c>
      <c r="B596" s="3" t="s">
        <v>730</v>
      </c>
      <c r="C596" s="3" t="s">
        <v>23</v>
      </c>
      <c r="D596" s="3" t="s">
        <v>89</v>
      </c>
      <c r="E596" s="3" t="str">
        <f t="shared" si="9"/>
        <v>Data Science</v>
      </c>
      <c r="F596" s="3" t="s">
        <v>221</v>
      </c>
      <c r="G596" s="3" t="s">
        <v>65</v>
      </c>
      <c r="H596" s="3" t="s">
        <v>27</v>
      </c>
      <c r="I596" s="3">
        <v>67080</v>
      </c>
      <c r="J596" s="3" t="s">
        <v>1141</v>
      </c>
      <c r="K596" s="3">
        <v>5</v>
      </c>
      <c r="L596" s="3">
        <v>2.1</v>
      </c>
      <c r="M596" s="3" t="s">
        <v>35</v>
      </c>
      <c r="N596" s="7" t="s">
        <v>1433</v>
      </c>
    </row>
    <row r="597" spans="1:14">
      <c r="A597" s="4" t="s">
        <v>1584</v>
      </c>
      <c r="B597" s="4" t="s">
        <v>865</v>
      </c>
      <c r="C597" s="4" t="s">
        <v>15</v>
      </c>
      <c r="D597" s="4" t="s">
        <v>51</v>
      </c>
      <c r="E597" s="3" t="str">
        <f t="shared" si="9"/>
        <v>Sales</v>
      </c>
      <c r="F597" s="4" t="s">
        <v>105</v>
      </c>
      <c r="G597" s="4" t="s">
        <v>70</v>
      </c>
      <c r="H597" s="4" t="s">
        <v>47</v>
      </c>
      <c r="I597" s="4">
        <v>183155</v>
      </c>
      <c r="J597" s="4" t="s">
        <v>1585</v>
      </c>
      <c r="K597" s="4">
        <v>2.6</v>
      </c>
      <c r="L597" s="4">
        <v>1.6</v>
      </c>
      <c r="M597" s="4" t="s">
        <v>42</v>
      </c>
      <c r="N597" s="8" t="s">
        <v>1571</v>
      </c>
    </row>
    <row r="598" spans="1:14">
      <c r="A598" s="3" t="s">
        <v>1586</v>
      </c>
      <c r="B598" s="3" t="s">
        <v>1587</v>
      </c>
      <c r="C598" s="3" t="s">
        <v>57</v>
      </c>
      <c r="D598" s="3" t="s">
        <v>63</v>
      </c>
      <c r="E598" s="3" t="str">
        <f t="shared" si="9"/>
        <v>Product</v>
      </c>
      <c r="F598" s="3" t="s">
        <v>225</v>
      </c>
      <c r="G598" s="3" t="s">
        <v>70</v>
      </c>
      <c r="H598" s="3" t="s">
        <v>27</v>
      </c>
      <c r="I598" s="3">
        <v>18177</v>
      </c>
      <c r="J598" s="3" t="s">
        <v>1199</v>
      </c>
      <c r="K598" s="3">
        <v>3.7</v>
      </c>
      <c r="L598" s="3">
        <v>5</v>
      </c>
      <c r="M598" s="3" t="s">
        <v>35</v>
      </c>
      <c r="N598" s="7" t="s">
        <v>186</v>
      </c>
    </row>
    <row r="599" spans="1:14">
      <c r="A599" s="4" t="s">
        <v>1588</v>
      </c>
      <c r="B599" s="4" t="s">
        <v>673</v>
      </c>
      <c r="C599" s="4" t="s">
        <v>57</v>
      </c>
      <c r="D599" s="4" t="s">
        <v>16</v>
      </c>
      <c r="E599" s="3" t="str">
        <f t="shared" si="9"/>
        <v>Devops</v>
      </c>
      <c r="F599" s="4" t="s">
        <v>17</v>
      </c>
      <c r="G599" s="4" t="s">
        <v>75</v>
      </c>
      <c r="H599" s="4" t="s">
        <v>27</v>
      </c>
      <c r="I599" s="4">
        <v>55536</v>
      </c>
      <c r="J599" s="4" t="s">
        <v>1589</v>
      </c>
      <c r="K599" s="4">
        <v>2</v>
      </c>
      <c r="L599" s="4">
        <v>4.9000000000000004</v>
      </c>
      <c r="M599" s="4" t="s">
        <v>35</v>
      </c>
      <c r="N599" s="8" t="s">
        <v>291</v>
      </c>
    </row>
    <row r="600" spans="1:14">
      <c r="A600" s="3" t="s">
        <v>1590</v>
      </c>
      <c r="B600" s="3" t="s">
        <v>1591</v>
      </c>
      <c r="C600" s="3" t="s">
        <v>38</v>
      </c>
      <c r="D600" s="3" t="s">
        <v>84</v>
      </c>
      <c r="E600" s="3" t="str">
        <f t="shared" si="9"/>
        <v>Hr</v>
      </c>
      <c r="F600" s="3" t="s">
        <v>204</v>
      </c>
      <c r="G600" s="3" t="s">
        <v>26</v>
      </c>
      <c r="H600" s="3" t="s">
        <v>19</v>
      </c>
      <c r="I600" s="3">
        <v>171132</v>
      </c>
      <c r="J600" s="3" t="s">
        <v>1592</v>
      </c>
      <c r="K600" s="3">
        <v>3.3</v>
      </c>
      <c r="L600" s="3">
        <v>4</v>
      </c>
      <c r="M600" s="3" t="s">
        <v>35</v>
      </c>
      <c r="N600" s="7" t="s">
        <v>1529</v>
      </c>
    </row>
    <row r="601" spans="1:14">
      <c r="A601" s="5" t="s">
        <v>1593</v>
      </c>
      <c r="B601" s="5" t="s">
        <v>601</v>
      </c>
      <c r="C601" s="5" t="s">
        <v>15</v>
      </c>
      <c r="D601" s="5" t="s">
        <v>24</v>
      </c>
      <c r="E601" s="3" t="str">
        <f t="shared" si="9"/>
        <v>Design</v>
      </c>
      <c r="F601" s="5" t="s">
        <v>94</v>
      </c>
      <c r="G601" s="5" t="s">
        <v>172</v>
      </c>
      <c r="H601" s="5" t="s">
        <v>19</v>
      </c>
      <c r="I601" s="5">
        <v>128854</v>
      </c>
      <c r="J601" s="5" t="s">
        <v>1594</v>
      </c>
      <c r="K601" s="5">
        <v>4.5</v>
      </c>
      <c r="L601" s="5">
        <v>3</v>
      </c>
      <c r="M601" s="5" t="s">
        <v>42</v>
      </c>
      <c r="N601" s="9" t="s"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9DF6-005C-4272-A61B-5F8262A344EA}">
  <dimension ref="A1:O201"/>
  <sheetViews>
    <sheetView workbookViewId="0">
      <selection sqref="A1:A201"/>
    </sheetView>
  </sheetViews>
  <sheetFormatPr defaultRowHeight="15"/>
  <cols>
    <col min="2" max="2" width="27.42578125" customWidth="1"/>
    <col min="3" max="3" width="18.28515625" customWidth="1"/>
    <col min="4" max="4" width="21.7109375" customWidth="1"/>
    <col min="5" max="5" width="17.140625" customWidth="1"/>
    <col min="6" max="6" width="8.42578125" customWidth="1"/>
    <col min="7" max="8" width="12.42578125" customWidth="1"/>
    <col min="9" max="9" width="12.140625" customWidth="1"/>
    <col min="10" max="10" width="11.42578125" customWidth="1"/>
    <col min="11" max="11" width="14.5703125" customWidth="1"/>
    <col min="12" max="12" width="11.140625" customWidth="1"/>
    <col min="13" max="13" width="12.42578125" customWidth="1"/>
    <col min="14" max="14" width="11.140625" customWidth="1"/>
    <col min="15" max="15" width="11.7109375" bestFit="1" customWidth="1"/>
  </cols>
  <sheetData>
    <row r="1" spans="1:15" ht="24">
      <c r="A1" s="10" t="s">
        <v>1595</v>
      </c>
      <c r="B1" s="10" t="s">
        <v>1596</v>
      </c>
      <c r="C1" s="10" t="s">
        <v>1597</v>
      </c>
      <c r="D1" s="10" t="s">
        <v>5</v>
      </c>
      <c r="E1" s="10" t="s">
        <v>1598</v>
      </c>
      <c r="F1" s="10" t="s">
        <v>1599</v>
      </c>
      <c r="G1" s="10" t="s">
        <v>1600</v>
      </c>
      <c r="H1" s="11" t="s">
        <v>1601</v>
      </c>
      <c r="I1" s="11" t="s">
        <v>1602</v>
      </c>
      <c r="J1" s="10" t="s">
        <v>1603</v>
      </c>
      <c r="K1" s="10" t="s">
        <v>1604</v>
      </c>
      <c r="L1" s="10" t="s">
        <v>1605</v>
      </c>
      <c r="M1" s="10" t="s">
        <v>1606</v>
      </c>
      <c r="N1" s="10" t="s">
        <v>1607</v>
      </c>
      <c r="O1" s="6"/>
    </row>
    <row r="2" spans="1:15">
      <c r="A2" s="12" t="s">
        <v>1608</v>
      </c>
      <c r="B2" s="12" t="s">
        <v>1609</v>
      </c>
      <c r="C2" s="12" t="s">
        <v>1610</v>
      </c>
      <c r="D2" s="12" t="s">
        <v>172</v>
      </c>
      <c r="E2" s="12" t="s">
        <v>1611</v>
      </c>
      <c r="F2" s="12">
        <v>172.82</v>
      </c>
      <c r="G2" s="12">
        <v>149.22</v>
      </c>
      <c r="H2" s="13" t="s">
        <v>1612</v>
      </c>
      <c r="I2" s="13" t="s">
        <v>1613</v>
      </c>
      <c r="J2" s="12"/>
      <c r="K2" s="12" t="s">
        <v>1614</v>
      </c>
      <c r="L2" s="12">
        <v>16</v>
      </c>
      <c r="M2" s="12">
        <v>7765.2</v>
      </c>
      <c r="N2" s="12" t="s">
        <v>1398</v>
      </c>
    </row>
    <row r="3" spans="1:15">
      <c r="A3" s="14" t="s">
        <v>1615</v>
      </c>
      <c r="B3" s="14" t="s">
        <v>1609</v>
      </c>
      <c r="C3" s="14" t="s">
        <v>1616</v>
      </c>
      <c r="D3" s="14" t="s">
        <v>70</v>
      </c>
      <c r="E3" s="14" t="s">
        <v>1617</v>
      </c>
      <c r="F3" s="14">
        <v>123.83</v>
      </c>
      <c r="G3" s="14">
        <v>158.34</v>
      </c>
      <c r="H3" s="15" t="s">
        <v>1618</v>
      </c>
      <c r="I3" s="15" t="s">
        <v>1619</v>
      </c>
      <c r="J3" s="14"/>
      <c r="K3" s="14" t="s">
        <v>1614</v>
      </c>
      <c r="L3" s="14">
        <v>4</v>
      </c>
      <c r="M3" s="14">
        <v>2114.3000000000002</v>
      </c>
      <c r="N3" s="14" t="s">
        <v>1438</v>
      </c>
    </row>
    <row r="4" spans="1:15">
      <c r="A4" s="12" t="s">
        <v>1620</v>
      </c>
      <c r="B4" s="12" t="s">
        <v>1621</v>
      </c>
      <c r="C4" s="12" t="s">
        <v>1622</v>
      </c>
      <c r="D4" s="12" t="s">
        <v>75</v>
      </c>
      <c r="E4" s="12" t="s">
        <v>1623</v>
      </c>
      <c r="F4" s="12">
        <v>110.56</v>
      </c>
      <c r="G4" s="12">
        <v>114.91</v>
      </c>
      <c r="H4" s="13" t="s">
        <v>817</v>
      </c>
      <c r="I4" s="13" t="s">
        <v>1624</v>
      </c>
      <c r="J4" s="12"/>
      <c r="K4" s="12" t="s">
        <v>1625</v>
      </c>
      <c r="L4" s="12">
        <v>14</v>
      </c>
      <c r="M4" s="12">
        <v>1820.4</v>
      </c>
      <c r="N4" s="12" t="s">
        <v>462</v>
      </c>
    </row>
    <row r="5" spans="1:15">
      <c r="A5" s="14" t="s">
        <v>1626</v>
      </c>
      <c r="B5" s="14" t="s">
        <v>1627</v>
      </c>
      <c r="C5" s="14" t="s">
        <v>1628</v>
      </c>
      <c r="D5" s="14" t="s">
        <v>70</v>
      </c>
      <c r="E5" s="14" t="s">
        <v>1629</v>
      </c>
      <c r="F5" s="14">
        <v>167.36</v>
      </c>
      <c r="G5" s="14">
        <v>156.31</v>
      </c>
      <c r="H5" s="15" t="s">
        <v>1630</v>
      </c>
      <c r="I5" s="15" t="s">
        <v>1631</v>
      </c>
      <c r="J5" s="14"/>
      <c r="K5" s="14" t="s">
        <v>1632</v>
      </c>
      <c r="L5" s="14">
        <v>5</v>
      </c>
      <c r="M5" s="14">
        <v>4444.3999999999996</v>
      </c>
      <c r="N5" s="14" t="s">
        <v>1446</v>
      </c>
    </row>
    <row r="6" spans="1:15">
      <c r="A6" s="12" t="s">
        <v>1633</v>
      </c>
      <c r="B6" s="12" t="s">
        <v>1627</v>
      </c>
      <c r="C6" s="12" t="s">
        <v>1634</v>
      </c>
      <c r="D6" s="12" t="s">
        <v>65</v>
      </c>
      <c r="E6" s="12" t="s">
        <v>1635</v>
      </c>
      <c r="F6" s="12">
        <v>111.58</v>
      </c>
      <c r="G6" s="12">
        <v>82.9</v>
      </c>
      <c r="H6" s="13" t="s">
        <v>1424</v>
      </c>
      <c r="I6" s="13" t="s">
        <v>1636</v>
      </c>
      <c r="J6" s="12" t="s">
        <v>1637</v>
      </c>
      <c r="K6" s="12" t="s">
        <v>1638</v>
      </c>
      <c r="L6" s="12">
        <v>16</v>
      </c>
      <c r="M6" s="12">
        <v>10825.8</v>
      </c>
      <c r="N6" s="12" t="s">
        <v>683</v>
      </c>
    </row>
    <row r="7" spans="1:15">
      <c r="A7" s="14" t="s">
        <v>1639</v>
      </c>
      <c r="B7" s="14" t="s">
        <v>1640</v>
      </c>
      <c r="C7" s="14" t="s">
        <v>1641</v>
      </c>
      <c r="D7" s="14" t="s">
        <v>26</v>
      </c>
      <c r="E7" s="14" t="s">
        <v>1642</v>
      </c>
      <c r="F7" s="14">
        <v>167.64</v>
      </c>
      <c r="G7" s="14">
        <v>168.44</v>
      </c>
      <c r="H7" s="15" t="s">
        <v>1643</v>
      </c>
      <c r="I7" s="15" t="s">
        <v>1644</v>
      </c>
      <c r="J7" s="14"/>
      <c r="K7" s="14" t="s">
        <v>1632</v>
      </c>
      <c r="L7" s="14">
        <v>17</v>
      </c>
      <c r="M7" s="14">
        <v>5174.3</v>
      </c>
      <c r="N7" s="14" t="s">
        <v>538</v>
      </c>
    </row>
    <row r="8" spans="1:15">
      <c r="A8" s="12" t="s">
        <v>1645</v>
      </c>
      <c r="B8" s="12" t="s">
        <v>1646</v>
      </c>
      <c r="C8" s="12" t="s">
        <v>1628</v>
      </c>
      <c r="D8" s="12" t="s">
        <v>114</v>
      </c>
      <c r="E8" s="12" t="s">
        <v>1617</v>
      </c>
      <c r="F8" s="12">
        <v>78.19</v>
      </c>
      <c r="G8" s="12">
        <v>69.7</v>
      </c>
      <c r="H8" s="13" t="s">
        <v>1647</v>
      </c>
      <c r="I8" s="13" t="s">
        <v>1648</v>
      </c>
      <c r="J8" s="12"/>
      <c r="K8" s="12" t="s">
        <v>1625</v>
      </c>
      <c r="L8" s="12">
        <v>15</v>
      </c>
      <c r="M8" s="12">
        <v>10820.4</v>
      </c>
      <c r="N8" s="12" t="s">
        <v>382</v>
      </c>
    </row>
    <row r="9" spans="1:15">
      <c r="A9" s="14" t="s">
        <v>1649</v>
      </c>
      <c r="B9" s="14" t="s">
        <v>1640</v>
      </c>
      <c r="C9" s="14" t="s">
        <v>1622</v>
      </c>
      <c r="D9" s="14" t="s">
        <v>26</v>
      </c>
      <c r="E9" s="14" t="s">
        <v>1650</v>
      </c>
      <c r="F9" s="14">
        <v>101.73</v>
      </c>
      <c r="G9" s="14">
        <v>115.49</v>
      </c>
      <c r="H9" s="15" t="s">
        <v>1651</v>
      </c>
      <c r="I9" s="15" t="s">
        <v>1068</v>
      </c>
      <c r="J9" s="14"/>
      <c r="K9" s="14" t="s">
        <v>1625</v>
      </c>
      <c r="L9" s="14">
        <v>8</v>
      </c>
      <c r="M9" s="14">
        <v>5141.8999999999996</v>
      </c>
      <c r="N9" s="14" t="s">
        <v>755</v>
      </c>
    </row>
    <row r="10" spans="1:15">
      <c r="A10" s="12" t="s">
        <v>1652</v>
      </c>
      <c r="B10" s="12" t="s">
        <v>1653</v>
      </c>
      <c r="C10" s="12" t="s">
        <v>1628</v>
      </c>
      <c r="D10" s="12" t="s">
        <v>70</v>
      </c>
      <c r="E10" s="12" t="s">
        <v>1654</v>
      </c>
      <c r="F10" s="12">
        <v>96.83</v>
      </c>
      <c r="G10" s="12">
        <v>89.11</v>
      </c>
      <c r="H10" s="13" t="s">
        <v>379</v>
      </c>
      <c r="I10" s="13" t="s">
        <v>1655</v>
      </c>
      <c r="J10" s="12"/>
      <c r="K10" s="12" t="s">
        <v>1656</v>
      </c>
      <c r="L10" s="12">
        <v>3</v>
      </c>
      <c r="M10" s="12">
        <v>458.3</v>
      </c>
      <c r="N10" s="12" t="s">
        <v>1182</v>
      </c>
    </row>
    <row r="11" spans="1:15">
      <c r="A11" s="14" t="s">
        <v>1657</v>
      </c>
      <c r="B11" s="14" t="s">
        <v>1609</v>
      </c>
      <c r="C11" s="14" t="s">
        <v>1658</v>
      </c>
      <c r="D11" s="14" t="s">
        <v>53</v>
      </c>
      <c r="E11" s="14" t="s">
        <v>1659</v>
      </c>
      <c r="F11" s="14">
        <v>63.75</v>
      </c>
      <c r="G11" s="14">
        <v>59.08</v>
      </c>
      <c r="H11" s="15" t="s">
        <v>1660</v>
      </c>
      <c r="I11" s="15" t="s">
        <v>1661</v>
      </c>
      <c r="J11" s="14"/>
      <c r="K11" s="14" t="s">
        <v>1625</v>
      </c>
      <c r="L11" s="14">
        <v>4</v>
      </c>
      <c r="M11" s="14">
        <v>3512.1</v>
      </c>
      <c r="N11" s="14" t="s">
        <v>1398</v>
      </c>
    </row>
    <row r="12" spans="1:15">
      <c r="A12" s="12" t="s">
        <v>1662</v>
      </c>
      <c r="B12" s="12" t="s">
        <v>1663</v>
      </c>
      <c r="C12" s="12" t="s">
        <v>1634</v>
      </c>
      <c r="D12" s="12" t="s">
        <v>53</v>
      </c>
      <c r="E12" s="12" t="s">
        <v>1664</v>
      </c>
      <c r="F12" s="12">
        <v>16.57</v>
      </c>
      <c r="G12" s="12">
        <v>20.440000000000001</v>
      </c>
      <c r="H12" s="13" t="s">
        <v>1665</v>
      </c>
      <c r="I12" s="13" t="s">
        <v>1666</v>
      </c>
      <c r="J12" s="12"/>
      <c r="K12" s="12" t="s">
        <v>1632</v>
      </c>
      <c r="L12" s="12">
        <v>18</v>
      </c>
      <c r="M12" s="12">
        <v>12125.9</v>
      </c>
      <c r="N12" s="12" t="s">
        <v>885</v>
      </c>
    </row>
    <row r="13" spans="1:15">
      <c r="A13" s="14" t="s">
        <v>1667</v>
      </c>
      <c r="B13" s="14" t="s">
        <v>1640</v>
      </c>
      <c r="C13" s="14" t="s">
        <v>1610</v>
      </c>
      <c r="D13" s="14" t="s">
        <v>26</v>
      </c>
      <c r="E13" s="14" t="s">
        <v>1668</v>
      </c>
      <c r="F13" s="14">
        <v>10.59</v>
      </c>
      <c r="G13" s="14">
        <v>10.16</v>
      </c>
      <c r="H13" s="15" t="s">
        <v>1669</v>
      </c>
      <c r="I13" s="15" t="s">
        <v>1670</v>
      </c>
      <c r="J13" s="14"/>
      <c r="K13" s="14" t="s">
        <v>1614</v>
      </c>
      <c r="L13" s="14">
        <v>23</v>
      </c>
      <c r="M13" s="14">
        <v>18151.5</v>
      </c>
      <c r="N13" s="14" t="s">
        <v>1032</v>
      </c>
    </row>
    <row r="14" spans="1:15">
      <c r="A14" s="12" t="s">
        <v>1671</v>
      </c>
      <c r="B14" s="12" t="s">
        <v>1672</v>
      </c>
      <c r="C14" s="12" t="s">
        <v>1622</v>
      </c>
      <c r="D14" s="12" t="s">
        <v>18</v>
      </c>
      <c r="E14" s="12" t="s">
        <v>1664</v>
      </c>
      <c r="F14" s="12">
        <v>9.07</v>
      </c>
      <c r="G14" s="12">
        <v>10.119999999999999</v>
      </c>
      <c r="H14" s="13" t="s">
        <v>1232</v>
      </c>
      <c r="I14" s="13" t="s">
        <v>1673</v>
      </c>
      <c r="J14" s="12"/>
      <c r="K14" s="12" t="s">
        <v>1656</v>
      </c>
      <c r="L14" s="12">
        <v>14</v>
      </c>
      <c r="M14" s="12">
        <v>8129.3</v>
      </c>
      <c r="N14" s="12" t="s">
        <v>353</v>
      </c>
    </row>
    <row r="15" spans="1:15">
      <c r="A15" s="14" t="s">
        <v>1674</v>
      </c>
      <c r="B15" s="14" t="s">
        <v>1653</v>
      </c>
      <c r="C15" s="14" t="s">
        <v>1675</v>
      </c>
      <c r="D15" s="14" t="s">
        <v>149</v>
      </c>
      <c r="E15" s="14" t="s">
        <v>1668</v>
      </c>
      <c r="F15" s="14">
        <v>139.63999999999999</v>
      </c>
      <c r="G15" s="14">
        <v>171.38</v>
      </c>
      <c r="H15" s="15" t="s">
        <v>1676</v>
      </c>
      <c r="I15" s="15" t="s">
        <v>1677</v>
      </c>
      <c r="J15" s="14"/>
      <c r="K15" s="14" t="s">
        <v>1656</v>
      </c>
      <c r="L15" s="14">
        <v>16</v>
      </c>
      <c r="M15" s="14">
        <v>5854.7</v>
      </c>
      <c r="N15" s="14" t="s">
        <v>1078</v>
      </c>
    </row>
    <row r="16" spans="1:15">
      <c r="A16" s="12" t="s">
        <v>1678</v>
      </c>
      <c r="B16" s="12" t="s">
        <v>1663</v>
      </c>
      <c r="C16" s="12" t="s">
        <v>1610</v>
      </c>
      <c r="D16" s="12" t="s">
        <v>114</v>
      </c>
      <c r="E16" s="12" t="s">
        <v>1642</v>
      </c>
      <c r="F16" s="12">
        <v>57.32</v>
      </c>
      <c r="G16" s="12">
        <v>74.5</v>
      </c>
      <c r="H16" s="13" t="s">
        <v>1679</v>
      </c>
      <c r="I16" s="13" t="s">
        <v>1680</v>
      </c>
      <c r="J16" s="12"/>
      <c r="K16" s="12" t="s">
        <v>1656</v>
      </c>
      <c r="L16" s="12">
        <v>8</v>
      </c>
      <c r="M16" s="12">
        <v>2307</v>
      </c>
      <c r="N16" s="12" t="s">
        <v>1463</v>
      </c>
    </row>
    <row r="17" spans="1:14">
      <c r="A17" s="14" t="s">
        <v>1681</v>
      </c>
      <c r="B17" s="14" t="s">
        <v>1653</v>
      </c>
      <c r="C17" s="14" t="s">
        <v>1616</v>
      </c>
      <c r="D17" s="14" t="s">
        <v>46</v>
      </c>
      <c r="E17" s="14" t="s">
        <v>1682</v>
      </c>
      <c r="F17" s="14">
        <v>190.76</v>
      </c>
      <c r="G17" s="14">
        <v>200.88</v>
      </c>
      <c r="H17" s="15" t="s">
        <v>1683</v>
      </c>
      <c r="I17" s="15" t="s">
        <v>1684</v>
      </c>
      <c r="J17" s="14"/>
      <c r="K17" s="14" t="s">
        <v>1625</v>
      </c>
      <c r="L17" s="14">
        <v>24</v>
      </c>
      <c r="M17" s="14">
        <v>17402.8</v>
      </c>
      <c r="N17" s="14" t="s">
        <v>422</v>
      </c>
    </row>
    <row r="18" spans="1:14">
      <c r="A18" s="12" t="s">
        <v>1685</v>
      </c>
      <c r="B18" s="12" t="s">
        <v>1627</v>
      </c>
      <c r="C18" s="12" t="s">
        <v>1686</v>
      </c>
      <c r="D18" s="12" t="s">
        <v>114</v>
      </c>
      <c r="E18" s="12" t="s">
        <v>1687</v>
      </c>
      <c r="F18" s="12">
        <v>61.25</v>
      </c>
      <c r="G18" s="12">
        <v>53.5</v>
      </c>
      <c r="H18" s="13" t="s">
        <v>1688</v>
      </c>
      <c r="I18" s="13" t="s">
        <v>1466</v>
      </c>
      <c r="J18" s="12"/>
      <c r="K18" s="12" t="s">
        <v>1614</v>
      </c>
      <c r="L18" s="12">
        <v>9</v>
      </c>
      <c r="M18" s="12">
        <v>7651.3</v>
      </c>
      <c r="N18" s="12" t="s">
        <v>1467</v>
      </c>
    </row>
    <row r="19" spans="1:14">
      <c r="A19" s="14" t="s">
        <v>1689</v>
      </c>
      <c r="B19" s="14" t="s">
        <v>1627</v>
      </c>
      <c r="C19" s="14" t="s">
        <v>1690</v>
      </c>
      <c r="D19" s="14" t="s">
        <v>70</v>
      </c>
      <c r="E19" s="14" t="s">
        <v>1668</v>
      </c>
      <c r="F19" s="14">
        <v>149.91</v>
      </c>
      <c r="G19" s="14">
        <v>115.82</v>
      </c>
      <c r="H19" s="15" t="s">
        <v>1321</v>
      </c>
      <c r="I19" s="15" t="s">
        <v>1691</v>
      </c>
      <c r="J19" s="14"/>
      <c r="K19" s="14" t="s">
        <v>1614</v>
      </c>
      <c r="L19" s="14">
        <v>21</v>
      </c>
      <c r="M19" s="14">
        <v>3049.6</v>
      </c>
      <c r="N19" s="14" t="s">
        <v>563</v>
      </c>
    </row>
    <row r="20" spans="1:14">
      <c r="A20" s="12" t="s">
        <v>1692</v>
      </c>
      <c r="B20" s="12" t="s">
        <v>1693</v>
      </c>
      <c r="C20" s="12" t="s">
        <v>1675</v>
      </c>
      <c r="D20" s="12" t="s">
        <v>26</v>
      </c>
      <c r="E20" s="12" t="s">
        <v>1682</v>
      </c>
      <c r="F20" s="12">
        <v>131.08000000000001</v>
      </c>
      <c r="G20" s="12">
        <v>114.66</v>
      </c>
      <c r="H20" s="13" t="s">
        <v>1506</v>
      </c>
      <c r="I20" s="13" t="s">
        <v>1694</v>
      </c>
      <c r="J20" s="12"/>
      <c r="K20" s="12" t="s">
        <v>1632</v>
      </c>
      <c r="L20" s="12">
        <v>4</v>
      </c>
      <c r="M20" s="12">
        <v>2931.5</v>
      </c>
      <c r="N20" s="12" t="s">
        <v>861</v>
      </c>
    </row>
    <row r="21" spans="1:14">
      <c r="A21" s="14" t="s">
        <v>1695</v>
      </c>
      <c r="B21" s="14" t="s">
        <v>1627</v>
      </c>
      <c r="C21" s="14" t="s">
        <v>1658</v>
      </c>
      <c r="D21" s="14" t="s">
        <v>214</v>
      </c>
      <c r="E21" s="14" t="s">
        <v>1682</v>
      </c>
      <c r="F21" s="14">
        <v>124.11</v>
      </c>
      <c r="G21" s="14">
        <v>89.15</v>
      </c>
      <c r="H21" s="15" t="s">
        <v>1696</v>
      </c>
      <c r="I21" s="15" t="s">
        <v>1697</v>
      </c>
      <c r="J21" s="14"/>
      <c r="K21" s="14" t="s">
        <v>1632</v>
      </c>
      <c r="L21" s="14">
        <v>12</v>
      </c>
      <c r="M21" s="14">
        <v>5050.3</v>
      </c>
      <c r="N21" s="14" t="s">
        <v>1529</v>
      </c>
    </row>
    <row r="22" spans="1:14">
      <c r="A22" s="12" t="s">
        <v>1698</v>
      </c>
      <c r="B22" s="12" t="s">
        <v>1699</v>
      </c>
      <c r="C22" s="12" t="s">
        <v>1628</v>
      </c>
      <c r="D22" s="12" t="s">
        <v>18</v>
      </c>
      <c r="E22" s="12" t="s">
        <v>1654</v>
      </c>
      <c r="F22" s="12">
        <v>45.9</v>
      </c>
      <c r="G22" s="12">
        <v>43.67</v>
      </c>
      <c r="H22" s="13" t="s">
        <v>1238</v>
      </c>
      <c r="I22" s="13" t="s">
        <v>1700</v>
      </c>
      <c r="J22" s="12"/>
      <c r="K22" s="12" t="s">
        <v>1632</v>
      </c>
      <c r="L22" s="12">
        <v>16</v>
      </c>
      <c r="M22" s="12">
        <v>10531.7</v>
      </c>
      <c r="N22" s="12" t="s">
        <v>1100</v>
      </c>
    </row>
    <row r="23" spans="1:14">
      <c r="A23" s="14" t="s">
        <v>1701</v>
      </c>
      <c r="B23" s="14" t="s">
        <v>1702</v>
      </c>
      <c r="C23" s="14" t="s">
        <v>1641</v>
      </c>
      <c r="D23" s="14" t="s">
        <v>172</v>
      </c>
      <c r="E23" s="14" t="s">
        <v>1642</v>
      </c>
      <c r="F23" s="14">
        <v>82.79</v>
      </c>
      <c r="G23" s="14">
        <v>80.58</v>
      </c>
      <c r="H23" s="15" t="s">
        <v>1669</v>
      </c>
      <c r="I23" s="15" t="s">
        <v>1703</v>
      </c>
      <c r="J23" s="14"/>
      <c r="K23" s="14" t="s">
        <v>1625</v>
      </c>
      <c r="L23" s="14">
        <v>13</v>
      </c>
      <c r="M23" s="14">
        <v>9667.2000000000007</v>
      </c>
      <c r="N23" s="14" t="s">
        <v>664</v>
      </c>
    </row>
    <row r="24" spans="1:14">
      <c r="A24" s="12" t="s">
        <v>1704</v>
      </c>
      <c r="B24" s="12" t="s">
        <v>1705</v>
      </c>
      <c r="C24" s="12" t="s">
        <v>1641</v>
      </c>
      <c r="D24" s="12" t="s">
        <v>65</v>
      </c>
      <c r="E24" s="12" t="s">
        <v>1664</v>
      </c>
      <c r="F24" s="12">
        <v>98.49</v>
      </c>
      <c r="G24" s="12">
        <v>96.59</v>
      </c>
      <c r="H24" s="13" t="s">
        <v>1706</v>
      </c>
      <c r="I24" s="13" t="s">
        <v>1707</v>
      </c>
      <c r="J24" s="12"/>
      <c r="K24" s="12" t="s">
        <v>1614</v>
      </c>
      <c r="L24" s="12">
        <v>12</v>
      </c>
      <c r="M24" s="12">
        <v>4353</v>
      </c>
      <c r="N24" s="12" t="s">
        <v>1298</v>
      </c>
    </row>
    <row r="25" spans="1:14">
      <c r="A25" s="14" t="s">
        <v>1708</v>
      </c>
      <c r="B25" s="14" t="s">
        <v>1709</v>
      </c>
      <c r="C25" s="14" t="s">
        <v>1634</v>
      </c>
      <c r="D25" s="14" t="s">
        <v>70</v>
      </c>
      <c r="E25" s="14" t="s">
        <v>1687</v>
      </c>
      <c r="F25" s="14">
        <v>168.31</v>
      </c>
      <c r="G25" s="14">
        <v>148.69</v>
      </c>
      <c r="H25" s="15" t="s">
        <v>1710</v>
      </c>
      <c r="I25" s="15" t="s">
        <v>1711</v>
      </c>
      <c r="J25" s="14"/>
      <c r="K25" s="14" t="s">
        <v>1632</v>
      </c>
      <c r="L25" s="14">
        <v>19</v>
      </c>
      <c r="M25" s="14">
        <v>12613.9</v>
      </c>
      <c r="N25" s="14" t="s">
        <v>870</v>
      </c>
    </row>
    <row r="26" spans="1:14">
      <c r="A26" s="12" t="s">
        <v>1712</v>
      </c>
      <c r="B26" s="12" t="s">
        <v>1621</v>
      </c>
      <c r="C26" s="12" t="s">
        <v>1686</v>
      </c>
      <c r="D26" s="12" t="s">
        <v>46</v>
      </c>
      <c r="E26" s="12" t="s">
        <v>1635</v>
      </c>
      <c r="F26" s="12">
        <v>31.96</v>
      </c>
      <c r="G26" s="12">
        <v>38.49</v>
      </c>
      <c r="H26" s="13" t="s">
        <v>1713</v>
      </c>
      <c r="I26" s="13" t="s">
        <v>1714</v>
      </c>
      <c r="J26" s="12"/>
      <c r="K26" s="12" t="s">
        <v>1625</v>
      </c>
      <c r="L26" s="12">
        <v>10</v>
      </c>
      <c r="M26" s="12">
        <v>8647.7000000000007</v>
      </c>
      <c r="N26" s="12" t="s">
        <v>758</v>
      </c>
    </row>
    <row r="27" spans="1:14">
      <c r="A27" s="14" t="s">
        <v>1715</v>
      </c>
      <c r="B27" s="14" t="s">
        <v>1716</v>
      </c>
      <c r="C27" s="14" t="s">
        <v>1622</v>
      </c>
      <c r="D27" s="14" t="s">
        <v>75</v>
      </c>
      <c r="E27" s="14" t="s">
        <v>1668</v>
      </c>
      <c r="F27" s="14">
        <v>111.45</v>
      </c>
      <c r="G27" s="14">
        <v>106.53</v>
      </c>
      <c r="H27" s="15" t="s">
        <v>1717</v>
      </c>
      <c r="I27" s="15" t="s">
        <v>1718</v>
      </c>
      <c r="J27" s="14"/>
      <c r="K27" s="14" t="s">
        <v>1614</v>
      </c>
      <c r="L27" s="14">
        <v>21</v>
      </c>
      <c r="M27" s="14">
        <v>16743.099999999999</v>
      </c>
      <c r="N27" s="14" t="s">
        <v>1450</v>
      </c>
    </row>
    <row r="28" spans="1:14">
      <c r="A28" s="12" t="s">
        <v>1719</v>
      </c>
      <c r="B28" s="12" t="s">
        <v>1720</v>
      </c>
      <c r="C28" s="12" t="s">
        <v>1610</v>
      </c>
      <c r="D28" s="12" t="s">
        <v>149</v>
      </c>
      <c r="E28" s="12" t="s">
        <v>1682</v>
      </c>
      <c r="F28" s="12">
        <v>183.02</v>
      </c>
      <c r="G28" s="12">
        <v>236.49</v>
      </c>
      <c r="H28" s="13" t="s">
        <v>728</v>
      </c>
      <c r="I28" s="13" t="s">
        <v>1721</v>
      </c>
      <c r="J28" s="12"/>
      <c r="K28" s="12" t="s">
        <v>1625</v>
      </c>
      <c r="L28" s="12">
        <v>24</v>
      </c>
      <c r="M28" s="12">
        <v>6995.5</v>
      </c>
      <c r="N28" s="12" t="s">
        <v>1590</v>
      </c>
    </row>
    <row r="29" spans="1:14">
      <c r="A29" s="14" t="s">
        <v>1722</v>
      </c>
      <c r="B29" s="14" t="s">
        <v>1693</v>
      </c>
      <c r="C29" s="14" t="s">
        <v>1641</v>
      </c>
      <c r="D29" s="14" t="s">
        <v>65</v>
      </c>
      <c r="E29" s="14" t="s">
        <v>1687</v>
      </c>
      <c r="F29" s="14">
        <v>138.96</v>
      </c>
      <c r="G29" s="14">
        <v>163.13999999999999</v>
      </c>
      <c r="H29" s="15" t="s">
        <v>1723</v>
      </c>
      <c r="I29" s="15" t="s">
        <v>1724</v>
      </c>
      <c r="J29" s="14"/>
      <c r="K29" s="14" t="s">
        <v>1656</v>
      </c>
      <c r="L29" s="14">
        <v>7</v>
      </c>
      <c r="M29" s="14">
        <v>3265</v>
      </c>
      <c r="N29" s="14" t="s">
        <v>1300</v>
      </c>
    </row>
    <row r="30" spans="1:14">
      <c r="A30" s="12" t="s">
        <v>1725</v>
      </c>
      <c r="B30" s="12" t="s">
        <v>1653</v>
      </c>
      <c r="C30" s="12" t="s">
        <v>1641</v>
      </c>
      <c r="D30" s="12" t="s">
        <v>53</v>
      </c>
      <c r="E30" s="12" t="s">
        <v>1617</v>
      </c>
      <c r="F30" s="12">
        <v>34.36</v>
      </c>
      <c r="G30" s="12">
        <v>35.61</v>
      </c>
      <c r="H30" s="13" t="s">
        <v>1726</v>
      </c>
      <c r="I30" s="13" t="s">
        <v>1727</v>
      </c>
      <c r="J30" s="12"/>
      <c r="K30" s="12" t="s">
        <v>1625</v>
      </c>
      <c r="L30" s="12">
        <v>12</v>
      </c>
      <c r="M30" s="12">
        <v>3624.4</v>
      </c>
      <c r="N30" s="12" t="s">
        <v>560</v>
      </c>
    </row>
    <row r="31" spans="1:14">
      <c r="A31" s="14" t="s">
        <v>1728</v>
      </c>
      <c r="B31" s="14" t="s">
        <v>1729</v>
      </c>
      <c r="C31" s="14" t="s">
        <v>1730</v>
      </c>
      <c r="D31" s="14" t="s">
        <v>26</v>
      </c>
      <c r="E31" s="14" t="s">
        <v>1659</v>
      </c>
      <c r="F31" s="14">
        <v>66.930000000000007</v>
      </c>
      <c r="G31" s="14">
        <v>50.48</v>
      </c>
      <c r="H31" s="15" t="s">
        <v>1731</v>
      </c>
      <c r="I31" s="15" t="s">
        <v>1732</v>
      </c>
      <c r="J31" s="14"/>
      <c r="K31" s="14" t="s">
        <v>1625</v>
      </c>
      <c r="L31" s="14">
        <v>5</v>
      </c>
      <c r="M31" s="14">
        <v>4226.3</v>
      </c>
      <c r="N31" s="14" t="s">
        <v>1124</v>
      </c>
    </row>
    <row r="32" spans="1:14">
      <c r="A32" s="12" t="s">
        <v>1733</v>
      </c>
      <c r="B32" s="12" t="s">
        <v>1699</v>
      </c>
      <c r="C32" s="12" t="s">
        <v>1622</v>
      </c>
      <c r="D32" s="12" t="s">
        <v>114</v>
      </c>
      <c r="E32" s="12" t="s">
        <v>1734</v>
      </c>
      <c r="F32" s="12">
        <v>196.41</v>
      </c>
      <c r="G32" s="12">
        <v>248.34</v>
      </c>
      <c r="H32" s="13" t="s">
        <v>1643</v>
      </c>
      <c r="I32" s="13" t="s">
        <v>1412</v>
      </c>
      <c r="J32" s="12"/>
      <c r="K32" s="12" t="s">
        <v>1656</v>
      </c>
      <c r="L32" s="12">
        <v>15</v>
      </c>
      <c r="M32" s="12">
        <v>7778.3</v>
      </c>
      <c r="N32" s="12" t="s">
        <v>419</v>
      </c>
    </row>
    <row r="33" spans="1:14">
      <c r="A33" s="14" t="s">
        <v>1735</v>
      </c>
      <c r="B33" s="14" t="s">
        <v>1663</v>
      </c>
      <c r="C33" s="14" t="s">
        <v>1686</v>
      </c>
      <c r="D33" s="14" t="s">
        <v>32</v>
      </c>
      <c r="E33" s="14" t="s">
        <v>1654</v>
      </c>
      <c r="F33" s="14">
        <v>77.56</v>
      </c>
      <c r="G33" s="14">
        <v>77.319999999999993</v>
      </c>
      <c r="H33" s="15" t="s">
        <v>1092</v>
      </c>
      <c r="I33" s="15" t="s">
        <v>1197</v>
      </c>
      <c r="J33" s="14"/>
      <c r="K33" s="14" t="s">
        <v>1614</v>
      </c>
      <c r="L33" s="14">
        <v>13</v>
      </c>
      <c r="M33" s="14">
        <v>1605.8</v>
      </c>
      <c r="N33" s="14" t="s">
        <v>636</v>
      </c>
    </row>
    <row r="34" spans="1:14">
      <c r="A34" s="12" t="s">
        <v>1736</v>
      </c>
      <c r="B34" s="12" t="s">
        <v>1693</v>
      </c>
      <c r="C34" s="12" t="s">
        <v>1675</v>
      </c>
      <c r="D34" s="12" t="s">
        <v>65</v>
      </c>
      <c r="E34" s="12" t="s">
        <v>1654</v>
      </c>
      <c r="F34" s="12">
        <v>38.799999999999997</v>
      </c>
      <c r="G34" s="12">
        <v>34.659999999999997</v>
      </c>
      <c r="H34" s="13" t="s">
        <v>1680</v>
      </c>
      <c r="I34" s="13" t="s">
        <v>1737</v>
      </c>
      <c r="J34" s="12"/>
      <c r="K34" s="12" t="s">
        <v>1656</v>
      </c>
      <c r="L34" s="12">
        <v>23</v>
      </c>
      <c r="M34" s="12">
        <v>17202.3</v>
      </c>
      <c r="N34" s="12" t="s">
        <v>782</v>
      </c>
    </row>
    <row r="35" spans="1:14">
      <c r="A35" s="14" t="s">
        <v>1738</v>
      </c>
      <c r="B35" s="14" t="s">
        <v>1739</v>
      </c>
      <c r="C35" s="14" t="s">
        <v>1634</v>
      </c>
      <c r="D35" s="14" t="s">
        <v>214</v>
      </c>
      <c r="E35" s="14" t="s">
        <v>1740</v>
      </c>
      <c r="F35" s="14">
        <v>106.16</v>
      </c>
      <c r="G35" s="14">
        <v>85.86</v>
      </c>
      <c r="H35" s="15" t="s">
        <v>1741</v>
      </c>
      <c r="I35" s="15" t="s">
        <v>474</v>
      </c>
      <c r="J35" s="14"/>
      <c r="K35" s="14" t="s">
        <v>1625</v>
      </c>
      <c r="L35" s="14">
        <v>15</v>
      </c>
      <c r="M35" s="14">
        <v>2340</v>
      </c>
      <c r="N35" s="14" t="s">
        <v>749</v>
      </c>
    </row>
    <row r="36" spans="1:14">
      <c r="A36" s="12" t="s">
        <v>1742</v>
      </c>
      <c r="B36" s="12" t="s">
        <v>1646</v>
      </c>
      <c r="C36" s="12" t="s">
        <v>1610</v>
      </c>
      <c r="D36" s="12" t="s">
        <v>149</v>
      </c>
      <c r="E36" s="12" t="s">
        <v>1668</v>
      </c>
      <c r="F36" s="12">
        <v>109.16</v>
      </c>
      <c r="G36" s="12">
        <v>92.25</v>
      </c>
      <c r="H36" s="13" t="s">
        <v>1743</v>
      </c>
      <c r="I36" s="13" t="s">
        <v>130</v>
      </c>
      <c r="J36" s="12"/>
      <c r="K36" s="12" t="s">
        <v>1614</v>
      </c>
      <c r="L36" s="12">
        <v>6</v>
      </c>
      <c r="M36" s="12">
        <v>2054.6</v>
      </c>
      <c r="N36" s="12" t="s">
        <v>1444</v>
      </c>
    </row>
    <row r="37" spans="1:14">
      <c r="A37" s="14" t="s">
        <v>1744</v>
      </c>
      <c r="B37" s="14" t="s">
        <v>1663</v>
      </c>
      <c r="C37" s="14" t="s">
        <v>1616</v>
      </c>
      <c r="D37" s="14" t="s">
        <v>75</v>
      </c>
      <c r="E37" s="14" t="s">
        <v>1664</v>
      </c>
      <c r="F37" s="14">
        <v>82.32</v>
      </c>
      <c r="G37" s="14">
        <v>97.59</v>
      </c>
      <c r="H37" s="15" t="s">
        <v>1745</v>
      </c>
      <c r="I37" s="15" t="s">
        <v>1746</v>
      </c>
      <c r="J37" s="14"/>
      <c r="K37" s="14" t="s">
        <v>1614</v>
      </c>
      <c r="L37" s="14">
        <v>16</v>
      </c>
      <c r="M37" s="14">
        <v>1988</v>
      </c>
      <c r="N37" s="14" t="s">
        <v>957</v>
      </c>
    </row>
    <row r="38" spans="1:14">
      <c r="A38" s="12" t="s">
        <v>1747</v>
      </c>
      <c r="B38" s="12" t="s">
        <v>1653</v>
      </c>
      <c r="C38" s="12" t="s">
        <v>1641</v>
      </c>
      <c r="D38" s="12" t="s">
        <v>149</v>
      </c>
      <c r="E38" s="12" t="s">
        <v>1650</v>
      </c>
      <c r="F38" s="12">
        <v>55.06</v>
      </c>
      <c r="G38" s="12">
        <v>57.15</v>
      </c>
      <c r="H38" s="13" t="s">
        <v>1748</v>
      </c>
      <c r="I38" s="13" t="s">
        <v>1670</v>
      </c>
      <c r="J38" s="12" t="s">
        <v>1749</v>
      </c>
      <c r="K38" s="12" t="s">
        <v>1638</v>
      </c>
      <c r="L38" s="12">
        <v>5</v>
      </c>
      <c r="M38" s="12">
        <v>3111</v>
      </c>
      <c r="N38" s="12" t="s">
        <v>1122</v>
      </c>
    </row>
    <row r="39" spans="1:14">
      <c r="A39" s="14" t="s">
        <v>1750</v>
      </c>
      <c r="B39" s="14" t="s">
        <v>1646</v>
      </c>
      <c r="C39" s="14" t="s">
        <v>1751</v>
      </c>
      <c r="D39" s="14" t="s">
        <v>26</v>
      </c>
      <c r="E39" s="14" t="s">
        <v>1650</v>
      </c>
      <c r="F39" s="14">
        <v>19.87</v>
      </c>
      <c r="G39" s="14">
        <v>16.010000000000002</v>
      </c>
      <c r="H39" s="15" t="s">
        <v>1752</v>
      </c>
      <c r="I39" s="15" t="s">
        <v>1753</v>
      </c>
      <c r="J39" s="14"/>
      <c r="K39" s="14" t="s">
        <v>1656</v>
      </c>
      <c r="L39" s="14">
        <v>18</v>
      </c>
      <c r="M39" s="14">
        <v>4154.7</v>
      </c>
      <c r="N39" s="14" t="s">
        <v>72</v>
      </c>
    </row>
    <row r="40" spans="1:14">
      <c r="A40" s="12" t="s">
        <v>1754</v>
      </c>
      <c r="B40" s="12" t="s">
        <v>1640</v>
      </c>
      <c r="C40" s="12" t="s">
        <v>1755</v>
      </c>
      <c r="D40" s="12" t="s">
        <v>26</v>
      </c>
      <c r="E40" s="12" t="s">
        <v>1629</v>
      </c>
      <c r="F40" s="12">
        <v>52.99</v>
      </c>
      <c r="G40" s="12">
        <v>49.34</v>
      </c>
      <c r="H40" s="13" t="s">
        <v>1077</v>
      </c>
      <c r="I40" s="13" t="s">
        <v>1756</v>
      </c>
      <c r="J40" s="12"/>
      <c r="K40" s="12" t="s">
        <v>1656</v>
      </c>
      <c r="L40" s="12">
        <v>14</v>
      </c>
      <c r="M40" s="12">
        <v>7275.9</v>
      </c>
      <c r="N40" s="12" t="s">
        <v>1221</v>
      </c>
    </row>
    <row r="41" spans="1:14">
      <c r="A41" s="14" t="s">
        <v>1757</v>
      </c>
      <c r="B41" s="14" t="s">
        <v>1702</v>
      </c>
      <c r="C41" s="14" t="s">
        <v>1730</v>
      </c>
      <c r="D41" s="14" t="s">
        <v>172</v>
      </c>
      <c r="E41" s="14" t="s">
        <v>1682</v>
      </c>
      <c r="F41" s="14">
        <v>38.03</v>
      </c>
      <c r="G41" s="14">
        <v>31.61</v>
      </c>
      <c r="H41" s="15" t="s">
        <v>1758</v>
      </c>
      <c r="I41" s="15" t="s">
        <v>973</v>
      </c>
      <c r="J41" s="14"/>
      <c r="K41" s="14" t="s">
        <v>1632</v>
      </c>
      <c r="L41" s="14">
        <v>11</v>
      </c>
      <c r="M41" s="14">
        <v>1228.3</v>
      </c>
      <c r="N41" s="14" t="s">
        <v>853</v>
      </c>
    </row>
    <row r="42" spans="1:14">
      <c r="A42" s="12" t="s">
        <v>1759</v>
      </c>
      <c r="B42" s="12" t="s">
        <v>1709</v>
      </c>
      <c r="C42" s="12" t="s">
        <v>1730</v>
      </c>
      <c r="D42" s="12" t="s">
        <v>53</v>
      </c>
      <c r="E42" s="12" t="s">
        <v>1654</v>
      </c>
      <c r="F42" s="12">
        <v>93.95</v>
      </c>
      <c r="G42" s="12">
        <v>94.74</v>
      </c>
      <c r="H42" s="13" t="s">
        <v>1760</v>
      </c>
      <c r="I42" s="13" t="s">
        <v>1761</v>
      </c>
      <c r="J42" s="12"/>
      <c r="K42" s="12" t="s">
        <v>1614</v>
      </c>
      <c r="L42" s="12">
        <v>15</v>
      </c>
      <c r="M42" s="12">
        <v>7707.2</v>
      </c>
      <c r="N42" s="12" t="s">
        <v>358</v>
      </c>
    </row>
    <row r="43" spans="1:14">
      <c r="A43" s="14" t="s">
        <v>1762</v>
      </c>
      <c r="B43" s="14" t="s">
        <v>1763</v>
      </c>
      <c r="C43" s="14" t="s">
        <v>1622</v>
      </c>
      <c r="D43" s="14" t="s">
        <v>214</v>
      </c>
      <c r="E43" s="14" t="s">
        <v>1650</v>
      </c>
      <c r="F43" s="14">
        <v>183.85</v>
      </c>
      <c r="G43" s="14">
        <v>234.02</v>
      </c>
      <c r="H43" s="15" t="s">
        <v>1764</v>
      </c>
      <c r="I43" s="15" t="s">
        <v>1765</v>
      </c>
      <c r="J43" s="14"/>
      <c r="K43" s="14" t="s">
        <v>1632</v>
      </c>
      <c r="L43" s="14">
        <v>9</v>
      </c>
      <c r="M43" s="14">
        <v>2621</v>
      </c>
      <c r="N43" s="14" t="s">
        <v>997</v>
      </c>
    </row>
    <row r="44" spans="1:14">
      <c r="A44" s="12" t="s">
        <v>1766</v>
      </c>
      <c r="B44" s="12" t="s">
        <v>1693</v>
      </c>
      <c r="C44" s="12" t="s">
        <v>1641</v>
      </c>
      <c r="D44" s="12" t="s">
        <v>70</v>
      </c>
      <c r="E44" s="12" t="s">
        <v>1687</v>
      </c>
      <c r="F44" s="12">
        <v>23.27</v>
      </c>
      <c r="G44" s="12">
        <v>20.03</v>
      </c>
      <c r="H44" s="13" t="s">
        <v>1210</v>
      </c>
      <c r="I44" s="13" t="s">
        <v>1767</v>
      </c>
      <c r="J44" s="12"/>
      <c r="K44" s="12" t="s">
        <v>1614</v>
      </c>
      <c r="L44" s="12">
        <v>14</v>
      </c>
      <c r="M44" s="12">
        <v>2340.5</v>
      </c>
      <c r="N44" s="12" t="s">
        <v>594</v>
      </c>
    </row>
    <row r="45" spans="1:14">
      <c r="A45" s="14" t="s">
        <v>1768</v>
      </c>
      <c r="B45" s="14" t="s">
        <v>1609</v>
      </c>
      <c r="C45" s="14" t="s">
        <v>1628</v>
      </c>
      <c r="D45" s="14" t="s">
        <v>46</v>
      </c>
      <c r="E45" s="14" t="s">
        <v>1664</v>
      </c>
      <c r="F45" s="14">
        <v>59.86</v>
      </c>
      <c r="G45" s="14">
        <v>42.4</v>
      </c>
      <c r="H45" s="15" t="s">
        <v>1769</v>
      </c>
      <c r="I45" s="15" t="s">
        <v>1770</v>
      </c>
      <c r="J45" s="14"/>
      <c r="K45" s="14" t="s">
        <v>1656</v>
      </c>
      <c r="L45" s="14">
        <v>4</v>
      </c>
      <c r="M45" s="14">
        <v>2436.1999999999998</v>
      </c>
      <c r="N45" s="14" t="s">
        <v>1375</v>
      </c>
    </row>
    <row r="46" spans="1:14">
      <c r="A46" s="12" t="s">
        <v>1771</v>
      </c>
      <c r="B46" s="12" t="s">
        <v>1763</v>
      </c>
      <c r="C46" s="12" t="s">
        <v>1751</v>
      </c>
      <c r="D46" s="12" t="s">
        <v>18</v>
      </c>
      <c r="E46" s="12" t="s">
        <v>1629</v>
      </c>
      <c r="F46" s="12">
        <v>166.14</v>
      </c>
      <c r="G46" s="12">
        <v>137.43</v>
      </c>
      <c r="H46" s="13" t="s">
        <v>1660</v>
      </c>
      <c r="I46" s="13" t="s">
        <v>1772</v>
      </c>
      <c r="J46" s="12"/>
      <c r="K46" s="12" t="s">
        <v>1656</v>
      </c>
      <c r="L46" s="12">
        <v>24</v>
      </c>
      <c r="M46" s="12">
        <v>19549.7</v>
      </c>
      <c r="N46" s="12" t="s">
        <v>1078</v>
      </c>
    </row>
    <row r="47" spans="1:14">
      <c r="A47" s="14" t="s">
        <v>1773</v>
      </c>
      <c r="B47" s="14" t="s">
        <v>1672</v>
      </c>
      <c r="C47" s="14" t="s">
        <v>1755</v>
      </c>
      <c r="D47" s="14" t="s">
        <v>32</v>
      </c>
      <c r="E47" s="14" t="s">
        <v>1668</v>
      </c>
      <c r="F47" s="14">
        <v>17</v>
      </c>
      <c r="G47" s="14">
        <v>19.66</v>
      </c>
      <c r="H47" s="15" t="s">
        <v>1774</v>
      </c>
      <c r="I47" s="15" t="s">
        <v>1775</v>
      </c>
      <c r="J47" s="14"/>
      <c r="K47" s="14" t="s">
        <v>1614</v>
      </c>
      <c r="L47" s="14">
        <v>16</v>
      </c>
      <c r="M47" s="14">
        <v>10245.299999999999</v>
      </c>
      <c r="N47" s="14" t="s">
        <v>1261</v>
      </c>
    </row>
    <row r="48" spans="1:14">
      <c r="A48" s="12" t="s">
        <v>1776</v>
      </c>
      <c r="B48" s="12" t="s">
        <v>1702</v>
      </c>
      <c r="C48" s="12" t="s">
        <v>1690</v>
      </c>
      <c r="D48" s="12" t="s">
        <v>65</v>
      </c>
      <c r="E48" s="12" t="s">
        <v>1650</v>
      </c>
      <c r="F48" s="12">
        <v>151.97</v>
      </c>
      <c r="G48" s="12">
        <v>162.69999999999999</v>
      </c>
      <c r="H48" s="13" t="s">
        <v>1777</v>
      </c>
      <c r="I48" s="13" t="s">
        <v>1778</v>
      </c>
      <c r="J48" s="12"/>
      <c r="K48" s="12" t="s">
        <v>1625</v>
      </c>
      <c r="L48" s="12">
        <v>5</v>
      </c>
      <c r="M48" s="12">
        <v>4070.4</v>
      </c>
      <c r="N48" s="12" t="s">
        <v>688</v>
      </c>
    </row>
    <row r="49" spans="1:14">
      <c r="A49" s="14" t="s">
        <v>1779</v>
      </c>
      <c r="B49" s="14" t="s">
        <v>1621</v>
      </c>
      <c r="C49" s="14" t="s">
        <v>1658</v>
      </c>
      <c r="D49" s="14" t="s">
        <v>32</v>
      </c>
      <c r="E49" s="14" t="s">
        <v>1623</v>
      </c>
      <c r="F49" s="14">
        <v>165.98</v>
      </c>
      <c r="G49" s="14">
        <v>150.33000000000001</v>
      </c>
      <c r="H49" s="15" t="s">
        <v>1780</v>
      </c>
      <c r="I49" s="15" t="s">
        <v>1781</v>
      </c>
      <c r="J49" s="14"/>
      <c r="K49" s="14" t="s">
        <v>1625</v>
      </c>
      <c r="L49" s="14">
        <v>23</v>
      </c>
      <c r="M49" s="14">
        <v>18188.400000000001</v>
      </c>
      <c r="N49" s="14" t="s">
        <v>30</v>
      </c>
    </row>
    <row r="50" spans="1:14">
      <c r="A50" s="12" t="s">
        <v>1782</v>
      </c>
      <c r="B50" s="12" t="s">
        <v>1720</v>
      </c>
      <c r="C50" s="12" t="s">
        <v>1690</v>
      </c>
      <c r="D50" s="12" t="s">
        <v>149</v>
      </c>
      <c r="E50" s="12" t="s">
        <v>1668</v>
      </c>
      <c r="F50" s="12">
        <v>191.68</v>
      </c>
      <c r="G50" s="12">
        <v>192.46</v>
      </c>
      <c r="H50" s="13" t="s">
        <v>1783</v>
      </c>
      <c r="I50" s="13" t="s">
        <v>1784</v>
      </c>
      <c r="J50" s="12"/>
      <c r="K50" s="12" t="s">
        <v>1656</v>
      </c>
      <c r="L50" s="12">
        <v>4</v>
      </c>
      <c r="M50" s="12">
        <v>1183.5999999999999</v>
      </c>
      <c r="N50" s="12" t="s">
        <v>813</v>
      </c>
    </row>
    <row r="51" spans="1:14">
      <c r="A51" s="14" t="s">
        <v>1785</v>
      </c>
      <c r="B51" s="14" t="s">
        <v>1786</v>
      </c>
      <c r="C51" s="14" t="s">
        <v>1751</v>
      </c>
      <c r="D51" s="14" t="s">
        <v>75</v>
      </c>
      <c r="E51" s="14" t="s">
        <v>1682</v>
      </c>
      <c r="F51" s="14">
        <v>22.2</v>
      </c>
      <c r="G51" s="14">
        <v>27.12</v>
      </c>
      <c r="H51" s="15" t="s">
        <v>849</v>
      </c>
      <c r="I51" s="15" t="s">
        <v>1787</v>
      </c>
      <c r="J51" s="14"/>
      <c r="K51" s="14" t="s">
        <v>1656</v>
      </c>
      <c r="L51" s="14">
        <v>24</v>
      </c>
      <c r="M51" s="14">
        <v>19237.2</v>
      </c>
      <c r="N51" s="14" t="s">
        <v>484</v>
      </c>
    </row>
    <row r="52" spans="1:14">
      <c r="A52" s="12" t="s">
        <v>1788</v>
      </c>
      <c r="B52" s="12" t="s">
        <v>1702</v>
      </c>
      <c r="C52" s="12" t="s">
        <v>1634</v>
      </c>
      <c r="D52" s="12" t="s">
        <v>53</v>
      </c>
      <c r="E52" s="12" t="s">
        <v>1654</v>
      </c>
      <c r="F52" s="12">
        <v>187.09</v>
      </c>
      <c r="G52" s="12">
        <v>217.27</v>
      </c>
      <c r="H52" s="13" t="s">
        <v>1679</v>
      </c>
      <c r="I52" s="13" t="s">
        <v>1789</v>
      </c>
      <c r="J52" s="12" t="s">
        <v>1790</v>
      </c>
      <c r="K52" s="12" t="s">
        <v>1638</v>
      </c>
      <c r="L52" s="12">
        <v>3</v>
      </c>
      <c r="M52" s="12">
        <v>1263.5999999999999</v>
      </c>
      <c r="N52" s="12" t="s">
        <v>131</v>
      </c>
    </row>
    <row r="53" spans="1:14">
      <c r="A53" s="14" t="s">
        <v>1791</v>
      </c>
      <c r="B53" s="14" t="s">
        <v>1792</v>
      </c>
      <c r="C53" s="14" t="s">
        <v>1690</v>
      </c>
      <c r="D53" s="14" t="s">
        <v>172</v>
      </c>
      <c r="E53" s="14" t="s">
        <v>1682</v>
      </c>
      <c r="F53" s="14">
        <v>189.62</v>
      </c>
      <c r="G53" s="14">
        <v>214.88</v>
      </c>
      <c r="H53" s="15" t="s">
        <v>676</v>
      </c>
      <c r="I53" s="15" t="s">
        <v>1793</v>
      </c>
      <c r="J53" s="14"/>
      <c r="K53" s="14" t="s">
        <v>1632</v>
      </c>
      <c r="L53" s="14">
        <v>22</v>
      </c>
      <c r="M53" s="14">
        <v>9937.5</v>
      </c>
      <c r="N53" s="14" t="s">
        <v>997</v>
      </c>
    </row>
    <row r="54" spans="1:14">
      <c r="A54" s="12" t="s">
        <v>1794</v>
      </c>
      <c r="B54" s="12" t="s">
        <v>1663</v>
      </c>
      <c r="C54" s="12" t="s">
        <v>1675</v>
      </c>
      <c r="D54" s="12" t="s">
        <v>172</v>
      </c>
      <c r="E54" s="12" t="s">
        <v>1629</v>
      </c>
      <c r="F54" s="12">
        <v>109.35</v>
      </c>
      <c r="G54" s="12">
        <v>101.38</v>
      </c>
      <c r="H54" s="13" t="s">
        <v>1795</v>
      </c>
      <c r="I54" s="13" t="s">
        <v>1724</v>
      </c>
      <c r="J54" s="12"/>
      <c r="K54" s="12" t="s">
        <v>1656</v>
      </c>
      <c r="L54" s="12">
        <v>10</v>
      </c>
      <c r="M54" s="12">
        <v>8136.3</v>
      </c>
      <c r="N54" s="12" t="s">
        <v>454</v>
      </c>
    </row>
    <row r="55" spans="1:14">
      <c r="A55" s="14" t="s">
        <v>1796</v>
      </c>
      <c r="B55" s="14" t="s">
        <v>1627</v>
      </c>
      <c r="C55" s="14" t="s">
        <v>1641</v>
      </c>
      <c r="D55" s="14" t="s">
        <v>32</v>
      </c>
      <c r="E55" s="14" t="s">
        <v>1687</v>
      </c>
      <c r="F55" s="14">
        <v>16.93</v>
      </c>
      <c r="G55" s="14">
        <v>21.91</v>
      </c>
      <c r="H55" s="15" t="s">
        <v>1090</v>
      </c>
      <c r="I55" s="15" t="s">
        <v>1760</v>
      </c>
      <c r="J55" s="14"/>
      <c r="K55" s="14" t="s">
        <v>1625</v>
      </c>
      <c r="L55" s="14">
        <v>13</v>
      </c>
      <c r="M55" s="14">
        <v>11014.5</v>
      </c>
      <c r="N55" s="14" t="s">
        <v>219</v>
      </c>
    </row>
    <row r="56" spans="1:14">
      <c r="A56" s="12" t="s">
        <v>1797</v>
      </c>
      <c r="B56" s="12" t="s">
        <v>1646</v>
      </c>
      <c r="C56" s="12" t="s">
        <v>1622</v>
      </c>
      <c r="D56" s="12" t="s">
        <v>149</v>
      </c>
      <c r="E56" s="12" t="s">
        <v>1687</v>
      </c>
      <c r="F56" s="12">
        <v>176.7</v>
      </c>
      <c r="G56" s="12">
        <v>159.97999999999999</v>
      </c>
      <c r="H56" s="13" t="s">
        <v>1697</v>
      </c>
      <c r="I56" s="13" t="s">
        <v>1521</v>
      </c>
      <c r="J56" s="12" t="s">
        <v>1798</v>
      </c>
      <c r="K56" s="12" t="s">
        <v>1638</v>
      </c>
      <c r="L56" s="12">
        <v>9</v>
      </c>
      <c r="M56" s="12">
        <v>6364.8</v>
      </c>
      <c r="N56" s="12" t="s">
        <v>686</v>
      </c>
    </row>
    <row r="57" spans="1:14">
      <c r="A57" s="14" t="s">
        <v>1799</v>
      </c>
      <c r="B57" s="14" t="s">
        <v>1693</v>
      </c>
      <c r="C57" s="14" t="s">
        <v>1755</v>
      </c>
      <c r="D57" s="14" t="s">
        <v>18</v>
      </c>
      <c r="E57" s="14" t="s">
        <v>1734</v>
      </c>
      <c r="F57" s="14">
        <v>9.9</v>
      </c>
      <c r="G57" s="14">
        <v>8.9</v>
      </c>
      <c r="H57" s="15" t="s">
        <v>1800</v>
      </c>
      <c r="I57" s="15" t="s">
        <v>1801</v>
      </c>
      <c r="J57" s="14"/>
      <c r="K57" s="14" t="s">
        <v>1656</v>
      </c>
      <c r="L57" s="14">
        <v>25</v>
      </c>
      <c r="M57" s="14">
        <v>22353.9</v>
      </c>
      <c r="N57" s="14" t="s">
        <v>513</v>
      </c>
    </row>
    <row r="58" spans="1:14">
      <c r="A58" s="12" t="s">
        <v>1802</v>
      </c>
      <c r="B58" s="12" t="s">
        <v>1653</v>
      </c>
      <c r="C58" s="12" t="s">
        <v>1616</v>
      </c>
      <c r="D58" s="12" t="s">
        <v>214</v>
      </c>
      <c r="E58" s="12" t="s">
        <v>1629</v>
      </c>
      <c r="F58" s="12">
        <v>79.989999999999995</v>
      </c>
      <c r="G58" s="12">
        <v>72.56</v>
      </c>
      <c r="H58" s="13" t="s">
        <v>915</v>
      </c>
      <c r="I58" s="13" t="s">
        <v>1803</v>
      </c>
      <c r="J58" s="12"/>
      <c r="K58" s="12" t="s">
        <v>1632</v>
      </c>
      <c r="L58" s="12">
        <v>9</v>
      </c>
      <c r="M58" s="12">
        <v>5178.8999999999996</v>
      </c>
      <c r="N58" s="12" t="s">
        <v>1583</v>
      </c>
    </row>
    <row r="59" spans="1:14">
      <c r="A59" s="14" t="s">
        <v>1804</v>
      </c>
      <c r="B59" s="14" t="s">
        <v>1621</v>
      </c>
      <c r="C59" s="14" t="s">
        <v>1690</v>
      </c>
      <c r="D59" s="14" t="s">
        <v>26</v>
      </c>
      <c r="E59" s="14" t="s">
        <v>1682</v>
      </c>
      <c r="F59" s="14">
        <v>138</v>
      </c>
      <c r="G59" s="14">
        <v>103.18</v>
      </c>
      <c r="H59" s="15" t="s">
        <v>1805</v>
      </c>
      <c r="I59" s="15" t="s">
        <v>1806</v>
      </c>
      <c r="J59" s="14"/>
      <c r="K59" s="14" t="s">
        <v>1625</v>
      </c>
      <c r="L59" s="14">
        <v>13</v>
      </c>
      <c r="M59" s="14">
        <v>9223.2999999999993</v>
      </c>
      <c r="N59" s="14" t="s">
        <v>1510</v>
      </c>
    </row>
    <row r="60" spans="1:14">
      <c r="A60" s="12" t="s">
        <v>1807</v>
      </c>
      <c r="B60" s="12" t="s">
        <v>1763</v>
      </c>
      <c r="C60" s="12" t="s">
        <v>1634</v>
      </c>
      <c r="D60" s="12" t="s">
        <v>114</v>
      </c>
      <c r="E60" s="12" t="s">
        <v>1650</v>
      </c>
      <c r="F60" s="12">
        <v>7.95</v>
      </c>
      <c r="G60" s="12">
        <v>9.6</v>
      </c>
      <c r="H60" s="13" t="s">
        <v>1808</v>
      </c>
      <c r="I60" s="13" t="s">
        <v>1809</v>
      </c>
      <c r="J60" s="12"/>
      <c r="K60" s="12" t="s">
        <v>1632</v>
      </c>
      <c r="L60" s="12">
        <v>25</v>
      </c>
      <c r="M60" s="12">
        <v>19881.3</v>
      </c>
      <c r="N60" s="12" t="s">
        <v>1429</v>
      </c>
    </row>
    <row r="61" spans="1:14">
      <c r="A61" s="14" t="s">
        <v>1810</v>
      </c>
      <c r="B61" s="14" t="s">
        <v>1786</v>
      </c>
      <c r="C61" s="14" t="s">
        <v>1686</v>
      </c>
      <c r="D61" s="14" t="s">
        <v>149</v>
      </c>
      <c r="E61" s="14" t="s">
        <v>1687</v>
      </c>
      <c r="F61" s="14">
        <v>138.01</v>
      </c>
      <c r="G61" s="14">
        <v>102.5</v>
      </c>
      <c r="H61" s="15" t="s">
        <v>1811</v>
      </c>
      <c r="I61" s="15" t="s">
        <v>1812</v>
      </c>
      <c r="J61" s="14"/>
      <c r="K61" s="14" t="s">
        <v>1614</v>
      </c>
      <c r="L61" s="14">
        <v>13</v>
      </c>
      <c r="M61" s="14">
        <v>7864.1</v>
      </c>
      <c r="N61" s="14" t="s">
        <v>1459</v>
      </c>
    </row>
    <row r="62" spans="1:14">
      <c r="A62" s="12" t="s">
        <v>1813</v>
      </c>
      <c r="B62" s="12" t="s">
        <v>1663</v>
      </c>
      <c r="C62" s="12" t="s">
        <v>1814</v>
      </c>
      <c r="D62" s="12" t="s">
        <v>214</v>
      </c>
      <c r="E62" s="12" t="s">
        <v>1668</v>
      </c>
      <c r="F62" s="12">
        <v>62</v>
      </c>
      <c r="G62" s="12">
        <v>75.73</v>
      </c>
      <c r="H62" s="13" t="s">
        <v>1815</v>
      </c>
      <c r="I62" s="13" t="s">
        <v>1816</v>
      </c>
      <c r="J62" s="12"/>
      <c r="K62" s="12" t="s">
        <v>1614</v>
      </c>
      <c r="L62" s="12">
        <v>22</v>
      </c>
      <c r="M62" s="12">
        <v>10432.5</v>
      </c>
      <c r="N62" s="12" t="s">
        <v>686</v>
      </c>
    </row>
    <row r="63" spans="1:14">
      <c r="A63" s="14" t="s">
        <v>1817</v>
      </c>
      <c r="B63" s="14" t="s">
        <v>1786</v>
      </c>
      <c r="C63" s="14" t="s">
        <v>1690</v>
      </c>
      <c r="D63" s="14" t="s">
        <v>114</v>
      </c>
      <c r="E63" s="14" t="s">
        <v>1668</v>
      </c>
      <c r="F63" s="14">
        <v>129.58000000000001</v>
      </c>
      <c r="G63" s="14">
        <v>125.48</v>
      </c>
      <c r="H63" s="15" t="s">
        <v>1818</v>
      </c>
      <c r="I63" s="15" t="s">
        <v>1819</v>
      </c>
      <c r="J63" s="14"/>
      <c r="K63" s="14" t="s">
        <v>1656</v>
      </c>
      <c r="L63" s="14">
        <v>3</v>
      </c>
      <c r="M63" s="14">
        <v>2207.1999999999998</v>
      </c>
      <c r="N63" s="14" t="s">
        <v>1517</v>
      </c>
    </row>
    <row r="64" spans="1:14">
      <c r="A64" s="12" t="s">
        <v>1820</v>
      </c>
      <c r="B64" s="12" t="s">
        <v>1705</v>
      </c>
      <c r="C64" s="12" t="s">
        <v>1628</v>
      </c>
      <c r="D64" s="12" t="s">
        <v>214</v>
      </c>
      <c r="E64" s="12" t="s">
        <v>1629</v>
      </c>
      <c r="F64" s="12">
        <v>177.78</v>
      </c>
      <c r="G64" s="12">
        <v>195.17</v>
      </c>
      <c r="H64" s="13" t="s">
        <v>1821</v>
      </c>
      <c r="I64" s="13" t="s">
        <v>1822</v>
      </c>
      <c r="J64" s="12"/>
      <c r="K64" s="12" t="s">
        <v>1656</v>
      </c>
      <c r="L64" s="12">
        <v>14</v>
      </c>
      <c r="M64" s="12">
        <v>10283.299999999999</v>
      </c>
      <c r="N64" s="12" t="s">
        <v>1593</v>
      </c>
    </row>
    <row r="65" spans="1:14">
      <c r="A65" s="14" t="s">
        <v>1823</v>
      </c>
      <c r="B65" s="14" t="s">
        <v>1786</v>
      </c>
      <c r="C65" s="14" t="s">
        <v>1641</v>
      </c>
      <c r="D65" s="14" t="s">
        <v>149</v>
      </c>
      <c r="E65" s="14" t="s">
        <v>1682</v>
      </c>
      <c r="F65" s="14">
        <v>9.07</v>
      </c>
      <c r="G65" s="14">
        <v>8.52</v>
      </c>
      <c r="H65" s="15" t="s">
        <v>290</v>
      </c>
      <c r="I65" s="15" t="s">
        <v>1824</v>
      </c>
      <c r="J65" s="14"/>
      <c r="K65" s="14" t="s">
        <v>1656</v>
      </c>
      <c r="L65" s="14">
        <v>17</v>
      </c>
      <c r="M65" s="14">
        <v>15240.3</v>
      </c>
      <c r="N65" s="14" t="s">
        <v>633</v>
      </c>
    </row>
    <row r="66" spans="1:14">
      <c r="A66" s="12" t="s">
        <v>1825</v>
      </c>
      <c r="B66" s="12" t="s">
        <v>1702</v>
      </c>
      <c r="C66" s="12" t="s">
        <v>1755</v>
      </c>
      <c r="D66" s="12" t="s">
        <v>75</v>
      </c>
      <c r="E66" s="12" t="s">
        <v>1654</v>
      </c>
      <c r="F66" s="12">
        <v>159.91</v>
      </c>
      <c r="G66" s="12">
        <v>191.06</v>
      </c>
      <c r="H66" s="13" t="s">
        <v>1826</v>
      </c>
      <c r="I66" s="13" t="s">
        <v>1449</v>
      </c>
      <c r="J66" s="12"/>
      <c r="K66" s="12" t="s">
        <v>1614</v>
      </c>
      <c r="L66" s="12">
        <v>9</v>
      </c>
      <c r="M66" s="12">
        <v>5475.2</v>
      </c>
      <c r="N66" s="12" t="s">
        <v>1565</v>
      </c>
    </row>
    <row r="67" spans="1:14">
      <c r="A67" s="14" t="s">
        <v>1827</v>
      </c>
      <c r="B67" s="14" t="s">
        <v>1646</v>
      </c>
      <c r="C67" s="14" t="s">
        <v>1751</v>
      </c>
      <c r="D67" s="14" t="s">
        <v>65</v>
      </c>
      <c r="E67" s="14" t="s">
        <v>1617</v>
      </c>
      <c r="F67" s="14">
        <v>136.16999999999999</v>
      </c>
      <c r="G67" s="14">
        <v>105.19</v>
      </c>
      <c r="H67" s="15" t="s">
        <v>1828</v>
      </c>
      <c r="I67" s="15" t="s">
        <v>1829</v>
      </c>
      <c r="J67" s="14"/>
      <c r="K67" s="14" t="s">
        <v>1632</v>
      </c>
      <c r="L67" s="14">
        <v>14</v>
      </c>
      <c r="M67" s="14">
        <v>6868.9</v>
      </c>
      <c r="N67" s="14" t="s">
        <v>609</v>
      </c>
    </row>
    <row r="68" spans="1:14">
      <c r="A68" s="12" t="s">
        <v>1830</v>
      </c>
      <c r="B68" s="12" t="s">
        <v>1672</v>
      </c>
      <c r="C68" s="12" t="s">
        <v>1831</v>
      </c>
      <c r="D68" s="12" t="s">
        <v>18</v>
      </c>
      <c r="E68" s="12" t="s">
        <v>1682</v>
      </c>
      <c r="F68" s="12">
        <v>162.07</v>
      </c>
      <c r="G68" s="12">
        <v>138.02000000000001</v>
      </c>
      <c r="H68" s="13" t="s">
        <v>945</v>
      </c>
      <c r="I68" s="13" t="s">
        <v>130</v>
      </c>
      <c r="J68" s="12" t="s">
        <v>1832</v>
      </c>
      <c r="K68" s="12" t="s">
        <v>1638</v>
      </c>
      <c r="L68" s="12">
        <v>14</v>
      </c>
      <c r="M68" s="12">
        <v>6049.2</v>
      </c>
      <c r="N68" s="12" t="s">
        <v>1226</v>
      </c>
    </row>
    <row r="69" spans="1:14">
      <c r="A69" s="14" t="s">
        <v>1833</v>
      </c>
      <c r="B69" s="14" t="s">
        <v>1672</v>
      </c>
      <c r="C69" s="14" t="s">
        <v>1628</v>
      </c>
      <c r="D69" s="14" t="s">
        <v>214</v>
      </c>
      <c r="E69" s="14" t="s">
        <v>1617</v>
      </c>
      <c r="F69" s="14">
        <v>116.76</v>
      </c>
      <c r="G69" s="14">
        <v>106.01</v>
      </c>
      <c r="H69" s="15" t="s">
        <v>1834</v>
      </c>
      <c r="I69" s="15" t="s">
        <v>1835</v>
      </c>
      <c r="J69" s="14"/>
      <c r="K69" s="14" t="s">
        <v>1614</v>
      </c>
      <c r="L69" s="14">
        <v>13</v>
      </c>
      <c r="M69" s="14">
        <v>2705.9</v>
      </c>
      <c r="N69" s="14" t="s">
        <v>140</v>
      </c>
    </row>
    <row r="70" spans="1:14">
      <c r="A70" s="12" t="s">
        <v>1836</v>
      </c>
      <c r="B70" s="12" t="s">
        <v>1709</v>
      </c>
      <c r="C70" s="12" t="s">
        <v>1751</v>
      </c>
      <c r="D70" s="12" t="s">
        <v>149</v>
      </c>
      <c r="E70" s="12" t="s">
        <v>1687</v>
      </c>
      <c r="F70" s="12">
        <v>132.03</v>
      </c>
      <c r="G70" s="12">
        <v>98.38</v>
      </c>
      <c r="H70" s="13" t="s">
        <v>1837</v>
      </c>
      <c r="I70" s="13" t="s">
        <v>1838</v>
      </c>
      <c r="J70" s="12"/>
      <c r="K70" s="12" t="s">
        <v>1625</v>
      </c>
      <c r="L70" s="12">
        <v>9</v>
      </c>
      <c r="M70" s="12">
        <v>2185</v>
      </c>
      <c r="N70" s="12" t="s">
        <v>1001</v>
      </c>
    </row>
    <row r="71" spans="1:14">
      <c r="A71" s="14" t="s">
        <v>1839</v>
      </c>
      <c r="B71" s="14" t="s">
        <v>1640</v>
      </c>
      <c r="C71" s="14" t="s">
        <v>1730</v>
      </c>
      <c r="D71" s="14" t="s">
        <v>26</v>
      </c>
      <c r="E71" s="14" t="s">
        <v>1687</v>
      </c>
      <c r="F71" s="14">
        <v>168.63</v>
      </c>
      <c r="G71" s="14">
        <v>167.85</v>
      </c>
      <c r="H71" s="15" t="s">
        <v>1840</v>
      </c>
      <c r="I71" s="15" t="s">
        <v>1841</v>
      </c>
      <c r="J71" s="14"/>
      <c r="K71" s="14" t="s">
        <v>1614</v>
      </c>
      <c r="L71" s="14">
        <v>24</v>
      </c>
      <c r="M71" s="14">
        <v>15758.1</v>
      </c>
      <c r="N71" s="14" t="s">
        <v>688</v>
      </c>
    </row>
    <row r="72" spans="1:14">
      <c r="A72" s="12" t="s">
        <v>1842</v>
      </c>
      <c r="B72" s="12" t="s">
        <v>1646</v>
      </c>
      <c r="C72" s="12" t="s">
        <v>1610</v>
      </c>
      <c r="D72" s="12" t="s">
        <v>26</v>
      </c>
      <c r="E72" s="12" t="s">
        <v>1668</v>
      </c>
      <c r="F72" s="12">
        <v>62.87</v>
      </c>
      <c r="G72" s="12">
        <v>64.989999999999995</v>
      </c>
      <c r="H72" s="13" t="s">
        <v>1843</v>
      </c>
      <c r="I72" s="13" t="s">
        <v>1844</v>
      </c>
      <c r="J72" s="12" t="s">
        <v>1845</v>
      </c>
      <c r="K72" s="12" t="s">
        <v>1638</v>
      </c>
      <c r="L72" s="12">
        <v>17</v>
      </c>
      <c r="M72" s="12">
        <v>3608</v>
      </c>
      <c r="N72" s="12" t="s">
        <v>462</v>
      </c>
    </row>
    <row r="73" spans="1:14">
      <c r="A73" s="14" t="s">
        <v>1846</v>
      </c>
      <c r="B73" s="14" t="s">
        <v>1653</v>
      </c>
      <c r="C73" s="14" t="s">
        <v>1610</v>
      </c>
      <c r="D73" s="14" t="s">
        <v>46</v>
      </c>
      <c r="E73" s="14" t="s">
        <v>1623</v>
      </c>
      <c r="F73" s="14">
        <v>197.17</v>
      </c>
      <c r="G73" s="14">
        <v>194.12</v>
      </c>
      <c r="H73" s="15" t="s">
        <v>1847</v>
      </c>
      <c r="I73" s="15" t="s">
        <v>1848</v>
      </c>
      <c r="J73" s="14" t="s">
        <v>1849</v>
      </c>
      <c r="K73" s="14" t="s">
        <v>1638</v>
      </c>
      <c r="L73" s="14">
        <v>3</v>
      </c>
      <c r="M73" s="14">
        <v>1332.1</v>
      </c>
      <c r="N73" s="14" t="s">
        <v>761</v>
      </c>
    </row>
    <row r="74" spans="1:14">
      <c r="A74" s="12" t="s">
        <v>1850</v>
      </c>
      <c r="B74" s="12" t="s">
        <v>1786</v>
      </c>
      <c r="C74" s="12" t="s">
        <v>1686</v>
      </c>
      <c r="D74" s="12" t="s">
        <v>114</v>
      </c>
      <c r="E74" s="12" t="s">
        <v>1611</v>
      </c>
      <c r="F74" s="12">
        <v>125.62</v>
      </c>
      <c r="G74" s="12">
        <v>93.39</v>
      </c>
      <c r="H74" s="13" t="s">
        <v>1851</v>
      </c>
      <c r="I74" s="13" t="s">
        <v>1832</v>
      </c>
      <c r="J74" s="12" t="s">
        <v>1104</v>
      </c>
      <c r="K74" s="12" t="s">
        <v>1638</v>
      </c>
      <c r="L74" s="12">
        <v>3</v>
      </c>
      <c r="M74" s="12">
        <v>1401.9</v>
      </c>
      <c r="N74" s="12" t="s">
        <v>143</v>
      </c>
    </row>
    <row r="75" spans="1:14">
      <c r="A75" s="14" t="s">
        <v>1852</v>
      </c>
      <c r="B75" s="14" t="s">
        <v>1729</v>
      </c>
      <c r="C75" s="14" t="s">
        <v>1622</v>
      </c>
      <c r="D75" s="14" t="s">
        <v>65</v>
      </c>
      <c r="E75" s="14" t="s">
        <v>1668</v>
      </c>
      <c r="F75" s="14">
        <v>189.08</v>
      </c>
      <c r="G75" s="14">
        <v>192.83</v>
      </c>
      <c r="H75" s="15" t="s">
        <v>1853</v>
      </c>
      <c r="I75" s="15" t="s">
        <v>1854</v>
      </c>
      <c r="J75" s="14" t="s">
        <v>824</v>
      </c>
      <c r="K75" s="14" t="s">
        <v>1638</v>
      </c>
      <c r="L75" s="14">
        <v>3</v>
      </c>
      <c r="M75" s="14">
        <v>2063.6</v>
      </c>
      <c r="N75" s="14" t="s">
        <v>1150</v>
      </c>
    </row>
    <row r="76" spans="1:14">
      <c r="A76" s="12" t="s">
        <v>1855</v>
      </c>
      <c r="B76" s="12" t="s">
        <v>1792</v>
      </c>
      <c r="C76" s="12" t="s">
        <v>1831</v>
      </c>
      <c r="D76" s="12" t="s">
        <v>53</v>
      </c>
      <c r="E76" s="12" t="s">
        <v>1635</v>
      </c>
      <c r="F76" s="12">
        <v>127.81</v>
      </c>
      <c r="G76" s="12">
        <v>124.32</v>
      </c>
      <c r="H76" s="13" t="s">
        <v>1800</v>
      </c>
      <c r="I76" s="13" t="s">
        <v>1717</v>
      </c>
      <c r="J76" s="12"/>
      <c r="K76" s="12" t="s">
        <v>1625</v>
      </c>
      <c r="L76" s="12">
        <v>2</v>
      </c>
      <c r="M76" s="12">
        <v>1618.2</v>
      </c>
      <c r="N76" s="12" t="s">
        <v>726</v>
      </c>
    </row>
    <row r="77" spans="1:14">
      <c r="A77" s="14" t="s">
        <v>1856</v>
      </c>
      <c r="B77" s="14" t="s">
        <v>1786</v>
      </c>
      <c r="C77" s="14" t="s">
        <v>1814</v>
      </c>
      <c r="D77" s="14" t="s">
        <v>46</v>
      </c>
      <c r="E77" s="14" t="s">
        <v>1629</v>
      </c>
      <c r="F77" s="14">
        <v>128.47999999999999</v>
      </c>
      <c r="G77" s="14">
        <v>147.78</v>
      </c>
      <c r="H77" s="15" t="s">
        <v>1857</v>
      </c>
      <c r="I77" s="15" t="s">
        <v>1749</v>
      </c>
      <c r="J77" s="14"/>
      <c r="K77" s="14" t="s">
        <v>1625</v>
      </c>
      <c r="L77" s="14">
        <v>4</v>
      </c>
      <c r="M77" s="14">
        <v>3067.1</v>
      </c>
      <c r="N77" s="14" t="s">
        <v>125</v>
      </c>
    </row>
    <row r="78" spans="1:14">
      <c r="A78" s="12" t="s">
        <v>1858</v>
      </c>
      <c r="B78" s="12" t="s">
        <v>1693</v>
      </c>
      <c r="C78" s="12" t="s">
        <v>1831</v>
      </c>
      <c r="D78" s="12" t="s">
        <v>65</v>
      </c>
      <c r="E78" s="12" t="s">
        <v>1682</v>
      </c>
      <c r="F78" s="12">
        <v>168.48</v>
      </c>
      <c r="G78" s="12">
        <v>139.91999999999999</v>
      </c>
      <c r="H78" s="13" t="s">
        <v>1859</v>
      </c>
      <c r="I78" s="13" t="s">
        <v>1860</v>
      </c>
      <c r="J78" s="12"/>
      <c r="K78" s="12" t="s">
        <v>1656</v>
      </c>
      <c r="L78" s="12">
        <v>19</v>
      </c>
      <c r="M78" s="12">
        <v>12786.7</v>
      </c>
      <c r="N78" s="12" t="s">
        <v>1177</v>
      </c>
    </row>
    <row r="79" spans="1:14">
      <c r="A79" s="14" t="s">
        <v>1861</v>
      </c>
      <c r="B79" s="14" t="s">
        <v>1621</v>
      </c>
      <c r="C79" s="14" t="s">
        <v>1634</v>
      </c>
      <c r="D79" s="14" t="s">
        <v>26</v>
      </c>
      <c r="E79" s="14" t="s">
        <v>1635</v>
      </c>
      <c r="F79" s="14">
        <v>5.87</v>
      </c>
      <c r="G79" s="14">
        <v>5.22</v>
      </c>
      <c r="H79" s="15" t="s">
        <v>1862</v>
      </c>
      <c r="I79" s="15" t="s">
        <v>1863</v>
      </c>
      <c r="J79" s="14"/>
      <c r="K79" s="14" t="s">
        <v>1656</v>
      </c>
      <c r="L79" s="14">
        <v>8</v>
      </c>
      <c r="M79" s="14">
        <v>958.7</v>
      </c>
      <c r="N79" s="14" t="s">
        <v>1505</v>
      </c>
    </row>
    <row r="80" spans="1:14">
      <c r="A80" s="12" t="s">
        <v>1864</v>
      </c>
      <c r="B80" s="12" t="s">
        <v>1786</v>
      </c>
      <c r="C80" s="12" t="s">
        <v>1814</v>
      </c>
      <c r="D80" s="12" t="s">
        <v>26</v>
      </c>
      <c r="E80" s="12" t="s">
        <v>1687</v>
      </c>
      <c r="F80" s="12">
        <v>9.57</v>
      </c>
      <c r="G80" s="12">
        <v>8.9499999999999993</v>
      </c>
      <c r="H80" s="13" t="s">
        <v>1865</v>
      </c>
      <c r="I80" s="13" t="s">
        <v>669</v>
      </c>
      <c r="J80" s="12"/>
      <c r="K80" s="12" t="s">
        <v>1656</v>
      </c>
      <c r="L80" s="12">
        <v>10</v>
      </c>
      <c r="M80" s="12">
        <v>4573.3999999999996</v>
      </c>
      <c r="N80" s="12" t="s">
        <v>667</v>
      </c>
    </row>
    <row r="81" spans="1:14">
      <c r="A81" s="14" t="s">
        <v>1866</v>
      </c>
      <c r="B81" s="14" t="s">
        <v>1693</v>
      </c>
      <c r="C81" s="14" t="s">
        <v>1610</v>
      </c>
      <c r="D81" s="14" t="s">
        <v>75</v>
      </c>
      <c r="E81" s="14" t="s">
        <v>1668</v>
      </c>
      <c r="F81" s="14">
        <v>143.72999999999999</v>
      </c>
      <c r="G81" s="14">
        <v>182.41</v>
      </c>
      <c r="H81" s="15" t="s">
        <v>1090</v>
      </c>
      <c r="I81" s="15" t="s">
        <v>1867</v>
      </c>
      <c r="J81" s="14"/>
      <c r="K81" s="14" t="s">
        <v>1632</v>
      </c>
      <c r="L81" s="14">
        <v>12</v>
      </c>
      <c r="M81" s="14">
        <v>1974.4</v>
      </c>
      <c r="N81" s="14" t="s">
        <v>1338</v>
      </c>
    </row>
    <row r="82" spans="1:14">
      <c r="A82" s="12" t="s">
        <v>1868</v>
      </c>
      <c r="B82" s="12" t="s">
        <v>1705</v>
      </c>
      <c r="C82" s="12" t="s">
        <v>1814</v>
      </c>
      <c r="D82" s="12" t="s">
        <v>32</v>
      </c>
      <c r="E82" s="12" t="s">
        <v>1642</v>
      </c>
      <c r="F82" s="12">
        <v>15.28</v>
      </c>
      <c r="G82" s="12">
        <v>18.420000000000002</v>
      </c>
      <c r="H82" s="13" t="s">
        <v>1869</v>
      </c>
      <c r="I82" s="13" t="s">
        <v>716</v>
      </c>
      <c r="J82" s="12"/>
      <c r="K82" s="12" t="s">
        <v>1632</v>
      </c>
      <c r="L82" s="12">
        <v>4</v>
      </c>
      <c r="M82" s="12">
        <v>1919</v>
      </c>
      <c r="N82" s="12" t="s">
        <v>594</v>
      </c>
    </row>
    <row r="83" spans="1:14">
      <c r="A83" s="14" t="s">
        <v>1870</v>
      </c>
      <c r="B83" s="14" t="s">
        <v>1699</v>
      </c>
      <c r="C83" s="14" t="s">
        <v>1751</v>
      </c>
      <c r="D83" s="14" t="s">
        <v>149</v>
      </c>
      <c r="E83" s="14" t="s">
        <v>1650</v>
      </c>
      <c r="F83" s="14">
        <v>10.69</v>
      </c>
      <c r="G83" s="14">
        <v>12.4</v>
      </c>
      <c r="H83" s="15" t="s">
        <v>1871</v>
      </c>
      <c r="I83" s="15" t="s">
        <v>1872</v>
      </c>
      <c r="J83" s="14"/>
      <c r="K83" s="14" t="s">
        <v>1625</v>
      </c>
      <c r="L83" s="14">
        <v>22</v>
      </c>
      <c r="M83" s="14">
        <v>19607.099999999999</v>
      </c>
      <c r="N83" s="14" t="s">
        <v>92</v>
      </c>
    </row>
    <row r="84" spans="1:14">
      <c r="A84" s="12" t="s">
        <v>1873</v>
      </c>
      <c r="B84" s="12" t="s">
        <v>1720</v>
      </c>
      <c r="C84" s="12" t="s">
        <v>1831</v>
      </c>
      <c r="D84" s="12" t="s">
        <v>18</v>
      </c>
      <c r="E84" s="12" t="s">
        <v>1611</v>
      </c>
      <c r="F84" s="12">
        <v>140.44999999999999</v>
      </c>
      <c r="G84" s="12">
        <v>107.36</v>
      </c>
      <c r="H84" s="13" t="s">
        <v>1874</v>
      </c>
      <c r="I84" s="13" t="s">
        <v>1875</v>
      </c>
      <c r="J84" s="12" t="s">
        <v>1876</v>
      </c>
      <c r="K84" s="12" t="s">
        <v>1638</v>
      </c>
      <c r="L84" s="12">
        <v>11</v>
      </c>
      <c r="M84" s="12">
        <v>7278.4</v>
      </c>
      <c r="N84" s="12" t="s">
        <v>746</v>
      </c>
    </row>
    <row r="85" spans="1:14">
      <c r="A85" s="14" t="s">
        <v>1877</v>
      </c>
      <c r="B85" s="14" t="s">
        <v>1627</v>
      </c>
      <c r="C85" s="14" t="s">
        <v>1751</v>
      </c>
      <c r="D85" s="14" t="s">
        <v>214</v>
      </c>
      <c r="E85" s="14" t="s">
        <v>1611</v>
      </c>
      <c r="F85" s="14">
        <v>99.32</v>
      </c>
      <c r="G85" s="14">
        <v>75.05</v>
      </c>
      <c r="H85" s="15" t="s">
        <v>1289</v>
      </c>
      <c r="I85" s="15" t="s">
        <v>1878</v>
      </c>
      <c r="J85" s="14" t="s">
        <v>514</v>
      </c>
      <c r="K85" s="14" t="s">
        <v>1638</v>
      </c>
      <c r="L85" s="14">
        <v>14</v>
      </c>
      <c r="M85" s="14">
        <v>7185.2</v>
      </c>
      <c r="N85" s="14" t="s">
        <v>13</v>
      </c>
    </row>
    <row r="86" spans="1:14">
      <c r="A86" s="12" t="s">
        <v>1879</v>
      </c>
      <c r="B86" s="12" t="s">
        <v>1709</v>
      </c>
      <c r="C86" s="12" t="s">
        <v>1814</v>
      </c>
      <c r="D86" s="12" t="s">
        <v>32</v>
      </c>
      <c r="E86" s="12" t="s">
        <v>1650</v>
      </c>
      <c r="F86" s="12">
        <v>93.51</v>
      </c>
      <c r="G86" s="12">
        <v>88.77</v>
      </c>
      <c r="H86" s="13" t="s">
        <v>1880</v>
      </c>
      <c r="I86" s="13" t="s">
        <v>1881</v>
      </c>
      <c r="J86" s="12"/>
      <c r="K86" s="12" t="s">
        <v>1656</v>
      </c>
      <c r="L86" s="12">
        <v>6</v>
      </c>
      <c r="M86" s="12">
        <v>1009.2</v>
      </c>
      <c r="N86" s="12" t="s">
        <v>524</v>
      </c>
    </row>
    <row r="87" spans="1:14">
      <c r="A87" s="14" t="s">
        <v>1882</v>
      </c>
      <c r="B87" s="14" t="s">
        <v>1739</v>
      </c>
      <c r="C87" s="14" t="s">
        <v>1675</v>
      </c>
      <c r="D87" s="14" t="s">
        <v>32</v>
      </c>
      <c r="E87" s="14" t="s">
        <v>1659</v>
      </c>
      <c r="F87" s="14">
        <v>27.34</v>
      </c>
      <c r="G87" s="14">
        <v>19.34</v>
      </c>
      <c r="H87" s="15" t="s">
        <v>1883</v>
      </c>
      <c r="I87" s="15" t="s">
        <v>1884</v>
      </c>
      <c r="J87" s="14"/>
      <c r="K87" s="14" t="s">
        <v>1625</v>
      </c>
      <c r="L87" s="14">
        <v>15</v>
      </c>
      <c r="M87" s="14">
        <v>7811.8</v>
      </c>
      <c r="N87" s="14" t="s">
        <v>1253</v>
      </c>
    </row>
    <row r="88" spans="1:14">
      <c r="A88" s="12" t="s">
        <v>1885</v>
      </c>
      <c r="B88" s="12" t="s">
        <v>1653</v>
      </c>
      <c r="C88" s="12" t="s">
        <v>1690</v>
      </c>
      <c r="D88" s="12" t="s">
        <v>75</v>
      </c>
      <c r="E88" s="12" t="s">
        <v>1659</v>
      </c>
      <c r="F88" s="12">
        <v>177.84</v>
      </c>
      <c r="G88" s="12">
        <v>161.83000000000001</v>
      </c>
      <c r="H88" s="13" t="s">
        <v>1886</v>
      </c>
      <c r="I88" s="13" t="s">
        <v>1887</v>
      </c>
      <c r="J88" s="12"/>
      <c r="K88" s="12" t="s">
        <v>1614</v>
      </c>
      <c r="L88" s="12">
        <v>19</v>
      </c>
      <c r="M88" s="12">
        <v>10552.9</v>
      </c>
      <c r="N88" s="12" t="s">
        <v>638</v>
      </c>
    </row>
    <row r="89" spans="1:14">
      <c r="A89" s="14" t="s">
        <v>1888</v>
      </c>
      <c r="B89" s="14" t="s">
        <v>1653</v>
      </c>
      <c r="C89" s="14" t="s">
        <v>1755</v>
      </c>
      <c r="D89" s="14" t="s">
        <v>53</v>
      </c>
      <c r="E89" s="14" t="s">
        <v>1734</v>
      </c>
      <c r="F89" s="14">
        <v>66.91</v>
      </c>
      <c r="G89" s="14">
        <v>64.67</v>
      </c>
      <c r="H89" s="15" t="s">
        <v>1669</v>
      </c>
      <c r="I89" s="15" t="s">
        <v>1889</v>
      </c>
      <c r="J89" s="14"/>
      <c r="K89" s="14" t="s">
        <v>1625</v>
      </c>
      <c r="L89" s="14">
        <v>20</v>
      </c>
      <c r="M89" s="14">
        <v>12241.3</v>
      </c>
      <c r="N89" s="14" t="s">
        <v>1388</v>
      </c>
    </row>
    <row r="90" spans="1:14">
      <c r="A90" s="12" t="s">
        <v>1890</v>
      </c>
      <c r="B90" s="12" t="s">
        <v>1699</v>
      </c>
      <c r="C90" s="12" t="s">
        <v>1751</v>
      </c>
      <c r="D90" s="12" t="s">
        <v>65</v>
      </c>
      <c r="E90" s="12" t="s">
        <v>1629</v>
      </c>
      <c r="F90" s="12">
        <v>22.25</v>
      </c>
      <c r="G90" s="12">
        <v>23.94</v>
      </c>
      <c r="H90" s="13" t="s">
        <v>1891</v>
      </c>
      <c r="I90" s="13" t="s">
        <v>1892</v>
      </c>
      <c r="J90" s="12"/>
      <c r="K90" s="12" t="s">
        <v>1632</v>
      </c>
      <c r="L90" s="12">
        <v>25</v>
      </c>
      <c r="M90" s="12">
        <v>5721.7</v>
      </c>
      <c r="N90" s="12" t="s">
        <v>795</v>
      </c>
    </row>
    <row r="91" spans="1:14">
      <c r="A91" s="14" t="s">
        <v>1893</v>
      </c>
      <c r="B91" s="14" t="s">
        <v>1663</v>
      </c>
      <c r="C91" s="14" t="s">
        <v>1690</v>
      </c>
      <c r="D91" s="14" t="s">
        <v>75</v>
      </c>
      <c r="E91" s="14" t="s">
        <v>1654</v>
      </c>
      <c r="F91" s="14">
        <v>146.28</v>
      </c>
      <c r="G91" s="14">
        <v>179.79</v>
      </c>
      <c r="H91" s="15" t="s">
        <v>1099</v>
      </c>
      <c r="I91" s="15" t="s">
        <v>1894</v>
      </c>
      <c r="J91" s="14"/>
      <c r="K91" s="14" t="s">
        <v>1614</v>
      </c>
      <c r="L91" s="14">
        <v>22</v>
      </c>
      <c r="M91" s="14">
        <v>16468.599999999999</v>
      </c>
      <c r="N91" s="14" t="s">
        <v>1050</v>
      </c>
    </row>
    <row r="92" spans="1:14">
      <c r="A92" s="12" t="s">
        <v>1895</v>
      </c>
      <c r="B92" s="12" t="s">
        <v>1709</v>
      </c>
      <c r="C92" s="12" t="s">
        <v>1616</v>
      </c>
      <c r="D92" s="12" t="s">
        <v>65</v>
      </c>
      <c r="E92" s="12" t="s">
        <v>1664</v>
      </c>
      <c r="F92" s="12">
        <v>147.04</v>
      </c>
      <c r="G92" s="12">
        <v>158.61000000000001</v>
      </c>
      <c r="H92" s="13" t="s">
        <v>757</v>
      </c>
      <c r="I92" s="13" t="s">
        <v>602</v>
      </c>
      <c r="J92" s="12"/>
      <c r="K92" s="12" t="s">
        <v>1632</v>
      </c>
      <c r="L92" s="12">
        <v>3</v>
      </c>
      <c r="M92" s="12">
        <v>1861.2</v>
      </c>
      <c r="N92" s="12" t="s">
        <v>1378</v>
      </c>
    </row>
    <row r="93" spans="1:14">
      <c r="A93" s="14" t="s">
        <v>1896</v>
      </c>
      <c r="B93" s="14" t="s">
        <v>1705</v>
      </c>
      <c r="C93" s="14" t="s">
        <v>1658</v>
      </c>
      <c r="D93" s="14" t="s">
        <v>46</v>
      </c>
      <c r="E93" s="14" t="s">
        <v>1682</v>
      </c>
      <c r="F93" s="14">
        <v>86.62</v>
      </c>
      <c r="G93" s="14">
        <v>97.12</v>
      </c>
      <c r="H93" s="15" t="s">
        <v>1897</v>
      </c>
      <c r="I93" s="15" t="s">
        <v>1898</v>
      </c>
      <c r="J93" s="14"/>
      <c r="K93" s="14" t="s">
        <v>1632</v>
      </c>
      <c r="L93" s="14">
        <v>9</v>
      </c>
      <c r="M93" s="14">
        <v>6691.3</v>
      </c>
      <c r="N93" s="14" t="s">
        <v>1421</v>
      </c>
    </row>
    <row r="94" spans="1:14">
      <c r="A94" s="12" t="s">
        <v>1899</v>
      </c>
      <c r="B94" s="12" t="s">
        <v>1672</v>
      </c>
      <c r="C94" s="12" t="s">
        <v>1610</v>
      </c>
      <c r="D94" s="12" t="s">
        <v>70</v>
      </c>
      <c r="E94" s="12" t="s">
        <v>1611</v>
      </c>
      <c r="F94" s="12">
        <v>152.57</v>
      </c>
      <c r="G94" s="12">
        <v>169.36</v>
      </c>
      <c r="H94" s="13" t="s">
        <v>1900</v>
      </c>
      <c r="I94" s="13" t="s">
        <v>315</v>
      </c>
      <c r="J94" s="12"/>
      <c r="K94" s="12" t="s">
        <v>1614</v>
      </c>
      <c r="L94" s="12">
        <v>7</v>
      </c>
      <c r="M94" s="12">
        <v>3766.2</v>
      </c>
      <c r="N94" s="12" t="s">
        <v>1429</v>
      </c>
    </row>
    <row r="95" spans="1:14">
      <c r="A95" s="14" t="s">
        <v>1901</v>
      </c>
      <c r="B95" s="14" t="s">
        <v>1792</v>
      </c>
      <c r="C95" s="14" t="s">
        <v>1610</v>
      </c>
      <c r="D95" s="14" t="s">
        <v>26</v>
      </c>
      <c r="E95" s="14" t="s">
        <v>1654</v>
      </c>
      <c r="F95" s="14">
        <v>166.53</v>
      </c>
      <c r="G95" s="14">
        <v>207.35</v>
      </c>
      <c r="H95" s="15" t="s">
        <v>1902</v>
      </c>
      <c r="I95" s="15" t="s">
        <v>1903</v>
      </c>
      <c r="J95" s="14"/>
      <c r="K95" s="14" t="s">
        <v>1625</v>
      </c>
      <c r="L95" s="14">
        <v>3</v>
      </c>
      <c r="M95" s="14">
        <v>1143.3</v>
      </c>
      <c r="N95" s="14" t="s">
        <v>330</v>
      </c>
    </row>
    <row r="96" spans="1:14">
      <c r="A96" s="12" t="s">
        <v>1904</v>
      </c>
      <c r="B96" s="12" t="s">
        <v>1621</v>
      </c>
      <c r="C96" s="12" t="s">
        <v>1641</v>
      </c>
      <c r="D96" s="12" t="s">
        <v>149</v>
      </c>
      <c r="E96" s="12" t="s">
        <v>1623</v>
      </c>
      <c r="F96" s="12">
        <v>164.06</v>
      </c>
      <c r="G96" s="12">
        <v>135</v>
      </c>
      <c r="H96" s="13" t="s">
        <v>532</v>
      </c>
      <c r="I96" s="13" t="s">
        <v>711</v>
      </c>
      <c r="J96" s="12"/>
      <c r="K96" s="12" t="s">
        <v>1614</v>
      </c>
      <c r="L96" s="12">
        <v>18</v>
      </c>
      <c r="M96" s="12">
        <v>2681.8</v>
      </c>
      <c r="N96" s="12" t="s">
        <v>1457</v>
      </c>
    </row>
    <row r="97" spans="1:14">
      <c r="A97" s="14" t="s">
        <v>1905</v>
      </c>
      <c r="B97" s="14" t="s">
        <v>1693</v>
      </c>
      <c r="C97" s="14" t="s">
        <v>1751</v>
      </c>
      <c r="D97" s="14" t="s">
        <v>149</v>
      </c>
      <c r="E97" s="14" t="s">
        <v>1623</v>
      </c>
      <c r="F97" s="14">
        <v>100.01</v>
      </c>
      <c r="G97" s="14">
        <v>87.7</v>
      </c>
      <c r="H97" s="15" t="s">
        <v>1906</v>
      </c>
      <c r="I97" s="15" t="s">
        <v>1907</v>
      </c>
      <c r="J97" s="14" t="s">
        <v>1908</v>
      </c>
      <c r="K97" s="14" t="s">
        <v>1638</v>
      </c>
      <c r="L97" s="14">
        <v>15</v>
      </c>
      <c r="M97" s="14">
        <v>7065.2</v>
      </c>
      <c r="N97" s="14" t="s">
        <v>501</v>
      </c>
    </row>
    <row r="98" spans="1:14">
      <c r="A98" s="12" t="s">
        <v>1909</v>
      </c>
      <c r="B98" s="12" t="s">
        <v>1646</v>
      </c>
      <c r="C98" s="12" t="s">
        <v>1622</v>
      </c>
      <c r="D98" s="12" t="s">
        <v>46</v>
      </c>
      <c r="E98" s="12" t="s">
        <v>1623</v>
      </c>
      <c r="F98" s="12">
        <v>52.08</v>
      </c>
      <c r="G98" s="12">
        <v>55.74</v>
      </c>
      <c r="H98" s="13" t="s">
        <v>1910</v>
      </c>
      <c r="I98" s="13" t="s">
        <v>722</v>
      </c>
      <c r="J98" s="12"/>
      <c r="K98" s="12" t="s">
        <v>1656</v>
      </c>
      <c r="L98" s="12">
        <v>6</v>
      </c>
      <c r="M98" s="12">
        <v>3493</v>
      </c>
      <c r="N98" s="12" t="s">
        <v>661</v>
      </c>
    </row>
    <row r="99" spans="1:14">
      <c r="A99" s="14" t="s">
        <v>1911</v>
      </c>
      <c r="B99" s="14" t="s">
        <v>1720</v>
      </c>
      <c r="C99" s="14" t="s">
        <v>1675</v>
      </c>
      <c r="D99" s="14" t="s">
        <v>46</v>
      </c>
      <c r="E99" s="14" t="s">
        <v>1623</v>
      </c>
      <c r="F99" s="14">
        <v>106.89</v>
      </c>
      <c r="G99" s="14">
        <v>76.37</v>
      </c>
      <c r="H99" s="15" t="s">
        <v>1912</v>
      </c>
      <c r="I99" s="15" t="s">
        <v>1913</v>
      </c>
      <c r="J99" s="14"/>
      <c r="K99" s="14" t="s">
        <v>1625</v>
      </c>
      <c r="L99" s="14">
        <v>12</v>
      </c>
      <c r="M99" s="14">
        <v>2200.8000000000002</v>
      </c>
      <c r="N99" s="14" t="s">
        <v>575</v>
      </c>
    </row>
    <row r="100" spans="1:14">
      <c r="A100" s="12" t="s">
        <v>1914</v>
      </c>
      <c r="B100" s="12" t="s">
        <v>1640</v>
      </c>
      <c r="C100" s="12" t="s">
        <v>1628</v>
      </c>
      <c r="D100" s="12" t="s">
        <v>114</v>
      </c>
      <c r="E100" s="12" t="s">
        <v>1623</v>
      </c>
      <c r="F100" s="12">
        <v>72.95</v>
      </c>
      <c r="G100" s="12">
        <v>74.099999999999994</v>
      </c>
      <c r="H100" s="13" t="s">
        <v>1915</v>
      </c>
      <c r="I100" s="13" t="s">
        <v>1916</v>
      </c>
      <c r="J100" s="12"/>
      <c r="K100" s="12" t="s">
        <v>1632</v>
      </c>
      <c r="L100" s="12">
        <v>16</v>
      </c>
      <c r="M100" s="12">
        <v>7702.7</v>
      </c>
      <c r="N100" s="12" t="s">
        <v>675</v>
      </c>
    </row>
    <row r="101" spans="1:14">
      <c r="A101" s="14" t="s">
        <v>1917</v>
      </c>
      <c r="B101" s="14" t="s">
        <v>1763</v>
      </c>
      <c r="C101" s="14" t="s">
        <v>1658</v>
      </c>
      <c r="D101" s="14" t="s">
        <v>114</v>
      </c>
      <c r="E101" s="14" t="s">
        <v>1740</v>
      </c>
      <c r="F101" s="14">
        <v>30.47</v>
      </c>
      <c r="G101" s="14">
        <v>35.380000000000003</v>
      </c>
      <c r="H101" s="15" t="s">
        <v>166</v>
      </c>
      <c r="I101" s="15" t="s">
        <v>1918</v>
      </c>
      <c r="J101" s="14"/>
      <c r="K101" s="14" t="s">
        <v>1614</v>
      </c>
      <c r="L101" s="14">
        <v>14</v>
      </c>
      <c r="M101" s="14">
        <v>3896.9</v>
      </c>
      <c r="N101" s="14" t="s">
        <v>60</v>
      </c>
    </row>
    <row r="102" spans="1:14">
      <c r="A102" s="12" t="s">
        <v>1919</v>
      </c>
      <c r="B102" s="12" t="s">
        <v>1709</v>
      </c>
      <c r="C102" s="12" t="s">
        <v>1616</v>
      </c>
      <c r="D102" s="12" t="s">
        <v>214</v>
      </c>
      <c r="E102" s="12" t="s">
        <v>1650</v>
      </c>
      <c r="F102" s="12">
        <v>149.75</v>
      </c>
      <c r="G102" s="12">
        <v>128.30000000000001</v>
      </c>
      <c r="H102" s="13" t="s">
        <v>917</v>
      </c>
      <c r="I102" s="13" t="s">
        <v>1920</v>
      </c>
      <c r="J102" s="12"/>
      <c r="K102" s="12" t="s">
        <v>1656</v>
      </c>
      <c r="L102" s="12">
        <v>24</v>
      </c>
      <c r="M102" s="12">
        <v>5896.4</v>
      </c>
      <c r="N102" s="12" t="s">
        <v>459</v>
      </c>
    </row>
    <row r="103" spans="1:14">
      <c r="A103" s="14" t="s">
        <v>1921</v>
      </c>
      <c r="B103" s="14" t="s">
        <v>1693</v>
      </c>
      <c r="C103" s="14" t="s">
        <v>1610</v>
      </c>
      <c r="D103" s="14" t="s">
        <v>114</v>
      </c>
      <c r="E103" s="14" t="s">
        <v>1668</v>
      </c>
      <c r="F103" s="14">
        <v>69.56</v>
      </c>
      <c r="G103" s="14">
        <v>80.52</v>
      </c>
      <c r="H103" s="15" t="s">
        <v>1922</v>
      </c>
      <c r="I103" s="15" t="s">
        <v>1923</v>
      </c>
      <c r="J103" s="14"/>
      <c r="K103" s="14" t="s">
        <v>1632</v>
      </c>
      <c r="L103" s="14">
        <v>4</v>
      </c>
      <c r="M103" s="14">
        <v>1925.3</v>
      </c>
      <c r="N103" s="14" t="s">
        <v>296</v>
      </c>
    </row>
    <row r="104" spans="1:14">
      <c r="A104" s="12" t="s">
        <v>1924</v>
      </c>
      <c r="B104" s="12" t="s">
        <v>1699</v>
      </c>
      <c r="C104" s="12" t="s">
        <v>1658</v>
      </c>
      <c r="D104" s="12" t="s">
        <v>46</v>
      </c>
      <c r="E104" s="12" t="s">
        <v>1654</v>
      </c>
      <c r="F104" s="12"/>
      <c r="G104" s="12">
        <v>34.06</v>
      </c>
      <c r="H104" s="13" t="s">
        <v>1925</v>
      </c>
      <c r="I104" s="13" t="s">
        <v>1926</v>
      </c>
      <c r="J104" s="12"/>
      <c r="K104" s="12" t="s">
        <v>1614</v>
      </c>
      <c r="L104" s="12">
        <v>2</v>
      </c>
      <c r="M104" s="12">
        <v>1338.7</v>
      </c>
      <c r="N104" s="12" t="s">
        <v>993</v>
      </c>
    </row>
    <row r="105" spans="1:14">
      <c r="A105" s="14" t="s">
        <v>1927</v>
      </c>
      <c r="B105" s="14" t="s">
        <v>1663</v>
      </c>
      <c r="C105" s="14" t="s">
        <v>1658</v>
      </c>
      <c r="D105" s="14" t="s">
        <v>214</v>
      </c>
      <c r="E105" s="14" t="s">
        <v>1623</v>
      </c>
      <c r="F105" s="14">
        <v>138.18</v>
      </c>
      <c r="G105" s="14">
        <v>155.53</v>
      </c>
      <c r="H105" s="15" t="s">
        <v>500</v>
      </c>
      <c r="I105" s="15" t="s">
        <v>1928</v>
      </c>
      <c r="J105" s="14"/>
      <c r="K105" s="14" t="s">
        <v>1614</v>
      </c>
      <c r="L105" s="14">
        <v>15</v>
      </c>
      <c r="M105" s="14">
        <v>5248.8</v>
      </c>
      <c r="N105" s="14" t="s">
        <v>1313</v>
      </c>
    </row>
    <row r="106" spans="1:14">
      <c r="A106" s="12" t="s">
        <v>1929</v>
      </c>
      <c r="B106" s="12" t="s">
        <v>1709</v>
      </c>
      <c r="C106" s="12" t="s">
        <v>1675</v>
      </c>
      <c r="D106" s="12" t="s">
        <v>114</v>
      </c>
      <c r="E106" s="12" t="s">
        <v>1654</v>
      </c>
      <c r="F106" s="12">
        <v>53.7</v>
      </c>
      <c r="G106" s="12">
        <v>43.35</v>
      </c>
      <c r="H106" s="13" t="s">
        <v>605</v>
      </c>
      <c r="I106" s="13" t="s">
        <v>86</v>
      </c>
      <c r="J106" s="12"/>
      <c r="K106" s="12" t="s">
        <v>1614</v>
      </c>
      <c r="L106" s="12">
        <v>19</v>
      </c>
      <c r="M106" s="12">
        <v>13650</v>
      </c>
      <c r="N106" s="12" t="s">
        <v>652</v>
      </c>
    </row>
    <row r="107" spans="1:14">
      <c r="A107" s="14" t="s">
        <v>1930</v>
      </c>
      <c r="B107" s="14" t="s">
        <v>1653</v>
      </c>
      <c r="C107" s="14" t="s">
        <v>1686</v>
      </c>
      <c r="D107" s="14" t="s">
        <v>70</v>
      </c>
      <c r="E107" s="14" t="s">
        <v>1654</v>
      </c>
      <c r="F107" s="14">
        <v>183.88</v>
      </c>
      <c r="G107" s="14">
        <v>214.92</v>
      </c>
      <c r="H107" s="15" t="s">
        <v>1931</v>
      </c>
      <c r="I107" s="15" t="s">
        <v>1932</v>
      </c>
      <c r="J107" s="14"/>
      <c r="K107" s="14" t="s">
        <v>1632</v>
      </c>
      <c r="L107" s="14">
        <v>11</v>
      </c>
      <c r="M107" s="14">
        <v>8369.7999999999993</v>
      </c>
      <c r="N107" s="14" t="s">
        <v>1500</v>
      </c>
    </row>
    <row r="108" spans="1:14">
      <c r="A108" s="12" t="s">
        <v>1933</v>
      </c>
      <c r="B108" s="12" t="s">
        <v>1716</v>
      </c>
      <c r="C108" s="12" t="s">
        <v>1814</v>
      </c>
      <c r="D108" s="12" t="s">
        <v>26</v>
      </c>
      <c r="E108" s="12" t="s">
        <v>1654</v>
      </c>
      <c r="F108" s="12">
        <v>41.85</v>
      </c>
      <c r="G108" s="12">
        <v>38.450000000000003</v>
      </c>
      <c r="H108" s="13" t="s">
        <v>1934</v>
      </c>
      <c r="I108" s="13" t="s">
        <v>1935</v>
      </c>
      <c r="J108" s="12" t="s">
        <v>258</v>
      </c>
      <c r="K108" s="12" t="s">
        <v>1638</v>
      </c>
      <c r="L108" s="12">
        <v>15</v>
      </c>
      <c r="M108" s="12">
        <v>9902</v>
      </c>
      <c r="N108" s="12" t="s">
        <v>1056</v>
      </c>
    </row>
    <row r="109" spans="1:14">
      <c r="A109" s="14" t="s">
        <v>1936</v>
      </c>
      <c r="B109" s="14" t="s">
        <v>1709</v>
      </c>
      <c r="C109" s="14" t="s">
        <v>1634</v>
      </c>
      <c r="D109" s="14" t="s">
        <v>75</v>
      </c>
      <c r="E109" s="14" t="s">
        <v>1740</v>
      </c>
      <c r="F109" s="14">
        <v>25.12</v>
      </c>
      <c r="G109" s="14">
        <v>29.12</v>
      </c>
      <c r="H109" s="15" t="s">
        <v>1937</v>
      </c>
      <c r="I109" s="15" t="s">
        <v>1938</v>
      </c>
      <c r="J109" s="14" t="s">
        <v>1939</v>
      </c>
      <c r="K109" s="14" t="s">
        <v>1638</v>
      </c>
      <c r="L109" s="14">
        <v>5</v>
      </c>
      <c r="M109" s="14">
        <v>1671.6</v>
      </c>
      <c r="N109" s="14" t="s">
        <v>1318</v>
      </c>
    </row>
    <row r="110" spans="1:14">
      <c r="A110" s="12" t="s">
        <v>1940</v>
      </c>
      <c r="B110" s="12" t="s">
        <v>1640</v>
      </c>
      <c r="C110" s="12" t="s">
        <v>1751</v>
      </c>
      <c r="D110" s="12" t="s">
        <v>32</v>
      </c>
      <c r="E110" s="12" t="s">
        <v>1654</v>
      </c>
      <c r="F110" s="12">
        <v>177.92</v>
      </c>
      <c r="G110" s="12">
        <v>191.73</v>
      </c>
      <c r="H110" s="13" t="s">
        <v>1714</v>
      </c>
      <c r="I110" s="13" t="s">
        <v>1941</v>
      </c>
      <c r="J110" s="12"/>
      <c r="K110" s="12" t="s">
        <v>1632</v>
      </c>
      <c r="L110" s="12">
        <v>12</v>
      </c>
      <c r="M110" s="12">
        <v>6189.9</v>
      </c>
      <c r="N110" s="12" t="s">
        <v>880</v>
      </c>
    </row>
    <row r="111" spans="1:14">
      <c r="A111" s="14" t="s">
        <v>1942</v>
      </c>
      <c r="B111" s="14" t="s">
        <v>1663</v>
      </c>
      <c r="C111" s="14" t="s">
        <v>1751</v>
      </c>
      <c r="D111" s="14" t="s">
        <v>172</v>
      </c>
      <c r="E111" s="14" t="s">
        <v>1734</v>
      </c>
      <c r="F111" s="14">
        <v>94.44</v>
      </c>
      <c r="G111" s="14">
        <v>70.27</v>
      </c>
      <c r="H111" s="15" t="s">
        <v>915</v>
      </c>
      <c r="I111" s="15" t="s">
        <v>1420</v>
      </c>
      <c r="J111" s="14" t="s">
        <v>1943</v>
      </c>
      <c r="K111" s="14" t="s">
        <v>1638</v>
      </c>
      <c r="L111" s="14">
        <v>14</v>
      </c>
      <c r="M111" s="14">
        <v>8648.4</v>
      </c>
      <c r="N111" s="14" t="s">
        <v>1019</v>
      </c>
    </row>
    <row r="112" spans="1:14">
      <c r="A112" s="12" t="s">
        <v>1944</v>
      </c>
      <c r="B112" s="12" t="s">
        <v>1693</v>
      </c>
      <c r="C112" s="12" t="s">
        <v>1628</v>
      </c>
      <c r="D112" s="12" t="s">
        <v>65</v>
      </c>
      <c r="E112" s="12" t="s">
        <v>1740</v>
      </c>
      <c r="F112" s="12">
        <v>137.82</v>
      </c>
      <c r="G112" s="12">
        <v>119.78</v>
      </c>
      <c r="H112" s="13" t="s">
        <v>480</v>
      </c>
      <c r="I112" s="13" t="s">
        <v>1945</v>
      </c>
      <c r="J112" s="12"/>
      <c r="K112" s="12" t="s">
        <v>1656</v>
      </c>
      <c r="L112" s="12">
        <v>2</v>
      </c>
      <c r="M112" s="12">
        <v>1659.4</v>
      </c>
      <c r="N112" s="12" t="s">
        <v>30</v>
      </c>
    </row>
    <row r="113" spans="1:14">
      <c r="A113" s="14" t="s">
        <v>1946</v>
      </c>
      <c r="B113" s="14" t="s">
        <v>1663</v>
      </c>
      <c r="C113" s="14" t="s">
        <v>1634</v>
      </c>
      <c r="D113" s="14" t="s">
        <v>114</v>
      </c>
      <c r="E113" s="14" t="s">
        <v>1682</v>
      </c>
      <c r="F113" s="14">
        <v>148.06</v>
      </c>
      <c r="G113" s="14">
        <v>118.44</v>
      </c>
      <c r="H113" s="15" t="s">
        <v>1947</v>
      </c>
      <c r="I113" s="15" t="s">
        <v>1948</v>
      </c>
      <c r="J113" s="14"/>
      <c r="K113" s="14" t="s">
        <v>1614</v>
      </c>
      <c r="L113" s="14">
        <v>10</v>
      </c>
      <c r="M113" s="14">
        <v>7624.9</v>
      </c>
      <c r="N113" s="14" t="s">
        <v>1144</v>
      </c>
    </row>
    <row r="114" spans="1:14">
      <c r="A114" s="12" t="s">
        <v>1949</v>
      </c>
      <c r="B114" s="12" t="s">
        <v>1653</v>
      </c>
      <c r="C114" s="12" t="s">
        <v>1628</v>
      </c>
      <c r="D114" s="12" t="s">
        <v>70</v>
      </c>
      <c r="E114" s="12" t="s">
        <v>1617</v>
      </c>
      <c r="F114" s="12">
        <v>115.18</v>
      </c>
      <c r="G114" s="12">
        <v>112.73</v>
      </c>
      <c r="H114" s="13" t="s">
        <v>1331</v>
      </c>
      <c r="I114" s="13" t="s">
        <v>1582</v>
      </c>
      <c r="J114" s="12"/>
      <c r="K114" s="12" t="s">
        <v>1632</v>
      </c>
      <c r="L114" s="12">
        <v>15</v>
      </c>
      <c r="M114" s="12">
        <v>9179.5</v>
      </c>
      <c r="N114" s="12" t="s">
        <v>1525</v>
      </c>
    </row>
    <row r="115" spans="1:14">
      <c r="A115" s="14" t="s">
        <v>1950</v>
      </c>
      <c r="B115" s="14" t="s">
        <v>1705</v>
      </c>
      <c r="C115" s="14" t="s">
        <v>1686</v>
      </c>
      <c r="D115" s="14" t="s">
        <v>26</v>
      </c>
      <c r="E115" s="14" t="s">
        <v>1611</v>
      </c>
      <c r="F115" s="14">
        <v>37.880000000000003</v>
      </c>
      <c r="G115" s="14">
        <v>39.020000000000003</v>
      </c>
      <c r="H115" s="15" t="s">
        <v>1951</v>
      </c>
      <c r="I115" s="15" t="s">
        <v>1952</v>
      </c>
      <c r="J115" s="14"/>
      <c r="K115" s="14" t="s">
        <v>1614</v>
      </c>
      <c r="L115" s="14">
        <v>7</v>
      </c>
      <c r="M115" s="14">
        <v>6247.9</v>
      </c>
      <c r="N115" s="14" t="s">
        <v>206</v>
      </c>
    </row>
    <row r="116" spans="1:14">
      <c r="A116" s="12" t="s">
        <v>1953</v>
      </c>
      <c r="B116" s="12" t="s">
        <v>1646</v>
      </c>
      <c r="C116" s="12" t="s">
        <v>1628</v>
      </c>
      <c r="D116" s="12" t="s">
        <v>53</v>
      </c>
      <c r="E116" s="12" t="s">
        <v>1682</v>
      </c>
      <c r="F116" s="12"/>
      <c r="G116" s="12">
        <v>122.3</v>
      </c>
      <c r="H116" s="13" t="s">
        <v>1647</v>
      </c>
      <c r="I116" s="13" t="s">
        <v>1954</v>
      </c>
      <c r="J116" s="12"/>
      <c r="K116" s="12" t="s">
        <v>1625</v>
      </c>
      <c r="L116" s="12">
        <v>18</v>
      </c>
      <c r="M116" s="12">
        <v>1994.5</v>
      </c>
      <c r="N116" s="12" t="s">
        <v>790</v>
      </c>
    </row>
    <row r="117" spans="1:14">
      <c r="A117" s="14" t="s">
        <v>1955</v>
      </c>
      <c r="B117" s="14" t="s">
        <v>1627</v>
      </c>
      <c r="C117" s="14" t="s">
        <v>1730</v>
      </c>
      <c r="D117" s="14" t="s">
        <v>149</v>
      </c>
      <c r="E117" s="14" t="s">
        <v>1659</v>
      </c>
      <c r="F117" s="14">
        <v>109.93</v>
      </c>
      <c r="G117" s="14">
        <v>112.97</v>
      </c>
      <c r="H117" s="15" t="s">
        <v>1894</v>
      </c>
      <c r="I117" s="15" t="s">
        <v>1835</v>
      </c>
      <c r="J117" s="14"/>
      <c r="K117" s="14" t="s">
        <v>1614</v>
      </c>
      <c r="L117" s="14">
        <v>22</v>
      </c>
      <c r="M117" s="14">
        <v>5020.3999999999996</v>
      </c>
      <c r="N117" s="14" t="s">
        <v>533</v>
      </c>
    </row>
    <row r="118" spans="1:14">
      <c r="A118" s="12" t="s">
        <v>1956</v>
      </c>
      <c r="B118" s="12" t="s">
        <v>1621</v>
      </c>
      <c r="C118" s="12" t="s">
        <v>1628</v>
      </c>
      <c r="D118" s="12" t="s">
        <v>214</v>
      </c>
      <c r="E118" s="12" t="s">
        <v>1740</v>
      </c>
      <c r="F118" s="12">
        <v>16.98</v>
      </c>
      <c r="G118" s="12">
        <v>20.63</v>
      </c>
      <c r="H118" s="13" t="s">
        <v>1957</v>
      </c>
      <c r="I118" s="13" t="s">
        <v>1743</v>
      </c>
      <c r="J118" s="12"/>
      <c r="K118" s="12" t="s">
        <v>1625</v>
      </c>
      <c r="L118" s="12">
        <v>25</v>
      </c>
      <c r="M118" s="12">
        <v>5901.1</v>
      </c>
      <c r="N118" s="12" t="s">
        <v>569</v>
      </c>
    </row>
    <row r="119" spans="1:14">
      <c r="A119" s="14" t="s">
        <v>1958</v>
      </c>
      <c r="B119" s="14" t="s">
        <v>1640</v>
      </c>
      <c r="C119" s="14" t="s">
        <v>1622</v>
      </c>
      <c r="D119" s="14" t="s">
        <v>18</v>
      </c>
      <c r="E119" s="14" t="s">
        <v>1654</v>
      </c>
      <c r="F119" s="14">
        <v>81.36</v>
      </c>
      <c r="G119" s="14">
        <v>62.46</v>
      </c>
      <c r="H119" s="15" t="s">
        <v>1959</v>
      </c>
      <c r="I119" s="15" t="s">
        <v>994</v>
      </c>
      <c r="J119" s="14"/>
      <c r="K119" s="14" t="s">
        <v>1656</v>
      </c>
      <c r="L119" s="14">
        <v>24</v>
      </c>
      <c r="M119" s="14">
        <v>3701</v>
      </c>
      <c r="N119" s="14" t="s">
        <v>1578</v>
      </c>
    </row>
    <row r="120" spans="1:14">
      <c r="A120" s="12" t="s">
        <v>1960</v>
      </c>
      <c r="B120" s="12" t="s">
        <v>1702</v>
      </c>
      <c r="C120" s="12" t="s">
        <v>1622</v>
      </c>
      <c r="D120" s="12" t="s">
        <v>26</v>
      </c>
      <c r="E120" s="12" t="s">
        <v>1650</v>
      </c>
      <c r="F120" s="12">
        <v>156.83000000000001</v>
      </c>
      <c r="G120" s="12">
        <v>193.98</v>
      </c>
      <c r="H120" s="13" t="s">
        <v>1636</v>
      </c>
      <c r="I120" s="13" t="s">
        <v>1961</v>
      </c>
      <c r="J120" s="12"/>
      <c r="K120" s="12" t="s">
        <v>1625</v>
      </c>
      <c r="L120" s="12">
        <v>23</v>
      </c>
      <c r="M120" s="12">
        <v>5366.6</v>
      </c>
      <c r="N120" s="12" t="s">
        <v>946</v>
      </c>
    </row>
    <row r="121" spans="1:14">
      <c r="A121" s="14" t="s">
        <v>1962</v>
      </c>
      <c r="B121" s="14" t="s">
        <v>1705</v>
      </c>
      <c r="C121" s="14" t="s">
        <v>1751</v>
      </c>
      <c r="D121" s="14" t="s">
        <v>114</v>
      </c>
      <c r="E121" s="14" t="s">
        <v>1664</v>
      </c>
      <c r="F121" s="14">
        <v>47.25</v>
      </c>
      <c r="G121" s="14">
        <v>48.33</v>
      </c>
      <c r="H121" s="15" t="s">
        <v>1526</v>
      </c>
      <c r="I121" s="15" t="s">
        <v>1963</v>
      </c>
      <c r="J121" s="14"/>
      <c r="K121" s="14" t="s">
        <v>1625</v>
      </c>
      <c r="L121" s="14">
        <v>7</v>
      </c>
      <c r="M121" s="14">
        <v>4639.5</v>
      </c>
      <c r="N121" s="14" t="s">
        <v>1147</v>
      </c>
    </row>
    <row r="122" spans="1:14">
      <c r="A122" s="12" t="s">
        <v>1964</v>
      </c>
      <c r="B122" s="12" t="s">
        <v>1640</v>
      </c>
      <c r="C122" s="12" t="s">
        <v>1634</v>
      </c>
      <c r="D122" s="12" t="s">
        <v>32</v>
      </c>
      <c r="E122" s="12" t="s">
        <v>1650</v>
      </c>
      <c r="F122" s="12">
        <v>110.42</v>
      </c>
      <c r="G122" s="12">
        <v>120.02</v>
      </c>
      <c r="H122" s="13" t="s">
        <v>1959</v>
      </c>
      <c r="I122" s="13" t="s">
        <v>1965</v>
      </c>
      <c r="J122" s="12"/>
      <c r="K122" s="12" t="s">
        <v>1656</v>
      </c>
      <c r="L122" s="12">
        <v>21</v>
      </c>
      <c r="M122" s="12">
        <v>3585.9</v>
      </c>
      <c r="N122" s="12" t="s">
        <v>492</v>
      </c>
    </row>
    <row r="123" spans="1:14">
      <c r="A123" s="14" t="s">
        <v>1966</v>
      </c>
      <c r="B123" s="14" t="s">
        <v>1699</v>
      </c>
      <c r="C123" s="14" t="s">
        <v>1675</v>
      </c>
      <c r="D123" s="14" t="s">
        <v>53</v>
      </c>
      <c r="E123" s="14" t="s">
        <v>1629</v>
      </c>
      <c r="F123" s="14">
        <v>170.59</v>
      </c>
      <c r="G123" s="14">
        <v>171.01</v>
      </c>
      <c r="H123" s="15" t="s">
        <v>1967</v>
      </c>
      <c r="I123" s="15" t="s">
        <v>1968</v>
      </c>
      <c r="J123" s="14"/>
      <c r="K123" s="14" t="s">
        <v>1625</v>
      </c>
      <c r="L123" s="14">
        <v>22</v>
      </c>
      <c r="M123" s="14">
        <v>6090.8</v>
      </c>
      <c r="N123" s="14" t="s">
        <v>1173</v>
      </c>
    </row>
    <row r="124" spans="1:14">
      <c r="A124" s="12" t="s">
        <v>1969</v>
      </c>
      <c r="B124" s="12" t="s">
        <v>1720</v>
      </c>
      <c r="C124" s="12" t="s">
        <v>1814</v>
      </c>
      <c r="D124" s="12" t="s">
        <v>65</v>
      </c>
      <c r="E124" s="12" t="s">
        <v>1740</v>
      </c>
      <c r="F124" s="12">
        <v>178.06</v>
      </c>
      <c r="G124" s="12">
        <v>133.36000000000001</v>
      </c>
      <c r="H124" s="13" t="s">
        <v>1970</v>
      </c>
      <c r="I124" s="13" t="s">
        <v>1971</v>
      </c>
      <c r="J124" s="12"/>
      <c r="K124" s="12" t="s">
        <v>1656</v>
      </c>
      <c r="L124" s="12">
        <v>12</v>
      </c>
      <c r="M124" s="12">
        <v>10416.200000000001</v>
      </c>
      <c r="N124" s="12" t="s">
        <v>1525</v>
      </c>
    </row>
    <row r="125" spans="1:14">
      <c r="A125" s="14" t="s">
        <v>1972</v>
      </c>
      <c r="B125" s="14" t="s">
        <v>1621</v>
      </c>
      <c r="C125" s="14" t="s">
        <v>1628</v>
      </c>
      <c r="D125" s="14" t="s">
        <v>46</v>
      </c>
      <c r="E125" s="14" t="s">
        <v>1654</v>
      </c>
      <c r="F125" s="14">
        <v>34.17</v>
      </c>
      <c r="G125" s="14">
        <v>32.31</v>
      </c>
      <c r="H125" s="15" t="s">
        <v>596</v>
      </c>
      <c r="I125" s="15" t="s">
        <v>1713</v>
      </c>
      <c r="J125" s="14"/>
      <c r="K125" s="14" t="s">
        <v>1625</v>
      </c>
      <c r="L125" s="14">
        <v>23</v>
      </c>
      <c r="M125" s="14">
        <v>16247.1</v>
      </c>
      <c r="N125" s="14" t="s">
        <v>918</v>
      </c>
    </row>
    <row r="126" spans="1:14">
      <c r="A126" s="12" t="s">
        <v>1973</v>
      </c>
      <c r="B126" s="12" t="s">
        <v>1786</v>
      </c>
      <c r="C126" s="12" t="s">
        <v>1616</v>
      </c>
      <c r="D126" s="12" t="s">
        <v>53</v>
      </c>
      <c r="E126" s="12" t="s">
        <v>1654</v>
      </c>
      <c r="F126" s="12">
        <v>133.43</v>
      </c>
      <c r="G126" s="12">
        <v>145.61000000000001</v>
      </c>
      <c r="H126" s="13" t="s">
        <v>1974</v>
      </c>
      <c r="I126" s="13" t="s">
        <v>1761</v>
      </c>
      <c r="J126" s="12"/>
      <c r="K126" s="12" t="s">
        <v>1625</v>
      </c>
      <c r="L126" s="12">
        <v>18</v>
      </c>
      <c r="M126" s="12">
        <v>10658</v>
      </c>
      <c r="N126" s="12" t="s">
        <v>366</v>
      </c>
    </row>
    <row r="127" spans="1:14">
      <c r="A127" s="14" t="s">
        <v>1975</v>
      </c>
      <c r="B127" s="14" t="s">
        <v>1729</v>
      </c>
      <c r="C127" s="14" t="s">
        <v>1730</v>
      </c>
      <c r="D127" s="14" t="s">
        <v>114</v>
      </c>
      <c r="E127" s="14" t="s">
        <v>1740</v>
      </c>
      <c r="F127" s="14">
        <v>162.87</v>
      </c>
      <c r="G127" s="14">
        <v>168.97</v>
      </c>
      <c r="H127" s="15" t="s">
        <v>1976</v>
      </c>
      <c r="I127" s="15" t="s">
        <v>1948</v>
      </c>
      <c r="J127" s="14"/>
      <c r="K127" s="14" t="s">
        <v>1614</v>
      </c>
      <c r="L127" s="14">
        <v>22</v>
      </c>
      <c r="M127" s="14">
        <v>5046.6000000000004</v>
      </c>
      <c r="N127" s="14" t="s">
        <v>876</v>
      </c>
    </row>
    <row r="128" spans="1:14">
      <c r="A128" s="12" t="s">
        <v>1977</v>
      </c>
      <c r="B128" s="12" t="s">
        <v>1720</v>
      </c>
      <c r="C128" s="12" t="s">
        <v>1641</v>
      </c>
      <c r="D128" s="12" t="s">
        <v>114</v>
      </c>
      <c r="E128" s="12" t="s">
        <v>1617</v>
      </c>
      <c r="F128" s="12">
        <v>99.31</v>
      </c>
      <c r="G128" s="12">
        <v>104.49</v>
      </c>
      <c r="H128" s="13" t="s">
        <v>1978</v>
      </c>
      <c r="I128" s="13" t="s">
        <v>1979</v>
      </c>
      <c r="J128" s="12"/>
      <c r="K128" s="12" t="s">
        <v>1625</v>
      </c>
      <c r="L128" s="12">
        <v>7</v>
      </c>
      <c r="M128" s="12">
        <v>3057</v>
      </c>
      <c r="N128" s="12" t="s">
        <v>1517</v>
      </c>
    </row>
    <row r="129" spans="1:14">
      <c r="A129" s="14" t="s">
        <v>1980</v>
      </c>
      <c r="B129" s="14" t="s">
        <v>1720</v>
      </c>
      <c r="C129" s="14" t="s">
        <v>1610</v>
      </c>
      <c r="D129" s="14" t="s">
        <v>53</v>
      </c>
      <c r="E129" s="14" t="s">
        <v>1617</v>
      </c>
      <c r="F129" s="14">
        <v>110.31</v>
      </c>
      <c r="G129" s="14">
        <v>78.680000000000007</v>
      </c>
      <c r="H129" s="15" t="s">
        <v>1981</v>
      </c>
      <c r="I129" s="15" t="s">
        <v>1982</v>
      </c>
      <c r="J129" s="14" t="s">
        <v>1835</v>
      </c>
      <c r="K129" s="14" t="s">
        <v>1638</v>
      </c>
      <c r="L129" s="14">
        <v>19</v>
      </c>
      <c r="M129" s="14">
        <v>11593.6</v>
      </c>
      <c r="N129" s="14" t="s">
        <v>131</v>
      </c>
    </row>
    <row r="130" spans="1:14">
      <c r="A130" s="12" t="s">
        <v>1983</v>
      </c>
      <c r="B130" s="12" t="s">
        <v>1663</v>
      </c>
      <c r="C130" s="12" t="s">
        <v>1690</v>
      </c>
      <c r="D130" s="12" t="s">
        <v>65</v>
      </c>
      <c r="E130" s="12" t="s">
        <v>1611</v>
      </c>
      <c r="F130" s="12">
        <v>102.06</v>
      </c>
      <c r="G130" s="12">
        <v>124.35</v>
      </c>
      <c r="H130" s="13" t="s">
        <v>1984</v>
      </c>
      <c r="I130" s="13" t="s">
        <v>1985</v>
      </c>
      <c r="J130" s="12"/>
      <c r="K130" s="12" t="s">
        <v>1614</v>
      </c>
      <c r="L130" s="12">
        <v>12</v>
      </c>
      <c r="M130" s="12">
        <v>7781.9</v>
      </c>
      <c r="N130" s="12" t="s">
        <v>456</v>
      </c>
    </row>
    <row r="131" spans="1:14">
      <c r="A131" s="14" t="s">
        <v>1986</v>
      </c>
      <c r="B131" s="14" t="s">
        <v>1609</v>
      </c>
      <c r="C131" s="14" t="s">
        <v>1814</v>
      </c>
      <c r="D131" s="14" t="s">
        <v>32</v>
      </c>
      <c r="E131" s="14" t="s">
        <v>1664</v>
      </c>
      <c r="F131" s="14">
        <v>102.54</v>
      </c>
      <c r="G131" s="14">
        <v>114.98</v>
      </c>
      <c r="H131" s="15" t="s">
        <v>1987</v>
      </c>
      <c r="I131" s="15" t="s">
        <v>1988</v>
      </c>
      <c r="J131" s="14"/>
      <c r="K131" s="14" t="s">
        <v>1614</v>
      </c>
      <c r="L131" s="14">
        <v>21</v>
      </c>
      <c r="M131" s="14">
        <v>14345.8</v>
      </c>
      <c r="N131" s="14" t="s">
        <v>21</v>
      </c>
    </row>
    <row r="132" spans="1:14">
      <c r="A132" s="12" t="s">
        <v>1989</v>
      </c>
      <c r="B132" s="12" t="s">
        <v>1646</v>
      </c>
      <c r="C132" s="12" t="s">
        <v>1690</v>
      </c>
      <c r="D132" s="12" t="s">
        <v>70</v>
      </c>
      <c r="E132" s="12" t="s">
        <v>1668</v>
      </c>
      <c r="F132" s="12">
        <v>46.16</v>
      </c>
      <c r="G132" s="12">
        <v>56.05</v>
      </c>
      <c r="H132" s="13" t="s">
        <v>357</v>
      </c>
      <c r="I132" s="13" t="s">
        <v>1869</v>
      </c>
      <c r="J132" s="12"/>
      <c r="K132" s="12" t="s">
        <v>1656</v>
      </c>
      <c r="L132" s="12">
        <v>21</v>
      </c>
      <c r="M132" s="12">
        <v>12944.8</v>
      </c>
      <c r="N132" s="12" t="s">
        <v>890</v>
      </c>
    </row>
    <row r="133" spans="1:14">
      <c r="A133" s="14" t="s">
        <v>1990</v>
      </c>
      <c r="B133" s="14" t="s">
        <v>1702</v>
      </c>
      <c r="C133" s="14" t="s">
        <v>1628</v>
      </c>
      <c r="D133" s="14" t="s">
        <v>70</v>
      </c>
      <c r="E133" s="14" t="s">
        <v>1611</v>
      </c>
      <c r="F133" s="14">
        <v>72.27</v>
      </c>
      <c r="G133" s="14">
        <v>75.400000000000006</v>
      </c>
      <c r="H133" s="15" t="s">
        <v>1991</v>
      </c>
      <c r="I133" s="15" t="s">
        <v>1822</v>
      </c>
      <c r="J133" s="14"/>
      <c r="K133" s="14" t="s">
        <v>1614</v>
      </c>
      <c r="L133" s="14">
        <v>6</v>
      </c>
      <c r="M133" s="14">
        <v>2079.6999999999998</v>
      </c>
      <c r="N133" s="14" t="s">
        <v>844</v>
      </c>
    </row>
    <row r="134" spans="1:14">
      <c r="A134" s="12" t="s">
        <v>1992</v>
      </c>
      <c r="B134" s="12" t="s">
        <v>1702</v>
      </c>
      <c r="C134" s="12" t="s">
        <v>1616</v>
      </c>
      <c r="D134" s="12" t="s">
        <v>53</v>
      </c>
      <c r="E134" s="12" t="s">
        <v>1668</v>
      </c>
      <c r="F134" s="12">
        <v>192.55</v>
      </c>
      <c r="G134" s="12">
        <v>214.4</v>
      </c>
      <c r="H134" s="13" t="s">
        <v>1225</v>
      </c>
      <c r="I134" s="13" t="s">
        <v>1723</v>
      </c>
      <c r="J134" s="12"/>
      <c r="K134" s="12" t="s">
        <v>1625</v>
      </c>
      <c r="L134" s="12">
        <v>17</v>
      </c>
      <c r="M134" s="12">
        <v>8287.7999999999993</v>
      </c>
      <c r="N134" s="12" t="s">
        <v>1311</v>
      </c>
    </row>
    <row r="135" spans="1:14">
      <c r="A135" s="14" t="s">
        <v>1993</v>
      </c>
      <c r="B135" s="14" t="s">
        <v>1702</v>
      </c>
      <c r="C135" s="14" t="s">
        <v>1751</v>
      </c>
      <c r="D135" s="14" t="s">
        <v>114</v>
      </c>
      <c r="E135" s="14" t="s">
        <v>1642</v>
      </c>
      <c r="F135" s="14">
        <v>69.989999999999995</v>
      </c>
      <c r="G135" s="14">
        <v>54.54</v>
      </c>
      <c r="H135" s="15" t="s">
        <v>1994</v>
      </c>
      <c r="I135" s="15" t="s">
        <v>1995</v>
      </c>
      <c r="J135" s="14"/>
      <c r="K135" s="14" t="s">
        <v>1625</v>
      </c>
      <c r="L135" s="14">
        <v>5</v>
      </c>
      <c r="M135" s="14">
        <v>3934.6</v>
      </c>
      <c r="N135" s="14" t="s">
        <v>252</v>
      </c>
    </row>
    <row r="136" spans="1:14">
      <c r="A136" s="12" t="s">
        <v>1996</v>
      </c>
      <c r="B136" s="12" t="s">
        <v>1792</v>
      </c>
      <c r="C136" s="12" t="s">
        <v>1675</v>
      </c>
      <c r="D136" s="12" t="s">
        <v>75</v>
      </c>
      <c r="E136" s="12" t="s">
        <v>1654</v>
      </c>
      <c r="F136" s="12">
        <v>94.74</v>
      </c>
      <c r="G136" s="12">
        <v>101.99</v>
      </c>
      <c r="H136" s="13" t="s">
        <v>1948</v>
      </c>
      <c r="I136" s="13" t="s">
        <v>1997</v>
      </c>
      <c r="J136" s="12"/>
      <c r="K136" s="12" t="s">
        <v>1625</v>
      </c>
      <c r="L136" s="12">
        <v>2</v>
      </c>
      <c r="M136" s="12">
        <v>1512</v>
      </c>
      <c r="N136" s="12" t="s">
        <v>473</v>
      </c>
    </row>
    <row r="137" spans="1:14">
      <c r="A137" s="14" t="s">
        <v>1998</v>
      </c>
      <c r="B137" s="14" t="s">
        <v>1705</v>
      </c>
      <c r="C137" s="14" t="s">
        <v>1755</v>
      </c>
      <c r="D137" s="14" t="s">
        <v>149</v>
      </c>
      <c r="E137" s="14" t="s">
        <v>1687</v>
      </c>
      <c r="F137" s="14">
        <v>66.63</v>
      </c>
      <c r="G137" s="14">
        <v>81.34</v>
      </c>
      <c r="H137" s="15" t="s">
        <v>1898</v>
      </c>
      <c r="I137" s="15" t="s">
        <v>676</v>
      </c>
      <c r="J137" s="14"/>
      <c r="K137" s="14" t="s">
        <v>1614</v>
      </c>
      <c r="L137" s="14">
        <v>9</v>
      </c>
      <c r="M137" s="14">
        <v>2446.5</v>
      </c>
      <c r="N137" s="14" t="s">
        <v>1253</v>
      </c>
    </row>
    <row r="138" spans="1:14">
      <c r="A138" s="12" t="s">
        <v>1999</v>
      </c>
      <c r="B138" s="12" t="s">
        <v>1763</v>
      </c>
      <c r="C138" s="12" t="s">
        <v>1730</v>
      </c>
      <c r="D138" s="12" t="s">
        <v>114</v>
      </c>
      <c r="E138" s="12" t="s">
        <v>1650</v>
      </c>
      <c r="F138" s="12">
        <v>98.63</v>
      </c>
      <c r="G138" s="12">
        <v>89.41</v>
      </c>
      <c r="H138" s="13" t="s">
        <v>2000</v>
      </c>
      <c r="I138" s="13" t="s">
        <v>1982</v>
      </c>
      <c r="J138" s="12"/>
      <c r="K138" s="12" t="s">
        <v>1656</v>
      </c>
      <c r="L138" s="12">
        <v>13</v>
      </c>
      <c r="M138" s="12">
        <v>2743.3</v>
      </c>
      <c r="N138" s="12" t="s">
        <v>1429</v>
      </c>
    </row>
    <row r="139" spans="1:14">
      <c r="A139" s="14" t="s">
        <v>2001</v>
      </c>
      <c r="B139" s="14" t="s">
        <v>1627</v>
      </c>
      <c r="C139" s="14" t="s">
        <v>1610</v>
      </c>
      <c r="D139" s="14" t="s">
        <v>114</v>
      </c>
      <c r="E139" s="14" t="s">
        <v>1629</v>
      </c>
      <c r="F139" s="14">
        <v>9.77</v>
      </c>
      <c r="G139" s="14">
        <v>12.45</v>
      </c>
      <c r="H139" s="15" t="s">
        <v>565</v>
      </c>
      <c r="I139" s="15" t="s">
        <v>2002</v>
      </c>
      <c r="J139" s="14"/>
      <c r="K139" s="14" t="s">
        <v>1625</v>
      </c>
      <c r="L139" s="14">
        <v>17</v>
      </c>
      <c r="M139" s="14">
        <v>8841.9</v>
      </c>
      <c r="N139" s="14" t="s">
        <v>1174</v>
      </c>
    </row>
    <row r="140" spans="1:14">
      <c r="A140" s="12" t="s">
        <v>2003</v>
      </c>
      <c r="B140" s="12" t="s">
        <v>1720</v>
      </c>
      <c r="C140" s="12" t="s">
        <v>1622</v>
      </c>
      <c r="D140" s="12" t="s">
        <v>172</v>
      </c>
      <c r="E140" s="12" t="s">
        <v>1642</v>
      </c>
      <c r="F140" s="12">
        <v>13.77</v>
      </c>
      <c r="G140" s="12">
        <v>10.08</v>
      </c>
      <c r="H140" s="13" t="s">
        <v>2004</v>
      </c>
      <c r="I140" s="13" t="s">
        <v>2005</v>
      </c>
      <c r="J140" s="12"/>
      <c r="K140" s="12" t="s">
        <v>1656</v>
      </c>
      <c r="L140" s="12">
        <v>14</v>
      </c>
      <c r="M140" s="12">
        <v>8580</v>
      </c>
      <c r="N140" s="12" t="s">
        <v>1025</v>
      </c>
    </row>
    <row r="141" spans="1:14">
      <c r="A141" s="14" t="s">
        <v>2006</v>
      </c>
      <c r="B141" s="14" t="s">
        <v>1699</v>
      </c>
      <c r="C141" s="14" t="s">
        <v>1641</v>
      </c>
      <c r="D141" s="14" t="s">
        <v>214</v>
      </c>
      <c r="E141" s="14" t="s">
        <v>1682</v>
      </c>
      <c r="F141" s="14">
        <v>104.39</v>
      </c>
      <c r="G141" s="14">
        <v>81.61</v>
      </c>
      <c r="H141" s="15" t="s">
        <v>2007</v>
      </c>
      <c r="I141" s="15" t="s">
        <v>1824</v>
      </c>
      <c r="J141" s="14"/>
      <c r="K141" s="14" t="s">
        <v>1656</v>
      </c>
      <c r="L141" s="14">
        <v>11</v>
      </c>
      <c r="M141" s="14">
        <v>5105.1000000000004</v>
      </c>
      <c r="N141" s="14" t="s">
        <v>892</v>
      </c>
    </row>
    <row r="142" spans="1:14">
      <c r="A142" s="12" t="s">
        <v>2008</v>
      </c>
      <c r="B142" s="12" t="s">
        <v>1653</v>
      </c>
      <c r="C142" s="12" t="s">
        <v>1658</v>
      </c>
      <c r="D142" s="12" t="s">
        <v>26</v>
      </c>
      <c r="E142" s="12" t="s">
        <v>1629</v>
      </c>
      <c r="F142" s="12">
        <v>134.94</v>
      </c>
      <c r="G142" s="12">
        <v>125.68</v>
      </c>
      <c r="H142" s="13" t="s">
        <v>952</v>
      </c>
      <c r="I142" s="13" t="s">
        <v>2009</v>
      </c>
      <c r="J142" s="12" t="s">
        <v>2010</v>
      </c>
      <c r="K142" s="12" t="s">
        <v>1638</v>
      </c>
      <c r="L142" s="12">
        <v>21</v>
      </c>
      <c r="M142" s="12">
        <v>17379.8</v>
      </c>
      <c r="N142" s="12" t="s">
        <v>393</v>
      </c>
    </row>
    <row r="143" spans="1:14">
      <c r="A143" s="14" t="s">
        <v>2011</v>
      </c>
      <c r="B143" s="14" t="s">
        <v>1720</v>
      </c>
      <c r="C143" s="14" t="s">
        <v>1690</v>
      </c>
      <c r="D143" s="14" t="s">
        <v>65</v>
      </c>
      <c r="E143" s="14" t="s">
        <v>1664</v>
      </c>
      <c r="F143" s="14">
        <v>131.41999999999999</v>
      </c>
      <c r="G143" s="14">
        <v>107.59</v>
      </c>
      <c r="H143" s="15" t="s">
        <v>2012</v>
      </c>
      <c r="I143" s="15" t="s">
        <v>2013</v>
      </c>
      <c r="J143" s="14"/>
      <c r="K143" s="14" t="s">
        <v>1656</v>
      </c>
      <c r="L143" s="14">
        <v>22</v>
      </c>
      <c r="M143" s="14">
        <v>13056.4</v>
      </c>
      <c r="N143" s="14" t="s">
        <v>991</v>
      </c>
    </row>
    <row r="144" spans="1:14">
      <c r="A144" s="12" t="s">
        <v>2014</v>
      </c>
      <c r="B144" s="12" t="s">
        <v>1763</v>
      </c>
      <c r="C144" s="12" t="s">
        <v>1755</v>
      </c>
      <c r="D144" s="12" t="s">
        <v>65</v>
      </c>
      <c r="E144" s="12" t="s">
        <v>1635</v>
      </c>
      <c r="F144" s="12">
        <v>188.15</v>
      </c>
      <c r="G144" s="12">
        <v>206.8</v>
      </c>
      <c r="H144" s="13" t="s">
        <v>2015</v>
      </c>
      <c r="I144" s="13" t="s">
        <v>2016</v>
      </c>
      <c r="J144" s="12"/>
      <c r="K144" s="12" t="s">
        <v>1656</v>
      </c>
      <c r="L144" s="12">
        <v>4</v>
      </c>
      <c r="M144" s="12">
        <v>2371.1999999999998</v>
      </c>
      <c r="N144" s="12" t="s">
        <v>1315</v>
      </c>
    </row>
    <row r="145" spans="1:14">
      <c r="A145" s="14" t="s">
        <v>2017</v>
      </c>
      <c r="B145" s="14" t="s">
        <v>1786</v>
      </c>
      <c r="C145" s="14" t="s">
        <v>1831</v>
      </c>
      <c r="D145" s="14" t="s">
        <v>172</v>
      </c>
      <c r="E145" s="14" t="s">
        <v>1740</v>
      </c>
      <c r="F145" s="14">
        <v>106.36</v>
      </c>
      <c r="G145" s="14">
        <v>129.38</v>
      </c>
      <c r="H145" s="15" t="s">
        <v>2018</v>
      </c>
      <c r="I145" s="15" t="s">
        <v>2019</v>
      </c>
      <c r="J145" s="14"/>
      <c r="K145" s="14" t="s">
        <v>1614</v>
      </c>
      <c r="L145" s="14">
        <v>24</v>
      </c>
      <c r="M145" s="14">
        <v>17448.5</v>
      </c>
      <c r="N145" s="14" t="s">
        <v>911</v>
      </c>
    </row>
    <row r="146" spans="1:14">
      <c r="A146" s="12" t="s">
        <v>2020</v>
      </c>
      <c r="B146" s="12" t="s">
        <v>1621</v>
      </c>
      <c r="C146" s="12" t="s">
        <v>1610</v>
      </c>
      <c r="D146" s="12" t="s">
        <v>26</v>
      </c>
      <c r="E146" s="12" t="s">
        <v>1650</v>
      </c>
      <c r="F146" s="12">
        <v>56.48</v>
      </c>
      <c r="G146" s="12">
        <v>60.67</v>
      </c>
      <c r="H146" s="13" t="s">
        <v>2021</v>
      </c>
      <c r="I146" s="13" t="s">
        <v>2022</v>
      </c>
      <c r="J146" s="12"/>
      <c r="K146" s="12" t="s">
        <v>1625</v>
      </c>
      <c r="L146" s="12">
        <v>12</v>
      </c>
      <c r="M146" s="12">
        <v>6994.7</v>
      </c>
      <c r="N146" s="12" t="s">
        <v>1269</v>
      </c>
    </row>
    <row r="147" spans="1:14">
      <c r="A147" s="14" t="s">
        <v>2023</v>
      </c>
      <c r="B147" s="14" t="s">
        <v>1729</v>
      </c>
      <c r="C147" s="14" t="s">
        <v>1675</v>
      </c>
      <c r="D147" s="14" t="s">
        <v>32</v>
      </c>
      <c r="E147" s="14" t="s">
        <v>1664</v>
      </c>
      <c r="F147" s="14">
        <v>116.82</v>
      </c>
      <c r="G147" s="14">
        <v>100.79</v>
      </c>
      <c r="H147" s="15" t="s">
        <v>762</v>
      </c>
      <c r="I147" s="15" t="s">
        <v>2024</v>
      </c>
      <c r="J147" s="14"/>
      <c r="K147" s="14" t="s">
        <v>1656</v>
      </c>
      <c r="L147" s="14">
        <v>17</v>
      </c>
      <c r="M147" s="14">
        <v>7009.9</v>
      </c>
      <c r="N147" s="14" t="s">
        <v>1446</v>
      </c>
    </row>
    <row r="148" spans="1:14">
      <c r="A148" s="12" t="s">
        <v>2025</v>
      </c>
      <c r="B148" s="12" t="s">
        <v>1621</v>
      </c>
      <c r="C148" s="12" t="s">
        <v>1831</v>
      </c>
      <c r="D148" s="12" t="s">
        <v>114</v>
      </c>
      <c r="E148" s="12" t="s">
        <v>1664</v>
      </c>
      <c r="F148" s="12">
        <v>20.89</v>
      </c>
      <c r="G148" s="12">
        <v>22.54</v>
      </c>
      <c r="H148" s="13" t="s">
        <v>2026</v>
      </c>
      <c r="I148" s="13" t="s">
        <v>2027</v>
      </c>
      <c r="J148" s="12"/>
      <c r="K148" s="12" t="s">
        <v>1614</v>
      </c>
      <c r="L148" s="12">
        <v>16</v>
      </c>
      <c r="M148" s="12">
        <v>6503.7</v>
      </c>
      <c r="N148" s="12" t="s">
        <v>965</v>
      </c>
    </row>
    <row r="149" spans="1:14">
      <c r="A149" s="14" t="s">
        <v>2028</v>
      </c>
      <c r="B149" s="14" t="s">
        <v>1702</v>
      </c>
      <c r="C149" s="14" t="s">
        <v>1686</v>
      </c>
      <c r="D149" s="14" t="s">
        <v>75</v>
      </c>
      <c r="E149" s="14" t="s">
        <v>1642</v>
      </c>
      <c r="F149" s="14">
        <v>20.85</v>
      </c>
      <c r="G149" s="14">
        <v>22.33</v>
      </c>
      <c r="H149" s="15" t="s">
        <v>1660</v>
      </c>
      <c r="I149" s="15" t="s">
        <v>2029</v>
      </c>
      <c r="J149" s="14"/>
      <c r="K149" s="14" t="s">
        <v>1632</v>
      </c>
      <c r="L149" s="14">
        <v>25</v>
      </c>
      <c r="M149" s="14">
        <v>3846.9</v>
      </c>
      <c r="N149" s="14" t="s">
        <v>1288</v>
      </c>
    </row>
    <row r="150" spans="1:14">
      <c r="A150" s="12" t="s">
        <v>2030</v>
      </c>
      <c r="B150" s="12" t="s">
        <v>1702</v>
      </c>
      <c r="C150" s="12" t="s">
        <v>1751</v>
      </c>
      <c r="D150" s="12" t="s">
        <v>26</v>
      </c>
      <c r="E150" s="12" t="s">
        <v>1650</v>
      </c>
      <c r="F150" s="12">
        <v>67.650000000000006</v>
      </c>
      <c r="G150" s="12">
        <v>74.28</v>
      </c>
      <c r="H150" s="13" t="s">
        <v>2031</v>
      </c>
      <c r="I150" s="13" t="s">
        <v>2032</v>
      </c>
      <c r="J150" s="12" t="s">
        <v>2033</v>
      </c>
      <c r="K150" s="12" t="s">
        <v>1638</v>
      </c>
      <c r="L150" s="12">
        <v>12</v>
      </c>
      <c r="M150" s="12">
        <v>7890.4</v>
      </c>
      <c r="N150" s="12" t="s">
        <v>1382</v>
      </c>
    </row>
    <row r="151" spans="1:14">
      <c r="A151" s="14" t="s">
        <v>2034</v>
      </c>
      <c r="B151" s="14" t="s">
        <v>1705</v>
      </c>
      <c r="C151" s="14" t="s">
        <v>1730</v>
      </c>
      <c r="D151" s="14" t="s">
        <v>32</v>
      </c>
      <c r="E151" s="14" t="s">
        <v>1668</v>
      </c>
      <c r="F151" s="14">
        <v>108.65</v>
      </c>
      <c r="G151" s="14">
        <v>136.65</v>
      </c>
      <c r="H151" s="15" t="s">
        <v>1613</v>
      </c>
      <c r="I151" s="15" t="s">
        <v>2035</v>
      </c>
      <c r="J151" s="14"/>
      <c r="K151" s="14" t="s">
        <v>1625</v>
      </c>
      <c r="L151" s="14">
        <v>16</v>
      </c>
      <c r="M151" s="14">
        <v>7020.3</v>
      </c>
      <c r="N151" s="14" t="s">
        <v>979</v>
      </c>
    </row>
    <row r="152" spans="1:14">
      <c r="A152" s="12" t="s">
        <v>2036</v>
      </c>
      <c r="B152" s="12" t="s">
        <v>1709</v>
      </c>
      <c r="C152" s="12" t="s">
        <v>1751</v>
      </c>
      <c r="D152" s="12" t="s">
        <v>70</v>
      </c>
      <c r="E152" s="12" t="s">
        <v>1664</v>
      </c>
      <c r="F152" s="12">
        <v>105.59</v>
      </c>
      <c r="G152" s="12">
        <v>88.3</v>
      </c>
      <c r="H152" s="13" t="s">
        <v>2037</v>
      </c>
      <c r="I152" s="13" t="s">
        <v>2038</v>
      </c>
      <c r="J152" s="12"/>
      <c r="K152" s="12" t="s">
        <v>1632</v>
      </c>
      <c r="L152" s="12">
        <v>16</v>
      </c>
      <c r="M152" s="12">
        <v>12695.3</v>
      </c>
      <c r="N152" s="12" t="s">
        <v>400</v>
      </c>
    </row>
    <row r="153" spans="1:14">
      <c r="A153" s="14" t="s">
        <v>2039</v>
      </c>
      <c r="B153" s="14" t="s">
        <v>1699</v>
      </c>
      <c r="C153" s="14" t="s">
        <v>1658</v>
      </c>
      <c r="D153" s="14" t="s">
        <v>65</v>
      </c>
      <c r="E153" s="14" t="s">
        <v>1611</v>
      </c>
      <c r="F153" s="14">
        <v>64.87</v>
      </c>
      <c r="G153" s="14">
        <v>52.07</v>
      </c>
      <c r="H153" s="15" t="s">
        <v>2040</v>
      </c>
      <c r="I153" s="15" t="s">
        <v>671</v>
      </c>
      <c r="J153" s="14"/>
      <c r="K153" s="14" t="s">
        <v>1656</v>
      </c>
      <c r="L153" s="14">
        <v>20</v>
      </c>
      <c r="M153" s="14">
        <v>13468.8</v>
      </c>
      <c r="N153" s="14" t="s">
        <v>664</v>
      </c>
    </row>
    <row r="154" spans="1:14">
      <c r="A154" s="12" t="s">
        <v>2041</v>
      </c>
      <c r="B154" s="12" t="s">
        <v>1609</v>
      </c>
      <c r="C154" s="12" t="s">
        <v>1831</v>
      </c>
      <c r="D154" s="12" t="s">
        <v>114</v>
      </c>
      <c r="E154" s="12" t="s">
        <v>1687</v>
      </c>
      <c r="F154" s="12">
        <v>193.1</v>
      </c>
      <c r="G154" s="12">
        <v>156.16</v>
      </c>
      <c r="H154" s="13" t="s">
        <v>807</v>
      </c>
      <c r="I154" s="13" t="s">
        <v>2042</v>
      </c>
      <c r="J154" s="12"/>
      <c r="K154" s="12" t="s">
        <v>1614</v>
      </c>
      <c r="L154" s="12">
        <v>4</v>
      </c>
      <c r="M154" s="12">
        <v>3334.6</v>
      </c>
      <c r="N154" s="12" t="s">
        <v>1130</v>
      </c>
    </row>
    <row r="155" spans="1:14">
      <c r="A155" s="14" t="s">
        <v>2043</v>
      </c>
      <c r="B155" s="14" t="s">
        <v>1786</v>
      </c>
      <c r="C155" s="14" t="s">
        <v>1641</v>
      </c>
      <c r="D155" s="14" t="s">
        <v>149</v>
      </c>
      <c r="E155" s="14" t="s">
        <v>1629</v>
      </c>
      <c r="F155" s="14">
        <v>25.02</v>
      </c>
      <c r="G155" s="14">
        <v>29.27</v>
      </c>
      <c r="H155" s="15" t="s">
        <v>2044</v>
      </c>
      <c r="I155" s="15" t="s">
        <v>1984</v>
      </c>
      <c r="J155" s="14"/>
      <c r="K155" s="14" t="s">
        <v>1625</v>
      </c>
      <c r="L155" s="14">
        <v>15</v>
      </c>
      <c r="M155" s="14">
        <v>3913.9</v>
      </c>
      <c r="N155" s="14" t="s">
        <v>1398</v>
      </c>
    </row>
    <row r="156" spans="1:14">
      <c r="A156" s="12" t="s">
        <v>2045</v>
      </c>
      <c r="B156" s="12" t="s">
        <v>1705</v>
      </c>
      <c r="C156" s="12" t="s">
        <v>1675</v>
      </c>
      <c r="D156" s="12" t="s">
        <v>172</v>
      </c>
      <c r="E156" s="12" t="s">
        <v>1659</v>
      </c>
      <c r="F156" s="12"/>
      <c r="G156" s="12">
        <v>68.290000000000006</v>
      </c>
      <c r="H156" s="13" t="s">
        <v>2046</v>
      </c>
      <c r="I156" s="13" t="s">
        <v>2047</v>
      </c>
      <c r="J156" s="12"/>
      <c r="K156" s="12" t="s">
        <v>1625</v>
      </c>
      <c r="L156" s="12">
        <v>25</v>
      </c>
      <c r="M156" s="12">
        <v>3985.3</v>
      </c>
      <c r="N156" s="12" t="s">
        <v>1122</v>
      </c>
    </row>
    <row r="157" spans="1:14">
      <c r="A157" s="14" t="s">
        <v>2048</v>
      </c>
      <c r="B157" s="14" t="s">
        <v>1739</v>
      </c>
      <c r="C157" s="14" t="s">
        <v>1610</v>
      </c>
      <c r="D157" s="14" t="s">
        <v>149</v>
      </c>
      <c r="E157" s="14" t="s">
        <v>1650</v>
      </c>
      <c r="F157" s="14">
        <v>62.87</v>
      </c>
      <c r="G157" s="14">
        <v>51.85</v>
      </c>
      <c r="H157" s="15" t="s">
        <v>2049</v>
      </c>
      <c r="I157" s="15" t="s">
        <v>1149</v>
      </c>
      <c r="J157" s="14" t="s">
        <v>2050</v>
      </c>
      <c r="K157" s="14" t="s">
        <v>1638</v>
      </c>
      <c r="L157" s="14">
        <v>22</v>
      </c>
      <c r="M157" s="14">
        <v>19795.8</v>
      </c>
      <c r="N157" s="14" t="s">
        <v>1111</v>
      </c>
    </row>
    <row r="158" spans="1:14">
      <c r="A158" s="12" t="s">
        <v>2051</v>
      </c>
      <c r="B158" s="12" t="s">
        <v>1621</v>
      </c>
      <c r="C158" s="12" t="s">
        <v>1675</v>
      </c>
      <c r="D158" s="12" t="s">
        <v>46</v>
      </c>
      <c r="E158" s="12" t="s">
        <v>1629</v>
      </c>
      <c r="F158" s="12">
        <v>82.63</v>
      </c>
      <c r="G158" s="12">
        <v>61.5</v>
      </c>
      <c r="H158" s="13" t="s">
        <v>819</v>
      </c>
      <c r="I158" s="13" t="s">
        <v>872</v>
      </c>
      <c r="J158" s="12"/>
      <c r="K158" s="12" t="s">
        <v>1625</v>
      </c>
      <c r="L158" s="12">
        <v>19</v>
      </c>
      <c r="M158" s="12">
        <v>11992.3</v>
      </c>
      <c r="N158" s="12" t="s">
        <v>1398</v>
      </c>
    </row>
    <row r="159" spans="1:14">
      <c r="A159" s="14" t="s">
        <v>2052</v>
      </c>
      <c r="B159" s="14" t="s">
        <v>1763</v>
      </c>
      <c r="C159" s="14" t="s">
        <v>1658</v>
      </c>
      <c r="D159" s="14" t="s">
        <v>70</v>
      </c>
      <c r="E159" s="14" t="s">
        <v>1740</v>
      </c>
      <c r="F159" s="14">
        <v>75.2</v>
      </c>
      <c r="G159" s="14">
        <v>85.22</v>
      </c>
      <c r="H159" s="15" t="s">
        <v>981</v>
      </c>
      <c r="I159" s="15" t="s">
        <v>2053</v>
      </c>
      <c r="J159" s="14"/>
      <c r="K159" s="14" t="s">
        <v>1632</v>
      </c>
      <c r="L159" s="14">
        <v>13</v>
      </c>
      <c r="M159" s="14">
        <v>10186.4</v>
      </c>
      <c r="N159" s="14" t="s">
        <v>363</v>
      </c>
    </row>
    <row r="160" spans="1:14">
      <c r="A160" s="12" t="s">
        <v>2054</v>
      </c>
      <c r="B160" s="12" t="s">
        <v>1621</v>
      </c>
      <c r="C160" s="12" t="s">
        <v>1751</v>
      </c>
      <c r="D160" s="12" t="s">
        <v>18</v>
      </c>
      <c r="E160" s="12" t="s">
        <v>1611</v>
      </c>
      <c r="F160" s="12">
        <v>103.93</v>
      </c>
      <c r="G160" s="12">
        <v>75.47</v>
      </c>
      <c r="H160" s="13" t="s">
        <v>1945</v>
      </c>
      <c r="I160" s="13" t="s">
        <v>2055</v>
      </c>
      <c r="J160" s="12"/>
      <c r="K160" s="12" t="s">
        <v>1625</v>
      </c>
      <c r="L160" s="12">
        <v>13</v>
      </c>
      <c r="M160" s="12">
        <v>3062.5</v>
      </c>
      <c r="N160" s="12" t="s">
        <v>234</v>
      </c>
    </row>
    <row r="161" spans="1:14">
      <c r="A161" s="14" t="s">
        <v>2056</v>
      </c>
      <c r="B161" s="14" t="s">
        <v>1705</v>
      </c>
      <c r="C161" s="14" t="s">
        <v>1814</v>
      </c>
      <c r="D161" s="14" t="s">
        <v>46</v>
      </c>
      <c r="E161" s="14" t="s">
        <v>1642</v>
      </c>
      <c r="F161" s="14">
        <v>70.09</v>
      </c>
      <c r="G161" s="14">
        <v>76.61</v>
      </c>
      <c r="H161" s="15" t="s">
        <v>690</v>
      </c>
      <c r="I161" s="15" t="s">
        <v>2057</v>
      </c>
      <c r="J161" s="14"/>
      <c r="K161" s="14" t="s">
        <v>1656</v>
      </c>
      <c r="L161" s="14">
        <v>3</v>
      </c>
      <c r="M161" s="14">
        <v>2439.8000000000002</v>
      </c>
      <c r="N161" s="14" t="s">
        <v>1074</v>
      </c>
    </row>
    <row r="162" spans="1:14">
      <c r="A162" s="12" t="s">
        <v>2058</v>
      </c>
      <c r="B162" s="12" t="s">
        <v>1699</v>
      </c>
      <c r="C162" s="12" t="s">
        <v>1628</v>
      </c>
      <c r="D162" s="12" t="s">
        <v>18</v>
      </c>
      <c r="E162" s="12" t="s">
        <v>1611</v>
      </c>
      <c r="F162" s="12">
        <v>19.989999999999998</v>
      </c>
      <c r="G162" s="12">
        <v>15.38</v>
      </c>
      <c r="H162" s="13" t="s">
        <v>2059</v>
      </c>
      <c r="I162" s="13" t="s">
        <v>2060</v>
      </c>
      <c r="J162" s="12" t="s">
        <v>2061</v>
      </c>
      <c r="K162" s="12" t="s">
        <v>1638</v>
      </c>
      <c r="L162" s="12">
        <v>13</v>
      </c>
      <c r="M162" s="12">
        <v>8122.6</v>
      </c>
      <c r="N162" s="12" t="s">
        <v>475</v>
      </c>
    </row>
    <row r="163" spans="1:14">
      <c r="A163" s="14" t="s">
        <v>2062</v>
      </c>
      <c r="B163" s="14" t="s">
        <v>1763</v>
      </c>
      <c r="C163" s="14" t="s">
        <v>1675</v>
      </c>
      <c r="D163" s="14" t="s">
        <v>75</v>
      </c>
      <c r="E163" s="14" t="s">
        <v>1687</v>
      </c>
      <c r="F163" s="14">
        <v>103.78</v>
      </c>
      <c r="G163" s="14">
        <v>74.87</v>
      </c>
      <c r="H163" s="15" t="s">
        <v>2063</v>
      </c>
      <c r="I163" s="15" t="s">
        <v>2064</v>
      </c>
      <c r="J163" s="14"/>
      <c r="K163" s="14" t="s">
        <v>1625</v>
      </c>
      <c r="L163" s="14">
        <v>23</v>
      </c>
      <c r="M163" s="14">
        <v>6448.6</v>
      </c>
      <c r="N163" s="14" t="s">
        <v>1009</v>
      </c>
    </row>
    <row r="164" spans="1:14">
      <c r="A164" s="12" t="s">
        <v>2065</v>
      </c>
      <c r="B164" s="12" t="s">
        <v>1609</v>
      </c>
      <c r="C164" s="12" t="s">
        <v>1610</v>
      </c>
      <c r="D164" s="12" t="s">
        <v>149</v>
      </c>
      <c r="E164" s="12" t="s">
        <v>1635</v>
      </c>
      <c r="F164" s="12">
        <v>77.27</v>
      </c>
      <c r="G164" s="12">
        <v>79.81</v>
      </c>
      <c r="H164" s="13" t="s">
        <v>2066</v>
      </c>
      <c r="I164" s="13" t="s">
        <v>889</v>
      </c>
      <c r="J164" s="12"/>
      <c r="K164" s="12" t="s">
        <v>1625</v>
      </c>
      <c r="L164" s="12">
        <v>10</v>
      </c>
      <c r="M164" s="12">
        <v>8063.7</v>
      </c>
      <c r="N164" s="12" t="s">
        <v>1545</v>
      </c>
    </row>
    <row r="165" spans="1:14">
      <c r="A165" s="14" t="s">
        <v>2067</v>
      </c>
      <c r="B165" s="14" t="s">
        <v>1653</v>
      </c>
      <c r="C165" s="14" t="s">
        <v>1686</v>
      </c>
      <c r="D165" s="14" t="s">
        <v>18</v>
      </c>
      <c r="E165" s="14" t="s">
        <v>1682</v>
      </c>
      <c r="F165" s="14">
        <v>114.31</v>
      </c>
      <c r="G165" s="14">
        <v>83.02</v>
      </c>
      <c r="H165" s="15" t="s">
        <v>2009</v>
      </c>
      <c r="I165" s="15" t="s">
        <v>191</v>
      </c>
      <c r="J165" s="14"/>
      <c r="K165" s="14" t="s">
        <v>1614</v>
      </c>
      <c r="L165" s="14">
        <v>24</v>
      </c>
      <c r="M165" s="14">
        <v>20812.900000000001</v>
      </c>
      <c r="N165" s="14" t="s">
        <v>667</v>
      </c>
    </row>
    <row r="166" spans="1:14">
      <c r="A166" s="12" t="s">
        <v>2068</v>
      </c>
      <c r="B166" s="12" t="s">
        <v>1663</v>
      </c>
      <c r="C166" s="12" t="s">
        <v>1622</v>
      </c>
      <c r="D166" s="12" t="s">
        <v>65</v>
      </c>
      <c r="E166" s="12" t="s">
        <v>1617</v>
      </c>
      <c r="F166" s="12">
        <v>194.04</v>
      </c>
      <c r="G166" s="12">
        <v>183.1</v>
      </c>
      <c r="H166" s="13" t="s">
        <v>2069</v>
      </c>
      <c r="I166" s="13" t="s">
        <v>1679</v>
      </c>
      <c r="J166" s="12"/>
      <c r="K166" s="12" t="s">
        <v>1625</v>
      </c>
      <c r="L166" s="12">
        <v>23</v>
      </c>
      <c r="M166" s="12">
        <v>7616.5</v>
      </c>
      <c r="N166" s="12" t="s">
        <v>936</v>
      </c>
    </row>
    <row r="167" spans="1:14">
      <c r="A167" s="14" t="s">
        <v>2070</v>
      </c>
      <c r="B167" s="14" t="s">
        <v>1609</v>
      </c>
      <c r="C167" s="14" t="s">
        <v>1628</v>
      </c>
      <c r="D167" s="14" t="s">
        <v>172</v>
      </c>
      <c r="E167" s="14" t="s">
        <v>1659</v>
      </c>
      <c r="F167" s="14">
        <v>162.41999999999999</v>
      </c>
      <c r="G167" s="14">
        <v>115.21</v>
      </c>
      <c r="H167" s="15" t="s">
        <v>1922</v>
      </c>
      <c r="I167" s="15" t="s">
        <v>1805</v>
      </c>
      <c r="J167" s="14"/>
      <c r="K167" s="14" t="s">
        <v>1656</v>
      </c>
      <c r="L167" s="14">
        <v>12</v>
      </c>
      <c r="M167" s="14">
        <v>6151.9</v>
      </c>
      <c r="N167" s="14" t="s">
        <v>189</v>
      </c>
    </row>
    <row r="168" spans="1:14">
      <c r="A168" s="12" t="s">
        <v>2071</v>
      </c>
      <c r="B168" s="12" t="s">
        <v>1627</v>
      </c>
      <c r="C168" s="12" t="s">
        <v>1686</v>
      </c>
      <c r="D168" s="12" t="s">
        <v>18</v>
      </c>
      <c r="E168" s="12" t="s">
        <v>1650</v>
      </c>
      <c r="F168" s="12">
        <v>120.2</v>
      </c>
      <c r="G168" s="12">
        <v>146.55000000000001</v>
      </c>
      <c r="H168" s="13" t="s">
        <v>1783</v>
      </c>
      <c r="I168" s="13" t="s">
        <v>2072</v>
      </c>
      <c r="J168" s="12"/>
      <c r="K168" s="12" t="s">
        <v>1632</v>
      </c>
      <c r="L168" s="12">
        <v>8</v>
      </c>
      <c r="M168" s="12">
        <v>1883.1</v>
      </c>
      <c r="N168" s="12" t="s">
        <v>612</v>
      </c>
    </row>
    <row r="169" spans="1:14">
      <c r="A169" s="14" t="s">
        <v>2073</v>
      </c>
      <c r="B169" s="14" t="s">
        <v>1699</v>
      </c>
      <c r="C169" s="14" t="s">
        <v>1628</v>
      </c>
      <c r="D169" s="14" t="s">
        <v>26</v>
      </c>
      <c r="E169" s="14" t="s">
        <v>1664</v>
      </c>
      <c r="F169" s="14">
        <v>51.62</v>
      </c>
      <c r="G169" s="14">
        <v>38.119999999999997</v>
      </c>
      <c r="H169" s="15" t="s">
        <v>444</v>
      </c>
      <c r="I169" s="15" t="s">
        <v>2074</v>
      </c>
      <c r="J169" s="14"/>
      <c r="K169" s="14" t="s">
        <v>1614</v>
      </c>
      <c r="L169" s="14">
        <v>20</v>
      </c>
      <c r="M169" s="14">
        <v>9509.2999999999993</v>
      </c>
      <c r="N169" s="14" t="s">
        <v>380</v>
      </c>
    </row>
    <row r="170" spans="1:14">
      <c r="A170" s="12" t="s">
        <v>2075</v>
      </c>
      <c r="B170" s="12" t="s">
        <v>1699</v>
      </c>
      <c r="C170" s="12" t="s">
        <v>1610</v>
      </c>
      <c r="D170" s="12" t="s">
        <v>149</v>
      </c>
      <c r="E170" s="12" t="s">
        <v>1629</v>
      </c>
      <c r="F170" s="12">
        <v>120.39</v>
      </c>
      <c r="G170" s="12">
        <v>139.30000000000001</v>
      </c>
      <c r="H170" s="13" t="s">
        <v>2076</v>
      </c>
      <c r="I170" s="13" t="s">
        <v>2077</v>
      </c>
      <c r="J170" s="12"/>
      <c r="K170" s="12" t="s">
        <v>1632</v>
      </c>
      <c r="L170" s="12">
        <v>3</v>
      </c>
      <c r="M170" s="12">
        <v>2642.2</v>
      </c>
      <c r="N170" s="12" t="s">
        <v>530</v>
      </c>
    </row>
    <row r="171" spans="1:14">
      <c r="A171" s="14" t="s">
        <v>2078</v>
      </c>
      <c r="B171" s="14" t="s">
        <v>1709</v>
      </c>
      <c r="C171" s="14" t="s">
        <v>1755</v>
      </c>
      <c r="D171" s="14" t="s">
        <v>70</v>
      </c>
      <c r="E171" s="14" t="s">
        <v>1642</v>
      </c>
      <c r="F171" s="14">
        <v>35.75</v>
      </c>
      <c r="G171" s="14">
        <v>33.840000000000003</v>
      </c>
      <c r="H171" s="15" t="s">
        <v>2079</v>
      </c>
      <c r="I171" s="15" t="s">
        <v>1384</v>
      </c>
      <c r="J171" s="14" t="s">
        <v>1090</v>
      </c>
      <c r="K171" s="14" t="s">
        <v>1638</v>
      </c>
      <c r="L171" s="14">
        <v>22</v>
      </c>
      <c r="M171" s="14">
        <v>7261.1</v>
      </c>
      <c r="N171" s="14" t="s">
        <v>999</v>
      </c>
    </row>
    <row r="172" spans="1:14">
      <c r="A172" s="12" t="s">
        <v>2080</v>
      </c>
      <c r="B172" s="12" t="s">
        <v>1705</v>
      </c>
      <c r="C172" s="12" t="s">
        <v>1641</v>
      </c>
      <c r="D172" s="12" t="s">
        <v>46</v>
      </c>
      <c r="E172" s="12" t="s">
        <v>1682</v>
      </c>
      <c r="F172" s="12"/>
      <c r="G172" s="12">
        <v>30.93</v>
      </c>
      <c r="H172" s="13" t="s">
        <v>2081</v>
      </c>
      <c r="I172" s="13" t="s">
        <v>2082</v>
      </c>
      <c r="J172" s="12"/>
      <c r="K172" s="12" t="s">
        <v>1632</v>
      </c>
      <c r="L172" s="12">
        <v>24</v>
      </c>
      <c r="M172" s="12">
        <v>4924.8</v>
      </c>
      <c r="N172" s="12" t="s">
        <v>249</v>
      </c>
    </row>
    <row r="173" spans="1:14">
      <c r="A173" s="14" t="s">
        <v>2083</v>
      </c>
      <c r="B173" s="14" t="s">
        <v>1709</v>
      </c>
      <c r="C173" s="14" t="s">
        <v>1675</v>
      </c>
      <c r="D173" s="14" t="s">
        <v>70</v>
      </c>
      <c r="E173" s="14" t="s">
        <v>1659</v>
      </c>
      <c r="F173" s="14">
        <v>107.65</v>
      </c>
      <c r="G173" s="14">
        <v>114.34</v>
      </c>
      <c r="H173" s="15" t="s">
        <v>792</v>
      </c>
      <c r="I173" s="15" t="s">
        <v>674</v>
      </c>
      <c r="J173" s="14"/>
      <c r="K173" s="14" t="s">
        <v>1656</v>
      </c>
      <c r="L173" s="14">
        <v>23</v>
      </c>
      <c r="M173" s="14">
        <v>6638.6</v>
      </c>
      <c r="N173" s="14" t="s">
        <v>265</v>
      </c>
    </row>
    <row r="174" spans="1:14">
      <c r="A174" s="12" t="s">
        <v>2084</v>
      </c>
      <c r="B174" s="12" t="s">
        <v>1739</v>
      </c>
      <c r="C174" s="12" t="s">
        <v>1616</v>
      </c>
      <c r="D174" s="12" t="s">
        <v>172</v>
      </c>
      <c r="E174" s="12" t="s">
        <v>1617</v>
      </c>
      <c r="F174" s="12">
        <v>186.74</v>
      </c>
      <c r="G174" s="12">
        <v>168.33</v>
      </c>
      <c r="H174" s="13" t="s">
        <v>2085</v>
      </c>
      <c r="I174" s="13" t="s">
        <v>596</v>
      </c>
      <c r="J174" s="12"/>
      <c r="K174" s="12" t="s">
        <v>1614</v>
      </c>
      <c r="L174" s="12">
        <v>5</v>
      </c>
      <c r="M174" s="12">
        <v>3044.9</v>
      </c>
      <c r="N174" s="12" t="s">
        <v>1370</v>
      </c>
    </row>
    <row r="175" spans="1:14">
      <c r="A175" s="14" t="s">
        <v>2086</v>
      </c>
      <c r="B175" s="14" t="s">
        <v>1763</v>
      </c>
      <c r="C175" s="14" t="s">
        <v>1616</v>
      </c>
      <c r="D175" s="14" t="s">
        <v>75</v>
      </c>
      <c r="E175" s="14" t="s">
        <v>1611</v>
      </c>
      <c r="F175" s="14">
        <v>148.62</v>
      </c>
      <c r="G175" s="14">
        <v>150.35</v>
      </c>
      <c r="H175" s="15" t="s">
        <v>2087</v>
      </c>
      <c r="I175" s="15" t="s">
        <v>2088</v>
      </c>
      <c r="J175" s="14"/>
      <c r="K175" s="14" t="s">
        <v>1614</v>
      </c>
      <c r="L175" s="14">
        <v>11</v>
      </c>
      <c r="M175" s="14">
        <v>1592.8</v>
      </c>
      <c r="N175" s="14" t="s">
        <v>1490</v>
      </c>
    </row>
    <row r="176" spans="1:14">
      <c r="A176" s="12" t="s">
        <v>2089</v>
      </c>
      <c r="B176" s="12" t="s">
        <v>1693</v>
      </c>
      <c r="C176" s="12" t="s">
        <v>1814</v>
      </c>
      <c r="D176" s="12" t="s">
        <v>214</v>
      </c>
      <c r="E176" s="12" t="s">
        <v>1659</v>
      </c>
      <c r="F176" s="12">
        <v>118.1</v>
      </c>
      <c r="G176" s="12">
        <v>108.39</v>
      </c>
      <c r="H176" s="13" t="s">
        <v>1932</v>
      </c>
      <c r="I176" s="13" t="s">
        <v>1926</v>
      </c>
      <c r="J176" s="12"/>
      <c r="K176" s="12" t="s">
        <v>1656</v>
      </c>
      <c r="L176" s="12">
        <v>2</v>
      </c>
      <c r="M176" s="12">
        <v>1082.9000000000001</v>
      </c>
      <c r="N176" s="12" t="s">
        <v>13</v>
      </c>
    </row>
    <row r="177" spans="1:14">
      <c r="A177" s="14" t="s">
        <v>2090</v>
      </c>
      <c r="B177" s="14" t="s">
        <v>1702</v>
      </c>
      <c r="C177" s="14" t="s">
        <v>1616</v>
      </c>
      <c r="D177" s="14" t="s">
        <v>26</v>
      </c>
      <c r="E177" s="14" t="s">
        <v>1664</v>
      </c>
      <c r="F177" s="14">
        <v>52.97</v>
      </c>
      <c r="G177" s="14">
        <v>66.63</v>
      </c>
      <c r="H177" s="15" t="s">
        <v>2091</v>
      </c>
      <c r="I177" s="15" t="s">
        <v>1106</v>
      </c>
      <c r="J177" s="14"/>
      <c r="K177" s="14" t="s">
        <v>1632</v>
      </c>
      <c r="L177" s="14">
        <v>17</v>
      </c>
      <c r="M177" s="14">
        <v>14598.4</v>
      </c>
      <c r="N177" s="14" t="s">
        <v>437</v>
      </c>
    </row>
    <row r="178" spans="1:14">
      <c r="A178" s="12" t="s">
        <v>2092</v>
      </c>
      <c r="B178" s="12" t="s">
        <v>1627</v>
      </c>
      <c r="C178" s="12" t="s">
        <v>1610</v>
      </c>
      <c r="D178" s="12" t="s">
        <v>214</v>
      </c>
      <c r="E178" s="12" t="s">
        <v>1650</v>
      </c>
      <c r="F178" s="12">
        <v>146.19</v>
      </c>
      <c r="G178" s="12">
        <v>139.30000000000001</v>
      </c>
      <c r="H178" s="13" t="s">
        <v>2093</v>
      </c>
      <c r="I178" s="13" t="s">
        <v>1982</v>
      </c>
      <c r="J178" s="12"/>
      <c r="K178" s="12" t="s">
        <v>1614</v>
      </c>
      <c r="L178" s="12">
        <v>7</v>
      </c>
      <c r="M178" s="12">
        <v>3991.1</v>
      </c>
      <c r="N178" s="12" t="s">
        <v>903</v>
      </c>
    </row>
    <row r="179" spans="1:14">
      <c r="A179" s="14" t="s">
        <v>2094</v>
      </c>
      <c r="B179" s="14" t="s">
        <v>1693</v>
      </c>
      <c r="C179" s="14" t="s">
        <v>1751</v>
      </c>
      <c r="D179" s="14" t="s">
        <v>114</v>
      </c>
      <c r="E179" s="14" t="s">
        <v>1682</v>
      </c>
      <c r="F179" s="14">
        <v>96.79</v>
      </c>
      <c r="G179" s="14">
        <v>93.91</v>
      </c>
      <c r="H179" s="15" t="s">
        <v>48</v>
      </c>
      <c r="I179" s="15" t="s">
        <v>590</v>
      </c>
      <c r="J179" s="14"/>
      <c r="K179" s="14" t="s">
        <v>1625</v>
      </c>
      <c r="L179" s="14">
        <v>25</v>
      </c>
      <c r="M179" s="14">
        <v>17324.900000000001</v>
      </c>
      <c r="N179" s="14" t="s">
        <v>926</v>
      </c>
    </row>
    <row r="180" spans="1:14">
      <c r="A180" s="12" t="s">
        <v>2095</v>
      </c>
      <c r="B180" s="12" t="s">
        <v>1720</v>
      </c>
      <c r="C180" s="12" t="s">
        <v>1755</v>
      </c>
      <c r="D180" s="12" t="s">
        <v>172</v>
      </c>
      <c r="E180" s="12" t="s">
        <v>1623</v>
      </c>
      <c r="F180" s="12">
        <v>89.27</v>
      </c>
      <c r="G180" s="12">
        <v>94.31</v>
      </c>
      <c r="H180" s="13" t="s">
        <v>2096</v>
      </c>
      <c r="I180" s="13" t="s">
        <v>2097</v>
      </c>
      <c r="J180" s="12"/>
      <c r="K180" s="12" t="s">
        <v>1632</v>
      </c>
      <c r="L180" s="12">
        <v>18</v>
      </c>
      <c r="M180" s="12">
        <v>14099.7</v>
      </c>
      <c r="N180" s="12" t="s">
        <v>652</v>
      </c>
    </row>
    <row r="181" spans="1:14">
      <c r="A181" s="14" t="s">
        <v>2098</v>
      </c>
      <c r="B181" s="14" t="s">
        <v>1672</v>
      </c>
      <c r="C181" s="14" t="s">
        <v>1675</v>
      </c>
      <c r="D181" s="14" t="s">
        <v>114</v>
      </c>
      <c r="E181" s="14" t="s">
        <v>1611</v>
      </c>
      <c r="F181" s="14">
        <v>68.459999999999994</v>
      </c>
      <c r="G181" s="14">
        <v>77.569999999999993</v>
      </c>
      <c r="H181" s="15" t="s">
        <v>1384</v>
      </c>
      <c r="I181" s="15" t="s">
        <v>156</v>
      </c>
      <c r="J181" s="14"/>
      <c r="K181" s="14" t="s">
        <v>1625</v>
      </c>
      <c r="L181" s="14">
        <v>2</v>
      </c>
      <c r="M181" s="14">
        <v>815.7</v>
      </c>
      <c r="N181" s="14" t="s">
        <v>1370</v>
      </c>
    </row>
    <row r="182" spans="1:14">
      <c r="A182" s="12" t="s">
        <v>2099</v>
      </c>
      <c r="B182" s="12" t="s">
        <v>1640</v>
      </c>
      <c r="C182" s="12" t="s">
        <v>1814</v>
      </c>
      <c r="D182" s="12" t="s">
        <v>46</v>
      </c>
      <c r="E182" s="12" t="s">
        <v>1623</v>
      </c>
      <c r="F182" s="12">
        <v>184.28</v>
      </c>
      <c r="G182" s="12">
        <v>219.46</v>
      </c>
      <c r="H182" s="13" t="s">
        <v>347</v>
      </c>
      <c r="I182" s="13" t="s">
        <v>2100</v>
      </c>
      <c r="J182" s="12"/>
      <c r="K182" s="12" t="s">
        <v>1656</v>
      </c>
      <c r="L182" s="12">
        <v>11</v>
      </c>
      <c r="M182" s="12">
        <v>1754.8</v>
      </c>
      <c r="N182" s="12" t="s">
        <v>953</v>
      </c>
    </row>
    <row r="183" spans="1:14">
      <c r="A183" s="14" t="s">
        <v>2101</v>
      </c>
      <c r="B183" s="14" t="s">
        <v>1763</v>
      </c>
      <c r="C183" s="14" t="s">
        <v>1755</v>
      </c>
      <c r="D183" s="14" t="s">
        <v>65</v>
      </c>
      <c r="E183" s="14" t="s">
        <v>1734</v>
      </c>
      <c r="F183" s="14">
        <v>54.07</v>
      </c>
      <c r="G183" s="14">
        <v>49.84</v>
      </c>
      <c r="H183" s="15" t="s">
        <v>915</v>
      </c>
      <c r="I183" s="15" t="s">
        <v>2102</v>
      </c>
      <c r="J183" s="14"/>
      <c r="K183" s="14" t="s">
        <v>1625</v>
      </c>
      <c r="L183" s="14">
        <v>23</v>
      </c>
      <c r="M183" s="14">
        <v>17464.3</v>
      </c>
      <c r="N183" s="14" t="s">
        <v>1552</v>
      </c>
    </row>
    <row r="184" spans="1:14">
      <c r="A184" s="12" t="s">
        <v>2103</v>
      </c>
      <c r="B184" s="12" t="s">
        <v>1699</v>
      </c>
      <c r="C184" s="12" t="s">
        <v>1730</v>
      </c>
      <c r="D184" s="12" t="s">
        <v>46</v>
      </c>
      <c r="E184" s="12" t="s">
        <v>1654</v>
      </c>
      <c r="F184" s="12">
        <v>72.95</v>
      </c>
      <c r="G184" s="12">
        <v>63.3</v>
      </c>
      <c r="H184" s="13" t="s">
        <v>368</v>
      </c>
      <c r="I184" s="13" t="s">
        <v>2104</v>
      </c>
      <c r="J184" s="12"/>
      <c r="K184" s="12" t="s">
        <v>1632</v>
      </c>
      <c r="L184" s="12">
        <v>22</v>
      </c>
      <c r="M184" s="12">
        <v>18998.400000000001</v>
      </c>
      <c r="N184" s="12" t="s">
        <v>873</v>
      </c>
    </row>
    <row r="185" spans="1:14">
      <c r="A185" s="14" t="s">
        <v>2105</v>
      </c>
      <c r="B185" s="14" t="s">
        <v>1621</v>
      </c>
      <c r="C185" s="14" t="s">
        <v>1814</v>
      </c>
      <c r="D185" s="14" t="s">
        <v>53</v>
      </c>
      <c r="E185" s="14" t="s">
        <v>1635</v>
      </c>
      <c r="F185" s="14">
        <v>164.7</v>
      </c>
      <c r="G185" s="14">
        <v>187.17</v>
      </c>
      <c r="H185" s="15" t="s">
        <v>2106</v>
      </c>
      <c r="I185" s="15" t="s">
        <v>2107</v>
      </c>
      <c r="J185" s="14"/>
      <c r="K185" s="14" t="s">
        <v>1625</v>
      </c>
      <c r="L185" s="14">
        <v>16</v>
      </c>
      <c r="M185" s="14">
        <v>8108.3</v>
      </c>
      <c r="N185" s="14" t="s">
        <v>1586</v>
      </c>
    </row>
    <row r="186" spans="1:14">
      <c r="A186" s="12" t="s">
        <v>2108</v>
      </c>
      <c r="B186" s="12" t="s">
        <v>1693</v>
      </c>
      <c r="C186" s="12" t="s">
        <v>1690</v>
      </c>
      <c r="D186" s="12" t="s">
        <v>46</v>
      </c>
      <c r="E186" s="12" t="s">
        <v>1611</v>
      </c>
      <c r="F186" s="12">
        <v>162.29</v>
      </c>
      <c r="G186" s="12">
        <v>172.94</v>
      </c>
      <c r="H186" s="13" t="s">
        <v>2109</v>
      </c>
      <c r="I186" s="13" t="s">
        <v>2110</v>
      </c>
      <c r="J186" s="12" t="s">
        <v>1680</v>
      </c>
      <c r="K186" s="12" t="s">
        <v>1638</v>
      </c>
      <c r="L186" s="12">
        <v>22</v>
      </c>
      <c r="M186" s="12">
        <v>15304.6</v>
      </c>
      <c r="N186" s="12" t="s">
        <v>1025</v>
      </c>
    </row>
    <row r="187" spans="1:14">
      <c r="A187" s="14" t="s">
        <v>2111</v>
      </c>
      <c r="B187" s="14" t="s">
        <v>1609</v>
      </c>
      <c r="C187" s="14" t="s">
        <v>1616</v>
      </c>
      <c r="D187" s="14" t="s">
        <v>53</v>
      </c>
      <c r="E187" s="14" t="s">
        <v>1687</v>
      </c>
      <c r="F187" s="14"/>
      <c r="G187" s="14">
        <v>134.93</v>
      </c>
      <c r="H187" s="15" t="s">
        <v>2009</v>
      </c>
      <c r="I187" s="15" t="s">
        <v>1952</v>
      </c>
      <c r="J187" s="14"/>
      <c r="K187" s="14" t="s">
        <v>1632</v>
      </c>
      <c r="L187" s="14">
        <v>9</v>
      </c>
      <c r="M187" s="14">
        <v>2209.6999999999998</v>
      </c>
      <c r="N187" s="14" t="s">
        <v>636</v>
      </c>
    </row>
    <row r="188" spans="1:14">
      <c r="A188" s="12" t="s">
        <v>2112</v>
      </c>
      <c r="B188" s="12" t="s">
        <v>1739</v>
      </c>
      <c r="C188" s="12" t="s">
        <v>1628</v>
      </c>
      <c r="D188" s="12" t="s">
        <v>114</v>
      </c>
      <c r="E188" s="12" t="s">
        <v>1664</v>
      </c>
      <c r="F188" s="12">
        <v>175.43</v>
      </c>
      <c r="G188" s="12">
        <v>130.16999999999999</v>
      </c>
      <c r="H188" s="13" t="s">
        <v>605</v>
      </c>
      <c r="I188" s="13" t="s">
        <v>2113</v>
      </c>
      <c r="J188" s="12"/>
      <c r="K188" s="12" t="s">
        <v>1625</v>
      </c>
      <c r="L188" s="12">
        <v>11</v>
      </c>
      <c r="M188" s="12">
        <v>4565.6000000000004</v>
      </c>
      <c r="N188" s="12" t="s">
        <v>1307</v>
      </c>
    </row>
    <row r="189" spans="1:14">
      <c r="A189" s="14" t="s">
        <v>2114</v>
      </c>
      <c r="B189" s="14" t="s">
        <v>1609</v>
      </c>
      <c r="C189" s="14" t="s">
        <v>1755</v>
      </c>
      <c r="D189" s="14" t="s">
        <v>46</v>
      </c>
      <c r="E189" s="14" t="s">
        <v>1682</v>
      </c>
      <c r="F189" s="14">
        <v>24.1</v>
      </c>
      <c r="G189" s="14">
        <v>24.79</v>
      </c>
      <c r="H189" s="15" t="s">
        <v>2115</v>
      </c>
      <c r="I189" s="15" t="s">
        <v>2116</v>
      </c>
      <c r="J189" s="14"/>
      <c r="K189" s="14" t="s">
        <v>1656</v>
      </c>
      <c r="L189" s="14">
        <v>3</v>
      </c>
      <c r="M189" s="14">
        <v>1634.4</v>
      </c>
      <c r="N189" s="14" t="s">
        <v>1124</v>
      </c>
    </row>
    <row r="190" spans="1:14">
      <c r="A190" s="12" t="s">
        <v>2117</v>
      </c>
      <c r="B190" s="12" t="s">
        <v>1705</v>
      </c>
      <c r="C190" s="12" t="s">
        <v>1622</v>
      </c>
      <c r="D190" s="12" t="s">
        <v>32</v>
      </c>
      <c r="E190" s="12" t="s">
        <v>1687</v>
      </c>
      <c r="F190" s="12">
        <v>150.52000000000001</v>
      </c>
      <c r="G190" s="12">
        <v>135.43</v>
      </c>
      <c r="H190" s="13" t="s">
        <v>2118</v>
      </c>
      <c r="I190" s="13" t="s">
        <v>2027</v>
      </c>
      <c r="J190" s="12"/>
      <c r="K190" s="12" t="s">
        <v>1656</v>
      </c>
      <c r="L190" s="12">
        <v>22</v>
      </c>
      <c r="M190" s="12">
        <v>4018.1</v>
      </c>
      <c r="N190" s="12" t="s">
        <v>406</v>
      </c>
    </row>
    <row r="191" spans="1:14">
      <c r="A191" s="14" t="s">
        <v>2119</v>
      </c>
      <c r="B191" s="14" t="s">
        <v>1702</v>
      </c>
      <c r="C191" s="14" t="s">
        <v>1730</v>
      </c>
      <c r="D191" s="14" t="s">
        <v>53</v>
      </c>
      <c r="E191" s="14" t="s">
        <v>1629</v>
      </c>
      <c r="F191" s="14">
        <v>149.08000000000001</v>
      </c>
      <c r="G191" s="14">
        <v>120.27</v>
      </c>
      <c r="H191" s="15" t="s">
        <v>2120</v>
      </c>
      <c r="I191" s="15" t="s">
        <v>1798</v>
      </c>
      <c r="J191" s="14"/>
      <c r="K191" s="14" t="s">
        <v>1632</v>
      </c>
      <c r="L191" s="14">
        <v>15</v>
      </c>
      <c r="M191" s="14">
        <v>9416.6</v>
      </c>
      <c r="N191" s="14" t="s">
        <v>1285</v>
      </c>
    </row>
    <row r="192" spans="1:14">
      <c r="A192" s="12" t="s">
        <v>2121</v>
      </c>
      <c r="B192" s="12" t="s">
        <v>1720</v>
      </c>
      <c r="C192" s="12" t="s">
        <v>1628</v>
      </c>
      <c r="D192" s="12" t="s">
        <v>32</v>
      </c>
      <c r="E192" s="12" t="s">
        <v>1611</v>
      </c>
      <c r="F192" s="12">
        <v>116.07</v>
      </c>
      <c r="G192" s="12">
        <v>99.73</v>
      </c>
      <c r="H192" s="13" t="s">
        <v>830</v>
      </c>
      <c r="I192" s="13" t="s">
        <v>2122</v>
      </c>
      <c r="J192" s="12"/>
      <c r="K192" s="12" t="s">
        <v>1625</v>
      </c>
      <c r="L192" s="12">
        <v>14</v>
      </c>
      <c r="M192" s="12">
        <v>4784.8</v>
      </c>
      <c r="N192" s="12" t="s">
        <v>179</v>
      </c>
    </row>
    <row r="193" spans="1:14">
      <c r="A193" s="14" t="s">
        <v>2123</v>
      </c>
      <c r="B193" s="14" t="s">
        <v>1792</v>
      </c>
      <c r="C193" s="14" t="s">
        <v>1814</v>
      </c>
      <c r="D193" s="14" t="s">
        <v>75</v>
      </c>
      <c r="E193" s="14" t="s">
        <v>1734</v>
      </c>
      <c r="F193" s="14">
        <v>169.07</v>
      </c>
      <c r="G193" s="14">
        <v>203.8</v>
      </c>
      <c r="H193" s="15" t="s">
        <v>2124</v>
      </c>
      <c r="I193" s="15" t="s">
        <v>819</v>
      </c>
      <c r="J193" s="14"/>
      <c r="K193" s="14" t="s">
        <v>1632</v>
      </c>
      <c r="L193" s="14">
        <v>2</v>
      </c>
      <c r="M193" s="14">
        <v>888.3</v>
      </c>
      <c r="N193" s="14" t="s">
        <v>850</v>
      </c>
    </row>
    <row r="194" spans="1:14">
      <c r="A194" s="12" t="s">
        <v>2125</v>
      </c>
      <c r="B194" s="12" t="s">
        <v>1699</v>
      </c>
      <c r="C194" s="12" t="s">
        <v>1755</v>
      </c>
      <c r="D194" s="12" t="s">
        <v>18</v>
      </c>
      <c r="E194" s="12" t="s">
        <v>1654</v>
      </c>
      <c r="F194" s="12">
        <v>18.09</v>
      </c>
      <c r="G194" s="12">
        <v>23.39</v>
      </c>
      <c r="H194" s="13" t="s">
        <v>2126</v>
      </c>
      <c r="I194" s="13" t="s">
        <v>2127</v>
      </c>
      <c r="J194" s="12"/>
      <c r="K194" s="12" t="s">
        <v>1632</v>
      </c>
      <c r="L194" s="12">
        <v>17</v>
      </c>
      <c r="M194" s="12">
        <v>2668.3</v>
      </c>
      <c r="N194" s="12" t="s">
        <v>515</v>
      </c>
    </row>
    <row r="195" spans="1:14">
      <c r="A195" s="14" t="s">
        <v>2128</v>
      </c>
      <c r="B195" s="14" t="s">
        <v>1729</v>
      </c>
      <c r="C195" s="14" t="s">
        <v>1675</v>
      </c>
      <c r="D195" s="14" t="s">
        <v>172</v>
      </c>
      <c r="E195" s="14" t="s">
        <v>1687</v>
      </c>
      <c r="F195" s="14">
        <v>123.7</v>
      </c>
      <c r="G195" s="14">
        <v>111.46</v>
      </c>
      <c r="H195" s="15" t="s">
        <v>803</v>
      </c>
      <c r="I195" s="15" t="s">
        <v>920</v>
      </c>
      <c r="J195" s="14"/>
      <c r="K195" s="14" t="s">
        <v>1632</v>
      </c>
      <c r="L195" s="14">
        <v>22</v>
      </c>
      <c r="M195" s="14">
        <v>18222.2</v>
      </c>
      <c r="N195" s="14" t="s">
        <v>1085</v>
      </c>
    </row>
    <row r="196" spans="1:14">
      <c r="A196" s="12" t="s">
        <v>2129</v>
      </c>
      <c r="B196" s="12" t="s">
        <v>1672</v>
      </c>
      <c r="C196" s="12" t="s">
        <v>1831</v>
      </c>
      <c r="D196" s="12" t="s">
        <v>70</v>
      </c>
      <c r="E196" s="12" t="s">
        <v>1734</v>
      </c>
      <c r="F196" s="12">
        <v>198.32</v>
      </c>
      <c r="G196" s="12">
        <v>158.27000000000001</v>
      </c>
      <c r="H196" s="13" t="s">
        <v>2130</v>
      </c>
      <c r="I196" s="13" t="s">
        <v>2131</v>
      </c>
      <c r="J196" s="12"/>
      <c r="K196" s="12" t="s">
        <v>1625</v>
      </c>
      <c r="L196" s="12">
        <v>16</v>
      </c>
      <c r="M196" s="12">
        <v>5206.1000000000004</v>
      </c>
      <c r="N196" s="12" t="s">
        <v>1513</v>
      </c>
    </row>
    <row r="197" spans="1:14">
      <c r="A197" s="14" t="s">
        <v>2132</v>
      </c>
      <c r="B197" s="14" t="s">
        <v>1792</v>
      </c>
      <c r="C197" s="14" t="s">
        <v>1622</v>
      </c>
      <c r="D197" s="14" t="s">
        <v>32</v>
      </c>
      <c r="E197" s="14" t="s">
        <v>1654</v>
      </c>
      <c r="F197" s="14">
        <v>135.26</v>
      </c>
      <c r="G197" s="14">
        <v>118.26</v>
      </c>
      <c r="H197" s="15" t="s">
        <v>2133</v>
      </c>
      <c r="I197" s="15" t="s">
        <v>2134</v>
      </c>
      <c r="J197" s="14"/>
      <c r="K197" s="14" t="s">
        <v>1614</v>
      </c>
      <c r="L197" s="14">
        <v>22</v>
      </c>
      <c r="M197" s="14">
        <v>18681.8</v>
      </c>
      <c r="N197" s="14" t="s">
        <v>749</v>
      </c>
    </row>
    <row r="198" spans="1:14">
      <c r="A198" s="12" t="s">
        <v>2135</v>
      </c>
      <c r="B198" s="12" t="s">
        <v>1663</v>
      </c>
      <c r="C198" s="12" t="s">
        <v>1622</v>
      </c>
      <c r="D198" s="12" t="s">
        <v>114</v>
      </c>
      <c r="E198" s="12" t="s">
        <v>1740</v>
      </c>
      <c r="F198" s="12">
        <v>148.24</v>
      </c>
      <c r="G198" s="12">
        <v>168.85</v>
      </c>
      <c r="H198" s="13" t="s">
        <v>2136</v>
      </c>
      <c r="I198" s="13" t="s">
        <v>2137</v>
      </c>
      <c r="J198" s="12"/>
      <c r="K198" s="12" t="s">
        <v>1632</v>
      </c>
      <c r="L198" s="12">
        <v>11</v>
      </c>
      <c r="M198" s="12">
        <v>9896</v>
      </c>
      <c r="N198" s="12" t="s">
        <v>898</v>
      </c>
    </row>
    <row r="199" spans="1:14">
      <c r="A199" s="14" t="s">
        <v>2138</v>
      </c>
      <c r="B199" s="14" t="s">
        <v>1663</v>
      </c>
      <c r="C199" s="14" t="s">
        <v>1658</v>
      </c>
      <c r="D199" s="14" t="s">
        <v>18</v>
      </c>
      <c r="E199" s="14" t="s">
        <v>1682</v>
      </c>
      <c r="F199" s="14"/>
      <c r="G199" s="14">
        <v>164.3</v>
      </c>
      <c r="H199" s="15" t="s">
        <v>321</v>
      </c>
      <c r="I199" s="15" t="s">
        <v>2085</v>
      </c>
      <c r="J199" s="14"/>
      <c r="K199" s="14" t="s">
        <v>1625</v>
      </c>
      <c r="L199" s="14">
        <v>17</v>
      </c>
      <c r="M199" s="14">
        <v>5880.5</v>
      </c>
      <c r="N199" s="14" t="s">
        <v>121</v>
      </c>
    </row>
    <row r="200" spans="1:14">
      <c r="A200" s="12" t="s">
        <v>2139</v>
      </c>
      <c r="B200" s="12" t="s">
        <v>1729</v>
      </c>
      <c r="C200" s="12" t="s">
        <v>1616</v>
      </c>
      <c r="D200" s="12" t="s">
        <v>172</v>
      </c>
      <c r="E200" s="12" t="s">
        <v>1650</v>
      </c>
      <c r="F200" s="12">
        <v>15.66</v>
      </c>
      <c r="G200" s="12">
        <v>20.07</v>
      </c>
      <c r="H200" s="13" t="s">
        <v>2140</v>
      </c>
      <c r="I200" s="13" t="s">
        <v>2141</v>
      </c>
      <c r="J200" s="12"/>
      <c r="K200" s="12" t="s">
        <v>1632</v>
      </c>
      <c r="L200" s="12">
        <v>24</v>
      </c>
      <c r="M200" s="12">
        <v>6093</v>
      </c>
      <c r="N200" s="12" t="s">
        <v>296</v>
      </c>
    </row>
    <row r="201" spans="1:14">
      <c r="A201" s="14" t="s">
        <v>2142</v>
      </c>
      <c r="B201" s="14" t="s">
        <v>1653</v>
      </c>
      <c r="C201" s="14" t="s">
        <v>1730</v>
      </c>
      <c r="D201" s="14" t="s">
        <v>65</v>
      </c>
      <c r="E201" s="14" t="s">
        <v>1734</v>
      </c>
      <c r="F201" s="14">
        <v>199.84</v>
      </c>
      <c r="G201" s="14">
        <v>173.85</v>
      </c>
      <c r="H201" s="15" t="s">
        <v>2143</v>
      </c>
      <c r="I201" s="15" t="s">
        <v>2144</v>
      </c>
      <c r="J201" s="14" t="s">
        <v>2145</v>
      </c>
      <c r="K201" s="14" t="s">
        <v>1638</v>
      </c>
      <c r="L201" s="14">
        <v>11</v>
      </c>
      <c r="M201" s="14">
        <v>1598.1</v>
      </c>
      <c r="N201" s="14" t="s">
        <v>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607F-2525-478C-B9B8-0A259D512DC2}">
  <dimension ref="A1:I2151"/>
  <sheetViews>
    <sheetView workbookViewId="0">
      <selection sqref="A1:A2151"/>
    </sheetView>
  </sheetViews>
  <sheetFormatPr defaultRowHeight="15"/>
  <cols>
    <col min="1" max="1" width="10.7109375" style="6" customWidth="1"/>
    <col min="2" max="2" width="12.28515625" style="6" customWidth="1"/>
    <col min="3" max="3" width="12.140625" style="6" customWidth="1"/>
    <col min="4" max="4" width="11.85546875" customWidth="1"/>
    <col min="5" max="5" width="8.28515625" style="6" customWidth="1"/>
    <col min="6" max="6" width="6.85546875" style="6" customWidth="1"/>
    <col min="7" max="7" width="10.5703125" style="6" customWidth="1"/>
    <col min="8" max="8" width="10.85546875" style="6" customWidth="1"/>
    <col min="9" max="9" width="16.140625" customWidth="1"/>
  </cols>
  <sheetData>
    <row r="1" spans="1:9" ht="24">
      <c r="A1" s="10" t="s">
        <v>0</v>
      </c>
      <c r="B1" s="10" t="s">
        <v>2146</v>
      </c>
      <c r="C1" s="10" t="s">
        <v>2147</v>
      </c>
      <c r="D1" s="10" t="s">
        <v>2148</v>
      </c>
      <c r="E1" s="10" t="s">
        <v>2149</v>
      </c>
      <c r="F1" s="10" t="s">
        <v>2150</v>
      </c>
      <c r="G1" s="10" t="s">
        <v>1604</v>
      </c>
      <c r="H1" s="10" t="s">
        <v>2151</v>
      </c>
      <c r="I1" s="16"/>
    </row>
    <row r="2" spans="1:9">
      <c r="A2" s="19" t="s">
        <v>303</v>
      </c>
      <c r="B2" s="19" t="s">
        <v>2152</v>
      </c>
      <c r="C2" s="19" t="s">
        <v>2038</v>
      </c>
      <c r="D2" s="17">
        <v>0.34791666666666665</v>
      </c>
      <c r="E2" s="19" t="s">
        <v>2153</v>
      </c>
      <c r="F2" s="19">
        <v>6.9</v>
      </c>
      <c r="G2" s="19" t="s">
        <v>2154</v>
      </c>
      <c r="H2" s="19" t="s">
        <v>2155</v>
      </c>
    </row>
    <row r="3" spans="1:9">
      <c r="A3" s="18" t="s">
        <v>303</v>
      </c>
      <c r="B3" s="18" t="s">
        <v>2156</v>
      </c>
      <c r="C3" s="18" t="s">
        <v>2157</v>
      </c>
      <c r="D3" s="18" t="s">
        <v>2158</v>
      </c>
      <c r="E3" s="18" t="s">
        <v>2159</v>
      </c>
      <c r="F3" s="18">
        <v>7.78</v>
      </c>
      <c r="G3" s="18" t="s">
        <v>2154</v>
      </c>
      <c r="H3" s="18" t="s">
        <v>2160</v>
      </c>
    </row>
    <row r="4" spans="1:9">
      <c r="A4" s="19" t="s">
        <v>303</v>
      </c>
      <c r="B4" s="19" t="s">
        <v>2161</v>
      </c>
      <c r="C4" s="19" t="s">
        <v>2162</v>
      </c>
      <c r="D4" s="19"/>
      <c r="E4" s="19"/>
      <c r="F4" s="19"/>
      <c r="G4" s="19" t="s">
        <v>2163</v>
      </c>
      <c r="H4" s="19" t="s">
        <v>2155</v>
      </c>
    </row>
    <row r="5" spans="1:9">
      <c r="A5" s="18" t="s">
        <v>303</v>
      </c>
      <c r="B5" s="18" t="s">
        <v>2164</v>
      </c>
      <c r="C5" s="18" t="s">
        <v>1937</v>
      </c>
      <c r="D5" s="18" t="s">
        <v>2165</v>
      </c>
      <c r="E5" s="18" t="s">
        <v>2166</v>
      </c>
      <c r="F5" s="18">
        <v>9.99</v>
      </c>
      <c r="G5" s="18" t="s">
        <v>2154</v>
      </c>
      <c r="H5" s="18" t="s">
        <v>2155</v>
      </c>
    </row>
    <row r="6" spans="1:9">
      <c r="A6" s="19" t="s">
        <v>303</v>
      </c>
      <c r="B6" s="19" t="s">
        <v>2167</v>
      </c>
      <c r="C6" s="19" t="s">
        <v>2168</v>
      </c>
      <c r="D6" s="19" t="s">
        <v>2169</v>
      </c>
      <c r="E6" s="19" t="s">
        <v>2170</v>
      </c>
      <c r="F6" s="19">
        <v>10.75</v>
      </c>
      <c r="G6" s="19" t="s">
        <v>2154</v>
      </c>
      <c r="H6" s="19" t="s">
        <v>2171</v>
      </c>
    </row>
    <row r="7" spans="1:9">
      <c r="A7" s="18" t="s">
        <v>303</v>
      </c>
      <c r="B7" s="18" t="s">
        <v>2172</v>
      </c>
      <c r="C7" s="18" t="s">
        <v>2173</v>
      </c>
      <c r="D7" s="18" t="s">
        <v>2174</v>
      </c>
      <c r="E7" s="18" t="s">
        <v>2175</v>
      </c>
      <c r="F7" s="18">
        <v>7.23</v>
      </c>
      <c r="G7" s="18" t="s">
        <v>2154</v>
      </c>
      <c r="H7" s="18" t="s">
        <v>2155</v>
      </c>
    </row>
    <row r="8" spans="1:9">
      <c r="A8" s="19" t="s">
        <v>303</v>
      </c>
      <c r="B8" s="19" t="s">
        <v>2176</v>
      </c>
      <c r="C8" s="19" t="s">
        <v>2177</v>
      </c>
      <c r="D8" s="19" t="s">
        <v>2178</v>
      </c>
      <c r="E8" s="19" t="s">
        <v>2179</v>
      </c>
      <c r="F8" s="19">
        <v>11.44</v>
      </c>
      <c r="G8" s="19" t="s">
        <v>2154</v>
      </c>
      <c r="H8" s="19" t="s">
        <v>2160</v>
      </c>
    </row>
    <row r="9" spans="1:9">
      <c r="A9" s="18" t="s">
        <v>303</v>
      </c>
      <c r="B9" s="18" t="s">
        <v>2180</v>
      </c>
      <c r="C9" s="18" t="s">
        <v>1945</v>
      </c>
      <c r="D9" s="18" t="s">
        <v>2181</v>
      </c>
      <c r="E9" s="18" t="s">
        <v>2182</v>
      </c>
      <c r="F9" s="18">
        <v>6.6</v>
      </c>
      <c r="G9" s="18" t="s">
        <v>2154</v>
      </c>
      <c r="H9" s="18" t="s">
        <v>2155</v>
      </c>
    </row>
    <row r="10" spans="1:9">
      <c r="A10" s="19" t="s">
        <v>303</v>
      </c>
      <c r="B10" s="19" t="s">
        <v>2183</v>
      </c>
      <c r="C10" s="19" t="s">
        <v>2184</v>
      </c>
      <c r="D10" s="19" t="s">
        <v>2185</v>
      </c>
      <c r="E10" s="19" t="s">
        <v>2186</v>
      </c>
      <c r="F10" s="19">
        <v>9.8699999999999992</v>
      </c>
      <c r="G10" s="19" t="s">
        <v>2154</v>
      </c>
      <c r="H10" s="19" t="s">
        <v>2187</v>
      </c>
    </row>
    <row r="11" spans="1:9">
      <c r="A11" s="18" t="s">
        <v>303</v>
      </c>
      <c r="B11" s="18" t="s">
        <v>2188</v>
      </c>
      <c r="C11" s="18" t="s">
        <v>2189</v>
      </c>
      <c r="D11" s="18" t="s">
        <v>2190</v>
      </c>
      <c r="E11" s="18" t="s">
        <v>2191</v>
      </c>
      <c r="F11" s="18">
        <v>6.69</v>
      </c>
      <c r="G11" s="18" t="s">
        <v>2154</v>
      </c>
      <c r="H11" s="18" t="s">
        <v>2171</v>
      </c>
    </row>
    <row r="12" spans="1:9">
      <c r="A12" s="19" t="s">
        <v>303</v>
      </c>
      <c r="B12" s="19" t="s">
        <v>2192</v>
      </c>
      <c r="C12" s="19" t="s">
        <v>2193</v>
      </c>
      <c r="D12" s="19" t="s">
        <v>2194</v>
      </c>
      <c r="E12" s="19" t="s">
        <v>2195</v>
      </c>
      <c r="F12" s="19">
        <v>9.3800000000000008</v>
      </c>
      <c r="G12" s="19" t="s">
        <v>2154</v>
      </c>
      <c r="H12" s="19" t="s">
        <v>2171</v>
      </c>
    </row>
    <row r="13" spans="1:9">
      <c r="A13" s="18" t="s">
        <v>303</v>
      </c>
      <c r="B13" s="18" t="s">
        <v>2196</v>
      </c>
      <c r="C13" s="18" t="s">
        <v>2197</v>
      </c>
      <c r="D13" s="18" t="s">
        <v>2198</v>
      </c>
      <c r="E13" s="18" t="s">
        <v>2199</v>
      </c>
      <c r="F13" s="18">
        <v>10.029999999999999</v>
      </c>
      <c r="G13" s="18" t="s">
        <v>2154</v>
      </c>
      <c r="H13" s="18" t="s">
        <v>2160</v>
      </c>
    </row>
    <row r="14" spans="1:9">
      <c r="A14" s="19" t="s">
        <v>303</v>
      </c>
      <c r="B14" s="19" t="s">
        <v>2200</v>
      </c>
      <c r="C14" s="19" t="s">
        <v>1819</v>
      </c>
      <c r="D14" s="19" t="s">
        <v>2201</v>
      </c>
      <c r="E14" s="19" t="s">
        <v>2202</v>
      </c>
      <c r="F14" s="19">
        <v>9.92</v>
      </c>
      <c r="G14" s="19" t="s">
        <v>2154</v>
      </c>
      <c r="H14" s="19" t="s">
        <v>2171</v>
      </c>
    </row>
    <row r="15" spans="1:9">
      <c r="A15" s="18" t="s">
        <v>303</v>
      </c>
      <c r="B15" s="18" t="s">
        <v>2203</v>
      </c>
      <c r="C15" s="18" t="s">
        <v>2204</v>
      </c>
      <c r="D15" s="18" t="s">
        <v>2205</v>
      </c>
      <c r="E15" s="18" t="s">
        <v>2206</v>
      </c>
      <c r="F15" s="18">
        <v>11.21</v>
      </c>
      <c r="G15" s="18" t="s">
        <v>2154</v>
      </c>
      <c r="H15" s="18" t="s">
        <v>2171</v>
      </c>
    </row>
    <row r="16" spans="1:9">
      <c r="A16" s="19" t="s">
        <v>303</v>
      </c>
      <c r="B16" s="19" t="s">
        <v>2207</v>
      </c>
      <c r="C16" s="19" t="s">
        <v>1843</v>
      </c>
      <c r="D16" s="19" t="s">
        <v>2208</v>
      </c>
      <c r="E16" s="19" t="s">
        <v>2209</v>
      </c>
      <c r="F16" s="19">
        <v>10.73</v>
      </c>
      <c r="G16" s="19" t="s">
        <v>2154</v>
      </c>
      <c r="H16" s="19" t="s">
        <v>2187</v>
      </c>
    </row>
    <row r="17" spans="1:8">
      <c r="A17" s="18" t="s">
        <v>303</v>
      </c>
      <c r="B17" s="18" t="s">
        <v>2210</v>
      </c>
      <c r="C17" s="18" t="s">
        <v>2211</v>
      </c>
      <c r="D17" s="18" t="s">
        <v>2212</v>
      </c>
      <c r="E17" s="18" t="s">
        <v>2213</v>
      </c>
      <c r="F17" s="18">
        <v>10.16</v>
      </c>
      <c r="G17" s="18" t="s">
        <v>2154</v>
      </c>
      <c r="H17" s="18" t="s">
        <v>2160</v>
      </c>
    </row>
    <row r="18" spans="1:8">
      <c r="A18" s="19" t="s">
        <v>303</v>
      </c>
      <c r="B18" s="19" t="s">
        <v>2214</v>
      </c>
      <c r="C18" s="19" t="s">
        <v>2215</v>
      </c>
      <c r="D18" s="19" t="s">
        <v>2216</v>
      </c>
      <c r="E18" s="19" t="s">
        <v>2217</v>
      </c>
      <c r="F18" s="19">
        <v>8.2799999999999994</v>
      </c>
      <c r="G18" s="19" t="s">
        <v>2154</v>
      </c>
      <c r="H18" s="19" t="s">
        <v>2187</v>
      </c>
    </row>
    <row r="19" spans="1:8">
      <c r="A19" s="18" t="s">
        <v>303</v>
      </c>
      <c r="B19" s="18" t="s">
        <v>2218</v>
      </c>
      <c r="C19" s="18" t="s">
        <v>2219</v>
      </c>
      <c r="D19" s="18"/>
      <c r="E19" s="18"/>
      <c r="F19" s="18"/>
      <c r="G19" s="18" t="s">
        <v>2220</v>
      </c>
      <c r="H19" s="18" t="s">
        <v>2155</v>
      </c>
    </row>
    <row r="20" spans="1:8">
      <c r="A20" s="19" t="s">
        <v>303</v>
      </c>
      <c r="B20" s="19" t="s">
        <v>2221</v>
      </c>
      <c r="C20" s="19" t="s">
        <v>2222</v>
      </c>
      <c r="D20" s="19" t="s">
        <v>2223</v>
      </c>
      <c r="E20" s="19" t="s">
        <v>2224</v>
      </c>
      <c r="F20" s="19">
        <v>11.18</v>
      </c>
      <c r="G20" s="19" t="s">
        <v>2154</v>
      </c>
      <c r="H20" s="19" t="s">
        <v>2155</v>
      </c>
    </row>
    <row r="21" spans="1:8">
      <c r="A21" s="18" t="s">
        <v>303</v>
      </c>
      <c r="B21" s="18" t="s">
        <v>2225</v>
      </c>
      <c r="C21" s="18" t="s">
        <v>2226</v>
      </c>
      <c r="D21" s="18" t="s">
        <v>2227</v>
      </c>
      <c r="E21" s="18" t="s">
        <v>2228</v>
      </c>
      <c r="F21" s="18">
        <v>7.89</v>
      </c>
      <c r="G21" s="18" t="s">
        <v>2154</v>
      </c>
      <c r="H21" s="18" t="s">
        <v>2171</v>
      </c>
    </row>
    <row r="22" spans="1:8">
      <c r="A22" s="19" t="s">
        <v>303</v>
      </c>
      <c r="B22" s="19" t="s">
        <v>2229</v>
      </c>
      <c r="C22" s="19" t="s">
        <v>2230</v>
      </c>
      <c r="D22" s="19" t="s">
        <v>2231</v>
      </c>
      <c r="E22" s="19" t="s">
        <v>2232</v>
      </c>
      <c r="F22" s="19">
        <v>10.33</v>
      </c>
      <c r="G22" s="19" t="s">
        <v>2154</v>
      </c>
      <c r="H22" s="19" t="s">
        <v>2187</v>
      </c>
    </row>
    <row r="23" spans="1:8">
      <c r="A23" s="18" t="s">
        <v>303</v>
      </c>
      <c r="B23" s="18" t="s">
        <v>2233</v>
      </c>
      <c r="C23" s="18" t="s">
        <v>2234</v>
      </c>
      <c r="D23" s="18" t="s">
        <v>2235</v>
      </c>
      <c r="E23" s="18" t="s">
        <v>2236</v>
      </c>
      <c r="F23" s="18">
        <v>7.45</v>
      </c>
      <c r="G23" s="18" t="s">
        <v>2154</v>
      </c>
      <c r="H23" s="18" t="s">
        <v>2155</v>
      </c>
    </row>
    <row r="24" spans="1:8">
      <c r="A24" s="19" t="s">
        <v>303</v>
      </c>
      <c r="B24" s="19" t="s">
        <v>2237</v>
      </c>
      <c r="C24" s="19" t="s">
        <v>2238</v>
      </c>
      <c r="D24" s="19" t="s">
        <v>2216</v>
      </c>
      <c r="E24" s="19" t="s">
        <v>2239</v>
      </c>
      <c r="F24" s="19">
        <v>9.82</v>
      </c>
      <c r="G24" s="19" t="s">
        <v>2154</v>
      </c>
      <c r="H24" s="19" t="s">
        <v>2155</v>
      </c>
    </row>
    <row r="25" spans="1:8">
      <c r="A25" s="18" t="s">
        <v>303</v>
      </c>
      <c r="B25" s="18" t="s">
        <v>2240</v>
      </c>
      <c r="C25" s="18" t="s">
        <v>2241</v>
      </c>
      <c r="D25" s="18" t="s">
        <v>2242</v>
      </c>
      <c r="E25" s="18" t="s">
        <v>2243</v>
      </c>
      <c r="F25" s="18">
        <v>9.0500000000000007</v>
      </c>
      <c r="G25" s="18" t="s">
        <v>2154</v>
      </c>
      <c r="H25" s="18" t="s">
        <v>2187</v>
      </c>
    </row>
    <row r="26" spans="1:8">
      <c r="A26" s="19" t="s">
        <v>303</v>
      </c>
      <c r="B26" s="19" t="s">
        <v>2244</v>
      </c>
      <c r="C26" s="19" t="s">
        <v>2245</v>
      </c>
      <c r="D26" s="19" t="s">
        <v>2246</v>
      </c>
      <c r="E26" s="19" t="s">
        <v>2247</v>
      </c>
      <c r="F26" s="19">
        <v>7.62</v>
      </c>
      <c r="G26" s="19" t="s">
        <v>2154</v>
      </c>
      <c r="H26" s="19" t="s">
        <v>2160</v>
      </c>
    </row>
    <row r="27" spans="1:8">
      <c r="A27" s="18" t="s">
        <v>303</v>
      </c>
      <c r="B27" s="18" t="s">
        <v>2248</v>
      </c>
      <c r="C27" s="18" t="s">
        <v>2249</v>
      </c>
      <c r="D27" s="18" t="s">
        <v>2205</v>
      </c>
      <c r="E27" s="18" t="s">
        <v>2250</v>
      </c>
      <c r="F27" s="18">
        <v>7.45</v>
      </c>
      <c r="G27" s="18" t="s">
        <v>2154</v>
      </c>
      <c r="H27" s="18" t="s">
        <v>2171</v>
      </c>
    </row>
    <row r="28" spans="1:8">
      <c r="A28" s="19" t="s">
        <v>303</v>
      </c>
      <c r="B28" s="19" t="s">
        <v>2251</v>
      </c>
      <c r="C28" s="19" t="s">
        <v>2252</v>
      </c>
      <c r="D28" s="19" t="s">
        <v>2253</v>
      </c>
      <c r="E28" s="19" t="s">
        <v>2254</v>
      </c>
      <c r="F28" s="19">
        <v>9.31</v>
      </c>
      <c r="G28" s="19" t="s">
        <v>2154</v>
      </c>
      <c r="H28" s="19" t="s">
        <v>2187</v>
      </c>
    </row>
    <row r="29" spans="1:8">
      <c r="A29" s="18" t="s">
        <v>303</v>
      </c>
      <c r="B29" s="18" t="s">
        <v>2255</v>
      </c>
      <c r="C29" s="18" t="s">
        <v>2256</v>
      </c>
      <c r="D29" s="18" t="s">
        <v>2257</v>
      </c>
      <c r="E29" s="18" t="s">
        <v>2258</v>
      </c>
      <c r="F29" s="18">
        <v>8.44</v>
      </c>
      <c r="G29" s="18" t="s">
        <v>2154</v>
      </c>
      <c r="H29" s="18" t="s">
        <v>2187</v>
      </c>
    </row>
    <row r="30" spans="1:8">
      <c r="A30" s="19" t="s">
        <v>303</v>
      </c>
      <c r="B30" s="19" t="s">
        <v>2259</v>
      </c>
      <c r="C30" s="19" t="s">
        <v>2260</v>
      </c>
      <c r="D30" s="19" t="s">
        <v>2261</v>
      </c>
      <c r="E30" s="19" t="s">
        <v>2262</v>
      </c>
      <c r="F30" s="19">
        <v>7.26</v>
      </c>
      <c r="G30" s="19" t="s">
        <v>2154</v>
      </c>
      <c r="H30" s="19" t="s">
        <v>2160</v>
      </c>
    </row>
    <row r="31" spans="1:8">
      <c r="A31" s="18" t="s">
        <v>303</v>
      </c>
      <c r="B31" s="18" t="s">
        <v>2263</v>
      </c>
      <c r="C31" s="18" t="s">
        <v>2264</v>
      </c>
      <c r="D31" s="18" t="s">
        <v>2208</v>
      </c>
      <c r="E31" s="18" t="s">
        <v>2209</v>
      </c>
      <c r="F31" s="18">
        <v>10.71</v>
      </c>
      <c r="G31" s="18" t="s">
        <v>2154</v>
      </c>
      <c r="H31" s="18" t="s">
        <v>2155</v>
      </c>
    </row>
    <row r="32" spans="1:8">
      <c r="A32" s="19" t="s">
        <v>303</v>
      </c>
      <c r="B32" s="19" t="s">
        <v>2265</v>
      </c>
      <c r="C32" s="19" t="s">
        <v>1948</v>
      </c>
      <c r="D32" s="19" t="s">
        <v>2266</v>
      </c>
      <c r="E32" s="19" t="s">
        <v>2267</v>
      </c>
      <c r="F32" s="19">
        <v>8.59</v>
      </c>
      <c r="G32" s="19" t="s">
        <v>2154</v>
      </c>
      <c r="H32" s="19" t="s">
        <v>2155</v>
      </c>
    </row>
    <row r="33" spans="1:8">
      <c r="A33" s="18" t="s">
        <v>303</v>
      </c>
      <c r="B33" s="18" t="s">
        <v>2268</v>
      </c>
      <c r="C33" s="18" t="s">
        <v>2269</v>
      </c>
      <c r="D33" s="18" t="s">
        <v>2270</v>
      </c>
      <c r="E33" s="18" t="s">
        <v>2271</v>
      </c>
      <c r="F33" s="18">
        <v>9.27</v>
      </c>
      <c r="G33" s="18" t="s">
        <v>2154</v>
      </c>
      <c r="H33" s="18" t="s">
        <v>2171</v>
      </c>
    </row>
    <row r="34" spans="1:8">
      <c r="A34" s="19" t="s">
        <v>303</v>
      </c>
      <c r="B34" s="19" t="s">
        <v>2272</v>
      </c>
      <c r="C34" s="19" t="s">
        <v>2273</v>
      </c>
      <c r="D34" s="19" t="s">
        <v>2274</v>
      </c>
      <c r="E34" s="19" t="s">
        <v>2275</v>
      </c>
      <c r="F34" s="19">
        <v>7.4</v>
      </c>
      <c r="G34" s="19" t="s">
        <v>2154</v>
      </c>
      <c r="H34" s="19" t="s">
        <v>2155</v>
      </c>
    </row>
    <row r="35" spans="1:8">
      <c r="A35" s="18" t="s">
        <v>303</v>
      </c>
      <c r="B35" s="18" t="s">
        <v>2276</v>
      </c>
      <c r="C35" s="18" t="s">
        <v>2277</v>
      </c>
      <c r="D35" s="18" t="s">
        <v>2278</v>
      </c>
      <c r="E35" s="18" t="s">
        <v>2279</v>
      </c>
      <c r="F35" s="18">
        <v>6.6</v>
      </c>
      <c r="G35" s="18" t="s">
        <v>2154</v>
      </c>
      <c r="H35" s="18" t="s">
        <v>2155</v>
      </c>
    </row>
    <row r="36" spans="1:8">
      <c r="A36" s="19" t="s">
        <v>303</v>
      </c>
      <c r="B36" s="19" t="s">
        <v>2280</v>
      </c>
      <c r="C36" s="19" t="s">
        <v>2281</v>
      </c>
      <c r="D36" s="19" t="s">
        <v>2282</v>
      </c>
      <c r="E36" s="19" t="s">
        <v>2283</v>
      </c>
      <c r="F36" s="19">
        <v>9.48</v>
      </c>
      <c r="G36" s="19" t="s">
        <v>2154</v>
      </c>
      <c r="H36" s="19" t="s">
        <v>2160</v>
      </c>
    </row>
    <row r="37" spans="1:8">
      <c r="A37" s="18" t="s">
        <v>303</v>
      </c>
      <c r="B37" s="18" t="s">
        <v>2284</v>
      </c>
      <c r="C37" s="18" t="s">
        <v>2285</v>
      </c>
      <c r="D37" s="18" t="s">
        <v>2286</v>
      </c>
      <c r="E37" s="18" t="s">
        <v>2287</v>
      </c>
      <c r="F37" s="18">
        <v>11.49</v>
      </c>
      <c r="G37" s="18" t="s">
        <v>2154</v>
      </c>
      <c r="H37" s="18" t="s">
        <v>2155</v>
      </c>
    </row>
    <row r="38" spans="1:8">
      <c r="A38" s="19" t="s">
        <v>303</v>
      </c>
      <c r="B38" s="19" t="s">
        <v>2288</v>
      </c>
      <c r="C38" s="19" t="s">
        <v>2289</v>
      </c>
      <c r="D38" s="19" t="s">
        <v>2290</v>
      </c>
      <c r="E38" s="19" t="s">
        <v>2291</v>
      </c>
      <c r="F38" s="19">
        <v>9.1300000000000008</v>
      </c>
      <c r="G38" s="19" t="s">
        <v>2154</v>
      </c>
      <c r="H38" s="19" t="s">
        <v>2171</v>
      </c>
    </row>
    <row r="39" spans="1:8">
      <c r="A39" s="18" t="s">
        <v>303</v>
      </c>
      <c r="B39" s="18" t="s">
        <v>2292</v>
      </c>
      <c r="C39" s="18" t="s">
        <v>2293</v>
      </c>
      <c r="D39" s="18" t="s">
        <v>2227</v>
      </c>
      <c r="E39" s="18" t="s">
        <v>2294</v>
      </c>
      <c r="F39" s="18">
        <v>9.89</v>
      </c>
      <c r="G39" s="18" t="s">
        <v>2154</v>
      </c>
      <c r="H39" s="18" t="s">
        <v>2171</v>
      </c>
    </row>
    <row r="40" spans="1:8">
      <c r="A40" s="19" t="s">
        <v>303</v>
      </c>
      <c r="B40" s="19" t="s">
        <v>2295</v>
      </c>
      <c r="C40" s="19" t="s">
        <v>2296</v>
      </c>
      <c r="D40" s="19" t="s">
        <v>2297</v>
      </c>
      <c r="E40" s="19" t="s">
        <v>2298</v>
      </c>
      <c r="F40" s="19">
        <v>7.43</v>
      </c>
      <c r="G40" s="19" t="s">
        <v>2154</v>
      </c>
      <c r="H40" s="19" t="s">
        <v>2171</v>
      </c>
    </row>
    <row r="41" spans="1:8">
      <c r="A41" s="18" t="s">
        <v>303</v>
      </c>
      <c r="B41" s="18" t="s">
        <v>2299</v>
      </c>
      <c r="C41" s="18" t="s">
        <v>2300</v>
      </c>
      <c r="D41" s="18" t="s">
        <v>2301</v>
      </c>
      <c r="E41" s="18" t="s">
        <v>2302</v>
      </c>
      <c r="F41" s="18">
        <v>6.68</v>
      </c>
      <c r="G41" s="18" t="s">
        <v>2154</v>
      </c>
      <c r="H41" s="18" t="s">
        <v>2160</v>
      </c>
    </row>
    <row r="42" spans="1:8">
      <c r="A42" s="19" t="s">
        <v>303</v>
      </c>
      <c r="B42" s="19" t="s">
        <v>2303</v>
      </c>
      <c r="C42" s="19" t="s">
        <v>2144</v>
      </c>
      <c r="D42" s="19" t="s">
        <v>2304</v>
      </c>
      <c r="E42" s="19" t="s">
        <v>2305</v>
      </c>
      <c r="F42" s="19">
        <v>9.43</v>
      </c>
      <c r="G42" s="19" t="s">
        <v>2154</v>
      </c>
      <c r="H42" s="19" t="s">
        <v>2160</v>
      </c>
    </row>
    <row r="43" spans="1:8">
      <c r="A43" s="18" t="s">
        <v>303</v>
      </c>
      <c r="B43" s="18" t="s">
        <v>2306</v>
      </c>
      <c r="C43" s="18" t="s">
        <v>2307</v>
      </c>
      <c r="D43" s="18" t="s">
        <v>2308</v>
      </c>
      <c r="E43" s="18" t="s">
        <v>2309</v>
      </c>
      <c r="F43" s="18">
        <v>6.83</v>
      </c>
      <c r="G43" s="18" t="s">
        <v>2154</v>
      </c>
      <c r="H43" s="18" t="s">
        <v>2171</v>
      </c>
    </row>
    <row r="44" spans="1:8">
      <c r="A44" s="19" t="s">
        <v>303</v>
      </c>
      <c r="B44" s="19" t="s">
        <v>2310</v>
      </c>
      <c r="C44" s="19" t="s">
        <v>2311</v>
      </c>
      <c r="D44" s="19" t="s">
        <v>2181</v>
      </c>
      <c r="E44" s="19" t="s">
        <v>2312</v>
      </c>
      <c r="F44" s="19">
        <v>10.26</v>
      </c>
      <c r="G44" s="19" t="s">
        <v>2154</v>
      </c>
      <c r="H44" s="19" t="s">
        <v>2171</v>
      </c>
    </row>
    <row r="45" spans="1:8">
      <c r="A45" s="18" t="s">
        <v>259</v>
      </c>
      <c r="B45" s="18" t="s">
        <v>2313</v>
      </c>
      <c r="C45" s="18" t="s">
        <v>2038</v>
      </c>
      <c r="D45" s="18" t="s">
        <v>2314</v>
      </c>
      <c r="E45" s="18" t="s">
        <v>2315</v>
      </c>
      <c r="F45" s="18">
        <v>9.65</v>
      </c>
      <c r="G45" s="18" t="s">
        <v>2154</v>
      </c>
      <c r="H45" s="18" t="s">
        <v>2171</v>
      </c>
    </row>
    <row r="46" spans="1:8">
      <c r="A46" s="19" t="s">
        <v>259</v>
      </c>
      <c r="B46" s="19" t="s">
        <v>2316</v>
      </c>
      <c r="C46" s="19" t="s">
        <v>2157</v>
      </c>
      <c r="D46" s="19" t="s">
        <v>2216</v>
      </c>
      <c r="E46" s="19" t="s">
        <v>2317</v>
      </c>
      <c r="F46" s="19">
        <v>7.55</v>
      </c>
      <c r="G46" s="19" t="s">
        <v>2154</v>
      </c>
      <c r="H46" s="19" t="s">
        <v>2155</v>
      </c>
    </row>
    <row r="47" spans="1:8">
      <c r="A47" s="18" t="s">
        <v>259</v>
      </c>
      <c r="B47" s="18" t="s">
        <v>2318</v>
      </c>
      <c r="C47" s="18" t="s">
        <v>2162</v>
      </c>
      <c r="D47" s="18" t="s">
        <v>2319</v>
      </c>
      <c r="E47" s="18" t="s">
        <v>2320</v>
      </c>
      <c r="F47" s="18">
        <v>10.69</v>
      </c>
      <c r="G47" s="18" t="s">
        <v>2154</v>
      </c>
      <c r="H47" s="18" t="s">
        <v>2171</v>
      </c>
    </row>
    <row r="48" spans="1:8">
      <c r="A48" s="19" t="s">
        <v>259</v>
      </c>
      <c r="B48" s="19" t="s">
        <v>2321</v>
      </c>
      <c r="C48" s="19" t="s">
        <v>1937</v>
      </c>
      <c r="D48" s="19" t="s">
        <v>2253</v>
      </c>
      <c r="E48" s="19" t="s">
        <v>2254</v>
      </c>
      <c r="F48" s="19">
        <v>9.98</v>
      </c>
      <c r="G48" s="19" t="s">
        <v>2154</v>
      </c>
      <c r="H48" s="19" t="s">
        <v>2171</v>
      </c>
    </row>
    <row r="49" spans="1:8">
      <c r="A49" s="18" t="s">
        <v>259</v>
      </c>
      <c r="B49" s="18" t="s">
        <v>2322</v>
      </c>
      <c r="C49" s="18" t="s">
        <v>2168</v>
      </c>
      <c r="D49" s="18" t="s">
        <v>2323</v>
      </c>
      <c r="E49" s="18" t="s">
        <v>2324</v>
      </c>
      <c r="F49" s="18">
        <v>6.62</v>
      </c>
      <c r="G49" s="18" t="s">
        <v>2154</v>
      </c>
      <c r="H49" s="18" t="s">
        <v>2171</v>
      </c>
    </row>
    <row r="50" spans="1:8">
      <c r="A50" s="19" t="s">
        <v>259</v>
      </c>
      <c r="B50" s="19" t="s">
        <v>2325</v>
      </c>
      <c r="C50" s="19" t="s">
        <v>2173</v>
      </c>
      <c r="D50" s="19" t="s">
        <v>2326</v>
      </c>
      <c r="E50" s="19" t="s">
        <v>2327</v>
      </c>
      <c r="F50" s="19">
        <v>7.5</v>
      </c>
      <c r="G50" s="19" t="s">
        <v>2154</v>
      </c>
      <c r="H50" s="19" t="s">
        <v>2171</v>
      </c>
    </row>
    <row r="51" spans="1:8">
      <c r="A51" s="18" t="s">
        <v>259</v>
      </c>
      <c r="B51" s="18" t="s">
        <v>2328</v>
      </c>
      <c r="C51" s="18" t="s">
        <v>2177</v>
      </c>
      <c r="D51" s="18" t="s">
        <v>2169</v>
      </c>
      <c r="E51" s="18" t="s">
        <v>2329</v>
      </c>
      <c r="F51" s="18">
        <v>9.82</v>
      </c>
      <c r="G51" s="18" t="s">
        <v>2154</v>
      </c>
      <c r="H51" s="18" t="s">
        <v>2187</v>
      </c>
    </row>
    <row r="52" spans="1:8">
      <c r="A52" s="19" t="s">
        <v>259</v>
      </c>
      <c r="B52" s="19" t="s">
        <v>2330</v>
      </c>
      <c r="C52" s="19" t="s">
        <v>1945</v>
      </c>
      <c r="D52" s="19" t="s">
        <v>2331</v>
      </c>
      <c r="E52" s="19" t="s">
        <v>2332</v>
      </c>
      <c r="F52" s="19">
        <v>9.19</v>
      </c>
      <c r="G52" s="19" t="s">
        <v>2154</v>
      </c>
      <c r="H52" s="19" t="s">
        <v>2155</v>
      </c>
    </row>
    <row r="53" spans="1:8">
      <c r="A53" s="18" t="s">
        <v>259</v>
      </c>
      <c r="B53" s="18" t="s">
        <v>2333</v>
      </c>
      <c r="C53" s="18" t="s">
        <v>2184</v>
      </c>
      <c r="D53" s="18" t="s">
        <v>2314</v>
      </c>
      <c r="E53" s="18" t="s">
        <v>2334</v>
      </c>
      <c r="F53" s="18">
        <v>8.6199999999999992</v>
      </c>
      <c r="G53" s="18" t="s">
        <v>2154</v>
      </c>
      <c r="H53" s="18" t="s">
        <v>2160</v>
      </c>
    </row>
    <row r="54" spans="1:8">
      <c r="A54" s="19" t="s">
        <v>259</v>
      </c>
      <c r="B54" s="19" t="s">
        <v>2335</v>
      </c>
      <c r="C54" s="19" t="s">
        <v>2189</v>
      </c>
      <c r="D54" s="19" t="s">
        <v>2212</v>
      </c>
      <c r="E54" s="19" t="s">
        <v>2271</v>
      </c>
      <c r="F54" s="19">
        <v>8.48</v>
      </c>
      <c r="G54" s="19" t="s">
        <v>2154</v>
      </c>
      <c r="H54" s="19" t="s">
        <v>2160</v>
      </c>
    </row>
    <row r="55" spans="1:8">
      <c r="A55" s="18" t="s">
        <v>259</v>
      </c>
      <c r="B55" s="18" t="s">
        <v>2336</v>
      </c>
      <c r="C55" s="18" t="s">
        <v>2193</v>
      </c>
      <c r="D55" s="18" t="s">
        <v>2337</v>
      </c>
      <c r="E55" s="18" t="s">
        <v>2338</v>
      </c>
      <c r="F55" s="18">
        <v>7.74</v>
      </c>
      <c r="G55" s="18" t="s">
        <v>2154</v>
      </c>
      <c r="H55" s="18" t="s">
        <v>2155</v>
      </c>
    </row>
    <row r="56" spans="1:8">
      <c r="A56" s="19" t="s">
        <v>259</v>
      </c>
      <c r="B56" s="19" t="s">
        <v>2339</v>
      </c>
      <c r="C56" s="19" t="s">
        <v>2197</v>
      </c>
      <c r="D56" s="19" t="s">
        <v>2340</v>
      </c>
      <c r="E56" s="19" t="s">
        <v>2341</v>
      </c>
      <c r="F56" s="19">
        <v>6.51</v>
      </c>
      <c r="G56" s="19" t="s">
        <v>2154</v>
      </c>
      <c r="H56" s="19" t="s">
        <v>2171</v>
      </c>
    </row>
    <row r="57" spans="1:8">
      <c r="A57" s="18" t="s">
        <v>259</v>
      </c>
      <c r="B57" s="18" t="s">
        <v>2342</v>
      </c>
      <c r="C57" s="18" t="s">
        <v>1819</v>
      </c>
      <c r="D57" s="18"/>
      <c r="E57" s="18"/>
      <c r="F57" s="18"/>
      <c r="G57" s="18" t="s">
        <v>2343</v>
      </c>
      <c r="H57" s="18" t="s">
        <v>2171</v>
      </c>
    </row>
    <row r="58" spans="1:8">
      <c r="A58" s="19" t="s">
        <v>259</v>
      </c>
      <c r="B58" s="19" t="s">
        <v>2344</v>
      </c>
      <c r="C58" s="19" t="s">
        <v>2204</v>
      </c>
      <c r="D58" s="19" t="s">
        <v>2345</v>
      </c>
      <c r="E58" s="19" t="s">
        <v>2258</v>
      </c>
      <c r="F58" s="19">
        <v>7.08</v>
      </c>
      <c r="G58" s="19" t="s">
        <v>2154</v>
      </c>
      <c r="H58" s="19" t="s">
        <v>2187</v>
      </c>
    </row>
    <row r="59" spans="1:8">
      <c r="A59" s="18" t="s">
        <v>259</v>
      </c>
      <c r="B59" s="18" t="s">
        <v>2346</v>
      </c>
      <c r="C59" s="18" t="s">
        <v>1843</v>
      </c>
      <c r="D59" s="18" t="s">
        <v>2246</v>
      </c>
      <c r="E59" s="18" t="s">
        <v>2247</v>
      </c>
      <c r="F59" s="18">
        <v>7.7</v>
      </c>
      <c r="G59" s="18" t="s">
        <v>2154</v>
      </c>
      <c r="H59" s="18" t="s">
        <v>2171</v>
      </c>
    </row>
    <row r="60" spans="1:8">
      <c r="A60" s="19" t="s">
        <v>259</v>
      </c>
      <c r="B60" s="19" t="s">
        <v>2347</v>
      </c>
      <c r="C60" s="19" t="s">
        <v>2211</v>
      </c>
      <c r="D60" s="19" t="s">
        <v>2348</v>
      </c>
      <c r="E60" s="19" t="s">
        <v>2349</v>
      </c>
      <c r="F60" s="19">
        <v>9.57</v>
      </c>
      <c r="G60" s="19" t="s">
        <v>2154</v>
      </c>
      <c r="H60" s="19" t="s">
        <v>2155</v>
      </c>
    </row>
    <row r="61" spans="1:8">
      <c r="A61" s="18" t="s">
        <v>259</v>
      </c>
      <c r="B61" s="18" t="s">
        <v>2350</v>
      </c>
      <c r="C61" s="18" t="s">
        <v>2215</v>
      </c>
      <c r="D61" s="18" t="s">
        <v>2351</v>
      </c>
      <c r="E61" s="18" t="s">
        <v>2352</v>
      </c>
      <c r="F61" s="18">
        <v>10.48</v>
      </c>
      <c r="G61" s="18" t="s">
        <v>2154</v>
      </c>
      <c r="H61" s="18" t="s">
        <v>2171</v>
      </c>
    </row>
    <row r="62" spans="1:8">
      <c r="A62" s="19" t="s">
        <v>259</v>
      </c>
      <c r="B62" s="19" t="s">
        <v>2353</v>
      </c>
      <c r="C62" s="19" t="s">
        <v>2219</v>
      </c>
      <c r="D62" s="19" t="s">
        <v>2257</v>
      </c>
      <c r="E62" s="19" t="s">
        <v>2258</v>
      </c>
      <c r="F62" s="19">
        <v>8.99</v>
      </c>
      <c r="G62" s="19" t="s">
        <v>2154</v>
      </c>
      <c r="H62" s="19" t="s">
        <v>2155</v>
      </c>
    </row>
    <row r="63" spans="1:8">
      <c r="A63" s="18" t="s">
        <v>259</v>
      </c>
      <c r="B63" s="18" t="s">
        <v>2354</v>
      </c>
      <c r="C63" s="18" t="s">
        <v>2222</v>
      </c>
      <c r="D63" s="18" t="s">
        <v>2174</v>
      </c>
      <c r="E63" s="18" t="s">
        <v>2175</v>
      </c>
      <c r="F63" s="18">
        <v>7.9</v>
      </c>
      <c r="G63" s="18" t="s">
        <v>2154</v>
      </c>
      <c r="H63" s="18" t="s">
        <v>2160</v>
      </c>
    </row>
    <row r="64" spans="1:8">
      <c r="A64" s="19" t="s">
        <v>259</v>
      </c>
      <c r="B64" s="19" t="s">
        <v>2355</v>
      </c>
      <c r="C64" s="19" t="s">
        <v>2226</v>
      </c>
      <c r="D64" s="19" t="s">
        <v>2356</v>
      </c>
      <c r="E64" s="19" t="s">
        <v>2357</v>
      </c>
      <c r="F64" s="19">
        <v>10.09</v>
      </c>
      <c r="G64" s="19" t="s">
        <v>2154</v>
      </c>
      <c r="H64" s="19" t="s">
        <v>2155</v>
      </c>
    </row>
    <row r="65" spans="1:8">
      <c r="A65" s="18" t="s">
        <v>259</v>
      </c>
      <c r="B65" s="18" t="s">
        <v>2358</v>
      </c>
      <c r="C65" s="18" t="s">
        <v>2230</v>
      </c>
      <c r="D65" s="18" t="s">
        <v>2359</v>
      </c>
      <c r="E65" s="18" t="s">
        <v>2360</v>
      </c>
      <c r="F65" s="18">
        <v>11.43</v>
      </c>
      <c r="G65" s="18" t="s">
        <v>2154</v>
      </c>
      <c r="H65" s="18" t="s">
        <v>2155</v>
      </c>
    </row>
    <row r="66" spans="1:8">
      <c r="A66" s="19" t="s">
        <v>259</v>
      </c>
      <c r="B66" s="19" t="s">
        <v>2361</v>
      </c>
      <c r="C66" s="19" t="s">
        <v>2234</v>
      </c>
      <c r="D66" s="19" t="s">
        <v>2362</v>
      </c>
      <c r="E66" s="19" t="s">
        <v>2363</v>
      </c>
      <c r="F66" s="19">
        <v>10.4</v>
      </c>
      <c r="G66" s="19" t="s">
        <v>2154</v>
      </c>
      <c r="H66" s="19" t="s">
        <v>2171</v>
      </c>
    </row>
    <row r="67" spans="1:8">
      <c r="A67" s="18" t="s">
        <v>259</v>
      </c>
      <c r="B67" s="18" t="s">
        <v>2364</v>
      </c>
      <c r="C67" s="18" t="s">
        <v>2238</v>
      </c>
      <c r="D67" s="18" t="s">
        <v>2365</v>
      </c>
      <c r="E67" s="18" t="s">
        <v>2366</v>
      </c>
      <c r="F67" s="18">
        <v>7.4</v>
      </c>
      <c r="G67" s="18" t="s">
        <v>2154</v>
      </c>
      <c r="H67" s="18" t="s">
        <v>2160</v>
      </c>
    </row>
    <row r="68" spans="1:8">
      <c r="A68" s="19" t="s">
        <v>259</v>
      </c>
      <c r="B68" s="19" t="s">
        <v>2367</v>
      </c>
      <c r="C68" s="19" t="s">
        <v>2241</v>
      </c>
      <c r="D68" s="19" t="s">
        <v>2169</v>
      </c>
      <c r="E68" s="19" t="s">
        <v>2329</v>
      </c>
      <c r="F68" s="19">
        <v>9.42</v>
      </c>
      <c r="G68" s="19" t="s">
        <v>2154</v>
      </c>
      <c r="H68" s="19" t="s">
        <v>2171</v>
      </c>
    </row>
    <row r="69" spans="1:8">
      <c r="A69" s="18" t="s">
        <v>259</v>
      </c>
      <c r="B69" s="18" t="s">
        <v>2368</v>
      </c>
      <c r="C69" s="18" t="s">
        <v>2245</v>
      </c>
      <c r="D69" s="18" t="s">
        <v>2331</v>
      </c>
      <c r="E69" s="18" t="s">
        <v>2332</v>
      </c>
      <c r="F69" s="18">
        <v>9.0399999999999991</v>
      </c>
      <c r="G69" s="18" t="s">
        <v>2154</v>
      </c>
      <c r="H69" s="18" t="s">
        <v>2155</v>
      </c>
    </row>
    <row r="70" spans="1:8">
      <c r="A70" s="19" t="s">
        <v>259</v>
      </c>
      <c r="B70" s="19" t="s">
        <v>2369</v>
      </c>
      <c r="C70" s="19" t="s">
        <v>2249</v>
      </c>
      <c r="D70" s="19" t="s">
        <v>2370</v>
      </c>
      <c r="E70" s="19" t="s">
        <v>2371</v>
      </c>
      <c r="F70" s="19">
        <v>10.75</v>
      </c>
      <c r="G70" s="19" t="s">
        <v>2154</v>
      </c>
      <c r="H70" s="19" t="s">
        <v>2155</v>
      </c>
    </row>
    <row r="71" spans="1:8">
      <c r="A71" s="18" t="s">
        <v>259</v>
      </c>
      <c r="B71" s="18" t="s">
        <v>2372</v>
      </c>
      <c r="C71" s="18" t="s">
        <v>2252</v>
      </c>
      <c r="D71" s="18" t="s">
        <v>2373</v>
      </c>
      <c r="E71" s="18" t="s">
        <v>2374</v>
      </c>
      <c r="F71" s="18">
        <v>11.32</v>
      </c>
      <c r="G71" s="18" t="s">
        <v>2154</v>
      </c>
      <c r="H71" s="18" t="s">
        <v>2171</v>
      </c>
    </row>
    <row r="72" spans="1:8">
      <c r="A72" s="19" t="s">
        <v>259</v>
      </c>
      <c r="B72" s="19" t="s">
        <v>2375</v>
      </c>
      <c r="C72" s="19" t="s">
        <v>2376</v>
      </c>
      <c r="D72" s="19" t="s">
        <v>2377</v>
      </c>
      <c r="E72" s="19" t="s">
        <v>2378</v>
      </c>
      <c r="F72" s="19">
        <v>8.5500000000000007</v>
      </c>
      <c r="G72" s="19" t="s">
        <v>2154</v>
      </c>
      <c r="H72" s="19" t="s">
        <v>2160</v>
      </c>
    </row>
    <row r="73" spans="1:8">
      <c r="A73" s="18" t="s">
        <v>259</v>
      </c>
      <c r="B73" s="18" t="s">
        <v>2379</v>
      </c>
      <c r="C73" s="18" t="s">
        <v>2260</v>
      </c>
      <c r="D73" s="18" t="s">
        <v>2380</v>
      </c>
      <c r="E73" s="18" t="s">
        <v>2381</v>
      </c>
      <c r="F73" s="18">
        <v>7.62</v>
      </c>
      <c r="G73" s="18" t="s">
        <v>2154</v>
      </c>
      <c r="H73" s="18" t="s">
        <v>2155</v>
      </c>
    </row>
    <row r="74" spans="1:8">
      <c r="A74" s="19" t="s">
        <v>259</v>
      </c>
      <c r="B74" s="19" t="s">
        <v>2382</v>
      </c>
      <c r="C74" s="19" t="s">
        <v>2264</v>
      </c>
      <c r="D74" s="19" t="s">
        <v>2383</v>
      </c>
      <c r="E74" s="19" t="s">
        <v>2384</v>
      </c>
      <c r="F74" s="19">
        <v>6.68</v>
      </c>
      <c r="G74" s="19" t="s">
        <v>2154</v>
      </c>
      <c r="H74" s="19" t="s">
        <v>2171</v>
      </c>
    </row>
    <row r="75" spans="1:8">
      <c r="A75" s="18" t="s">
        <v>259</v>
      </c>
      <c r="B75" s="18" t="s">
        <v>2385</v>
      </c>
      <c r="C75" s="18" t="s">
        <v>1948</v>
      </c>
      <c r="D75" s="18" t="s">
        <v>2326</v>
      </c>
      <c r="E75" s="18" t="s">
        <v>2291</v>
      </c>
      <c r="F75" s="18">
        <v>10.19</v>
      </c>
      <c r="G75" s="18" t="s">
        <v>2154</v>
      </c>
      <c r="H75" s="18" t="s">
        <v>2160</v>
      </c>
    </row>
    <row r="76" spans="1:8">
      <c r="A76" s="19" t="s">
        <v>259</v>
      </c>
      <c r="B76" s="19" t="s">
        <v>2386</v>
      </c>
      <c r="C76" s="19" t="s">
        <v>2269</v>
      </c>
      <c r="D76" s="19" t="s">
        <v>2387</v>
      </c>
      <c r="E76" s="19" t="s">
        <v>2388</v>
      </c>
      <c r="F76" s="19">
        <v>7.59</v>
      </c>
      <c r="G76" s="19" t="s">
        <v>2154</v>
      </c>
      <c r="H76" s="19" t="s">
        <v>2160</v>
      </c>
    </row>
    <row r="77" spans="1:8">
      <c r="A77" s="18" t="s">
        <v>259</v>
      </c>
      <c r="B77" s="18" t="s">
        <v>2389</v>
      </c>
      <c r="C77" s="18" t="s">
        <v>2273</v>
      </c>
      <c r="D77" s="18"/>
      <c r="E77" s="18"/>
      <c r="F77" s="18"/>
      <c r="G77" s="18" t="s">
        <v>2220</v>
      </c>
      <c r="H77" s="18" t="s">
        <v>2187</v>
      </c>
    </row>
    <row r="78" spans="1:8">
      <c r="A78" s="19" t="s">
        <v>259</v>
      </c>
      <c r="B78" s="19" t="s">
        <v>2390</v>
      </c>
      <c r="C78" s="19" t="s">
        <v>2277</v>
      </c>
      <c r="D78" s="19" t="s">
        <v>2340</v>
      </c>
      <c r="E78" s="19" t="s">
        <v>2391</v>
      </c>
      <c r="F78" s="19">
        <v>7.29</v>
      </c>
      <c r="G78" s="19" t="s">
        <v>2154</v>
      </c>
      <c r="H78" s="19" t="s">
        <v>2187</v>
      </c>
    </row>
    <row r="79" spans="1:8">
      <c r="A79" s="18" t="s">
        <v>259</v>
      </c>
      <c r="B79" s="18" t="s">
        <v>2392</v>
      </c>
      <c r="C79" s="18" t="s">
        <v>2281</v>
      </c>
      <c r="D79" s="18" t="s">
        <v>2393</v>
      </c>
      <c r="E79" s="18" t="s">
        <v>2394</v>
      </c>
      <c r="F79" s="18">
        <v>6.85</v>
      </c>
      <c r="G79" s="18" t="s">
        <v>2154</v>
      </c>
      <c r="H79" s="18" t="s">
        <v>2187</v>
      </c>
    </row>
    <row r="80" spans="1:8">
      <c r="A80" s="19" t="s">
        <v>259</v>
      </c>
      <c r="B80" s="19" t="s">
        <v>2395</v>
      </c>
      <c r="C80" s="19" t="s">
        <v>2396</v>
      </c>
      <c r="D80" s="19" t="s">
        <v>2397</v>
      </c>
      <c r="E80" s="19" t="s">
        <v>2398</v>
      </c>
      <c r="F80" s="19">
        <v>6.52</v>
      </c>
      <c r="G80" s="19" t="s">
        <v>2154</v>
      </c>
      <c r="H80" s="19" t="s">
        <v>2155</v>
      </c>
    </row>
    <row r="81" spans="1:8">
      <c r="A81" s="18" t="s">
        <v>259</v>
      </c>
      <c r="B81" s="18" t="s">
        <v>2399</v>
      </c>
      <c r="C81" s="18" t="s">
        <v>2289</v>
      </c>
      <c r="D81" s="18" t="s">
        <v>2400</v>
      </c>
      <c r="E81" s="18" t="s">
        <v>2401</v>
      </c>
      <c r="F81" s="18">
        <v>8.64</v>
      </c>
      <c r="G81" s="18" t="s">
        <v>2154</v>
      </c>
      <c r="H81" s="18" t="s">
        <v>2160</v>
      </c>
    </row>
    <row r="82" spans="1:8">
      <c r="A82" s="19" t="s">
        <v>259</v>
      </c>
      <c r="B82" s="19" t="s">
        <v>2402</v>
      </c>
      <c r="C82" s="19" t="s">
        <v>2293</v>
      </c>
      <c r="D82" s="19" t="s">
        <v>2403</v>
      </c>
      <c r="E82" s="19" t="s">
        <v>2404</v>
      </c>
      <c r="F82" s="19">
        <v>7.3</v>
      </c>
      <c r="G82" s="19" t="s">
        <v>2154</v>
      </c>
      <c r="H82" s="19" t="s">
        <v>2160</v>
      </c>
    </row>
    <row r="83" spans="1:8">
      <c r="A83" s="18" t="s">
        <v>259</v>
      </c>
      <c r="B83" s="18" t="s">
        <v>2405</v>
      </c>
      <c r="C83" s="18" t="s">
        <v>2296</v>
      </c>
      <c r="D83" s="18" t="s">
        <v>2212</v>
      </c>
      <c r="E83" s="18" t="s">
        <v>2406</v>
      </c>
      <c r="F83" s="18">
        <v>9.26</v>
      </c>
      <c r="G83" s="18" t="s">
        <v>2154</v>
      </c>
      <c r="H83" s="18" t="s">
        <v>2187</v>
      </c>
    </row>
    <row r="84" spans="1:8">
      <c r="A84" s="19" t="s">
        <v>259</v>
      </c>
      <c r="B84" s="19" t="s">
        <v>2407</v>
      </c>
      <c r="C84" s="19" t="s">
        <v>2300</v>
      </c>
      <c r="D84" s="19" t="s">
        <v>2408</v>
      </c>
      <c r="E84" s="19" t="s">
        <v>2409</v>
      </c>
      <c r="F84" s="19">
        <v>11.08</v>
      </c>
      <c r="G84" s="19" t="s">
        <v>2154</v>
      </c>
      <c r="H84" s="19" t="s">
        <v>2160</v>
      </c>
    </row>
    <row r="85" spans="1:8">
      <c r="A85" s="18" t="s">
        <v>259</v>
      </c>
      <c r="B85" s="18" t="s">
        <v>2410</v>
      </c>
      <c r="C85" s="18" t="s">
        <v>2144</v>
      </c>
      <c r="D85" s="18"/>
      <c r="E85" s="18"/>
      <c r="F85" s="18"/>
      <c r="G85" s="18" t="s">
        <v>2163</v>
      </c>
      <c r="H85" s="18" t="s">
        <v>2155</v>
      </c>
    </row>
    <row r="86" spans="1:8">
      <c r="A86" s="19" t="s">
        <v>259</v>
      </c>
      <c r="B86" s="19" t="s">
        <v>2411</v>
      </c>
      <c r="C86" s="19" t="s">
        <v>2307</v>
      </c>
      <c r="D86" s="19" t="s">
        <v>2185</v>
      </c>
      <c r="E86" s="19" t="s">
        <v>2195</v>
      </c>
      <c r="F86" s="19">
        <v>11.4</v>
      </c>
      <c r="G86" s="19" t="s">
        <v>2154</v>
      </c>
      <c r="H86" s="19" t="s">
        <v>2155</v>
      </c>
    </row>
    <row r="87" spans="1:8">
      <c r="A87" s="18" t="s">
        <v>259</v>
      </c>
      <c r="B87" s="18" t="s">
        <v>2412</v>
      </c>
      <c r="C87" s="18" t="s">
        <v>2311</v>
      </c>
      <c r="D87" s="18" t="s">
        <v>2413</v>
      </c>
      <c r="E87" s="18" t="s">
        <v>2414</v>
      </c>
      <c r="F87" s="18">
        <v>7.79</v>
      </c>
      <c r="G87" s="18" t="s">
        <v>2154</v>
      </c>
      <c r="H87" s="18" t="s">
        <v>2155</v>
      </c>
    </row>
    <row r="88" spans="1:8">
      <c r="A88" s="19" t="s">
        <v>1311</v>
      </c>
      <c r="B88" s="19" t="s">
        <v>2415</v>
      </c>
      <c r="C88" s="19" t="s">
        <v>2038</v>
      </c>
      <c r="D88" s="19" t="s">
        <v>2416</v>
      </c>
      <c r="E88" s="19" t="s">
        <v>2417</v>
      </c>
      <c r="F88" s="19">
        <v>10.47</v>
      </c>
      <c r="G88" s="19" t="s">
        <v>2154</v>
      </c>
      <c r="H88" s="19" t="s">
        <v>2187</v>
      </c>
    </row>
    <row r="89" spans="1:8">
      <c r="A89" s="18" t="s">
        <v>1311</v>
      </c>
      <c r="B89" s="18" t="s">
        <v>2418</v>
      </c>
      <c r="C89" s="18" t="s">
        <v>2157</v>
      </c>
      <c r="D89" s="18" t="s">
        <v>2419</v>
      </c>
      <c r="E89" s="18" t="s">
        <v>2420</v>
      </c>
      <c r="F89" s="18">
        <v>10.83</v>
      </c>
      <c r="G89" s="18" t="s">
        <v>2154</v>
      </c>
      <c r="H89" s="18" t="s">
        <v>2160</v>
      </c>
    </row>
    <row r="90" spans="1:8">
      <c r="A90" s="19" t="s">
        <v>1311</v>
      </c>
      <c r="B90" s="19" t="s">
        <v>2421</v>
      </c>
      <c r="C90" s="19" t="s">
        <v>2162</v>
      </c>
      <c r="D90" s="19" t="s">
        <v>2362</v>
      </c>
      <c r="E90" s="19" t="s">
        <v>2366</v>
      </c>
      <c r="F90" s="19">
        <v>8.83</v>
      </c>
      <c r="G90" s="19" t="s">
        <v>2154</v>
      </c>
      <c r="H90" s="19" t="s">
        <v>2171</v>
      </c>
    </row>
    <row r="91" spans="1:8">
      <c r="A91" s="18" t="s">
        <v>1311</v>
      </c>
      <c r="B91" s="18" t="s">
        <v>2422</v>
      </c>
      <c r="C91" s="18" t="s">
        <v>1937</v>
      </c>
      <c r="D91" s="18" t="s">
        <v>2423</v>
      </c>
      <c r="E91" s="18" t="s">
        <v>2424</v>
      </c>
      <c r="F91" s="18">
        <v>8.98</v>
      </c>
      <c r="G91" s="18" t="s">
        <v>2154</v>
      </c>
      <c r="H91" s="18" t="s">
        <v>2155</v>
      </c>
    </row>
    <row r="92" spans="1:8">
      <c r="A92" s="19" t="s">
        <v>1311</v>
      </c>
      <c r="B92" s="19" t="s">
        <v>2425</v>
      </c>
      <c r="C92" s="19" t="s">
        <v>2168</v>
      </c>
      <c r="D92" s="19" t="s">
        <v>2426</v>
      </c>
      <c r="E92" s="19" t="s">
        <v>2329</v>
      </c>
      <c r="F92" s="19">
        <v>10.050000000000001</v>
      </c>
      <c r="G92" s="19" t="s">
        <v>2154</v>
      </c>
      <c r="H92" s="19" t="s">
        <v>2187</v>
      </c>
    </row>
    <row r="93" spans="1:8">
      <c r="A93" s="18" t="s">
        <v>1311</v>
      </c>
      <c r="B93" s="18" t="s">
        <v>2427</v>
      </c>
      <c r="C93" s="18" t="s">
        <v>2173</v>
      </c>
      <c r="D93" s="18" t="s">
        <v>2428</v>
      </c>
      <c r="E93" s="18" t="s">
        <v>2429</v>
      </c>
      <c r="F93" s="18">
        <v>10.55</v>
      </c>
      <c r="G93" s="18" t="s">
        <v>2154</v>
      </c>
      <c r="H93" s="18" t="s">
        <v>2171</v>
      </c>
    </row>
    <row r="94" spans="1:8">
      <c r="A94" s="19" t="s">
        <v>1311</v>
      </c>
      <c r="B94" s="19" t="s">
        <v>2430</v>
      </c>
      <c r="C94" s="19" t="s">
        <v>2177</v>
      </c>
      <c r="D94" s="19" t="s">
        <v>2431</v>
      </c>
      <c r="E94" s="19" t="s">
        <v>2432</v>
      </c>
      <c r="F94" s="19">
        <v>9.73</v>
      </c>
      <c r="G94" s="19" t="s">
        <v>2154</v>
      </c>
      <c r="H94" s="19" t="s">
        <v>2160</v>
      </c>
    </row>
    <row r="95" spans="1:8">
      <c r="A95" s="18" t="s">
        <v>1311</v>
      </c>
      <c r="B95" s="18" t="s">
        <v>2433</v>
      </c>
      <c r="C95" s="18" t="s">
        <v>1945</v>
      </c>
      <c r="D95" s="18" t="s">
        <v>2246</v>
      </c>
      <c r="E95" s="18" t="s">
        <v>2434</v>
      </c>
      <c r="F95" s="18">
        <v>10.39</v>
      </c>
      <c r="G95" s="18" t="s">
        <v>2154</v>
      </c>
      <c r="H95" s="18" t="s">
        <v>2171</v>
      </c>
    </row>
    <row r="96" spans="1:8">
      <c r="A96" s="19" t="s">
        <v>1311</v>
      </c>
      <c r="B96" s="19" t="s">
        <v>2435</v>
      </c>
      <c r="C96" s="19" t="s">
        <v>2436</v>
      </c>
      <c r="D96" s="19" t="s">
        <v>2437</v>
      </c>
      <c r="E96" s="19" t="s">
        <v>2438</v>
      </c>
      <c r="F96" s="19">
        <v>8.0399999999999991</v>
      </c>
      <c r="G96" s="19" t="s">
        <v>2154</v>
      </c>
      <c r="H96" s="19" t="s">
        <v>2160</v>
      </c>
    </row>
    <row r="97" spans="1:8">
      <c r="A97" s="18" t="s">
        <v>1311</v>
      </c>
      <c r="B97" s="18" t="s">
        <v>2439</v>
      </c>
      <c r="C97" s="18" t="s">
        <v>2189</v>
      </c>
      <c r="D97" s="18" t="s">
        <v>2440</v>
      </c>
      <c r="E97" s="18" t="s">
        <v>2441</v>
      </c>
      <c r="F97" s="18">
        <v>7.16</v>
      </c>
      <c r="G97" s="18" t="s">
        <v>2154</v>
      </c>
      <c r="H97" s="18" t="s">
        <v>2187</v>
      </c>
    </row>
    <row r="98" spans="1:8">
      <c r="A98" s="19" t="s">
        <v>1311</v>
      </c>
      <c r="B98" s="19" t="s">
        <v>2442</v>
      </c>
      <c r="C98" s="19" t="s">
        <v>2193</v>
      </c>
      <c r="D98" s="19" t="s">
        <v>2443</v>
      </c>
      <c r="E98" s="19" t="s">
        <v>2444</v>
      </c>
      <c r="F98" s="19">
        <v>10.51</v>
      </c>
      <c r="G98" s="19" t="s">
        <v>2154</v>
      </c>
      <c r="H98" s="19" t="s">
        <v>2155</v>
      </c>
    </row>
    <row r="99" spans="1:8">
      <c r="A99" s="18" t="s">
        <v>1311</v>
      </c>
      <c r="B99" s="18" t="s">
        <v>2445</v>
      </c>
      <c r="C99" s="18" t="s">
        <v>2197</v>
      </c>
      <c r="D99" s="18" t="s">
        <v>2323</v>
      </c>
      <c r="E99" s="18" t="s">
        <v>2404</v>
      </c>
      <c r="F99" s="18">
        <v>8.17</v>
      </c>
      <c r="G99" s="18" t="s">
        <v>2154</v>
      </c>
      <c r="H99" s="18" t="s">
        <v>2171</v>
      </c>
    </row>
    <row r="100" spans="1:8">
      <c r="A100" s="19" t="s">
        <v>1311</v>
      </c>
      <c r="B100" s="19" t="s">
        <v>2446</v>
      </c>
      <c r="C100" s="19" t="s">
        <v>1819</v>
      </c>
      <c r="D100" s="19" t="s">
        <v>2185</v>
      </c>
      <c r="E100" s="19" t="s">
        <v>2447</v>
      </c>
      <c r="F100" s="19">
        <v>10.48</v>
      </c>
      <c r="G100" s="19" t="s">
        <v>2154</v>
      </c>
      <c r="H100" s="19" t="s">
        <v>2155</v>
      </c>
    </row>
    <row r="101" spans="1:8">
      <c r="A101" s="18" t="s">
        <v>1311</v>
      </c>
      <c r="B101" s="18" t="s">
        <v>2448</v>
      </c>
      <c r="C101" s="18" t="s">
        <v>2204</v>
      </c>
      <c r="D101" s="18" t="s">
        <v>2449</v>
      </c>
      <c r="E101" s="18" t="s">
        <v>2450</v>
      </c>
      <c r="F101" s="18">
        <v>8.76</v>
      </c>
      <c r="G101" s="18" t="s">
        <v>2154</v>
      </c>
      <c r="H101" s="18" t="s">
        <v>2187</v>
      </c>
    </row>
    <row r="102" spans="1:8">
      <c r="A102" s="19" t="s">
        <v>1311</v>
      </c>
      <c r="B102" s="19" t="s">
        <v>2451</v>
      </c>
      <c r="C102" s="19" t="s">
        <v>1843</v>
      </c>
      <c r="D102" s="19" t="s">
        <v>2452</v>
      </c>
      <c r="E102" s="19" t="s">
        <v>2453</v>
      </c>
      <c r="F102" s="19">
        <v>7.77</v>
      </c>
      <c r="G102" s="19" t="s">
        <v>2154</v>
      </c>
      <c r="H102" s="19" t="s">
        <v>2160</v>
      </c>
    </row>
    <row r="103" spans="1:8">
      <c r="A103" s="18" t="s">
        <v>1311</v>
      </c>
      <c r="B103" s="18" t="s">
        <v>2454</v>
      </c>
      <c r="C103" s="18" t="s">
        <v>2211</v>
      </c>
      <c r="D103" s="18" t="s">
        <v>2437</v>
      </c>
      <c r="E103" s="18" t="s">
        <v>2455</v>
      </c>
      <c r="F103" s="18">
        <v>10.65</v>
      </c>
      <c r="G103" s="18" t="s">
        <v>2154</v>
      </c>
      <c r="H103" s="18" t="s">
        <v>2187</v>
      </c>
    </row>
    <row r="104" spans="1:8">
      <c r="A104" s="19" t="s">
        <v>1311</v>
      </c>
      <c r="B104" s="19" t="s">
        <v>2456</v>
      </c>
      <c r="C104" s="19" t="s">
        <v>2215</v>
      </c>
      <c r="D104" s="19" t="s">
        <v>2457</v>
      </c>
      <c r="E104" s="19" t="s">
        <v>2458</v>
      </c>
      <c r="F104" s="19">
        <v>6.82</v>
      </c>
      <c r="G104" s="19" t="s">
        <v>2154</v>
      </c>
      <c r="H104" s="19" t="s">
        <v>2160</v>
      </c>
    </row>
    <row r="105" spans="1:8">
      <c r="A105" s="18" t="s">
        <v>1311</v>
      </c>
      <c r="B105" s="18" t="s">
        <v>2459</v>
      </c>
      <c r="C105" s="18" t="s">
        <v>2219</v>
      </c>
      <c r="D105" s="18" t="s">
        <v>2460</v>
      </c>
      <c r="E105" s="18" t="s">
        <v>2461</v>
      </c>
      <c r="F105" s="18">
        <v>7.82</v>
      </c>
      <c r="G105" s="18" t="s">
        <v>2154</v>
      </c>
      <c r="H105" s="18" t="s">
        <v>2187</v>
      </c>
    </row>
    <row r="106" spans="1:8">
      <c r="A106" s="19" t="s">
        <v>1311</v>
      </c>
      <c r="B106" s="19" t="s">
        <v>2462</v>
      </c>
      <c r="C106" s="19" t="s">
        <v>2222</v>
      </c>
      <c r="D106" s="19" t="s">
        <v>2290</v>
      </c>
      <c r="E106" s="19" t="s">
        <v>2291</v>
      </c>
      <c r="F106" s="19">
        <v>9.14</v>
      </c>
      <c r="G106" s="19" t="s">
        <v>2154</v>
      </c>
      <c r="H106" s="19" t="s">
        <v>2155</v>
      </c>
    </row>
    <row r="107" spans="1:8">
      <c r="A107" s="18" t="s">
        <v>1311</v>
      </c>
      <c r="B107" s="18" t="s">
        <v>2463</v>
      </c>
      <c r="C107" s="18" t="s">
        <v>2226</v>
      </c>
      <c r="D107" s="18" t="s">
        <v>2464</v>
      </c>
      <c r="E107" s="18" t="s">
        <v>2465</v>
      </c>
      <c r="F107" s="18">
        <v>6.8</v>
      </c>
      <c r="G107" s="18" t="s">
        <v>2154</v>
      </c>
      <c r="H107" s="18" t="s">
        <v>2155</v>
      </c>
    </row>
    <row r="108" spans="1:8">
      <c r="A108" s="19" t="s">
        <v>1311</v>
      </c>
      <c r="B108" s="19" t="s">
        <v>2466</v>
      </c>
      <c r="C108" s="19" t="s">
        <v>2230</v>
      </c>
      <c r="D108" s="19" t="s">
        <v>2365</v>
      </c>
      <c r="E108" s="19" t="s">
        <v>2363</v>
      </c>
      <c r="F108" s="19">
        <v>9.85</v>
      </c>
      <c r="G108" s="19" t="s">
        <v>2154</v>
      </c>
      <c r="H108" s="19" t="s">
        <v>2171</v>
      </c>
    </row>
    <row r="109" spans="1:8">
      <c r="A109" s="18" t="s">
        <v>1311</v>
      </c>
      <c r="B109" s="18" t="s">
        <v>2467</v>
      </c>
      <c r="C109" s="18" t="s">
        <v>2234</v>
      </c>
      <c r="D109" s="18" t="s">
        <v>2365</v>
      </c>
      <c r="E109" s="18" t="s">
        <v>2468</v>
      </c>
      <c r="F109" s="18">
        <v>6.8</v>
      </c>
      <c r="G109" s="18" t="s">
        <v>2154</v>
      </c>
      <c r="H109" s="18" t="s">
        <v>2187</v>
      </c>
    </row>
    <row r="110" spans="1:8">
      <c r="A110" s="19" t="s">
        <v>1311</v>
      </c>
      <c r="B110" s="19" t="s">
        <v>2469</v>
      </c>
      <c r="C110" s="19" t="s">
        <v>2238</v>
      </c>
      <c r="D110" s="19" t="s">
        <v>2470</v>
      </c>
      <c r="E110" s="19" t="s">
        <v>2471</v>
      </c>
      <c r="F110" s="19">
        <v>11.02</v>
      </c>
      <c r="G110" s="19" t="s">
        <v>2154</v>
      </c>
      <c r="H110" s="19" t="s">
        <v>2160</v>
      </c>
    </row>
    <row r="111" spans="1:8">
      <c r="A111" s="18" t="s">
        <v>1311</v>
      </c>
      <c r="B111" s="18" t="s">
        <v>2472</v>
      </c>
      <c r="C111" s="18" t="s">
        <v>2241</v>
      </c>
      <c r="D111" s="18" t="s">
        <v>2473</v>
      </c>
      <c r="E111" s="18" t="s">
        <v>2474</v>
      </c>
      <c r="F111" s="18">
        <v>7.13</v>
      </c>
      <c r="G111" s="18" t="s">
        <v>2154</v>
      </c>
      <c r="H111" s="18" t="s">
        <v>2187</v>
      </c>
    </row>
    <row r="112" spans="1:8">
      <c r="A112" s="19" t="s">
        <v>1311</v>
      </c>
      <c r="B112" s="19" t="s">
        <v>2475</v>
      </c>
      <c r="C112" s="19" t="s">
        <v>2476</v>
      </c>
      <c r="D112" s="19" t="s">
        <v>2158</v>
      </c>
      <c r="E112" s="19" t="s">
        <v>2477</v>
      </c>
      <c r="F112" s="19">
        <v>8.41</v>
      </c>
      <c r="G112" s="19" t="s">
        <v>2154</v>
      </c>
      <c r="H112" s="19" t="s">
        <v>2160</v>
      </c>
    </row>
    <row r="113" spans="1:8">
      <c r="A113" s="18" t="s">
        <v>1311</v>
      </c>
      <c r="B113" s="18" t="s">
        <v>2478</v>
      </c>
      <c r="C113" s="18" t="s">
        <v>2249</v>
      </c>
      <c r="D113" s="18" t="s">
        <v>2479</v>
      </c>
      <c r="E113" s="18" t="s">
        <v>2480</v>
      </c>
      <c r="F113" s="18">
        <v>8.86</v>
      </c>
      <c r="G113" s="18" t="s">
        <v>2154</v>
      </c>
      <c r="H113" s="18" t="s">
        <v>2171</v>
      </c>
    </row>
    <row r="114" spans="1:8">
      <c r="A114" s="19" t="s">
        <v>1311</v>
      </c>
      <c r="B114" s="19" t="s">
        <v>2481</v>
      </c>
      <c r="C114" s="19" t="s">
        <v>2252</v>
      </c>
      <c r="D114" s="19" t="s">
        <v>2482</v>
      </c>
      <c r="E114" s="19" t="s">
        <v>2483</v>
      </c>
      <c r="F114" s="19">
        <v>7.86</v>
      </c>
      <c r="G114" s="19" t="s">
        <v>2154</v>
      </c>
      <c r="H114" s="19" t="s">
        <v>2171</v>
      </c>
    </row>
    <row r="115" spans="1:8">
      <c r="A115" s="18" t="s">
        <v>1311</v>
      </c>
      <c r="B115" s="18" t="s">
        <v>2484</v>
      </c>
      <c r="C115" s="18" t="s">
        <v>2376</v>
      </c>
      <c r="D115" s="18" t="s">
        <v>2485</v>
      </c>
      <c r="E115" s="18" t="s">
        <v>2486</v>
      </c>
      <c r="F115" s="18">
        <v>8.59</v>
      </c>
      <c r="G115" s="18" t="s">
        <v>2154</v>
      </c>
      <c r="H115" s="18" t="s">
        <v>2160</v>
      </c>
    </row>
    <row r="116" spans="1:8">
      <c r="A116" s="19" t="s">
        <v>1311</v>
      </c>
      <c r="B116" s="19" t="s">
        <v>2487</v>
      </c>
      <c r="C116" s="19" t="s">
        <v>2260</v>
      </c>
      <c r="D116" s="19" t="s">
        <v>2488</v>
      </c>
      <c r="E116" s="19" t="s">
        <v>2489</v>
      </c>
      <c r="F116" s="19">
        <v>8.2100000000000009</v>
      </c>
      <c r="G116" s="19" t="s">
        <v>2154</v>
      </c>
      <c r="H116" s="19" t="s">
        <v>2187</v>
      </c>
    </row>
    <row r="117" spans="1:8">
      <c r="A117" s="18" t="s">
        <v>1311</v>
      </c>
      <c r="B117" s="18" t="s">
        <v>2490</v>
      </c>
      <c r="C117" s="18" t="s">
        <v>2264</v>
      </c>
      <c r="D117" s="18" t="s">
        <v>2491</v>
      </c>
      <c r="E117" s="18" t="s">
        <v>2492</v>
      </c>
      <c r="F117" s="18">
        <v>7.39</v>
      </c>
      <c r="G117" s="18" t="s">
        <v>2154</v>
      </c>
      <c r="H117" s="18" t="s">
        <v>2160</v>
      </c>
    </row>
    <row r="118" spans="1:8">
      <c r="A118" s="19" t="s">
        <v>1311</v>
      </c>
      <c r="B118" s="19" t="s">
        <v>2493</v>
      </c>
      <c r="C118" s="19" t="s">
        <v>1948</v>
      </c>
      <c r="D118" s="19" t="s">
        <v>2494</v>
      </c>
      <c r="E118" s="19" t="s">
        <v>2495</v>
      </c>
      <c r="F118" s="19">
        <v>6.57</v>
      </c>
      <c r="G118" s="19" t="s">
        <v>2154</v>
      </c>
      <c r="H118" s="19" t="s">
        <v>2160</v>
      </c>
    </row>
    <row r="119" spans="1:8">
      <c r="A119" s="18" t="s">
        <v>1311</v>
      </c>
      <c r="B119" s="18" t="s">
        <v>2496</v>
      </c>
      <c r="C119" s="18" t="s">
        <v>2269</v>
      </c>
      <c r="D119" s="18" t="s">
        <v>2301</v>
      </c>
      <c r="E119" s="18" t="s">
        <v>2455</v>
      </c>
      <c r="F119" s="18">
        <v>9.36</v>
      </c>
      <c r="G119" s="18" t="s">
        <v>2154</v>
      </c>
      <c r="H119" s="18" t="s">
        <v>2155</v>
      </c>
    </row>
    <row r="120" spans="1:8">
      <c r="A120" s="19" t="s">
        <v>1311</v>
      </c>
      <c r="B120" s="19" t="s">
        <v>2497</v>
      </c>
      <c r="C120" s="19" t="s">
        <v>2273</v>
      </c>
      <c r="D120" s="19" t="s">
        <v>2326</v>
      </c>
      <c r="E120" s="19" t="s">
        <v>2232</v>
      </c>
      <c r="F120" s="19">
        <v>9.7799999999999994</v>
      </c>
      <c r="G120" s="19" t="s">
        <v>2154</v>
      </c>
      <c r="H120" s="19" t="s">
        <v>2187</v>
      </c>
    </row>
    <row r="121" spans="1:8">
      <c r="A121" s="18" t="s">
        <v>1311</v>
      </c>
      <c r="B121" s="18" t="s">
        <v>2498</v>
      </c>
      <c r="C121" s="18" t="s">
        <v>2277</v>
      </c>
      <c r="D121" s="18" t="s">
        <v>2270</v>
      </c>
      <c r="E121" s="18" t="s">
        <v>2499</v>
      </c>
      <c r="F121" s="18">
        <v>8.69</v>
      </c>
      <c r="G121" s="18" t="s">
        <v>2154</v>
      </c>
      <c r="H121" s="18" t="s">
        <v>2160</v>
      </c>
    </row>
    <row r="122" spans="1:8">
      <c r="A122" s="19" t="s">
        <v>1311</v>
      </c>
      <c r="B122" s="19" t="s">
        <v>2500</v>
      </c>
      <c r="C122" s="19" t="s">
        <v>2281</v>
      </c>
      <c r="D122" s="19" t="s">
        <v>2397</v>
      </c>
      <c r="E122" s="19" t="s">
        <v>2501</v>
      </c>
      <c r="F122" s="19">
        <v>8.2899999999999991</v>
      </c>
      <c r="G122" s="19" t="s">
        <v>2154</v>
      </c>
      <c r="H122" s="19" t="s">
        <v>2187</v>
      </c>
    </row>
    <row r="123" spans="1:8">
      <c r="A123" s="18" t="s">
        <v>1311</v>
      </c>
      <c r="B123" s="18" t="s">
        <v>2502</v>
      </c>
      <c r="C123" s="18" t="s">
        <v>2396</v>
      </c>
      <c r="D123" s="18" t="s">
        <v>2503</v>
      </c>
      <c r="E123" s="18" t="s">
        <v>2499</v>
      </c>
      <c r="F123" s="18">
        <v>6.84</v>
      </c>
      <c r="G123" s="18" t="s">
        <v>2154</v>
      </c>
      <c r="H123" s="18" t="s">
        <v>2155</v>
      </c>
    </row>
    <row r="124" spans="1:8">
      <c r="A124" s="19" t="s">
        <v>1311</v>
      </c>
      <c r="B124" s="19" t="s">
        <v>2504</v>
      </c>
      <c r="C124" s="19" t="s">
        <v>2289</v>
      </c>
      <c r="D124" s="19" t="s">
        <v>2205</v>
      </c>
      <c r="E124" s="19" t="s">
        <v>2505</v>
      </c>
      <c r="F124" s="19">
        <v>10.67</v>
      </c>
      <c r="G124" s="19" t="s">
        <v>2154</v>
      </c>
      <c r="H124" s="19" t="s">
        <v>2171</v>
      </c>
    </row>
    <row r="125" spans="1:8">
      <c r="A125" s="18" t="s">
        <v>1311</v>
      </c>
      <c r="B125" s="18" t="s">
        <v>2506</v>
      </c>
      <c r="C125" s="18" t="s">
        <v>2293</v>
      </c>
      <c r="D125" s="18" t="s">
        <v>2246</v>
      </c>
      <c r="E125" s="18" t="s">
        <v>2507</v>
      </c>
      <c r="F125" s="18">
        <v>11.02</v>
      </c>
      <c r="G125" s="18" t="s">
        <v>2154</v>
      </c>
      <c r="H125" s="18" t="s">
        <v>2187</v>
      </c>
    </row>
    <row r="126" spans="1:8">
      <c r="A126" s="19" t="s">
        <v>1311</v>
      </c>
      <c r="B126" s="19" t="s">
        <v>2508</v>
      </c>
      <c r="C126" s="19" t="s">
        <v>2296</v>
      </c>
      <c r="D126" s="19" t="s">
        <v>2403</v>
      </c>
      <c r="E126" s="19" t="s">
        <v>2509</v>
      </c>
      <c r="F126" s="19">
        <v>10.88</v>
      </c>
      <c r="G126" s="19" t="s">
        <v>2154</v>
      </c>
      <c r="H126" s="19" t="s">
        <v>2187</v>
      </c>
    </row>
    <row r="127" spans="1:8">
      <c r="A127" s="18" t="s">
        <v>1311</v>
      </c>
      <c r="B127" s="18" t="s">
        <v>2510</v>
      </c>
      <c r="C127" s="18" t="s">
        <v>2300</v>
      </c>
      <c r="D127" s="18" t="s">
        <v>2488</v>
      </c>
      <c r="E127" s="18" t="s">
        <v>2511</v>
      </c>
      <c r="F127" s="18">
        <v>6.62</v>
      </c>
      <c r="G127" s="18" t="s">
        <v>2154</v>
      </c>
      <c r="H127" s="18" t="s">
        <v>2155</v>
      </c>
    </row>
    <row r="128" spans="1:8">
      <c r="A128" s="19" t="s">
        <v>1311</v>
      </c>
      <c r="B128" s="19" t="s">
        <v>2512</v>
      </c>
      <c r="C128" s="19" t="s">
        <v>2144</v>
      </c>
      <c r="D128" s="19" t="s">
        <v>2513</v>
      </c>
      <c r="E128" s="19" t="s">
        <v>2514</v>
      </c>
      <c r="F128" s="19">
        <v>7.85</v>
      </c>
      <c r="G128" s="19" t="s">
        <v>2154</v>
      </c>
      <c r="H128" s="19" t="s">
        <v>2187</v>
      </c>
    </row>
    <row r="129" spans="1:8">
      <c r="A129" s="18" t="s">
        <v>1311</v>
      </c>
      <c r="B129" s="18" t="s">
        <v>2515</v>
      </c>
      <c r="C129" s="18" t="s">
        <v>2307</v>
      </c>
      <c r="D129" s="18" t="s">
        <v>2516</v>
      </c>
      <c r="E129" s="18" t="s">
        <v>2432</v>
      </c>
      <c r="F129" s="18">
        <v>11.48</v>
      </c>
      <c r="G129" s="18" t="s">
        <v>2154</v>
      </c>
      <c r="H129" s="18" t="s">
        <v>2160</v>
      </c>
    </row>
    <row r="130" spans="1:8">
      <c r="A130" s="19" t="s">
        <v>1311</v>
      </c>
      <c r="B130" s="19" t="s">
        <v>2517</v>
      </c>
      <c r="C130" s="19" t="s">
        <v>2311</v>
      </c>
      <c r="D130" s="19"/>
      <c r="E130" s="19"/>
      <c r="F130" s="19"/>
      <c r="G130" s="19" t="s">
        <v>2343</v>
      </c>
      <c r="H130" s="19" t="s">
        <v>2155</v>
      </c>
    </row>
    <row r="131" spans="1:8">
      <c r="A131" s="18" t="s">
        <v>195</v>
      </c>
      <c r="B131" s="18" t="s">
        <v>2518</v>
      </c>
      <c r="C131" s="18" t="s">
        <v>2038</v>
      </c>
      <c r="D131" s="18" t="s">
        <v>2286</v>
      </c>
      <c r="E131" s="18" t="s">
        <v>2519</v>
      </c>
      <c r="F131" s="18">
        <v>9.64</v>
      </c>
      <c r="G131" s="18" t="s">
        <v>2154</v>
      </c>
      <c r="H131" s="18" t="s">
        <v>2171</v>
      </c>
    </row>
    <row r="132" spans="1:8">
      <c r="A132" s="19" t="s">
        <v>195</v>
      </c>
      <c r="B132" s="19" t="s">
        <v>2520</v>
      </c>
      <c r="C132" s="19" t="s">
        <v>2157</v>
      </c>
      <c r="D132" s="19" t="s">
        <v>2521</v>
      </c>
      <c r="E132" s="19" t="s">
        <v>2522</v>
      </c>
      <c r="F132" s="19">
        <v>10.99</v>
      </c>
      <c r="G132" s="19" t="s">
        <v>2154</v>
      </c>
      <c r="H132" s="19" t="s">
        <v>2160</v>
      </c>
    </row>
    <row r="133" spans="1:8">
      <c r="A133" s="18" t="s">
        <v>195</v>
      </c>
      <c r="B133" s="18" t="s">
        <v>2523</v>
      </c>
      <c r="C133" s="18" t="s">
        <v>2162</v>
      </c>
      <c r="D133" s="18" t="s">
        <v>2524</v>
      </c>
      <c r="E133" s="18" t="s">
        <v>2465</v>
      </c>
      <c r="F133" s="18">
        <v>8.6999999999999993</v>
      </c>
      <c r="G133" s="18" t="s">
        <v>2154</v>
      </c>
      <c r="H133" s="18" t="s">
        <v>2155</v>
      </c>
    </row>
    <row r="134" spans="1:8">
      <c r="A134" s="19" t="s">
        <v>195</v>
      </c>
      <c r="B134" s="19" t="s">
        <v>2525</v>
      </c>
      <c r="C134" s="19" t="s">
        <v>1937</v>
      </c>
      <c r="D134" s="19" t="s">
        <v>2323</v>
      </c>
      <c r="E134" s="19" t="s">
        <v>2526</v>
      </c>
      <c r="F134" s="19">
        <v>7.47</v>
      </c>
      <c r="G134" s="19" t="s">
        <v>2154</v>
      </c>
      <c r="H134" s="19" t="s">
        <v>2171</v>
      </c>
    </row>
    <row r="135" spans="1:8">
      <c r="A135" s="18" t="s">
        <v>195</v>
      </c>
      <c r="B135" s="18" t="s">
        <v>2527</v>
      </c>
      <c r="C135" s="18" t="s">
        <v>2168</v>
      </c>
      <c r="D135" s="18" t="s">
        <v>2528</v>
      </c>
      <c r="E135" s="18" t="s">
        <v>2529</v>
      </c>
      <c r="F135" s="18">
        <v>8.52</v>
      </c>
      <c r="G135" s="18" t="s">
        <v>2154</v>
      </c>
      <c r="H135" s="18" t="s">
        <v>2171</v>
      </c>
    </row>
    <row r="136" spans="1:8">
      <c r="A136" s="19" t="s">
        <v>195</v>
      </c>
      <c r="B136" s="19" t="s">
        <v>2530</v>
      </c>
      <c r="C136" s="19" t="s">
        <v>2173</v>
      </c>
      <c r="D136" s="19" t="s">
        <v>2400</v>
      </c>
      <c r="E136" s="19" t="s">
        <v>2531</v>
      </c>
      <c r="F136" s="19">
        <v>10.72</v>
      </c>
      <c r="G136" s="19" t="s">
        <v>2154</v>
      </c>
      <c r="H136" s="19" t="s">
        <v>2187</v>
      </c>
    </row>
    <row r="137" spans="1:8">
      <c r="A137" s="18" t="s">
        <v>195</v>
      </c>
      <c r="B137" s="18" t="s">
        <v>2532</v>
      </c>
      <c r="C137" s="18" t="s">
        <v>2177</v>
      </c>
      <c r="D137" s="18" t="s">
        <v>2464</v>
      </c>
      <c r="E137" s="18" t="s">
        <v>2501</v>
      </c>
      <c r="F137" s="18">
        <v>7.96</v>
      </c>
      <c r="G137" s="18" t="s">
        <v>2154</v>
      </c>
      <c r="H137" s="18" t="s">
        <v>2187</v>
      </c>
    </row>
    <row r="138" spans="1:8">
      <c r="A138" s="19" t="s">
        <v>195</v>
      </c>
      <c r="B138" s="19" t="s">
        <v>2533</v>
      </c>
      <c r="C138" s="19" t="s">
        <v>1945</v>
      </c>
      <c r="D138" s="19" t="s">
        <v>2534</v>
      </c>
      <c r="E138" s="19" t="s">
        <v>2519</v>
      </c>
      <c r="F138" s="19">
        <v>8.49</v>
      </c>
      <c r="G138" s="19" t="s">
        <v>2154</v>
      </c>
      <c r="H138" s="19" t="s">
        <v>2155</v>
      </c>
    </row>
    <row r="139" spans="1:8">
      <c r="A139" s="18" t="s">
        <v>195</v>
      </c>
      <c r="B139" s="18" t="s">
        <v>2535</v>
      </c>
      <c r="C139" s="18" t="s">
        <v>2184</v>
      </c>
      <c r="D139" s="18" t="s">
        <v>2536</v>
      </c>
      <c r="E139" s="18" t="s">
        <v>2537</v>
      </c>
      <c r="F139" s="18">
        <v>8.0500000000000007</v>
      </c>
      <c r="G139" s="18" t="s">
        <v>2154</v>
      </c>
      <c r="H139" s="18" t="s">
        <v>2155</v>
      </c>
    </row>
    <row r="140" spans="1:8">
      <c r="A140" s="19" t="s">
        <v>195</v>
      </c>
      <c r="B140" s="19" t="s">
        <v>2538</v>
      </c>
      <c r="C140" s="19" t="s">
        <v>2189</v>
      </c>
      <c r="D140" s="19" t="s">
        <v>2351</v>
      </c>
      <c r="E140" s="19" t="s">
        <v>2539</v>
      </c>
      <c r="F140" s="19">
        <v>9.7200000000000006</v>
      </c>
      <c r="G140" s="19" t="s">
        <v>2154</v>
      </c>
      <c r="H140" s="19" t="s">
        <v>2155</v>
      </c>
    </row>
    <row r="141" spans="1:8">
      <c r="A141" s="18" t="s">
        <v>195</v>
      </c>
      <c r="B141" s="18" t="s">
        <v>2540</v>
      </c>
      <c r="C141" s="18" t="s">
        <v>2193</v>
      </c>
      <c r="D141" s="18" t="s">
        <v>2541</v>
      </c>
      <c r="E141" s="18" t="s">
        <v>2542</v>
      </c>
      <c r="F141" s="18">
        <v>6.88</v>
      </c>
      <c r="G141" s="18" t="s">
        <v>2154</v>
      </c>
      <c r="H141" s="18" t="s">
        <v>2187</v>
      </c>
    </row>
    <row r="142" spans="1:8">
      <c r="A142" s="19" t="s">
        <v>195</v>
      </c>
      <c r="B142" s="19" t="s">
        <v>2543</v>
      </c>
      <c r="C142" s="19" t="s">
        <v>2197</v>
      </c>
      <c r="D142" s="19" t="s">
        <v>2253</v>
      </c>
      <c r="E142" s="19" t="s">
        <v>2254</v>
      </c>
      <c r="F142" s="19">
        <v>9.65</v>
      </c>
      <c r="G142" s="19" t="s">
        <v>2154</v>
      </c>
      <c r="H142" s="19" t="s">
        <v>2187</v>
      </c>
    </row>
    <row r="143" spans="1:8">
      <c r="A143" s="18" t="s">
        <v>195</v>
      </c>
      <c r="B143" s="18" t="s">
        <v>2544</v>
      </c>
      <c r="C143" s="18" t="s">
        <v>1819</v>
      </c>
      <c r="D143" s="18" t="s">
        <v>2545</v>
      </c>
      <c r="E143" s="18" t="s">
        <v>2546</v>
      </c>
      <c r="F143" s="18">
        <v>11.14</v>
      </c>
      <c r="G143" s="18" t="s">
        <v>2154</v>
      </c>
      <c r="H143" s="18" t="s">
        <v>2155</v>
      </c>
    </row>
    <row r="144" spans="1:8">
      <c r="A144" s="19" t="s">
        <v>195</v>
      </c>
      <c r="B144" s="19" t="s">
        <v>2547</v>
      </c>
      <c r="C144" s="19" t="s">
        <v>2204</v>
      </c>
      <c r="D144" s="19" t="s">
        <v>2548</v>
      </c>
      <c r="E144" s="19" t="s">
        <v>2549</v>
      </c>
      <c r="F144" s="19">
        <v>10.71</v>
      </c>
      <c r="G144" s="19" t="s">
        <v>2154</v>
      </c>
      <c r="H144" s="19" t="s">
        <v>2171</v>
      </c>
    </row>
    <row r="145" spans="1:8">
      <c r="A145" s="18" t="s">
        <v>195</v>
      </c>
      <c r="B145" s="18" t="s">
        <v>2550</v>
      </c>
      <c r="C145" s="18" t="s">
        <v>1843</v>
      </c>
      <c r="D145" s="18" t="s">
        <v>2393</v>
      </c>
      <c r="E145" s="18" t="s">
        <v>2551</v>
      </c>
      <c r="F145" s="18">
        <v>8.8000000000000007</v>
      </c>
      <c r="G145" s="18" t="s">
        <v>2154</v>
      </c>
      <c r="H145" s="18" t="s">
        <v>2187</v>
      </c>
    </row>
    <row r="146" spans="1:8">
      <c r="A146" s="19" t="s">
        <v>195</v>
      </c>
      <c r="B146" s="19" t="s">
        <v>2552</v>
      </c>
      <c r="C146" s="19" t="s">
        <v>2211</v>
      </c>
      <c r="D146" s="19" t="s">
        <v>2553</v>
      </c>
      <c r="E146" s="19" t="s">
        <v>2554</v>
      </c>
      <c r="F146" s="19">
        <v>7.46</v>
      </c>
      <c r="G146" s="19" t="s">
        <v>2154</v>
      </c>
      <c r="H146" s="19" t="s">
        <v>2160</v>
      </c>
    </row>
    <row r="147" spans="1:8">
      <c r="A147" s="18" t="s">
        <v>195</v>
      </c>
      <c r="B147" s="18" t="s">
        <v>2555</v>
      </c>
      <c r="C147" s="18" t="s">
        <v>2215</v>
      </c>
      <c r="D147" s="18" t="s">
        <v>2470</v>
      </c>
      <c r="E147" s="18" t="s">
        <v>2471</v>
      </c>
      <c r="F147" s="18">
        <v>11.49</v>
      </c>
      <c r="G147" s="18" t="s">
        <v>2154</v>
      </c>
      <c r="H147" s="18" t="s">
        <v>2187</v>
      </c>
    </row>
    <row r="148" spans="1:8">
      <c r="A148" s="19" t="s">
        <v>195</v>
      </c>
      <c r="B148" s="19" t="s">
        <v>2556</v>
      </c>
      <c r="C148" s="19" t="s">
        <v>2219</v>
      </c>
      <c r="D148" s="19" t="s">
        <v>2557</v>
      </c>
      <c r="E148" s="19" t="s">
        <v>2558</v>
      </c>
      <c r="F148" s="19">
        <v>7.7</v>
      </c>
      <c r="G148" s="19" t="s">
        <v>2154</v>
      </c>
      <c r="H148" s="19" t="s">
        <v>2160</v>
      </c>
    </row>
    <row r="149" spans="1:8">
      <c r="A149" s="18" t="s">
        <v>195</v>
      </c>
      <c r="B149" s="18" t="s">
        <v>2559</v>
      </c>
      <c r="C149" s="18" t="s">
        <v>2222</v>
      </c>
      <c r="D149" s="18" t="s">
        <v>2491</v>
      </c>
      <c r="E149" s="18" t="s">
        <v>2224</v>
      </c>
      <c r="F149" s="18">
        <v>10.59</v>
      </c>
      <c r="G149" s="18" t="s">
        <v>2154</v>
      </c>
      <c r="H149" s="18" t="s">
        <v>2171</v>
      </c>
    </row>
    <row r="150" spans="1:8">
      <c r="A150" s="19" t="s">
        <v>195</v>
      </c>
      <c r="B150" s="19" t="s">
        <v>2560</v>
      </c>
      <c r="C150" s="19" t="s">
        <v>2226</v>
      </c>
      <c r="D150" s="19" t="s">
        <v>2561</v>
      </c>
      <c r="E150" s="19" t="s">
        <v>2562</v>
      </c>
      <c r="F150" s="19">
        <v>11.46</v>
      </c>
      <c r="G150" s="19" t="s">
        <v>2154</v>
      </c>
      <c r="H150" s="19" t="s">
        <v>2187</v>
      </c>
    </row>
    <row r="151" spans="1:8">
      <c r="A151" s="18" t="s">
        <v>195</v>
      </c>
      <c r="B151" s="18" t="s">
        <v>2563</v>
      </c>
      <c r="C151" s="18" t="s">
        <v>2230</v>
      </c>
      <c r="D151" s="18" t="s">
        <v>2536</v>
      </c>
      <c r="E151" s="18" t="s">
        <v>2537</v>
      </c>
      <c r="F151" s="18">
        <v>8.17</v>
      </c>
      <c r="G151" s="18" t="s">
        <v>2154</v>
      </c>
      <c r="H151" s="18" t="s">
        <v>2155</v>
      </c>
    </row>
    <row r="152" spans="1:8">
      <c r="A152" s="19" t="s">
        <v>195</v>
      </c>
      <c r="B152" s="19" t="s">
        <v>2564</v>
      </c>
      <c r="C152" s="19" t="s">
        <v>2234</v>
      </c>
      <c r="D152" s="19" t="s">
        <v>2319</v>
      </c>
      <c r="E152" s="19" t="s">
        <v>2565</v>
      </c>
      <c r="F152" s="19">
        <v>6.63</v>
      </c>
      <c r="G152" s="19" t="s">
        <v>2154</v>
      </c>
      <c r="H152" s="19" t="s">
        <v>2155</v>
      </c>
    </row>
    <row r="153" spans="1:8">
      <c r="A153" s="18" t="s">
        <v>195</v>
      </c>
      <c r="B153" s="18" t="s">
        <v>2566</v>
      </c>
      <c r="C153" s="18" t="s">
        <v>2238</v>
      </c>
      <c r="D153" s="18" t="s">
        <v>2567</v>
      </c>
      <c r="E153" s="18" t="s">
        <v>2568</v>
      </c>
      <c r="F153" s="18">
        <v>10.63</v>
      </c>
      <c r="G153" s="18" t="s">
        <v>2154</v>
      </c>
      <c r="H153" s="18" t="s">
        <v>2171</v>
      </c>
    </row>
    <row r="154" spans="1:8">
      <c r="A154" s="19" t="s">
        <v>195</v>
      </c>
      <c r="B154" s="19" t="s">
        <v>2569</v>
      </c>
      <c r="C154" s="19" t="s">
        <v>2241</v>
      </c>
      <c r="D154" s="19" t="s">
        <v>2174</v>
      </c>
      <c r="E154" s="19" t="s">
        <v>2570</v>
      </c>
      <c r="F154" s="19">
        <v>8.06</v>
      </c>
      <c r="G154" s="19" t="s">
        <v>2154</v>
      </c>
      <c r="H154" s="19" t="s">
        <v>2187</v>
      </c>
    </row>
    <row r="155" spans="1:8">
      <c r="A155" s="18" t="s">
        <v>195</v>
      </c>
      <c r="B155" s="18" t="s">
        <v>2571</v>
      </c>
      <c r="C155" s="18" t="s">
        <v>2245</v>
      </c>
      <c r="D155" s="18" t="s">
        <v>2572</v>
      </c>
      <c r="E155" s="18" t="s">
        <v>2573</v>
      </c>
      <c r="F155" s="18">
        <v>11.44</v>
      </c>
      <c r="G155" s="18" t="s">
        <v>2154</v>
      </c>
      <c r="H155" s="18" t="s">
        <v>2187</v>
      </c>
    </row>
    <row r="156" spans="1:8">
      <c r="A156" s="19" t="s">
        <v>195</v>
      </c>
      <c r="B156" s="19" t="s">
        <v>2574</v>
      </c>
      <c r="C156" s="19" t="s">
        <v>2249</v>
      </c>
      <c r="D156" s="19" t="s">
        <v>2575</v>
      </c>
      <c r="E156" s="19" t="s">
        <v>2576</v>
      </c>
      <c r="F156" s="19">
        <v>10.19</v>
      </c>
      <c r="G156" s="19" t="s">
        <v>2154</v>
      </c>
      <c r="H156" s="19" t="s">
        <v>2187</v>
      </c>
    </row>
    <row r="157" spans="1:8">
      <c r="A157" s="18" t="s">
        <v>195</v>
      </c>
      <c r="B157" s="18" t="s">
        <v>2577</v>
      </c>
      <c r="C157" s="18" t="s">
        <v>2252</v>
      </c>
      <c r="D157" s="18" t="s">
        <v>2578</v>
      </c>
      <c r="E157" s="18" t="s">
        <v>2579</v>
      </c>
      <c r="F157" s="18">
        <v>8.19</v>
      </c>
      <c r="G157" s="18" t="s">
        <v>2154</v>
      </c>
      <c r="H157" s="18" t="s">
        <v>2160</v>
      </c>
    </row>
    <row r="158" spans="1:8">
      <c r="A158" s="19" t="s">
        <v>195</v>
      </c>
      <c r="B158" s="19" t="s">
        <v>2580</v>
      </c>
      <c r="C158" s="19" t="s">
        <v>2376</v>
      </c>
      <c r="D158" s="19" t="s">
        <v>2581</v>
      </c>
      <c r="E158" s="19" t="s">
        <v>2582</v>
      </c>
      <c r="F158" s="19">
        <v>9.48</v>
      </c>
      <c r="G158" s="19" t="s">
        <v>2154</v>
      </c>
      <c r="H158" s="19" t="s">
        <v>2160</v>
      </c>
    </row>
    <row r="159" spans="1:8">
      <c r="A159" s="18" t="s">
        <v>195</v>
      </c>
      <c r="B159" s="18" t="s">
        <v>2583</v>
      </c>
      <c r="C159" s="18" t="s">
        <v>2260</v>
      </c>
      <c r="D159" s="18" t="s">
        <v>2584</v>
      </c>
      <c r="E159" s="18" t="s">
        <v>2585</v>
      </c>
      <c r="F159" s="18">
        <v>9.35</v>
      </c>
      <c r="G159" s="18" t="s">
        <v>2154</v>
      </c>
      <c r="H159" s="18" t="s">
        <v>2155</v>
      </c>
    </row>
    <row r="160" spans="1:8">
      <c r="A160" s="19" t="s">
        <v>195</v>
      </c>
      <c r="B160" s="19" t="s">
        <v>2586</v>
      </c>
      <c r="C160" s="19" t="s">
        <v>2264</v>
      </c>
      <c r="D160" s="19" t="s">
        <v>2387</v>
      </c>
      <c r="E160" s="19" t="s">
        <v>2587</v>
      </c>
      <c r="F160" s="19">
        <v>8.9</v>
      </c>
      <c r="G160" s="19" t="s">
        <v>2154</v>
      </c>
      <c r="H160" s="19" t="s">
        <v>2160</v>
      </c>
    </row>
    <row r="161" spans="1:8">
      <c r="A161" s="18" t="s">
        <v>195</v>
      </c>
      <c r="B161" s="18" t="s">
        <v>2588</v>
      </c>
      <c r="C161" s="18" t="s">
        <v>1948</v>
      </c>
      <c r="D161" s="18" t="s">
        <v>2589</v>
      </c>
      <c r="E161" s="18" t="s">
        <v>2590</v>
      </c>
      <c r="F161" s="18">
        <v>9.26</v>
      </c>
      <c r="G161" s="18" t="s">
        <v>2154</v>
      </c>
      <c r="H161" s="18" t="s">
        <v>2187</v>
      </c>
    </row>
    <row r="162" spans="1:8">
      <c r="A162" s="19" t="s">
        <v>195</v>
      </c>
      <c r="B162" s="19" t="s">
        <v>2591</v>
      </c>
      <c r="C162" s="19" t="s">
        <v>2269</v>
      </c>
      <c r="D162" s="19" t="s">
        <v>2592</v>
      </c>
      <c r="E162" s="19" t="s">
        <v>2202</v>
      </c>
      <c r="F162" s="19">
        <v>8.15</v>
      </c>
      <c r="G162" s="19" t="s">
        <v>2154</v>
      </c>
      <c r="H162" s="19" t="s">
        <v>2160</v>
      </c>
    </row>
    <row r="163" spans="1:8">
      <c r="A163" s="18" t="s">
        <v>195</v>
      </c>
      <c r="B163" s="18" t="s">
        <v>2593</v>
      </c>
      <c r="C163" s="18" t="s">
        <v>2273</v>
      </c>
      <c r="D163" s="18" t="s">
        <v>2594</v>
      </c>
      <c r="E163" s="18" t="s">
        <v>2595</v>
      </c>
      <c r="F163" s="18">
        <v>8.85</v>
      </c>
      <c r="G163" s="18" t="s">
        <v>2154</v>
      </c>
      <c r="H163" s="18" t="s">
        <v>2187</v>
      </c>
    </row>
    <row r="164" spans="1:8">
      <c r="A164" s="19" t="s">
        <v>195</v>
      </c>
      <c r="B164" s="19" t="s">
        <v>2596</v>
      </c>
      <c r="C164" s="19" t="s">
        <v>2277</v>
      </c>
      <c r="D164" s="19" t="s">
        <v>2597</v>
      </c>
      <c r="E164" s="19" t="s">
        <v>2598</v>
      </c>
      <c r="F164" s="19">
        <v>10.76</v>
      </c>
      <c r="G164" s="19" t="s">
        <v>2154</v>
      </c>
      <c r="H164" s="19" t="s">
        <v>2160</v>
      </c>
    </row>
    <row r="165" spans="1:8">
      <c r="A165" s="18" t="s">
        <v>195</v>
      </c>
      <c r="B165" s="18" t="s">
        <v>2599</v>
      </c>
      <c r="C165" s="18" t="s">
        <v>2281</v>
      </c>
      <c r="D165" s="18" t="s">
        <v>2600</v>
      </c>
      <c r="E165" s="18" t="s">
        <v>2601</v>
      </c>
      <c r="F165" s="18">
        <v>9.4</v>
      </c>
      <c r="G165" s="18" t="s">
        <v>2154</v>
      </c>
      <c r="H165" s="18" t="s">
        <v>2171</v>
      </c>
    </row>
    <row r="166" spans="1:8">
      <c r="A166" s="19" t="s">
        <v>195</v>
      </c>
      <c r="B166" s="19" t="s">
        <v>2602</v>
      </c>
      <c r="C166" s="19" t="s">
        <v>2396</v>
      </c>
      <c r="D166" s="19" t="s">
        <v>2603</v>
      </c>
      <c r="E166" s="19" t="s">
        <v>2604</v>
      </c>
      <c r="F166" s="19">
        <v>10.26</v>
      </c>
      <c r="G166" s="19" t="s">
        <v>2154</v>
      </c>
      <c r="H166" s="19" t="s">
        <v>2155</v>
      </c>
    </row>
    <row r="167" spans="1:8">
      <c r="A167" s="18" t="s">
        <v>195</v>
      </c>
      <c r="B167" s="18" t="s">
        <v>2605</v>
      </c>
      <c r="C167" s="18" t="s">
        <v>2289</v>
      </c>
      <c r="D167" s="18" t="s">
        <v>2606</v>
      </c>
      <c r="E167" s="18" t="s">
        <v>2607</v>
      </c>
      <c r="F167" s="18">
        <v>6.64</v>
      </c>
      <c r="G167" s="18" t="s">
        <v>2154</v>
      </c>
      <c r="H167" s="18" t="s">
        <v>2171</v>
      </c>
    </row>
    <row r="168" spans="1:8">
      <c r="A168" s="19" t="s">
        <v>195</v>
      </c>
      <c r="B168" s="19" t="s">
        <v>2608</v>
      </c>
      <c r="C168" s="19" t="s">
        <v>2293</v>
      </c>
      <c r="D168" s="19" t="s">
        <v>2377</v>
      </c>
      <c r="E168" s="19" t="s">
        <v>2609</v>
      </c>
      <c r="F168" s="19">
        <v>9.5500000000000007</v>
      </c>
      <c r="G168" s="19" t="s">
        <v>2154</v>
      </c>
      <c r="H168" s="19" t="s">
        <v>2187</v>
      </c>
    </row>
    <row r="169" spans="1:8">
      <c r="A169" s="18" t="s">
        <v>195</v>
      </c>
      <c r="B169" s="18" t="s">
        <v>2610</v>
      </c>
      <c r="C169" s="18" t="s">
        <v>2296</v>
      </c>
      <c r="D169" s="18" t="s">
        <v>2611</v>
      </c>
      <c r="E169" s="18" t="s">
        <v>2612</v>
      </c>
      <c r="F169" s="18">
        <v>7.83</v>
      </c>
      <c r="G169" s="18" t="s">
        <v>2154</v>
      </c>
      <c r="H169" s="18" t="s">
        <v>2160</v>
      </c>
    </row>
    <row r="170" spans="1:8">
      <c r="A170" s="19" t="s">
        <v>195</v>
      </c>
      <c r="B170" s="19" t="s">
        <v>2613</v>
      </c>
      <c r="C170" s="19" t="s">
        <v>2300</v>
      </c>
      <c r="D170" s="19" t="s">
        <v>2301</v>
      </c>
      <c r="E170" s="19" t="s">
        <v>2614</v>
      </c>
      <c r="F170" s="19">
        <v>8.2100000000000009</v>
      </c>
      <c r="G170" s="19" t="s">
        <v>2154</v>
      </c>
      <c r="H170" s="19" t="s">
        <v>2155</v>
      </c>
    </row>
    <row r="171" spans="1:8">
      <c r="A171" s="18" t="s">
        <v>195</v>
      </c>
      <c r="B171" s="18" t="s">
        <v>2615</v>
      </c>
      <c r="C171" s="18" t="s">
        <v>2144</v>
      </c>
      <c r="D171" s="18" t="s">
        <v>2616</v>
      </c>
      <c r="E171" s="18" t="s">
        <v>2617</v>
      </c>
      <c r="F171" s="18">
        <v>6.8</v>
      </c>
      <c r="G171" s="18" t="s">
        <v>2154</v>
      </c>
      <c r="H171" s="18" t="s">
        <v>2187</v>
      </c>
    </row>
    <row r="172" spans="1:8">
      <c r="A172" s="19" t="s">
        <v>195</v>
      </c>
      <c r="B172" s="19" t="s">
        <v>2618</v>
      </c>
      <c r="C172" s="19" t="s">
        <v>2307</v>
      </c>
      <c r="D172" s="19" t="s">
        <v>2619</v>
      </c>
      <c r="E172" s="19" t="s">
        <v>2620</v>
      </c>
      <c r="F172" s="19">
        <v>7.19</v>
      </c>
      <c r="G172" s="19" t="s">
        <v>2154</v>
      </c>
      <c r="H172" s="19" t="s">
        <v>2171</v>
      </c>
    </row>
    <row r="173" spans="1:8">
      <c r="A173" s="18" t="s">
        <v>195</v>
      </c>
      <c r="B173" s="18" t="s">
        <v>2621</v>
      </c>
      <c r="C173" s="18" t="s">
        <v>2311</v>
      </c>
      <c r="D173" s="18" t="s">
        <v>2380</v>
      </c>
      <c r="E173" s="18" t="s">
        <v>2622</v>
      </c>
      <c r="F173" s="18">
        <v>9.0299999999999994</v>
      </c>
      <c r="G173" s="18" t="s">
        <v>2154</v>
      </c>
      <c r="H173" s="18" t="s">
        <v>2171</v>
      </c>
    </row>
    <row r="174" spans="1:8">
      <c r="A174" s="19" t="s">
        <v>861</v>
      </c>
      <c r="B174" s="19" t="s">
        <v>2623</v>
      </c>
      <c r="C174" s="19" t="s">
        <v>2038</v>
      </c>
      <c r="D174" s="19" t="s">
        <v>2624</v>
      </c>
      <c r="E174" s="19" t="s">
        <v>2489</v>
      </c>
      <c r="F174" s="19">
        <v>10.4</v>
      </c>
      <c r="G174" s="19" t="s">
        <v>2154</v>
      </c>
      <c r="H174" s="19" t="s">
        <v>2160</v>
      </c>
    </row>
    <row r="175" spans="1:8">
      <c r="A175" s="18" t="s">
        <v>861</v>
      </c>
      <c r="B175" s="18" t="s">
        <v>2625</v>
      </c>
      <c r="C175" s="18" t="s">
        <v>2157</v>
      </c>
      <c r="D175" s="18" t="s">
        <v>2397</v>
      </c>
      <c r="E175" s="18" t="s">
        <v>2398</v>
      </c>
      <c r="F175" s="18">
        <v>6.89</v>
      </c>
      <c r="G175" s="18" t="s">
        <v>2154</v>
      </c>
      <c r="H175" s="18" t="s">
        <v>2171</v>
      </c>
    </row>
    <row r="176" spans="1:8">
      <c r="A176" s="19" t="s">
        <v>861</v>
      </c>
      <c r="B176" s="19" t="s">
        <v>2626</v>
      </c>
      <c r="C176" s="19" t="s">
        <v>2162</v>
      </c>
      <c r="D176" s="19"/>
      <c r="E176" s="19"/>
      <c r="F176" s="19"/>
      <c r="G176" s="19" t="s">
        <v>2163</v>
      </c>
      <c r="H176" s="19" t="s">
        <v>2171</v>
      </c>
    </row>
    <row r="177" spans="1:8">
      <c r="A177" s="18" t="s">
        <v>861</v>
      </c>
      <c r="B177" s="18" t="s">
        <v>2627</v>
      </c>
      <c r="C177" s="18" t="s">
        <v>1937</v>
      </c>
      <c r="D177" s="18" t="s">
        <v>2242</v>
      </c>
      <c r="E177" s="18" t="s">
        <v>2565</v>
      </c>
      <c r="F177" s="18">
        <v>8.1300000000000008</v>
      </c>
      <c r="G177" s="18" t="s">
        <v>2154</v>
      </c>
      <c r="H177" s="18" t="s">
        <v>2160</v>
      </c>
    </row>
    <row r="178" spans="1:8">
      <c r="A178" s="19" t="s">
        <v>861</v>
      </c>
      <c r="B178" s="19" t="s">
        <v>2628</v>
      </c>
      <c r="C178" s="19" t="s">
        <v>2168</v>
      </c>
      <c r="D178" s="19" t="s">
        <v>2274</v>
      </c>
      <c r="E178" s="19" t="s">
        <v>2629</v>
      </c>
      <c r="F178" s="19">
        <v>10</v>
      </c>
      <c r="G178" s="19" t="s">
        <v>2154</v>
      </c>
      <c r="H178" s="19" t="s">
        <v>2187</v>
      </c>
    </row>
    <row r="179" spans="1:8">
      <c r="A179" s="18" t="s">
        <v>861</v>
      </c>
      <c r="B179" s="18" t="s">
        <v>2630</v>
      </c>
      <c r="C179" s="18" t="s">
        <v>2173</v>
      </c>
      <c r="D179" s="18" t="s">
        <v>2278</v>
      </c>
      <c r="E179" s="18" t="s">
        <v>2283</v>
      </c>
      <c r="F179" s="18">
        <v>8.58</v>
      </c>
      <c r="G179" s="18" t="s">
        <v>2154</v>
      </c>
      <c r="H179" s="18" t="s">
        <v>2160</v>
      </c>
    </row>
    <row r="180" spans="1:8">
      <c r="A180" s="19" t="s">
        <v>861</v>
      </c>
      <c r="B180" s="19" t="s">
        <v>2631</v>
      </c>
      <c r="C180" s="19" t="s">
        <v>2177</v>
      </c>
      <c r="D180" s="19" t="s">
        <v>2632</v>
      </c>
      <c r="E180" s="19" t="s">
        <v>2633</v>
      </c>
      <c r="F180" s="19">
        <v>10.91</v>
      </c>
      <c r="G180" s="19" t="s">
        <v>2154</v>
      </c>
      <c r="H180" s="19" t="s">
        <v>2171</v>
      </c>
    </row>
    <row r="181" spans="1:8">
      <c r="A181" s="18" t="s">
        <v>861</v>
      </c>
      <c r="B181" s="18" t="s">
        <v>2634</v>
      </c>
      <c r="C181" s="18" t="s">
        <v>1945</v>
      </c>
      <c r="D181" s="18" t="s">
        <v>2635</v>
      </c>
      <c r="E181" s="18" t="s">
        <v>2636</v>
      </c>
      <c r="F181" s="18">
        <v>9.6</v>
      </c>
      <c r="G181" s="18" t="s">
        <v>2154</v>
      </c>
      <c r="H181" s="18" t="s">
        <v>2187</v>
      </c>
    </row>
    <row r="182" spans="1:8">
      <c r="A182" s="19" t="s">
        <v>861</v>
      </c>
      <c r="B182" s="19" t="s">
        <v>2637</v>
      </c>
      <c r="C182" s="19" t="s">
        <v>2184</v>
      </c>
      <c r="D182" s="19" t="s">
        <v>2158</v>
      </c>
      <c r="E182" s="19" t="s">
        <v>2638</v>
      </c>
      <c r="F182" s="19">
        <v>11.34</v>
      </c>
      <c r="G182" s="19" t="s">
        <v>2154</v>
      </c>
      <c r="H182" s="19" t="s">
        <v>2155</v>
      </c>
    </row>
    <row r="183" spans="1:8">
      <c r="A183" s="18" t="s">
        <v>861</v>
      </c>
      <c r="B183" s="18" t="s">
        <v>2639</v>
      </c>
      <c r="C183" s="18" t="s">
        <v>2189</v>
      </c>
      <c r="D183" s="18" t="s">
        <v>2640</v>
      </c>
      <c r="E183" s="18" t="s">
        <v>2641</v>
      </c>
      <c r="F183" s="18">
        <v>9.51</v>
      </c>
      <c r="G183" s="18" t="s">
        <v>2154</v>
      </c>
      <c r="H183" s="18" t="s">
        <v>2171</v>
      </c>
    </row>
    <row r="184" spans="1:8">
      <c r="A184" s="19" t="s">
        <v>861</v>
      </c>
      <c r="B184" s="19" t="s">
        <v>2642</v>
      </c>
      <c r="C184" s="19" t="s">
        <v>2643</v>
      </c>
      <c r="D184" s="19" t="s">
        <v>2337</v>
      </c>
      <c r="E184" s="19" t="s">
        <v>2644</v>
      </c>
      <c r="F184" s="19">
        <v>8.58</v>
      </c>
      <c r="G184" s="19" t="s">
        <v>2154</v>
      </c>
      <c r="H184" s="19" t="s">
        <v>2187</v>
      </c>
    </row>
    <row r="185" spans="1:8">
      <c r="A185" s="18" t="s">
        <v>861</v>
      </c>
      <c r="B185" s="18" t="s">
        <v>2645</v>
      </c>
      <c r="C185" s="18" t="s">
        <v>2646</v>
      </c>
      <c r="D185" s="18" t="s">
        <v>2253</v>
      </c>
      <c r="E185" s="18" t="s">
        <v>2254</v>
      </c>
      <c r="F185" s="18">
        <v>9.67</v>
      </c>
      <c r="G185" s="18" t="s">
        <v>2154</v>
      </c>
      <c r="H185" s="18" t="s">
        <v>2155</v>
      </c>
    </row>
    <row r="186" spans="1:8">
      <c r="A186" s="19" t="s">
        <v>861</v>
      </c>
      <c r="B186" s="19" t="s">
        <v>2647</v>
      </c>
      <c r="C186" s="19" t="s">
        <v>1819</v>
      </c>
      <c r="D186" s="19" t="s">
        <v>2274</v>
      </c>
      <c r="E186" s="19" t="s">
        <v>2648</v>
      </c>
      <c r="F186" s="19">
        <v>11.44</v>
      </c>
      <c r="G186" s="19" t="s">
        <v>2154</v>
      </c>
      <c r="H186" s="19" t="s">
        <v>2155</v>
      </c>
    </row>
    <row r="187" spans="1:8">
      <c r="A187" s="18" t="s">
        <v>861</v>
      </c>
      <c r="B187" s="18" t="s">
        <v>2649</v>
      </c>
      <c r="C187" s="18" t="s">
        <v>2204</v>
      </c>
      <c r="D187" s="18" t="s">
        <v>2387</v>
      </c>
      <c r="E187" s="18" t="s">
        <v>2587</v>
      </c>
      <c r="F187" s="18">
        <v>8.1999999999999993</v>
      </c>
      <c r="G187" s="18" t="s">
        <v>2154</v>
      </c>
      <c r="H187" s="18" t="s">
        <v>2187</v>
      </c>
    </row>
    <row r="188" spans="1:8">
      <c r="A188" s="19" t="s">
        <v>861</v>
      </c>
      <c r="B188" s="19" t="s">
        <v>2650</v>
      </c>
      <c r="C188" s="19" t="s">
        <v>1843</v>
      </c>
      <c r="D188" s="19" t="s">
        <v>2365</v>
      </c>
      <c r="E188" s="19" t="s">
        <v>2366</v>
      </c>
      <c r="F188" s="19">
        <v>7.96</v>
      </c>
      <c r="G188" s="19" t="s">
        <v>2154</v>
      </c>
      <c r="H188" s="19" t="s">
        <v>2160</v>
      </c>
    </row>
    <row r="189" spans="1:8">
      <c r="A189" s="18" t="s">
        <v>861</v>
      </c>
      <c r="B189" s="18" t="s">
        <v>2651</v>
      </c>
      <c r="C189" s="18" t="s">
        <v>2211</v>
      </c>
      <c r="D189" s="18" t="s">
        <v>2652</v>
      </c>
      <c r="E189" s="18" t="s">
        <v>2653</v>
      </c>
      <c r="F189" s="18">
        <v>9.5399999999999991</v>
      </c>
      <c r="G189" s="18" t="s">
        <v>2154</v>
      </c>
      <c r="H189" s="18" t="s">
        <v>2187</v>
      </c>
    </row>
    <row r="190" spans="1:8">
      <c r="A190" s="19" t="s">
        <v>861</v>
      </c>
      <c r="B190" s="19" t="s">
        <v>2654</v>
      </c>
      <c r="C190" s="19" t="s">
        <v>2215</v>
      </c>
      <c r="D190" s="19" t="s">
        <v>2270</v>
      </c>
      <c r="E190" s="19" t="s">
        <v>2655</v>
      </c>
      <c r="F190" s="19">
        <v>6.67</v>
      </c>
      <c r="G190" s="19" t="s">
        <v>2154</v>
      </c>
      <c r="H190" s="19" t="s">
        <v>2171</v>
      </c>
    </row>
    <row r="191" spans="1:8">
      <c r="A191" s="18" t="s">
        <v>861</v>
      </c>
      <c r="B191" s="18" t="s">
        <v>2656</v>
      </c>
      <c r="C191" s="18" t="s">
        <v>2219</v>
      </c>
      <c r="D191" s="18" t="s">
        <v>2373</v>
      </c>
      <c r="E191" s="18" t="s">
        <v>2374</v>
      </c>
      <c r="F191" s="18">
        <v>11.42</v>
      </c>
      <c r="G191" s="18" t="s">
        <v>2154</v>
      </c>
      <c r="H191" s="18" t="s">
        <v>2171</v>
      </c>
    </row>
    <row r="192" spans="1:8">
      <c r="A192" s="19" t="s">
        <v>861</v>
      </c>
      <c r="B192" s="19" t="s">
        <v>2657</v>
      </c>
      <c r="C192" s="19" t="s">
        <v>2222</v>
      </c>
      <c r="D192" s="19" t="s">
        <v>2594</v>
      </c>
      <c r="E192" s="19" t="s">
        <v>2658</v>
      </c>
      <c r="F192" s="19">
        <v>11.33</v>
      </c>
      <c r="G192" s="19" t="s">
        <v>2154</v>
      </c>
      <c r="H192" s="19" t="s">
        <v>2187</v>
      </c>
    </row>
    <row r="193" spans="1:8">
      <c r="A193" s="18" t="s">
        <v>861</v>
      </c>
      <c r="B193" s="18" t="s">
        <v>2659</v>
      </c>
      <c r="C193" s="18" t="s">
        <v>2226</v>
      </c>
      <c r="D193" s="18" t="s">
        <v>2266</v>
      </c>
      <c r="E193" s="18" t="s">
        <v>2660</v>
      </c>
      <c r="F193" s="18">
        <v>10.79</v>
      </c>
      <c r="G193" s="18" t="s">
        <v>2154</v>
      </c>
      <c r="H193" s="18" t="s">
        <v>2171</v>
      </c>
    </row>
    <row r="194" spans="1:8">
      <c r="A194" s="19" t="s">
        <v>861</v>
      </c>
      <c r="B194" s="19" t="s">
        <v>2661</v>
      </c>
      <c r="C194" s="19" t="s">
        <v>2230</v>
      </c>
      <c r="D194" s="19" t="s">
        <v>2662</v>
      </c>
      <c r="E194" s="19" t="s">
        <v>2663</v>
      </c>
      <c r="F194" s="19">
        <v>7.82</v>
      </c>
      <c r="G194" s="19" t="s">
        <v>2154</v>
      </c>
      <c r="H194" s="19" t="s">
        <v>2160</v>
      </c>
    </row>
    <row r="195" spans="1:8">
      <c r="A195" s="18" t="s">
        <v>861</v>
      </c>
      <c r="B195" s="18" t="s">
        <v>2664</v>
      </c>
      <c r="C195" s="18" t="s">
        <v>2234</v>
      </c>
      <c r="D195" s="18" t="s">
        <v>2290</v>
      </c>
      <c r="E195" s="18" t="s">
        <v>2665</v>
      </c>
      <c r="F195" s="18">
        <v>11.41</v>
      </c>
      <c r="G195" s="18" t="s">
        <v>2154</v>
      </c>
      <c r="H195" s="18" t="s">
        <v>2171</v>
      </c>
    </row>
    <row r="196" spans="1:8">
      <c r="A196" s="19" t="s">
        <v>861</v>
      </c>
      <c r="B196" s="19" t="s">
        <v>2666</v>
      </c>
      <c r="C196" s="19" t="s">
        <v>2238</v>
      </c>
      <c r="D196" s="19" t="s">
        <v>2589</v>
      </c>
      <c r="E196" s="19" t="s">
        <v>2667</v>
      </c>
      <c r="F196" s="19">
        <v>10.09</v>
      </c>
      <c r="G196" s="19" t="s">
        <v>2154</v>
      </c>
      <c r="H196" s="19" t="s">
        <v>2171</v>
      </c>
    </row>
    <row r="197" spans="1:8">
      <c r="A197" s="18" t="s">
        <v>861</v>
      </c>
      <c r="B197" s="18" t="s">
        <v>2668</v>
      </c>
      <c r="C197" s="18" t="s">
        <v>2241</v>
      </c>
      <c r="D197" s="18" t="s">
        <v>2356</v>
      </c>
      <c r="E197" s="18" t="s">
        <v>2357</v>
      </c>
      <c r="F197" s="18">
        <v>10.46</v>
      </c>
      <c r="G197" s="18" t="s">
        <v>2154</v>
      </c>
      <c r="H197" s="18" t="s">
        <v>2160</v>
      </c>
    </row>
    <row r="198" spans="1:8">
      <c r="A198" s="19" t="s">
        <v>861</v>
      </c>
      <c r="B198" s="19" t="s">
        <v>2669</v>
      </c>
      <c r="C198" s="19" t="s">
        <v>2245</v>
      </c>
      <c r="D198" s="19" t="s">
        <v>2370</v>
      </c>
      <c r="E198" s="19" t="s">
        <v>2670</v>
      </c>
      <c r="F198" s="19">
        <v>7.5</v>
      </c>
      <c r="G198" s="19" t="s">
        <v>2154</v>
      </c>
      <c r="H198" s="19" t="s">
        <v>2171</v>
      </c>
    </row>
    <row r="199" spans="1:8">
      <c r="A199" s="18" t="s">
        <v>861</v>
      </c>
      <c r="B199" s="18" t="s">
        <v>2671</v>
      </c>
      <c r="C199" s="18" t="s">
        <v>2249</v>
      </c>
      <c r="D199" s="18" t="s">
        <v>2246</v>
      </c>
      <c r="E199" s="18" t="s">
        <v>2672</v>
      </c>
      <c r="F199" s="18">
        <v>9.4</v>
      </c>
      <c r="G199" s="18" t="s">
        <v>2154</v>
      </c>
      <c r="H199" s="18" t="s">
        <v>2155</v>
      </c>
    </row>
    <row r="200" spans="1:8">
      <c r="A200" s="19" t="s">
        <v>861</v>
      </c>
      <c r="B200" s="19" t="s">
        <v>2673</v>
      </c>
      <c r="C200" s="19" t="s">
        <v>2252</v>
      </c>
      <c r="D200" s="19" t="s">
        <v>2397</v>
      </c>
      <c r="E200" s="19" t="s">
        <v>2398</v>
      </c>
      <c r="F200" s="19">
        <v>6.63</v>
      </c>
      <c r="G200" s="19" t="s">
        <v>2154</v>
      </c>
      <c r="H200" s="19" t="s">
        <v>2160</v>
      </c>
    </row>
    <row r="201" spans="1:8">
      <c r="A201" s="18" t="s">
        <v>861</v>
      </c>
      <c r="B201" s="18" t="s">
        <v>2674</v>
      </c>
      <c r="C201" s="18" t="s">
        <v>2376</v>
      </c>
      <c r="D201" s="18" t="s">
        <v>2473</v>
      </c>
      <c r="E201" s="18" t="s">
        <v>2675</v>
      </c>
      <c r="F201" s="18">
        <v>9.8800000000000008</v>
      </c>
      <c r="G201" s="18" t="s">
        <v>2154</v>
      </c>
      <c r="H201" s="18" t="s">
        <v>2155</v>
      </c>
    </row>
    <row r="202" spans="1:8">
      <c r="A202" s="19" t="s">
        <v>861</v>
      </c>
      <c r="B202" s="19" t="s">
        <v>2676</v>
      </c>
      <c r="C202" s="19" t="s">
        <v>2260</v>
      </c>
      <c r="D202" s="19" t="s">
        <v>2178</v>
      </c>
      <c r="E202" s="19" t="s">
        <v>2179</v>
      </c>
      <c r="F202" s="19">
        <v>11.48</v>
      </c>
      <c r="G202" s="19" t="s">
        <v>2154</v>
      </c>
      <c r="H202" s="19" t="s">
        <v>2160</v>
      </c>
    </row>
    <row r="203" spans="1:8">
      <c r="A203" s="18" t="s">
        <v>861</v>
      </c>
      <c r="B203" s="18" t="s">
        <v>2677</v>
      </c>
      <c r="C203" s="18" t="s">
        <v>2264</v>
      </c>
      <c r="D203" s="18" t="s">
        <v>2578</v>
      </c>
      <c r="E203" s="18" t="s">
        <v>2678</v>
      </c>
      <c r="F203" s="18">
        <v>9.07</v>
      </c>
      <c r="G203" s="18" t="s">
        <v>2154</v>
      </c>
      <c r="H203" s="18" t="s">
        <v>2187</v>
      </c>
    </row>
    <row r="204" spans="1:8">
      <c r="A204" s="19" t="s">
        <v>861</v>
      </c>
      <c r="B204" s="19" t="s">
        <v>2679</v>
      </c>
      <c r="C204" s="19" t="s">
        <v>1948</v>
      </c>
      <c r="D204" s="19" t="s">
        <v>2680</v>
      </c>
      <c r="E204" s="19" t="s">
        <v>2294</v>
      </c>
      <c r="F204" s="19">
        <v>8.92</v>
      </c>
      <c r="G204" s="19" t="s">
        <v>2154</v>
      </c>
      <c r="H204" s="19" t="s">
        <v>2187</v>
      </c>
    </row>
    <row r="205" spans="1:8">
      <c r="A205" s="18" t="s">
        <v>861</v>
      </c>
      <c r="B205" s="18" t="s">
        <v>2681</v>
      </c>
      <c r="C205" s="18" t="s">
        <v>2269</v>
      </c>
      <c r="D205" s="18" t="s">
        <v>2178</v>
      </c>
      <c r="E205" s="18" t="s">
        <v>2579</v>
      </c>
      <c r="F205" s="18">
        <v>6.62</v>
      </c>
      <c r="G205" s="18" t="s">
        <v>2154</v>
      </c>
      <c r="H205" s="18" t="s">
        <v>2155</v>
      </c>
    </row>
    <row r="206" spans="1:8">
      <c r="A206" s="19" t="s">
        <v>861</v>
      </c>
      <c r="B206" s="19" t="s">
        <v>2682</v>
      </c>
      <c r="C206" s="19" t="s">
        <v>2273</v>
      </c>
      <c r="D206" s="19" t="s">
        <v>2516</v>
      </c>
      <c r="E206" s="19" t="s">
        <v>2432</v>
      </c>
      <c r="F206" s="19">
        <v>11.34</v>
      </c>
      <c r="G206" s="19" t="s">
        <v>2154</v>
      </c>
      <c r="H206" s="19" t="s">
        <v>2155</v>
      </c>
    </row>
    <row r="207" spans="1:8">
      <c r="A207" s="18" t="s">
        <v>861</v>
      </c>
      <c r="B207" s="18" t="s">
        <v>2683</v>
      </c>
      <c r="C207" s="18" t="s">
        <v>2277</v>
      </c>
      <c r="D207" s="18" t="s">
        <v>2684</v>
      </c>
      <c r="E207" s="18" t="s">
        <v>2685</v>
      </c>
      <c r="F207" s="18">
        <v>7.53</v>
      </c>
      <c r="G207" s="18" t="s">
        <v>2154</v>
      </c>
      <c r="H207" s="18" t="s">
        <v>2171</v>
      </c>
    </row>
    <row r="208" spans="1:8">
      <c r="A208" s="19" t="s">
        <v>861</v>
      </c>
      <c r="B208" s="19" t="s">
        <v>2686</v>
      </c>
      <c r="C208" s="19" t="s">
        <v>2281</v>
      </c>
      <c r="D208" s="19" t="s">
        <v>2548</v>
      </c>
      <c r="E208" s="19" t="s">
        <v>2687</v>
      </c>
      <c r="F208" s="19">
        <v>6.89</v>
      </c>
      <c r="G208" s="19" t="s">
        <v>2154</v>
      </c>
      <c r="H208" s="19" t="s">
        <v>2187</v>
      </c>
    </row>
    <row r="209" spans="1:8">
      <c r="A209" s="18" t="s">
        <v>861</v>
      </c>
      <c r="B209" s="18" t="s">
        <v>2688</v>
      </c>
      <c r="C209" s="18" t="s">
        <v>2396</v>
      </c>
      <c r="D209" s="18" t="s">
        <v>2380</v>
      </c>
      <c r="E209" s="18" t="s">
        <v>2622</v>
      </c>
      <c r="F209" s="18">
        <v>9.9600000000000009</v>
      </c>
      <c r="G209" s="18" t="s">
        <v>2154</v>
      </c>
      <c r="H209" s="18" t="s">
        <v>2171</v>
      </c>
    </row>
    <row r="210" spans="1:8">
      <c r="A210" s="19" t="s">
        <v>861</v>
      </c>
      <c r="B210" s="19" t="s">
        <v>2689</v>
      </c>
      <c r="C210" s="19" t="s">
        <v>2289</v>
      </c>
      <c r="D210" s="19" t="s">
        <v>2690</v>
      </c>
      <c r="E210" s="19" t="s">
        <v>2691</v>
      </c>
      <c r="F210" s="19">
        <v>6.86</v>
      </c>
      <c r="G210" s="19" t="s">
        <v>2154</v>
      </c>
      <c r="H210" s="19" t="s">
        <v>2171</v>
      </c>
    </row>
    <row r="211" spans="1:8">
      <c r="A211" s="18" t="s">
        <v>861</v>
      </c>
      <c r="B211" s="18" t="s">
        <v>2692</v>
      </c>
      <c r="C211" s="18" t="s">
        <v>2293</v>
      </c>
      <c r="D211" s="18" t="s">
        <v>2693</v>
      </c>
      <c r="E211" s="18" t="s">
        <v>2694</v>
      </c>
      <c r="F211" s="18">
        <v>10.89</v>
      </c>
      <c r="G211" s="18" t="s">
        <v>2154</v>
      </c>
      <c r="H211" s="18" t="s">
        <v>2171</v>
      </c>
    </row>
    <row r="212" spans="1:8">
      <c r="A212" s="19" t="s">
        <v>861</v>
      </c>
      <c r="B212" s="19" t="s">
        <v>2695</v>
      </c>
      <c r="C212" s="19" t="s">
        <v>2296</v>
      </c>
      <c r="D212" s="19" t="s">
        <v>2696</v>
      </c>
      <c r="E212" s="19" t="s">
        <v>2672</v>
      </c>
      <c r="F212" s="19">
        <v>8.02</v>
      </c>
      <c r="G212" s="19" t="s">
        <v>2154</v>
      </c>
      <c r="H212" s="19" t="s">
        <v>2171</v>
      </c>
    </row>
    <row r="213" spans="1:8">
      <c r="A213" s="18" t="s">
        <v>861</v>
      </c>
      <c r="B213" s="18" t="s">
        <v>2697</v>
      </c>
      <c r="C213" s="18" t="s">
        <v>2698</v>
      </c>
      <c r="D213" s="18" t="s">
        <v>2208</v>
      </c>
      <c r="E213" s="18" t="s">
        <v>2360</v>
      </c>
      <c r="F213" s="18">
        <v>9.83</v>
      </c>
      <c r="G213" s="18" t="s">
        <v>2154</v>
      </c>
      <c r="H213" s="18" t="s">
        <v>2171</v>
      </c>
    </row>
    <row r="214" spans="1:8">
      <c r="A214" s="19" t="s">
        <v>861</v>
      </c>
      <c r="B214" s="19" t="s">
        <v>2699</v>
      </c>
      <c r="C214" s="19" t="s">
        <v>2144</v>
      </c>
      <c r="D214" s="19" t="s">
        <v>2700</v>
      </c>
      <c r="E214" s="19" t="s">
        <v>2701</v>
      </c>
      <c r="F214" s="19">
        <v>8.1300000000000008</v>
      </c>
      <c r="G214" s="19" t="s">
        <v>2154</v>
      </c>
      <c r="H214" s="19" t="s">
        <v>2160</v>
      </c>
    </row>
    <row r="215" spans="1:8">
      <c r="A215" s="18" t="s">
        <v>861</v>
      </c>
      <c r="B215" s="18" t="s">
        <v>2702</v>
      </c>
      <c r="C215" s="18" t="s">
        <v>2307</v>
      </c>
      <c r="D215" s="18" t="s">
        <v>2703</v>
      </c>
      <c r="E215" s="18" t="s">
        <v>2704</v>
      </c>
      <c r="F215" s="18">
        <v>7.23</v>
      </c>
      <c r="G215" s="18" t="s">
        <v>2154</v>
      </c>
      <c r="H215" s="18" t="s">
        <v>2160</v>
      </c>
    </row>
    <row r="216" spans="1:8">
      <c r="A216" s="19" t="s">
        <v>861</v>
      </c>
      <c r="B216" s="19" t="s">
        <v>2705</v>
      </c>
      <c r="C216" s="19" t="s">
        <v>2311</v>
      </c>
      <c r="D216" s="19" t="s">
        <v>2635</v>
      </c>
      <c r="E216" s="19" t="s">
        <v>2706</v>
      </c>
      <c r="F216" s="19">
        <v>7.28</v>
      </c>
      <c r="G216" s="19" t="s">
        <v>2154</v>
      </c>
      <c r="H216" s="19" t="s">
        <v>2155</v>
      </c>
    </row>
    <row r="217" spans="1:8">
      <c r="A217" s="18" t="s">
        <v>677</v>
      </c>
      <c r="B217" s="18" t="s">
        <v>2707</v>
      </c>
      <c r="C217" s="18" t="s">
        <v>2038</v>
      </c>
      <c r="D217" s="18" t="s">
        <v>2611</v>
      </c>
      <c r="E217" s="18" t="s">
        <v>2612</v>
      </c>
      <c r="F217" s="18">
        <v>7.15</v>
      </c>
      <c r="G217" s="18" t="s">
        <v>2154</v>
      </c>
      <c r="H217" s="18" t="s">
        <v>2160</v>
      </c>
    </row>
    <row r="218" spans="1:8">
      <c r="A218" s="19" t="s">
        <v>677</v>
      </c>
      <c r="B218" s="19" t="s">
        <v>2708</v>
      </c>
      <c r="C218" s="19" t="s">
        <v>2157</v>
      </c>
      <c r="D218" s="19" t="s">
        <v>2709</v>
      </c>
      <c r="E218" s="19" t="s">
        <v>2710</v>
      </c>
      <c r="F218" s="19">
        <v>8.66</v>
      </c>
      <c r="G218" s="19" t="s">
        <v>2154</v>
      </c>
      <c r="H218" s="19" t="s">
        <v>2171</v>
      </c>
    </row>
    <row r="219" spans="1:8">
      <c r="A219" s="18" t="s">
        <v>677</v>
      </c>
      <c r="B219" s="18" t="s">
        <v>2711</v>
      </c>
      <c r="C219" s="18" t="s">
        <v>2162</v>
      </c>
      <c r="D219" s="18" t="s">
        <v>2696</v>
      </c>
      <c r="E219" s="18" t="s">
        <v>2712</v>
      </c>
      <c r="F219" s="18">
        <v>7.29</v>
      </c>
      <c r="G219" s="18" t="s">
        <v>2154</v>
      </c>
      <c r="H219" s="18" t="s">
        <v>2171</v>
      </c>
    </row>
    <row r="220" spans="1:8">
      <c r="A220" s="19" t="s">
        <v>677</v>
      </c>
      <c r="B220" s="19" t="s">
        <v>2713</v>
      </c>
      <c r="C220" s="19" t="s">
        <v>1937</v>
      </c>
      <c r="D220" s="19" t="s">
        <v>2290</v>
      </c>
      <c r="E220" s="19" t="s">
        <v>2714</v>
      </c>
      <c r="F220" s="19">
        <v>7.18</v>
      </c>
      <c r="G220" s="19" t="s">
        <v>2154</v>
      </c>
      <c r="H220" s="19" t="s">
        <v>2155</v>
      </c>
    </row>
    <row r="221" spans="1:8">
      <c r="A221" s="18" t="s">
        <v>677</v>
      </c>
      <c r="B221" s="18" t="s">
        <v>2715</v>
      </c>
      <c r="C221" s="18" t="s">
        <v>2168</v>
      </c>
      <c r="D221" s="18" t="s">
        <v>2716</v>
      </c>
      <c r="E221" s="18" t="s">
        <v>2537</v>
      </c>
      <c r="F221" s="18">
        <v>10.44</v>
      </c>
      <c r="G221" s="18" t="s">
        <v>2154</v>
      </c>
      <c r="H221" s="18" t="s">
        <v>2160</v>
      </c>
    </row>
    <row r="222" spans="1:8">
      <c r="A222" s="19" t="s">
        <v>677</v>
      </c>
      <c r="B222" s="19" t="s">
        <v>2717</v>
      </c>
      <c r="C222" s="19" t="s">
        <v>2173</v>
      </c>
      <c r="D222" s="19" t="s">
        <v>2503</v>
      </c>
      <c r="E222" s="19" t="s">
        <v>2499</v>
      </c>
      <c r="F222" s="19">
        <v>6.51</v>
      </c>
      <c r="G222" s="19" t="s">
        <v>2154</v>
      </c>
      <c r="H222" s="19" t="s">
        <v>2171</v>
      </c>
    </row>
    <row r="223" spans="1:8">
      <c r="A223" s="18" t="s">
        <v>677</v>
      </c>
      <c r="B223" s="18" t="s">
        <v>2718</v>
      </c>
      <c r="C223" s="18" t="s">
        <v>2177</v>
      </c>
      <c r="D223" s="18" t="s">
        <v>2557</v>
      </c>
      <c r="E223" s="18" t="s">
        <v>2719</v>
      </c>
      <c r="F223" s="18">
        <v>6.61</v>
      </c>
      <c r="G223" s="18" t="s">
        <v>2154</v>
      </c>
      <c r="H223" s="18" t="s">
        <v>2155</v>
      </c>
    </row>
    <row r="224" spans="1:8">
      <c r="A224" s="19" t="s">
        <v>677</v>
      </c>
      <c r="B224" s="19" t="s">
        <v>2720</v>
      </c>
      <c r="C224" s="19" t="s">
        <v>1945</v>
      </c>
      <c r="D224" s="19" t="s">
        <v>2326</v>
      </c>
      <c r="E224" s="19" t="s">
        <v>2232</v>
      </c>
      <c r="F224" s="19">
        <v>9.6300000000000008</v>
      </c>
      <c r="G224" s="19" t="s">
        <v>2154</v>
      </c>
      <c r="H224" s="19" t="s">
        <v>2155</v>
      </c>
    </row>
    <row r="225" spans="1:8">
      <c r="A225" s="18" t="s">
        <v>677</v>
      </c>
      <c r="B225" s="18" t="s">
        <v>2721</v>
      </c>
      <c r="C225" s="18" t="s">
        <v>2184</v>
      </c>
      <c r="D225" s="18" t="s">
        <v>2632</v>
      </c>
      <c r="E225" s="18" t="s">
        <v>2633</v>
      </c>
      <c r="F225" s="18">
        <v>10.130000000000001</v>
      </c>
      <c r="G225" s="18" t="s">
        <v>2154</v>
      </c>
      <c r="H225" s="18" t="s">
        <v>2187</v>
      </c>
    </row>
    <row r="226" spans="1:8">
      <c r="A226" s="19" t="s">
        <v>677</v>
      </c>
      <c r="B226" s="19" t="s">
        <v>2722</v>
      </c>
      <c r="C226" s="19" t="s">
        <v>2189</v>
      </c>
      <c r="D226" s="19" t="s">
        <v>2709</v>
      </c>
      <c r="E226" s="19" t="s">
        <v>2710</v>
      </c>
      <c r="F226" s="19">
        <v>8.0399999999999991</v>
      </c>
      <c r="G226" s="19" t="s">
        <v>2154</v>
      </c>
      <c r="H226" s="19" t="s">
        <v>2155</v>
      </c>
    </row>
    <row r="227" spans="1:8">
      <c r="A227" s="18" t="s">
        <v>677</v>
      </c>
      <c r="B227" s="18" t="s">
        <v>2723</v>
      </c>
      <c r="C227" s="18" t="s">
        <v>2193</v>
      </c>
      <c r="D227" s="18" t="s">
        <v>2201</v>
      </c>
      <c r="E227" s="18" t="s">
        <v>2724</v>
      </c>
      <c r="F227" s="18">
        <v>10.25</v>
      </c>
      <c r="G227" s="18" t="s">
        <v>2154</v>
      </c>
      <c r="H227" s="18" t="s">
        <v>2160</v>
      </c>
    </row>
    <row r="228" spans="1:8">
      <c r="A228" s="19" t="s">
        <v>677</v>
      </c>
      <c r="B228" s="19" t="s">
        <v>2725</v>
      </c>
      <c r="C228" s="19" t="s">
        <v>2197</v>
      </c>
      <c r="D228" s="19" t="s">
        <v>2443</v>
      </c>
      <c r="E228" s="19" t="s">
        <v>2726</v>
      </c>
      <c r="F228" s="19">
        <v>7.5</v>
      </c>
      <c r="G228" s="19" t="s">
        <v>2154</v>
      </c>
      <c r="H228" s="19" t="s">
        <v>2171</v>
      </c>
    </row>
    <row r="229" spans="1:8">
      <c r="A229" s="18" t="s">
        <v>677</v>
      </c>
      <c r="B229" s="18" t="s">
        <v>2727</v>
      </c>
      <c r="C229" s="18" t="s">
        <v>1819</v>
      </c>
      <c r="D229" s="18"/>
      <c r="E229" s="18"/>
      <c r="F229" s="18"/>
      <c r="G229" s="18" t="s">
        <v>2343</v>
      </c>
      <c r="H229" s="18" t="s">
        <v>2160</v>
      </c>
    </row>
    <row r="230" spans="1:8">
      <c r="A230" s="19" t="s">
        <v>677</v>
      </c>
      <c r="B230" s="19" t="s">
        <v>2728</v>
      </c>
      <c r="C230" s="19" t="s">
        <v>2204</v>
      </c>
      <c r="D230" s="19" t="s">
        <v>2729</v>
      </c>
      <c r="E230" s="19" t="s">
        <v>2644</v>
      </c>
      <c r="F230" s="19">
        <v>7.66</v>
      </c>
      <c r="G230" s="19" t="s">
        <v>2154</v>
      </c>
      <c r="H230" s="19" t="s">
        <v>2187</v>
      </c>
    </row>
    <row r="231" spans="1:8">
      <c r="A231" s="18" t="s">
        <v>677</v>
      </c>
      <c r="B231" s="18" t="s">
        <v>2730</v>
      </c>
      <c r="C231" s="18" t="s">
        <v>1843</v>
      </c>
      <c r="D231" s="18" t="s">
        <v>2397</v>
      </c>
      <c r="E231" s="18" t="s">
        <v>2398</v>
      </c>
      <c r="F231" s="18">
        <v>6.63</v>
      </c>
      <c r="G231" s="18" t="s">
        <v>2154</v>
      </c>
      <c r="H231" s="18" t="s">
        <v>2155</v>
      </c>
    </row>
    <row r="232" spans="1:8">
      <c r="A232" s="19" t="s">
        <v>677</v>
      </c>
      <c r="B232" s="19" t="s">
        <v>2731</v>
      </c>
      <c r="C232" s="19" t="s">
        <v>2211</v>
      </c>
      <c r="D232" s="19" t="s">
        <v>2603</v>
      </c>
      <c r="E232" s="19" t="s">
        <v>2732</v>
      </c>
      <c r="F232" s="19">
        <v>6.75</v>
      </c>
      <c r="G232" s="19" t="s">
        <v>2154</v>
      </c>
      <c r="H232" s="19" t="s">
        <v>2160</v>
      </c>
    </row>
    <row r="233" spans="1:8">
      <c r="A233" s="18" t="s">
        <v>677</v>
      </c>
      <c r="B233" s="18" t="s">
        <v>2733</v>
      </c>
      <c r="C233" s="18" t="s">
        <v>2215</v>
      </c>
      <c r="D233" s="18" t="s">
        <v>2734</v>
      </c>
      <c r="E233" s="18" t="s">
        <v>2195</v>
      </c>
      <c r="F233" s="18">
        <v>10.85</v>
      </c>
      <c r="G233" s="18" t="s">
        <v>2154</v>
      </c>
      <c r="H233" s="18" t="s">
        <v>2171</v>
      </c>
    </row>
    <row r="234" spans="1:8">
      <c r="A234" s="19" t="s">
        <v>677</v>
      </c>
      <c r="B234" s="19" t="s">
        <v>2735</v>
      </c>
      <c r="C234" s="19" t="s">
        <v>2219</v>
      </c>
      <c r="D234" s="19" t="s">
        <v>2257</v>
      </c>
      <c r="E234" s="19" t="s">
        <v>2736</v>
      </c>
      <c r="F234" s="19">
        <v>9.4600000000000009</v>
      </c>
      <c r="G234" s="19" t="s">
        <v>2154</v>
      </c>
      <c r="H234" s="19" t="s">
        <v>2160</v>
      </c>
    </row>
    <row r="235" spans="1:8">
      <c r="A235" s="18" t="s">
        <v>677</v>
      </c>
      <c r="B235" s="18" t="s">
        <v>2737</v>
      </c>
      <c r="C235" s="18" t="s">
        <v>2222</v>
      </c>
      <c r="D235" s="18" t="s">
        <v>2408</v>
      </c>
      <c r="E235" s="18" t="s">
        <v>2738</v>
      </c>
      <c r="F235" s="18">
        <v>8.09</v>
      </c>
      <c r="G235" s="18" t="s">
        <v>2154</v>
      </c>
      <c r="H235" s="18" t="s">
        <v>2187</v>
      </c>
    </row>
    <row r="236" spans="1:8">
      <c r="A236" s="19" t="s">
        <v>677</v>
      </c>
      <c r="B236" s="19" t="s">
        <v>2739</v>
      </c>
      <c r="C236" s="19" t="s">
        <v>2226</v>
      </c>
      <c r="D236" s="19" t="s">
        <v>2359</v>
      </c>
      <c r="E236" s="19" t="s">
        <v>2740</v>
      </c>
      <c r="F236" s="19">
        <v>7.21</v>
      </c>
      <c r="G236" s="19" t="s">
        <v>2154</v>
      </c>
      <c r="H236" s="19" t="s">
        <v>2155</v>
      </c>
    </row>
    <row r="237" spans="1:8">
      <c r="A237" s="18" t="s">
        <v>677</v>
      </c>
      <c r="B237" s="18" t="s">
        <v>2741</v>
      </c>
      <c r="C237" s="18" t="s">
        <v>2742</v>
      </c>
      <c r="D237" s="18" t="s">
        <v>2460</v>
      </c>
      <c r="E237" s="18" t="s">
        <v>2743</v>
      </c>
      <c r="F237" s="18">
        <v>6.8</v>
      </c>
      <c r="G237" s="18" t="s">
        <v>2154</v>
      </c>
      <c r="H237" s="18" t="s">
        <v>2187</v>
      </c>
    </row>
    <row r="238" spans="1:8">
      <c r="A238" s="19" t="s">
        <v>677</v>
      </c>
      <c r="B238" s="19" t="s">
        <v>2744</v>
      </c>
      <c r="C238" s="19" t="s">
        <v>2234</v>
      </c>
      <c r="D238" s="19" t="s">
        <v>2611</v>
      </c>
      <c r="E238" s="19" t="s">
        <v>2745</v>
      </c>
      <c r="F238" s="19">
        <v>11.15</v>
      </c>
      <c r="G238" s="19" t="s">
        <v>2154</v>
      </c>
      <c r="H238" s="19" t="s">
        <v>2187</v>
      </c>
    </row>
    <row r="239" spans="1:8">
      <c r="A239" s="18" t="s">
        <v>677</v>
      </c>
      <c r="B239" s="18" t="s">
        <v>2746</v>
      </c>
      <c r="C239" s="18" t="s">
        <v>2238</v>
      </c>
      <c r="D239" s="18" t="s">
        <v>2652</v>
      </c>
      <c r="E239" s="18" t="s">
        <v>2486</v>
      </c>
      <c r="F239" s="18">
        <v>10.09</v>
      </c>
      <c r="G239" s="18" t="s">
        <v>2154</v>
      </c>
      <c r="H239" s="18" t="s">
        <v>2187</v>
      </c>
    </row>
    <row r="240" spans="1:8">
      <c r="A240" s="19" t="s">
        <v>677</v>
      </c>
      <c r="B240" s="19" t="s">
        <v>2747</v>
      </c>
      <c r="C240" s="19" t="s">
        <v>2241</v>
      </c>
      <c r="D240" s="19" t="s">
        <v>2290</v>
      </c>
      <c r="E240" s="19" t="s">
        <v>2291</v>
      </c>
      <c r="F240" s="19">
        <v>9.08</v>
      </c>
      <c r="G240" s="19" t="s">
        <v>2154</v>
      </c>
      <c r="H240" s="19" t="s">
        <v>2171</v>
      </c>
    </row>
    <row r="241" spans="1:8">
      <c r="A241" s="18" t="s">
        <v>677</v>
      </c>
      <c r="B241" s="18" t="s">
        <v>2748</v>
      </c>
      <c r="C241" s="18" t="s">
        <v>2245</v>
      </c>
      <c r="D241" s="18" t="s">
        <v>2387</v>
      </c>
      <c r="E241" s="18" t="s">
        <v>2749</v>
      </c>
      <c r="F241" s="18">
        <v>11.29</v>
      </c>
      <c r="G241" s="18" t="s">
        <v>2154</v>
      </c>
      <c r="H241" s="18" t="s">
        <v>2155</v>
      </c>
    </row>
    <row r="242" spans="1:8">
      <c r="A242" s="19" t="s">
        <v>677</v>
      </c>
      <c r="B242" s="19" t="s">
        <v>2750</v>
      </c>
      <c r="C242" s="19" t="s">
        <v>2249</v>
      </c>
      <c r="D242" s="19" t="s">
        <v>2440</v>
      </c>
      <c r="E242" s="19" t="s">
        <v>2558</v>
      </c>
      <c r="F242" s="19">
        <v>6.8</v>
      </c>
      <c r="G242" s="19" t="s">
        <v>2154</v>
      </c>
      <c r="H242" s="19" t="s">
        <v>2187</v>
      </c>
    </row>
    <row r="243" spans="1:8">
      <c r="A243" s="18" t="s">
        <v>677</v>
      </c>
      <c r="B243" s="18" t="s">
        <v>2751</v>
      </c>
      <c r="C243" s="18" t="s">
        <v>2252</v>
      </c>
      <c r="D243" s="18"/>
      <c r="E243" s="18"/>
      <c r="F243" s="18"/>
      <c r="G243" s="18" t="s">
        <v>2163</v>
      </c>
      <c r="H243" s="18" t="s">
        <v>2171</v>
      </c>
    </row>
    <row r="244" spans="1:8">
      <c r="A244" s="19" t="s">
        <v>677</v>
      </c>
      <c r="B244" s="19" t="s">
        <v>2752</v>
      </c>
      <c r="C244" s="19" t="s">
        <v>2376</v>
      </c>
      <c r="D244" s="19" t="s">
        <v>2457</v>
      </c>
      <c r="E244" s="19" t="s">
        <v>2753</v>
      </c>
      <c r="F244" s="19">
        <v>8.0399999999999991</v>
      </c>
      <c r="G244" s="19" t="s">
        <v>2154</v>
      </c>
      <c r="H244" s="19" t="s">
        <v>2171</v>
      </c>
    </row>
    <row r="245" spans="1:8">
      <c r="A245" s="18" t="s">
        <v>677</v>
      </c>
      <c r="B245" s="18" t="s">
        <v>2754</v>
      </c>
      <c r="C245" s="18" t="s">
        <v>2260</v>
      </c>
      <c r="D245" s="18" t="s">
        <v>2545</v>
      </c>
      <c r="E245" s="18" t="s">
        <v>2486</v>
      </c>
      <c r="F245" s="18">
        <v>9.89</v>
      </c>
      <c r="G245" s="18" t="s">
        <v>2154</v>
      </c>
      <c r="H245" s="18" t="s">
        <v>2171</v>
      </c>
    </row>
    <row r="246" spans="1:8">
      <c r="A246" s="19" t="s">
        <v>677</v>
      </c>
      <c r="B246" s="19" t="s">
        <v>2755</v>
      </c>
      <c r="C246" s="19" t="s">
        <v>2264</v>
      </c>
      <c r="D246" s="19" t="s">
        <v>2326</v>
      </c>
      <c r="E246" s="19" t="s">
        <v>2232</v>
      </c>
      <c r="F246" s="19">
        <v>9.59</v>
      </c>
      <c r="G246" s="19" t="s">
        <v>2154</v>
      </c>
      <c r="H246" s="19" t="s">
        <v>2187</v>
      </c>
    </row>
    <row r="247" spans="1:8">
      <c r="A247" s="18" t="s">
        <v>677</v>
      </c>
      <c r="B247" s="18" t="s">
        <v>2756</v>
      </c>
      <c r="C247" s="18" t="s">
        <v>1948</v>
      </c>
      <c r="D247" s="18" t="s">
        <v>2365</v>
      </c>
      <c r="E247" s="18" t="s">
        <v>2366</v>
      </c>
      <c r="F247" s="18">
        <v>7.13</v>
      </c>
      <c r="G247" s="18" t="s">
        <v>2154</v>
      </c>
      <c r="H247" s="18" t="s">
        <v>2171</v>
      </c>
    </row>
    <row r="248" spans="1:8">
      <c r="A248" s="19" t="s">
        <v>677</v>
      </c>
      <c r="B248" s="19" t="s">
        <v>2757</v>
      </c>
      <c r="C248" s="19" t="s">
        <v>2269</v>
      </c>
      <c r="D248" s="19" t="s">
        <v>2548</v>
      </c>
      <c r="E248" s="19" t="s">
        <v>2758</v>
      </c>
      <c r="F248" s="19">
        <v>11.18</v>
      </c>
      <c r="G248" s="19" t="s">
        <v>2154</v>
      </c>
      <c r="H248" s="19" t="s">
        <v>2155</v>
      </c>
    </row>
    <row r="249" spans="1:8">
      <c r="A249" s="18" t="s">
        <v>677</v>
      </c>
      <c r="B249" s="18" t="s">
        <v>2759</v>
      </c>
      <c r="C249" s="18" t="s">
        <v>2273</v>
      </c>
      <c r="D249" s="18" t="s">
        <v>2351</v>
      </c>
      <c r="E249" s="18" t="s">
        <v>2539</v>
      </c>
      <c r="F249" s="18">
        <v>9.98</v>
      </c>
      <c r="G249" s="18" t="s">
        <v>2154</v>
      </c>
      <c r="H249" s="18" t="s">
        <v>2160</v>
      </c>
    </row>
    <row r="250" spans="1:8">
      <c r="A250" s="19" t="s">
        <v>677</v>
      </c>
      <c r="B250" s="19" t="s">
        <v>2760</v>
      </c>
      <c r="C250" s="19" t="s">
        <v>2277</v>
      </c>
      <c r="D250" s="19" t="s">
        <v>2761</v>
      </c>
      <c r="E250" s="19" t="s">
        <v>2762</v>
      </c>
      <c r="F250" s="19">
        <v>8.0299999999999994</v>
      </c>
      <c r="G250" s="19" t="s">
        <v>2154</v>
      </c>
      <c r="H250" s="19" t="s">
        <v>2171</v>
      </c>
    </row>
    <row r="251" spans="1:8">
      <c r="A251" s="18" t="s">
        <v>677</v>
      </c>
      <c r="B251" s="18" t="s">
        <v>2763</v>
      </c>
      <c r="C251" s="18" t="s">
        <v>2281</v>
      </c>
      <c r="D251" s="18" t="s">
        <v>2270</v>
      </c>
      <c r="E251" s="18" t="s">
        <v>2499</v>
      </c>
      <c r="F251" s="18">
        <v>8.67</v>
      </c>
      <c r="G251" s="18" t="s">
        <v>2154</v>
      </c>
      <c r="H251" s="18" t="s">
        <v>2160</v>
      </c>
    </row>
    <row r="252" spans="1:8">
      <c r="A252" s="19" t="s">
        <v>677</v>
      </c>
      <c r="B252" s="19" t="s">
        <v>2764</v>
      </c>
      <c r="C252" s="19" t="s">
        <v>2396</v>
      </c>
      <c r="D252" s="19" t="s">
        <v>2323</v>
      </c>
      <c r="E252" s="19" t="s">
        <v>2404</v>
      </c>
      <c r="F252" s="19">
        <v>8.74</v>
      </c>
      <c r="G252" s="19" t="s">
        <v>2154</v>
      </c>
      <c r="H252" s="19" t="s">
        <v>2155</v>
      </c>
    </row>
    <row r="253" spans="1:8">
      <c r="A253" s="18" t="s">
        <v>677</v>
      </c>
      <c r="B253" s="18" t="s">
        <v>2765</v>
      </c>
      <c r="C253" s="18" t="s">
        <v>2289</v>
      </c>
      <c r="D253" s="18" t="s">
        <v>2766</v>
      </c>
      <c r="E253" s="18" t="s">
        <v>2767</v>
      </c>
      <c r="F253" s="18">
        <v>11.23</v>
      </c>
      <c r="G253" s="18" t="s">
        <v>2154</v>
      </c>
      <c r="H253" s="18" t="s">
        <v>2155</v>
      </c>
    </row>
    <row r="254" spans="1:8">
      <c r="A254" s="19" t="s">
        <v>677</v>
      </c>
      <c r="B254" s="19" t="s">
        <v>2768</v>
      </c>
      <c r="C254" s="19" t="s">
        <v>2293</v>
      </c>
      <c r="D254" s="19" t="s">
        <v>2611</v>
      </c>
      <c r="E254" s="19" t="s">
        <v>2217</v>
      </c>
      <c r="F254" s="19">
        <v>9</v>
      </c>
      <c r="G254" s="19" t="s">
        <v>2154</v>
      </c>
      <c r="H254" s="19" t="s">
        <v>2171</v>
      </c>
    </row>
    <row r="255" spans="1:8">
      <c r="A255" s="18" t="s">
        <v>677</v>
      </c>
      <c r="B255" s="18" t="s">
        <v>2769</v>
      </c>
      <c r="C255" s="18" t="s">
        <v>2296</v>
      </c>
      <c r="D255" s="18" t="s">
        <v>2770</v>
      </c>
      <c r="E255" s="18" t="s">
        <v>2771</v>
      </c>
      <c r="F255" s="18">
        <v>6.73</v>
      </c>
      <c r="G255" s="18" t="s">
        <v>2154</v>
      </c>
      <c r="H255" s="18" t="s">
        <v>2171</v>
      </c>
    </row>
    <row r="256" spans="1:8">
      <c r="A256" s="19" t="s">
        <v>677</v>
      </c>
      <c r="B256" s="19" t="s">
        <v>2772</v>
      </c>
      <c r="C256" s="19" t="s">
        <v>2300</v>
      </c>
      <c r="D256" s="19" t="s">
        <v>2261</v>
      </c>
      <c r="E256" s="19" t="s">
        <v>2773</v>
      </c>
      <c r="F256" s="19">
        <v>6.54</v>
      </c>
      <c r="G256" s="19" t="s">
        <v>2154</v>
      </c>
      <c r="H256" s="19" t="s">
        <v>2160</v>
      </c>
    </row>
    <row r="257" spans="1:8">
      <c r="A257" s="18" t="s">
        <v>677</v>
      </c>
      <c r="B257" s="18" t="s">
        <v>2774</v>
      </c>
      <c r="C257" s="18" t="s">
        <v>2144</v>
      </c>
      <c r="D257" s="18" t="s">
        <v>2553</v>
      </c>
      <c r="E257" s="18" t="s">
        <v>2775</v>
      </c>
      <c r="F257" s="18">
        <v>10.119999999999999</v>
      </c>
      <c r="G257" s="18" t="s">
        <v>2154</v>
      </c>
      <c r="H257" s="18" t="s">
        <v>2187</v>
      </c>
    </row>
    <row r="258" spans="1:8">
      <c r="A258" s="19" t="s">
        <v>677</v>
      </c>
      <c r="B258" s="19" t="s">
        <v>2776</v>
      </c>
      <c r="C258" s="19" t="s">
        <v>2307</v>
      </c>
      <c r="D258" s="19" t="s">
        <v>2282</v>
      </c>
      <c r="E258" s="19" t="s">
        <v>2777</v>
      </c>
      <c r="F258" s="19">
        <v>6.93</v>
      </c>
      <c r="G258" s="19" t="s">
        <v>2154</v>
      </c>
      <c r="H258" s="19" t="s">
        <v>2160</v>
      </c>
    </row>
    <row r="259" spans="1:8">
      <c r="A259" s="18" t="s">
        <v>677</v>
      </c>
      <c r="B259" s="18" t="s">
        <v>2778</v>
      </c>
      <c r="C259" s="18" t="s">
        <v>2311</v>
      </c>
      <c r="D259" s="18" t="s">
        <v>2297</v>
      </c>
      <c r="E259" s="18" t="s">
        <v>2779</v>
      </c>
      <c r="F259" s="18">
        <v>11.25</v>
      </c>
      <c r="G259" s="18" t="s">
        <v>2154</v>
      </c>
      <c r="H259" s="18" t="s">
        <v>2155</v>
      </c>
    </row>
    <row r="260" spans="1:8">
      <c r="A260" s="19" t="s">
        <v>305</v>
      </c>
      <c r="B260" s="19" t="s">
        <v>2780</v>
      </c>
      <c r="C260" s="19" t="s">
        <v>2038</v>
      </c>
      <c r="D260" s="19" t="s">
        <v>2205</v>
      </c>
      <c r="E260" s="19" t="s">
        <v>2781</v>
      </c>
      <c r="F260" s="19">
        <v>9.82</v>
      </c>
      <c r="G260" s="19" t="s">
        <v>2154</v>
      </c>
      <c r="H260" s="19" t="s">
        <v>2160</v>
      </c>
    </row>
    <row r="261" spans="1:8">
      <c r="A261" s="18" t="s">
        <v>305</v>
      </c>
      <c r="B261" s="18" t="s">
        <v>2782</v>
      </c>
      <c r="C261" s="18" t="s">
        <v>2157</v>
      </c>
      <c r="D261" s="18" t="s">
        <v>2783</v>
      </c>
      <c r="E261" s="18" t="s">
        <v>2315</v>
      </c>
      <c r="F261" s="18">
        <v>8.94</v>
      </c>
      <c r="G261" s="18" t="s">
        <v>2154</v>
      </c>
      <c r="H261" s="18" t="s">
        <v>2171</v>
      </c>
    </row>
    <row r="262" spans="1:8">
      <c r="A262" s="19" t="s">
        <v>305</v>
      </c>
      <c r="B262" s="19" t="s">
        <v>2784</v>
      </c>
      <c r="C262" s="19" t="s">
        <v>2162</v>
      </c>
      <c r="D262" s="19" t="s">
        <v>2640</v>
      </c>
      <c r="E262" s="19" t="s">
        <v>2724</v>
      </c>
      <c r="F262" s="19">
        <v>8.15</v>
      </c>
      <c r="G262" s="19" t="s">
        <v>2154</v>
      </c>
      <c r="H262" s="19" t="s">
        <v>2171</v>
      </c>
    </row>
    <row r="263" spans="1:8">
      <c r="A263" s="18" t="s">
        <v>305</v>
      </c>
      <c r="B263" s="18" t="s">
        <v>2785</v>
      </c>
      <c r="C263" s="18" t="s">
        <v>1937</v>
      </c>
      <c r="D263" s="18" t="s">
        <v>2786</v>
      </c>
      <c r="E263" s="18" t="s">
        <v>2787</v>
      </c>
      <c r="F263" s="18">
        <v>11.01</v>
      </c>
      <c r="G263" s="18" t="s">
        <v>2154</v>
      </c>
      <c r="H263" s="18" t="s">
        <v>2187</v>
      </c>
    </row>
    <row r="264" spans="1:8">
      <c r="A264" s="19" t="s">
        <v>305</v>
      </c>
      <c r="B264" s="19" t="s">
        <v>2788</v>
      </c>
      <c r="C264" s="19" t="s">
        <v>2168</v>
      </c>
      <c r="D264" s="19" t="s">
        <v>2789</v>
      </c>
      <c r="E264" s="19" t="s">
        <v>2790</v>
      </c>
      <c r="F264" s="19">
        <v>7.09</v>
      </c>
      <c r="G264" s="19" t="s">
        <v>2154</v>
      </c>
      <c r="H264" s="19" t="s">
        <v>2160</v>
      </c>
    </row>
    <row r="265" spans="1:8">
      <c r="A265" s="18" t="s">
        <v>305</v>
      </c>
      <c r="B265" s="18" t="s">
        <v>2791</v>
      </c>
      <c r="C265" s="18" t="s">
        <v>2173</v>
      </c>
      <c r="D265" s="18"/>
      <c r="E265" s="18"/>
      <c r="F265" s="18"/>
      <c r="G265" s="18" t="s">
        <v>2220</v>
      </c>
      <c r="H265" s="18" t="s">
        <v>2160</v>
      </c>
    </row>
    <row r="266" spans="1:8">
      <c r="A266" s="19" t="s">
        <v>305</v>
      </c>
      <c r="B266" s="19" t="s">
        <v>2792</v>
      </c>
      <c r="C266" s="19" t="s">
        <v>2177</v>
      </c>
      <c r="D266" s="19" t="s">
        <v>2793</v>
      </c>
      <c r="E266" s="19" t="s">
        <v>2781</v>
      </c>
      <c r="F266" s="19">
        <v>10.7</v>
      </c>
      <c r="G266" s="19" t="s">
        <v>2154</v>
      </c>
      <c r="H266" s="19" t="s">
        <v>2160</v>
      </c>
    </row>
    <row r="267" spans="1:8">
      <c r="A267" s="18" t="s">
        <v>305</v>
      </c>
      <c r="B267" s="18" t="s">
        <v>2794</v>
      </c>
      <c r="C267" s="18" t="s">
        <v>1945</v>
      </c>
      <c r="D267" s="18" t="s">
        <v>2589</v>
      </c>
      <c r="E267" s="18" t="s">
        <v>2667</v>
      </c>
      <c r="F267" s="18">
        <v>10.06</v>
      </c>
      <c r="G267" s="18" t="s">
        <v>2154</v>
      </c>
      <c r="H267" s="18" t="s">
        <v>2187</v>
      </c>
    </row>
    <row r="268" spans="1:8">
      <c r="A268" s="19" t="s">
        <v>305</v>
      </c>
      <c r="B268" s="19" t="s">
        <v>2795</v>
      </c>
      <c r="C268" s="19" t="s">
        <v>2184</v>
      </c>
      <c r="D268" s="19" t="s">
        <v>2796</v>
      </c>
      <c r="E268" s="19" t="s">
        <v>2797</v>
      </c>
      <c r="F268" s="19">
        <v>8.98</v>
      </c>
      <c r="G268" s="19" t="s">
        <v>2154</v>
      </c>
      <c r="H268" s="19" t="s">
        <v>2171</v>
      </c>
    </row>
    <row r="269" spans="1:8">
      <c r="A269" s="18" t="s">
        <v>305</v>
      </c>
      <c r="B269" s="18" t="s">
        <v>2798</v>
      </c>
      <c r="C269" s="18" t="s">
        <v>2189</v>
      </c>
      <c r="D269" s="18" t="s">
        <v>2426</v>
      </c>
      <c r="E269" s="18" t="s">
        <v>2799</v>
      </c>
      <c r="F269" s="18">
        <v>8.8000000000000007</v>
      </c>
      <c r="G269" s="18" t="s">
        <v>2154</v>
      </c>
      <c r="H269" s="18" t="s">
        <v>2171</v>
      </c>
    </row>
    <row r="270" spans="1:8">
      <c r="A270" s="19" t="s">
        <v>305</v>
      </c>
      <c r="B270" s="19" t="s">
        <v>2800</v>
      </c>
      <c r="C270" s="19" t="s">
        <v>2193</v>
      </c>
      <c r="D270" s="19" t="s">
        <v>2801</v>
      </c>
      <c r="E270" s="19" t="s">
        <v>2802</v>
      </c>
      <c r="F270" s="19">
        <v>8.0299999999999994</v>
      </c>
      <c r="G270" s="19" t="s">
        <v>2154</v>
      </c>
      <c r="H270" s="19" t="s">
        <v>2171</v>
      </c>
    </row>
    <row r="271" spans="1:8">
      <c r="A271" s="18" t="s">
        <v>305</v>
      </c>
      <c r="B271" s="18" t="s">
        <v>2803</v>
      </c>
      <c r="C271" s="18" t="s">
        <v>2197</v>
      </c>
      <c r="D271" s="18" t="s">
        <v>2464</v>
      </c>
      <c r="E271" s="18" t="s">
        <v>2804</v>
      </c>
      <c r="F271" s="18">
        <v>10.37</v>
      </c>
      <c r="G271" s="18" t="s">
        <v>2154</v>
      </c>
      <c r="H271" s="18" t="s">
        <v>2160</v>
      </c>
    </row>
    <row r="272" spans="1:8">
      <c r="A272" s="19" t="s">
        <v>305</v>
      </c>
      <c r="B272" s="19" t="s">
        <v>2805</v>
      </c>
      <c r="C272" s="19" t="s">
        <v>1819</v>
      </c>
      <c r="D272" s="19" t="s">
        <v>2603</v>
      </c>
      <c r="E272" s="19" t="s">
        <v>2429</v>
      </c>
      <c r="F272" s="19">
        <v>9.5399999999999991</v>
      </c>
      <c r="G272" s="19" t="s">
        <v>2154</v>
      </c>
      <c r="H272" s="19" t="s">
        <v>2187</v>
      </c>
    </row>
    <row r="273" spans="1:8">
      <c r="A273" s="18" t="s">
        <v>305</v>
      </c>
      <c r="B273" s="18" t="s">
        <v>2806</v>
      </c>
      <c r="C273" s="18" t="s">
        <v>2204</v>
      </c>
      <c r="D273" s="18" t="s">
        <v>2807</v>
      </c>
      <c r="E273" s="18" t="s">
        <v>2808</v>
      </c>
      <c r="F273" s="18">
        <v>9.19</v>
      </c>
      <c r="G273" s="18" t="s">
        <v>2154</v>
      </c>
      <c r="H273" s="18" t="s">
        <v>2155</v>
      </c>
    </row>
    <row r="274" spans="1:8">
      <c r="A274" s="19" t="s">
        <v>305</v>
      </c>
      <c r="B274" s="19" t="s">
        <v>2809</v>
      </c>
      <c r="C274" s="19" t="s">
        <v>1843</v>
      </c>
      <c r="D274" s="19" t="s">
        <v>2548</v>
      </c>
      <c r="E274" s="19" t="s">
        <v>2810</v>
      </c>
      <c r="F274" s="19">
        <v>9.19</v>
      </c>
      <c r="G274" s="19" t="s">
        <v>2154</v>
      </c>
      <c r="H274" s="19" t="s">
        <v>2171</v>
      </c>
    </row>
    <row r="275" spans="1:8">
      <c r="A275" s="18" t="s">
        <v>305</v>
      </c>
      <c r="B275" s="18" t="s">
        <v>2811</v>
      </c>
      <c r="C275" s="18" t="s">
        <v>2211</v>
      </c>
      <c r="D275" s="18" t="s">
        <v>2460</v>
      </c>
      <c r="E275" s="18" t="s">
        <v>2573</v>
      </c>
      <c r="F275" s="18">
        <v>10.08</v>
      </c>
      <c r="G275" s="18" t="s">
        <v>2154</v>
      </c>
      <c r="H275" s="18" t="s">
        <v>2187</v>
      </c>
    </row>
    <row r="276" spans="1:8">
      <c r="A276" s="19" t="s">
        <v>305</v>
      </c>
      <c r="B276" s="19" t="s">
        <v>2812</v>
      </c>
      <c r="C276" s="19" t="s">
        <v>2215</v>
      </c>
      <c r="D276" s="19" t="s">
        <v>2796</v>
      </c>
      <c r="E276" s="19" t="s">
        <v>2797</v>
      </c>
      <c r="F276" s="19">
        <v>8.59</v>
      </c>
      <c r="G276" s="19" t="s">
        <v>2154</v>
      </c>
      <c r="H276" s="19" t="s">
        <v>2160</v>
      </c>
    </row>
    <row r="277" spans="1:8">
      <c r="A277" s="18" t="s">
        <v>305</v>
      </c>
      <c r="B277" s="18" t="s">
        <v>2813</v>
      </c>
      <c r="C277" s="18" t="s">
        <v>2219</v>
      </c>
      <c r="D277" s="18" t="s">
        <v>2814</v>
      </c>
      <c r="E277" s="18" t="s">
        <v>2797</v>
      </c>
      <c r="F277" s="18">
        <v>9.9600000000000009</v>
      </c>
      <c r="G277" s="18" t="s">
        <v>2154</v>
      </c>
      <c r="H277" s="18" t="s">
        <v>2187</v>
      </c>
    </row>
    <row r="278" spans="1:8">
      <c r="A278" s="19" t="s">
        <v>305</v>
      </c>
      <c r="B278" s="19" t="s">
        <v>2815</v>
      </c>
      <c r="C278" s="19" t="s">
        <v>2222</v>
      </c>
      <c r="D278" s="19" t="s">
        <v>2198</v>
      </c>
      <c r="E278" s="19" t="s">
        <v>2199</v>
      </c>
      <c r="F278" s="19">
        <v>10.65</v>
      </c>
      <c r="G278" s="19" t="s">
        <v>2154</v>
      </c>
      <c r="H278" s="19" t="s">
        <v>2171</v>
      </c>
    </row>
    <row r="279" spans="1:8">
      <c r="A279" s="18" t="s">
        <v>305</v>
      </c>
      <c r="B279" s="18" t="s">
        <v>2816</v>
      </c>
      <c r="C279" s="18" t="s">
        <v>2226</v>
      </c>
      <c r="D279" s="18" t="s">
        <v>2581</v>
      </c>
      <c r="E279" s="18" t="s">
        <v>2817</v>
      </c>
      <c r="F279" s="18">
        <v>7.1</v>
      </c>
      <c r="G279" s="18" t="s">
        <v>2154</v>
      </c>
      <c r="H279" s="18" t="s">
        <v>2187</v>
      </c>
    </row>
    <row r="280" spans="1:8">
      <c r="A280" s="19" t="s">
        <v>305</v>
      </c>
      <c r="B280" s="19" t="s">
        <v>2818</v>
      </c>
      <c r="C280" s="19" t="s">
        <v>2230</v>
      </c>
      <c r="D280" s="19" t="s">
        <v>2770</v>
      </c>
      <c r="E280" s="19" t="s">
        <v>2819</v>
      </c>
      <c r="F280" s="19">
        <v>9.66</v>
      </c>
      <c r="G280" s="19" t="s">
        <v>2154</v>
      </c>
      <c r="H280" s="19" t="s">
        <v>2160</v>
      </c>
    </row>
    <row r="281" spans="1:8">
      <c r="A281" s="18" t="s">
        <v>305</v>
      </c>
      <c r="B281" s="18" t="s">
        <v>2820</v>
      </c>
      <c r="C281" s="18" t="s">
        <v>2234</v>
      </c>
      <c r="D281" s="18" t="s">
        <v>2548</v>
      </c>
      <c r="E281" s="18" t="s">
        <v>2687</v>
      </c>
      <c r="F281" s="18">
        <v>6.65</v>
      </c>
      <c r="G281" s="18" t="s">
        <v>2154</v>
      </c>
      <c r="H281" s="18" t="s">
        <v>2155</v>
      </c>
    </row>
    <row r="282" spans="1:8">
      <c r="A282" s="19" t="s">
        <v>305</v>
      </c>
      <c r="B282" s="19" t="s">
        <v>2821</v>
      </c>
      <c r="C282" s="19" t="s">
        <v>2238</v>
      </c>
      <c r="D282" s="19" t="s">
        <v>2443</v>
      </c>
      <c r="E282" s="19" t="s">
        <v>2808</v>
      </c>
      <c r="F282" s="19">
        <v>8.7100000000000009</v>
      </c>
      <c r="G282" s="19" t="s">
        <v>2154</v>
      </c>
      <c r="H282" s="19" t="s">
        <v>2171</v>
      </c>
    </row>
    <row r="283" spans="1:8">
      <c r="A283" s="18" t="s">
        <v>305</v>
      </c>
      <c r="B283" s="18" t="s">
        <v>2822</v>
      </c>
      <c r="C283" s="18" t="s">
        <v>2241</v>
      </c>
      <c r="D283" s="18" t="s">
        <v>2823</v>
      </c>
      <c r="E283" s="18" t="s">
        <v>2824</v>
      </c>
      <c r="F283" s="18">
        <v>11.34</v>
      </c>
      <c r="G283" s="18" t="s">
        <v>2154</v>
      </c>
      <c r="H283" s="18" t="s">
        <v>2171</v>
      </c>
    </row>
    <row r="284" spans="1:8">
      <c r="A284" s="19" t="s">
        <v>305</v>
      </c>
      <c r="B284" s="19" t="s">
        <v>2825</v>
      </c>
      <c r="C284" s="19" t="s">
        <v>2245</v>
      </c>
      <c r="D284" s="19" t="s">
        <v>2524</v>
      </c>
      <c r="E284" s="19" t="s">
        <v>2826</v>
      </c>
      <c r="F284" s="19">
        <v>10.38</v>
      </c>
      <c r="G284" s="19" t="s">
        <v>2154</v>
      </c>
      <c r="H284" s="19" t="s">
        <v>2160</v>
      </c>
    </row>
    <row r="285" spans="1:8">
      <c r="A285" s="18" t="s">
        <v>305</v>
      </c>
      <c r="B285" s="18" t="s">
        <v>2827</v>
      </c>
      <c r="C285" s="18" t="s">
        <v>2249</v>
      </c>
      <c r="D285" s="18" t="s">
        <v>2541</v>
      </c>
      <c r="E285" s="18" t="s">
        <v>2633</v>
      </c>
      <c r="F285" s="18">
        <v>9.44</v>
      </c>
      <c r="G285" s="18" t="s">
        <v>2154</v>
      </c>
      <c r="H285" s="18" t="s">
        <v>2171</v>
      </c>
    </row>
    <row r="286" spans="1:8">
      <c r="A286" s="19" t="s">
        <v>305</v>
      </c>
      <c r="B286" s="19" t="s">
        <v>2828</v>
      </c>
      <c r="C286" s="19" t="s">
        <v>2252</v>
      </c>
      <c r="D286" s="19" t="s">
        <v>2823</v>
      </c>
      <c r="E286" s="19" t="s">
        <v>2819</v>
      </c>
      <c r="F286" s="19">
        <v>8.41</v>
      </c>
      <c r="G286" s="19" t="s">
        <v>2154</v>
      </c>
      <c r="H286" s="19" t="s">
        <v>2187</v>
      </c>
    </row>
    <row r="287" spans="1:8">
      <c r="A287" s="18" t="s">
        <v>305</v>
      </c>
      <c r="B287" s="18" t="s">
        <v>2829</v>
      </c>
      <c r="C287" s="18" t="s">
        <v>2376</v>
      </c>
      <c r="D287" s="18" t="s">
        <v>2830</v>
      </c>
      <c r="E287" s="18" t="s">
        <v>2831</v>
      </c>
      <c r="F287" s="18">
        <v>9.73</v>
      </c>
      <c r="G287" s="18" t="s">
        <v>2154</v>
      </c>
      <c r="H287" s="18" t="s">
        <v>2187</v>
      </c>
    </row>
    <row r="288" spans="1:8">
      <c r="A288" s="19" t="s">
        <v>305</v>
      </c>
      <c r="B288" s="19" t="s">
        <v>2832</v>
      </c>
      <c r="C288" s="19" t="s">
        <v>2260</v>
      </c>
      <c r="D288" s="19" t="s">
        <v>2524</v>
      </c>
      <c r="E288" s="19" t="s">
        <v>2501</v>
      </c>
      <c r="F288" s="19">
        <v>9.67</v>
      </c>
      <c r="G288" s="19" t="s">
        <v>2154</v>
      </c>
      <c r="H288" s="19" t="s">
        <v>2160</v>
      </c>
    </row>
    <row r="289" spans="1:8">
      <c r="A289" s="18" t="s">
        <v>305</v>
      </c>
      <c r="B289" s="18" t="s">
        <v>2833</v>
      </c>
      <c r="C289" s="18" t="s">
        <v>2264</v>
      </c>
      <c r="D289" s="18" t="s">
        <v>2428</v>
      </c>
      <c r="E289" s="18" t="s">
        <v>2341</v>
      </c>
      <c r="F289" s="18">
        <v>8.0399999999999991</v>
      </c>
      <c r="G289" s="18" t="s">
        <v>2154</v>
      </c>
      <c r="H289" s="18" t="s">
        <v>2187</v>
      </c>
    </row>
    <row r="290" spans="1:8">
      <c r="A290" s="19" t="s">
        <v>305</v>
      </c>
      <c r="B290" s="19" t="s">
        <v>2834</v>
      </c>
      <c r="C290" s="19" t="s">
        <v>1948</v>
      </c>
      <c r="D290" s="19" t="s">
        <v>2835</v>
      </c>
      <c r="E290" s="19" t="s">
        <v>2636</v>
      </c>
      <c r="F290" s="19">
        <v>8.0399999999999991</v>
      </c>
      <c r="G290" s="19" t="s">
        <v>2154</v>
      </c>
      <c r="H290" s="19" t="s">
        <v>2187</v>
      </c>
    </row>
    <row r="291" spans="1:8">
      <c r="A291" s="18" t="s">
        <v>305</v>
      </c>
      <c r="B291" s="18" t="s">
        <v>2836</v>
      </c>
      <c r="C291" s="18" t="s">
        <v>2269</v>
      </c>
      <c r="D291" s="18" t="s">
        <v>2632</v>
      </c>
      <c r="E291" s="18" t="s">
        <v>2542</v>
      </c>
      <c r="F291" s="18">
        <v>7.88</v>
      </c>
      <c r="G291" s="18" t="s">
        <v>2154</v>
      </c>
      <c r="H291" s="18" t="s">
        <v>2171</v>
      </c>
    </row>
    <row r="292" spans="1:8">
      <c r="A292" s="19" t="s">
        <v>305</v>
      </c>
      <c r="B292" s="19" t="s">
        <v>2837</v>
      </c>
      <c r="C292" s="19" t="s">
        <v>2273</v>
      </c>
      <c r="D292" s="19"/>
      <c r="E292" s="19"/>
      <c r="F292" s="19"/>
      <c r="G292" s="19" t="s">
        <v>2163</v>
      </c>
      <c r="H292" s="19" t="s">
        <v>2155</v>
      </c>
    </row>
    <row r="293" spans="1:8">
      <c r="A293" s="18" t="s">
        <v>305</v>
      </c>
      <c r="B293" s="18" t="s">
        <v>2838</v>
      </c>
      <c r="C293" s="18" t="s">
        <v>2277</v>
      </c>
      <c r="D293" s="18" t="s">
        <v>2443</v>
      </c>
      <c r="E293" s="18" t="s">
        <v>2444</v>
      </c>
      <c r="F293" s="18">
        <v>10.88</v>
      </c>
      <c r="G293" s="18" t="s">
        <v>2154</v>
      </c>
      <c r="H293" s="18" t="s">
        <v>2171</v>
      </c>
    </row>
    <row r="294" spans="1:8">
      <c r="A294" s="19" t="s">
        <v>305</v>
      </c>
      <c r="B294" s="19" t="s">
        <v>2839</v>
      </c>
      <c r="C294" s="19" t="s">
        <v>2281</v>
      </c>
      <c r="D294" s="19" t="s">
        <v>2548</v>
      </c>
      <c r="E294" s="19" t="s">
        <v>2810</v>
      </c>
      <c r="F294" s="19">
        <v>9.61</v>
      </c>
      <c r="G294" s="19" t="s">
        <v>2154</v>
      </c>
      <c r="H294" s="19" t="s">
        <v>2155</v>
      </c>
    </row>
    <row r="295" spans="1:8">
      <c r="A295" s="18" t="s">
        <v>305</v>
      </c>
      <c r="B295" s="18" t="s">
        <v>2840</v>
      </c>
      <c r="C295" s="18" t="s">
        <v>2396</v>
      </c>
      <c r="D295" s="18" t="s">
        <v>2572</v>
      </c>
      <c r="E295" s="18" t="s">
        <v>2841</v>
      </c>
      <c r="F295" s="18">
        <v>6.77</v>
      </c>
      <c r="G295" s="18" t="s">
        <v>2154</v>
      </c>
      <c r="H295" s="18" t="s">
        <v>2187</v>
      </c>
    </row>
    <row r="296" spans="1:8">
      <c r="A296" s="19" t="s">
        <v>305</v>
      </c>
      <c r="B296" s="19" t="s">
        <v>2842</v>
      </c>
      <c r="C296" s="19" t="s">
        <v>2289</v>
      </c>
      <c r="D296" s="19" t="s">
        <v>2185</v>
      </c>
      <c r="E296" s="19" t="s">
        <v>2843</v>
      </c>
      <c r="F296" s="19">
        <v>8.4499999999999993</v>
      </c>
      <c r="G296" s="19" t="s">
        <v>2154</v>
      </c>
      <c r="H296" s="19" t="s">
        <v>2187</v>
      </c>
    </row>
    <row r="297" spans="1:8">
      <c r="A297" s="18" t="s">
        <v>305</v>
      </c>
      <c r="B297" s="18" t="s">
        <v>2844</v>
      </c>
      <c r="C297" s="18" t="s">
        <v>2293</v>
      </c>
      <c r="D297" s="18" t="s">
        <v>2786</v>
      </c>
      <c r="E297" s="18" t="s">
        <v>2845</v>
      </c>
      <c r="F297" s="18">
        <v>8.61</v>
      </c>
      <c r="G297" s="18" t="s">
        <v>2154</v>
      </c>
      <c r="H297" s="18" t="s">
        <v>2160</v>
      </c>
    </row>
    <row r="298" spans="1:8">
      <c r="A298" s="19" t="s">
        <v>305</v>
      </c>
      <c r="B298" s="19" t="s">
        <v>2846</v>
      </c>
      <c r="C298" s="19" t="s">
        <v>2296</v>
      </c>
      <c r="D298" s="19" t="s">
        <v>2693</v>
      </c>
      <c r="E298" s="19" t="s">
        <v>2847</v>
      </c>
      <c r="F298" s="19">
        <v>7.07</v>
      </c>
      <c r="G298" s="19" t="s">
        <v>2154</v>
      </c>
      <c r="H298" s="19" t="s">
        <v>2160</v>
      </c>
    </row>
    <row r="299" spans="1:8">
      <c r="A299" s="18" t="s">
        <v>305</v>
      </c>
      <c r="B299" s="18" t="s">
        <v>2848</v>
      </c>
      <c r="C299" s="18" t="s">
        <v>2300</v>
      </c>
      <c r="D299" s="18" t="s">
        <v>2849</v>
      </c>
      <c r="E299" s="18" t="s">
        <v>2850</v>
      </c>
      <c r="F299" s="18">
        <v>8.26</v>
      </c>
      <c r="G299" s="18" t="s">
        <v>2154</v>
      </c>
      <c r="H299" s="18" t="s">
        <v>2187</v>
      </c>
    </row>
    <row r="300" spans="1:8">
      <c r="A300" s="19" t="s">
        <v>305</v>
      </c>
      <c r="B300" s="19" t="s">
        <v>2851</v>
      </c>
      <c r="C300" s="19" t="s">
        <v>2144</v>
      </c>
      <c r="D300" s="19" t="s">
        <v>2473</v>
      </c>
      <c r="E300" s="19" t="s">
        <v>2474</v>
      </c>
      <c r="F300" s="19">
        <v>7.02</v>
      </c>
      <c r="G300" s="19" t="s">
        <v>2154</v>
      </c>
      <c r="H300" s="19" t="s">
        <v>2171</v>
      </c>
    </row>
    <row r="301" spans="1:8">
      <c r="A301" s="18" t="s">
        <v>305</v>
      </c>
      <c r="B301" s="18" t="s">
        <v>2852</v>
      </c>
      <c r="C301" s="18" t="s">
        <v>2307</v>
      </c>
      <c r="D301" s="18"/>
      <c r="E301" s="18"/>
      <c r="F301" s="18"/>
      <c r="G301" s="18" t="s">
        <v>2343</v>
      </c>
      <c r="H301" s="18" t="s">
        <v>2155</v>
      </c>
    </row>
    <row r="302" spans="1:8">
      <c r="A302" s="19" t="s">
        <v>305</v>
      </c>
      <c r="B302" s="19" t="s">
        <v>2853</v>
      </c>
      <c r="C302" s="19" t="s">
        <v>2311</v>
      </c>
      <c r="D302" s="19" t="s">
        <v>2178</v>
      </c>
      <c r="E302" s="19" t="s">
        <v>2179</v>
      </c>
      <c r="F302" s="19">
        <v>11.24</v>
      </c>
      <c r="G302" s="19" t="s">
        <v>2154</v>
      </c>
      <c r="H302" s="19" t="s">
        <v>2155</v>
      </c>
    </row>
    <row r="303" spans="1:8">
      <c r="A303" s="18" t="s">
        <v>154</v>
      </c>
      <c r="B303" s="18" t="s">
        <v>2854</v>
      </c>
      <c r="C303" s="18" t="s">
        <v>2038</v>
      </c>
      <c r="D303" s="18" t="s">
        <v>2387</v>
      </c>
      <c r="E303" s="18" t="s">
        <v>2388</v>
      </c>
      <c r="F303" s="18">
        <v>7.1</v>
      </c>
      <c r="G303" s="18" t="s">
        <v>2154</v>
      </c>
      <c r="H303" s="18" t="s">
        <v>2155</v>
      </c>
    </row>
    <row r="304" spans="1:8">
      <c r="A304" s="19" t="s">
        <v>154</v>
      </c>
      <c r="B304" s="19" t="s">
        <v>2855</v>
      </c>
      <c r="C304" s="19" t="s">
        <v>2856</v>
      </c>
      <c r="D304" s="19" t="s">
        <v>2693</v>
      </c>
      <c r="E304" s="19" t="s">
        <v>2694</v>
      </c>
      <c r="F304" s="19">
        <v>10.46</v>
      </c>
      <c r="G304" s="19" t="s">
        <v>2154</v>
      </c>
      <c r="H304" s="19" t="s">
        <v>2155</v>
      </c>
    </row>
    <row r="305" spans="1:8">
      <c r="A305" s="18" t="s">
        <v>154</v>
      </c>
      <c r="B305" s="18" t="s">
        <v>2857</v>
      </c>
      <c r="C305" s="18" t="s">
        <v>2162</v>
      </c>
      <c r="D305" s="18" t="s">
        <v>2761</v>
      </c>
      <c r="E305" s="18" t="s">
        <v>2858</v>
      </c>
      <c r="F305" s="18">
        <v>6.9</v>
      </c>
      <c r="G305" s="18" t="s">
        <v>2154</v>
      </c>
      <c r="H305" s="18" t="s">
        <v>2160</v>
      </c>
    </row>
    <row r="306" spans="1:8">
      <c r="A306" s="19" t="s">
        <v>154</v>
      </c>
      <c r="B306" s="19" t="s">
        <v>2859</v>
      </c>
      <c r="C306" s="19" t="s">
        <v>1937</v>
      </c>
      <c r="D306" s="19" t="s">
        <v>2452</v>
      </c>
      <c r="E306" s="19" t="s">
        <v>2453</v>
      </c>
      <c r="F306" s="19">
        <v>7.4</v>
      </c>
      <c r="G306" s="19" t="s">
        <v>2154</v>
      </c>
      <c r="H306" s="19" t="s">
        <v>2155</v>
      </c>
    </row>
    <row r="307" spans="1:8">
      <c r="A307" s="18" t="s">
        <v>154</v>
      </c>
      <c r="B307" s="18" t="s">
        <v>2860</v>
      </c>
      <c r="C307" s="18" t="s">
        <v>2168</v>
      </c>
      <c r="D307" s="18" t="s">
        <v>2278</v>
      </c>
      <c r="E307" s="18" t="s">
        <v>2861</v>
      </c>
      <c r="F307" s="18">
        <v>9.92</v>
      </c>
      <c r="G307" s="18" t="s">
        <v>2154</v>
      </c>
      <c r="H307" s="18" t="s">
        <v>2155</v>
      </c>
    </row>
    <row r="308" spans="1:8">
      <c r="A308" s="19" t="s">
        <v>154</v>
      </c>
      <c r="B308" s="19" t="s">
        <v>2862</v>
      </c>
      <c r="C308" s="19" t="s">
        <v>2173</v>
      </c>
      <c r="D308" s="19" t="s">
        <v>2516</v>
      </c>
      <c r="E308" s="19" t="s">
        <v>2863</v>
      </c>
      <c r="F308" s="19">
        <v>7.77</v>
      </c>
      <c r="G308" s="19" t="s">
        <v>2154</v>
      </c>
      <c r="H308" s="19" t="s">
        <v>2160</v>
      </c>
    </row>
    <row r="309" spans="1:8">
      <c r="A309" s="18" t="s">
        <v>154</v>
      </c>
      <c r="B309" s="18" t="s">
        <v>2864</v>
      </c>
      <c r="C309" s="18" t="s">
        <v>2177</v>
      </c>
      <c r="D309" s="18" t="s">
        <v>2865</v>
      </c>
      <c r="E309" s="18" t="s">
        <v>2866</v>
      </c>
      <c r="F309" s="18">
        <v>8.93</v>
      </c>
      <c r="G309" s="18" t="s">
        <v>2154</v>
      </c>
      <c r="H309" s="18" t="s">
        <v>2160</v>
      </c>
    </row>
    <row r="310" spans="1:8">
      <c r="A310" s="19" t="s">
        <v>154</v>
      </c>
      <c r="B310" s="19" t="s">
        <v>2867</v>
      </c>
      <c r="C310" s="19" t="s">
        <v>1945</v>
      </c>
      <c r="D310" s="19"/>
      <c r="E310" s="19"/>
      <c r="F310" s="19"/>
      <c r="G310" s="19" t="s">
        <v>2220</v>
      </c>
      <c r="H310" s="19" t="s">
        <v>2155</v>
      </c>
    </row>
    <row r="311" spans="1:8">
      <c r="A311" s="18" t="s">
        <v>154</v>
      </c>
      <c r="B311" s="18" t="s">
        <v>2868</v>
      </c>
      <c r="C311" s="18" t="s">
        <v>2184</v>
      </c>
      <c r="D311" s="18" t="s">
        <v>2485</v>
      </c>
      <c r="E311" s="18" t="s">
        <v>2546</v>
      </c>
      <c r="F311" s="18">
        <v>10.83</v>
      </c>
      <c r="G311" s="18" t="s">
        <v>2154</v>
      </c>
      <c r="H311" s="18" t="s">
        <v>2155</v>
      </c>
    </row>
    <row r="312" spans="1:8">
      <c r="A312" s="19" t="s">
        <v>154</v>
      </c>
      <c r="B312" s="19" t="s">
        <v>2869</v>
      </c>
      <c r="C312" s="19" t="s">
        <v>2189</v>
      </c>
      <c r="D312" s="19" t="s">
        <v>2301</v>
      </c>
      <c r="E312" s="19" t="s">
        <v>2302</v>
      </c>
      <c r="F312" s="19">
        <v>6.79</v>
      </c>
      <c r="G312" s="19" t="s">
        <v>2154</v>
      </c>
      <c r="H312" s="19" t="s">
        <v>2171</v>
      </c>
    </row>
    <row r="313" spans="1:8">
      <c r="A313" s="18" t="s">
        <v>154</v>
      </c>
      <c r="B313" s="18" t="s">
        <v>2870</v>
      </c>
      <c r="C313" s="18" t="s">
        <v>2193</v>
      </c>
      <c r="D313" s="18" t="s">
        <v>2578</v>
      </c>
      <c r="E313" s="18" t="s">
        <v>2871</v>
      </c>
      <c r="F313" s="18">
        <v>7.36</v>
      </c>
      <c r="G313" s="18" t="s">
        <v>2154</v>
      </c>
      <c r="H313" s="18" t="s">
        <v>2187</v>
      </c>
    </row>
    <row r="314" spans="1:8">
      <c r="A314" s="19" t="s">
        <v>154</v>
      </c>
      <c r="B314" s="19" t="s">
        <v>2872</v>
      </c>
      <c r="C314" s="19" t="s">
        <v>2197</v>
      </c>
      <c r="D314" s="19" t="s">
        <v>2449</v>
      </c>
      <c r="E314" s="19" t="s">
        <v>2873</v>
      </c>
      <c r="F314" s="19">
        <v>11.33</v>
      </c>
      <c r="G314" s="19" t="s">
        <v>2154</v>
      </c>
      <c r="H314" s="19" t="s">
        <v>2187</v>
      </c>
    </row>
    <row r="315" spans="1:8">
      <c r="A315" s="18" t="s">
        <v>154</v>
      </c>
      <c r="B315" s="18" t="s">
        <v>2874</v>
      </c>
      <c r="C315" s="18" t="s">
        <v>1819</v>
      </c>
      <c r="D315" s="18"/>
      <c r="E315" s="18"/>
      <c r="F315" s="18"/>
      <c r="G315" s="18" t="s">
        <v>2220</v>
      </c>
      <c r="H315" s="18" t="s">
        <v>2171</v>
      </c>
    </row>
    <row r="316" spans="1:8">
      <c r="A316" s="19" t="s">
        <v>154</v>
      </c>
      <c r="B316" s="19" t="s">
        <v>2875</v>
      </c>
      <c r="C316" s="19" t="s">
        <v>2204</v>
      </c>
      <c r="D316" s="19" t="s">
        <v>2165</v>
      </c>
      <c r="E316" s="19" t="s">
        <v>2771</v>
      </c>
      <c r="F316" s="19">
        <v>7.89</v>
      </c>
      <c r="G316" s="19" t="s">
        <v>2154</v>
      </c>
      <c r="H316" s="19" t="s">
        <v>2155</v>
      </c>
    </row>
    <row r="317" spans="1:8">
      <c r="A317" s="18" t="s">
        <v>154</v>
      </c>
      <c r="B317" s="18" t="s">
        <v>2876</v>
      </c>
      <c r="C317" s="18" t="s">
        <v>1843</v>
      </c>
      <c r="D317" s="18" t="s">
        <v>2877</v>
      </c>
      <c r="E317" s="18" t="s">
        <v>2579</v>
      </c>
      <c r="F317" s="18">
        <v>7.05</v>
      </c>
      <c r="G317" s="18" t="s">
        <v>2154</v>
      </c>
      <c r="H317" s="18" t="s">
        <v>2187</v>
      </c>
    </row>
    <row r="318" spans="1:8">
      <c r="A318" s="19" t="s">
        <v>154</v>
      </c>
      <c r="B318" s="19" t="s">
        <v>2878</v>
      </c>
      <c r="C318" s="19" t="s">
        <v>2211</v>
      </c>
      <c r="D318" s="19" t="s">
        <v>2600</v>
      </c>
      <c r="E318" s="19" t="s">
        <v>2622</v>
      </c>
      <c r="F318" s="19">
        <v>8.1199999999999992</v>
      </c>
      <c r="G318" s="19" t="s">
        <v>2154</v>
      </c>
      <c r="H318" s="19" t="s">
        <v>2160</v>
      </c>
    </row>
    <row r="319" spans="1:8">
      <c r="A319" s="18" t="s">
        <v>154</v>
      </c>
      <c r="B319" s="18" t="s">
        <v>2879</v>
      </c>
      <c r="C319" s="18" t="s">
        <v>2215</v>
      </c>
      <c r="D319" s="18" t="s">
        <v>2880</v>
      </c>
      <c r="E319" s="18" t="s">
        <v>2598</v>
      </c>
      <c r="F319" s="18">
        <v>9.44</v>
      </c>
      <c r="G319" s="18" t="s">
        <v>2154</v>
      </c>
      <c r="H319" s="18" t="s">
        <v>2155</v>
      </c>
    </row>
    <row r="320" spans="1:8">
      <c r="A320" s="19" t="s">
        <v>154</v>
      </c>
      <c r="B320" s="19" t="s">
        <v>2881</v>
      </c>
      <c r="C320" s="19" t="s">
        <v>2219</v>
      </c>
      <c r="D320" s="19" t="s">
        <v>2482</v>
      </c>
      <c r="E320" s="19" t="s">
        <v>2882</v>
      </c>
      <c r="F320" s="19">
        <v>9.85</v>
      </c>
      <c r="G320" s="19" t="s">
        <v>2154</v>
      </c>
      <c r="H320" s="19" t="s">
        <v>2171</v>
      </c>
    </row>
    <row r="321" spans="1:8">
      <c r="A321" s="18" t="s">
        <v>154</v>
      </c>
      <c r="B321" s="18" t="s">
        <v>2883</v>
      </c>
      <c r="C321" s="18" t="s">
        <v>2222</v>
      </c>
      <c r="D321" s="18" t="s">
        <v>2680</v>
      </c>
      <c r="E321" s="18" t="s">
        <v>2228</v>
      </c>
      <c r="F321" s="18">
        <v>6.67</v>
      </c>
      <c r="G321" s="18" t="s">
        <v>2154</v>
      </c>
      <c r="H321" s="18" t="s">
        <v>2155</v>
      </c>
    </row>
    <row r="322" spans="1:8">
      <c r="A322" s="19" t="s">
        <v>154</v>
      </c>
      <c r="B322" s="19" t="s">
        <v>2884</v>
      </c>
      <c r="C322" s="19" t="s">
        <v>2226</v>
      </c>
      <c r="D322" s="19" t="s">
        <v>2885</v>
      </c>
      <c r="E322" s="19" t="s">
        <v>2726</v>
      </c>
      <c r="F322" s="19">
        <v>9.5500000000000007</v>
      </c>
      <c r="G322" s="19" t="s">
        <v>2154</v>
      </c>
      <c r="H322" s="19" t="s">
        <v>2155</v>
      </c>
    </row>
    <row r="323" spans="1:8">
      <c r="A323" s="18" t="s">
        <v>154</v>
      </c>
      <c r="B323" s="18" t="s">
        <v>2886</v>
      </c>
      <c r="C323" s="18" t="s">
        <v>2230</v>
      </c>
      <c r="D323" s="18" t="s">
        <v>2485</v>
      </c>
      <c r="E323" s="18" t="s">
        <v>2653</v>
      </c>
      <c r="F323" s="18">
        <v>7.82</v>
      </c>
      <c r="G323" s="18" t="s">
        <v>2154</v>
      </c>
      <c r="H323" s="18" t="s">
        <v>2171</v>
      </c>
    </row>
    <row r="324" spans="1:8">
      <c r="A324" s="19" t="s">
        <v>154</v>
      </c>
      <c r="B324" s="19" t="s">
        <v>2887</v>
      </c>
      <c r="C324" s="19" t="s">
        <v>2234</v>
      </c>
      <c r="D324" s="19" t="s">
        <v>2888</v>
      </c>
      <c r="E324" s="19" t="s">
        <v>2889</v>
      </c>
      <c r="F324" s="19">
        <v>7.49</v>
      </c>
      <c r="G324" s="19" t="s">
        <v>2154</v>
      </c>
      <c r="H324" s="19" t="s">
        <v>2155</v>
      </c>
    </row>
    <row r="325" spans="1:8">
      <c r="A325" s="18" t="s">
        <v>154</v>
      </c>
      <c r="B325" s="18" t="s">
        <v>2890</v>
      </c>
      <c r="C325" s="18" t="s">
        <v>2238</v>
      </c>
      <c r="D325" s="18" t="s">
        <v>2611</v>
      </c>
      <c r="E325" s="18" t="s">
        <v>2317</v>
      </c>
      <c r="F325" s="18">
        <v>8.7899999999999991</v>
      </c>
      <c r="G325" s="18" t="s">
        <v>2154</v>
      </c>
      <c r="H325" s="18" t="s">
        <v>2171</v>
      </c>
    </row>
    <row r="326" spans="1:8">
      <c r="A326" s="19" t="s">
        <v>154</v>
      </c>
      <c r="B326" s="19" t="s">
        <v>2891</v>
      </c>
      <c r="C326" s="19" t="s">
        <v>2241</v>
      </c>
      <c r="D326" s="19" t="s">
        <v>2690</v>
      </c>
      <c r="E326" s="19" t="s">
        <v>2582</v>
      </c>
      <c r="F326" s="19">
        <v>10.63</v>
      </c>
      <c r="G326" s="19" t="s">
        <v>2154</v>
      </c>
      <c r="H326" s="19" t="s">
        <v>2187</v>
      </c>
    </row>
    <row r="327" spans="1:8">
      <c r="A327" s="18" t="s">
        <v>154</v>
      </c>
      <c r="B327" s="18" t="s">
        <v>2892</v>
      </c>
      <c r="C327" s="18" t="s">
        <v>2245</v>
      </c>
      <c r="D327" s="18" t="s">
        <v>2261</v>
      </c>
      <c r="E327" s="18" t="s">
        <v>2893</v>
      </c>
      <c r="F327" s="18">
        <v>10.27</v>
      </c>
      <c r="G327" s="18" t="s">
        <v>2154</v>
      </c>
      <c r="H327" s="18" t="s">
        <v>2155</v>
      </c>
    </row>
    <row r="328" spans="1:8">
      <c r="A328" s="19" t="s">
        <v>154</v>
      </c>
      <c r="B328" s="19" t="s">
        <v>2894</v>
      </c>
      <c r="C328" s="19" t="s">
        <v>2249</v>
      </c>
      <c r="D328" s="19" t="s">
        <v>2592</v>
      </c>
      <c r="E328" s="19" t="s">
        <v>2895</v>
      </c>
      <c r="F328" s="19">
        <v>7.97</v>
      </c>
      <c r="G328" s="19" t="s">
        <v>2154</v>
      </c>
      <c r="H328" s="19" t="s">
        <v>2160</v>
      </c>
    </row>
    <row r="329" spans="1:8">
      <c r="A329" s="18" t="s">
        <v>154</v>
      </c>
      <c r="B329" s="18" t="s">
        <v>2896</v>
      </c>
      <c r="C329" s="18" t="s">
        <v>2252</v>
      </c>
      <c r="D329" s="18" t="s">
        <v>2314</v>
      </c>
      <c r="E329" s="18" t="s">
        <v>2897</v>
      </c>
      <c r="F329" s="18">
        <v>11.06</v>
      </c>
      <c r="G329" s="18" t="s">
        <v>2154</v>
      </c>
      <c r="H329" s="18" t="s">
        <v>2160</v>
      </c>
    </row>
    <row r="330" spans="1:8">
      <c r="A330" s="19" t="s">
        <v>154</v>
      </c>
      <c r="B330" s="19" t="s">
        <v>2898</v>
      </c>
      <c r="C330" s="19" t="s">
        <v>2376</v>
      </c>
      <c r="D330" s="19" t="s">
        <v>2880</v>
      </c>
      <c r="E330" s="19" t="s">
        <v>2899</v>
      </c>
      <c r="F330" s="19">
        <v>7.43</v>
      </c>
      <c r="G330" s="19" t="s">
        <v>2154</v>
      </c>
      <c r="H330" s="19" t="s">
        <v>2155</v>
      </c>
    </row>
    <row r="331" spans="1:8">
      <c r="A331" s="18" t="s">
        <v>154</v>
      </c>
      <c r="B331" s="18" t="s">
        <v>2900</v>
      </c>
      <c r="C331" s="18" t="s">
        <v>2260</v>
      </c>
      <c r="D331" s="18" t="s">
        <v>2888</v>
      </c>
      <c r="E331" s="18" t="s">
        <v>2614</v>
      </c>
      <c r="F331" s="18">
        <v>10.57</v>
      </c>
      <c r="G331" s="18" t="s">
        <v>2154</v>
      </c>
      <c r="H331" s="18" t="s">
        <v>2160</v>
      </c>
    </row>
    <row r="332" spans="1:8">
      <c r="A332" s="19" t="s">
        <v>154</v>
      </c>
      <c r="B332" s="19" t="s">
        <v>2901</v>
      </c>
      <c r="C332" s="19" t="s">
        <v>2264</v>
      </c>
      <c r="D332" s="19" t="s">
        <v>2662</v>
      </c>
      <c r="E332" s="19" t="s">
        <v>2417</v>
      </c>
      <c r="F332" s="19">
        <v>9.91</v>
      </c>
      <c r="G332" s="19" t="s">
        <v>2154</v>
      </c>
      <c r="H332" s="19" t="s">
        <v>2187</v>
      </c>
    </row>
    <row r="333" spans="1:8">
      <c r="A333" s="18" t="s">
        <v>154</v>
      </c>
      <c r="B333" s="18" t="s">
        <v>2902</v>
      </c>
      <c r="C333" s="18" t="s">
        <v>1948</v>
      </c>
      <c r="D333" s="18" t="s">
        <v>2729</v>
      </c>
      <c r="E333" s="18" t="s">
        <v>2644</v>
      </c>
      <c r="F333" s="18">
        <v>7.96</v>
      </c>
      <c r="G333" s="18" t="s">
        <v>2154</v>
      </c>
      <c r="H333" s="18" t="s">
        <v>2187</v>
      </c>
    </row>
    <row r="334" spans="1:8">
      <c r="A334" s="19" t="s">
        <v>154</v>
      </c>
      <c r="B334" s="19" t="s">
        <v>2903</v>
      </c>
      <c r="C334" s="19" t="s">
        <v>2269</v>
      </c>
      <c r="D334" s="19" t="s">
        <v>2482</v>
      </c>
      <c r="E334" s="19" t="s">
        <v>2483</v>
      </c>
      <c r="F334" s="19">
        <v>7.21</v>
      </c>
      <c r="G334" s="19" t="s">
        <v>2154</v>
      </c>
      <c r="H334" s="19" t="s">
        <v>2160</v>
      </c>
    </row>
    <row r="335" spans="1:8">
      <c r="A335" s="18" t="s">
        <v>154</v>
      </c>
      <c r="B335" s="18" t="s">
        <v>2904</v>
      </c>
      <c r="C335" s="18" t="s">
        <v>2273</v>
      </c>
      <c r="D335" s="18" t="s">
        <v>2337</v>
      </c>
      <c r="E335" s="18" t="s">
        <v>2644</v>
      </c>
      <c r="F335" s="18">
        <v>8.15</v>
      </c>
      <c r="G335" s="18" t="s">
        <v>2154</v>
      </c>
      <c r="H335" s="18" t="s">
        <v>2155</v>
      </c>
    </row>
    <row r="336" spans="1:8">
      <c r="A336" s="19" t="s">
        <v>154</v>
      </c>
      <c r="B336" s="19" t="s">
        <v>2905</v>
      </c>
      <c r="C336" s="19" t="s">
        <v>2277</v>
      </c>
      <c r="D336" s="19" t="s">
        <v>2257</v>
      </c>
      <c r="E336" s="19" t="s">
        <v>2258</v>
      </c>
      <c r="F336" s="19">
        <v>8.3699999999999992</v>
      </c>
      <c r="G336" s="19" t="s">
        <v>2154</v>
      </c>
      <c r="H336" s="19" t="s">
        <v>2155</v>
      </c>
    </row>
    <row r="337" spans="1:8">
      <c r="A337" s="18" t="s">
        <v>154</v>
      </c>
      <c r="B337" s="18" t="s">
        <v>2906</v>
      </c>
      <c r="C337" s="18" t="s">
        <v>2281</v>
      </c>
      <c r="D337" s="18" t="s">
        <v>2849</v>
      </c>
      <c r="E337" s="18" t="s">
        <v>2907</v>
      </c>
      <c r="F337" s="18">
        <v>11.15</v>
      </c>
      <c r="G337" s="18" t="s">
        <v>2154</v>
      </c>
      <c r="H337" s="18" t="s">
        <v>2187</v>
      </c>
    </row>
    <row r="338" spans="1:8">
      <c r="A338" s="19" t="s">
        <v>154</v>
      </c>
      <c r="B338" s="19" t="s">
        <v>2908</v>
      </c>
      <c r="C338" s="19" t="s">
        <v>2396</v>
      </c>
      <c r="D338" s="19" t="s">
        <v>2524</v>
      </c>
      <c r="E338" s="19" t="s">
        <v>2398</v>
      </c>
      <c r="F338" s="19">
        <v>7.58</v>
      </c>
      <c r="G338" s="19" t="s">
        <v>2154</v>
      </c>
      <c r="H338" s="19" t="s">
        <v>2160</v>
      </c>
    </row>
    <row r="339" spans="1:8">
      <c r="A339" s="18" t="s">
        <v>154</v>
      </c>
      <c r="B339" s="18" t="s">
        <v>2909</v>
      </c>
      <c r="C339" s="18" t="s">
        <v>2289</v>
      </c>
      <c r="D339" s="18" t="s">
        <v>2380</v>
      </c>
      <c r="E339" s="18" t="s">
        <v>2381</v>
      </c>
      <c r="F339" s="18">
        <v>7.47</v>
      </c>
      <c r="G339" s="18" t="s">
        <v>2154</v>
      </c>
      <c r="H339" s="18" t="s">
        <v>2187</v>
      </c>
    </row>
    <row r="340" spans="1:8">
      <c r="A340" s="19" t="s">
        <v>154</v>
      </c>
      <c r="B340" s="19" t="s">
        <v>2910</v>
      </c>
      <c r="C340" s="19" t="s">
        <v>2293</v>
      </c>
      <c r="D340" s="19" t="s">
        <v>2536</v>
      </c>
      <c r="E340" s="19" t="s">
        <v>2911</v>
      </c>
      <c r="F340" s="19">
        <v>9.67</v>
      </c>
      <c r="G340" s="19" t="s">
        <v>2154</v>
      </c>
      <c r="H340" s="19" t="s">
        <v>2187</v>
      </c>
    </row>
    <row r="341" spans="1:8">
      <c r="A341" s="18" t="s">
        <v>154</v>
      </c>
      <c r="B341" s="18" t="s">
        <v>2912</v>
      </c>
      <c r="C341" s="18" t="s">
        <v>2296</v>
      </c>
      <c r="D341" s="18" t="s">
        <v>2801</v>
      </c>
      <c r="E341" s="18" t="s">
        <v>2913</v>
      </c>
      <c r="F341" s="18">
        <v>9.7200000000000006</v>
      </c>
      <c r="G341" s="18" t="s">
        <v>2154</v>
      </c>
      <c r="H341" s="18" t="s">
        <v>2171</v>
      </c>
    </row>
    <row r="342" spans="1:8">
      <c r="A342" s="19" t="s">
        <v>154</v>
      </c>
      <c r="B342" s="19" t="s">
        <v>2914</v>
      </c>
      <c r="C342" s="19" t="s">
        <v>2300</v>
      </c>
      <c r="D342" s="19" t="s">
        <v>2223</v>
      </c>
      <c r="E342" s="19" t="s">
        <v>2492</v>
      </c>
      <c r="F342" s="19">
        <v>8.59</v>
      </c>
      <c r="G342" s="19" t="s">
        <v>2154</v>
      </c>
      <c r="H342" s="19" t="s">
        <v>2187</v>
      </c>
    </row>
    <row r="343" spans="1:8">
      <c r="A343" s="18" t="s">
        <v>154</v>
      </c>
      <c r="B343" s="18" t="s">
        <v>2915</v>
      </c>
      <c r="C343" s="18" t="s">
        <v>2916</v>
      </c>
      <c r="D343" s="18" t="s">
        <v>2632</v>
      </c>
      <c r="E343" s="18" t="s">
        <v>2182</v>
      </c>
      <c r="F343" s="18">
        <v>8.92</v>
      </c>
      <c r="G343" s="18" t="s">
        <v>2154</v>
      </c>
      <c r="H343" s="18" t="s">
        <v>2160</v>
      </c>
    </row>
    <row r="344" spans="1:8">
      <c r="A344" s="19" t="s">
        <v>154</v>
      </c>
      <c r="B344" s="19" t="s">
        <v>2917</v>
      </c>
      <c r="C344" s="19" t="s">
        <v>2307</v>
      </c>
      <c r="D344" s="19" t="s">
        <v>2703</v>
      </c>
      <c r="E344" s="19" t="s">
        <v>2519</v>
      </c>
      <c r="F344" s="19">
        <v>10.57</v>
      </c>
      <c r="G344" s="19" t="s">
        <v>2154</v>
      </c>
      <c r="H344" s="19" t="s">
        <v>2160</v>
      </c>
    </row>
    <row r="345" spans="1:8">
      <c r="A345" s="18" t="s">
        <v>154</v>
      </c>
      <c r="B345" s="18" t="s">
        <v>2918</v>
      </c>
      <c r="C345" s="18" t="s">
        <v>2311</v>
      </c>
      <c r="D345" s="18" t="s">
        <v>2611</v>
      </c>
      <c r="E345" s="18" t="s">
        <v>2919</v>
      </c>
      <c r="F345" s="18">
        <v>6.68</v>
      </c>
      <c r="G345" s="18" t="s">
        <v>2154</v>
      </c>
      <c r="H345" s="18" t="s">
        <v>2187</v>
      </c>
    </row>
    <row r="346" spans="1:8">
      <c r="A346" s="19" t="s">
        <v>1044</v>
      </c>
      <c r="B346" s="19" t="s">
        <v>2920</v>
      </c>
      <c r="C346" s="19" t="s">
        <v>2038</v>
      </c>
      <c r="D346" s="19" t="s">
        <v>2308</v>
      </c>
      <c r="E346" s="19" t="s">
        <v>2921</v>
      </c>
      <c r="F346" s="19">
        <v>7.06</v>
      </c>
      <c r="G346" s="19" t="s">
        <v>2154</v>
      </c>
      <c r="H346" s="19" t="s">
        <v>2155</v>
      </c>
    </row>
    <row r="347" spans="1:8">
      <c r="A347" s="18" t="s">
        <v>1044</v>
      </c>
      <c r="B347" s="18" t="s">
        <v>2922</v>
      </c>
      <c r="C347" s="18" t="s">
        <v>2157</v>
      </c>
      <c r="D347" s="18" t="s">
        <v>2524</v>
      </c>
      <c r="E347" s="18" t="s">
        <v>2398</v>
      </c>
      <c r="F347" s="18">
        <v>7.64</v>
      </c>
      <c r="G347" s="18" t="s">
        <v>2154</v>
      </c>
      <c r="H347" s="18" t="s">
        <v>2187</v>
      </c>
    </row>
    <row r="348" spans="1:8">
      <c r="A348" s="19" t="s">
        <v>1044</v>
      </c>
      <c r="B348" s="19" t="s">
        <v>2923</v>
      </c>
      <c r="C348" s="19" t="s">
        <v>2162</v>
      </c>
      <c r="D348" s="19" t="s">
        <v>2766</v>
      </c>
      <c r="E348" s="19" t="s">
        <v>2924</v>
      </c>
      <c r="F348" s="19">
        <v>10.02</v>
      </c>
      <c r="G348" s="19" t="s">
        <v>2154</v>
      </c>
      <c r="H348" s="19" t="s">
        <v>2160</v>
      </c>
    </row>
    <row r="349" spans="1:8">
      <c r="A349" s="18" t="s">
        <v>1044</v>
      </c>
      <c r="B349" s="18" t="s">
        <v>2925</v>
      </c>
      <c r="C349" s="18" t="s">
        <v>1937</v>
      </c>
      <c r="D349" s="18" t="s">
        <v>2408</v>
      </c>
      <c r="E349" s="18" t="s">
        <v>2926</v>
      </c>
      <c r="F349" s="18">
        <v>10.62</v>
      </c>
      <c r="G349" s="18" t="s">
        <v>2154</v>
      </c>
      <c r="H349" s="18" t="s">
        <v>2187</v>
      </c>
    </row>
    <row r="350" spans="1:8">
      <c r="A350" s="19" t="s">
        <v>1044</v>
      </c>
      <c r="B350" s="19" t="s">
        <v>2927</v>
      </c>
      <c r="C350" s="19" t="s">
        <v>2168</v>
      </c>
      <c r="D350" s="19" t="s">
        <v>2589</v>
      </c>
      <c r="E350" s="19" t="s">
        <v>2928</v>
      </c>
      <c r="F350" s="19">
        <v>11.2</v>
      </c>
      <c r="G350" s="19" t="s">
        <v>2154</v>
      </c>
      <c r="H350" s="19" t="s">
        <v>2187</v>
      </c>
    </row>
    <row r="351" spans="1:8">
      <c r="A351" s="18" t="s">
        <v>1044</v>
      </c>
      <c r="B351" s="18" t="s">
        <v>2929</v>
      </c>
      <c r="C351" s="18" t="s">
        <v>2173</v>
      </c>
      <c r="D351" s="18" t="s">
        <v>2365</v>
      </c>
      <c r="E351" s="18" t="s">
        <v>2366</v>
      </c>
      <c r="F351" s="18">
        <v>7.37</v>
      </c>
      <c r="G351" s="18" t="s">
        <v>2154</v>
      </c>
      <c r="H351" s="18" t="s">
        <v>2171</v>
      </c>
    </row>
    <row r="352" spans="1:8">
      <c r="A352" s="19" t="s">
        <v>1044</v>
      </c>
      <c r="B352" s="19" t="s">
        <v>2930</v>
      </c>
      <c r="C352" s="19" t="s">
        <v>2177</v>
      </c>
      <c r="D352" s="19" t="s">
        <v>2680</v>
      </c>
      <c r="E352" s="19" t="s">
        <v>2931</v>
      </c>
      <c r="F352" s="19">
        <v>9.01</v>
      </c>
      <c r="G352" s="19" t="s">
        <v>2154</v>
      </c>
      <c r="H352" s="19" t="s">
        <v>2155</v>
      </c>
    </row>
    <row r="353" spans="1:8">
      <c r="A353" s="18" t="s">
        <v>1044</v>
      </c>
      <c r="B353" s="18" t="s">
        <v>2932</v>
      </c>
      <c r="C353" s="18" t="s">
        <v>1945</v>
      </c>
      <c r="D353" s="18"/>
      <c r="E353" s="18"/>
      <c r="F353" s="18"/>
      <c r="G353" s="18" t="s">
        <v>2343</v>
      </c>
      <c r="H353" s="18" t="s">
        <v>2171</v>
      </c>
    </row>
    <row r="354" spans="1:8">
      <c r="A354" s="19" t="s">
        <v>1044</v>
      </c>
      <c r="B354" s="19" t="s">
        <v>2933</v>
      </c>
      <c r="C354" s="19" t="s">
        <v>2184</v>
      </c>
      <c r="D354" s="19" t="s">
        <v>2589</v>
      </c>
      <c r="E354" s="19" t="s">
        <v>2934</v>
      </c>
      <c r="F354" s="19">
        <v>6.6</v>
      </c>
      <c r="G354" s="19" t="s">
        <v>2154</v>
      </c>
      <c r="H354" s="19" t="s">
        <v>2187</v>
      </c>
    </row>
    <row r="355" spans="1:8">
      <c r="A355" s="18" t="s">
        <v>1044</v>
      </c>
      <c r="B355" s="18" t="s">
        <v>2935</v>
      </c>
      <c r="C355" s="18" t="s">
        <v>2189</v>
      </c>
      <c r="D355" s="18" t="s">
        <v>2181</v>
      </c>
      <c r="E355" s="18" t="s">
        <v>2936</v>
      </c>
      <c r="F355" s="18">
        <v>11.48</v>
      </c>
      <c r="G355" s="18" t="s">
        <v>2154</v>
      </c>
      <c r="H355" s="18" t="s">
        <v>2160</v>
      </c>
    </row>
    <row r="356" spans="1:8">
      <c r="A356" s="19" t="s">
        <v>1044</v>
      </c>
      <c r="B356" s="19" t="s">
        <v>2937</v>
      </c>
      <c r="C356" s="19" t="s">
        <v>2193</v>
      </c>
      <c r="D356" s="19" t="s">
        <v>2632</v>
      </c>
      <c r="E356" s="19" t="s">
        <v>2938</v>
      </c>
      <c r="F356" s="19">
        <v>9.51</v>
      </c>
      <c r="G356" s="19" t="s">
        <v>2154</v>
      </c>
      <c r="H356" s="19" t="s">
        <v>2187</v>
      </c>
    </row>
    <row r="357" spans="1:8">
      <c r="A357" s="18" t="s">
        <v>1044</v>
      </c>
      <c r="B357" s="18" t="s">
        <v>2939</v>
      </c>
      <c r="C357" s="18" t="s">
        <v>2197</v>
      </c>
      <c r="D357" s="18" t="s">
        <v>2201</v>
      </c>
      <c r="E357" s="18" t="s">
        <v>2724</v>
      </c>
      <c r="F357" s="18">
        <v>10.02</v>
      </c>
      <c r="G357" s="18" t="s">
        <v>2154</v>
      </c>
      <c r="H357" s="18" t="s">
        <v>2155</v>
      </c>
    </row>
    <row r="358" spans="1:8">
      <c r="A358" s="19" t="s">
        <v>1044</v>
      </c>
      <c r="B358" s="19" t="s">
        <v>2940</v>
      </c>
      <c r="C358" s="19" t="s">
        <v>1819</v>
      </c>
      <c r="D358" s="19" t="s">
        <v>2387</v>
      </c>
      <c r="E358" s="19" t="s">
        <v>2749</v>
      </c>
      <c r="F358" s="19">
        <v>11.48</v>
      </c>
      <c r="G358" s="19" t="s">
        <v>2154</v>
      </c>
      <c r="H358" s="19" t="s">
        <v>2187</v>
      </c>
    </row>
    <row r="359" spans="1:8">
      <c r="A359" s="18" t="s">
        <v>1044</v>
      </c>
      <c r="B359" s="18" t="s">
        <v>2941</v>
      </c>
      <c r="C359" s="18" t="s">
        <v>2204</v>
      </c>
      <c r="D359" s="18" t="s">
        <v>2624</v>
      </c>
      <c r="E359" s="18" t="s">
        <v>2942</v>
      </c>
      <c r="F359" s="18">
        <v>9.59</v>
      </c>
      <c r="G359" s="18" t="s">
        <v>2154</v>
      </c>
      <c r="H359" s="18" t="s">
        <v>2187</v>
      </c>
    </row>
    <row r="360" spans="1:8">
      <c r="A360" s="19" t="s">
        <v>1044</v>
      </c>
      <c r="B360" s="19" t="s">
        <v>2943</v>
      </c>
      <c r="C360" s="19" t="s">
        <v>1843</v>
      </c>
      <c r="D360" s="19" t="s">
        <v>2606</v>
      </c>
      <c r="E360" s="19" t="s">
        <v>2944</v>
      </c>
      <c r="F360" s="19">
        <v>8.7100000000000009</v>
      </c>
      <c r="G360" s="19" t="s">
        <v>2154</v>
      </c>
      <c r="H360" s="19" t="s">
        <v>2160</v>
      </c>
    </row>
    <row r="361" spans="1:8">
      <c r="A361" s="18" t="s">
        <v>1044</v>
      </c>
      <c r="B361" s="18" t="s">
        <v>2945</v>
      </c>
      <c r="C361" s="18" t="s">
        <v>2211</v>
      </c>
      <c r="D361" s="18" t="s">
        <v>2393</v>
      </c>
      <c r="E361" s="18" t="s">
        <v>2946</v>
      </c>
      <c r="F361" s="18">
        <v>10.57</v>
      </c>
      <c r="G361" s="18" t="s">
        <v>2154</v>
      </c>
      <c r="H361" s="18" t="s">
        <v>2171</v>
      </c>
    </row>
    <row r="362" spans="1:8">
      <c r="A362" s="19" t="s">
        <v>1044</v>
      </c>
      <c r="B362" s="19" t="s">
        <v>2947</v>
      </c>
      <c r="C362" s="19" t="s">
        <v>2215</v>
      </c>
      <c r="D362" s="19" t="s">
        <v>2948</v>
      </c>
      <c r="E362" s="19" t="s">
        <v>2949</v>
      </c>
      <c r="F362" s="19">
        <v>11.3</v>
      </c>
      <c r="G362" s="19" t="s">
        <v>2154</v>
      </c>
      <c r="H362" s="19" t="s">
        <v>2160</v>
      </c>
    </row>
    <row r="363" spans="1:8">
      <c r="A363" s="18" t="s">
        <v>1044</v>
      </c>
      <c r="B363" s="18" t="s">
        <v>2950</v>
      </c>
      <c r="C363" s="18" t="s">
        <v>2219</v>
      </c>
      <c r="D363" s="18" t="s">
        <v>2951</v>
      </c>
      <c r="E363" s="18" t="s">
        <v>2952</v>
      </c>
      <c r="F363" s="18">
        <v>8.6300000000000008</v>
      </c>
      <c r="G363" s="18" t="s">
        <v>2154</v>
      </c>
      <c r="H363" s="18" t="s">
        <v>2171</v>
      </c>
    </row>
    <row r="364" spans="1:8">
      <c r="A364" s="19" t="s">
        <v>1044</v>
      </c>
      <c r="B364" s="19" t="s">
        <v>2953</v>
      </c>
      <c r="C364" s="19" t="s">
        <v>2222</v>
      </c>
      <c r="D364" s="19" t="s">
        <v>2261</v>
      </c>
      <c r="E364" s="19" t="s">
        <v>2893</v>
      </c>
      <c r="F364" s="19">
        <v>10.72</v>
      </c>
      <c r="G364" s="19" t="s">
        <v>2154</v>
      </c>
      <c r="H364" s="19" t="s">
        <v>2155</v>
      </c>
    </row>
    <row r="365" spans="1:8">
      <c r="A365" s="18" t="s">
        <v>1044</v>
      </c>
      <c r="B365" s="18" t="s">
        <v>2954</v>
      </c>
      <c r="C365" s="18" t="s">
        <v>2226</v>
      </c>
      <c r="D365" s="18" t="s">
        <v>2955</v>
      </c>
      <c r="E365" s="18" t="s">
        <v>2790</v>
      </c>
      <c r="F365" s="18">
        <v>6.83</v>
      </c>
      <c r="G365" s="18" t="s">
        <v>2154</v>
      </c>
      <c r="H365" s="18" t="s">
        <v>2171</v>
      </c>
    </row>
    <row r="366" spans="1:8">
      <c r="A366" s="19" t="s">
        <v>1044</v>
      </c>
      <c r="B366" s="19" t="s">
        <v>2956</v>
      </c>
      <c r="C366" s="19" t="s">
        <v>2230</v>
      </c>
      <c r="D366" s="19" t="s">
        <v>2789</v>
      </c>
      <c r="E366" s="19" t="s">
        <v>2474</v>
      </c>
      <c r="F366" s="19">
        <v>9.7899999999999991</v>
      </c>
      <c r="G366" s="19" t="s">
        <v>2154</v>
      </c>
      <c r="H366" s="19" t="s">
        <v>2155</v>
      </c>
    </row>
    <row r="367" spans="1:8">
      <c r="A367" s="18" t="s">
        <v>1044</v>
      </c>
      <c r="B367" s="18" t="s">
        <v>2957</v>
      </c>
      <c r="C367" s="18" t="s">
        <v>2234</v>
      </c>
      <c r="D367" s="18" t="s">
        <v>2370</v>
      </c>
      <c r="E367" s="18" t="s">
        <v>2371</v>
      </c>
      <c r="F367" s="18">
        <v>10.050000000000001</v>
      </c>
      <c r="G367" s="18" t="s">
        <v>2154</v>
      </c>
      <c r="H367" s="18" t="s">
        <v>2160</v>
      </c>
    </row>
    <row r="368" spans="1:8">
      <c r="A368" s="19" t="s">
        <v>1044</v>
      </c>
      <c r="B368" s="19" t="s">
        <v>2958</v>
      </c>
      <c r="C368" s="19" t="s">
        <v>2238</v>
      </c>
      <c r="D368" s="19" t="s">
        <v>2603</v>
      </c>
      <c r="E368" s="19" t="s">
        <v>2732</v>
      </c>
      <c r="F368" s="19">
        <v>6.77</v>
      </c>
      <c r="G368" s="19" t="s">
        <v>2154</v>
      </c>
      <c r="H368" s="19" t="s">
        <v>2155</v>
      </c>
    </row>
    <row r="369" spans="1:8">
      <c r="A369" s="18" t="s">
        <v>1044</v>
      </c>
      <c r="B369" s="18" t="s">
        <v>2959</v>
      </c>
      <c r="C369" s="18" t="s">
        <v>2241</v>
      </c>
      <c r="D369" s="18" t="s">
        <v>2783</v>
      </c>
      <c r="E369" s="18" t="s">
        <v>2897</v>
      </c>
      <c r="F369" s="18">
        <v>10.79</v>
      </c>
      <c r="G369" s="18" t="s">
        <v>2154</v>
      </c>
      <c r="H369" s="18" t="s">
        <v>2160</v>
      </c>
    </row>
    <row r="370" spans="1:8">
      <c r="A370" s="19" t="s">
        <v>1044</v>
      </c>
      <c r="B370" s="19" t="s">
        <v>2960</v>
      </c>
      <c r="C370" s="19" t="s">
        <v>2245</v>
      </c>
      <c r="D370" s="19" t="s">
        <v>2400</v>
      </c>
      <c r="E370" s="19" t="s">
        <v>2531</v>
      </c>
      <c r="F370" s="19">
        <v>10.19</v>
      </c>
      <c r="G370" s="19" t="s">
        <v>2154</v>
      </c>
      <c r="H370" s="19" t="s">
        <v>2155</v>
      </c>
    </row>
    <row r="371" spans="1:8">
      <c r="A371" s="18" t="s">
        <v>1044</v>
      </c>
      <c r="B371" s="18" t="s">
        <v>2961</v>
      </c>
      <c r="C371" s="18" t="s">
        <v>2249</v>
      </c>
      <c r="D371" s="18" t="s">
        <v>2169</v>
      </c>
      <c r="E371" s="18" t="s">
        <v>2962</v>
      </c>
      <c r="F371" s="18">
        <v>11.2</v>
      </c>
      <c r="G371" s="18" t="s">
        <v>2154</v>
      </c>
      <c r="H371" s="18" t="s">
        <v>2171</v>
      </c>
    </row>
    <row r="372" spans="1:8">
      <c r="A372" s="19" t="s">
        <v>1044</v>
      </c>
      <c r="B372" s="19" t="s">
        <v>2963</v>
      </c>
      <c r="C372" s="19" t="s">
        <v>2252</v>
      </c>
      <c r="D372" s="19" t="s">
        <v>2693</v>
      </c>
      <c r="E372" s="19" t="s">
        <v>2531</v>
      </c>
      <c r="F372" s="19">
        <v>8.56</v>
      </c>
      <c r="G372" s="19" t="s">
        <v>2154</v>
      </c>
      <c r="H372" s="19" t="s">
        <v>2155</v>
      </c>
    </row>
    <row r="373" spans="1:8">
      <c r="A373" s="18" t="s">
        <v>1044</v>
      </c>
      <c r="B373" s="18" t="s">
        <v>2964</v>
      </c>
      <c r="C373" s="18" t="s">
        <v>2376</v>
      </c>
      <c r="D373" s="18" t="s">
        <v>2181</v>
      </c>
      <c r="E373" s="18" t="s">
        <v>2633</v>
      </c>
      <c r="F373" s="18">
        <v>8.39</v>
      </c>
      <c r="G373" s="18" t="s">
        <v>2154</v>
      </c>
      <c r="H373" s="18" t="s">
        <v>2160</v>
      </c>
    </row>
    <row r="374" spans="1:8">
      <c r="A374" s="19" t="s">
        <v>1044</v>
      </c>
      <c r="B374" s="19" t="s">
        <v>2965</v>
      </c>
      <c r="C374" s="19" t="s">
        <v>2260</v>
      </c>
      <c r="D374" s="19" t="s">
        <v>2966</v>
      </c>
      <c r="E374" s="19" t="s">
        <v>2658</v>
      </c>
      <c r="F374" s="19">
        <v>9.93</v>
      </c>
      <c r="G374" s="19" t="s">
        <v>2154</v>
      </c>
      <c r="H374" s="19" t="s">
        <v>2160</v>
      </c>
    </row>
    <row r="375" spans="1:8">
      <c r="A375" s="18" t="s">
        <v>1044</v>
      </c>
      <c r="B375" s="18" t="s">
        <v>2967</v>
      </c>
      <c r="C375" s="18" t="s">
        <v>2264</v>
      </c>
      <c r="D375" s="18" t="s">
        <v>2319</v>
      </c>
      <c r="E375" s="18" t="s">
        <v>2243</v>
      </c>
      <c r="F375" s="18">
        <v>7.49</v>
      </c>
      <c r="G375" s="18" t="s">
        <v>2154</v>
      </c>
      <c r="H375" s="18" t="s">
        <v>2160</v>
      </c>
    </row>
    <row r="376" spans="1:8">
      <c r="A376" s="19" t="s">
        <v>1044</v>
      </c>
      <c r="B376" s="19" t="s">
        <v>2968</v>
      </c>
      <c r="C376" s="19" t="s">
        <v>1948</v>
      </c>
      <c r="D376" s="19" t="s">
        <v>2662</v>
      </c>
      <c r="E376" s="19" t="s">
        <v>2969</v>
      </c>
      <c r="F376" s="19">
        <v>8.59</v>
      </c>
      <c r="G376" s="19" t="s">
        <v>2154</v>
      </c>
      <c r="H376" s="19" t="s">
        <v>2155</v>
      </c>
    </row>
    <row r="377" spans="1:8">
      <c r="A377" s="18" t="s">
        <v>1044</v>
      </c>
      <c r="B377" s="18" t="s">
        <v>2970</v>
      </c>
      <c r="C377" s="18" t="s">
        <v>2269</v>
      </c>
      <c r="D377" s="18" t="s">
        <v>2796</v>
      </c>
      <c r="E377" s="18" t="s">
        <v>2687</v>
      </c>
      <c r="F377" s="18">
        <v>7.86</v>
      </c>
      <c r="G377" s="18" t="s">
        <v>2154</v>
      </c>
      <c r="H377" s="18" t="s">
        <v>2160</v>
      </c>
    </row>
    <row r="378" spans="1:8">
      <c r="A378" s="19" t="s">
        <v>1044</v>
      </c>
      <c r="B378" s="19" t="s">
        <v>2971</v>
      </c>
      <c r="C378" s="19" t="s">
        <v>2273</v>
      </c>
      <c r="D378" s="19" t="s">
        <v>2387</v>
      </c>
      <c r="E378" s="19" t="s">
        <v>2710</v>
      </c>
      <c r="F378" s="19">
        <v>9.9</v>
      </c>
      <c r="G378" s="19" t="s">
        <v>2154</v>
      </c>
      <c r="H378" s="19" t="s">
        <v>2187</v>
      </c>
    </row>
    <row r="379" spans="1:8">
      <c r="A379" s="18" t="s">
        <v>1044</v>
      </c>
      <c r="B379" s="18" t="s">
        <v>2972</v>
      </c>
      <c r="C379" s="18" t="s">
        <v>2277</v>
      </c>
      <c r="D379" s="18" t="s">
        <v>2201</v>
      </c>
      <c r="E379" s="18" t="s">
        <v>2202</v>
      </c>
      <c r="F379" s="18">
        <v>9.4499999999999993</v>
      </c>
      <c r="G379" s="18" t="s">
        <v>2154</v>
      </c>
      <c r="H379" s="18" t="s">
        <v>2155</v>
      </c>
    </row>
    <row r="380" spans="1:8">
      <c r="A380" s="19" t="s">
        <v>1044</v>
      </c>
      <c r="B380" s="19" t="s">
        <v>2973</v>
      </c>
      <c r="C380" s="19" t="s">
        <v>2281</v>
      </c>
      <c r="D380" s="19" t="s">
        <v>2345</v>
      </c>
      <c r="E380" s="19" t="s">
        <v>2974</v>
      </c>
      <c r="F380" s="19">
        <v>10.87</v>
      </c>
      <c r="G380" s="19" t="s">
        <v>2154</v>
      </c>
      <c r="H380" s="19" t="s">
        <v>2171</v>
      </c>
    </row>
    <row r="381" spans="1:8">
      <c r="A381" s="18" t="s">
        <v>1044</v>
      </c>
      <c r="B381" s="18" t="s">
        <v>2975</v>
      </c>
      <c r="C381" s="18" t="s">
        <v>2396</v>
      </c>
      <c r="D381" s="18" t="s">
        <v>2323</v>
      </c>
      <c r="E381" s="18" t="s">
        <v>2404</v>
      </c>
      <c r="F381" s="18">
        <v>8.77</v>
      </c>
      <c r="G381" s="18" t="s">
        <v>2154</v>
      </c>
      <c r="H381" s="18" t="s">
        <v>2171</v>
      </c>
    </row>
    <row r="382" spans="1:8">
      <c r="A382" s="19" t="s">
        <v>1044</v>
      </c>
      <c r="B382" s="19" t="s">
        <v>2976</v>
      </c>
      <c r="C382" s="19" t="s">
        <v>2977</v>
      </c>
      <c r="D382" s="19" t="s">
        <v>2314</v>
      </c>
      <c r="E382" s="19" t="s">
        <v>2315</v>
      </c>
      <c r="F382" s="19">
        <v>9.1999999999999993</v>
      </c>
      <c r="G382" s="19" t="s">
        <v>2154</v>
      </c>
      <c r="H382" s="19" t="s">
        <v>2160</v>
      </c>
    </row>
    <row r="383" spans="1:8">
      <c r="A383" s="18" t="s">
        <v>1044</v>
      </c>
      <c r="B383" s="18" t="s">
        <v>2978</v>
      </c>
      <c r="C383" s="18" t="s">
        <v>2293</v>
      </c>
      <c r="D383" s="18" t="s">
        <v>2979</v>
      </c>
      <c r="E383" s="18" t="s">
        <v>2861</v>
      </c>
      <c r="F383" s="18">
        <v>8.8699999999999992</v>
      </c>
      <c r="G383" s="18" t="s">
        <v>2154</v>
      </c>
      <c r="H383" s="18" t="s">
        <v>2171</v>
      </c>
    </row>
    <row r="384" spans="1:8">
      <c r="A384" s="19" t="s">
        <v>1044</v>
      </c>
      <c r="B384" s="19" t="s">
        <v>2980</v>
      </c>
      <c r="C384" s="19" t="s">
        <v>2296</v>
      </c>
      <c r="D384" s="19" t="s">
        <v>2185</v>
      </c>
      <c r="E384" s="19" t="s">
        <v>2981</v>
      </c>
      <c r="F384" s="19">
        <v>6.94</v>
      </c>
      <c r="G384" s="19" t="s">
        <v>2154</v>
      </c>
      <c r="H384" s="19" t="s">
        <v>2187</v>
      </c>
    </row>
    <row r="385" spans="1:8">
      <c r="A385" s="18" t="s">
        <v>1044</v>
      </c>
      <c r="B385" s="18" t="s">
        <v>2982</v>
      </c>
      <c r="C385" s="18" t="s">
        <v>2300</v>
      </c>
      <c r="D385" s="18" t="s">
        <v>2600</v>
      </c>
      <c r="E385" s="18" t="s">
        <v>2601</v>
      </c>
      <c r="F385" s="18">
        <v>9.86</v>
      </c>
      <c r="G385" s="18" t="s">
        <v>2154</v>
      </c>
      <c r="H385" s="18" t="s">
        <v>2160</v>
      </c>
    </row>
    <row r="386" spans="1:8">
      <c r="A386" s="19" t="s">
        <v>1044</v>
      </c>
      <c r="B386" s="19" t="s">
        <v>2983</v>
      </c>
      <c r="C386" s="19" t="s">
        <v>2144</v>
      </c>
      <c r="D386" s="19" t="s">
        <v>2703</v>
      </c>
      <c r="E386" s="19" t="s">
        <v>2984</v>
      </c>
      <c r="F386" s="19">
        <v>6.89</v>
      </c>
      <c r="G386" s="19" t="s">
        <v>2154</v>
      </c>
      <c r="H386" s="19" t="s">
        <v>2171</v>
      </c>
    </row>
    <row r="387" spans="1:8">
      <c r="A387" s="18" t="s">
        <v>1044</v>
      </c>
      <c r="B387" s="18" t="s">
        <v>2985</v>
      </c>
      <c r="C387" s="18" t="s">
        <v>2307</v>
      </c>
      <c r="D387" s="18" t="s">
        <v>2440</v>
      </c>
      <c r="E387" s="18" t="s">
        <v>2441</v>
      </c>
      <c r="F387" s="18">
        <v>7.48</v>
      </c>
      <c r="G387" s="18" t="s">
        <v>2154</v>
      </c>
      <c r="H387" s="18" t="s">
        <v>2160</v>
      </c>
    </row>
    <row r="388" spans="1:8">
      <c r="A388" s="19" t="s">
        <v>1044</v>
      </c>
      <c r="B388" s="19" t="s">
        <v>2986</v>
      </c>
      <c r="C388" s="19" t="s">
        <v>2311</v>
      </c>
      <c r="D388" s="19" t="s">
        <v>2345</v>
      </c>
      <c r="E388" s="19" t="s">
        <v>2974</v>
      </c>
      <c r="F388" s="19">
        <v>10.86</v>
      </c>
      <c r="G388" s="19" t="s">
        <v>2154</v>
      </c>
      <c r="H388" s="19" t="s">
        <v>2187</v>
      </c>
    </row>
    <row r="389" spans="1:8">
      <c r="A389" s="18" t="s">
        <v>1100</v>
      </c>
      <c r="B389" s="18" t="s">
        <v>2987</v>
      </c>
      <c r="C389" s="18" t="s">
        <v>2038</v>
      </c>
      <c r="D389" s="18" t="s">
        <v>2823</v>
      </c>
      <c r="E389" s="18" t="s">
        <v>2824</v>
      </c>
      <c r="F389" s="18">
        <v>11</v>
      </c>
      <c r="G389" s="18" t="s">
        <v>2154</v>
      </c>
      <c r="H389" s="18" t="s">
        <v>2160</v>
      </c>
    </row>
    <row r="390" spans="1:8">
      <c r="A390" s="19" t="s">
        <v>1100</v>
      </c>
      <c r="B390" s="19" t="s">
        <v>2988</v>
      </c>
      <c r="C390" s="19" t="s">
        <v>2157</v>
      </c>
      <c r="D390" s="19" t="s">
        <v>2592</v>
      </c>
      <c r="E390" s="19" t="s">
        <v>2724</v>
      </c>
      <c r="F390" s="19">
        <v>9.36</v>
      </c>
      <c r="G390" s="19" t="s">
        <v>2154</v>
      </c>
      <c r="H390" s="19" t="s">
        <v>2187</v>
      </c>
    </row>
    <row r="391" spans="1:8">
      <c r="A391" s="18" t="s">
        <v>1100</v>
      </c>
      <c r="B391" s="18" t="s">
        <v>2989</v>
      </c>
      <c r="C391" s="18" t="s">
        <v>2162</v>
      </c>
      <c r="D391" s="18" t="s">
        <v>2578</v>
      </c>
      <c r="E391" s="18" t="s">
        <v>2678</v>
      </c>
      <c r="F391" s="18">
        <v>9.1999999999999993</v>
      </c>
      <c r="G391" s="18" t="s">
        <v>2154</v>
      </c>
      <c r="H391" s="18" t="s">
        <v>2160</v>
      </c>
    </row>
    <row r="392" spans="1:8">
      <c r="A392" s="19" t="s">
        <v>1100</v>
      </c>
      <c r="B392" s="19" t="s">
        <v>2990</v>
      </c>
      <c r="C392" s="19" t="s">
        <v>1937</v>
      </c>
      <c r="D392" s="19"/>
      <c r="E392" s="19"/>
      <c r="F392" s="19"/>
      <c r="G392" s="19" t="s">
        <v>2343</v>
      </c>
      <c r="H392" s="19" t="s">
        <v>2160</v>
      </c>
    </row>
    <row r="393" spans="1:8">
      <c r="A393" s="18" t="s">
        <v>1100</v>
      </c>
      <c r="B393" s="18" t="s">
        <v>2991</v>
      </c>
      <c r="C393" s="18" t="s">
        <v>2168</v>
      </c>
      <c r="D393" s="18" t="s">
        <v>2992</v>
      </c>
      <c r="E393" s="18" t="s">
        <v>2993</v>
      </c>
      <c r="F393" s="18">
        <v>9.36</v>
      </c>
      <c r="G393" s="18" t="s">
        <v>2154</v>
      </c>
      <c r="H393" s="18" t="s">
        <v>2171</v>
      </c>
    </row>
    <row r="394" spans="1:8">
      <c r="A394" s="19" t="s">
        <v>1100</v>
      </c>
      <c r="B394" s="19" t="s">
        <v>2994</v>
      </c>
      <c r="C394" s="19" t="s">
        <v>2173</v>
      </c>
      <c r="D394" s="19" t="s">
        <v>2485</v>
      </c>
      <c r="E394" s="19" t="s">
        <v>2995</v>
      </c>
      <c r="F394" s="19">
        <v>6.93</v>
      </c>
      <c r="G394" s="19" t="s">
        <v>2154</v>
      </c>
      <c r="H394" s="19" t="s">
        <v>2187</v>
      </c>
    </row>
    <row r="395" spans="1:8">
      <c r="A395" s="18" t="s">
        <v>1100</v>
      </c>
      <c r="B395" s="18" t="s">
        <v>2996</v>
      </c>
      <c r="C395" s="18" t="s">
        <v>2177</v>
      </c>
      <c r="D395" s="18" t="s">
        <v>2662</v>
      </c>
      <c r="E395" s="18" t="s">
        <v>2663</v>
      </c>
      <c r="F395" s="18">
        <v>7.03</v>
      </c>
      <c r="G395" s="18" t="s">
        <v>2154</v>
      </c>
      <c r="H395" s="18" t="s">
        <v>2160</v>
      </c>
    </row>
    <row r="396" spans="1:8">
      <c r="A396" s="19" t="s">
        <v>1100</v>
      </c>
      <c r="B396" s="19" t="s">
        <v>2997</v>
      </c>
      <c r="C396" s="19" t="s">
        <v>1945</v>
      </c>
      <c r="D396" s="19" t="s">
        <v>2766</v>
      </c>
      <c r="E396" s="19" t="s">
        <v>2998</v>
      </c>
      <c r="F396" s="19">
        <v>7.5</v>
      </c>
      <c r="G396" s="19" t="s">
        <v>2154</v>
      </c>
      <c r="H396" s="19" t="s">
        <v>2155</v>
      </c>
    </row>
    <row r="397" spans="1:8">
      <c r="A397" s="18" t="s">
        <v>1100</v>
      </c>
      <c r="B397" s="18" t="s">
        <v>2999</v>
      </c>
      <c r="C397" s="18" t="s">
        <v>2184</v>
      </c>
      <c r="D397" s="18" t="s">
        <v>2297</v>
      </c>
      <c r="E397" s="18" t="s">
        <v>2298</v>
      </c>
      <c r="F397" s="18">
        <v>7.95</v>
      </c>
      <c r="G397" s="18" t="s">
        <v>2154</v>
      </c>
      <c r="H397" s="18" t="s">
        <v>2155</v>
      </c>
    </row>
    <row r="398" spans="1:8">
      <c r="A398" s="19" t="s">
        <v>1100</v>
      </c>
      <c r="B398" s="19" t="s">
        <v>3000</v>
      </c>
      <c r="C398" s="19" t="s">
        <v>2189</v>
      </c>
      <c r="D398" s="19" t="s">
        <v>3001</v>
      </c>
      <c r="E398" s="19" t="s">
        <v>2858</v>
      </c>
      <c r="F398" s="19">
        <v>8.09</v>
      </c>
      <c r="G398" s="19" t="s">
        <v>2154</v>
      </c>
      <c r="H398" s="19" t="s">
        <v>2187</v>
      </c>
    </row>
    <row r="399" spans="1:8">
      <c r="A399" s="18" t="s">
        <v>1100</v>
      </c>
      <c r="B399" s="18" t="s">
        <v>3002</v>
      </c>
      <c r="C399" s="18" t="s">
        <v>2193</v>
      </c>
      <c r="D399" s="18" t="s">
        <v>2274</v>
      </c>
      <c r="E399" s="18" t="s">
        <v>3003</v>
      </c>
      <c r="F399" s="18">
        <v>9.84</v>
      </c>
      <c r="G399" s="18" t="s">
        <v>2154</v>
      </c>
      <c r="H399" s="18" t="s">
        <v>2187</v>
      </c>
    </row>
    <row r="400" spans="1:8">
      <c r="A400" s="19" t="s">
        <v>1100</v>
      </c>
      <c r="B400" s="19" t="s">
        <v>3004</v>
      </c>
      <c r="C400" s="19" t="s">
        <v>2197</v>
      </c>
      <c r="D400" s="19" t="s">
        <v>2359</v>
      </c>
      <c r="E400" s="19" t="s">
        <v>2740</v>
      </c>
      <c r="F400" s="19">
        <v>7.8</v>
      </c>
      <c r="G400" s="19" t="s">
        <v>2154</v>
      </c>
      <c r="H400" s="19" t="s">
        <v>2171</v>
      </c>
    </row>
    <row r="401" spans="1:8">
      <c r="A401" s="18" t="s">
        <v>1100</v>
      </c>
      <c r="B401" s="18" t="s">
        <v>3005</v>
      </c>
      <c r="C401" s="18" t="s">
        <v>1819</v>
      </c>
      <c r="D401" s="18" t="s">
        <v>2597</v>
      </c>
      <c r="E401" s="18" t="s">
        <v>3006</v>
      </c>
      <c r="F401" s="18">
        <v>7.37</v>
      </c>
      <c r="G401" s="18" t="s">
        <v>2154</v>
      </c>
      <c r="H401" s="18" t="s">
        <v>2155</v>
      </c>
    </row>
    <row r="402" spans="1:8">
      <c r="A402" s="19" t="s">
        <v>1100</v>
      </c>
      <c r="B402" s="19" t="s">
        <v>3007</v>
      </c>
      <c r="C402" s="19" t="s">
        <v>2204</v>
      </c>
      <c r="D402" s="19" t="s">
        <v>2684</v>
      </c>
      <c r="E402" s="19" t="s">
        <v>3008</v>
      </c>
      <c r="F402" s="19">
        <v>9.82</v>
      </c>
      <c r="G402" s="19" t="s">
        <v>2154</v>
      </c>
      <c r="H402" s="19" t="s">
        <v>2155</v>
      </c>
    </row>
    <row r="403" spans="1:8">
      <c r="A403" s="18" t="s">
        <v>1100</v>
      </c>
      <c r="B403" s="18" t="s">
        <v>3009</v>
      </c>
      <c r="C403" s="18" t="s">
        <v>1843</v>
      </c>
      <c r="D403" s="18" t="s">
        <v>3010</v>
      </c>
      <c r="E403" s="18" t="s">
        <v>3011</v>
      </c>
      <c r="F403" s="18">
        <v>8.6300000000000008</v>
      </c>
      <c r="G403" s="18" t="s">
        <v>2154</v>
      </c>
      <c r="H403" s="18" t="s">
        <v>2187</v>
      </c>
    </row>
    <row r="404" spans="1:8">
      <c r="A404" s="19" t="s">
        <v>1100</v>
      </c>
      <c r="B404" s="19" t="s">
        <v>3012</v>
      </c>
      <c r="C404" s="19" t="s">
        <v>2211</v>
      </c>
      <c r="D404" s="19" t="s">
        <v>2257</v>
      </c>
      <c r="E404" s="19" t="s">
        <v>3013</v>
      </c>
      <c r="F404" s="19">
        <v>7.35</v>
      </c>
      <c r="G404" s="19" t="s">
        <v>2154</v>
      </c>
      <c r="H404" s="19" t="s">
        <v>2187</v>
      </c>
    </row>
    <row r="405" spans="1:8">
      <c r="A405" s="18" t="s">
        <v>1100</v>
      </c>
      <c r="B405" s="18" t="s">
        <v>3014</v>
      </c>
      <c r="C405" s="18" t="s">
        <v>2215</v>
      </c>
      <c r="D405" s="18" t="s">
        <v>2652</v>
      </c>
      <c r="E405" s="18" t="s">
        <v>2995</v>
      </c>
      <c r="F405" s="18">
        <v>8.7200000000000006</v>
      </c>
      <c r="G405" s="18" t="s">
        <v>2154</v>
      </c>
      <c r="H405" s="18" t="s">
        <v>2155</v>
      </c>
    </row>
    <row r="406" spans="1:8">
      <c r="A406" s="19" t="s">
        <v>1100</v>
      </c>
      <c r="B406" s="19" t="s">
        <v>3015</v>
      </c>
      <c r="C406" s="19" t="s">
        <v>2219</v>
      </c>
      <c r="D406" s="19" t="s">
        <v>2340</v>
      </c>
      <c r="E406" s="19" t="s">
        <v>2604</v>
      </c>
      <c r="F406" s="19">
        <v>9.9499999999999993</v>
      </c>
      <c r="G406" s="19" t="s">
        <v>2154</v>
      </c>
      <c r="H406" s="19" t="s">
        <v>2155</v>
      </c>
    </row>
    <row r="407" spans="1:8">
      <c r="A407" s="18" t="s">
        <v>1100</v>
      </c>
      <c r="B407" s="18" t="s">
        <v>3016</v>
      </c>
      <c r="C407" s="18" t="s">
        <v>2222</v>
      </c>
      <c r="D407" s="18" t="s">
        <v>2482</v>
      </c>
      <c r="E407" s="18" t="s">
        <v>2483</v>
      </c>
      <c r="F407" s="18">
        <v>7.09</v>
      </c>
      <c r="G407" s="18" t="s">
        <v>2154</v>
      </c>
      <c r="H407" s="18" t="s">
        <v>2187</v>
      </c>
    </row>
    <row r="408" spans="1:8">
      <c r="A408" s="19" t="s">
        <v>1100</v>
      </c>
      <c r="B408" s="19" t="s">
        <v>3017</v>
      </c>
      <c r="C408" s="19" t="s">
        <v>2226</v>
      </c>
      <c r="D408" s="19" t="s">
        <v>2597</v>
      </c>
      <c r="E408" s="19" t="s">
        <v>2899</v>
      </c>
      <c r="F408" s="19">
        <v>8.77</v>
      </c>
      <c r="G408" s="19" t="s">
        <v>2154</v>
      </c>
      <c r="H408" s="19" t="s">
        <v>2160</v>
      </c>
    </row>
    <row r="409" spans="1:8">
      <c r="A409" s="18" t="s">
        <v>1100</v>
      </c>
      <c r="B409" s="18" t="s">
        <v>3018</v>
      </c>
      <c r="C409" s="18" t="s">
        <v>2230</v>
      </c>
      <c r="D409" s="18" t="s">
        <v>2308</v>
      </c>
      <c r="E409" s="18" t="s">
        <v>2921</v>
      </c>
      <c r="F409" s="18">
        <v>7.01</v>
      </c>
      <c r="G409" s="18" t="s">
        <v>2154</v>
      </c>
      <c r="H409" s="18" t="s">
        <v>2171</v>
      </c>
    </row>
    <row r="410" spans="1:8">
      <c r="A410" s="19" t="s">
        <v>1100</v>
      </c>
      <c r="B410" s="19" t="s">
        <v>3019</v>
      </c>
      <c r="C410" s="19" t="s">
        <v>2234</v>
      </c>
      <c r="D410" s="19" t="s">
        <v>3020</v>
      </c>
      <c r="E410" s="19" t="s">
        <v>3021</v>
      </c>
      <c r="F410" s="19">
        <v>11.01</v>
      </c>
      <c r="G410" s="19" t="s">
        <v>2154</v>
      </c>
      <c r="H410" s="19" t="s">
        <v>2160</v>
      </c>
    </row>
    <row r="411" spans="1:8">
      <c r="A411" s="18" t="s">
        <v>1100</v>
      </c>
      <c r="B411" s="18" t="s">
        <v>3022</v>
      </c>
      <c r="C411" s="18" t="s">
        <v>2238</v>
      </c>
      <c r="D411" s="18" t="s">
        <v>2205</v>
      </c>
      <c r="E411" s="18" t="s">
        <v>2505</v>
      </c>
      <c r="F411" s="18">
        <v>10.73</v>
      </c>
      <c r="G411" s="18" t="s">
        <v>2154</v>
      </c>
      <c r="H411" s="18" t="s">
        <v>2155</v>
      </c>
    </row>
    <row r="412" spans="1:8">
      <c r="A412" s="19" t="s">
        <v>1100</v>
      </c>
      <c r="B412" s="19" t="s">
        <v>3023</v>
      </c>
      <c r="C412" s="19" t="s">
        <v>2241</v>
      </c>
      <c r="D412" s="19" t="s">
        <v>2323</v>
      </c>
      <c r="E412" s="19" t="s">
        <v>3024</v>
      </c>
      <c r="F412" s="19">
        <v>9.44</v>
      </c>
      <c r="G412" s="19" t="s">
        <v>2154</v>
      </c>
      <c r="H412" s="19" t="s">
        <v>2171</v>
      </c>
    </row>
    <row r="413" spans="1:8">
      <c r="A413" s="18" t="s">
        <v>1100</v>
      </c>
      <c r="B413" s="18" t="s">
        <v>3025</v>
      </c>
      <c r="C413" s="18" t="s">
        <v>2245</v>
      </c>
      <c r="D413" s="18" t="s">
        <v>2308</v>
      </c>
      <c r="E413" s="18" t="s">
        <v>2926</v>
      </c>
      <c r="F413" s="18">
        <v>11.17</v>
      </c>
      <c r="G413" s="18" t="s">
        <v>2154</v>
      </c>
      <c r="H413" s="18" t="s">
        <v>2171</v>
      </c>
    </row>
    <row r="414" spans="1:8">
      <c r="A414" s="19" t="s">
        <v>1100</v>
      </c>
      <c r="B414" s="19" t="s">
        <v>3026</v>
      </c>
      <c r="C414" s="19" t="s">
        <v>2249</v>
      </c>
      <c r="D414" s="19" t="s">
        <v>2373</v>
      </c>
      <c r="E414" s="19" t="s">
        <v>3027</v>
      </c>
      <c r="F414" s="19">
        <v>10.16</v>
      </c>
      <c r="G414" s="19" t="s">
        <v>2154</v>
      </c>
      <c r="H414" s="19" t="s">
        <v>2187</v>
      </c>
    </row>
    <row r="415" spans="1:8">
      <c r="A415" s="18" t="s">
        <v>1100</v>
      </c>
      <c r="B415" s="18" t="s">
        <v>3028</v>
      </c>
      <c r="C415" s="18" t="s">
        <v>2252</v>
      </c>
      <c r="D415" s="18" t="s">
        <v>2331</v>
      </c>
      <c r="E415" s="18" t="s">
        <v>3029</v>
      </c>
      <c r="F415" s="18">
        <v>10.28</v>
      </c>
      <c r="G415" s="18" t="s">
        <v>2154</v>
      </c>
      <c r="H415" s="18" t="s">
        <v>2187</v>
      </c>
    </row>
    <row r="416" spans="1:8">
      <c r="A416" s="19" t="s">
        <v>1100</v>
      </c>
      <c r="B416" s="19" t="s">
        <v>3030</v>
      </c>
      <c r="C416" s="19" t="s">
        <v>2376</v>
      </c>
      <c r="D416" s="19" t="s">
        <v>2516</v>
      </c>
      <c r="E416" s="19" t="s">
        <v>2432</v>
      </c>
      <c r="F416" s="19">
        <v>11.46</v>
      </c>
      <c r="G416" s="19" t="s">
        <v>2154</v>
      </c>
      <c r="H416" s="19" t="s">
        <v>2155</v>
      </c>
    </row>
    <row r="417" spans="1:8">
      <c r="A417" s="18" t="s">
        <v>1100</v>
      </c>
      <c r="B417" s="18" t="s">
        <v>3031</v>
      </c>
      <c r="C417" s="18" t="s">
        <v>2260</v>
      </c>
      <c r="D417" s="18" t="s">
        <v>2373</v>
      </c>
      <c r="E417" s="18" t="s">
        <v>2866</v>
      </c>
      <c r="F417" s="18">
        <v>9.18</v>
      </c>
      <c r="G417" s="18" t="s">
        <v>2154</v>
      </c>
      <c r="H417" s="18" t="s">
        <v>2160</v>
      </c>
    </row>
    <row r="418" spans="1:8">
      <c r="A418" s="19" t="s">
        <v>1100</v>
      </c>
      <c r="B418" s="19" t="s">
        <v>3032</v>
      </c>
      <c r="C418" s="19" t="s">
        <v>2264</v>
      </c>
      <c r="D418" s="19" t="s">
        <v>2619</v>
      </c>
      <c r="E418" s="19" t="s">
        <v>3033</v>
      </c>
      <c r="F418" s="19">
        <v>10.91</v>
      </c>
      <c r="G418" s="19" t="s">
        <v>2154</v>
      </c>
      <c r="H418" s="19" t="s">
        <v>2155</v>
      </c>
    </row>
    <row r="419" spans="1:8">
      <c r="A419" s="18" t="s">
        <v>1100</v>
      </c>
      <c r="B419" s="18" t="s">
        <v>3034</v>
      </c>
      <c r="C419" s="18" t="s">
        <v>1948</v>
      </c>
      <c r="D419" s="18" t="s">
        <v>2553</v>
      </c>
      <c r="E419" s="18" t="s">
        <v>2831</v>
      </c>
      <c r="F419" s="18">
        <v>8.4600000000000009</v>
      </c>
      <c r="G419" s="18" t="s">
        <v>2154</v>
      </c>
      <c r="H419" s="18" t="s">
        <v>2187</v>
      </c>
    </row>
    <row r="420" spans="1:8">
      <c r="A420" s="19" t="s">
        <v>1100</v>
      </c>
      <c r="B420" s="19" t="s">
        <v>3035</v>
      </c>
      <c r="C420" s="19" t="s">
        <v>2269</v>
      </c>
      <c r="D420" s="19" t="s">
        <v>2485</v>
      </c>
      <c r="E420" s="19" t="s">
        <v>2653</v>
      </c>
      <c r="F420" s="19">
        <v>7.85</v>
      </c>
      <c r="G420" s="19" t="s">
        <v>2154</v>
      </c>
      <c r="H420" s="19" t="s">
        <v>2155</v>
      </c>
    </row>
    <row r="421" spans="1:8">
      <c r="A421" s="18" t="s">
        <v>1100</v>
      </c>
      <c r="B421" s="18" t="s">
        <v>3036</v>
      </c>
      <c r="C421" s="18" t="s">
        <v>2273</v>
      </c>
      <c r="D421" s="18" t="s">
        <v>2297</v>
      </c>
      <c r="E421" s="18" t="s">
        <v>2998</v>
      </c>
      <c r="F421" s="18">
        <v>9.01</v>
      </c>
      <c r="G421" s="18" t="s">
        <v>2154</v>
      </c>
      <c r="H421" s="18" t="s">
        <v>2171</v>
      </c>
    </row>
    <row r="422" spans="1:8">
      <c r="A422" s="19" t="s">
        <v>1100</v>
      </c>
      <c r="B422" s="19" t="s">
        <v>3037</v>
      </c>
      <c r="C422" s="19" t="s">
        <v>2277</v>
      </c>
      <c r="D422" s="19" t="s">
        <v>2201</v>
      </c>
      <c r="E422" s="19" t="s">
        <v>2724</v>
      </c>
      <c r="F422" s="19">
        <v>10.81</v>
      </c>
      <c r="G422" s="19" t="s">
        <v>2154</v>
      </c>
      <c r="H422" s="19" t="s">
        <v>2160</v>
      </c>
    </row>
    <row r="423" spans="1:8">
      <c r="A423" s="18" t="s">
        <v>1100</v>
      </c>
      <c r="B423" s="18" t="s">
        <v>3038</v>
      </c>
      <c r="C423" s="18" t="s">
        <v>2281</v>
      </c>
      <c r="D423" s="18" t="s">
        <v>2169</v>
      </c>
      <c r="E423" s="18" t="s">
        <v>2329</v>
      </c>
      <c r="F423" s="18">
        <v>9.5299999999999994</v>
      </c>
      <c r="G423" s="18" t="s">
        <v>2154</v>
      </c>
      <c r="H423" s="18" t="s">
        <v>2160</v>
      </c>
    </row>
    <row r="424" spans="1:8">
      <c r="A424" s="19" t="s">
        <v>1100</v>
      </c>
      <c r="B424" s="19" t="s">
        <v>3039</v>
      </c>
      <c r="C424" s="19" t="s">
        <v>2396</v>
      </c>
      <c r="D424" s="19" t="s">
        <v>2567</v>
      </c>
      <c r="E424" s="19" t="s">
        <v>2551</v>
      </c>
      <c r="F424" s="19">
        <v>9.58</v>
      </c>
      <c r="G424" s="19" t="s">
        <v>2154</v>
      </c>
      <c r="H424" s="19" t="s">
        <v>2187</v>
      </c>
    </row>
    <row r="425" spans="1:8">
      <c r="A425" s="18" t="s">
        <v>1100</v>
      </c>
      <c r="B425" s="18" t="s">
        <v>3040</v>
      </c>
      <c r="C425" s="18" t="s">
        <v>2289</v>
      </c>
      <c r="D425" s="18" t="s">
        <v>2766</v>
      </c>
      <c r="E425" s="18" t="s">
        <v>2924</v>
      </c>
      <c r="F425" s="18">
        <v>10.51</v>
      </c>
      <c r="G425" s="18" t="s">
        <v>2154</v>
      </c>
      <c r="H425" s="18" t="s">
        <v>2155</v>
      </c>
    </row>
    <row r="426" spans="1:8">
      <c r="A426" s="19" t="s">
        <v>1100</v>
      </c>
      <c r="B426" s="19" t="s">
        <v>3041</v>
      </c>
      <c r="C426" s="19" t="s">
        <v>2293</v>
      </c>
      <c r="D426" s="19" t="s">
        <v>2290</v>
      </c>
      <c r="E426" s="19" t="s">
        <v>2291</v>
      </c>
      <c r="F426" s="19">
        <v>9.64</v>
      </c>
      <c r="G426" s="19" t="s">
        <v>2154</v>
      </c>
      <c r="H426" s="19" t="s">
        <v>2171</v>
      </c>
    </row>
    <row r="427" spans="1:8">
      <c r="A427" s="18" t="s">
        <v>1100</v>
      </c>
      <c r="B427" s="18" t="s">
        <v>3042</v>
      </c>
      <c r="C427" s="18" t="s">
        <v>2296</v>
      </c>
      <c r="D427" s="18" t="s">
        <v>2703</v>
      </c>
      <c r="E427" s="18" t="s">
        <v>3043</v>
      </c>
      <c r="F427" s="18">
        <v>9.58</v>
      </c>
      <c r="G427" s="18" t="s">
        <v>2154</v>
      </c>
      <c r="H427" s="18" t="s">
        <v>2187</v>
      </c>
    </row>
    <row r="428" spans="1:8">
      <c r="A428" s="19" t="s">
        <v>1100</v>
      </c>
      <c r="B428" s="19" t="s">
        <v>3044</v>
      </c>
      <c r="C428" s="19" t="s">
        <v>2300</v>
      </c>
      <c r="D428" s="19" t="s">
        <v>2419</v>
      </c>
      <c r="E428" s="19" t="s">
        <v>2424</v>
      </c>
      <c r="F428" s="19">
        <v>7.29</v>
      </c>
      <c r="G428" s="19" t="s">
        <v>2154</v>
      </c>
      <c r="H428" s="19" t="s">
        <v>2171</v>
      </c>
    </row>
    <row r="429" spans="1:8">
      <c r="A429" s="18" t="s">
        <v>1100</v>
      </c>
      <c r="B429" s="18" t="s">
        <v>3045</v>
      </c>
      <c r="C429" s="18" t="s">
        <v>2144</v>
      </c>
      <c r="D429" s="18" t="s">
        <v>2600</v>
      </c>
      <c r="E429" s="18" t="s">
        <v>2590</v>
      </c>
      <c r="F429" s="18">
        <v>10.87</v>
      </c>
      <c r="G429" s="18" t="s">
        <v>2154</v>
      </c>
      <c r="H429" s="18" t="s">
        <v>2155</v>
      </c>
    </row>
    <row r="430" spans="1:8">
      <c r="A430" s="19" t="s">
        <v>1100</v>
      </c>
      <c r="B430" s="19" t="s">
        <v>3046</v>
      </c>
      <c r="C430" s="19" t="s">
        <v>2307</v>
      </c>
      <c r="D430" s="19" t="s">
        <v>2235</v>
      </c>
      <c r="E430" s="19" t="s">
        <v>2236</v>
      </c>
      <c r="F430" s="19">
        <v>7.21</v>
      </c>
      <c r="G430" s="19" t="s">
        <v>2154</v>
      </c>
      <c r="H430" s="19" t="s">
        <v>2160</v>
      </c>
    </row>
    <row r="431" spans="1:8">
      <c r="A431" s="18" t="s">
        <v>1100</v>
      </c>
      <c r="B431" s="18" t="s">
        <v>3047</v>
      </c>
      <c r="C431" s="18" t="s">
        <v>2311</v>
      </c>
      <c r="D431" s="18"/>
      <c r="E431" s="18"/>
      <c r="F431" s="18"/>
      <c r="G431" s="18" t="s">
        <v>2220</v>
      </c>
      <c r="H431" s="18" t="s">
        <v>2187</v>
      </c>
    </row>
    <row r="432" spans="1:8">
      <c r="A432" s="19" t="s">
        <v>72</v>
      </c>
      <c r="B432" s="19" t="s">
        <v>3048</v>
      </c>
      <c r="C432" s="19" t="s">
        <v>2038</v>
      </c>
      <c r="D432" s="19" t="s">
        <v>2464</v>
      </c>
      <c r="E432" s="19" t="s">
        <v>2826</v>
      </c>
      <c r="F432" s="19">
        <v>8.83</v>
      </c>
      <c r="G432" s="19" t="s">
        <v>2154</v>
      </c>
      <c r="H432" s="19" t="s">
        <v>2171</v>
      </c>
    </row>
    <row r="433" spans="1:8">
      <c r="A433" s="18" t="s">
        <v>72</v>
      </c>
      <c r="B433" s="18" t="s">
        <v>3049</v>
      </c>
      <c r="C433" s="18" t="s">
        <v>2157</v>
      </c>
      <c r="D433" s="18" t="s">
        <v>2955</v>
      </c>
      <c r="E433" s="18" t="s">
        <v>2474</v>
      </c>
      <c r="F433" s="18">
        <v>8.4</v>
      </c>
      <c r="G433" s="18" t="s">
        <v>2154</v>
      </c>
      <c r="H433" s="18" t="s">
        <v>2187</v>
      </c>
    </row>
    <row r="434" spans="1:8">
      <c r="A434" s="19" t="s">
        <v>72</v>
      </c>
      <c r="B434" s="19" t="s">
        <v>3050</v>
      </c>
      <c r="C434" s="19" t="s">
        <v>2162</v>
      </c>
      <c r="D434" s="19" t="s">
        <v>3051</v>
      </c>
      <c r="E434" s="19" t="s">
        <v>2658</v>
      </c>
      <c r="F434" s="19">
        <v>10.91</v>
      </c>
      <c r="G434" s="19" t="s">
        <v>2154</v>
      </c>
      <c r="H434" s="19" t="s">
        <v>2155</v>
      </c>
    </row>
    <row r="435" spans="1:8">
      <c r="A435" s="18" t="s">
        <v>72</v>
      </c>
      <c r="B435" s="18" t="s">
        <v>3052</v>
      </c>
      <c r="C435" s="18" t="s">
        <v>1937</v>
      </c>
      <c r="D435" s="18"/>
      <c r="E435" s="18"/>
      <c r="F435" s="18"/>
      <c r="G435" s="18" t="s">
        <v>2163</v>
      </c>
      <c r="H435" s="18" t="s">
        <v>2155</v>
      </c>
    </row>
    <row r="436" spans="1:8">
      <c r="A436" s="19" t="s">
        <v>72</v>
      </c>
      <c r="B436" s="19" t="s">
        <v>3053</v>
      </c>
      <c r="C436" s="19" t="s">
        <v>3054</v>
      </c>
      <c r="D436" s="19" t="s">
        <v>2383</v>
      </c>
      <c r="E436" s="19" t="s">
        <v>3055</v>
      </c>
      <c r="F436" s="19">
        <v>11.05</v>
      </c>
      <c r="G436" s="19" t="s">
        <v>2154</v>
      </c>
      <c r="H436" s="19" t="s">
        <v>2160</v>
      </c>
    </row>
    <row r="437" spans="1:8">
      <c r="A437" s="18" t="s">
        <v>72</v>
      </c>
      <c r="B437" s="18" t="s">
        <v>3056</v>
      </c>
      <c r="C437" s="18" t="s">
        <v>2173</v>
      </c>
      <c r="D437" s="18" t="s">
        <v>2190</v>
      </c>
      <c r="E437" s="18" t="s">
        <v>2773</v>
      </c>
      <c r="F437" s="18">
        <v>7.64</v>
      </c>
      <c r="G437" s="18" t="s">
        <v>2154</v>
      </c>
      <c r="H437" s="18" t="s">
        <v>2155</v>
      </c>
    </row>
    <row r="438" spans="1:8">
      <c r="A438" s="19" t="s">
        <v>72</v>
      </c>
      <c r="B438" s="19" t="s">
        <v>3057</v>
      </c>
      <c r="C438" s="19" t="s">
        <v>2177</v>
      </c>
      <c r="D438" s="19" t="s">
        <v>2178</v>
      </c>
      <c r="E438" s="19" t="s">
        <v>3058</v>
      </c>
      <c r="F438" s="19">
        <v>10.06</v>
      </c>
      <c r="G438" s="19" t="s">
        <v>2154</v>
      </c>
      <c r="H438" s="19" t="s">
        <v>2171</v>
      </c>
    </row>
    <row r="439" spans="1:8">
      <c r="A439" s="18" t="s">
        <v>72</v>
      </c>
      <c r="B439" s="18" t="s">
        <v>3059</v>
      </c>
      <c r="C439" s="18" t="s">
        <v>1945</v>
      </c>
      <c r="D439" s="18" t="s">
        <v>2431</v>
      </c>
      <c r="E439" s="18" t="s">
        <v>3060</v>
      </c>
      <c r="F439" s="18">
        <v>7.2</v>
      </c>
      <c r="G439" s="18" t="s">
        <v>2154</v>
      </c>
      <c r="H439" s="18" t="s">
        <v>2187</v>
      </c>
    </row>
    <row r="440" spans="1:8">
      <c r="A440" s="19" t="s">
        <v>72</v>
      </c>
      <c r="B440" s="19" t="s">
        <v>3061</v>
      </c>
      <c r="C440" s="19" t="s">
        <v>2184</v>
      </c>
      <c r="D440" s="19" t="s">
        <v>2888</v>
      </c>
      <c r="E440" s="19" t="s">
        <v>2438</v>
      </c>
      <c r="F440" s="19">
        <v>9.59</v>
      </c>
      <c r="G440" s="19" t="s">
        <v>2154</v>
      </c>
      <c r="H440" s="19" t="s">
        <v>2171</v>
      </c>
    </row>
    <row r="441" spans="1:8">
      <c r="A441" s="18" t="s">
        <v>72</v>
      </c>
      <c r="B441" s="18" t="s">
        <v>3062</v>
      </c>
      <c r="C441" s="18" t="s">
        <v>2189</v>
      </c>
      <c r="D441" s="18"/>
      <c r="E441" s="18"/>
      <c r="F441" s="18"/>
      <c r="G441" s="18" t="s">
        <v>2343</v>
      </c>
      <c r="H441" s="18" t="s">
        <v>2171</v>
      </c>
    </row>
    <row r="442" spans="1:8">
      <c r="A442" s="19" t="s">
        <v>72</v>
      </c>
      <c r="B442" s="19" t="s">
        <v>3063</v>
      </c>
      <c r="C442" s="19" t="s">
        <v>2193</v>
      </c>
      <c r="D442" s="19" t="s">
        <v>2174</v>
      </c>
      <c r="E442" s="19" t="s">
        <v>3064</v>
      </c>
      <c r="F442" s="19">
        <v>10.73</v>
      </c>
      <c r="G442" s="19" t="s">
        <v>2154</v>
      </c>
      <c r="H442" s="19" t="s">
        <v>2187</v>
      </c>
    </row>
    <row r="443" spans="1:8">
      <c r="A443" s="18" t="s">
        <v>72</v>
      </c>
      <c r="B443" s="18" t="s">
        <v>3065</v>
      </c>
      <c r="C443" s="18" t="s">
        <v>2197</v>
      </c>
      <c r="D443" s="18" t="s">
        <v>3066</v>
      </c>
      <c r="E443" s="18" t="s">
        <v>3067</v>
      </c>
      <c r="F443" s="18">
        <v>8.35</v>
      </c>
      <c r="G443" s="18" t="s">
        <v>2154</v>
      </c>
      <c r="H443" s="18" t="s">
        <v>2187</v>
      </c>
    </row>
    <row r="444" spans="1:8">
      <c r="A444" s="19" t="s">
        <v>72</v>
      </c>
      <c r="B444" s="19" t="s">
        <v>3068</v>
      </c>
      <c r="C444" s="19" t="s">
        <v>1819</v>
      </c>
      <c r="D444" s="19" t="s">
        <v>2865</v>
      </c>
      <c r="E444" s="19" t="s">
        <v>2952</v>
      </c>
      <c r="F444" s="19">
        <v>6.64</v>
      </c>
      <c r="G444" s="19" t="s">
        <v>2154</v>
      </c>
      <c r="H444" s="19" t="s">
        <v>2155</v>
      </c>
    </row>
    <row r="445" spans="1:8">
      <c r="A445" s="18" t="s">
        <v>72</v>
      </c>
      <c r="B445" s="18" t="s">
        <v>3069</v>
      </c>
      <c r="C445" s="18" t="s">
        <v>2204</v>
      </c>
      <c r="D445" s="18" t="s">
        <v>2488</v>
      </c>
      <c r="E445" s="18" t="s">
        <v>2489</v>
      </c>
      <c r="F445" s="18">
        <v>8.3800000000000008</v>
      </c>
      <c r="G445" s="18" t="s">
        <v>2154</v>
      </c>
      <c r="H445" s="18" t="s">
        <v>2160</v>
      </c>
    </row>
    <row r="446" spans="1:8">
      <c r="A446" s="19" t="s">
        <v>72</v>
      </c>
      <c r="B446" s="19" t="s">
        <v>3070</v>
      </c>
      <c r="C446" s="19" t="s">
        <v>1843</v>
      </c>
      <c r="D446" s="19" t="s">
        <v>2440</v>
      </c>
      <c r="E446" s="19" t="s">
        <v>3071</v>
      </c>
      <c r="F446" s="19">
        <v>10.62</v>
      </c>
      <c r="G446" s="19" t="s">
        <v>2154</v>
      </c>
      <c r="H446" s="19" t="s">
        <v>2187</v>
      </c>
    </row>
    <row r="447" spans="1:8">
      <c r="A447" s="18" t="s">
        <v>72</v>
      </c>
      <c r="B447" s="18" t="s">
        <v>3072</v>
      </c>
      <c r="C447" s="18" t="s">
        <v>2211</v>
      </c>
      <c r="D447" s="18" t="s">
        <v>2266</v>
      </c>
      <c r="E447" s="18" t="s">
        <v>2267</v>
      </c>
      <c r="F447" s="18">
        <v>8.0399999999999991</v>
      </c>
      <c r="G447" s="18" t="s">
        <v>2154</v>
      </c>
      <c r="H447" s="18" t="s">
        <v>2155</v>
      </c>
    </row>
    <row r="448" spans="1:8">
      <c r="A448" s="19" t="s">
        <v>72</v>
      </c>
      <c r="B448" s="19" t="s">
        <v>3073</v>
      </c>
      <c r="C448" s="19" t="s">
        <v>2215</v>
      </c>
      <c r="D448" s="19"/>
      <c r="E448" s="19"/>
      <c r="F448" s="19"/>
      <c r="G448" s="19" t="s">
        <v>2343</v>
      </c>
      <c r="H448" s="19" t="s">
        <v>2160</v>
      </c>
    </row>
    <row r="449" spans="1:8">
      <c r="A449" s="18" t="s">
        <v>72</v>
      </c>
      <c r="B449" s="18" t="s">
        <v>3074</v>
      </c>
      <c r="C449" s="18" t="s">
        <v>2219</v>
      </c>
      <c r="D449" s="18" t="s">
        <v>2513</v>
      </c>
      <c r="E449" s="18" t="s">
        <v>3075</v>
      </c>
      <c r="F449" s="18">
        <v>6.95</v>
      </c>
      <c r="G449" s="18" t="s">
        <v>2154</v>
      </c>
      <c r="H449" s="18" t="s">
        <v>2171</v>
      </c>
    </row>
    <row r="450" spans="1:8">
      <c r="A450" s="19" t="s">
        <v>72</v>
      </c>
      <c r="B450" s="19" t="s">
        <v>3076</v>
      </c>
      <c r="C450" s="19" t="s">
        <v>2222</v>
      </c>
      <c r="D450" s="19" t="s">
        <v>3077</v>
      </c>
      <c r="E450" s="19" t="s">
        <v>3078</v>
      </c>
      <c r="F450" s="19">
        <v>10.45</v>
      </c>
      <c r="G450" s="19" t="s">
        <v>2154</v>
      </c>
      <c r="H450" s="19" t="s">
        <v>2160</v>
      </c>
    </row>
    <row r="451" spans="1:8">
      <c r="A451" s="18" t="s">
        <v>72</v>
      </c>
      <c r="B451" s="18" t="s">
        <v>3079</v>
      </c>
      <c r="C451" s="18" t="s">
        <v>2226</v>
      </c>
      <c r="D451" s="18" t="s">
        <v>2951</v>
      </c>
      <c r="E451" s="18" t="s">
        <v>2866</v>
      </c>
      <c r="F451" s="18">
        <v>10.220000000000001</v>
      </c>
      <c r="G451" s="18" t="s">
        <v>2154</v>
      </c>
      <c r="H451" s="18" t="s">
        <v>2187</v>
      </c>
    </row>
    <row r="452" spans="1:8">
      <c r="A452" s="19" t="s">
        <v>72</v>
      </c>
      <c r="B452" s="19" t="s">
        <v>3080</v>
      </c>
      <c r="C452" s="19" t="s">
        <v>2230</v>
      </c>
      <c r="D452" s="19" t="s">
        <v>2603</v>
      </c>
      <c r="E452" s="19" t="s">
        <v>3081</v>
      </c>
      <c r="F452" s="19">
        <v>11.33</v>
      </c>
      <c r="G452" s="19" t="s">
        <v>2154</v>
      </c>
      <c r="H452" s="19" t="s">
        <v>2155</v>
      </c>
    </row>
    <row r="453" spans="1:8">
      <c r="A453" s="18" t="s">
        <v>72</v>
      </c>
      <c r="B453" s="18" t="s">
        <v>3082</v>
      </c>
      <c r="C453" s="18" t="s">
        <v>2234</v>
      </c>
      <c r="D453" s="18" t="s">
        <v>2865</v>
      </c>
      <c r="E453" s="18" t="s">
        <v>2374</v>
      </c>
      <c r="F453" s="18">
        <v>10.09</v>
      </c>
      <c r="G453" s="18" t="s">
        <v>2154</v>
      </c>
      <c r="H453" s="18" t="s">
        <v>2187</v>
      </c>
    </row>
    <row r="454" spans="1:8">
      <c r="A454" s="19" t="s">
        <v>72</v>
      </c>
      <c r="B454" s="19" t="s">
        <v>3083</v>
      </c>
      <c r="C454" s="19" t="s">
        <v>2238</v>
      </c>
      <c r="D454" s="19"/>
      <c r="E454" s="19"/>
      <c r="F454" s="19"/>
      <c r="G454" s="19" t="s">
        <v>2343</v>
      </c>
      <c r="H454" s="19" t="s">
        <v>2155</v>
      </c>
    </row>
    <row r="455" spans="1:8">
      <c r="A455" s="18" t="s">
        <v>72</v>
      </c>
      <c r="B455" s="18" t="s">
        <v>3084</v>
      </c>
      <c r="C455" s="18" t="s">
        <v>2241</v>
      </c>
      <c r="D455" s="18" t="s">
        <v>3085</v>
      </c>
      <c r="E455" s="18" t="s">
        <v>3086</v>
      </c>
      <c r="F455" s="18">
        <v>11.38</v>
      </c>
      <c r="G455" s="18" t="s">
        <v>2154</v>
      </c>
      <c r="H455" s="18" t="s">
        <v>2187</v>
      </c>
    </row>
    <row r="456" spans="1:8">
      <c r="A456" s="19" t="s">
        <v>72</v>
      </c>
      <c r="B456" s="19" t="s">
        <v>3087</v>
      </c>
      <c r="C456" s="19" t="s">
        <v>2245</v>
      </c>
      <c r="D456" s="19"/>
      <c r="E456" s="19"/>
      <c r="F456" s="19"/>
      <c r="G456" s="19" t="s">
        <v>2220</v>
      </c>
      <c r="H456" s="19" t="s">
        <v>2187</v>
      </c>
    </row>
    <row r="457" spans="1:8">
      <c r="A457" s="18" t="s">
        <v>72</v>
      </c>
      <c r="B457" s="18" t="s">
        <v>3088</v>
      </c>
      <c r="C457" s="18" t="s">
        <v>2249</v>
      </c>
      <c r="D457" s="18" t="s">
        <v>3089</v>
      </c>
      <c r="E457" s="18" t="s">
        <v>2338</v>
      </c>
      <c r="F457" s="18">
        <v>8.3800000000000008</v>
      </c>
      <c r="G457" s="18" t="s">
        <v>2154</v>
      </c>
      <c r="H457" s="18" t="s">
        <v>2171</v>
      </c>
    </row>
    <row r="458" spans="1:8">
      <c r="A458" s="19" t="s">
        <v>72</v>
      </c>
      <c r="B458" s="19" t="s">
        <v>3090</v>
      </c>
      <c r="C458" s="19" t="s">
        <v>2252</v>
      </c>
      <c r="D458" s="19" t="s">
        <v>2640</v>
      </c>
      <c r="E458" s="19" t="s">
        <v>2641</v>
      </c>
      <c r="F458" s="19">
        <v>9.2200000000000006</v>
      </c>
      <c r="G458" s="19" t="s">
        <v>2154</v>
      </c>
      <c r="H458" s="19" t="s">
        <v>2171</v>
      </c>
    </row>
    <row r="459" spans="1:8">
      <c r="A459" s="18" t="s">
        <v>72</v>
      </c>
      <c r="B459" s="18" t="s">
        <v>3091</v>
      </c>
      <c r="C459" s="18" t="s">
        <v>2376</v>
      </c>
      <c r="D459" s="18" t="s">
        <v>2789</v>
      </c>
      <c r="E459" s="18" t="s">
        <v>2790</v>
      </c>
      <c r="F459" s="18">
        <v>7.7</v>
      </c>
      <c r="G459" s="18" t="s">
        <v>2154</v>
      </c>
      <c r="H459" s="18" t="s">
        <v>2155</v>
      </c>
    </row>
    <row r="460" spans="1:8">
      <c r="A460" s="19" t="s">
        <v>72</v>
      </c>
      <c r="B460" s="19" t="s">
        <v>3092</v>
      </c>
      <c r="C460" s="19" t="s">
        <v>2260</v>
      </c>
      <c r="D460" s="19" t="s">
        <v>2158</v>
      </c>
      <c r="E460" s="19" t="s">
        <v>3093</v>
      </c>
      <c r="F460" s="19">
        <v>10.35</v>
      </c>
      <c r="G460" s="19" t="s">
        <v>2154</v>
      </c>
      <c r="H460" s="19" t="s">
        <v>2187</v>
      </c>
    </row>
    <row r="461" spans="1:8">
      <c r="A461" s="18" t="s">
        <v>72</v>
      </c>
      <c r="B461" s="18" t="s">
        <v>3094</v>
      </c>
      <c r="C461" s="18" t="s">
        <v>2264</v>
      </c>
      <c r="D461" s="18" t="s">
        <v>2966</v>
      </c>
      <c r="E461" s="18" t="s">
        <v>2658</v>
      </c>
      <c r="F461" s="18">
        <v>9.5399999999999991</v>
      </c>
      <c r="G461" s="18" t="s">
        <v>2154</v>
      </c>
      <c r="H461" s="18" t="s">
        <v>2160</v>
      </c>
    </row>
    <row r="462" spans="1:8">
      <c r="A462" s="19" t="s">
        <v>72</v>
      </c>
      <c r="B462" s="19" t="s">
        <v>3095</v>
      </c>
      <c r="C462" s="19" t="s">
        <v>1948</v>
      </c>
      <c r="D462" s="19" t="s">
        <v>2457</v>
      </c>
      <c r="E462" s="19" t="s">
        <v>2762</v>
      </c>
      <c r="F462" s="19">
        <v>9.8000000000000007</v>
      </c>
      <c r="G462" s="19" t="s">
        <v>2154</v>
      </c>
      <c r="H462" s="19" t="s">
        <v>2171</v>
      </c>
    </row>
    <row r="463" spans="1:8">
      <c r="A463" s="18" t="s">
        <v>72</v>
      </c>
      <c r="B463" s="18" t="s">
        <v>3096</v>
      </c>
      <c r="C463" s="18" t="s">
        <v>2269</v>
      </c>
      <c r="D463" s="18" t="s">
        <v>2865</v>
      </c>
      <c r="E463" s="18" t="s">
        <v>3097</v>
      </c>
      <c r="F463" s="18">
        <v>11.05</v>
      </c>
      <c r="G463" s="18" t="s">
        <v>2154</v>
      </c>
      <c r="H463" s="18" t="s">
        <v>2155</v>
      </c>
    </row>
    <row r="464" spans="1:8">
      <c r="A464" s="19" t="s">
        <v>72</v>
      </c>
      <c r="B464" s="19" t="s">
        <v>3098</v>
      </c>
      <c r="C464" s="19" t="s">
        <v>2273</v>
      </c>
      <c r="D464" s="19" t="s">
        <v>2948</v>
      </c>
      <c r="E464" s="19" t="s">
        <v>2949</v>
      </c>
      <c r="F464" s="19">
        <v>11.4</v>
      </c>
      <c r="G464" s="19" t="s">
        <v>2154</v>
      </c>
      <c r="H464" s="19" t="s">
        <v>2155</v>
      </c>
    </row>
    <row r="465" spans="1:8">
      <c r="A465" s="18" t="s">
        <v>72</v>
      </c>
      <c r="B465" s="18" t="s">
        <v>3099</v>
      </c>
      <c r="C465" s="18" t="s">
        <v>2277</v>
      </c>
      <c r="D465" s="18" t="s">
        <v>3100</v>
      </c>
      <c r="E465" s="18" t="s">
        <v>3101</v>
      </c>
      <c r="F465" s="18">
        <v>9.01</v>
      </c>
      <c r="G465" s="18" t="s">
        <v>2154</v>
      </c>
      <c r="H465" s="18" t="s">
        <v>2160</v>
      </c>
    </row>
    <row r="466" spans="1:8">
      <c r="A466" s="19" t="s">
        <v>72</v>
      </c>
      <c r="B466" s="19" t="s">
        <v>3102</v>
      </c>
      <c r="C466" s="19" t="s">
        <v>2281</v>
      </c>
      <c r="D466" s="19" t="s">
        <v>2885</v>
      </c>
      <c r="E466" s="19" t="s">
        <v>3103</v>
      </c>
      <c r="F466" s="19">
        <v>8.8699999999999992</v>
      </c>
      <c r="G466" s="19" t="s">
        <v>2154</v>
      </c>
      <c r="H466" s="19" t="s">
        <v>2160</v>
      </c>
    </row>
    <row r="467" spans="1:8">
      <c r="A467" s="18" t="s">
        <v>72</v>
      </c>
      <c r="B467" s="18" t="s">
        <v>3104</v>
      </c>
      <c r="C467" s="18" t="s">
        <v>2396</v>
      </c>
      <c r="D467" s="18"/>
      <c r="E467" s="18"/>
      <c r="F467" s="18"/>
      <c r="G467" s="18" t="s">
        <v>2163</v>
      </c>
      <c r="H467" s="18" t="s">
        <v>2171</v>
      </c>
    </row>
    <row r="468" spans="1:8">
      <c r="A468" s="19" t="s">
        <v>72</v>
      </c>
      <c r="B468" s="19" t="s">
        <v>3105</v>
      </c>
      <c r="C468" s="19" t="s">
        <v>2289</v>
      </c>
      <c r="D468" s="19" t="s">
        <v>3106</v>
      </c>
      <c r="E468" s="19" t="s">
        <v>3107</v>
      </c>
      <c r="F468" s="19">
        <v>8.9</v>
      </c>
      <c r="G468" s="19" t="s">
        <v>2154</v>
      </c>
      <c r="H468" s="19" t="s">
        <v>2155</v>
      </c>
    </row>
    <row r="469" spans="1:8">
      <c r="A469" s="18" t="s">
        <v>72</v>
      </c>
      <c r="B469" s="18" t="s">
        <v>3108</v>
      </c>
      <c r="C469" s="18" t="s">
        <v>3109</v>
      </c>
      <c r="D469" s="18" t="s">
        <v>2290</v>
      </c>
      <c r="E469" s="18" t="s">
        <v>2665</v>
      </c>
      <c r="F469" s="18">
        <v>11.25</v>
      </c>
      <c r="G469" s="18" t="s">
        <v>2154</v>
      </c>
      <c r="H469" s="18" t="s">
        <v>2171</v>
      </c>
    </row>
    <row r="470" spans="1:8">
      <c r="A470" s="19" t="s">
        <v>72</v>
      </c>
      <c r="B470" s="19" t="s">
        <v>3110</v>
      </c>
      <c r="C470" s="19" t="s">
        <v>2296</v>
      </c>
      <c r="D470" s="19" t="s">
        <v>2158</v>
      </c>
      <c r="E470" s="19" t="s">
        <v>2159</v>
      </c>
      <c r="F470" s="19">
        <v>7.57</v>
      </c>
      <c r="G470" s="19" t="s">
        <v>2154</v>
      </c>
      <c r="H470" s="19" t="s">
        <v>2187</v>
      </c>
    </row>
    <row r="471" spans="1:8">
      <c r="A471" s="18" t="s">
        <v>72</v>
      </c>
      <c r="B471" s="18" t="s">
        <v>3111</v>
      </c>
      <c r="C471" s="18" t="s">
        <v>2300</v>
      </c>
      <c r="D471" s="18" t="s">
        <v>2261</v>
      </c>
      <c r="E471" s="18" t="s">
        <v>2893</v>
      </c>
      <c r="F471" s="18">
        <v>10.31</v>
      </c>
      <c r="G471" s="18" t="s">
        <v>2154</v>
      </c>
      <c r="H471" s="18" t="s">
        <v>2171</v>
      </c>
    </row>
    <row r="472" spans="1:8">
      <c r="A472" s="19" t="s">
        <v>72</v>
      </c>
      <c r="B472" s="19" t="s">
        <v>3112</v>
      </c>
      <c r="C472" s="19" t="s">
        <v>2144</v>
      </c>
      <c r="D472" s="19" t="s">
        <v>2684</v>
      </c>
      <c r="E472" s="19" t="s">
        <v>2305</v>
      </c>
      <c r="F472" s="19">
        <v>8.4600000000000009</v>
      </c>
      <c r="G472" s="19" t="s">
        <v>2154</v>
      </c>
      <c r="H472" s="19" t="s">
        <v>2187</v>
      </c>
    </row>
    <row r="473" spans="1:8">
      <c r="A473" s="18" t="s">
        <v>72</v>
      </c>
      <c r="B473" s="18" t="s">
        <v>3113</v>
      </c>
      <c r="C473" s="18" t="s">
        <v>3114</v>
      </c>
      <c r="D473" s="18" t="s">
        <v>2553</v>
      </c>
      <c r="E473" s="18" t="s">
        <v>2775</v>
      </c>
      <c r="F473" s="18">
        <v>10.119999999999999</v>
      </c>
      <c r="G473" s="18" t="s">
        <v>2154</v>
      </c>
      <c r="H473" s="18" t="s">
        <v>2187</v>
      </c>
    </row>
    <row r="474" spans="1:8">
      <c r="A474" s="19" t="s">
        <v>72</v>
      </c>
      <c r="B474" s="19" t="s">
        <v>3115</v>
      </c>
      <c r="C474" s="19" t="s">
        <v>2311</v>
      </c>
      <c r="D474" s="19" t="s">
        <v>2992</v>
      </c>
      <c r="E474" s="19" t="s">
        <v>3116</v>
      </c>
      <c r="F474" s="19">
        <v>11.41</v>
      </c>
      <c r="G474" s="19" t="s">
        <v>2154</v>
      </c>
      <c r="H474" s="19" t="s">
        <v>2160</v>
      </c>
    </row>
    <row r="475" spans="1:8">
      <c r="A475" s="18" t="s">
        <v>705</v>
      </c>
      <c r="B475" s="18" t="s">
        <v>3117</v>
      </c>
      <c r="C475" s="18" t="s">
        <v>2038</v>
      </c>
      <c r="D475" s="18" t="s">
        <v>2383</v>
      </c>
      <c r="E475" s="18" t="s">
        <v>3118</v>
      </c>
      <c r="F475" s="18">
        <v>10.75</v>
      </c>
      <c r="G475" s="18" t="s">
        <v>2154</v>
      </c>
      <c r="H475" s="18" t="s">
        <v>2155</v>
      </c>
    </row>
    <row r="476" spans="1:8">
      <c r="A476" s="19" t="s">
        <v>705</v>
      </c>
      <c r="B476" s="19" t="s">
        <v>3119</v>
      </c>
      <c r="C476" s="19" t="s">
        <v>2856</v>
      </c>
      <c r="D476" s="19" t="s">
        <v>3120</v>
      </c>
      <c r="E476" s="19" t="s">
        <v>2526</v>
      </c>
      <c r="F476" s="19">
        <v>8.33</v>
      </c>
      <c r="G476" s="19" t="s">
        <v>2154</v>
      </c>
      <c r="H476" s="19" t="s">
        <v>2155</v>
      </c>
    </row>
    <row r="477" spans="1:8">
      <c r="A477" s="18" t="s">
        <v>705</v>
      </c>
      <c r="B477" s="18" t="s">
        <v>3121</v>
      </c>
      <c r="C477" s="18" t="s">
        <v>2162</v>
      </c>
      <c r="D477" s="18" t="s">
        <v>2992</v>
      </c>
      <c r="E477" s="18" t="s">
        <v>2495</v>
      </c>
      <c r="F477" s="18">
        <v>7.01</v>
      </c>
      <c r="G477" s="18" t="s">
        <v>2154</v>
      </c>
      <c r="H477" s="18" t="s">
        <v>2155</v>
      </c>
    </row>
    <row r="478" spans="1:8">
      <c r="A478" s="19" t="s">
        <v>705</v>
      </c>
      <c r="B478" s="19" t="s">
        <v>3122</v>
      </c>
      <c r="C478" s="19" t="s">
        <v>1937</v>
      </c>
      <c r="D478" s="19" t="s">
        <v>3123</v>
      </c>
      <c r="E478" s="19" t="s">
        <v>2239</v>
      </c>
      <c r="F478" s="19">
        <v>8.2200000000000006</v>
      </c>
      <c r="G478" s="19" t="s">
        <v>2154</v>
      </c>
      <c r="H478" s="19" t="s">
        <v>2160</v>
      </c>
    </row>
    <row r="479" spans="1:8">
      <c r="A479" s="18" t="s">
        <v>705</v>
      </c>
      <c r="B479" s="18" t="s">
        <v>3124</v>
      </c>
      <c r="C479" s="18" t="s">
        <v>3054</v>
      </c>
      <c r="D479" s="18" t="s">
        <v>2584</v>
      </c>
      <c r="E479" s="18" t="s">
        <v>2585</v>
      </c>
      <c r="F479" s="18">
        <v>9.15</v>
      </c>
      <c r="G479" s="18" t="s">
        <v>2154</v>
      </c>
      <c r="H479" s="18" t="s">
        <v>2171</v>
      </c>
    </row>
    <row r="480" spans="1:8">
      <c r="A480" s="19" t="s">
        <v>705</v>
      </c>
      <c r="B480" s="19" t="s">
        <v>3125</v>
      </c>
      <c r="C480" s="19" t="s">
        <v>2173</v>
      </c>
      <c r="D480" s="19"/>
      <c r="E480" s="19"/>
      <c r="F480" s="19"/>
      <c r="G480" s="19" t="s">
        <v>2220</v>
      </c>
      <c r="H480" s="19" t="s">
        <v>2171</v>
      </c>
    </row>
    <row r="481" spans="1:8">
      <c r="A481" s="18" t="s">
        <v>705</v>
      </c>
      <c r="B481" s="18" t="s">
        <v>3126</v>
      </c>
      <c r="C481" s="18" t="s">
        <v>2177</v>
      </c>
      <c r="D481" s="18" t="s">
        <v>2165</v>
      </c>
      <c r="E481" s="18" t="s">
        <v>2166</v>
      </c>
      <c r="F481" s="18">
        <v>9.0399999999999991</v>
      </c>
      <c r="G481" s="18" t="s">
        <v>2154</v>
      </c>
      <c r="H481" s="18" t="s">
        <v>2171</v>
      </c>
    </row>
    <row r="482" spans="1:8">
      <c r="A482" s="19" t="s">
        <v>705</v>
      </c>
      <c r="B482" s="19" t="s">
        <v>3127</v>
      </c>
      <c r="C482" s="19" t="s">
        <v>1945</v>
      </c>
      <c r="D482" s="19" t="s">
        <v>2789</v>
      </c>
      <c r="E482" s="19" t="s">
        <v>2474</v>
      </c>
      <c r="F482" s="19">
        <v>9.49</v>
      </c>
      <c r="G482" s="19" t="s">
        <v>2154</v>
      </c>
      <c r="H482" s="19" t="s">
        <v>2187</v>
      </c>
    </row>
    <row r="483" spans="1:8">
      <c r="A483" s="18" t="s">
        <v>705</v>
      </c>
      <c r="B483" s="18" t="s">
        <v>3128</v>
      </c>
      <c r="C483" s="18" t="s">
        <v>2184</v>
      </c>
      <c r="D483" s="18" t="s">
        <v>2581</v>
      </c>
      <c r="E483" s="18" t="s">
        <v>2332</v>
      </c>
      <c r="F483" s="18">
        <v>10.92</v>
      </c>
      <c r="G483" s="18" t="s">
        <v>2154</v>
      </c>
      <c r="H483" s="18" t="s">
        <v>2171</v>
      </c>
    </row>
    <row r="484" spans="1:8">
      <c r="A484" s="19" t="s">
        <v>705</v>
      </c>
      <c r="B484" s="19" t="s">
        <v>3129</v>
      </c>
      <c r="C484" s="19" t="s">
        <v>2189</v>
      </c>
      <c r="D484" s="19" t="s">
        <v>2814</v>
      </c>
      <c r="E484" s="19" t="s">
        <v>3130</v>
      </c>
      <c r="F484" s="19">
        <v>6.78</v>
      </c>
      <c r="G484" s="19" t="s">
        <v>2154</v>
      </c>
      <c r="H484" s="19" t="s">
        <v>2155</v>
      </c>
    </row>
    <row r="485" spans="1:8">
      <c r="A485" s="18" t="s">
        <v>705</v>
      </c>
      <c r="B485" s="18" t="s">
        <v>3131</v>
      </c>
      <c r="C485" s="18" t="s">
        <v>2193</v>
      </c>
      <c r="D485" s="18" t="s">
        <v>2194</v>
      </c>
      <c r="E485" s="18" t="s">
        <v>3132</v>
      </c>
      <c r="F485" s="18">
        <v>10.01</v>
      </c>
      <c r="G485" s="18" t="s">
        <v>2154</v>
      </c>
      <c r="H485" s="18" t="s">
        <v>2187</v>
      </c>
    </row>
    <row r="486" spans="1:8">
      <c r="A486" s="19" t="s">
        <v>705</v>
      </c>
      <c r="B486" s="19" t="s">
        <v>3133</v>
      </c>
      <c r="C486" s="19" t="s">
        <v>2197</v>
      </c>
      <c r="D486" s="19" t="s">
        <v>2814</v>
      </c>
      <c r="E486" s="19" t="s">
        <v>2687</v>
      </c>
      <c r="F486" s="19">
        <v>8.68</v>
      </c>
      <c r="G486" s="19" t="s">
        <v>2154</v>
      </c>
      <c r="H486" s="19" t="s">
        <v>2187</v>
      </c>
    </row>
    <row r="487" spans="1:8">
      <c r="A487" s="18" t="s">
        <v>705</v>
      </c>
      <c r="B487" s="18" t="s">
        <v>3134</v>
      </c>
      <c r="C487" s="18" t="s">
        <v>1819</v>
      </c>
      <c r="D487" s="18" t="s">
        <v>2524</v>
      </c>
      <c r="E487" s="18" t="s">
        <v>2398</v>
      </c>
      <c r="F487" s="18">
        <v>7.3</v>
      </c>
      <c r="G487" s="18" t="s">
        <v>2154</v>
      </c>
      <c r="H487" s="18" t="s">
        <v>2187</v>
      </c>
    </row>
    <row r="488" spans="1:8">
      <c r="A488" s="19" t="s">
        <v>705</v>
      </c>
      <c r="B488" s="19" t="s">
        <v>3135</v>
      </c>
      <c r="C488" s="19" t="s">
        <v>2204</v>
      </c>
      <c r="D488" s="19" t="s">
        <v>2253</v>
      </c>
      <c r="E488" s="19" t="s">
        <v>2670</v>
      </c>
      <c r="F488" s="19">
        <v>8.24</v>
      </c>
      <c r="G488" s="19" t="s">
        <v>2154</v>
      </c>
      <c r="H488" s="19" t="s">
        <v>2187</v>
      </c>
    </row>
    <row r="489" spans="1:8">
      <c r="A489" s="18" t="s">
        <v>705</v>
      </c>
      <c r="B489" s="18" t="s">
        <v>3136</v>
      </c>
      <c r="C489" s="18" t="s">
        <v>1843</v>
      </c>
      <c r="D489" s="18" t="s">
        <v>2521</v>
      </c>
      <c r="E489" s="18" t="s">
        <v>3137</v>
      </c>
      <c r="F489" s="18">
        <v>8.49</v>
      </c>
      <c r="G489" s="18" t="s">
        <v>2154</v>
      </c>
      <c r="H489" s="18" t="s">
        <v>2171</v>
      </c>
    </row>
    <row r="490" spans="1:8">
      <c r="A490" s="19" t="s">
        <v>705</v>
      </c>
      <c r="B490" s="19" t="s">
        <v>3138</v>
      </c>
      <c r="C490" s="19" t="s">
        <v>2211</v>
      </c>
      <c r="D490" s="19" t="s">
        <v>2416</v>
      </c>
      <c r="E490" s="19" t="s">
        <v>2663</v>
      </c>
      <c r="F490" s="19">
        <v>8.1300000000000008</v>
      </c>
      <c r="G490" s="19" t="s">
        <v>2154</v>
      </c>
      <c r="H490" s="19" t="s">
        <v>2171</v>
      </c>
    </row>
    <row r="491" spans="1:8">
      <c r="A491" s="18" t="s">
        <v>705</v>
      </c>
      <c r="B491" s="18" t="s">
        <v>3139</v>
      </c>
      <c r="C491" s="18" t="s">
        <v>2215</v>
      </c>
      <c r="D491" s="18" t="s">
        <v>2370</v>
      </c>
      <c r="E491" s="18" t="s">
        <v>2670</v>
      </c>
      <c r="F491" s="18">
        <v>7.98</v>
      </c>
      <c r="G491" s="18" t="s">
        <v>2154</v>
      </c>
      <c r="H491" s="18" t="s">
        <v>2160</v>
      </c>
    </row>
    <row r="492" spans="1:8">
      <c r="A492" s="19" t="s">
        <v>705</v>
      </c>
      <c r="B492" s="19" t="s">
        <v>3140</v>
      </c>
      <c r="C492" s="19" t="s">
        <v>2219</v>
      </c>
      <c r="D492" s="19" t="s">
        <v>2888</v>
      </c>
      <c r="E492" s="19" t="s">
        <v>2614</v>
      </c>
      <c r="F492" s="19">
        <v>10.73</v>
      </c>
      <c r="G492" s="19" t="s">
        <v>2154</v>
      </c>
      <c r="H492" s="19" t="s">
        <v>2155</v>
      </c>
    </row>
    <row r="493" spans="1:8">
      <c r="A493" s="18" t="s">
        <v>705</v>
      </c>
      <c r="B493" s="18" t="s">
        <v>3141</v>
      </c>
      <c r="C493" s="18" t="s">
        <v>2222</v>
      </c>
      <c r="D493" s="18" t="s">
        <v>3085</v>
      </c>
      <c r="E493" s="18" t="s">
        <v>3086</v>
      </c>
      <c r="F493" s="18">
        <v>11.31</v>
      </c>
      <c r="G493" s="18" t="s">
        <v>2154</v>
      </c>
      <c r="H493" s="18" t="s">
        <v>2160</v>
      </c>
    </row>
    <row r="494" spans="1:8">
      <c r="A494" s="19" t="s">
        <v>705</v>
      </c>
      <c r="B494" s="19" t="s">
        <v>3142</v>
      </c>
      <c r="C494" s="19" t="s">
        <v>2226</v>
      </c>
      <c r="D494" s="19" t="s">
        <v>2616</v>
      </c>
      <c r="E494" s="19" t="s">
        <v>3143</v>
      </c>
      <c r="F494" s="19">
        <v>8.06</v>
      </c>
      <c r="G494" s="19" t="s">
        <v>2154</v>
      </c>
      <c r="H494" s="19" t="s">
        <v>2155</v>
      </c>
    </row>
    <row r="495" spans="1:8">
      <c r="A495" s="18" t="s">
        <v>705</v>
      </c>
      <c r="B495" s="18" t="s">
        <v>3144</v>
      </c>
      <c r="C495" s="18" t="s">
        <v>2230</v>
      </c>
      <c r="D495" s="18" t="s">
        <v>3145</v>
      </c>
      <c r="E495" s="18" t="s">
        <v>2329</v>
      </c>
      <c r="F495" s="18">
        <v>8.1199999999999992</v>
      </c>
      <c r="G495" s="18" t="s">
        <v>2154</v>
      </c>
      <c r="H495" s="18" t="s">
        <v>2155</v>
      </c>
    </row>
    <row r="496" spans="1:8">
      <c r="A496" s="19" t="s">
        <v>705</v>
      </c>
      <c r="B496" s="19" t="s">
        <v>3146</v>
      </c>
      <c r="C496" s="19" t="s">
        <v>2234</v>
      </c>
      <c r="D496" s="19" t="s">
        <v>2690</v>
      </c>
      <c r="E496" s="19" t="s">
        <v>2817</v>
      </c>
      <c r="F496" s="19">
        <v>8.5299999999999994</v>
      </c>
      <c r="G496" s="19" t="s">
        <v>2154</v>
      </c>
      <c r="H496" s="19" t="s">
        <v>2160</v>
      </c>
    </row>
    <row r="497" spans="1:8">
      <c r="A497" s="18" t="s">
        <v>705</v>
      </c>
      <c r="B497" s="18" t="s">
        <v>3147</v>
      </c>
      <c r="C497" s="18" t="s">
        <v>2238</v>
      </c>
      <c r="D497" s="18" t="s">
        <v>3077</v>
      </c>
      <c r="E497" s="18" t="s">
        <v>3078</v>
      </c>
      <c r="F497" s="18">
        <v>10.15</v>
      </c>
      <c r="G497" s="18" t="s">
        <v>2154</v>
      </c>
      <c r="H497" s="18" t="s">
        <v>2155</v>
      </c>
    </row>
    <row r="498" spans="1:8">
      <c r="A498" s="19" t="s">
        <v>705</v>
      </c>
      <c r="B498" s="19" t="s">
        <v>3148</v>
      </c>
      <c r="C498" s="19" t="s">
        <v>2241</v>
      </c>
      <c r="D498" s="19" t="s">
        <v>2337</v>
      </c>
      <c r="E498" s="19" t="s">
        <v>3149</v>
      </c>
      <c r="F498" s="19">
        <v>9.43</v>
      </c>
      <c r="G498" s="19" t="s">
        <v>2154</v>
      </c>
      <c r="H498" s="19" t="s">
        <v>2171</v>
      </c>
    </row>
    <row r="499" spans="1:8">
      <c r="A499" s="18" t="s">
        <v>705</v>
      </c>
      <c r="B499" s="18" t="s">
        <v>3150</v>
      </c>
      <c r="C499" s="18" t="s">
        <v>2476</v>
      </c>
      <c r="D499" s="18" t="s">
        <v>2619</v>
      </c>
      <c r="E499" s="18" t="s">
        <v>3151</v>
      </c>
      <c r="F499" s="18">
        <v>8.16</v>
      </c>
      <c r="G499" s="18" t="s">
        <v>2154</v>
      </c>
      <c r="H499" s="18" t="s">
        <v>2155</v>
      </c>
    </row>
    <row r="500" spans="1:8">
      <c r="A500" s="19" t="s">
        <v>705</v>
      </c>
      <c r="B500" s="19" t="s">
        <v>3152</v>
      </c>
      <c r="C500" s="19" t="s">
        <v>2249</v>
      </c>
      <c r="D500" s="19" t="s">
        <v>3001</v>
      </c>
      <c r="E500" s="19" t="s">
        <v>3153</v>
      </c>
      <c r="F500" s="19">
        <v>11.29</v>
      </c>
      <c r="G500" s="19" t="s">
        <v>2154</v>
      </c>
      <c r="H500" s="19" t="s">
        <v>2155</v>
      </c>
    </row>
    <row r="501" spans="1:8">
      <c r="A501" s="18" t="s">
        <v>705</v>
      </c>
      <c r="B501" s="18" t="s">
        <v>3154</v>
      </c>
      <c r="C501" s="18" t="s">
        <v>2252</v>
      </c>
      <c r="D501" s="18" t="s">
        <v>2270</v>
      </c>
      <c r="E501" s="18" t="s">
        <v>2655</v>
      </c>
      <c r="F501" s="18">
        <v>6.74</v>
      </c>
      <c r="G501" s="18" t="s">
        <v>2154</v>
      </c>
      <c r="H501" s="18" t="s">
        <v>2160</v>
      </c>
    </row>
    <row r="502" spans="1:8">
      <c r="A502" s="19" t="s">
        <v>705</v>
      </c>
      <c r="B502" s="19" t="s">
        <v>3155</v>
      </c>
      <c r="C502" s="19" t="s">
        <v>2376</v>
      </c>
      <c r="D502" s="19"/>
      <c r="E502" s="19"/>
      <c r="F502" s="19"/>
      <c r="G502" s="19" t="s">
        <v>2343</v>
      </c>
      <c r="H502" s="19" t="s">
        <v>2155</v>
      </c>
    </row>
    <row r="503" spans="1:8">
      <c r="A503" s="18" t="s">
        <v>705</v>
      </c>
      <c r="B503" s="18" t="s">
        <v>3156</v>
      </c>
      <c r="C503" s="18" t="s">
        <v>2260</v>
      </c>
      <c r="D503" s="18" t="s">
        <v>2966</v>
      </c>
      <c r="E503" s="18" t="s">
        <v>3157</v>
      </c>
      <c r="F503" s="18">
        <v>7.42</v>
      </c>
      <c r="G503" s="18" t="s">
        <v>2154</v>
      </c>
      <c r="H503" s="18" t="s">
        <v>2160</v>
      </c>
    </row>
    <row r="504" spans="1:8">
      <c r="A504" s="19" t="s">
        <v>705</v>
      </c>
      <c r="B504" s="19" t="s">
        <v>3158</v>
      </c>
      <c r="C504" s="19" t="s">
        <v>3159</v>
      </c>
      <c r="D504" s="19" t="s">
        <v>2709</v>
      </c>
      <c r="E504" s="19" t="s">
        <v>2749</v>
      </c>
      <c r="F504" s="19">
        <v>10.32</v>
      </c>
      <c r="G504" s="19" t="s">
        <v>2154</v>
      </c>
      <c r="H504" s="19" t="s">
        <v>2160</v>
      </c>
    </row>
    <row r="505" spans="1:8">
      <c r="A505" s="18" t="s">
        <v>705</v>
      </c>
      <c r="B505" s="18" t="s">
        <v>3160</v>
      </c>
      <c r="C505" s="18" t="s">
        <v>1948</v>
      </c>
      <c r="D505" s="18" t="s">
        <v>2823</v>
      </c>
      <c r="E505" s="18" t="s">
        <v>3161</v>
      </c>
      <c r="F505" s="18">
        <v>9.6999999999999993</v>
      </c>
      <c r="G505" s="18" t="s">
        <v>2154</v>
      </c>
      <c r="H505" s="18" t="s">
        <v>2187</v>
      </c>
    </row>
    <row r="506" spans="1:8">
      <c r="A506" s="19" t="s">
        <v>705</v>
      </c>
      <c r="B506" s="19" t="s">
        <v>3162</v>
      </c>
      <c r="C506" s="19" t="s">
        <v>2269</v>
      </c>
      <c r="D506" s="19" t="s">
        <v>2716</v>
      </c>
      <c r="E506" s="19" t="s">
        <v>2537</v>
      </c>
      <c r="F506" s="19">
        <v>10.38</v>
      </c>
      <c r="G506" s="19" t="s">
        <v>2154</v>
      </c>
      <c r="H506" s="19" t="s">
        <v>2187</v>
      </c>
    </row>
    <row r="507" spans="1:8">
      <c r="A507" s="18" t="s">
        <v>705</v>
      </c>
      <c r="B507" s="18" t="s">
        <v>3163</v>
      </c>
      <c r="C507" s="18" t="s">
        <v>2273</v>
      </c>
      <c r="D507" s="18" t="s">
        <v>2314</v>
      </c>
      <c r="E507" s="18" t="s">
        <v>2701</v>
      </c>
      <c r="F507" s="18">
        <v>10.11</v>
      </c>
      <c r="G507" s="18" t="s">
        <v>2154</v>
      </c>
      <c r="H507" s="18" t="s">
        <v>2160</v>
      </c>
    </row>
    <row r="508" spans="1:8">
      <c r="A508" s="19" t="s">
        <v>705</v>
      </c>
      <c r="B508" s="19" t="s">
        <v>3164</v>
      </c>
      <c r="C508" s="19" t="s">
        <v>2277</v>
      </c>
      <c r="D508" s="19" t="s">
        <v>2561</v>
      </c>
      <c r="E508" s="19" t="s">
        <v>3165</v>
      </c>
      <c r="F508" s="19">
        <v>10.99</v>
      </c>
      <c r="G508" s="19" t="s">
        <v>2154</v>
      </c>
      <c r="H508" s="19" t="s">
        <v>2155</v>
      </c>
    </row>
    <row r="509" spans="1:8">
      <c r="A509" s="18" t="s">
        <v>705</v>
      </c>
      <c r="B509" s="18" t="s">
        <v>3166</v>
      </c>
      <c r="C509" s="18" t="s">
        <v>2281</v>
      </c>
      <c r="D509" s="18" t="s">
        <v>2198</v>
      </c>
      <c r="E509" s="18" t="s">
        <v>2710</v>
      </c>
      <c r="F509" s="18">
        <v>7.97</v>
      </c>
      <c r="G509" s="18" t="s">
        <v>2154</v>
      </c>
      <c r="H509" s="18" t="s">
        <v>2155</v>
      </c>
    </row>
    <row r="510" spans="1:8">
      <c r="A510" s="19" t="s">
        <v>705</v>
      </c>
      <c r="B510" s="19" t="s">
        <v>3167</v>
      </c>
      <c r="C510" s="19" t="s">
        <v>2396</v>
      </c>
      <c r="D510" s="19" t="s">
        <v>2770</v>
      </c>
      <c r="E510" s="19" t="s">
        <v>2819</v>
      </c>
      <c r="F510" s="19">
        <v>9.85</v>
      </c>
      <c r="G510" s="19" t="s">
        <v>2154</v>
      </c>
      <c r="H510" s="19" t="s">
        <v>2187</v>
      </c>
    </row>
    <row r="511" spans="1:8">
      <c r="A511" s="18" t="s">
        <v>705</v>
      </c>
      <c r="B511" s="18" t="s">
        <v>3168</v>
      </c>
      <c r="C511" s="18" t="s">
        <v>2289</v>
      </c>
      <c r="D511" s="18" t="s">
        <v>2635</v>
      </c>
      <c r="E511" s="18" t="s">
        <v>3169</v>
      </c>
      <c r="F511" s="18">
        <v>10.53</v>
      </c>
      <c r="G511" s="18" t="s">
        <v>2154</v>
      </c>
      <c r="H511" s="18" t="s">
        <v>2187</v>
      </c>
    </row>
    <row r="512" spans="1:8">
      <c r="A512" s="19" t="s">
        <v>705</v>
      </c>
      <c r="B512" s="19" t="s">
        <v>3170</v>
      </c>
      <c r="C512" s="19" t="s">
        <v>2293</v>
      </c>
      <c r="D512" s="19" t="s">
        <v>2331</v>
      </c>
      <c r="E512" s="19" t="s">
        <v>2332</v>
      </c>
      <c r="F512" s="19">
        <v>9.66</v>
      </c>
      <c r="G512" s="19" t="s">
        <v>2154</v>
      </c>
      <c r="H512" s="19" t="s">
        <v>2187</v>
      </c>
    </row>
    <row r="513" spans="1:8">
      <c r="A513" s="18" t="s">
        <v>705</v>
      </c>
      <c r="B513" s="18" t="s">
        <v>3171</v>
      </c>
      <c r="C513" s="18" t="s">
        <v>2296</v>
      </c>
      <c r="D513" s="18" t="s">
        <v>2377</v>
      </c>
      <c r="E513" s="18" t="s">
        <v>2609</v>
      </c>
      <c r="F513" s="18">
        <v>9.64</v>
      </c>
      <c r="G513" s="18" t="s">
        <v>2154</v>
      </c>
      <c r="H513" s="18" t="s">
        <v>2171</v>
      </c>
    </row>
    <row r="514" spans="1:8">
      <c r="A514" s="19" t="s">
        <v>705</v>
      </c>
      <c r="B514" s="19" t="s">
        <v>3172</v>
      </c>
      <c r="C514" s="19" t="s">
        <v>2300</v>
      </c>
      <c r="D514" s="19" t="s">
        <v>2440</v>
      </c>
      <c r="E514" s="19" t="s">
        <v>3173</v>
      </c>
      <c r="F514" s="19">
        <v>11.11</v>
      </c>
      <c r="G514" s="19" t="s">
        <v>2154</v>
      </c>
      <c r="H514" s="19" t="s">
        <v>2160</v>
      </c>
    </row>
    <row r="515" spans="1:8">
      <c r="A515" s="18" t="s">
        <v>705</v>
      </c>
      <c r="B515" s="18" t="s">
        <v>3174</v>
      </c>
      <c r="C515" s="18" t="s">
        <v>2144</v>
      </c>
      <c r="D515" s="18" t="s">
        <v>2419</v>
      </c>
      <c r="E515" s="18" t="s">
        <v>3175</v>
      </c>
      <c r="F515" s="18">
        <v>9.9</v>
      </c>
      <c r="G515" s="18" t="s">
        <v>2154</v>
      </c>
      <c r="H515" s="18" t="s">
        <v>2171</v>
      </c>
    </row>
    <row r="516" spans="1:8">
      <c r="A516" s="19" t="s">
        <v>705</v>
      </c>
      <c r="B516" s="19" t="s">
        <v>3176</v>
      </c>
      <c r="C516" s="19" t="s">
        <v>2307</v>
      </c>
      <c r="D516" s="19" t="s">
        <v>2606</v>
      </c>
      <c r="E516" s="19" t="s">
        <v>2607</v>
      </c>
      <c r="F516" s="19">
        <v>6.83</v>
      </c>
      <c r="G516" s="19" t="s">
        <v>2154</v>
      </c>
      <c r="H516" s="19" t="s">
        <v>2171</v>
      </c>
    </row>
    <row r="517" spans="1:8">
      <c r="A517" s="18" t="s">
        <v>705</v>
      </c>
      <c r="B517" s="18" t="s">
        <v>3177</v>
      </c>
      <c r="C517" s="18" t="s">
        <v>2311</v>
      </c>
      <c r="D517" s="18" t="s">
        <v>2437</v>
      </c>
      <c r="E517" s="18" t="s">
        <v>2302</v>
      </c>
      <c r="F517" s="18">
        <v>7.75</v>
      </c>
      <c r="G517" s="18" t="s">
        <v>2154</v>
      </c>
      <c r="H517" s="18" t="s">
        <v>2171</v>
      </c>
    </row>
    <row r="518" spans="1:8">
      <c r="A518" s="19" t="s">
        <v>346</v>
      </c>
      <c r="B518" s="19" t="s">
        <v>3178</v>
      </c>
      <c r="C518" s="19" t="s">
        <v>2038</v>
      </c>
      <c r="D518" s="19" t="s">
        <v>2174</v>
      </c>
      <c r="E518" s="19" t="s">
        <v>2175</v>
      </c>
      <c r="F518" s="19">
        <v>7.69</v>
      </c>
      <c r="G518" s="19" t="s">
        <v>2154</v>
      </c>
      <c r="H518" s="19" t="s">
        <v>2155</v>
      </c>
    </row>
    <row r="519" spans="1:8">
      <c r="A519" s="18" t="s">
        <v>346</v>
      </c>
      <c r="B519" s="18" t="s">
        <v>3179</v>
      </c>
      <c r="C519" s="18" t="s">
        <v>2157</v>
      </c>
      <c r="D519" s="18" t="s">
        <v>3180</v>
      </c>
      <c r="E519" s="18" t="s">
        <v>3181</v>
      </c>
      <c r="F519" s="18">
        <v>6.98</v>
      </c>
      <c r="G519" s="18" t="s">
        <v>2154</v>
      </c>
      <c r="H519" s="18" t="s">
        <v>2171</v>
      </c>
    </row>
    <row r="520" spans="1:8">
      <c r="A520" s="19" t="s">
        <v>346</v>
      </c>
      <c r="B520" s="19" t="s">
        <v>3182</v>
      </c>
      <c r="C520" s="19" t="s">
        <v>2162</v>
      </c>
      <c r="D520" s="19" t="s">
        <v>3183</v>
      </c>
      <c r="E520" s="19" t="s">
        <v>2378</v>
      </c>
      <c r="F520" s="19">
        <v>10.26</v>
      </c>
      <c r="G520" s="19" t="s">
        <v>2154</v>
      </c>
      <c r="H520" s="19" t="s">
        <v>2155</v>
      </c>
    </row>
    <row r="521" spans="1:8">
      <c r="A521" s="18" t="s">
        <v>346</v>
      </c>
      <c r="B521" s="18" t="s">
        <v>3184</v>
      </c>
      <c r="C521" s="18" t="s">
        <v>1937</v>
      </c>
      <c r="D521" s="18" t="s">
        <v>2611</v>
      </c>
      <c r="E521" s="18" t="s">
        <v>2745</v>
      </c>
      <c r="F521" s="18">
        <v>11</v>
      </c>
      <c r="G521" s="18" t="s">
        <v>2154</v>
      </c>
      <c r="H521" s="18" t="s">
        <v>2160</v>
      </c>
    </row>
    <row r="522" spans="1:8">
      <c r="A522" s="19" t="s">
        <v>346</v>
      </c>
      <c r="B522" s="19" t="s">
        <v>3185</v>
      </c>
      <c r="C522" s="19" t="s">
        <v>2168</v>
      </c>
      <c r="D522" s="19" t="s">
        <v>2553</v>
      </c>
      <c r="E522" s="19" t="s">
        <v>2831</v>
      </c>
      <c r="F522" s="19">
        <v>8.34</v>
      </c>
      <c r="G522" s="19" t="s">
        <v>2154</v>
      </c>
      <c r="H522" s="19" t="s">
        <v>2187</v>
      </c>
    </row>
    <row r="523" spans="1:8">
      <c r="A523" s="18" t="s">
        <v>346</v>
      </c>
      <c r="B523" s="18" t="s">
        <v>3186</v>
      </c>
      <c r="C523" s="18" t="s">
        <v>2173</v>
      </c>
      <c r="D523" s="18" t="s">
        <v>2377</v>
      </c>
      <c r="E523" s="18" t="s">
        <v>3187</v>
      </c>
      <c r="F523" s="18">
        <v>10.18</v>
      </c>
      <c r="G523" s="18" t="s">
        <v>2154</v>
      </c>
      <c r="H523" s="18" t="s">
        <v>2187</v>
      </c>
    </row>
    <row r="524" spans="1:8">
      <c r="A524" s="19" t="s">
        <v>346</v>
      </c>
      <c r="B524" s="19" t="s">
        <v>3188</v>
      </c>
      <c r="C524" s="19" t="s">
        <v>2177</v>
      </c>
      <c r="D524" s="19" t="s">
        <v>2684</v>
      </c>
      <c r="E524" s="19" t="s">
        <v>3008</v>
      </c>
      <c r="F524" s="19">
        <v>9.8800000000000008</v>
      </c>
      <c r="G524" s="19" t="s">
        <v>2154</v>
      </c>
      <c r="H524" s="19" t="s">
        <v>2160</v>
      </c>
    </row>
    <row r="525" spans="1:8">
      <c r="A525" s="18" t="s">
        <v>346</v>
      </c>
      <c r="B525" s="18" t="s">
        <v>3189</v>
      </c>
      <c r="C525" s="18" t="s">
        <v>1945</v>
      </c>
      <c r="D525" s="18" t="s">
        <v>2181</v>
      </c>
      <c r="E525" s="18" t="s">
        <v>2936</v>
      </c>
      <c r="F525" s="18">
        <v>11.13</v>
      </c>
      <c r="G525" s="18" t="s">
        <v>2154</v>
      </c>
      <c r="H525" s="18" t="s">
        <v>2155</v>
      </c>
    </row>
    <row r="526" spans="1:8">
      <c r="A526" s="19" t="s">
        <v>346</v>
      </c>
      <c r="B526" s="19" t="s">
        <v>3190</v>
      </c>
      <c r="C526" s="19" t="s">
        <v>2184</v>
      </c>
      <c r="D526" s="19" t="s">
        <v>2178</v>
      </c>
      <c r="E526" s="19" t="s">
        <v>3191</v>
      </c>
      <c r="F526" s="19">
        <v>9.24</v>
      </c>
      <c r="G526" s="19" t="s">
        <v>2154</v>
      </c>
      <c r="H526" s="19" t="s">
        <v>2187</v>
      </c>
    </row>
    <row r="527" spans="1:8">
      <c r="A527" s="18" t="s">
        <v>346</v>
      </c>
      <c r="B527" s="18" t="s">
        <v>3192</v>
      </c>
      <c r="C527" s="18" t="s">
        <v>2189</v>
      </c>
      <c r="D527" s="18" t="s">
        <v>3066</v>
      </c>
      <c r="E527" s="18" t="s">
        <v>3193</v>
      </c>
      <c r="F527" s="18">
        <v>7.1</v>
      </c>
      <c r="G527" s="18" t="s">
        <v>2154</v>
      </c>
      <c r="H527" s="18" t="s">
        <v>2171</v>
      </c>
    </row>
    <row r="528" spans="1:8">
      <c r="A528" s="19" t="s">
        <v>346</v>
      </c>
      <c r="B528" s="19" t="s">
        <v>3194</v>
      </c>
      <c r="C528" s="19" t="s">
        <v>2193</v>
      </c>
      <c r="D528" s="19" t="s">
        <v>2979</v>
      </c>
      <c r="E528" s="19" t="s">
        <v>3195</v>
      </c>
      <c r="F528" s="19">
        <v>10.67</v>
      </c>
      <c r="G528" s="19" t="s">
        <v>2154</v>
      </c>
      <c r="H528" s="19" t="s">
        <v>2155</v>
      </c>
    </row>
    <row r="529" spans="1:8">
      <c r="A529" s="18" t="s">
        <v>346</v>
      </c>
      <c r="B529" s="18" t="s">
        <v>3196</v>
      </c>
      <c r="C529" s="18" t="s">
        <v>2197</v>
      </c>
      <c r="D529" s="18" t="s">
        <v>2227</v>
      </c>
      <c r="E529" s="18" t="s">
        <v>3197</v>
      </c>
      <c r="F529" s="18">
        <v>11.48</v>
      </c>
      <c r="G529" s="18" t="s">
        <v>2154</v>
      </c>
      <c r="H529" s="18" t="s">
        <v>2171</v>
      </c>
    </row>
    <row r="530" spans="1:8">
      <c r="A530" s="19" t="s">
        <v>346</v>
      </c>
      <c r="B530" s="19" t="s">
        <v>3198</v>
      </c>
      <c r="C530" s="19" t="s">
        <v>1819</v>
      </c>
      <c r="D530" s="19" t="s">
        <v>2948</v>
      </c>
      <c r="E530" s="19" t="s">
        <v>2522</v>
      </c>
      <c r="F530" s="19">
        <v>9.85</v>
      </c>
      <c r="G530" s="19" t="s">
        <v>2154</v>
      </c>
      <c r="H530" s="19" t="s">
        <v>2160</v>
      </c>
    </row>
    <row r="531" spans="1:8">
      <c r="A531" s="18" t="s">
        <v>346</v>
      </c>
      <c r="B531" s="18" t="s">
        <v>3199</v>
      </c>
      <c r="C531" s="18" t="s">
        <v>2204</v>
      </c>
      <c r="D531" s="18" t="s">
        <v>2261</v>
      </c>
      <c r="E531" s="18" t="s">
        <v>2893</v>
      </c>
      <c r="F531" s="18">
        <v>10.59</v>
      </c>
      <c r="G531" s="18" t="s">
        <v>2154</v>
      </c>
      <c r="H531" s="18" t="s">
        <v>2160</v>
      </c>
    </row>
    <row r="532" spans="1:8">
      <c r="A532" s="19" t="s">
        <v>346</v>
      </c>
      <c r="B532" s="19" t="s">
        <v>3200</v>
      </c>
      <c r="C532" s="19" t="s">
        <v>1843</v>
      </c>
      <c r="D532" s="19" t="s">
        <v>2979</v>
      </c>
      <c r="E532" s="19" t="s">
        <v>3201</v>
      </c>
      <c r="F532" s="19">
        <v>9.5</v>
      </c>
      <c r="G532" s="19" t="s">
        <v>2154</v>
      </c>
      <c r="H532" s="19" t="s">
        <v>2160</v>
      </c>
    </row>
    <row r="533" spans="1:8">
      <c r="A533" s="18" t="s">
        <v>346</v>
      </c>
      <c r="B533" s="18" t="s">
        <v>3202</v>
      </c>
      <c r="C533" s="18" t="s">
        <v>2211</v>
      </c>
      <c r="D533" s="18" t="s">
        <v>2616</v>
      </c>
      <c r="E533" s="18" t="s">
        <v>3143</v>
      </c>
      <c r="F533" s="18">
        <v>8.92</v>
      </c>
      <c r="G533" s="18" t="s">
        <v>2154</v>
      </c>
      <c r="H533" s="18" t="s">
        <v>2171</v>
      </c>
    </row>
    <row r="534" spans="1:8">
      <c r="A534" s="19" t="s">
        <v>346</v>
      </c>
      <c r="B534" s="19" t="s">
        <v>3203</v>
      </c>
      <c r="C534" s="19" t="s">
        <v>2215</v>
      </c>
      <c r="D534" s="19" t="s">
        <v>3123</v>
      </c>
      <c r="E534" s="19" t="s">
        <v>3204</v>
      </c>
      <c r="F534" s="19">
        <v>10.93</v>
      </c>
      <c r="G534" s="19" t="s">
        <v>2154</v>
      </c>
      <c r="H534" s="19" t="s">
        <v>2155</v>
      </c>
    </row>
    <row r="535" spans="1:8">
      <c r="A535" s="18" t="s">
        <v>346</v>
      </c>
      <c r="B535" s="18" t="s">
        <v>3205</v>
      </c>
      <c r="C535" s="18" t="s">
        <v>2219</v>
      </c>
      <c r="D535" s="18" t="s">
        <v>2536</v>
      </c>
      <c r="E535" s="18" t="s">
        <v>2537</v>
      </c>
      <c r="F535" s="18">
        <v>8.44</v>
      </c>
      <c r="G535" s="18" t="s">
        <v>2154</v>
      </c>
      <c r="H535" s="18" t="s">
        <v>2160</v>
      </c>
    </row>
    <row r="536" spans="1:8">
      <c r="A536" s="19" t="s">
        <v>346</v>
      </c>
      <c r="B536" s="19" t="s">
        <v>3206</v>
      </c>
      <c r="C536" s="19" t="s">
        <v>2222</v>
      </c>
      <c r="D536" s="19"/>
      <c r="E536" s="19"/>
      <c r="F536" s="19"/>
      <c r="G536" s="19" t="s">
        <v>2343</v>
      </c>
      <c r="H536" s="19" t="s">
        <v>2187</v>
      </c>
    </row>
    <row r="537" spans="1:8">
      <c r="A537" s="18" t="s">
        <v>346</v>
      </c>
      <c r="B537" s="18" t="s">
        <v>3207</v>
      </c>
      <c r="C537" s="18" t="s">
        <v>2226</v>
      </c>
      <c r="D537" s="18"/>
      <c r="E537" s="18"/>
      <c r="F537" s="18"/>
      <c r="G537" s="18" t="s">
        <v>2343</v>
      </c>
      <c r="H537" s="18" t="s">
        <v>2187</v>
      </c>
    </row>
    <row r="538" spans="1:8">
      <c r="A538" s="19" t="s">
        <v>346</v>
      </c>
      <c r="B538" s="19" t="s">
        <v>3208</v>
      </c>
      <c r="C538" s="19" t="s">
        <v>2230</v>
      </c>
      <c r="D538" s="19" t="s">
        <v>3100</v>
      </c>
      <c r="E538" s="19" t="s">
        <v>2568</v>
      </c>
      <c r="F538" s="19">
        <v>11.11</v>
      </c>
      <c r="G538" s="19" t="s">
        <v>2154</v>
      </c>
      <c r="H538" s="19" t="s">
        <v>2160</v>
      </c>
    </row>
    <row r="539" spans="1:8">
      <c r="A539" s="18" t="s">
        <v>346</v>
      </c>
      <c r="B539" s="18" t="s">
        <v>3209</v>
      </c>
      <c r="C539" s="18" t="s">
        <v>2234</v>
      </c>
      <c r="D539" s="18" t="s">
        <v>2419</v>
      </c>
      <c r="E539" s="18" t="s">
        <v>3175</v>
      </c>
      <c r="F539" s="18">
        <v>9.42</v>
      </c>
      <c r="G539" s="18" t="s">
        <v>2154</v>
      </c>
      <c r="H539" s="18" t="s">
        <v>2160</v>
      </c>
    </row>
    <row r="540" spans="1:8">
      <c r="A540" s="19" t="s">
        <v>346</v>
      </c>
      <c r="B540" s="19" t="s">
        <v>3210</v>
      </c>
      <c r="C540" s="19" t="s">
        <v>2238</v>
      </c>
      <c r="D540" s="19" t="s">
        <v>2278</v>
      </c>
      <c r="E540" s="19" t="s">
        <v>2861</v>
      </c>
      <c r="F540" s="19">
        <v>9.5</v>
      </c>
      <c r="G540" s="19" t="s">
        <v>2154</v>
      </c>
      <c r="H540" s="19" t="s">
        <v>2187</v>
      </c>
    </row>
    <row r="541" spans="1:8">
      <c r="A541" s="18" t="s">
        <v>346</v>
      </c>
      <c r="B541" s="18" t="s">
        <v>3211</v>
      </c>
      <c r="C541" s="18" t="s">
        <v>2241</v>
      </c>
      <c r="D541" s="18" t="s">
        <v>2393</v>
      </c>
      <c r="E541" s="18" t="s">
        <v>3101</v>
      </c>
      <c r="F541" s="18">
        <v>7.52</v>
      </c>
      <c r="G541" s="18" t="s">
        <v>2154</v>
      </c>
      <c r="H541" s="18" t="s">
        <v>2160</v>
      </c>
    </row>
    <row r="542" spans="1:8">
      <c r="A542" s="19" t="s">
        <v>346</v>
      </c>
      <c r="B542" s="19" t="s">
        <v>3212</v>
      </c>
      <c r="C542" s="19" t="s">
        <v>2245</v>
      </c>
      <c r="D542" s="19" t="s">
        <v>2534</v>
      </c>
      <c r="E542" s="19" t="s">
        <v>3213</v>
      </c>
      <c r="F542" s="19">
        <v>9.4600000000000009</v>
      </c>
      <c r="G542" s="19" t="s">
        <v>2154</v>
      </c>
      <c r="H542" s="19" t="s">
        <v>2171</v>
      </c>
    </row>
    <row r="543" spans="1:8">
      <c r="A543" s="18" t="s">
        <v>346</v>
      </c>
      <c r="B543" s="18" t="s">
        <v>3214</v>
      </c>
      <c r="C543" s="18" t="s">
        <v>2249</v>
      </c>
      <c r="D543" s="18" t="s">
        <v>2194</v>
      </c>
      <c r="E543" s="18" t="s">
        <v>3132</v>
      </c>
      <c r="F543" s="18">
        <v>10.029999999999999</v>
      </c>
      <c r="G543" s="18" t="s">
        <v>2154</v>
      </c>
      <c r="H543" s="18" t="s">
        <v>2155</v>
      </c>
    </row>
    <row r="544" spans="1:8">
      <c r="A544" s="19" t="s">
        <v>346</v>
      </c>
      <c r="B544" s="19" t="s">
        <v>3215</v>
      </c>
      <c r="C544" s="19" t="s">
        <v>2252</v>
      </c>
      <c r="D544" s="19" t="s">
        <v>2513</v>
      </c>
      <c r="E544" s="19" t="s">
        <v>3216</v>
      </c>
      <c r="F544" s="19">
        <v>9.65</v>
      </c>
      <c r="G544" s="19" t="s">
        <v>2154</v>
      </c>
      <c r="H544" s="19" t="s">
        <v>2171</v>
      </c>
    </row>
    <row r="545" spans="1:8">
      <c r="A545" s="18" t="s">
        <v>346</v>
      </c>
      <c r="B545" s="18" t="s">
        <v>3217</v>
      </c>
      <c r="C545" s="18" t="s">
        <v>2376</v>
      </c>
      <c r="D545" s="18" t="s">
        <v>2557</v>
      </c>
      <c r="E545" s="18" t="s">
        <v>3218</v>
      </c>
      <c r="F545" s="18">
        <v>9.5500000000000007</v>
      </c>
      <c r="G545" s="18" t="s">
        <v>2154</v>
      </c>
      <c r="H545" s="18" t="s">
        <v>2187</v>
      </c>
    </row>
    <row r="546" spans="1:8">
      <c r="A546" s="19" t="s">
        <v>346</v>
      </c>
      <c r="B546" s="19" t="s">
        <v>3219</v>
      </c>
      <c r="C546" s="19" t="s">
        <v>3220</v>
      </c>
      <c r="D546" s="19" t="s">
        <v>2452</v>
      </c>
      <c r="E546" s="19" t="s">
        <v>2453</v>
      </c>
      <c r="F546" s="19">
        <v>7.88</v>
      </c>
      <c r="G546" s="19" t="s">
        <v>2154</v>
      </c>
      <c r="H546" s="19" t="s">
        <v>2155</v>
      </c>
    </row>
    <row r="547" spans="1:8">
      <c r="A547" s="18" t="s">
        <v>346</v>
      </c>
      <c r="B547" s="18" t="s">
        <v>3221</v>
      </c>
      <c r="C547" s="18" t="s">
        <v>2264</v>
      </c>
      <c r="D547" s="18" t="s">
        <v>2561</v>
      </c>
      <c r="E547" s="18" t="s">
        <v>2483</v>
      </c>
      <c r="F547" s="18">
        <v>6.99</v>
      </c>
      <c r="G547" s="18" t="s">
        <v>2154</v>
      </c>
      <c r="H547" s="18" t="s">
        <v>2155</v>
      </c>
    </row>
    <row r="548" spans="1:8">
      <c r="A548" s="19" t="s">
        <v>346</v>
      </c>
      <c r="B548" s="19" t="s">
        <v>3222</v>
      </c>
      <c r="C548" s="19" t="s">
        <v>1948</v>
      </c>
      <c r="D548" s="19" t="s">
        <v>2766</v>
      </c>
      <c r="E548" s="19" t="s">
        <v>2924</v>
      </c>
      <c r="F548" s="19">
        <v>10.23</v>
      </c>
      <c r="G548" s="19" t="s">
        <v>2154</v>
      </c>
      <c r="H548" s="19" t="s">
        <v>2155</v>
      </c>
    </row>
    <row r="549" spans="1:8">
      <c r="A549" s="18" t="s">
        <v>346</v>
      </c>
      <c r="B549" s="18" t="s">
        <v>3223</v>
      </c>
      <c r="C549" s="18" t="s">
        <v>2269</v>
      </c>
      <c r="D549" s="18"/>
      <c r="E549" s="18"/>
      <c r="F549" s="18"/>
      <c r="G549" s="18" t="s">
        <v>2343</v>
      </c>
      <c r="H549" s="18" t="s">
        <v>2171</v>
      </c>
    </row>
    <row r="550" spans="1:8">
      <c r="A550" s="19" t="s">
        <v>346</v>
      </c>
      <c r="B550" s="19" t="s">
        <v>3224</v>
      </c>
      <c r="C550" s="19" t="s">
        <v>2273</v>
      </c>
      <c r="D550" s="19" t="s">
        <v>2632</v>
      </c>
      <c r="E550" s="19" t="s">
        <v>2633</v>
      </c>
      <c r="F550" s="19">
        <v>10.65</v>
      </c>
      <c r="G550" s="19" t="s">
        <v>2154</v>
      </c>
      <c r="H550" s="19" t="s">
        <v>2187</v>
      </c>
    </row>
    <row r="551" spans="1:8">
      <c r="A551" s="18" t="s">
        <v>346</v>
      </c>
      <c r="B551" s="18" t="s">
        <v>3225</v>
      </c>
      <c r="C551" s="18" t="s">
        <v>2277</v>
      </c>
      <c r="D551" s="18" t="s">
        <v>2479</v>
      </c>
      <c r="E551" s="18" t="s">
        <v>3226</v>
      </c>
      <c r="F551" s="18">
        <v>7.97</v>
      </c>
      <c r="G551" s="18" t="s">
        <v>2154</v>
      </c>
      <c r="H551" s="18" t="s">
        <v>2187</v>
      </c>
    </row>
    <row r="552" spans="1:8">
      <c r="A552" s="19" t="s">
        <v>346</v>
      </c>
      <c r="B552" s="19" t="s">
        <v>3227</v>
      </c>
      <c r="C552" s="19" t="s">
        <v>2281</v>
      </c>
      <c r="D552" s="19" t="s">
        <v>2416</v>
      </c>
      <c r="E552" s="19" t="s">
        <v>2417</v>
      </c>
      <c r="F552" s="19">
        <v>10.38</v>
      </c>
      <c r="G552" s="19" t="s">
        <v>2154</v>
      </c>
      <c r="H552" s="19" t="s">
        <v>2171</v>
      </c>
    </row>
    <row r="553" spans="1:8">
      <c r="A553" s="18" t="s">
        <v>346</v>
      </c>
      <c r="B553" s="18" t="s">
        <v>3228</v>
      </c>
      <c r="C553" s="18" t="s">
        <v>2396</v>
      </c>
      <c r="D553" s="18" t="s">
        <v>2783</v>
      </c>
      <c r="E553" s="18" t="s">
        <v>2334</v>
      </c>
      <c r="F553" s="18">
        <v>7.06</v>
      </c>
      <c r="G553" s="18" t="s">
        <v>2154</v>
      </c>
      <c r="H553" s="18" t="s">
        <v>2171</v>
      </c>
    </row>
    <row r="554" spans="1:8">
      <c r="A554" s="19" t="s">
        <v>346</v>
      </c>
      <c r="B554" s="19" t="s">
        <v>3229</v>
      </c>
      <c r="C554" s="19" t="s">
        <v>2977</v>
      </c>
      <c r="D554" s="19" t="s">
        <v>3100</v>
      </c>
      <c r="E554" s="19" t="s">
        <v>2568</v>
      </c>
      <c r="F554" s="19">
        <v>11.46</v>
      </c>
      <c r="G554" s="19" t="s">
        <v>2154</v>
      </c>
      <c r="H554" s="19" t="s">
        <v>2171</v>
      </c>
    </row>
    <row r="555" spans="1:8">
      <c r="A555" s="18" t="s">
        <v>346</v>
      </c>
      <c r="B555" s="18" t="s">
        <v>3230</v>
      </c>
      <c r="C555" s="18" t="s">
        <v>2293</v>
      </c>
      <c r="D555" s="18" t="s">
        <v>2181</v>
      </c>
      <c r="E555" s="18" t="s">
        <v>2938</v>
      </c>
      <c r="F555" s="18">
        <v>7.32</v>
      </c>
      <c r="G555" s="18" t="s">
        <v>2154</v>
      </c>
      <c r="H555" s="18" t="s">
        <v>2160</v>
      </c>
    </row>
    <row r="556" spans="1:8">
      <c r="A556" s="19" t="s">
        <v>346</v>
      </c>
      <c r="B556" s="19" t="s">
        <v>3231</v>
      </c>
      <c r="C556" s="19" t="s">
        <v>2296</v>
      </c>
      <c r="D556" s="19" t="s">
        <v>2877</v>
      </c>
      <c r="E556" s="19" t="s">
        <v>3232</v>
      </c>
      <c r="F556" s="19">
        <v>9.1999999999999993</v>
      </c>
      <c r="G556" s="19" t="s">
        <v>2154</v>
      </c>
      <c r="H556" s="19" t="s">
        <v>2187</v>
      </c>
    </row>
    <row r="557" spans="1:8">
      <c r="A557" s="18" t="s">
        <v>346</v>
      </c>
      <c r="B557" s="18" t="s">
        <v>3233</v>
      </c>
      <c r="C557" s="18" t="s">
        <v>2300</v>
      </c>
      <c r="D557" s="18" t="s">
        <v>2575</v>
      </c>
      <c r="E557" s="18" t="s">
        <v>2899</v>
      </c>
      <c r="F557" s="18">
        <v>9.8800000000000008</v>
      </c>
      <c r="G557" s="18" t="s">
        <v>2154</v>
      </c>
      <c r="H557" s="18" t="s">
        <v>2187</v>
      </c>
    </row>
    <row r="558" spans="1:8">
      <c r="A558" s="19" t="s">
        <v>346</v>
      </c>
      <c r="B558" s="19" t="s">
        <v>3234</v>
      </c>
      <c r="C558" s="19" t="s">
        <v>2144</v>
      </c>
      <c r="D558" s="19" t="s">
        <v>2482</v>
      </c>
      <c r="E558" s="19" t="s">
        <v>3235</v>
      </c>
      <c r="F558" s="19">
        <v>10.7</v>
      </c>
      <c r="G558" s="19" t="s">
        <v>2154</v>
      </c>
      <c r="H558" s="19" t="s">
        <v>2155</v>
      </c>
    </row>
    <row r="559" spans="1:8">
      <c r="A559" s="18" t="s">
        <v>346</v>
      </c>
      <c r="B559" s="18" t="s">
        <v>3236</v>
      </c>
      <c r="C559" s="18" t="s">
        <v>2307</v>
      </c>
      <c r="D559" s="18" t="s">
        <v>2423</v>
      </c>
      <c r="E559" s="18" t="s">
        <v>3193</v>
      </c>
      <c r="F559" s="18">
        <v>6.95</v>
      </c>
      <c r="G559" s="18" t="s">
        <v>2154</v>
      </c>
      <c r="H559" s="18" t="s">
        <v>2187</v>
      </c>
    </row>
    <row r="560" spans="1:8">
      <c r="A560" s="19" t="s">
        <v>346</v>
      </c>
      <c r="B560" s="19" t="s">
        <v>3237</v>
      </c>
      <c r="C560" s="19" t="s">
        <v>2311</v>
      </c>
      <c r="D560" s="19" t="s">
        <v>2801</v>
      </c>
      <c r="E560" s="19" t="s">
        <v>2802</v>
      </c>
      <c r="F560" s="19">
        <v>8.5399999999999991</v>
      </c>
      <c r="G560" s="19" t="s">
        <v>2154</v>
      </c>
      <c r="H560" s="19" t="s">
        <v>2187</v>
      </c>
    </row>
    <row r="561" spans="1:8">
      <c r="A561" s="18" t="s">
        <v>1085</v>
      </c>
      <c r="B561" s="18" t="s">
        <v>3238</v>
      </c>
      <c r="C561" s="18" t="s">
        <v>2038</v>
      </c>
      <c r="D561" s="18" t="s">
        <v>3239</v>
      </c>
      <c r="E561" s="18" t="s">
        <v>3013</v>
      </c>
      <c r="F561" s="18">
        <v>8.17</v>
      </c>
      <c r="G561" s="18" t="s">
        <v>2154</v>
      </c>
      <c r="H561" s="18" t="s">
        <v>2187</v>
      </c>
    </row>
    <row r="562" spans="1:8">
      <c r="A562" s="19" t="s">
        <v>1085</v>
      </c>
      <c r="B562" s="19" t="s">
        <v>3240</v>
      </c>
      <c r="C562" s="19" t="s">
        <v>2157</v>
      </c>
      <c r="D562" s="19" t="s">
        <v>2464</v>
      </c>
      <c r="E562" s="19" t="s">
        <v>3241</v>
      </c>
      <c r="F562" s="19">
        <v>9.27</v>
      </c>
      <c r="G562" s="19" t="s">
        <v>2154</v>
      </c>
      <c r="H562" s="19" t="s">
        <v>2160</v>
      </c>
    </row>
    <row r="563" spans="1:8">
      <c r="A563" s="18" t="s">
        <v>1085</v>
      </c>
      <c r="B563" s="18" t="s">
        <v>3242</v>
      </c>
      <c r="C563" s="18" t="s">
        <v>2162</v>
      </c>
      <c r="D563" s="18" t="s">
        <v>3239</v>
      </c>
      <c r="E563" s="18" t="s">
        <v>3013</v>
      </c>
      <c r="F563" s="18">
        <v>8.76</v>
      </c>
      <c r="G563" s="18" t="s">
        <v>2154</v>
      </c>
      <c r="H563" s="18" t="s">
        <v>2171</v>
      </c>
    </row>
    <row r="564" spans="1:8">
      <c r="A564" s="19" t="s">
        <v>1085</v>
      </c>
      <c r="B564" s="19" t="s">
        <v>3243</v>
      </c>
      <c r="C564" s="19" t="s">
        <v>1937</v>
      </c>
      <c r="D564" s="19" t="s">
        <v>2246</v>
      </c>
      <c r="E564" s="19" t="s">
        <v>2247</v>
      </c>
      <c r="F564" s="19">
        <v>7.03</v>
      </c>
      <c r="G564" s="19" t="s">
        <v>2154</v>
      </c>
      <c r="H564" s="19" t="s">
        <v>2187</v>
      </c>
    </row>
    <row r="565" spans="1:8">
      <c r="A565" s="18" t="s">
        <v>1085</v>
      </c>
      <c r="B565" s="18" t="s">
        <v>3244</v>
      </c>
      <c r="C565" s="18" t="s">
        <v>2168</v>
      </c>
      <c r="D565" s="18" t="s">
        <v>2227</v>
      </c>
      <c r="E565" s="18" t="s">
        <v>3245</v>
      </c>
      <c r="F565" s="18">
        <v>8.39</v>
      </c>
      <c r="G565" s="18" t="s">
        <v>2154</v>
      </c>
      <c r="H565" s="18" t="s">
        <v>2160</v>
      </c>
    </row>
    <row r="566" spans="1:8">
      <c r="A566" s="19" t="s">
        <v>1085</v>
      </c>
      <c r="B566" s="19" t="s">
        <v>3246</v>
      </c>
      <c r="C566" s="19" t="s">
        <v>2173</v>
      </c>
      <c r="D566" s="19" t="s">
        <v>2290</v>
      </c>
      <c r="E566" s="19" t="s">
        <v>2714</v>
      </c>
      <c r="F566" s="19">
        <v>7.57</v>
      </c>
      <c r="G566" s="19" t="s">
        <v>2154</v>
      </c>
      <c r="H566" s="19" t="s">
        <v>2187</v>
      </c>
    </row>
    <row r="567" spans="1:8">
      <c r="A567" s="18" t="s">
        <v>1085</v>
      </c>
      <c r="B567" s="18" t="s">
        <v>3247</v>
      </c>
      <c r="C567" s="18" t="s">
        <v>2177</v>
      </c>
      <c r="D567" s="18" t="s">
        <v>2716</v>
      </c>
      <c r="E567" s="18" t="s">
        <v>3248</v>
      </c>
      <c r="F567" s="18">
        <v>7.73</v>
      </c>
      <c r="G567" s="18" t="s">
        <v>2154</v>
      </c>
      <c r="H567" s="18" t="s">
        <v>2160</v>
      </c>
    </row>
    <row r="568" spans="1:8">
      <c r="A568" s="19" t="s">
        <v>1085</v>
      </c>
      <c r="B568" s="19" t="s">
        <v>3249</v>
      </c>
      <c r="C568" s="19" t="s">
        <v>1945</v>
      </c>
      <c r="D568" s="19" t="s">
        <v>2387</v>
      </c>
      <c r="E568" s="19" t="s">
        <v>2388</v>
      </c>
      <c r="F568" s="19">
        <v>7.78</v>
      </c>
      <c r="G568" s="19" t="s">
        <v>2154</v>
      </c>
      <c r="H568" s="19" t="s">
        <v>2155</v>
      </c>
    </row>
    <row r="569" spans="1:8">
      <c r="A569" s="18" t="s">
        <v>1085</v>
      </c>
      <c r="B569" s="18" t="s">
        <v>3250</v>
      </c>
      <c r="C569" s="18" t="s">
        <v>2184</v>
      </c>
      <c r="D569" s="18" t="s">
        <v>3251</v>
      </c>
      <c r="E569" s="18" t="s">
        <v>3235</v>
      </c>
      <c r="F569" s="18">
        <v>8.1300000000000008</v>
      </c>
      <c r="G569" s="18" t="s">
        <v>2154</v>
      </c>
      <c r="H569" s="18" t="s">
        <v>2187</v>
      </c>
    </row>
    <row r="570" spans="1:8">
      <c r="A570" s="19" t="s">
        <v>1085</v>
      </c>
      <c r="B570" s="19" t="s">
        <v>3252</v>
      </c>
      <c r="C570" s="19" t="s">
        <v>2189</v>
      </c>
      <c r="D570" s="19" t="s">
        <v>3253</v>
      </c>
      <c r="E570" s="19" t="s">
        <v>3254</v>
      </c>
      <c r="F570" s="19">
        <v>7.93</v>
      </c>
      <c r="G570" s="19" t="s">
        <v>2154</v>
      </c>
      <c r="H570" s="19" t="s">
        <v>2160</v>
      </c>
    </row>
    <row r="571" spans="1:8">
      <c r="A571" s="18" t="s">
        <v>1085</v>
      </c>
      <c r="B571" s="18" t="s">
        <v>3255</v>
      </c>
      <c r="C571" s="18" t="s">
        <v>2193</v>
      </c>
      <c r="D571" s="18" t="s">
        <v>2473</v>
      </c>
      <c r="E571" s="18" t="s">
        <v>2474</v>
      </c>
      <c r="F571" s="18">
        <v>7.89</v>
      </c>
      <c r="G571" s="18" t="s">
        <v>2154</v>
      </c>
      <c r="H571" s="18" t="s">
        <v>2155</v>
      </c>
    </row>
    <row r="572" spans="1:8">
      <c r="A572" s="19" t="s">
        <v>1085</v>
      </c>
      <c r="B572" s="19" t="s">
        <v>3256</v>
      </c>
      <c r="C572" s="19" t="s">
        <v>2197</v>
      </c>
      <c r="D572" s="19" t="s">
        <v>2796</v>
      </c>
      <c r="E572" s="19" t="s">
        <v>3257</v>
      </c>
      <c r="F572" s="19">
        <v>9.7899999999999991</v>
      </c>
      <c r="G572" s="19" t="s">
        <v>2154</v>
      </c>
      <c r="H572" s="19" t="s">
        <v>2171</v>
      </c>
    </row>
    <row r="573" spans="1:8">
      <c r="A573" s="18" t="s">
        <v>1085</v>
      </c>
      <c r="B573" s="18" t="s">
        <v>3258</v>
      </c>
      <c r="C573" s="18" t="s">
        <v>1819</v>
      </c>
      <c r="D573" s="18" t="s">
        <v>3051</v>
      </c>
      <c r="E573" s="18" t="s">
        <v>3259</v>
      </c>
      <c r="F573" s="18">
        <v>11.46</v>
      </c>
      <c r="G573" s="18" t="s">
        <v>2154</v>
      </c>
      <c r="H573" s="18" t="s">
        <v>2171</v>
      </c>
    </row>
    <row r="574" spans="1:8">
      <c r="A574" s="19" t="s">
        <v>1085</v>
      </c>
      <c r="B574" s="19" t="s">
        <v>3260</v>
      </c>
      <c r="C574" s="19" t="s">
        <v>2204</v>
      </c>
      <c r="D574" s="19" t="s">
        <v>3261</v>
      </c>
      <c r="E574" s="19" t="s">
        <v>3262</v>
      </c>
      <c r="F574" s="19">
        <v>7.79</v>
      </c>
      <c r="G574" s="19" t="s">
        <v>2154</v>
      </c>
      <c r="H574" s="19" t="s">
        <v>2171</v>
      </c>
    </row>
    <row r="575" spans="1:8">
      <c r="A575" s="18" t="s">
        <v>1085</v>
      </c>
      <c r="B575" s="18" t="s">
        <v>3263</v>
      </c>
      <c r="C575" s="18" t="s">
        <v>1843</v>
      </c>
      <c r="D575" s="18" t="s">
        <v>2581</v>
      </c>
      <c r="E575" s="18" t="s">
        <v>2817</v>
      </c>
      <c r="F575" s="18">
        <v>7.92</v>
      </c>
      <c r="G575" s="18" t="s">
        <v>2154</v>
      </c>
      <c r="H575" s="18" t="s">
        <v>2160</v>
      </c>
    </row>
    <row r="576" spans="1:8">
      <c r="A576" s="19" t="s">
        <v>1085</v>
      </c>
      <c r="B576" s="19" t="s">
        <v>3264</v>
      </c>
      <c r="C576" s="19" t="s">
        <v>2211</v>
      </c>
      <c r="D576" s="19" t="s">
        <v>2640</v>
      </c>
      <c r="E576" s="19" t="s">
        <v>2724</v>
      </c>
      <c r="F576" s="19">
        <v>8.0500000000000007</v>
      </c>
      <c r="G576" s="19" t="s">
        <v>2154</v>
      </c>
      <c r="H576" s="19" t="s">
        <v>2171</v>
      </c>
    </row>
    <row r="577" spans="1:8">
      <c r="A577" s="18" t="s">
        <v>1085</v>
      </c>
      <c r="B577" s="18" t="s">
        <v>3265</v>
      </c>
      <c r="C577" s="18" t="s">
        <v>2215</v>
      </c>
      <c r="D577" s="18" t="s">
        <v>2331</v>
      </c>
      <c r="E577" s="18" t="s">
        <v>3266</v>
      </c>
      <c r="F577" s="18">
        <v>7.17</v>
      </c>
      <c r="G577" s="18" t="s">
        <v>2154</v>
      </c>
      <c r="H577" s="18" t="s">
        <v>2155</v>
      </c>
    </row>
    <row r="578" spans="1:8">
      <c r="A578" s="19" t="s">
        <v>1085</v>
      </c>
      <c r="B578" s="19" t="s">
        <v>3267</v>
      </c>
      <c r="C578" s="19" t="s">
        <v>2219</v>
      </c>
      <c r="D578" s="19"/>
      <c r="E578" s="19"/>
      <c r="F578" s="19"/>
      <c r="G578" s="19" t="s">
        <v>2343</v>
      </c>
      <c r="H578" s="19" t="s">
        <v>2187</v>
      </c>
    </row>
    <row r="579" spans="1:8">
      <c r="A579" s="18" t="s">
        <v>1085</v>
      </c>
      <c r="B579" s="18" t="s">
        <v>3268</v>
      </c>
      <c r="C579" s="18" t="s">
        <v>2222</v>
      </c>
      <c r="D579" s="18" t="s">
        <v>2597</v>
      </c>
      <c r="E579" s="18" t="s">
        <v>2899</v>
      </c>
      <c r="F579" s="18">
        <v>8.8800000000000008</v>
      </c>
      <c r="G579" s="18" t="s">
        <v>2154</v>
      </c>
      <c r="H579" s="18" t="s">
        <v>2160</v>
      </c>
    </row>
    <row r="580" spans="1:8">
      <c r="A580" s="19" t="s">
        <v>1085</v>
      </c>
      <c r="B580" s="19" t="s">
        <v>3269</v>
      </c>
      <c r="C580" s="19" t="s">
        <v>2226</v>
      </c>
      <c r="D580" s="19" t="s">
        <v>2416</v>
      </c>
      <c r="E580" s="19" t="s">
        <v>2417</v>
      </c>
      <c r="F580" s="19">
        <v>10.38</v>
      </c>
      <c r="G580" s="19" t="s">
        <v>2154</v>
      </c>
      <c r="H580" s="19" t="s">
        <v>2155</v>
      </c>
    </row>
    <row r="581" spans="1:8">
      <c r="A581" s="18" t="s">
        <v>1085</v>
      </c>
      <c r="B581" s="18" t="s">
        <v>3270</v>
      </c>
      <c r="C581" s="18" t="s">
        <v>2230</v>
      </c>
      <c r="D581" s="18" t="s">
        <v>2449</v>
      </c>
      <c r="E581" s="18" t="s">
        <v>2450</v>
      </c>
      <c r="F581" s="18">
        <v>8.94</v>
      </c>
      <c r="G581" s="18" t="s">
        <v>2154</v>
      </c>
      <c r="H581" s="18" t="s">
        <v>2155</v>
      </c>
    </row>
    <row r="582" spans="1:8">
      <c r="A582" s="19" t="s">
        <v>1085</v>
      </c>
      <c r="B582" s="19" t="s">
        <v>3271</v>
      </c>
      <c r="C582" s="19" t="s">
        <v>2234</v>
      </c>
      <c r="D582" s="19" t="s">
        <v>2185</v>
      </c>
      <c r="E582" s="19" t="s">
        <v>2843</v>
      </c>
      <c r="F582" s="19">
        <v>8.7100000000000009</v>
      </c>
      <c r="G582" s="19" t="s">
        <v>2154</v>
      </c>
      <c r="H582" s="19" t="s">
        <v>2171</v>
      </c>
    </row>
    <row r="583" spans="1:8">
      <c r="A583" s="18" t="s">
        <v>1085</v>
      </c>
      <c r="B583" s="18" t="s">
        <v>3272</v>
      </c>
      <c r="C583" s="18" t="s">
        <v>2238</v>
      </c>
      <c r="D583" s="18" t="s">
        <v>2227</v>
      </c>
      <c r="E583" s="18" t="s">
        <v>2228</v>
      </c>
      <c r="F583" s="18">
        <v>7.79</v>
      </c>
      <c r="G583" s="18" t="s">
        <v>2154</v>
      </c>
      <c r="H583" s="18" t="s">
        <v>2187</v>
      </c>
    </row>
    <row r="584" spans="1:8">
      <c r="A584" s="19" t="s">
        <v>1085</v>
      </c>
      <c r="B584" s="19" t="s">
        <v>3273</v>
      </c>
      <c r="C584" s="19" t="s">
        <v>2241</v>
      </c>
      <c r="D584" s="19" t="s">
        <v>3066</v>
      </c>
      <c r="E584" s="19" t="s">
        <v>2424</v>
      </c>
      <c r="F584" s="19">
        <v>9.14</v>
      </c>
      <c r="G584" s="19" t="s">
        <v>2154</v>
      </c>
      <c r="H584" s="19" t="s">
        <v>2187</v>
      </c>
    </row>
    <row r="585" spans="1:8">
      <c r="A585" s="18" t="s">
        <v>1085</v>
      </c>
      <c r="B585" s="18" t="s">
        <v>3274</v>
      </c>
      <c r="C585" s="18" t="s">
        <v>2245</v>
      </c>
      <c r="D585" s="18" t="s">
        <v>2632</v>
      </c>
      <c r="E585" s="18" t="s">
        <v>2542</v>
      </c>
      <c r="F585" s="18">
        <v>7.19</v>
      </c>
      <c r="G585" s="18" t="s">
        <v>2154</v>
      </c>
      <c r="H585" s="18" t="s">
        <v>2187</v>
      </c>
    </row>
    <row r="586" spans="1:8">
      <c r="A586" s="19" t="s">
        <v>1085</v>
      </c>
      <c r="B586" s="19" t="s">
        <v>3275</v>
      </c>
      <c r="C586" s="19" t="s">
        <v>2249</v>
      </c>
      <c r="D586" s="19" t="s">
        <v>2955</v>
      </c>
      <c r="E586" s="19" t="s">
        <v>2474</v>
      </c>
      <c r="F586" s="19">
        <v>8.7200000000000006</v>
      </c>
      <c r="G586" s="19" t="s">
        <v>2154</v>
      </c>
      <c r="H586" s="19" t="s">
        <v>2171</v>
      </c>
    </row>
    <row r="587" spans="1:8">
      <c r="A587" s="18" t="s">
        <v>1085</v>
      </c>
      <c r="B587" s="18" t="s">
        <v>3276</v>
      </c>
      <c r="C587" s="18" t="s">
        <v>2252</v>
      </c>
      <c r="D587" s="18" t="s">
        <v>2278</v>
      </c>
      <c r="E587" s="18" t="s">
        <v>2279</v>
      </c>
      <c r="F587" s="18">
        <v>6.75</v>
      </c>
      <c r="G587" s="18" t="s">
        <v>2154</v>
      </c>
      <c r="H587" s="18" t="s">
        <v>2171</v>
      </c>
    </row>
    <row r="588" spans="1:8">
      <c r="A588" s="19" t="s">
        <v>1085</v>
      </c>
      <c r="B588" s="19" t="s">
        <v>3277</v>
      </c>
      <c r="C588" s="19" t="s">
        <v>2376</v>
      </c>
      <c r="D588" s="19" t="s">
        <v>3278</v>
      </c>
      <c r="E588" s="19" t="s">
        <v>3279</v>
      </c>
      <c r="F588" s="19">
        <v>11.09</v>
      </c>
      <c r="G588" s="19" t="s">
        <v>2154</v>
      </c>
      <c r="H588" s="19" t="s">
        <v>2155</v>
      </c>
    </row>
    <row r="589" spans="1:8">
      <c r="A589" s="18" t="s">
        <v>1085</v>
      </c>
      <c r="B589" s="18" t="s">
        <v>3280</v>
      </c>
      <c r="C589" s="18" t="s">
        <v>2260</v>
      </c>
      <c r="D589" s="18" t="s">
        <v>2557</v>
      </c>
      <c r="E589" s="18" t="s">
        <v>2558</v>
      </c>
      <c r="F589" s="18">
        <v>7.3</v>
      </c>
      <c r="G589" s="18" t="s">
        <v>2154</v>
      </c>
      <c r="H589" s="18" t="s">
        <v>2171</v>
      </c>
    </row>
    <row r="590" spans="1:8">
      <c r="A590" s="19" t="s">
        <v>1085</v>
      </c>
      <c r="B590" s="19" t="s">
        <v>3281</v>
      </c>
      <c r="C590" s="19" t="s">
        <v>2264</v>
      </c>
      <c r="D590" s="19" t="s">
        <v>2865</v>
      </c>
      <c r="E590" s="19" t="s">
        <v>2866</v>
      </c>
      <c r="F590" s="19">
        <v>8.8000000000000007</v>
      </c>
      <c r="G590" s="19" t="s">
        <v>2154</v>
      </c>
      <c r="H590" s="19" t="s">
        <v>2160</v>
      </c>
    </row>
    <row r="591" spans="1:8">
      <c r="A591" s="18" t="s">
        <v>1085</v>
      </c>
      <c r="B591" s="18" t="s">
        <v>3282</v>
      </c>
      <c r="C591" s="18" t="s">
        <v>1948</v>
      </c>
      <c r="D591" s="18" t="s">
        <v>2356</v>
      </c>
      <c r="E591" s="18" t="s">
        <v>2570</v>
      </c>
      <c r="F591" s="18">
        <v>7.4</v>
      </c>
      <c r="G591" s="18" t="s">
        <v>2154</v>
      </c>
      <c r="H591" s="18" t="s">
        <v>2155</v>
      </c>
    </row>
    <row r="592" spans="1:8">
      <c r="A592" s="19" t="s">
        <v>1085</v>
      </c>
      <c r="B592" s="19" t="s">
        <v>3283</v>
      </c>
      <c r="C592" s="19" t="s">
        <v>2269</v>
      </c>
      <c r="D592" s="19" t="s">
        <v>3239</v>
      </c>
      <c r="E592" s="19" t="s">
        <v>3284</v>
      </c>
      <c r="F592" s="19">
        <v>7.91</v>
      </c>
      <c r="G592" s="19" t="s">
        <v>2154</v>
      </c>
      <c r="H592" s="19" t="s">
        <v>2160</v>
      </c>
    </row>
    <row r="593" spans="1:8">
      <c r="A593" s="18" t="s">
        <v>1085</v>
      </c>
      <c r="B593" s="18" t="s">
        <v>3285</v>
      </c>
      <c r="C593" s="18" t="s">
        <v>2273</v>
      </c>
      <c r="D593" s="18" t="s">
        <v>2443</v>
      </c>
      <c r="E593" s="18" t="s">
        <v>2808</v>
      </c>
      <c r="F593" s="18">
        <v>8.23</v>
      </c>
      <c r="G593" s="18" t="s">
        <v>2154</v>
      </c>
      <c r="H593" s="18" t="s">
        <v>2171</v>
      </c>
    </row>
    <row r="594" spans="1:8">
      <c r="A594" s="19" t="s">
        <v>1085</v>
      </c>
      <c r="B594" s="19" t="s">
        <v>3286</v>
      </c>
      <c r="C594" s="19" t="s">
        <v>2277</v>
      </c>
      <c r="D594" s="19" t="s">
        <v>2201</v>
      </c>
      <c r="E594" s="19" t="s">
        <v>2202</v>
      </c>
      <c r="F594" s="19">
        <v>9.6</v>
      </c>
      <c r="G594" s="19" t="s">
        <v>2154</v>
      </c>
      <c r="H594" s="19" t="s">
        <v>2187</v>
      </c>
    </row>
    <row r="595" spans="1:8">
      <c r="A595" s="18" t="s">
        <v>1085</v>
      </c>
      <c r="B595" s="18" t="s">
        <v>3287</v>
      </c>
      <c r="C595" s="18" t="s">
        <v>2281</v>
      </c>
      <c r="D595" s="18" t="s">
        <v>2261</v>
      </c>
      <c r="E595" s="18" t="s">
        <v>3288</v>
      </c>
      <c r="F595" s="18">
        <v>9.3000000000000007</v>
      </c>
      <c r="G595" s="18" t="s">
        <v>2154</v>
      </c>
      <c r="H595" s="18" t="s">
        <v>2160</v>
      </c>
    </row>
    <row r="596" spans="1:8">
      <c r="A596" s="19" t="s">
        <v>1085</v>
      </c>
      <c r="B596" s="19" t="s">
        <v>3289</v>
      </c>
      <c r="C596" s="19" t="s">
        <v>2396</v>
      </c>
      <c r="D596" s="19" t="s">
        <v>2319</v>
      </c>
      <c r="E596" s="19" t="s">
        <v>2243</v>
      </c>
      <c r="F596" s="19">
        <v>7.45</v>
      </c>
      <c r="G596" s="19" t="s">
        <v>2154</v>
      </c>
      <c r="H596" s="19" t="s">
        <v>2160</v>
      </c>
    </row>
    <row r="597" spans="1:8">
      <c r="A597" s="18" t="s">
        <v>1085</v>
      </c>
      <c r="B597" s="18" t="s">
        <v>3290</v>
      </c>
      <c r="C597" s="18" t="s">
        <v>2289</v>
      </c>
      <c r="D597" s="18" t="s">
        <v>2373</v>
      </c>
      <c r="E597" s="18" t="s">
        <v>2866</v>
      </c>
      <c r="F597" s="18">
        <v>9.32</v>
      </c>
      <c r="G597" s="18" t="s">
        <v>2154</v>
      </c>
      <c r="H597" s="18" t="s">
        <v>2155</v>
      </c>
    </row>
    <row r="598" spans="1:8">
      <c r="A598" s="19" t="s">
        <v>1085</v>
      </c>
      <c r="B598" s="19" t="s">
        <v>3291</v>
      </c>
      <c r="C598" s="19" t="s">
        <v>2293</v>
      </c>
      <c r="D598" s="19" t="s">
        <v>2403</v>
      </c>
      <c r="E598" s="19" t="s">
        <v>2526</v>
      </c>
      <c r="F598" s="19">
        <v>6.56</v>
      </c>
      <c r="G598" s="19" t="s">
        <v>2154</v>
      </c>
      <c r="H598" s="19" t="s">
        <v>2171</v>
      </c>
    </row>
    <row r="599" spans="1:8">
      <c r="A599" s="18" t="s">
        <v>1085</v>
      </c>
      <c r="B599" s="18" t="s">
        <v>3292</v>
      </c>
      <c r="C599" s="18" t="s">
        <v>2296</v>
      </c>
      <c r="D599" s="18" t="s">
        <v>3106</v>
      </c>
      <c r="E599" s="18" t="s">
        <v>2993</v>
      </c>
      <c r="F599" s="18">
        <v>7.43</v>
      </c>
      <c r="G599" s="18" t="s">
        <v>2154</v>
      </c>
      <c r="H599" s="18" t="s">
        <v>2187</v>
      </c>
    </row>
    <row r="600" spans="1:8">
      <c r="A600" s="19" t="s">
        <v>1085</v>
      </c>
      <c r="B600" s="19" t="s">
        <v>3293</v>
      </c>
      <c r="C600" s="19" t="s">
        <v>2300</v>
      </c>
      <c r="D600" s="19" t="s">
        <v>2190</v>
      </c>
      <c r="E600" s="19" t="s">
        <v>3288</v>
      </c>
      <c r="F600" s="19">
        <v>10.36</v>
      </c>
      <c r="G600" s="19" t="s">
        <v>2154</v>
      </c>
      <c r="H600" s="19" t="s">
        <v>2171</v>
      </c>
    </row>
    <row r="601" spans="1:8">
      <c r="A601" s="18" t="s">
        <v>1085</v>
      </c>
      <c r="B601" s="18" t="s">
        <v>3294</v>
      </c>
      <c r="C601" s="18" t="s">
        <v>2144</v>
      </c>
      <c r="D601" s="18" t="s">
        <v>2485</v>
      </c>
      <c r="E601" s="18" t="s">
        <v>2546</v>
      </c>
      <c r="F601" s="18">
        <v>10.199999999999999</v>
      </c>
      <c r="G601" s="18" t="s">
        <v>2154</v>
      </c>
      <c r="H601" s="18" t="s">
        <v>2155</v>
      </c>
    </row>
    <row r="602" spans="1:8">
      <c r="A602" s="19" t="s">
        <v>1085</v>
      </c>
      <c r="B602" s="19" t="s">
        <v>3295</v>
      </c>
      <c r="C602" s="19" t="s">
        <v>3114</v>
      </c>
      <c r="D602" s="19" t="s">
        <v>2373</v>
      </c>
      <c r="E602" s="19" t="s">
        <v>2952</v>
      </c>
      <c r="F602" s="19">
        <v>7.97</v>
      </c>
      <c r="G602" s="19" t="s">
        <v>2154</v>
      </c>
      <c r="H602" s="19" t="s">
        <v>2187</v>
      </c>
    </row>
    <row r="603" spans="1:8">
      <c r="A603" s="18" t="s">
        <v>1085</v>
      </c>
      <c r="B603" s="18" t="s">
        <v>3296</v>
      </c>
      <c r="C603" s="18" t="s">
        <v>2311</v>
      </c>
      <c r="D603" s="18" t="s">
        <v>2485</v>
      </c>
      <c r="E603" s="18" t="s">
        <v>2486</v>
      </c>
      <c r="F603" s="18">
        <v>8.99</v>
      </c>
      <c r="G603" s="18" t="s">
        <v>2154</v>
      </c>
      <c r="H603" s="18" t="s">
        <v>2187</v>
      </c>
    </row>
    <row r="604" spans="1:8">
      <c r="A604" s="19" t="s">
        <v>1457</v>
      </c>
      <c r="B604" s="19" t="s">
        <v>3297</v>
      </c>
      <c r="C604" s="19" t="s">
        <v>2038</v>
      </c>
      <c r="D604" s="19" t="s">
        <v>2696</v>
      </c>
      <c r="E604" s="19" t="s">
        <v>2434</v>
      </c>
      <c r="F604" s="19">
        <v>9.36</v>
      </c>
      <c r="G604" s="19" t="s">
        <v>2154</v>
      </c>
      <c r="H604" s="19" t="s">
        <v>2171</v>
      </c>
    </row>
    <row r="605" spans="1:8">
      <c r="A605" s="18" t="s">
        <v>1457</v>
      </c>
      <c r="B605" s="18" t="s">
        <v>3298</v>
      </c>
      <c r="C605" s="18" t="s">
        <v>2157</v>
      </c>
      <c r="D605" s="18" t="s">
        <v>3299</v>
      </c>
      <c r="E605" s="18" t="s">
        <v>3064</v>
      </c>
      <c r="F605" s="18">
        <v>11.05</v>
      </c>
      <c r="G605" s="18" t="s">
        <v>2154</v>
      </c>
      <c r="H605" s="18" t="s">
        <v>2187</v>
      </c>
    </row>
    <row r="606" spans="1:8">
      <c r="A606" s="19" t="s">
        <v>1457</v>
      </c>
      <c r="B606" s="19" t="s">
        <v>3300</v>
      </c>
      <c r="C606" s="19" t="s">
        <v>2162</v>
      </c>
      <c r="D606" s="19" t="s">
        <v>2640</v>
      </c>
      <c r="E606" s="19" t="s">
        <v>2641</v>
      </c>
      <c r="F606" s="19">
        <v>9.44</v>
      </c>
      <c r="G606" s="19" t="s">
        <v>2154</v>
      </c>
      <c r="H606" s="19" t="s">
        <v>2171</v>
      </c>
    </row>
    <row r="607" spans="1:8">
      <c r="A607" s="18" t="s">
        <v>1457</v>
      </c>
      <c r="B607" s="18" t="s">
        <v>3301</v>
      </c>
      <c r="C607" s="18" t="s">
        <v>1937</v>
      </c>
      <c r="D607" s="18" t="s">
        <v>2212</v>
      </c>
      <c r="E607" s="18" t="s">
        <v>3302</v>
      </c>
      <c r="F607" s="18">
        <v>11.45</v>
      </c>
      <c r="G607" s="18" t="s">
        <v>2154</v>
      </c>
      <c r="H607" s="18" t="s">
        <v>2187</v>
      </c>
    </row>
    <row r="608" spans="1:8">
      <c r="A608" s="19" t="s">
        <v>1457</v>
      </c>
      <c r="B608" s="19" t="s">
        <v>3303</v>
      </c>
      <c r="C608" s="19" t="s">
        <v>2168</v>
      </c>
      <c r="D608" s="19" t="s">
        <v>2452</v>
      </c>
      <c r="E608" s="19" t="s">
        <v>3304</v>
      </c>
      <c r="F608" s="19">
        <v>9.6199999999999992</v>
      </c>
      <c r="G608" s="19" t="s">
        <v>2154</v>
      </c>
      <c r="H608" s="19" t="s">
        <v>2187</v>
      </c>
    </row>
    <row r="609" spans="1:8">
      <c r="A609" s="18" t="s">
        <v>1457</v>
      </c>
      <c r="B609" s="18" t="s">
        <v>3305</v>
      </c>
      <c r="C609" s="18" t="s">
        <v>2173</v>
      </c>
      <c r="D609" s="18" t="s">
        <v>3306</v>
      </c>
      <c r="E609" s="18" t="s">
        <v>2531</v>
      </c>
      <c r="F609" s="18">
        <v>9.64</v>
      </c>
      <c r="G609" s="18" t="s">
        <v>2154</v>
      </c>
      <c r="H609" s="18" t="s">
        <v>2171</v>
      </c>
    </row>
    <row r="610" spans="1:8">
      <c r="A610" s="19" t="s">
        <v>1457</v>
      </c>
      <c r="B610" s="19" t="s">
        <v>3307</v>
      </c>
      <c r="C610" s="19" t="s">
        <v>2177</v>
      </c>
      <c r="D610" s="19" t="s">
        <v>2979</v>
      </c>
      <c r="E610" s="19" t="s">
        <v>3308</v>
      </c>
      <c r="F610" s="19">
        <v>11.17</v>
      </c>
      <c r="G610" s="19" t="s">
        <v>2154</v>
      </c>
      <c r="H610" s="19" t="s">
        <v>2155</v>
      </c>
    </row>
    <row r="611" spans="1:8">
      <c r="A611" s="18" t="s">
        <v>1457</v>
      </c>
      <c r="B611" s="18" t="s">
        <v>3309</v>
      </c>
      <c r="C611" s="18" t="s">
        <v>1945</v>
      </c>
      <c r="D611" s="18" t="s">
        <v>3145</v>
      </c>
      <c r="E611" s="18" t="s">
        <v>2329</v>
      </c>
      <c r="F611" s="18">
        <v>8.5299999999999994</v>
      </c>
      <c r="G611" s="18" t="s">
        <v>2154</v>
      </c>
      <c r="H611" s="18" t="s">
        <v>2171</v>
      </c>
    </row>
    <row r="612" spans="1:8">
      <c r="A612" s="19" t="s">
        <v>1457</v>
      </c>
      <c r="B612" s="19" t="s">
        <v>3310</v>
      </c>
      <c r="C612" s="19" t="s">
        <v>2184</v>
      </c>
      <c r="D612" s="19" t="s">
        <v>2443</v>
      </c>
      <c r="E612" s="19" t="s">
        <v>2726</v>
      </c>
      <c r="F612" s="19">
        <v>7.88</v>
      </c>
      <c r="G612" s="19" t="s">
        <v>2154</v>
      </c>
      <c r="H612" s="19" t="s">
        <v>2171</v>
      </c>
    </row>
    <row r="613" spans="1:8">
      <c r="A613" s="18" t="s">
        <v>1457</v>
      </c>
      <c r="B613" s="18" t="s">
        <v>3311</v>
      </c>
      <c r="C613" s="18" t="s">
        <v>2189</v>
      </c>
      <c r="D613" s="18" t="s">
        <v>2323</v>
      </c>
      <c r="E613" s="18" t="s">
        <v>2526</v>
      </c>
      <c r="F613" s="18">
        <v>7.09</v>
      </c>
      <c r="G613" s="18" t="s">
        <v>2154</v>
      </c>
      <c r="H613" s="18" t="s">
        <v>2187</v>
      </c>
    </row>
    <row r="614" spans="1:8">
      <c r="A614" s="19" t="s">
        <v>1457</v>
      </c>
      <c r="B614" s="19" t="s">
        <v>3312</v>
      </c>
      <c r="C614" s="19" t="s">
        <v>2643</v>
      </c>
      <c r="D614" s="19" t="s">
        <v>3010</v>
      </c>
      <c r="E614" s="19" t="s">
        <v>3011</v>
      </c>
      <c r="F614" s="19">
        <v>8.86</v>
      </c>
      <c r="G614" s="19" t="s">
        <v>2154</v>
      </c>
      <c r="H614" s="19" t="s">
        <v>2171</v>
      </c>
    </row>
    <row r="615" spans="1:8">
      <c r="A615" s="18" t="s">
        <v>1457</v>
      </c>
      <c r="B615" s="18" t="s">
        <v>3313</v>
      </c>
      <c r="C615" s="18" t="s">
        <v>2197</v>
      </c>
      <c r="D615" s="18" t="s">
        <v>2362</v>
      </c>
      <c r="E615" s="18" t="s">
        <v>2363</v>
      </c>
      <c r="F615" s="18">
        <v>10.8</v>
      </c>
      <c r="G615" s="18" t="s">
        <v>2154</v>
      </c>
      <c r="H615" s="18" t="s">
        <v>2160</v>
      </c>
    </row>
    <row r="616" spans="1:8">
      <c r="A616" s="19" t="s">
        <v>1457</v>
      </c>
      <c r="B616" s="19" t="s">
        <v>3314</v>
      </c>
      <c r="C616" s="19" t="s">
        <v>1819</v>
      </c>
      <c r="D616" s="19" t="s">
        <v>2597</v>
      </c>
      <c r="E616" s="19" t="s">
        <v>3315</v>
      </c>
      <c r="F616" s="19">
        <v>11.16</v>
      </c>
      <c r="G616" s="19" t="s">
        <v>2154</v>
      </c>
      <c r="H616" s="19" t="s">
        <v>2155</v>
      </c>
    </row>
    <row r="617" spans="1:8">
      <c r="A617" s="18" t="s">
        <v>1457</v>
      </c>
      <c r="B617" s="18" t="s">
        <v>3316</v>
      </c>
      <c r="C617" s="18" t="s">
        <v>2204</v>
      </c>
      <c r="D617" s="18" t="s">
        <v>2513</v>
      </c>
      <c r="E617" s="18" t="s">
        <v>2267</v>
      </c>
      <c r="F617" s="18">
        <v>10.49</v>
      </c>
      <c r="G617" s="18" t="s">
        <v>2154</v>
      </c>
      <c r="H617" s="18" t="s">
        <v>2171</v>
      </c>
    </row>
    <row r="618" spans="1:8">
      <c r="A618" s="19" t="s">
        <v>1457</v>
      </c>
      <c r="B618" s="19" t="s">
        <v>3317</v>
      </c>
      <c r="C618" s="19" t="s">
        <v>1843</v>
      </c>
      <c r="D618" s="19" t="s">
        <v>2835</v>
      </c>
      <c r="E618" s="19" t="s">
        <v>2636</v>
      </c>
      <c r="F618" s="19">
        <v>8.33</v>
      </c>
      <c r="G618" s="19" t="s">
        <v>2154</v>
      </c>
      <c r="H618" s="19" t="s">
        <v>2171</v>
      </c>
    </row>
    <row r="619" spans="1:8">
      <c r="A619" s="18" t="s">
        <v>1457</v>
      </c>
      <c r="B619" s="18" t="s">
        <v>3318</v>
      </c>
      <c r="C619" s="18" t="s">
        <v>2211</v>
      </c>
      <c r="D619" s="18"/>
      <c r="E619" s="18"/>
      <c r="F619" s="18"/>
      <c r="G619" s="18" t="s">
        <v>2163</v>
      </c>
      <c r="H619" s="18" t="s">
        <v>2171</v>
      </c>
    </row>
    <row r="620" spans="1:8">
      <c r="A620" s="19" t="s">
        <v>1457</v>
      </c>
      <c r="B620" s="19" t="s">
        <v>3319</v>
      </c>
      <c r="C620" s="19" t="s">
        <v>2215</v>
      </c>
      <c r="D620" s="19" t="s">
        <v>3020</v>
      </c>
      <c r="E620" s="19" t="s">
        <v>3181</v>
      </c>
      <c r="F620" s="19">
        <v>8.5399999999999991</v>
      </c>
      <c r="G620" s="19" t="s">
        <v>2154</v>
      </c>
      <c r="H620" s="19" t="s">
        <v>2155</v>
      </c>
    </row>
    <row r="621" spans="1:8">
      <c r="A621" s="18" t="s">
        <v>1457</v>
      </c>
      <c r="B621" s="18" t="s">
        <v>3320</v>
      </c>
      <c r="C621" s="18" t="s">
        <v>2219</v>
      </c>
      <c r="D621" s="18" t="s">
        <v>2261</v>
      </c>
      <c r="E621" s="18" t="s">
        <v>2262</v>
      </c>
      <c r="F621" s="18">
        <v>7.2</v>
      </c>
      <c r="G621" s="18" t="s">
        <v>2154</v>
      </c>
      <c r="H621" s="18" t="s">
        <v>2171</v>
      </c>
    </row>
    <row r="622" spans="1:8">
      <c r="A622" s="19" t="s">
        <v>1457</v>
      </c>
      <c r="B622" s="19" t="s">
        <v>3321</v>
      </c>
      <c r="C622" s="19" t="s">
        <v>2222</v>
      </c>
      <c r="D622" s="19" t="s">
        <v>2888</v>
      </c>
      <c r="E622" s="19" t="s">
        <v>3322</v>
      </c>
      <c r="F622" s="19">
        <v>6.76</v>
      </c>
      <c r="G622" s="19" t="s">
        <v>2154</v>
      </c>
      <c r="H622" s="19" t="s">
        <v>2155</v>
      </c>
    </row>
    <row r="623" spans="1:8">
      <c r="A623" s="18" t="s">
        <v>1457</v>
      </c>
      <c r="B623" s="18" t="s">
        <v>3323</v>
      </c>
      <c r="C623" s="18" t="s">
        <v>2226</v>
      </c>
      <c r="D623" s="18" t="s">
        <v>2365</v>
      </c>
      <c r="E623" s="18" t="s">
        <v>2275</v>
      </c>
      <c r="F623" s="18">
        <v>8.42</v>
      </c>
      <c r="G623" s="18" t="s">
        <v>2154</v>
      </c>
      <c r="H623" s="18" t="s">
        <v>2155</v>
      </c>
    </row>
    <row r="624" spans="1:8">
      <c r="A624" s="19" t="s">
        <v>1457</v>
      </c>
      <c r="B624" s="19" t="s">
        <v>3324</v>
      </c>
      <c r="C624" s="19" t="s">
        <v>2230</v>
      </c>
      <c r="D624" s="19" t="s">
        <v>2589</v>
      </c>
      <c r="E624" s="19" t="s">
        <v>2590</v>
      </c>
      <c r="F624" s="19">
        <v>9.8800000000000008</v>
      </c>
      <c r="G624" s="19" t="s">
        <v>2154</v>
      </c>
      <c r="H624" s="19" t="s">
        <v>2187</v>
      </c>
    </row>
    <row r="625" spans="1:8">
      <c r="A625" s="18" t="s">
        <v>1457</v>
      </c>
      <c r="B625" s="18" t="s">
        <v>3325</v>
      </c>
      <c r="C625" s="18" t="s">
        <v>2234</v>
      </c>
      <c r="D625" s="18" t="s">
        <v>2606</v>
      </c>
      <c r="E625" s="18" t="s">
        <v>3326</v>
      </c>
      <c r="F625" s="18">
        <v>7.91</v>
      </c>
      <c r="G625" s="18" t="s">
        <v>2154</v>
      </c>
      <c r="H625" s="18" t="s">
        <v>2155</v>
      </c>
    </row>
    <row r="626" spans="1:8">
      <c r="A626" s="19" t="s">
        <v>1457</v>
      </c>
      <c r="B626" s="19" t="s">
        <v>3327</v>
      </c>
      <c r="C626" s="19" t="s">
        <v>2238</v>
      </c>
      <c r="D626" s="19" t="s">
        <v>3106</v>
      </c>
      <c r="E626" s="19" t="s">
        <v>3107</v>
      </c>
      <c r="F626" s="19">
        <v>8.3800000000000008</v>
      </c>
      <c r="G626" s="19" t="s">
        <v>2154</v>
      </c>
      <c r="H626" s="19" t="s">
        <v>2171</v>
      </c>
    </row>
    <row r="627" spans="1:8">
      <c r="A627" s="18" t="s">
        <v>1457</v>
      </c>
      <c r="B627" s="18" t="s">
        <v>3328</v>
      </c>
      <c r="C627" s="18" t="s">
        <v>2241</v>
      </c>
      <c r="D627" s="18" t="s">
        <v>2479</v>
      </c>
      <c r="E627" s="18" t="s">
        <v>3008</v>
      </c>
      <c r="F627" s="18">
        <v>11</v>
      </c>
      <c r="G627" s="18" t="s">
        <v>2154</v>
      </c>
      <c r="H627" s="18" t="s">
        <v>2171</v>
      </c>
    </row>
    <row r="628" spans="1:8">
      <c r="A628" s="19" t="s">
        <v>1457</v>
      </c>
      <c r="B628" s="19" t="s">
        <v>3329</v>
      </c>
      <c r="C628" s="19" t="s">
        <v>2245</v>
      </c>
      <c r="D628" s="19" t="s">
        <v>2440</v>
      </c>
      <c r="E628" s="19" t="s">
        <v>3071</v>
      </c>
      <c r="F628" s="19">
        <v>10.24</v>
      </c>
      <c r="G628" s="19" t="s">
        <v>2154</v>
      </c>
      <c r="H628" s="19" t="s">
        <v>2160</v>
      </c>
    </row>
    <row r="629" spans="1:8">
      <c r="A629" s="18" t="s">
        <v>1457</v>
      </c>
      <c r="B629" s="18" t="s">
        <v>3330</v>
      </c>
      <c r="C629" s="18" t="s">
        <v>2249</v>
      </c>
      <c r="D629" s="18" t="s">
        <v>3120</v>
      </c>
      <c r="E629" s="18" t="s">
        <v>3331</v>
      </c>
      <c r="F629" s="18">
        <v>11.39</v>
      </c>
      <c r="G629" s="18" t="s">
        <v>2154</v>
      </c>
      <c r="H629" s="18" t="s">
        <v>2155</v>
      </c>
    </row>
    <row r="630" spans="1:8">
      <c r="A630" s="19" t="s">
        <v>1457</v>
      </c>
      <c r="B630" s="19" t="s">
        <v>3332</v>
      </c>
      <c r="C630" s="19" t="s">
        <v>2252</v>
      </c>
      <c r="D630" s="19" t="s">
        <v>2734</v>
      </c>
      <c r="E630" s="19" t="s">
        <v>2843</v>
      </c>
      <c r="F630" s="19">
        <v>7.34</v>
      </c>
      <c r="G630" s="19" t="s">
        <v>2154</v>
      </c>
      <c r="H630" s="19" t="s">
        <v>2155</v>
      </c>
    </row>
    <row r="631" spans="1:8">
      <c r="A631" s="18" t="s">
        <v>1457</v>
      </c>
      <c r="B631" s="18" t="s">
        <v>3333</v>
      </c>
      <c r="C631" s="18" t="s">
        <v>2376</v>
      </c>
      <c r="D631" s="18" t="s">
        <v>2304</v>
      </c>
      <c r="E631" s="18" t="s">
        <v>2305</v>
      </c>
      <c r="F631" s="18">
        <v>9.44</v>
      </c>
      <c r="G631" s="18" t="s">
        <v>2154</v>
      </c>
      <c r="H631" s="18" t="s">
        <v>2160</v>
      </c>
    </row>
    <row r="632" spans="1:8">
      <c r="A632" s="19" t="s">
        <v>1457</v>
      </c>
      <c r="B632" s="19" t="s">
        <v>3334</v>
      </c>
      <c r="C632" s="19" t="s">
        <v>2260</v>
      </c>
      <c r="D632" s="19" t="s">
        <v>2572</v>
      </c>
      <c r="E632" s="19" t="s">
        <v>2743</v>
      </c>
      <c r="F632" s="19">
        <v>7.97</v>
      </c>
      <c r="G632" s="19" t="s">
        <v>2154</v>
      </c>
      <c r="H632" s="19" t="s">
        <v>2187</v>
      </c>
    </row>
    <row r="633" spans="1:8">
      <c r="A633" s="18" t="s">
        <v>1457</v>
      </c>
      <c r="B633" s="18" t="s">
        <v>3335</v>
      </c>
      <c r="C633" s="18" t="s">
        <v>2264</v>
      </c>
      <c r="D633" s="18" t="s">
        <v>2662</v>
      </c>
      <c r="E633" s="18" t="s">
        <v>2663</v>
      </c>
      <c r="F633" s="18">
        <v>7.8</v>
      </c>
      <c r="G633" s="18" t="s">
        <v>2154</v>
      </c>
      <c r="H633" s="18" t="s">
        <v>2187</v>
      </c>
    </row>
    <row r="634" spans="1:8">
      <c r="A634" s="19" t="s">
        <v>1457</v>
      </c>
      <c r="B634" s="19" t="s">
        <v>3336</v>
      </c>
      <c r="C634" s="19" t="s">
        <v>1948</v>
      </c>
      <c r="D634" s="19" t="s">
        <v>2403</v>
      </c>
      <c r="E634" s="19" t="s">
        <v>3024</v>
      </c>
      <c r="F634" s="19">
        <v>8.3800000000000008</v>
      </c>
      <c r="G634" s="19" t="s">
        <v>2154</v>
      </c>
      <c r="H634" s="19" t="s">
        <v>2187</v>
      </c>
    </row>
    <row r="635" spans="1:8">
      <c r="A635" s="18" t="s">
        <v>1457</v>
      </c>
      <c r="B635" s="18" t="s">
        <v>3337</v>
      </c>
      <c r="C635" s="18" t="s">
        <v>2269</v>
      </c>
      <c r="D635" s="18" t="s">
        <v>2680</v>
      </c>
      <c r="E635" s="18" t="s">
        <v>2931</v>
      </c>
      <c r="F635" s="18">
        <v>9.77</v>
      </c>
      <c r="G635" s="18" t="s">
        <v>2154</v>
      </c>
      <c r="H635" s="18" t="s">
        <v>2155</v>
      </c>
    </row>
    <row r="636" spans="1:8">
      <c r="A636" s="19" t="s">
        <v>1457</v>
      </c>
      <c r="B636" s="19" t="s">
        <v>3338</v>
      </c>
      <c r="C636" s="19" t="s">
        <v>2273</v>
      </c>
      <c r="D636" s="19" t="s">
        <v>2865</v>
      </c>
      <c r="E636" s="19" t="s">
        <v>2374</v>
      </c>
      <c r="F636" s="19">
        <v>10.25</v>
      </c>
      <c r="G636" s="19" t="s">
        <v>2154</v>
      </c>
      <c r="H636" s="19" t="s">
        <v>2155</v>
      </c>
    </row>
    <row r="637" spans="1:8">
      <c r="A637" s="18" t="s">
        <v>1457</v>
      </c>
      <c r="B637" s="18" t="s">
        <v>3339</v>
      </c>
      <c r="C637" s="18" t="s">
        <v>2277</v>
      </c>
      <c r="D637" s="18" t="s">
        <v>3089</v>
      </c>
      <c r="E637" s="18" t="s">
        <v>3340</v>
      </c>
      <c r="F637" s="18">
        <v>6.73</v>
      </c>
      <c r="G637" s="18" t="s">
        <v>2154</v>
      </c>
      <c r="H637" s="18" t="s">
        <v>2160</v>
      </c>
    </row>
    <row r="638" spans="1:8">
      <c r="A638" s="19" t="s">
        <v>1457</v>
      </c>
      <c r="B638" s="19" t="s">
        <v>3341</v>
      </c>
      <c r="C638" s="19" t="s">
        <v>2281</v>
      </c>
      <c r="D638" s="19" t="s">
        <v>2597</v>
      </c>
      <c r="E638" s="19" t="s">
        <v>2576</v>
      </c>
      <c r="F638" s="19">
        <v>9.33</v>
      </c>
      <c r="G638" s="19" t="s">
        <v>2154</v>
      </c>
      <c r="H638" s="19" t="s">
        <v>2160</v>
      </c>
    </row>
    <row r="639" spans="1:8">
      <c r="A639" s="18" t="s">
        <v>1457</v>
      </c>
      <c r="B639" s="18" t="s">
        <v>3342</v>
      </c>
      <c r="C639" s="18" t="s">
        <v>2396</v>
      </c>
      <c r="D639" s="18" t="s">
        <v>2387</v>
      </c>
      <c r="E639" s="18" t="s">
        <v>2710</v>
      </c>
      <c r="F639" s="18">
        <v>9.6999999999999993</v>
      </c>
      <c r="G639" s="18" t="s">
        <v>2154</v>
      </c>
      <c r="H639" s="18" t="s">
        <v>2160</v>
      </c>
    </row>
    <row r="640" spans="1:8">
      <c r="A640" s="19" t="s">
        <v>1457</v>
      </c>
      <c r="B640" s="19" t="s">
        <v>3343</v>
      </c>
      <c r="C640" s="19" t="s">
        <v>2289</v>
      </c>
      <c r="D640" s="19"/>
      <c r="E640" s="19"/>
      <c r="F640" s="19"/>
      <c r="G640" s="19" t="s">
        <v>2220</v>
      </c>
      <c r="H640" s="19" t="s">
        <v>2171</v>
      </c>
    </row>
    <row r="641" spans="1:8">
      <c r="A641" s="18" t="s">
        <v>1457</v>
      </c>
      <c r="B641" s="18" t="s">
        <v>3344</v>
      </c>
      <c r="C641" s="18" t="s">
        <v>2293</v>
      </c>
      <c r="D641" s="18" t="s">
        <v>2278</v>
      </c>
      <c r="E641" s="18" t="s">
        <v>2283</v>
      </c>
      <c r="F641" s="18">
        <v>8.83</v>
      </c>
      <c r="G641" s="18" t="s">
        <v>2154</v>
      </c>
      <c r="H641" s="18" t="s">
        <v>2171</v>
      </c>
    </row>
    <row r="642" spans="1:8">
      <c r="A642" s="19" t="s">
        <v>1457</v>
      </c>
      <c r="B642" s="19" t="s">
        <v>3345</v>
      </c>
      <c r="C642" s="19" t="s">
        <v>2296</v>
      </c>
      <c r="D642" s="19" t="s">
        <v>2227</v>
      </c>
      <c r="E642" s="19" t="s">
        <v>2294</v>
      </c>
      <c r="F642" s="19">
        <v>9.16</v>
      </c>
      <c r="G642" s="19" t="s">
        <v>2154</v>
      </c>
      <c r="H642" s="19" t="s">
        <v>2187</v>
      </c>
    </row>
    <row r="643" spans="1:8">
      <c r="A643" s="18" t="s">
        <v>1457</v>
      </c>
      <c r="B643" s="18" t="s">
        <v>3346</v>
      </c>
      <c r="C643" s="18" t="s">
        <v>2300</v>
      </c>
      <c r="D643" s="18" t="s">
        <v>2194</v>
      </c>
      <c r="E643" s="18" t="s">
        <v>2447</v>
      </c>
      <c r="F643" s="18">
        <v>8.26</v>
      </c>
      <c r="G643" s="18" t="s">
        <v>2154</v>
      </c>
      <c r="H643" s="18" t="s">
        <v>2187</v>
      </c>
    </row>
    <row r="644" spans="1:8">
      <c r="A644" s="19" t="s">
        <v>1457</v>
      </c>
      <c r="B644" s="19" t="s">
        <v>3347</v>
      </c>
      <c r="C644" s="19" t="s">
        <v>2144</v>
      </c>
      <c r="D644" s="19" t="s">
        <v>2408</v>
      </c>
      <c r="E644" s="19" t="s">
        <v>2738</v>
      </c>
      <c r="F644" s="19">
        <v>8.74</v>
      </c>
      <c r="G644" s="19" t="s">
        <v>2154</v>
      </c>
      <c r="H644" s="19" t="s">
        <v>2155</v>
      </c>
    </row>
    <row r="645" spans="1:8">
      <c r="A645" s="18" t="s">
        <v>1457</v>
      </c>
      <c r="B645" s="18" t="s">
        <v>3348</v>
      </c>
      <c r="C645" s="18" t="s">
        <v>2307</v>
      </c>
      <c r="D645" s="18" t="s">
        <v>2158</v>
      </c>
      <c r="E645" s="18" t="s">
        <v>2477</v>
      </c>
      <c r="F645" s="18">
        <v>8.25</v>
      </c>
      <c r="G645" s="18" t="s">
        <v>2154</v>
      </c>
      <c r="H645" s="18" t="s">
        <v>2160</v>
      </c>
    </row>
    <row r="646" spans="1:8">
      <c r="A646" s="19" t="s">
        <v>1457</v>
      </c>
      <c r="B646" s="19" t="s">
        <v>3349</v>
      </c>
      <c r="C646" s="19" t="s">
        <v>2311</v>
      </c>
      <c r="D646" s="19" t="s">
        <v>2700</v>
      </c>
      <c r="E646" s="19" t="s">
        <v>2334</v>
      </c>
      <c r="F646" s="19">
        <v>6.79</v>
      </c>
      <c r="G646" s="19" t="s">
        <v>2154</v>
      </c>
      <c r="H646" s="19" t="s">
        <v>2160</v>
      </c>
    </row>
    <row r="647" spans="1:8">
      <c r="A647" s="18" t="s">
        <v>1438</v>
      </c>
      <c r="B647" s="18" t="s">
        <v>3350</v>
      </c>
      <c r="C647" s="18" t="s">
        <v>2038</v>
      </c>
      <c r="D647" s="18" t="s">
        <v>2460</v>
      </c>
      <c r="E647" s="18" t="s">
        <v>3351</v>
      </c>
      <c r="F647" s="18">
        <v>8.1300000000000008</v>
      </c>
      <c r="G647" s="18" t="s">
        <v>2154</v>
      </c>
      <c r="H647" s="18" t="s">
        <v>2160</v>
      </c>
    </row>
    <row r="648" spans="1:8">
      <c r="A648" s="19" t="s">
        <v>1438</v>
      </c>
      <c r="B648" s="19" t="s">
        <v>3352</v>
      </c>
      <c r="C648" s="19" t="s">
        <v>2157</v>
      </c>
      <c r="D648" s="19" t="s">
        <v>2561</v>
      </c>
      <c r="E648" s="19" t="s">
        <v>2882</v>
      </c>
      <c r="F648" s="19">
        <v>8.14</v>
      </c>
      <c r="G648" s="19" t="s">
        <v>2154</v>
      </c>
      <c r="H648" s="19" t="s">
        <v>2155</v>
      </c>
    </row>
    <row r="649" spans="1:8">
      <c r="A649" s="18" t="s">
        <v>1438</v>
      </c>
      <c r="B649" s="18" t="s">
        <v>3353</v>
      </c>
      <c r="C649" s="18" t="s">
        <v>2162</v>
      </c>
      <c r="D649" s="18" t="s">
        <v>2205</v>
      </c>
      <c r="E649" s="18" t="s">
        <v>2505</v>
      </c>
      <c r="F649" s="18">
        <v>10.51</v>
      </c>
      <c r="G649" s="18" t="s">
        <v>2154</v>
      </c>
      <c r="H649" s="18" t="s">
        <v>2187</v>
      </c>
    </row>
    <row r="650" spans="1:8">
      <c r="A650" s="19" t="s">
        <v>1438</v>
      </c>
      <c r="B650" s="19" t="s">
        <v>3354</v>
      </c>
      <c r="C650" s="19" t="s">
        <v>1937</v>
      </c>
      <c r="D650" s="19" t="s">
        <v>2885</v>
      </c>
      <c r="E650" s="19" t="s">
        <v>3355</v>
      </c>
      <c r="F650" s="19">
        <v>7.03</v>
      </c>
      <c r="G650" s="19" t="s">
        <v>2154</v>
      </c>
      <c r="H650" s="19" t="s">
        <v>2171</v>
      </c>
    </row>
    <row r="651" spans="1:8">
      <c r="A651" s="18" t="s">
        <v>1438</v>
      </c>
      <c r="B651" s="18" t="s">
        <v>3356</v>
      </c>
      <c r="C651" s="18" t="s">
        <v>2168</v>
      </c>
      <c r="D651" s="18" t="s">
        <v>2323</v>
      </c>
      <c r="E651" s="18" t="s">
        <v>3331</v>
      </c>
      <c r="F651" s="18">
        <v>10.39</v>
      </c>
      <c r="G651" s="18" t="s">
        <v>2154</v>
      </c>
      <c r="H651" s="18" t="s">
        <v>2160</v>
      </c>
    </row>
    <row r="652" spans="1:8">
      <c r="A652" s="19" t="s">
        <v>1438</v>
      </c>
      <c r="B652" s="19" t="s">
        <v>3357</v>
      </c>
      <c r="C652" s="19" t="s">
        <v>2173</v>
      </c>
      <c r="D652" s="19" t="s">
        <v>2270</v>
      </c>
      <c r="E652" s="19" t="s">
        <v>2271</v>
      </c>
      <c r="F652" s="19">
        <v>9.51</v>
      </c>
      <c r="G652" s="19" t="s">
        <v>2154</v>
      </c>
      <c r="H652" s="19" t="s">
        <v>2187</v>
      </c>
    </row>
    <row r="653" spans="1:8">
      <c r="A653" s="18" t="s">
        <v>1438</v>
      </c>
      <c r="B653" s="18" t="s">
        <v>3358</v>
      </c>
      <c r="C653" s="18" t="s">
        <v>2177</v>
      </c>
      <c r="D653" s="18" t="s">
        <v>2201</v>
      </c>
      <c r="E653" s="18" t="s">
        <v>2895</v>
      </c>
      <c r="F653" s="18">
        <v>8.91</v>
      </c>
      <c r="G653" s="18" t="s">
        <v>2154</v>
      </c>
      <c r="H653" s="18" t="s">
        <v>2187</v>
      </c>
    </row>
    <row r="654" spans="1:8">
      <c r="A654" s="19" t="s">
        <v>1438</v>
      </c>
      <c r="B654" s="19" t="s">
        <v>3359</v>
      </c>
      <c r="C654" s="19" t="s">
        <v>1945</v>
      </c>
      <c r="D654" s="19" t="s">
        <v>2282</v>
      </c>
      <c r="E654" s="19" t="s">
        <v>2279</v>
      </c>
      <c r="F654" s="19">
        <v>7.03</v>
      </c>
      <c r="G654" s="19" t="s">
        <v>2154</v>
      </c>
      <c r="H654" s="19" t="s">
        <v>2171</v>
      </c>
    </row>
    <row r="655" spans="1:8">
      <c r="A655" s="18" t="s">
        <v>1438</v>
      </c>
      <c r="B655" s="18" t="s">
        <v>3360</v>
      </c>
      <c r="C655" s="18" t="s">
        <v>2184</v>
      </c>
      <c r="D655" s="18" t="s">
        <v>2966</v>
      </c>
      <c r="E655" s="18" t="s">
        <v>3259</v>
      </c>
      <c r="F655" s="18">
        <v>10.46</v>
      </c>
      <c r="G655" s="18" t="s">
        <v>2154</v>
      </c>
      <c r="H655" s="18" t="s">
        <v>2155</v>
      </c>
    </row>
    <row r="656" spans="1:8">
      <c r="A656" s="19" t="s">
        <v>1438</v>
      </c>
      <c r="B656" s="19" t="s">
        <v>3361</v>
      </c>
      <c r="C656" s="19" t="s">
        <v>2189</v>
      </c>
      <c r="D656" s="19" t="s">
        <v>2201</v>
      </c>
      <c r="E656" s="19" t="s">
        <v>2724</v>
      </c>
      <c r="F656" s="19">
        <v>10.74</v>
      </c>
      <c r="G656" s="19" t="s">
        <v>2154</v>
      </c>
      <c r="H656" s="19" t="s">
        <v>2160</v>
      </c>
    </row>
    <row r="657" spans="1:8">
      <c r="A657" s="18" t="s">
        <v>1438</v>
      </c>
      <c r="B657" s="18" t="s">
        <v>3362</v>
      </c>
      <c r="C657" s="18" t="s">
        <v>2193</v>
      </c>
      <c r="D657" s="18" t="s">
        <v>2278</v>
      </c>
      <c r="E657" s="18" t="s">
        <v>2279</v>
      </c>
      <c r="F657" s="18">
        <v>6.71</v>
      </c>
      <c r="G657" s="18" t="s">
        <v>2154</v>
      </c>
      <c r="H657" s="18" t="s">
        <v>2187</v>
      </c>
    </row>
    <row r="658" spans="1:8">
      <c r="A658" s="19" t="s">
        <v>1438</v>
      </c>
      <c r="B658" s="19" t="s">
        <v>3363</v>
      </c>
      <c r="C658" s="19" t="s">
        <v>2197</v>
      </c>
      <c r="D658" s="19" t="s">
        <v>2992</v>
      </c>
      <c r="E658" s="19" t="s">
        <v>3364</v>
      </c>
      <c r="F658" s="19">
        <v>6.83</v>
      </c>
      <c r="G658" s="19" t="s">
        <v>2154</v>
      </c>
      <c r="H658" s="19" t="s">
        <v>2160</v>
      </c>
    </row>
    <row r="659" spans="1:8">
      <c r="A659" s="18" t="s">
        <v>1438</v>
      </c>
      <c r="B659" s="18" t="s">
        <v>3365</v>
      </c>
      <c r="C659" s="18" t="s">
        <v>1819</v>
      </c>
      <c r="D659" s="18" t="s">
        <v>3051</v>
      </c>
      <c r="E659" s="18" t="s">
        <v>3366</v>
      </c>
      <c r="F659" s="18">
        <v>9.61</v>
      </c>
      <c r="G659" s="18" t="s">
        <v>2154</v>
      </c>
      <c r="H659" s="18" t="s">
        <v>2155</v>
      </c>
    </row>
    <row r="660" spans="1:8">
      <c r="A660" s="19" t="s">
        <v>1438</v>
      </c>
      <c r="B660" s="19" t="s">
        <v>3367</v>
      </c>
      <c r="C660" s="19" t="s">
        <v>2204</v>
      </c>
      <c r="D660" s="19" t="s">
        <v>2680</v>
      </c>
      <c r="E660" s="19" t="s">
        <v>3245</v>
      </c>
      <c r="F660" s="19">
        <v>7.94</v>
      </c>
      <c r="G660" s="19" t="s">
        <v>2154</v>
      </c>
      <c r="H660" s="19" t="s">
        <v>2171</v>
      </c>
    </row>
    <row r="661" spans="1:8">
      <c r="A661" s="18" t="s">
        <v>1438</v>
      </c>
      <c r="B661" s="18" t="s">
        <v>3368</v>
      </c>
      <c r="C661" s="18" t="s">
        <v>1843</v>
      </c>
      <c r="D661" s="18" t="s">
        <v>2581</v>
      </c>
      <c r="E661" s="18" t="s">
        <v>3369</v>
      </c>
      <c r="F661" s="18">
        <v>6.57</v>
      </c>
      <c r="G661" s="18" t="s">
        <v>2154</v>
      </c>
      <c r="H661" s="18" t="s">
        <v>2187</v>
      </c>
    </row>
    <row r="662" spans="1:8">
      <c r="A662" s="19" t="s">
        <v>1438</v>
      </c>
      <c r="B662" s="19" t="s">
        <v>3370</v>
      </c>
      <c r="C662" s="19" t="s">
        <v>2211</v>
      </c>
      <c r="D662" s="19" t="s">
        <v>2488</v>
      </c>
      <c r="E662" s="19" t="s">
        <v>3118</v>
      </c>
      <c r="F662" s="19">
        <v>9.1199999999999992</v>
      </c>
      <c r="G662" s="19" t="s">
        <v>2154</v>
      </c>
      <c r="H662" s="19" t="s">
        <v>2160</v>
      </c>
    </row>
    <row r="663" spans="1:8">
      <c r="A663" s="18" t="s">
        <v>1438</v>
      </c>
      <c r="B663" s="18" t="s">
        <v>3371</v>
      </c>
      <c r="C663" s="18" t="s">
        <v>2215</v>
      </c>
      <c r="D663" s="18" t="s">
        <v>2814</v>
      </c>
      <c r="E663" s="18" t="s">
        <v>3372</v>
      </c>
      <c r="F663" s="18">
        <v>7.45</v>
      </c>
      <c r="G663" s="18" t="s">
        <v>2154</v>
      </c>
      <c r="H663" s="18" t="s">
        <v>2171</v>
      </c>
    </row>
    <row r="664" spans="1:8">
      <c r="A664" s="19" t="s">
        <v>1438</v>
      </c>
      <c r="B664" s="19" t="s">
        <v>3373</v>
      </c>
      <c r="C664" s="19" t="s">
        <v>2219</v>
      </c>
      <c r="D664" s="19"/>
      <c r="E664" s="19"/>
      <c r="F664" s="19"/>
      <c r="G664" s="19" t="s">
        <v>2220</v>
      </c>
      <c r="H664" s="19" t="s">
        <v>2171</v>
      </c>
    </row>
    <row r="665" spans="1:8">
      <c r="A665" s="18" t="s">
        <v>1438</v>
      </c>
      <c r="B665" s="18" t="s">
        <v>3374</v>
      </c>
      <c r="C665" s="18" t="s">
        <v>2222</v>
      </c>
      <c r="D665" s="18" t="s">
        <v>2227</v>
      </c>
      <c r="E665" s="18" t="s">
        <v>3254</v>
      </c>
      <c r="F665" s="18">
        <v>6.79</v>
      </c>
      <c r="G665" s="18" t="s">
        <v>2154</v>
      </c>
      <c r="H665" s="18" t="s">
        <v>2155</v>
      </c>
    </row>
    <row r="666" spans="1:8">
      <c r="A666" s="19" t="s">
        <v>1438</v>
      </c>
      <c r="B666" s="19" t="s">
        <v>3375</v>
      </c>
      <c r="C666" s="19" t="s">
        <v>2226</v>
      </c>
      <c r="D666" s="19" t="s">
        <v>2449</v>
      </c>
      <c r="E666" s="19" t="s">
        <v>2873</v>
      </c>
      <c r="F666" s="19">
        <v>11.36</v>
      </c>
      <c r="G666" s="19" t="s">
        <v>2154</v>
      </c>
      <c r="H666" s="19" t="s">
        <v>2171</v>
      </c>
    </row>
    <row r="667" spans="1:8">
      <c r="A667" s="18" t="s">
        <v>1438</v>
      </c>
      <c r="B667" s="18" t="s">
        <v>3376</v>
      </c>
      <c r="C667" s="18" t="s">
        <v>2230</v>
      </c>
      <c r="D667" s="18" t="s">
        <v>2966</v>
      </c>
      <c r="E667" s="18" t="s">
        <v>3366</v>
      </c>
      <c r="F667" s="18">
        <v>8.23</v>
      </c>
      <c r="G667" s="18" t="s">
        <v>2154</v>
      </c>
      <c r="H667" s="18" t="s">
        <v>2187</v>
      </c>
    </row>
    <row r="668" spans="1:8">
      <c r="A668" s="19" t="s">
        <v>1438</v>
      </c>
      <c r="B668" s="19" t="s">
        <v>3377</v>
      </c>
      <c r="C668" s="19" t="s">
        <v>2234</v>
      </c>
      <c r="D668" s="19"/>
      <c r="E668" s="19"/>
      <c r="F668" s="19"/>
      <c r="G668" s="19" t="s">
        <v>2163</v>
      </c>
      <c r="H668" s="19" t="s">
        <v>2171</v>
      </c>
    </row>
    <row r="669" spans="1:8">
      <c r="A669" s="18" t="s">
        <v>1438</v>
      </c>
      <c r="B669" s="18" t="s">
        <v>3378</v>
      </c>
      <c r="C669" s="18" t="s">
        <v>2238</v>
      </c>
      <c r="D669" s="18" t="s">
        <v>2584</v>
      </c>
      <c r="E669" s="18" t="s">
        <v>3379</v>
      </c>
      <c r="F669" s="18">
        <v>10.57</v>
      </c>
      <c r="G669" s="18" t="s">
        <v>2154</v>
      </c>
      <c r="H669" s="18" t="s">
        <v>2155</v>
      </c>
    </row>
    <row r="670" spans="1:8">
      <c r="A670" s="19" t="s">
        <v>1438</v>
      </c>
      <c r="B670" s="19" t="s">
        <v>3380</v>
      </c>
      <c r="C670" s="19" t="s">
        <v>2241</v>
      </c>
      <c r="D670" s="19" t="s">
        <v>2416</v>
      </c>
      <c r="E670" s="19" t="s">
        <v>3381</v>
      </c>
      <c r="F670" s="19">
        <v>6.78</v>
      </c>
      <c r="G670" s="19" t="s">
        <v>2154</v>
      </c>
      <c r="H670" s="19" t="s">
        <v>2187</v>
      </c>
    </row>
    <row r="671" spans="1:8">
      <c r="A671" s="18" t="s">
        <v>1438</v>
      </c>
      <c r="B671" s="18" t="s">
        <v>3382</v>
      </c>
      <c r="C671" s="18" t="s">
        <v>2245</v>
      </c>
      <c r="D671" s="18" t="s">
        <v>3106</v>
      </c>
      <c r="E671" s="18" t="s">
        <v>3107</v>
      </c>
      <c r="F671" s="18">
        <v>8.49</v>
      </c>
      <c r="G671" s="18" t="s">
        <v>2154</v>
      </c>
      <c r="H671" s="18" t="s">
        <v>2171</v>
      </c>
    </row>
    <row r="672" spans="1:8">
      <c r="A672" s="19" t="s">
        <v>1438</v>
      </c>
      <c r="B672" s="19" t="s">
        <v>3383</v>
      </c>
      <c r="C672" s="19" t="s">
        <v>2249</v>
      </c>
      <c r="D672" s="19"/>
      <c r="E672" s="19"/>
      <c r="F672" s="19"/>
      <c r="G672" s="19" t="s">
        <v>2220</v>
      </c>
      <c r="H672" s="19" t="s">
        <v>2187</v>
      </c>
    </row>
    <row r="673" spans="1:8">
      <c r="A673" s="18" t="s">
        <v>1438</v>
      </c>
      <c r="B673" s="18" t="s">
        <v>3384</v>
      </c>
      <c r="C673" s="18" t="s">
        <v>3385</v>
      </c>
      <c r="D673" s="18" t="s">
        <v>2242</v>
      </c>
      <c r="E673" s="18" t="s">
        <v>2349</v>
      </c>
      <c r="F673" s="18">
        <v>10.65</v>
      </c>
      <c r="G673" s="18" t="s">
        <v>2154</v>
      </c>
      <c r="H673" s="18" t="s">
        <v>2171</v>
      </c>
    </row>
    <row r="674" spans="1:8">
      <c r="A674" s="19" t="s">
        <v>1438</v>
      </c>
      <c r="B674" s="19" t="s">
        <v>3386</v>
      </c>
      <c r="C674" s="19" t="s">
        <v>2376</v>
      </c>
      <c r="D674" s="19" t="s">
        <v>2888</v>
      </c>
      <c r="E674" s="19" t="s">
        <v>2614</v>
      </c>
      <c r="F674" s="19">
        <v>10.119999999999999</v>
      </c>
      <c r="G674" s="19" t="s">
        <v>2154</v>
      </c>
      <c r="H674" s="19" t="s">
        <v>2187</v>
      </c>
    </row>
    <row r="675" spans="1:8">
      <c r="A675" s="18" t="s">
        <v>1438</v>
      </c>
      <c r="B675" s="18" t="s">
        <v>3387</v>
      </c>
      <c r="C675" s="18" t="s">
        <v>2260</v>
      </c>
      <c r="D675" s="18" t="s">
        <v>2680</v>
      </c>
      <c r="E675" s="18" t="s">
        <v>3388</v>
      </c>
      <c r="F675" s="18">
        <v>11.39</v>
      </c>
      <c r="G675" s="18" t="s">
        <v>2154</v>
      </c>
      <c r="H675" s="18" t="s">
        <v>2171</v>
      </c>
    </row>
    <row r="676" spans="1:8">
      <c r="A676" s="19" t="s">
        <v>1438</v>
      </c>
      <c r="B676" s="19" t="s">
        <v>3389</v>
      </c>
      <c r="C676" s="19" t="s">
        <v>2264</v>
      </c>
      <c r="D676" s="19" t="s">
        <v>2178</v>
      </c>
      <c r="E676" s="19" t="s">
        <v>2179</v>
      </c>
      <c r="F676" s="19">
        <v>11.33</v>
      </c>
      <c r="G676" s="19" t="s">
        <v>2154</v>
      </c>
      <c r="H676" s="19" t="s">
        <v>2171</v>
      </c>
    </row>
    <row r="677" spans="1:8">
      <c r="A677" s="18" t="s">
        <v>1438</v>
      </c>
      <c r="B677" s="18" t="s">
        <v>3390</v>
      </c>
      <c r="C677" s="18" t="s">
        <v>1948</v>
      </c>
      <c r="D677" s="18" t="s">
        <v>2473</v>
      </c>
      <c r="E677" s="18" t="s">
        <v>3391</v>
      </c>
      <c r="F677" s="18">
        <v>8.39</v>
      </c>
      <c r="G677" s="18" t="s">
        <v>2154</v>
      </c>
      <c r="H677" s="18" t="s">
        <v>2187</v>
      </c>
    </row>
    <row r="678" spans="1:8">
      <c r="A678" s="19" t="s">
        <v>1438</v>
      </c>
      <c r="B678" s="19" t="s">
        <v>3392</v>
      </c>
      <c r="C678" s="19" t="s">
        <v>2269</v>
      </c>
      <c r="D678" s="19" t="s">
        <v>2700</v>
      </c>
      <c r="E678" s="19" t="s">
        <v>3393</v>
      </c>
      <c r="F678" s="19">
        <v>10.41</v>
      </c>
      <c r="G678" s="19" t="s">
        <v>2154</v>
      </c>
      <c r="H678" s="19" t="s">
        <v>2155</v>
      </c>
    </row>
    <row r="679" spans="1:8">
      <c r="A679" s="18" t="s">
        <v>1438</v>
      </c>
      <c r="B679" s="18" t="s">
        <v>3394</v>
      </c>
      <c r="C679" s="18" t="s">
        <v>2273</v>
      </c>
      <c r="D679" s="18" t="s">
        <v>2356</v>
      </c>
      <c r="E679" s="18" t="s">
        <v>2175</v>
      </c>
      <c r="F679" s="18">
        <v>6.82</v>
      </c>
      <c r="G679" s="18" t="s">
        <v>2154</v>
      </c>
      <c r="H679" s="18" t="s">
        <v>2171</v>
      </c>
    </row>
    <row r="680" spans="1:8">
      <c r="A680" s="19" t="s">
        <v>1438</v>
      </c>
      <c r="B680" s="19" t="s">
        <v>3395</v>
      </c>
      <c r="C680" s="19" t="s">
        <v>2277</v>
      </c>
      <c r="D680" s="19" t="s">
        <v>2257</v>
      </c>
      <c r="E680" s="19" t="s">
        <v>3396</v>
      </c>
      <c r="F680" s="19">
        <v>10.52</v>
      </c>
      <c r="G680" s="19" t="s">
        <v>2154</v>
      </c>
      <c r="H680" s="19" t="s">
        <v>2155</v>
      </c>
    </row>
    <row r="681" spans="1:8">
      <c r="A681" s="18" t="s">
        <v>1438</v>
      </c>
      <c r="B681" s="18" t="s">
        <v>3397</v>
      </c>
      <c r="C681" s="18" t="s">
        <v>2281</v>
      </c>
      <c r="D681" s="18" t="s">
        <v>2513</v>
      </c>
      <c r="E681" s="18" t="s">
        <v>2514</v>
      </c>
      <c r="F681" s="18">
        <v>7.26</v>
      </c>
      <c r="G681" s="18" t="s">
        <v>2154</v>
      </c>
      <c r="H681" s="18" t="s">
        <v>2171</v>
      </c>
    </row>
    <row r="682" spans="1:8">
      <c r="A682" s="19" t="s">
        <v>1438</v>
      </c>
      <c r="B682" s="19" t="s">
        <v>3398</v>
      </c>
      <c r="C682" s="19" t="s">
        <v>2396</v>
      </c>
      <c r="D682" s="19" t="s">
        <v>2383</v>
      </c>
      <c r="E682" s="19" t="s">
        <v>3055</v>
      </c>
      <c r="F682" s="19">
        <v>11.35</v>
      </c>
      <c r="G682" s="19" t="s">
        <v>2154</v>
      </c>
      <c r="H682" s="19" t="s">
        <v>2160</v>
      </c>
    </row>
    <row r="683" spans="1:8">
      <c r="A683" s="18" t="s">
        <v>1438</v>
      </c>
      <c r="B683" s="18" t="s">
        <v>3399</v>
      </c>
      <c r="C683" s="18" t="s">
        <v>2289</v>
      </c>
      <c r="D683" s="18" t="s">
        <v>2528</v>
      </c>
      <c r="E683" s="18" t="s">
        <v>3400</v>
      </c>
      <c r="F683" s="18">
        <v>7.23</v>
      </c>
      <c r="G683" s="18" t="s">
        <v>2154</v>
      </c>
      <c r="H683" s="18" t="s">
        <v>2171</v>
      </c>
    </row>
    <row r="684" spans="1:8">
      <c r="A684" s="19" t="s">
        <v>1438</v>
      </c>
      <c r="B684" s="19" t="s">
        <v>3401</v>
      </c>
      <c r="C684" s="19" t="s">
        <v>2293</v>
      </c>
      <c r="D684" s="19" t="s">
        <v>2365</v>
      </c>
      <c r="E684" s="19" t="s">
        <v>2366</v>
      </c>
      <c r="F684" s="19">
        <v>7.28</v>
      </c>
      <c r="G684" s="19" t="s">
        <v>2154</v>
      </c>
      <c r="H684" s="19" t="s">
        <v>2160</v>
      </c>
    </row>
    <row r="685" spans="1:8">
      <c r="A685" s="18" t="s">
        <v>1438</v>
      </c>
      <c r="B685" s="18" t="s">
        <v>3402</v>
      </c>
      <c r="C685" s="18" t="s">
        <v>2296</v>
      </c>
      <c r="D685" s="18" t="s">
        <v>3051</v>
      </c>
      <c r="E685" s="18" t="s">
        <v>3157</v>
      </c>
      <c r="F685" s="18">
        <v>8.4499999999999993</v>
      </c>
      <c r="G685" s="18" t="s">
        <v>2154</v>
      </c>
      <c r="H685" s="18" t="s">
        <v>2160</v>
      </c>
    </row>
    <row r="686" spans="1:8">
      <c r="A686" s="19" t="s">
        <v>1438</v>
      </c>
      <c r="B686" s="19" t="s">
        <v>3403</v>
      </c>
      <c r="C686" s="19" t="s">
        <v>2300</v>
      </c>
      <c r="D686" s="19" t="s">
        <v>3066</v>
      </c>
      <c r="E686" s="19" t="s">
        <v>3404</v>
      </c>
      <c r="F686" s="19">
        <v>10.19</v>
      </c>
      <c r="G686" s="19" t="s">
        <v>2154</v>
      </c>
      <c r="H686" s="19" t="s">
        <v>2171</v>
      </c>
    </row>
    <row r="687" spans="1:8">
      <c r="A687" s="18" t="s">
        <v>1438</v>
      </c>
      <c r="B687" s="18" t="s">
        <v>3405</v>
      </c>
      <c r="C687" s="18" t="s">
        <v>2144</v>
      </c>
      <c r="D687" s="18" t="s">
        <v>2966</v>
      </c>
      <c r="E687" s="18" t="s">
        <v>3366</v>
      </c>
      <c r="F687" s="18">
        <v>8.1300000000000008</v>
      </c>
      <c r="G687" s="18" t="s">
        <v>2154</v>
      </c>
      <c r="H687" s="18" t="s">
        <v>2160</v>
      </c>
    </row>
    <row r="688" spans="1:8">
      <c r="A688" s="19" t="s">
        <v>1438</v>
      </c>
      <c r="B688" s="19" t="s">
        <v>3406</v>
      </c>
      <c r="C688" s="19" t="s">
        <v>3114</v>
      </c>
      <c r="D688" s="19" t="s">
        <v>2231</v>
      </c>
      <c r="E688" s="19" t="s">
        <v>2291</v>
      </c>
      <c r="F688" s="19">
        <v>11.24</v>
      </c>
      <c r="G688" s="19" t="s">
        <v>2154</v>
      </c>
      <c r="H688" s="19" t="s">
        <v>2160</v>
      </c>
    </row>
    <row r="689" spans="1:8">
      <c r="A689" s="18" t="s">
        <v>1438</v>
      </c>
      <c r="B689" s="18" t="s">
        <v>3407</v>
      </c>
      <c r="C689" s="18" t="s">
        <v>2311</v>
      </c>
      <c r="D689" s="18" t="s">
        <v>3183</v>
      </c>
      <c r="E689" s="18" t="s">
        <v>3408</v>
      </c>
      <c r="F689" s="18">
        <v>7.76</v>
      </c>
      <c r="G689" s="18" t="s">
        <v>2154</v>
      </c>
      <c r="H689" s="18" t="s">
        <v>2187</v>
      </c>
    </row>
    <row r="690" spans="1:8">
      <c r="A690" s="19" t="s">
        <v>1305</v>
      </c>
      <c r="B690" s="19" t="s">
        <v>3409</v>
      </c>
      <c r="C690" s="19" t="s">
        <v>2038</v>
      </c>
      <c r="D690" s="19" t="s">
        <v>2786</v>
      </c>
      <c r="E690" s="19" t="s">
        <v>3410</v>
      </c>
      <c r="F690" s="19">
        <v>7.08</v>
      </c>
      <c r="G690" s="19" t="s">
        <v>2154</v>
      </c>
      <c r="H690" s="19" t="s">
        <v>2155</v>
      </c>
    </row>
    <row r="691" spans="1:8">
      <c r="A691" s="18" t="s">
        <v>1305</v>
      </c>
      <c r="B691" s="18" t="s">
        <v>3411</v>
      </c>
      <c r="C691" s="18" t="s">
        <v>2157</v>
      </c>
      <c r="D691" s="18" t="s">
        <v>2696</v>
      </c>
      <c r="E691" s="18" t="s">
        <v>3412</v>
      </c>
      <c r="F691" s="18">
        <v>11.22</v>
      </c>
      <c r="G691" s="18" t="s">
        <v>2154</v>
      </c>
      <c r="H691" s="18" t="s">
        <v>2187</v>
      </c>
    </row>
    <row r="692" spans="1:8">
      <c r="A692" s="19" t="s">
        <v>1305</v>
      </c>
      <c r="B692" s="19" t="s">
        <v>3413</v>
      </c>
      <c r="C692" s="19" t="s">
        <v>3414</v>
      </c>
      <c r="D692" s="19" t="s">
        <v>2362</v>
      </c>
      <c r="E692" s="19" t="s">
        <v>2275</v>
      </c>
      <c r="F692" s="19">
        <v>9.9499999999999993</v>
      </c>
      <c r="G692" s="19" t="s">
        <v>2154</v>
      </c>
      <c r="H692" s="19" t="s">
        <v>2187</v>
      </c>
    </row>
    <row r="693" spans="1:8">
      <c r="A693" s="18" t="s">
        <v>1305</v>
      </c>
      <c r="B693" s="18" t="s">
        <v>3415</v>
      </c>
      <c r="C693" s="18" t="s">
        <v>1937</v>
      </c>
      <c r="D693" s="18" t="s">
        <v>2624</v>
      </c>
      <c r="E693" s="18" t="s">
        <v>2511</v>
      </c>
      <c r="F693" s="18">
        <v>8.75</v>
      </c>
      <c r="G693" s="18" t="s">
        <v>2154</v>
      </c>
      <c r="H693" s="18" t="s">
        <v>2155</v>
      </c>
    </row>
    <row r="694" spans="1:8">
      <c r="A694" s="19" t="s">
        <v>1305</v>
      </c>
      <c r="B694" s="19" t="s">
        <v>3416</v>
      </c>
      <c r="C694" s="19" t="s">
        <v>2168</v>
      </c>
      <c r="D694" s="19" t="s">
        <v>3251</v>
      </c>
      <c r="E694" s="19" t="s">
        <v>3165</v>
      </c>
      <c r="F694" s="19">
        <v>9.0500000000000007</v>
      </c>
      <c r="G694" s="19" t="s">
        <v>2154</v>
      </c>
      <c r="H694" s="19" t="s">
        <v>2155</v>
      </c>
    </row>
    <row r="695" spans="1:8">
      <c r="A695" s="18" t="s">
        <v>1305</v>
      </c>
      <c r="B695" s="18" t="s">
        <v>3417</v>
      </c>
      <c r="C695" s="18" t="s">
        <v>2173</v>
      </c>
      <c r="D695" s="18" t="s">
        <v>2955</v>
      </c>
      <c r="E695" s="18" t="s">
        <v>2790</v>
      </c>
      <c r="F695" s="18">
        <v>6.81</v>
      </c>
      <c r="G695" s="18" t="s">
        <v>2154</v>
      </c>
      <c r="H695" s="18" t="s">
        <v>2160</v>
      </c>
    </row>
    <row r="696" spans="1:8">
      <c r="A696" s="19" t="s">
        <v>1305</v>
      </c>
      <c r="B696" s="19" t="s">
        <v>3418</v>
      </c>
      <c r="C696" s="19" t="s">
        <v>2177</v>
      </c>
      <c r="D696" s="19" t="s">
        <v>2578</v>
      </c>
      <c r="E696" s="19" t="s">
        <v>3191</v>
      </c>
      <c r="F696" s="19">
        <v>11.07</v>
      </c>
      <c r="G696" s="19" t="s">
        <v>2154</v>
      </c>
      <c r="H696" s="19" t="s">
        <v>2155</v>
      </c>
    </row>
    <row r="697" spans="1:8">
      <c r="A697" s="18" t="s">
        <v>1305</v>
      </c>
      <c r="B697" s="18" t="s">
        <v>3419</v>
      </c>
      <c r="C697" s="18" t="s">
        <v>1945</v>
      </c>
      <c r="D697" s="18" t="s">
        <v>2437</v>
      </c>
      <c r="E697" s="18" t="s">
        <v>2302</v>
      </c>
      <c r="F697" s="18">
        <v>7.37</v>
      </c>
      <c r="G697" s="18" t="s">
        <v>2154</v>
      </c>
      <c r="H697" s="18" t="s">
        <v>2155</v>
      </c>
    </row>
    <row r="698" spans="1:8">
      <c r="A698" s="19" t="s">
        <v>1305</v>
      </c>
      <c r="B698" s="19" t="s">
        <v>3420</v>
      </c>
      <c r="C698" s="19" t="s">
        <v>2184</v>
      </c>
      <c r="D698" s="19" t="s">
        <v>2594</v>
      </c>
      <c r="E698" s="19" t="s">
        <v>3366</v>
      </c>
      <c r="F698" s="19">
        <v>10.74</v>
      </c>
      <c r="G698" s="19" t="s">
        <v>2154</v>
      </c>
      <c r="H698" s="19" t="s">
        <v>2160</v>
      </c>
    </row>
    <row r="699" spans="1:8">
      <c r="A699" s="18" t="s">
        <v>1305</v>
      </c>
      <c r="B699" s="18" t="s">
        <v>3421</v>
      </c>
      <c r="C699" s="18" t="s">
        <v>2189</v>
      </c>
      <c r="D699" s="18" t="s">
        <v>2729</v>
      </c>
      <c r="E699" s="18" t="s">
        <v>3422</v>
      </c>
      <c r="F699" s="18">
        <v>9.69</v>
      </c>
      <c r="G699" s="18" t="s">
        <v>2154</v>
      </c>
      <c r="H699" s="18" t="s">
        <v>2160</v>
      </c>
    </row>
    <row r="700" spans="1:8">
      <c r="A700" s="19" t="s">
        <v>1305</v>
      </c>
      <c r="B700" s="19" t="s">
        <v>3423</v>
      </c>
      <c r="C700" s="19" t="s">
        <v>2193</v>
      </c>
      <c r="D700" s="19" t="s">
        <v>2528</v>
      </c>
      <c r="E700" s="19" t="s">
        <v>3400</v>
      </c>
      <c r="F700" s="19">
        <v>7.99</v>
      </c>
      <c r="G700" s="19" t="s">
        <v>2154</v>
      </c>
      <c r="H700" s="19" t="s">
        <v>2160</v>
      </c>
    </row>
    <row r="701" spans="1:8">
      <c r="A701" s="18" t="s">
        <v>1305</v>
      </c>
      <c r="B701" s="18" t="s">
        <v>3424</v>
      </c>
      <c r="C701" s="18" t="s">
        <v>2197</v>
      </c>
      <c r="D701" s="18" t="s">
        <v>2770</v>
      </c>
      <c r="E701" s="18" t="s">
        <v>3425</v>
      </c>
      <c r="F701" s="18">
        <v>7.82</v>
      </c>
      <c r="G701" s="18" t="s">
        <v>2154</v>
      </c>
      <c r="H701" s="18" t="s">
        <v>2160</v>
      </c>
    </row>
    <row r="702" spans="1:8">
      <c r="A702" s="19" t="s">
        <v>1305</v>
      </c>
      <c r="B702" s="19" t="s">
        <v>3426</v>
      </c>
      <c r="C702" s="19" t="s">
        <v>1819</v>
      </c>
      <c r="D702" s="19" t="s">
        <v>2796</v>
      </c>
      <c r="E702" s="19" t="s">
        <v>2549</v>
      </c>
      <c r="F702" s="19">
        <v>11.23</v>
      </c>
      <c r="G702" s="19" t="s">
        <v>2154</v>
      </c>
      <c r="H702" s="19" t="s">
        <v>2187</v>
      </c>
    </row>
    <row r="703" spans="1:8">
      <c r="A703" s="18" t="s">
        <v>1305</v>
      </c>
      <c r="B703" s="18" t="s">
        <v>3427</v>
      </c>
      <c r="C703" s="18" t="s">
        <v>2204</v>
      </c>
      <c r="D703" s="18" t="s">
        <v>2403</v>
      </c>
      <c r="E703" s="18" t="s">
        <v>2404</v>
      </c>
      <c r="F703" s="18">
        <v>7.49</v>
      </c>
      <c r="G703" s="18" t="s">
        <v>2154</v>
      </c>
      <c r="H703" s="18" t="s">
        <v>2187</v>
      </c>
    </row>
    <row r="704" spans="1:8">
      <c r="A704" s="19" t="s">
        <v>1305</v>
      </c>
      <c r="B704" s="19" t="s">
        <v>3428</v>
      </c>
      <c r="C704" s="19" t="s">
        <v>1843</v>
      </c>
      <c r="D704" s="19" t="s">
        <v>2700</v>
      </c>
      <c r="E704" s="19" t="s">
        <v>3393</v>
      </c>
      <c r="F704" s="19">
        <v>10.71</v>
      </c>
      <c r="G704" s="19" t="s">
        <v>2154</v>
      </c>
      <c r="H704" s="19" t="s">
        <v>2155</v>
      </c>
    </row>
    <row r="705" spans="1:8">
      <c r="A705" s="18" t="s">
        <v>1305</v>
      </c>
      <c r="B705" s="18" t="s">
        <v>3429</v>
      </c>
      <c r="C705" s="18" t="s">
        <v>2211</v>
      </c>
      <c r="D705" s="18" t="s">
        <v>2428</v>
      </c>
      <c r="E705" s="18" t="s">
        <v>2732</v>
      </c>
      <c r="F705" s="18">
        <v>7.37</v>
      </c>
      <c r="G705" s="18" t="s">
        <v>2154</v>
      </c>
      <c r="H705" s="18" t="s">
        <v>2155</v>
      </c>
    </row>
    <row r="706" spans="1:8">
      <c r="A706" s="19" t="s">
        <v>1305</v>
      </c>
      <c r="B706" s="19" t="s">
        <v>3430</v>
      </c>
      <c r="C706" s="19" t="s">
        <v>2215</v>
      </c>
      <c r="D706" s="19" t="s">
        <v>2581</v>
      </c>
      <c r="E706" s="19" t="s">
        <v>2332</v>
      </c>
      <c r="F706" s="19">
        <v>10.17</v>
      </c>
      <c r="G706" s="19" t="s">
        <v>2154</v>
      </c>
      <c r="H706" s="19" t="s">
        <v>2160</v>
      </c>
    </row>
    <row r="707" spans="1:8">
      <c r="A707" s="18" t="s">
        <v>1305</v>
      </c>
      <c r="B707" s="18" t="s">
        <v>3431</v>
      </c>
      <c r="C707" s="18" t="s">
        <v>2219</v>
      </c>
      <c r="D707" s="18" t="s">
        <v>2383</v>
      </c>
      <c r="E707" s="18" t="s">
        <v>3118</v>
      </c>
      <c r="F707" s="18">
        <v>10.49</v>
      </c>
      <c r="G707" s="18" t="s">
        <v>2154</v>
      </c>
      <c r="H707" s="18" t="s">
        <v>2155</v>
      </c>
    </row>
    <row r="708" spans="1:8">
      <c r="A708" s="19" t="s">
        <v>1305</v>
      </c>
      <c r="B708" s="19" t="s">
        <v>3432</v>
      </c>
      <c r="C708" s="19" t="s">
        <v>2222</v>
      </c>
      <c r="D708" s="19" t="s">
        <v>2770</v>
      </c>
      <c r="E708" s="19" t="s">
        <v>2771</v>
      </c>
      <c r="F708" s="19">
        <v>6.79</v>
      </c>
      <c r="G708" s="19" t="s">
        <v>2154</v>
      </c>
      <c r="H708" s="19" t="s">
        <v>2171</v>
      </c>
    </row>
    <row r="709" spans="1:8">
      <c r="A709" s="18" t="s">
        <v>1305</v>
      </c>
      <c r="B709" s="18" t="s">
        <v>3433</v>
      </c>
      <c r="C709" s="18" t="s">
        <v>2226</v>
      </c>
      <c r="D709" s="18" t="s">
        <v>2652</v>
      </c>
      <c r="E709" s="18" t="s">
        <v>2995</v>
      </c>
      <c r="F709" s="18">
        <v>8</v>
      </c>
      <c r="G709" s="18" t="s">
        <v>2154</v>
      </c>
      <c r="H709" s="18" t="s">
        <v>2155</v>
      </c>
    </row>
    <row r="710" spans="1:8">
      <c r="A710" s="19" t="s">
        <v>1305</v>
      </c>
      <c r="B710" s="19" t="s">
        <v>3434</v>
      </c>
      <c r="C710" s="19" t="s">
        <v>2230</v>
      </c>
      <c r="D710" s="19" t="s">
        <v>2377</v>
      </c>
      <c r="E710" s="19" t="s">
        <v>3435</v>
      </c>
      <c r="F710" s="19">
        <v>11.08</v>
      </c>
      <c r="G710" s="19" t="s">
        <v>2154</v>
      </c>
      <c r="H710" s="19" t="s">
        <v>2187</v>
      </c>
    </row>
    <row r="711" spans="1:8">
      <c r="A711" s="18" t="s">
        <v>1305</v>
      </c>
      <c r="B711" s="18" t="s">
        <v>3436</v>
      </c>
      <c r="C711" s="18" t="s">
        <v>2234</v>
      </c>
      <c r="D711" s="18" t="s">
        <v>2359</v>
      </c>
      <c r="E711" s="18" t="s">
        <v>3437</v>
      </c>
      <c r="F711" s="18">
        <v>8.0299999999999994</v>
      </c>
      <c r="G711" s="18" t="s">
        <v>2154</v>
      </c>
      <c r="H711" s="18" t="s">
        <v>2160</v>
      </c>
    </row>
    <row r="712" spans="1:8">
      <c r="A712" s="19" t="s">
        <v>1305</v>
      </c>
      <c r="B712" s="19" t="s">
        <v>3438</v>
      </c>
      <c r="C712" s="19" t="s">
        <v>2238</v>
      </c>
      <c r="D712" s="19" t="s">
        <v>2426</v>
      </c>
      <c r="E712" s="19" t="s">
        <v>3439</v>
      </c>
      <c r="F712" s="19">
        <v>9.07</v>
      </c>
      <c r="G712" s="19" t="s">
        <v>2154</v>
      </c>
      <c r="H712" s="19" t="s">
        <v>2187</v>
      </c>
    </row>
    <row r="713" spans="1:8">
      <c r="A713" s="18" t="s">
        <v>1305</v>
      </c>
      <c r="B713" s="18" t="s">
        <v>3440</v>
      </c>
      <c r="C713" s="18" t="s">
        <v>2241</v>
      </c>
      <c r="D713" s="18" t="s">
        <v>2584</v>
      </c>
      <c r="E713" s="18" t="s">
        <v>3379</v>
      </c>
      <c r="F713" s="18">
        <v>10.33</v>
      </c>
      <c r="G713" s="18" t="s">
        <v>2154</v>
      </c>
      <c r="H713" s="18" t="s">
        <v>2160</v>
      </c>
    </row>
    <row r="714" spans="1:8">
      <c r="A714" s="19" t="s">
        <v>1305</v>
      </c>
      <c r="B714" s="19" t="s">
        <v>3441</v>
      </c>
      <c r="C714" s="19" t="s">
        <v>2245</v>
      </c>
      <c r="D714" s="19" t="s">
        <v>2553</v>
      </c>
      <c r="E714" s="19" t="s">
        <v>3442</v>
      </c>
      <c r="F714" s="19">
        <v>11.01</v>
      </c>
      <c r="G714" s="19" t="s">
        <v>2154</v>
      </c>
      <c r="H714" s="19" t="s">
        <v>2187</v>
      </c>
    </row>
    <row r="715" spans="1:8">
      <c r="A715" s="18" t="s">
        <v>1305</v>
      </c>
      <c r="B715" s="18" t="s">
        <v>3443</v>
      </c>
      <c r="C715" s="18" t="s">
        <v>2249</v>
      </c>
      <c r="D715" s="18" t="s">
        <v>3253</v>
      </c>
      <c r="E715" s="18" t="s">
        <v>3245</v>
      </c>
      <c r="F715" s="18">
        <v>9.24</v>
      </c>
      <c r="G715" s="18" t="s">
        <v>2154</v>
      </c>
      <c r="H715" s="18" t="s">
        <v>2171</v>
      </c>
    </row>
    <row r="716" spans="1:8">
      <c r="A716" s="19" t="s">
        <v>1305</v>
      </c>
      <c r="B716" s="19" t="s">
        <v>3444</v>
      </c>
      <c r="C716" s="19" t="s">
        <v>2252</v>
      </c>
      <c r="D716" s="19" t="s">
        <v>2548</v>
      </c>
      <c r="E716" s="19" t="s">
        <v>2687</v>
      </c>
      <c r="F716" s="19">
        <v>6.87</v>
      </c>
      <c r="G716" s="19" t="s">
        <v>2154</v>
      </c>
      <c r="H716" s="19" t="s">
        <v>2171</v>
      </c>
    </row>
    <row r="717" spans="1:8">
      <c r="A717" s="18" t="s">
        <v>1305</v>
      </c>
      <c r="B717" s="18" t="s">
        <v>3445</v>
      </c>
      <c r="C717" s="18" t="s">
        <v>2376</v>
      </c>
      <c r="D717" s="18" t="s">
        <v>2548</v>
      </c>
      <c r="E717" s="18" t="s">
        <v>2687</v>
      </c>
      <c r="F717" s="18">
        <v>6.54</v>
      </c>
      <c r="G717" s="18" t="s">
        <v>2154</v>
      </c>
      <c r="H717" s="18" t="s">
        <v>2160</v>
      </c>
    </row>
    <row r="718" spans="1:8">
      <c r="A718" s="19" t="s">
        <v>1305</v>
      </c>
      <c r="B718" s="19" t="s">
        <v>3446</v>
      </c>
      <c r="C718" s="19" t="s">
        <v>2260</v>
      </c>
      <c r="D718" s="19" t="s">
        <v>2428</v>
      </c>
      <c r="E718" s="19" t="s">
        <v>2429</v>
      </c>
      <c r="F718" s="19">
        <v>10.24</v>
      </c>
      <c r="G718" s="19" t="s">
        <v>2154</v>
      </c>
      <c r="H718" s="19" t="s">
        <v>2171</v>
      </c>
    </row>
    <row r="719" spans="1:8">
      <c r="A719" s="18" t="s">
        <v>1305</v>
      </c>
      <c r="B719" s="18" t="s">
        <v>3447</v>
      </c>
      <c r="C719" s="18" t="s">
        <v>2264</v>
      </c>
      <c r="D719" s="18" t="s">
        <v>2282</v>
      </c>
      <c r="E719" s="18" t="s">
        <v>2279</v>
      </c>
      <c r="F719" s="18">
        <v>7.72</v>
      </c>
      <c r="G719" s="18" t="s">
        <v>2154</v>
      </c>
      <c r="H719" s="18" t="s">
        <v>2160</v>
      </c>
    </row>
    <row r="720" spans="1:8">
      <c r="A720" s="19" t="s">
        <v>1305</v>
      </c>
      <c r="B720" s="19" t="s">
        <v>3448</v>
      </c>
      <c r="C720" s="19" t="s">
        <v>1948</v>
      </c>
      <c r="D720" s="19" t="s">
        <v>2716</v>
      </c>
      <c r="E720" s="19" t="s">
        <v>3400</v>
      </c>
      <c r="F720" s="19">
        <v>8.81</v>
      </c>
      <c r="G720" s="19" t="s">
        <v>2154</v>
      </c>
      <c r="H720" s="19" t="s">
        <v>2155</v>
      </c>
    </row>
    <row r="721" spans="1:8">
      <c r="A721" s="18" t="s">
        <v>1305</v>
      </c>
      <c r="B721" s="18" t="s">
        <v>3449</v>
      </c>
      <c r="C721" s="18" t="s">
        <v>2269</v>
      </c>
      <c r="D721" s="18" t="s">
        <v>2488</v>
      </c>
      <c r="E721" s="18" t="s">
        <v>2942</v>
      </c>
      <c r="F721" s="18">
        <v>7.51</v>
      </c>
      <c r="G721" s="18" t="s">
        <v>2154</v>
      </c>
      <c r="H721" s="18" t="s">
        <v>2155</v>
      </c>
    </row>
    <row r="722" spans="1:8">
      <c r="A722" s="19" t="s">
        <v>1305</v>
      </c>
      <c r="B722" s="19" t="s">
        <v>3450</v>
      </c>
      <c r="C722" s="19" t="s">
        <v>2273</v>
      </c>
      <c r="D722" s="19" t="s">
        <v>2365</v>
      </c>
      <c r="E722" s="19" t="s">
        <v>2275</v>
      </c>
      <c r="F722" s="19">
        <v>8.6999999999999993</v>
      </c>
      <c r="G722" s="19" t="s">
        <v>2154</v>
      </c>
      <c r="H722" s="19" t="s">
        <v>2187</v>
      </c>
    </row>
    <row r="723" spans="1:8">
      <c r="A723" s="18" t="s">
        <v>1305</v>
      </c>
      <c r="B723" s="18" t="s">
        <v>3451</v>
      </c>
      <c r="C723" s="18" t="s">
        <v>2277</v>
      </c>
      <c r="D723" s="18"/>
      <c r="E723" s="18"/>
      <c r="F723" s="18"/>
      <c r="G723" s="18" t="s">
        <v>2343</v>
      </c>
      <c r="H723" s="18" t="s">
        <v>2171</v>
      </c>
    </row>
    <row r="724" spans="1:8">
      <c r="A724" s="19" t="s">
        <v>1305</v>
      </c>
      <c r="B724" s="19" t="s">
        <v>3452</v>
      </c>
      <c r="C724" s="19" t="s">
        <v>2281</v>
      </c>
      <c r="D724" s="19" t="s">
        <v>2700</v>
      </c>
      <c r="E724" s="19" t="s">
        <v>2315</v>
      </c>
      <c r="F724" s="19">
        <v>7.97</v>
      </c>
      <c r="G724" s="19" t="s">
        <v>2154</v>
      </c>
      <c r="H724" s="19" t="s">
        <v>2171</v>
      </c>
    </row>
    <row r="725" spans="1:8">
      <c r="A725" s="18" t="s">
        <v>1305</v>
      </c>
      <c r="B725" s="18" t="s">
        <v>3453</v>
      </c>
      <c r="C725" s="18" t="s">
        <v>2396</v>
      </c>
      <c r="D725" s="18" t="s">
        <v>2397</v>
      </c>
      <c r="E725" s="18" t="s">
        <v>3241</v>
      </c>
      <c r="F725" s="18">
        <v>10.25</v>
      </c>
      <c r="G725" s="18" t="s">
        <v>2154</v>
      </c>
      <c r="H725" s="18" t="s">
        <v>2155</v>
      </c>
    </row>
    <row r="726" spans="1:8">
      <c r="A726" s="19" t="s">
        <v>1305</v>
      </c>
      <c r="B726" s="19" t="s">
        <v>3454</v>
      </c>
      <c r="C726" s="19" t="s">
        <v>2289</v>
      </c>
      <c r="D726" s="19" t="s">
        <v>2377</v>
      </c>
      <c r="E726" s="19" t="s">
        <v>2609</v>
      </c>
      <c r="F726" s="19">
        <v>9.7200000000000006</v>
      </c>
      <c r="G726" s="19" t="s">
        <v>2154</v>
      </c>
      <c r="H726" s="19" t="s">
        <v>2187</v>
      </c>
    </row>
    <row r="727" spans="1:8">
      <c r="A727" s="18" t="s">
        <v>1305</v>
      </c>
      <c r="B727" s="18" t="s">
        <v>3455</v>
      </c>
      <c r="C727" s="18" t="s">
        <v>2293</v>
      </c>
      <c r="D727" s="18" t="s">
        <v>2351</v>
      </c>
      <c r="E727" s="18" t="s">
        <v>2352</v>
      </c>
      <c r="F727" s="18">
        <v>10.82</v>
      </c>
      <c r="G727" s="18" t="s">
        <v>2154</v>
      </c>
      <c r="H727" s="18" t="s">
        <v>2187</v>
      </c>
    </row>
    <row r="728" spans="1:8">
      <c r="A728" s="19" t="s">
        <v>1305</v>
      </c>
      <c r="B728" s="19" t="s">
        <v>3456</v>
      </c>
      <c r="C728" s="19" t="s">
        <v>2296</v>
      </c>
      <c r="D728" s="19" t="s">
        <v>3261</v>
      </c>
      <c r="E728" s="19" t="s">
        <v>3457</v>
      </c>
      <c r="F728" s="19">
        <v>9.9700000000000006</v>
      </c>
      <c r="G728" s="19" t="s">
        <v>2154</v>
      </c>
      <c r="H728" s="19" t="s">
        <v>2171</v>
      </c>
    </row>
    <row r="729" spans="1:8">
      <c r="A729" s="18" t="s">
        <v>1305</v>
      </c>
      <c r="B729" s="18" t="s">
        <v>3458</v>
      </c>
      <c r="C729" s="18" t="s">
        <v>2300</v>
      </c>
      <c r="D729" s="18" t="s">
        <v>3239</v>
      </c>
      <c r="E729" s="18" t="s">
        <v>3013</v>
      </c>
      <c r="F729" s="18">
        <v>8.7899999999999991</v>
      </c>
      <c r="G729" s="18" t="s">
        <v>2154</v>
      </c>
      <c r="H729" s="18" t="s">
        <v>2187</v>
      </c>
    </row>
    <row r="730" spans="1:8">
      <c r="A730" s="19" t="s">
        <v>1305</v>
      </c>
      <c r="B730" s="19" t="s">
        <v>3459</v>
      </c>
      <c r="C730" s="19" t="s">
        <v>2144</v>
      </c>
      <c r="D730" s="19" t="s">
        <v>2205</v>
      </c>
      <c r="E730" s="19" t="s">
        <v>2505</v>
      </c>
      <c r="F730" s="19">
        <v>10.81</v>
      </c>
      <c r="G730" s="19" t="s">
        <v>2154</v>
      </c>
      <c r="H730" s="19" t="s">
        <v>2171</v>
      </c>
    </row>
    <row r="731" spans="1:8">
      <c r="A731" s="18" t="s">
        <v>1305</v>
      </c>
      <c r="B731" s="18" t="s">
        <v>3460</v>
      </c>
      <c r="C731" s="18" t="s">
        <v>2307</v>
      </c>
      <c r="D731" s="18" t="s">
        <v>2212</v>
      </c>
      <c r="E731" s="18" t="s">
        <v>2499</v>
      </c>
      <c r="F731" s="18">
        <v>7.43</v>
      </c>
      <c r="G731" s="18" t="s">
        <v>2154</v>
      </c>
      <c r="H731" s="18" t="s">
        <v>2160</v>
      </c>
    </row>
    <row r="732" spans="1:8">
      <c r="A732" s="19" t="s">
        <v>1305</v>
      </c>
      <c r="B732" s="19" t="s">
        <v>3461</v>
      </c>
      <c r="C732" s="19" t="s">
        <v>2311</v>
      </c>
      <c r="D732" s="19" t="s">
        <v>2362</v>
      </c>
      <c r="E732" s="19" t="s">
        <v>2275</v>
      </c>
      <c r="F732" s="19">
        <v>9.85</v>
      </c>
      <c r="G732" s="19" t="s">
        <v>2154</v>
      </c>
      <c r="H732" s="19" t="s">
        <v>2160</v>
      </c>
    </row>
    <row r="733" spans="1:8">
      <c r="A733" s="18" t="s">
        <v>1513</v>
      </c>
      <c r="B733" s="18" t="s">
        <v>3462</v>
      </c>
      <c r="C733" s="18" t="s">
        <v>2038</v>
      </c>
      <c r="D733" s="18" t="s">
        <v>3183</v>
      </c>
      <c r="E733" s="18" t="s">
        <v>3463</v>
      </c>
      <c r="F733" s="18">
        <v>9.0299999999999994</v>
      </c>
      <c r="G733" s="18" t="s">
        <v>2154</v>
      </c>
      <c r="H733" s="18" t="s">
        <v>2187</v>
      </c>
    </row>
    <row r="734" spans="1:8">
      <c r="A734" s="19" t="s">
        <v>1513</v>
      </c>
      <c r="B734" s="19" t="s">
        <v>3464</v>
      </c>
      <c r="C734" s="19" t="s">
        <v>2157</v>
      </c>
      <c r="D734" s="19" t="s">
        <v>2470</v>
      </c>
      <c r="E734" s="19" t="s">
        <v>2712</v>
      </c>
      <c r="F734" s="19">
        <v>6.82</v>
      </c>
      <c r="G734" s="19" t="s">
        <v>2154</v>
      </c>
      <c r="H734" s="19" t="s">
        <v>2155</v>
      </c>
    </row>
    <row r="735" spans="1:8">
      <c r="A735" s="18" t="s">
        <v>1513</v>
      </c>
      <c r="B735" s="18" t="s">
        <v>3465</v>
      </c>
      <c r="C735" s="18" t="s">
        <v>2162</v>
      </c>
      <c r="D735" s="18" t="s">
        <v>2208</v>
      </c>
      <c r="E735" s="18" t="s">
        <v>2209</v>
      </c>
      <c r="F735" s="18">
        <v>10.130000000000001</v>
      </c>
      <c r="G735" s="18" t="s">
        <v>2154</v>
      </c>
      <c r="H735" s="18" t="s">
        <v>2160</v>
      </c>
    </row>
    <row r="736" spans="1:8">
      <c r="A736" s="19" t="s">
        <v>1513</v>
      </c>
      <c r="B736" s="19" t="s">
        <v>3466</v>
      </c>
      <c r="C736" s="19" t="s">
        <v>1937</v>
      </c>
      <c r="D736" s="19" t="s">
        <v>2426</v>
      </c>
      <c r="E736" s="19" t="s">
        <v>3439</v>
      </c>
      <c r="F736" s="19">
        <v>9.7799999999999994</v>
      </c>
      <c r="G736" s="19" t="s">
        <v>2154</v>
      </c>
      <c r="H736" s="19" t="s">
        <v>2160</v>
      </c>
    </row>
    <row r="737" spans="1:8">
      <c r="A737" s="18" t="s">
        <v>1513</v>
      </c>
      <c r="B737" s="18" t="s">
        <v>3467</v>
      </c>
      <c r="C737" s="18" t="s">
        <v>2168</v>
      </c>
      <c r="D737" s="18" t="s">
        <v>2377</v>
      </c>
      <c r="E737" s="18" t="s">
        <v>2378</v>
      </c>
      <c r="F737" s="18">
        <v>8.18</v>
      </c>
      <c r="G737" s="18" t="s">
        <v>2154</v>
      </c>
      <c r="H737" s="18" t="s">
        <v>2155</v>
      </c>
    </row>
    <row r="738" spans="1:8">
      <c r="A738" s="19" t="s">
        <v>1513</v>
      </c>
      <c r="B738" s="19" t="s">
        <v>3468</v>
      </c>
      <c r="C738" s="19" t="s">
        <v>2173</v>
      </c>
      <c r="D738" s="19" t="s">
        <v>2652</v>
      </c>
      <c r="E738" s="19" t="s">
        <v>2486</v>
      </c>
      <c r="F738" s="19">
        <v>10.58</v>
      </c>
      <c r="G738" s="19" t="s">
        <v>2154</v>
      </c>
      <c r="H738" s="19" t="s">
        <v>2155</v>
      </c>
    </row>
    <row r="739" spans="1:8">
      <c r="A739" s="18" t="s">
        <v>1513</v>
      </c>
      <c r="B739" s="18" t="s">
        <v>3469</v>
      </c>
      <c r="C739" s="18" t="s">
        <v>2177</v>
      </c>
      <c r="D739" s="18" t="s">
        <v>2700</v>
      </c>
      <c r="E739" s="18" t="s">
        <v>2315</v>
      </c>
      <c r="F739" s="18">
        <v>7.44</v>
      </c>
      <c r="G739" s="18" t="s">
        <v>2154</v>
      </c>
      <c r="H739" s="18" t="s">
        <v>2160</v>
      </c>
    </row>
    <row r="740" spans="1:8">
      <c r="A740" s="19" t="s">
        <v>1513</v>
      </c>
      <c r="B740" s="19" t="s">
        <v>3470</v>
      </c>
      <c r="C740" s="19" t="s">
        <v>1945</v>
      </c>
      <c r="D740" s="19"/>
      <c r="E740" s="19"/>
      <c r="F740" s="19"/>
      <c r="G740" s="19" t="s">
        <v>2343</v>
      </c>
      <c r="H740" s="19" t="s">
        <v>2160</v>
      </c>
    </row>
    <row r="741" spans="1:8">
      <c r="A741" s="18" t="s">
        <v>1513</v>
      </c>
      <c r="B741" s="18" t="s">
        <v>3471</v>
      </c>
      <c r="C741" s="18" t="s">
        <v>2184</v>
      </c>
      <c r="D741" s="18" t="s">
        <v>2242</v>
      </c>
      <c r="E741" s="18" t="s">
        <v>2243</v>
      </c>
      <c r="F741" s="18">
        <v>9.68</v>
      </c>
      <c r="G741" s="18" t="s">
        <v>2154</v>
      </c>
      <c r="H741" s="18" t="s">
        <v>2155</v>
      </c>
    </row>
    <row r="742" spans="1:8">
      <c r="A742" s="19" t="s">
        <v>1513</v>
      </c>
      <c r="B742" s="19" t="s">
        <v>3472</v>
      </c>
      <c r="C742" s="19" t="s">
        <v>2189</v>
      </c>
      <c r="D742" s="19" t="s">
        <v>2323</v>
      </c>
      <c r="E742" s="19" t="s">
        <v>3331</v>
      </c>
      <c r="F742" s="19">
        <v>10.5</v>
      </c>
      <c r="G742" s="19" t="s">
        <v>2154</v>
      </c>
      <c r="H742" s="19" t="s">
        <v>2160</v>
      </c>
    </row>
    <row r="743" spans="1:8">
      <c r="A743" s="18" t="s">
        <v>1513</v>
      </c>
      <c r="B743" s="18" t="s">
        <v>3473</v>
      </c>
      <c r="C743" s="18" t="s">
        <v>2193</v>
      </c>
      <c r="D743" s="18" t="s">
        <v>2680</v>
      </c>
      <c r="E743" s="18" t="s">
        <v>3197</v>
      </c>
      <c r="F743" s="18">
        <v>10.11</v>
      </c>
      <c r="G743" s="18" t="s">
        <v>2154</v>
      </c>
      <c r="H743" s="18" t="s">
        <v>2155</v>
      </c>
    </row>
    <row r="744" spans="1:8">
      <c r="A744" s="19" t="s">
        <v>1513</v>
      </c>
      <c r="B744" s="19" t="s">
        <v>3474</v>
      </c>
      <c r="C744" s="19" t="s">
        <v>2197</v>
      </c>
      <c r="D744" s="19" t="s">
        <v>2693</v>
      </c>
      <c r="E744" s="19" t="s">
        <v>2847</v>
      </c>
      <c r="F744" s="19">
        <v>7.14</v>
      </c>
      <c r="G744" s="19" t="s">
        <v>2154</v>
      </c>
      <c r="H744" s="19" t="s">
        <v>2155</v>
      </c>
    </row>
    <row r="745" spans="1:8">
      <c r="A745" s="18" t="s">
        <v>1513</v>
      </c>
      <c r="B745" s="18" t="s">
        <v>3475</v>
      </c>
      <c r="C745" s="18" t="s">
        <v>1819</v>
      </c>
      <c r="D745" s="18" t="s">
        <v>2575</v>
      </c>
      <c r="E745" s="18" t="s">
        <v>2576</v>
      </c>
      <c r="F745" s="18">
        <v>10.51</v>
      </c>
      <c r="G745" s="18" t="s">
        <v>2154</v>
      </c>
      <c r="H745" s="18" t="s">
        <v>2171</v>
      </c>
    </row>
    <row r="746" spans="1:8">
      <c r="A746" s="19" t="s">
        <v>1513</v>
      </c>
      <c r="B746" s="19" t="s">
        <v>3476</v>
      </c>
      <c r="C746" s="19" t="s">
        <v>2204</v>
      </c>
      <c r="D746" s="19" t="s">
        <v>2823</v>
      </c>
      <c r="E746" s="19" t="s">
        <v>3161</v>
      </c>
      <c r="F746" s="19">
        <v>9.77</v>
      </c>
      <c r="G746" s="19" t="s">
        <v>2154</v>
      </c>
      <c r="H746" s="19" t="s">
        <v>2160</v>
      </c>
    </row>
    <row r="747" spans="1:8">
      <c r="A747" s="18" t="s">
        <v>1513</v>
      </c>
      <c r="B747" s="18" t="s">
        <v>3477</v>
      </c>
      <c r="C747" s="18" t="s">
        <v>1843</v>
      </c>
      <c r="D747" s="18" t="s">
        <v>2290</v>
      </c>
      <c r="E747" s="18" t="s">
        <v>2714</v>
      </c>
      <c r="F747" s="18">
        <v>7.42</v>
      </c>
      <c r="G747" s="18" t="s">
        <v>2154</v>
      </c>
      <c r="H747" s="18" t="s">
        <v>2160</v>
      </c>
    </row>
    <row r="748" spans="1:8">
      <c r="A748" s="19" t="s">
        <v>1513</v>
      </c>
      <c r="B748" s="19" t="s">
        <v>3478</v>
      </c>
      <c r="C748" s="19" t="s">
        <v>2211</v>
      </c>
      <c r="D748" s="19" t="s">
        <v>2814</v>
      </c>
      <c r="E748" s="19" t="s">
        <v>2687</v>
      </c>
      <c r="F748" s="19">
        <v>8.94</v>
      </c>
      <c r="G748" s="19" t="s">
        <v>2154</v>
      </c>
      <c r="H748" s="19" t="s">
        <v>2187</v>
      </c>
    </row>
    <row r="749" spans="1:8">
      <c r="A749" s="18" t="s">
        <v>1513</v>
      </c>
      <c r="B749" s="18" t="s">
        <v>3479</v>
      </c>
      <c r="C749" s="18" t="s">
        <v>2215</v>
      </c>
      <c r="D749" s="18" t="s">
        <v>2572</v>
      </c>
      <c r="E749" s="18" t="s">
        <v>3351</v>
      </c>
      <c r="F749" s="18">
        <v>9.15</v>
      </c>
      <c r="G749" s="18" t="s">
        <v>2154</v>
      </c>
      <c r="H749" s="18" t="s">
        <v>2155</v>
      </c>
    </row>
    <row r="750" spans="1:8">
      <c r="A750" s="19" t="s">
        <v>1513</v>
      </c>
      <c r="B750" s="19" t="s">
        <v>3480</v>
      </c>
      <c r="C750" s="19" t="s">
        <v>2219</v>
      </c>
      <c r="D750" s="19" t="s">
        <v>2557</v>
      </c>
      <c r="E750" s="19" t="s">
        <v>2450</v>
      </c>
      <c r="F750" s="19">
        <v>10.19</v>
      </c>
      <c r="G750" s="19" t="s">
        <v>2154</v>
      </c>
      <c r="H750" s="19" t="s">
        <v>2171</v>
      </c>
    </row>
    <row r="751" spans="1:8">
      <c r="A751" s="18" t="s">
        <v>1513</v>
      </c>
      <c r="B751" s="18" t="s">
        <v>3481</v>
      </c>
      <c r="C751" s="18" t="s">
        <v>2222</v>
      </c>
      <c r="D751" s="18" t="s">
        <v>2528</v>
      </c>
      <c r="E751" s="18" t="s">
        <v>2537</v>
      </c>
      <c r="F751" s="18">
        <v>9.84</v>
      </c>
      <c r="G751" s="18" t="s">
        <v>2154</v>
      </c>
      <c r="H751" s="18" t="s">
        <v>2160</v>
      </c>
    </row>
    <row r="752" spans="1:8">
      <c r="A752" s="19" t="s">
        <v>1513</v>
      </c>
      <c r="B752" s="19" t="s">
        <v>3482</v>
      </c>
      <c r="C752" s="19" t="s">
        <v>2226</v>
      </c>
      <c r="D752" s="19" t="s">
        <v>2235</v>
      </c>
      <c r="E752" s="19" t="s">
        <v>2432</v>
      </c>
      <c r="F752" s="19">
        <v>10.66</v>
      </c>
      <c r="G752" s="19" t="s">
        <v>2154</v>
      </c>
      <c r="H752" s="19" t="s">
        <v>2187</v>
      </c>
    </row>
    <row r="753" spans="1:8">
      <c r="A753" s="18" t="s">
        <v>1513</v>
      </c>
      <c r="B753" s="18" t="s">
        <v>3483</v>
      </c>
      <c r="C753" s="18" t="s">
        <v>2230</v>
      </c>
      <c r="D753" s="18" t="s">
        <v>2231</v>
      </c>
      <c r="E753" s="18" t="s">
        <v>2327</v>
      </c>
      <c r="F753" s="18">
        <v>8.0500000000000007</v>
      </c>
      <c r="G753" s="18" t="s">
        <v>2154</v>
      </c>
      <c r="H753" s="18" t="s">
        <v>2187</v>
      </c>
    </row>
    <row r="754" spans="1:8">
      <c r="A754" s="19" t="s">
        <v>1513</v>
      </c>
      <c r="B754" s="19" t="s">
        <v>3484</v>
      </c>
      <c r="C754" s="19" t="s">
        <v>2234</v>
      </c>
      <c r="D754" s="19" t="s">
        <v>2158</v>
      </c>
      <c r="E754" s="19" t="s">
        <v>2638</v>
      </c>
      <c r="F754" s="19">
        <v>11.16</v>
      </c>
      <c r="G754" s="19" t="s">
        <v>2154</v>
      </c>
      <c r="H754" s="19" t="s">
        <v>2187</v>
      </c>
    </row>
    <row r="755" spans="1:8">
      <c r="A755" s="18" t="s">
        <v>1513</v>
      </c>
      <c r="B755" s="18" t="s">
        <v>3485</v>
      </c>
      <c r="C755" s="18" t="s">
        <v>2238</v>
      </c>
      <c r="D755" s="18" t="s">
        <v>3251</v>
      </c>
      <c r="E755" s="18" t="s">
        <v>3235</v>
      </c>
      <c r="F755" s="18">
        <v>8.24</v>
      </c>
      <c r="G755" s="18" t="s">
        <v>2154</v>
      </c>
      <c r="H755" s="18" t="s">
        <v>2171</v>
      </c>
    </row>
    <row r="756" spans="1:8">
      <c r="A756" s="19" t="s">
        <v>1513</v>
      </c>
      <c r="B756" s="19" t="s">
        <v>3486</v>
      </c>
      <c r="C756" s="19" t="s">
        <v>2241</v>
      </c>
      <c r="D756" s="19" t="s">
        <v>3051</v>
      </c>
      <c r="E756" s="19" t="s">
        <v>3366</v>
      </c>
      <c r="F756" s="19">
        <v>9.19</v>
      </c>
      <c r="G756" s="19" t="s">
        <v>2154</v>
      </c>
      <c r="H756" s="19" t="s">
        <v>2187</v>
      </c>
    </row>
    <row r="757" spans="1:8">
      <c r="A757" s="18" t="s">
        <v>1513</v>
      </c>
      <c r="B757" s="18" t="s">
        <v>3487</v>
      </c>
      <c r="C757" s="18" t="s">
        <v>2245</v>
      </c>
      <c r="D757" s="18" t="s">
        <v>2380</v>
      </c>
      <c r="E757" s="18" t="s">
        <v>2381</v>
      </c>
      <c r="F757" s="18">
        <v>7.56</v>
      </c>
      <c r="G757" s="18" t="s">
        <v>2154</v>
      </c>
      <c r="H757" s="18" t="s">
        <v>2155</v>
      </c>
    </row>
    <row r="758" spans="1:8">
      <c r="A758" s="19" t="s">
        <v>1513</v>
      </c>
      <c r="B758" s="19" t="s">
        <v>3488</v>
      </c>
      <c r="C758" s="19" t="s">
        <v>2249</v>
      </c>
      <c r="D758" s="19" t="s">
        <v>2992</v>
      </c>
      <c r="E758" s="19" t="s">
        <v>3107</v>
      </c>
      <c r="F758" s="19">
        <v>10.78</v>
      </c>
      <c r="G758" s="19" t="s">
        <v>2154</v>
      </c>
      <c r="H758" s="19" t="s">
        <v>2155</v>
      </c>
    </row>
    <row r="759" spans="1:8">
      <c r="A759" s="18" t="s">
        <v>1513</v>
      </c>
      <c r="B759" s="18" t="s">
        <v>3489</v>
      </c>
      <c r="C759" s="18" t="s">
        <v>2252</v>
      </c>
      <c r="D759" s="18" t="s">
        <v>2242</v>
      </c>
      <c r="E759" s="18" t="s">
        <v>2243</v>
      </c>
      <c r="F759" s="18">
        <v>9.58</v>
      </c>
      <c r="G759" s="18" t="s">
        <v>2154</v>
      </c>
      <c r="H759" s="18" t="s">
        <v>2155</v>
      </c>
    </row>
    <row r="760" spans="1:8">
      <c r="A760" s="19" t="s">
        <v>1513</v>
      </c>
      <c r="B760" s="19" t="s">
        <v>3490</v>
      </c>
      <c r="C760" s="19" t="s">
        <v>2376</v>
      </c>
      <c r="D760" s="19" t="s">
        <v>2589</v>
      </c>
      <c r="E760" s="19" t="s">
        <v>2590</v>
      </c>
      <c r="F760" s="19">
        <v>9.2899999999999991</v>
      </c>
      <c r="G760" s="19" t="s">
        <v>2154</v>
      </c>
      <c r="H760" s="19" t="s">
        <v>2187</v>
      </c>
    </row>
    <row r="761" spans="1:8">
      <c r="A761" s="18" t="s">
        <v>1513</v>
      </c>
      <c r="B761" s="18" t="s">
        <v>3491</v>
      </c>
      <c r="C761" s="18" t="s">
        <v>2260</v>
      </c>
      <c r="D761" s="18" t="s">
        <v>2491</v>
      </c>
      <c r="E761" s="18" t="s">
        <v>2159</v>
      </c>
      <c r="F761" s="18">
        <v>8.07</v>
      </c>
      <c r="G761" s="18" t="s">
        <v>2154</v>
      </c>
      <c r="H761" s="18" t="s">
        <v>2155</v>
      </c>
    </row>
    <row r="762" spans="1:8">
      <c r="A762" s="19" t="s">
        <v>1513</v>
      </c>
      <c r="B762" s="19" t="s">
        <v>3492</v>
      </c>
      <c r="C762" s="19" t="s">
        <v>2264</v>
      </c>
      <c r="D762" s="19" t="s">
        <v>2885</v>
      </c>
      <c r="E762" s="19" t="s">
        <v>3103</v>
      </c>
      <c r="F762" s="19">
        <v>8.6999999999999993</v>
      </c>
      <c r="G762" s="19" t="s">
        <v>2154</v>
      </c>
      <c r="H762" s="19" t="s">
        <v>2160</v>
      </c>
    </row>
    <row r="763" spans="1:8">
      <c r="A763" s="18" t="s">
        <v>1513</v>
      </c>
      <c r="B763" s="18" t="s">
        <v>3493</v>
      </c>
      <c r="C763" s="18" t="s">
        <v>1948</v>
      </c>
      <c r="D763" s="18" t="s">
        <v>3306</v>
      </c>
      <c r="E763" s="18" t="s">
        <v>2401</v>
      </c>
      <c r="F763" s="18">
        <v>7.02</v>
      </c>
      <c r="G763" s="18" t="s">
        <v>2154</v>
      </c>
      <c r="H763" s="18" t="s">
        <v>2187</v>
      </c>
    </row>
    <row r="764" spans="1:8">
      <c r="A764" s="19" t="s">
        <v>1513</v>
      </c>
      <c r="B764" s="19" t="s">
        <v>3494</v>
      </c>
      <c r="C764" s="19" t="s">
        <v>2269</v>
      </c>
      <c r="D764" s="19" t="s">
        <v>2331</v>
      </c>
      <c r="E764" s="19" t="s">
        <v>3029</v>
      </c>
      <c r="F764" s="19">
        <v>10.19</v>
      </c>
      <c r="G764" s="19" t="s">
        <v>2154</v>
      </c>
      <c r="H764" s="19" t="s">
        <v>2160</v>
      </c>
    </row>
    <row r="765" spans="1:8">
      <c r="A765" s="18" t="s">
        <v>1513</v>
      </c>
      <c r="B765" s="18" t="s">
        <v>3495</v>
      </c>
      <c r="C765" s="18" t="s">
        <v>2273</v>
      </c>
      <c r="D765" s="18" t="s">
        <v>3496</v>
      </c>
      <c r="E765" s="18" t="s">
        <v>3497</v>
      </c>
      <c r="F765" s="18">
        <v>7.93</v>
      </c>
      <c r="G765" s="18" t="s">
        <v>2154</v>
      </c>
      <c r="H765" s="18" t="s">
        <v>2187</v>
      </c>
    </row>
    <row r="766" spans="1:8">
      <c r="A766" s="19" t="s">
        <v>1513</v>
      </c>
      <c r="B766" s="19" t="s">
        <v>3498</v>
      </c>
      <c r="C766" s="19" t="s">
        <v>2277</v>
      </c>
      <c r="D766" s="19" t="s">
        <v>3239</v>
      </c>
      <c r="E766" s="19" t="s">
        <v>2736</v>
      </c>
      <c r="F766" s="19">
        <v>10.28</v>
      </c>
      <c r="G766" s="19" t="s">
        <v>2154</v>
      </c>
      <c r="H766" s="19" t="s">
        <v>2160</v>
      </c>
    </row>
    <row r="767" spans="1:8">
      <c r="A767" s="18" t="s">
        <v>1513</v>
      </c>
      <c r="B767" s="18" t="s">
        <v>3499</v>
      </c>
      <c r="C767" s="18" t="s">
        <v>2281</v>
      </c>
      <c r="D767" s="18" t="s">
        <v>3278</v>
      </c>
      <c r="E767" s="18" t="s">
        <v>3351</v>
      </c>
      <c r="F767" s="18">
        <v>10.72</v>
      </c>
      <c r="G767" s="18" t="s">
        <v>2154</v>
      </c>
      <c r="H767" s="18" t="s">
        <v>2171</v>
      </c>
    </row>
    <row r="768" spans="1:8">
      <c r="A768" s="19" t="s">
        <v>1513</v>
      </c>
      <c r="B768" s="19" t="s">
        <v>3500</v>
      </c>
      <c r="C768" s="19" t="s">
        <v>2396</v>
      </c>
      <c r="D768" s="19" t="s">
        <v>2423</v>
      </c>
      <c r="E768" s="19" t="s">
        <v>3175</v>
      </c>
      <c r="F768" s="19">
        <v>10.42</v>
      </c>
      <c r="G768" s="19" t="s">
        <v>2154</v>
      </c>
      <c r="H768" s="19" t="s">
        <v>2187</v>
      </c>
    </row>
    <row r="769" spans="1:8">
      <c r="A769" s="18" t="s">
        <v>1513</v>
      </c>
      <c r="B769" s="18" t="s">
        <v>3501</v>
      </c>
      <c r="C769" s="18" t="s">
        <v>2289</v>
      </c>
      <c r="D769" s="18" t="s">
        <v>2597</v>
      </c>
      <c r="E769" s="18" t="s">
        <v>2576</v>
      </c>
      <c r="F769" s="18">
        <v>9.92</v>
      </c>
      <c r="G769" s="18" t="s">
        <v>2154</v>
      </c>
      <c r="H769" s="18" t="s">
        <v>2171</v>
      </c>
    </row>
    <row r="770" spans="1:8">
      <c r="A770" s="19" t="s">
        <v>1513</v>
      </c>
      <c r="B770" s="19" t="s">
        <v>3502</v>
      </c>
      <c r="C770" s="19" t="s">
        <v>2293</v>
      </c>
      <c r="D770" s="19" t="s">
        <v>2516</v>
      </c>
      <c r="E770" s="19" t="s">
        <v>3503</v>
      </c>
      <c r="F770" s="19">
        <v>6.94</v>
      </c>
      <c r="G770" s="19" t="s">
        <v>2154</v>
      </c>
      <c r="H770" s="19" t="s">
        <v>2160</v>
      </c>
    </row>
    <row r="771" spans="1:8">
      <c r="A771" s="18" t="s">
        <v>1513</v>
      </c>
      <c r="B771" s="18" t="s">
        <v>3504</v>
      </c>
      <c r="C771" s="18" t="s">
        <v>2296</v>
      </c>
      <c r="D771" s="18" t="s">
        <v>2703</v>
      </c>
      <c r="E771" s="18" t="s">
        <v>2519</v>
      </c>
      <c r="F771" s="18">
        <v>10.68</v>
      </c>
      <c r="G771" s="18" t="s">
        <v>2154</v>
      </c>
      <c r="H771" s="18" t="s">
        <v>2187</v>
      </c>
    </row>
    <row r="772" spans="1:8">
      <c r="A772" s="19" t="s">
        <v>1513</v>
      </c>
      <c r="B772" s="19" t="s">
        <v>3505</v>
      </c>
      <c r="C772" s="19" t="s">
        <v>2300</v>
      </c>
      <c r="D772" s="19" t="s">
        <v>2403</v>
      </c>
      <c r="E772" s="19" t="s">
        <v>3331</v>
      </c>
      <c r="F772" s="19">
        <v>9.85</v>
      </c>
      <c r="G772" s="19" t="s">
        <v>2154</v>
      </c>
      <c r="H772" s="19" t="s">
        <v>2160</v>
      </c>
    </row>
    <row r="773" spans="1:8">
      <c r="A773" s="18" t="s">
        <v>1513</v>
      </c>
      <c r="B773" s="18" t="s">
        <v>3506</v>
      </c>
      <c r="C773" s="18" t="s">
        <v>2144</v>
      </c>
      <c r="D773" s="18" t="s">
        <v>2304</v>
      </c>
      <c r="E773" s="18" t="s">
        <v>2480</v>
      </c>
      <c r="F773" s="18">
        <v>7.49</v>
      </c>
      <c r="G773" s="18" t="s">
        <v>2154</v>
      </c>
      <c r="H773" s="18" t="s">
        <v>2171</v>
      </c>
    </row>
    <row r="774" spans="1:8">
      <c r="A774" s="19" t="s">
        <v>1513</v>
      </c>
      <c r="B774" s="19" t="s">
        <v>3507</v>
      </c>
      <c r="C774" s="19" t="s">
        <v>2307</v>
      </c>
      <c r="D774" s="19" t="s">
        <v>3051</v>
      </c>
      <c r="E774" s="19" t="s">
        <v>3366</v>
      </c>
      <c r="F774" s="19">
        <v>9.8800000000000008</v>
      </c>
      <c r="G774" s="19" t="s">
        <v>2154</v>
      </c>
      <c r="H774" s="19" t="s">
        <v>2155</v>
      </c>
    </row>
    <row r="775" spans="1:8">
      <c r="A775" s="18" t="s">
        <v>1513</v>
      </c>
      <c r="B775" s="18" t="s">
        <v>3508</v>
      </c>
      <c r="C775" s="18" t="s">
        <v>2311</v>
      </c>
      <c r="D775" s="18" t="s">
        <v>2955</v>
      </c>
      <c r="E775" s="18" t="s">
        <v>3391</v>
      </c>
      <c r="F775" s="18">
        <v>9.74</v>
      </c>
      <c r="G775" s="18" t="s">
        <v>2154</v>
      </c>
      <c r="H775" s="18" t="s">
        <v>2160</v>
      </c>
    </row>
    <row r="776" spans="1:8">
      <c r="A776" s="19" t="s">
        <v>969</v>
      </c>
      <c r="B776" s="19" t="s">
        <v>3509</v>
      </c>
      <c r="C776" s="19" t="s">
        <v>2038</v>
      </c>
      <c r="D776" s="19" t="s">
        <v>3085</v>
      </c>
      <c r="E776" s="19" t="s">
        <v>3510</v>
      </c>
      <c r="F776" s="19">
        <v>10.84</v>
      </c>
      <c r="G776" s="19" t="s">
        <v>2154</v>
      </c>
      <c r="H776" s="19" t="s">
        <v>2187</v>
      </c>
    </row>
    <row r="777" spans="1:8">
      <c r="A777" s="18" t="s">
        <v>969</v>
      </c>
      <c r="B777" s="18" t="s">
        <v>3511</v>
      </c>
      <c r="C777" s="18" t="s">
        <v>2157</v>
      </c>
      <c r="D777" s="18" t="s">
        <v>2951</v>
      </c>
      <c r="E777" s="18" t="s">
        <v>2866</v>
      </c>
      <c r="F777" s="18">
        <v>10.93</v>
      </c>
      <c r="G777" s="18" t="s">
        <v>2154</v>
      </c>
      <c r="H777" s="18" t="s">
        <v>2187</v>
      </c>
    </row>
    <row r="778" spans="1:8">
      <c r="A778" s="19" t="s">
        <v>969</v>
      </c>
      <c r="B778" s="19" t="s">
        <v>3512</v>
      </c>
      <c r="C778" s="19" t="s">
        <v>2162</v>
      </c>
      <c r="D778" s="19" t="s">
        <v>3066</v>
      </c>
      <c r="E778" s="19" t="s">
        <v>3513</v>
      </c>
      <c r="F778" s="19">
        <v>6.7</v>
      </c>
      <c r="G778" s="19" t="s">
        <v>2154</v>
      </c>
      <c r="H778" s="19" t="s">
        <v>2155</v>
      </c>
    </row>
    <row r="779" spans="1:8">
      <c r="A779" s="18" t="s">
        <v>969</v>
      </c>
      <c r="B779" s="18" t="s">
        <v>3514</v>
      </c>
      <c r="C779" s="18" t="s">
        <v>1937</v>
      </c>
      <c r="D779" s="18" t="s">
        <v>2286</v>
      </c>
      <c r="E779" s="18" t="s">
        <v>3043</v>
      </c>
      <c r="F779" s="18">
        <v>8.4</v>
      </c>
      <c r="G779" s="18" t="s">
        <v>2154</v>
      </c>
      <c r="H779" s="18" t="s">
        <v>2171</v>
      </c>
    </row>
    <row r="780" spans="1:8">
      <c r="A780" s="19" t="s">
        <v>969</v>
      </c>
      <c r="B780" s="19" t="s">
        <v>3515</v>
      </c>
      <c r="C780" s="19" t="s">
        <v>2168</v>
      </c>
      <c r="D780" s="19" t="s">
        <v>2632</v>
      </c>
      <c r="E780" s="19" t="s">
        <v>2633</v>
      </c>
      <c r="F780" s="19">
        <v>10.83</v>
      </c>
      <c r="G780" s="19" t="s">
        <v>2154</v>
      </c>
      <c r="H780" s="19" t="s">
        <v>2171</v>
      </c>
    </row>
    <row r="781" spans="1:8">
      <c r="A781" s="18" t="s">
        <v>969</v>
      </c>
      <c r="B781" s="18" t="s">
        <v>3516</v>
      </c>
      <c r="C781" s="18" t="s">
        <v>3517</v>
      </c>
      <c r="D781" s="18" t="s">
        <v>2457</v>
      </c>
      <c r="E781" s="18" t="s">
        <v>3518</v>
      </c>
      <c r="F781" s="18">
        <v>11.18</v>
      </c>
      <c r="G781" s="18" t="s">
        <v>2154</v>
      </c>
      <c r="H781" s="18" t="s">
        <v>2160</v>
      </c>
    </row>
    <row r="782" spans="1:8">
      <c r="A782" s="19" t="s">
        <v>969</v>
      </c>
      <c r="B782" s="19" t="s">
        <v>3519</v>
      </c>
      <c r="C782" s="19" t="s">
        <v>2177</v>
      </c>
      <c r="D782" s="19" t="s">
        <v>2423</v>
      </c>
      <c r="E782" s="19" t="s">
        <v>3193</v>
      </c>
      <c r="F782" s="19">
        <v>6.91</v>
      </c>
      <c r="G782" s="19" t="s">
        <v>2154</v>
      </c>
      <c r="H782" s="19" t="s">
        <v>2171</v>
      </c>
    </row>
    <row r="783" spans="1:8">
      <c r="A783" s="18" t="s">
        <v>969</v>
      </c>
      <c r="B783" s="18" t="s">
        <v>3520</v>
      </c>
      <c r="C783" s="18" t="s">
        <v>1945</v>
      </c>
      <c r="D783" s="18" t="s">
        <v>2766</v>
      </c>
      <c r="E783" s="18" t="s">
        <v>2924</v>
      </c>
      <c r="F783" s="18">
        <v>10.8</v>
      </c>
      <c r="G783" s="18" t="s">
        <v>2154</v>
      </c>
      <c r="H783" s="18" t="s">
        <v>2187</v>
      </c>
    </row>
    <row r="784" spans="1:8">
      <c r="A784" s="19" t="s">
        <v>969</v>
      </c>
      <c r="B784" s="19" t="s">
        <v>3521</v>
      </c>
      <c r="C784" s="19" t="s">
        <v>2184</v>
      </c>
      <c r="D784" s="19" t="s">
        <v>2397</v>
      </c>
      <c r="E784" s="19" t="s">
        <v>2465</v>
      </c>
      <c r="F784" s="19">
        <v>7.04</v>
      </c>
      <c r="G784" s="19" t="s">
        <v>2154</v>
      </c>
      <c r="H784" s="19" t="s">
        <v>2160</v>
      </c>
    </row>
    <row r="785" spans="1:8">
      <c r="A785" s="18" t="s">
        <v>969</v>
      </c>
      <c r="B785" s="18" t="s">
        <v>3522</v>
      </c>
      <c r="C785" s="18" t="s">
        <v>2189</v>
      </c>
      <c r="D785" s="18"/>
      <c r="E785" s="18"/>
      <c r="F785" s="18"/>
      <c r="G785" s="18" t="s">
        <v>2220</v>
      </c>
      <c r="H785" s="18" t="s">
        <v>2187</v>
      </c>
    </row>
    <row r="786" spans="1:8">
      <c r="A786" s="19" t="s">
        <v>969</v>
      </c>
      <c r="B786" s="19" t="s">
        <v>3523</v>
      </c>
      <c r="C786" s="19" t="s">
        <v>2193</v>
      </c>
      <c r="D786" s="19" t="s">
        <v>2377</v>
      </c>
      <c r="E786" s="19" t="s">
        <v>3463</v>
      </c>
      <c r="F786" s="19">
        <v>7.55</v>
      </c>
      <c r="G786" s="19" t="s">
        <v>2154</v>
      </c>
      <c r="H786" s="19" t="s">
        <v>2155</v>
      </c>
    </row>
    <row r="787" spans="1:8">
      <c r="A787" s="18" t="s">
        <v>969</v>
      </c>
      <c r="B787" s="18" t="s">
        <v>3524</v>
      </c>
      <c r="C787" s="18" t="s">
        <v>2646</v>
      </c>
      <c r="D787" s="18" t="s">
        <v>2482</v>
      </c>
      <c r="E787" s="18" t="s">
        <v>2882</v>
      </c>
      <c r="F787" s="18">
        <v>9.8000000000000007</v>
      </c>
      <c r="G787" s="18" t="s">
        <v>2154</v>
      </c>
      <c r="H787" s="18" t="s">
        <v>2187</v>
      </c>
    </row>
    <row r="788" spans="1:8">
      <c r="A788" s="19" t="s">
        <v>969</v>
      </c>
      <c r="B788" s="19" t="s">
        <v>3525</v>
      </c>
      <c r="C788" s="19" t="s">
        <v>1819</v>
      </c>
      <c r="D788" s="19" t="s">
        <v>2464</v>
      </c>
      <c r="E788" s="19" t="s">
        <v>3241</v>
      </c>
      <c r="F788" s="19">
        <v>9.66</v>
      </c>
      <c r="G788" s="19" t="s">
        <v>2154</v>
      </c>
      <c r="H788" s="19" t="s">
        <v>2171</v>
      </c>
    </row>
    <row r="789" spans="1:8">
      <c r="A789" s="18" t="s">
        <v>969</v>
      </c>
      <c r="B789" s="18" t="s">
        <v>3526</v>
      </c>
      <c r="C789" s="18" t="s">
        <v>2204</v>
      </c>
      <c r="D789" s="18" t="s">
        <v>3106</v>
      </c>
      <c r="E789" s="18" t="s">
        <v>3116</v>
      </c>
      <c r="F789" s="18">
        <v>9.6999999999999993</v>
      </c>
      <c r="G789" s="18" t="s">
        <v>2154</v>
      </c>
      <c r="H789" s="18" t="s">
        <v>2155</v>
      </c>
    </row>
    <row r="790" spans="1:8">
      <c r="A790" s="19" t="s">
        <v>969</v>
      </c>
      <c r="B790" s="19" t="s">
        <v>3527</v>
      </c>
      <c r="C790" s="19" t="s">
        <v>1843</v>
      </c>
      <c r="D790" s="19" t="s">
        <v>2246</v>
      </c>
      <c r="E790" s="19" t="s">
        <v>2434</v>
      </c>
      <c r="F790" s="19">
        <v>10.53</v>
      </c>
      <c r="G790" s="19" t="s">
        <v>2154</v>
      </c>
      <c r="H790" s="19" t="s">
        <v>2171</v>
      </c>
    </row>
    <row r="791" spans="1:8">
      <c r="A791" s="18" t="s">
        <v>969</v>
      </c>
      <c r="B791" s="18" t="s">
        <v>3528</v>
      </c>
      <c r="C791" s="18" t="s">
        <v>2211</v>
      </c>
      <c r="D791" s="18" t="s">
        <v>2158</v>
      </c>
      <c r="E791" s="18" t="s">
        <v>2159</v>
      </c>
      <c r="F791" s="18">
        <v>7.14</v>
      </c>
      <c r="G791" s="18" t="s">
        <v>2154</v>
      </c>
      <c r="H791" s="18" t="s">
        <v>2155</v>
      </c>
    </row>
    <row r="792" spans="1:8">
      <c r="A792" s="19" t="s">
        <v>969</v>
      </c>
      <c r="B792" s="19" t="s">
        <v>3529</v>
      </c>
      <c r="C792" s="19" t="s">
        <v>2215</v>
      </c>
      <c r="D792" s="19" t="s">
        <v>2270</v>
      </c>
      <c r="E792" s="19" t="s">
        <v>2655</v>
      </c>
      <c r="F792" s="19">
        <v>6.87</v>
      </c>
      <c r="G792" s="19" t="s">
        <v>2154</v>
      </c>
      <c r="H792" s="19" t="s">
        <v>2160</v>
      </c>
    </row>
    <row r="793" spans="1:8">
      <c r="A793" s="18" t="s">
        <v>969</v>
      </c>
      <c r="B793" s="18" t="s">
        <v>3530</v>
      </c>
      <c r="C793" s="18" t="s">
        <v>2219</v>
      </c>
      <c r="D793" s="18" t="s">
        <v>2319</v>
      </c>
      <c r="E793" s="18" t="s">
        <v>2565</v>
      </c>
      <c r="F793" s="18">
        <v>6.66</v>
      </c>
      <c r="G793" s="18" t="s">
        <v>2154</v>
      </c>
      <c r="H793" s="18" t="s">
        <v>2155</v>
      </c>
    </row>
    <row r="794" spans="1:8">
      <c r="A794" s="19" t="s">
        <v>969</v>
      </c>
      <c r="B794" s="19" t="s">
        <v>3531</v>
      </c>
      <c r="C794" s="19" t="s">
        <v>2222</v>
      </c>
      <c r="D794" s="19" t="s">
        <v>2680</v>
      </c>
      <c r="E794" s="19" t="s">
        <v>3245</v>
      </c>
      <c r="F794" s="19">
        <v>7.13</v>
      </c>
      <c r="G794" s="19" t="s">
        <v>2154</v>
      </c>
      <c r="H794" s="19" t="s">
        <v>2155</v>
      </c>
    </row>
    <row r="795" spans="1:8">
      <c r="A795" s="18" t="s">
        <v>969</v>
      </c>
      <c r="B795" s="18" t="s">
        <v>3532</v>
      </c>
      <c r="C795" s="18" t="s">
        <v>2226</v>
      </c>
      <c r="D795" s="18" t="s">
        <v>2966</v>
      </c>
      <c r="E795" s="18" t="s">
        <v>3157</v>
      </c>
      <c r="F795" s="18">
        <v>7.14</v>
      </c>
      <c r="G795" s="18" t="s">
        <v>2154</v>
      </c>
      <c r="H795" s="18" t="s">
        <v>2187</v>
      </c>
    </row>
    <row r="796" spans="1:8">
      <c r="A796" s="19" t="s">
        <v>969</v>
      </c>
      <c r="B796" s="19" t="s">
        <v>3533</v>
      </c>
      <c r="C796" s="19" t="s">
        <v>2230</v>
      </c>
      <c r="D796" s="19" t="s">
        <v>2789</v>
      </c>
      <c r="E796" s="19" t="s">
        <v>3391</v>
      </c>
      <c r="F796" s="19">
        <v>10.67</v>
      </c>
      <c r="G796" s="19" t="s">
        <v>2154</v>
      </c>
      <c r="H796" s="19" t="s">
        <v>2155</v>
      </c>
    </row>
    <row r="797" spans="1:8">
      <c r="A797" s="18" t="s">
        <v>969</v>
      </c>
      <c r="B797" s="18" t="s">
        <v>3534</v>
      </c>
      <c r="C797" s="18" t="s">
        <v>2234</v>
      </c>
      <c r="D797" s="18" t="s">
        <v>2345</v>
      </c>
      <c r="E797" s="18" t="s">
        <v>2736</v>
      </c>
      <c r="F797" s="18">
        <v>8.9499999999999993</v>
      </c>
      <c r="G797" s="18" t="s">
        <v>2154</v>
      </c>
      <c r="H797" s="18" t="s">
        <v>2171</v>
      </c>
    </row>
    <row r="798" spans="1:8">
      <c r="A798" s="19" t="s">
        <v>969</v>
      </c>
      <c r="B798" s="19" t="s">
        <v>3535</v>
      </c>
      <c r="C798" s="19" t="s">
        <v>2238</v>
      </c>
      <c r="D798" s="19" t="s">
        <v>2488</v>
      </c>
      <c r="E798" s="19" t="s">
        <v>3536</v>
      </c>
      <c r="F798" s="19">
        <v>11</v>
      </c>
      <c r="G798" s="19" t="s">
        <v>2154</v>
      </c>
      <c r="H798" s="19" t="s">
        <v>2187</v>
      </c>
    </row>
    <row r="799" spans="1:8">
      <c r="A799" s="18" t="s">
        <v>969</v>
      </c>
      <c r="B799" s="18" t="s">
        <v>3537</v>
      </c>
      <c r="C799" s="18" t="s">
        <v>2241</v>
      </c>
      <c r="D799" s="18" t="s">
        <v>3010</v>
      </c>
      <c r="E799" s="18" t="s">
        <v>2360</v>
      </c>
      <c r="F799" s="18">
        <v>10.47</v>
      </c>
      <c r="G799" s="18" t="s">
        <v>2154</v>
      </c>
      <c r="H799" s="18" t="s">
        <v>2155</v>
      </c>
    </row>
    <row r="800" spans="1:8">
      <c r="A800" s="19" t="s">
        <v>969</v>
      </c>
      <c r="B800" s="19" t="s">
        <v>3538</v>
      </c>
      <c r="C800" s="19" t="s">
        <v>2245</v>
      </c>
      <c r="D800" s="19" t="s">
        <v>2592</v>
      </c>
      <c r="E800" s="19" t="s">
        <v>2641</v>
      </c>
      <c r="F800" s="19">
        <v>10.51</v>
      </c>
      <c r="G800" s="19" t="s">
        <v>2154</v>
      </c>
      <c r="H800" s="19" t="s">
        <v>2160</v>
      </c>
    </row>
    <row r="801" spans="1:8">
      <c r="A801" s="18" t="s">
        <v>969</v>
      </c>
      <c r="B801" s="18" t="s">
        <v>3539</v>
      </c>
      <c r="C801" s="18" t="s">
        <v>2249</v>
      </c>
      <c r="D801" s="18" t="s">
        <v>2457</v>
      </c>
      <c r="E801" s="18" t="s">
        <v>2458</v>
      </c>
      <c r="F801" s="18">
        <v>6.81</v>
      </c>
      <c r="G801" s="18" t="s">
        <v>2154</v>
      </c>
      <c r="H801" s="18" t="s">
        <v>2187</v>
      </c>
    </row>
    <row r="802" spans="1:8">
      <c r="A802" s="19" t="s">
        <v>969</v>
      </c>
      <c r="B802" s="19" t="s">
        <v>3540</v>
      </c>
      <c r="C802" s="19" t="s">
        <v>2252</v>
      </c>
      <c r="D802" s="19" t="s">
        <v>2770</v>
      </c>
      <c r="E802" s="19" t="s">
        <v>3425</v>
      </c>
      <c r="F802" s="19">
        <v>7.05</v>
      </c>
      <c r="G802" s="19" t="s">
        <v>2154</v>
      </c>
      <c r="H802" s="19" t="s">
        <v>2187</v>
      </c>
    </row>
    <row r="803" spans="1:8">
      <c r="A803" s="18" t="s">
        <v>969</v>
      </c>
      <c r="B803" s="18" t="s">
        <v>3541</v>
      </c>
      <c r="C803" s="18" t="s">
        <v>2376</v>
      </c>
      <c r="D803" s="18" t="s">
        <v>2572</v>
      </c>
      <c r="E803" s="18" t="s">
        <v>3279</v>
      </c>
      <c r="F803" s="18">
        <v>10.34</v>
      </c>
      <c r="G803" s="18" t="s">
        <v>2154</v>
      </c>
      <c r="H803" s="18" t="s">
        <v>2160</v>
      </c>
    </row>
    <row r="804" spans="1:8">
      <c r="A804" s="19" t="s">
        <v>969</v>
      </c>
      <c r="B804" s="19" t="s">
        <v>3542</v>
      </c>
      <c r="C804" s="19" t="s">
        <v>2260</v>
      </c>
      <c r="D804" s="19" t="s">
        <v>2297</v>
      </c>
      <c r="E804" s="19" t="s">
        <v>3543</v>
      </c>
      <c r="F804" s="19">
        <v>6.97</v>
      </c>
      <c r="G804" s="19" t="s">
        <v>2154</v>
      </c>
      <c r="H804" s="19" t="s">
        <v>2187</v>
      </c>
    </row>
    <row r="805" spans="1:8">
      <c r="A805" s="18" t="s">
        <v>969</v>
      </c>
      <c r="B805" s="18" t="s">
        <v>3544</v>
      </c>
      <c r="C805" s="18" t="s">
        <v>2264</v>
      </c>
      <c r="D805" s="18" t="s">
        <v>2594</v>
      </c>
      <c r="E805" s="18" t="s">
        <v>3545</v>
      </c>
      <c r="F805" s="18">
        <v>7.44</v>
      </c>
      <c r="G805" s="18" t="s">
        <v>2154</v>
      </c>
      <c r="H805" s="18" t="s">
        <v>2160</v>
      </c>
    </row>
    <row r="806" spans="1:8">
      <c r="A806" s="19" t="s">
        <v>969</v>
      </c>
      <c r="B806" s="19" t="s">
        <v>3546</v>
      </c>
      <c r="C806" s="19" t="s">
        <v>1948</v>
      </c>
      <c r="D806" s="19" t="s">
        <v>2158</v>
      </c>
      <c r="E806" s="19" t="s">
        <v>2224</v>
      </c>
      <c r="F806" s="19">
        <v>9.4600000000000009</v>
      </c>
      <c r="G806" s="19" t="s">
        <v>2154</v>
      </c>
      <c r="H806" s="19" t="s">
        <v>2155</v>
      </c>
    </row>
    <row r="807" spans="1:8">
      <c r="A807" s="18" t="s">
        <v>969</v>
      </c>
      <c r="B807" s="18" t="s">
        <v>3547</v>
      </c>
      <c r="C807" s="18" t="s">
        <v>2269</v>
      </c>
      <c r="D807" s="18" t="s">
        <v>2545</v>
      </c>
      <c r="E807" s="18" t="s">
        <v>2653</v>
      </c>
      <c r="F807" s="18">
        <v>8.64</v>
      </c>
      <c r="G807" s="18" t="s">
        <v>2154</v>
      </c>
      <c r="H807" s="18" t="s">
        <v>2160</v>
      </c>
    </row>
    <row r="808" spans="1:8">
      <c r="A808" s="19" t="s">
        <v>969</v>
      </c>
      <c r="B808" s="19" t="s">
        <v>3548</v>
      </c>
      <c r="C808" s="19" t="s">
        <v>2273</v>
      </c>
      <c r="D808" s="19" t="s">
        <v>2616</v>
      </c>
      <c r="E808" s="19" t="s">
        <v>3549</v>
      </c>
      <c r="F808" s="19">
        <v>9.08</v>
      </c>
      <c r="G808" s="19" t="s">
        <v>2154</v>
      </c>
      <c r="H808" s="19" t="s">
        <v>2155</v>
      </c>
    </row>
    <row r="809" spans="1:8">
      <c r="A809" s="18" t="s">
        <v>969</v>
      </c>
      <c r="B809" s="18" t="s">
        <v>3550</v>
      </c>
      <c r="C809" s="18" t="s">
        <v>2277</v>
      </c>
      <c r="D809" s="18" t="s">
        <v>2393</v>
      </c>
      <c r="E809" s="18" t="s">
        <v>2946</v>
      </c>
      <c r="F809" s="18">
        <v>10.29</v>
      </c>
      <c r="G809" s="18" t="s">
        <v>2154</v>
      </c>
      <c r="H809" s="18" t="s">
        <v>2160</v>
      </c>
    </row>
    <row r="810" spans="1:8">
      <c r="A810" s="19" t="s">
        <v>969</v>
      </c>
      <c r="B810" s="19" t="s">
        <v>3551</v>
      </c>
      <c r="C810" s="19" t="s">
        <v>2281</v>
      </c>
      <c r="D810" s="19" t="s">
        <v>3180</v>
      </c>
      <c r="E810" s="19" t="s">
        <v>3552</v>
      </c>
      <c r="F810" s="19">
        <v>11.29</v>
      </c>
      <c r="G810" s="19" t="s">
        <v>2154</v>
      </c>
      <c r="H810" s="19" t="s">
        <v>2160</v>
      </c>
    </row>
    <row r="811" spans="1:8">
      <c r="A811" s="18" t="s">
        <v>969</v>
      </c>
      <c r="B811" s="18" t="s">
        <v>3553</v>
      </c>
      <c r="C811" s="18" t="s">
        <v>2396</v>
      </c>
      <c r="D811" s="18" t="s">
        <v>2807</v>
      </c>
      <c r="E811" s="18" t="s">
        <v>3355</v>
      </c>
      <c r="F811" s="18">
        <v>6.83</v>
      </c>
      <c r="G811" s="18" t="s">
        <v>2154</v>
      </c>
      <c r="H811" s="18" t="s">
        <v>2171</v>
      </c>
    </row>
    <row r="812" spans="1:8">
      <c r="A812" s="19" t="s">
        <v>969</v>
      </c>
      <c r="B812" s="19" t="s">
        <v>3554</v>
      </c>
      <c r="C812" s="19" t="s">
        <v>2289</v>
      </c>
      <c r="D812" s="19" t="s">
        <v>2693</v>
      </c>
      <c r="E812" s="19" t="s">
        <v>3555</v>
      </c>
      <c r="F812" s="19">
        <v>9.23</v>
      </c>
      <c r="G812" s="19" t="s">
        <v>2154</v>
      </c>
      <c r="H812" s="19" t="s">
        <v>2155</v>
      </c>
    </row>
    <row r="813" spans="1:8">
      <c r="A813" s="18" t="s">
        <v>969</v>
      </c>
      <c r="B813" s="18" t="s">
        <v>3556</v>
      </c>
      <c r="C813" s="18" t="s">
        <v>2293</v>
      </c>
      <c r="D813" s="18" t="s">
        <v>2216</v>
      </c>
      <c r="E813" s="18" t="s">
        <v>2217</v>
      </c>
      <c r="F813" s="18">
        <v>8.64</v>
      </c>
      <c r="G813" s="18" t="s">
        <v>2154</v>
      </c>
      <c r="H813" s="18" t="s">
        <v>2187</v>
      </c>
    </row>
    <row r="814" spans="1:8">
      <c r="A814" s="19" t="s">
        <v>969</v>
      </c>
      <c r="B814" s="19" t="s">
        <v>3557</v>
      </c>
      <c r="C814" s="19" t="s">
        <v>2296</v>
      </c>
      <c r="D814" s="19" t="s">
        <v>3496</v>
      </c>
      <c r="E814" s="19" t="s">
        <v>3463</v>
      </c>
      <c r="F814" s="19">
        <v>8.9600000000000009</v>
      </c>
      <c r="G814" s="19" t="s">
        <v>2154</v>
      </c>
      <c r="H814" s="19" t="s">
        <v>2187</v>
      </c>
    </row>
    <row r="815" spans="1:8">
      <c r="A815" s="18" t="s">
        <v>969</v>
      </c>
      <c r="B815" s="18" t="s">
        <v>3558</v>
      </c>
      <c r="C815" s="18" t="s">
        <v>2300</v>
      </c>
      <c r="D815" s="18" t="s">
        <v>2231</v>
      </c>
      <c r="E815" s="18" t="s">
        <v>2714</v>
      </c>
      <c r="F815" s="18">
        <v>9.7100000000000009</v>
      </c>
      <c r="G815" s="18" t="s">
        <v>2154</v>
      </c>
      <c r="H815" s="18" t="s">
        <v>2187</v>
      </c>
    </row>
    <row r="816" spans="1:8">
      <c r="A816" s="19" t="s">
        <v>969</v>
      </c>
      <c r="B816" s="19" t="s">
        <v>3559</v>
      </c>
      <c r="C816" s="19" t="s">
        <v>2144</v>
      </c>
      <c r="D816" s="19" t="s">
        <v>2362</v>
      </c>
      <c r="E816" s="19" t="s">
        <v>2363</v>
      </c>
      <c r="F816" s="19">
        <v>10.38</v>
      </c>
      <c r="G816" s="19" t="s">
        <v>2154</v>
      </c>
      <c r="H816" s="19" t="s">
        <v>2187</v>
      </c>
    </row>
    <row r="817" spans="1:8">
      <c r="A817" s="18" t="s">
        <v>969</v>
      </c>
      <c r="B817" s="18" t="s">
        <v>3560</v>
      </c>
      <c r="C817" s="18" t="s">
        <v>2307</v>
      </c>
      <c r="D817" s="18" t="s">
        <v>3123</v>
      </c>
      <c r="E817" s="18" t="s">
        <v>2239</v>
      </c>
      <c r="F817" s="18">
        <v>8.61</v>
      </c>
      <c r="G817" s="18" t="s">
        <v>2154</v>
      </c>
      <c r="H817" s="18" t="s">
        <v>2155</v>
      </c>
    </row>
    <row r="818" spans="1:8">
      <c r="A818" s="19" t="s">
        <v>969</v>
      </c>
      <c r="B818" s="19" t="s">
        <v>3561</v>
      </c>
      <c r="C818" s="19" t="s">
        <v>2311</v>
      </c>
      <c r="D818" s="19" t="s">
        <v>3066</v>
      </c>
      <c r="E818" s="19" t="s">
        <v>3404</v>
      </c>
      <c r="F818" s="19">
        <v>10.88</v>
      </c>
      <c r="G818" s="19" t="s">
        <v>2154</v>
      </c>
      <c r="H818" s="19" t="s">
        <v>2155</v>
      </c>
    </row>
    <row r="819" spans="1:8">
      <c r="A819" s="18" t="s">
        <v>189</v>
      </c>
      <c r="B819" s="18" t="s">
        <v>3562</v>
      </c>
      <c r="C819" s="18" t="s">
        <v>2038</v>
      </c>
      <c r="D819" s="18" t="s">
        <v>3299</v>
      </c>
      <c r="E819" s="18" t="s">
        <v>3563</v>
      </c>
      <c r="F819" s="18">
        <v>7.57</v>
      </c>
      <c r="G819" s="18" t="s">
        <v>2154</v>
      </c>
      <c r="H819" s="18" t="s">
        <v>2155</v>
      </c>
    </row>
    <row r="820" spans="1:8">
      <c r="A820" s="19" t="s">
        <v>189</v>
      </c>
      <c r="B820" s="19" t="s">
        <v>3564</v>
      </c>
      <c r="C820" s="19" t="s">
        <v>2157</v>
      </c>
      <c r="D820" s="19" t="s">
        <v>2464</v>
      </c>
      <c r="E820" s="19" t="s">
        <v>2826</v>
      </c>
      <c r="F820" s="19">
        <v>8.06</v>
      </c>
      <c r="G820" s="19" t="s">
        <v>2154</v>
      </c>
      <c r="H820" s="19" t="s">
        <v>2171</v>
      </c>
    </row>
    <row r="821" spans="1:8">
      <c r="A821" s="18" t="s">
        <v>189</v>
      </c>
      <c r="B821" s="18" t="s">
        <v>3565</v>
      </c>
      <c r="C821" s="18" t="s">
        <v>2162</v>
      </c>
      <c r="D821" s="18" t="s">
        <v>2356</v>
      </c>
      <c r="E821" s="18" t="s">
        <v>3064</v>
      </c>
      <c r="F821" s="18">
        <v>9.2899999999999991</v>
      </c>
      <c r="G821" s="18" t="s">
        <v>2154</v>
      </c>
      <c r="H821" s="18" t="s">
        <v>2187</v>
      </c>
    </row>
    <row r="822" spans="1:8">
      <c r="A822" s="19" t="s">
        <v>189</v>
      </c>
      <c r="B822" s="19" t="s">
        <v>3566</v>
      </c>
      <c r="C822" s="19" t="s">
        <v>1937</v>
      </c>
      <c r="D822" s="19" t="s">
        <v>2185</v>
      </c>
      <c r="E822" s="19" t="s">
        <v>3567</v>
      </c>
      <c r="F822" s="19">
        <v>7.06</v>
      </c>
      <c r="G822" s="19" t="s">
        <v>2154</v>
      </c>
      <c r="H822" s="19" t="s">
        <v>2187</v>
      </c>
    </row>
    <row r="823" spans="1:8">
      <c r="A823" s="18" t="s">
        <v>189</v>
      </c>
      <c r="B823" s="18" t="s">
        <v>3568</v>
      </c>
      <c r="C823" s="18" t="s">
        <v>2168</v>
      </c>
      <c r="D823" s="18"/>
      <c r="E823" s="18"/>
      <c r="F823" s="18"/>
      <c r="G823" s="18" t="s">
        <v>2343</v>
      </c>
      <c r="H823" s="18" t="s">
        <v>2160</v>
      </c>
    </row>
    <row r="824" spans="1:8">
      <c r="A824" s="19" t="s">
        <v>189</v>
      </c>
      <c r="B824" s="19" t="s">
        <v>3569</v>
      </c>
      <c r="C824" s="19" t="s">
        <v>2173</v>
      </c>
      <c r="D824" s="19" t="s">
        <v>2880</v>
      </c>
      <c r="E824" s="19" t="s">
        <v>3315</v>
      </c>
      <c r="F824" s="19">
        <v>10.28</v>
      </c>
      <c r="G824" s="19" t="s">
        <v>2154</v>
      </c>
      <c r="H824" s="19" t="s">
        <v>2187</v>
      </c>
    </row>
    <row r="825" spans="1:8">
      <c r="A825" s="18" t="s">
        <v>189</v>
      </c>
      <c r="B825" s="18" t="s">
        <v>3570</v>
      </c>
      <c r="C825" s="18" t="s">
        <v>2177</v>
      </c>
      <c r="D825" s="18" t="s">
        <v>2536</v>
      </c>
      <c r="E825" s="18" t="s">
        <v>2537</v>
      </c>
      <c r="F825" s="18">
        <v>8.93</v>
      </c>
      <c r="G825" s="18" t="s">
        <v>2154</v>
      </c>
      <c r="H825" s="18" t="s">
        <v>2187</v>
      </c>
    </row>
    <row r="826" spans="1:8">
      <c r="A826" s="19" t="s">
        <v>189</v>
      </c>
      <c r="B826" s="19" t="s">
        <v>3571</v>
      </c>
      <c r="C826" s="19" t="s">
        <v>1945</v>
      </c>
      <c r="D826" s="19" t="s">
        <v>2282</v>
      </c>
      <c r="E826" s="19" t="s">
        <v>2777</v>
      </c>
      <c r="F826" s="19">
        <v>6.55</v>
      </c>
      <c r="G826" s="19" t="s">
        <v>2154</v>
      </c>
      <c r="H826" s="19" t="s">
        <v>2155</v>
      </c>
    </row>
    <row r="827" spans="1:8">
      <c r="A827" s="18" t="s">
        <v>189</v>
      </c>
      <c r="B827" s="18" t="s">
        <v>3572</v>
      </c>
      <c r="C827" s="18" t="s">
        <v>2184</v>
      </c>
      <c r="D827" s="18" t="s">
        <v>2286</v>
      </c>
      <c r="E827" s="18" t="s">
        <v>3213</v>
      </c>
      <c r="F827" s="18">
        <v>10.71</v>
      </c>
      <c r="G827" s="18" t="s">
        <v>2154</v>
      </c>
      <c r="H827" s="18" t="s">
        <v>2160</v>
      </c>
    </row>
    <row r="828" spans="1:8">
      <c r="A828" s="19" t="s">
        <v>189</v>
      </c>
      <c r="B828" s="19" t="s">
        <v>3573</v>
      </c>
      <c r="C828" s="19" t="s">
        <v>2189</v>
      </c>
      <c r="D828" s="19" t="s">
        <v>2464</v>
      </c>
      <c r="E828" s="19" t="s">
        <v>3241</v>
      </c>
      <c r="F828" s="19">
        <v>9.7100000000000009</v>
      </c>
      <c r="G828" s="19" t="s">
        <v>2154</v>
      </c>
      <c r="H828" s="19" t="s">
        <v>2155</v>
      </c>
    </row>
    <row r="829" spans="1:8">
      <c r="A829" s="18" t="s">
        <v>189</v>
      </c>
      <c r="B829" s="18" t="s">
        <v>3574</v>
      </c>
      <c r="C829" s="18" t="s">
        <v>2193</v>
      </c>
      <c r="D829" s="18" t="s">
        <v>2684</v>
      </c>
      <c r="E829" s="18" t="s">
        <v>3008</v>
      </c>
      <c r="F829" s="18">
        <v>9</v>
      </c>
      <c r="G829" s="18" t="s">
        <v>2154</v>
      </c>
      <c r="H829" s="18" t="s">
        <v>2155</v>
      </c>
    </row>
    <row r="830" spans="1:8">
      <c r="A830" s="19" t="s">
        <v>189</v>
      </c>
      <c r="B830" s="19" t="s">
        <v>3575</v>
      </c>
      <c r="C830" s="19" t="s">
        <v>2197</v>
      </c>
      <c r="D830" s="19" t="s">
        <v>2796</v>
      </c>
      <c r="E830" s="19" t="s">
        <v>2797</v>
      </c>
      <c r="F830" s="19">
        <v>8.89</v>
      </c>
      <c r="G830" s="19" t="s">
        <v>2154</v>
      </c>
      <c r="H830" s="19" t="s">
        <v>2171</v>
      </c>
    </row>
    <row r="831" spans="1:8">
      <c r="A831" s="18" t="s">
        <v>189</v>
      </c>
      <c r="B831" s="18" t="s">
        <v>3576</v>
      </c>
      <c r="C831" s="18" t="s">
        <v>1819</v>
      </c>
      <c r="D831" s="18" t="s">
        <v>2345</v>
      </c>
      <c r="E831" s="18" t="s">
        <v>3577</v>
      </c>
      <c r="F831" s="18">
        <v>11.31</v>
      </c>
      <c r="G831" s="18" t="s">
        <v>2154</v>
      </c>
      <c r="H831" s="18" t="s">
        <v>2160</v>
      </c>
    </row>
    <row r="832" spans="1:8">
      <c r="A832" s="19" t="s">
        <v>189</v>
      </c>
      <c r="B832" s="19" t="s">
        <v>3578</v>
      </c>
      <c r="C832" s="19" t="s">
        <v>2204</v>
      </c>
      <c r="D832" s="19" t="s">
        <v>2205</v>
      </c>
      <c r="E832" s="19" t="s">
        <v>2206</v>
      </c>
      <c r="F832" s="19">
        <v>11.16</v>
      </c>
      <c r="G832" s="19" t="s">
        <v>2154</v>
      </c>
      <c r="H832" s="19" t="s">
        <v>2187</v>
      </c>
    </row>
    <row r="833" spans="1:8">
      <c r="A833" s="18" t="s">
        <v>189</v>
      </c>
      <c r="B833" s="18" t="s">
        <v>3579</v>
      </c>
      <c r="C833" s="18" t="s">
        <v>1843</v>
      </c>
      <c r="D833" s="18" t="s">
        <v>2419</v>
      </c>
      <c r="E833" s="18" t="s">
        <v>3404</v>
      </c>
      <c r="F833" s="18">
        <v>8.27</v>
      </c>
      <c r="G833" s="18" t="s">
        <v>2154</v>
      </c>
      <c r="H833" s="18" t="s">
        <v>2171</v>
      </c>
    </row>
    <row r="834" spans="1:8">
      <c r="A834" s="19" t="s">
        <v>189</v>
      </c>
      <c r="B834" s="19" t="s">
        <v>3580</v>
      </c>
      <c r="C834" s="19" t="s">
        <v>2211</v>
      </c>
      <c r="D834" s="19" t="s">
        <v>2503</v>
      </c>
      <c r="E834" s="19" t="s">
        <v>3302</v>
      </c>
      <c r="F834" s="19">
        <v>10.18</v>
      </c>
      <c r="G834" s="19" t="s">
        <v>2154</v>
      </c>
      <c r="H834" s="19" t="s">
        <v>2187</v>
      </c>
    </row>
    <row r="835" spans="1:8">
      <c r="A835" s="18" t="s">
        <v>189</v>
      </c>
      <c r="B835" s="18" t="s">
        <v>3581</v>
      </c>
      <c r="C835" s="18" t="s">
        <v>2215</v>
      </c>
      <c r="D835" s="18" t="s">
        <v>2567</v>
      </c>
      <c r="E835" s="18" t="s">
        <v>3101</v>
      </c>
      <c r="F835" s="18">
        <v>8.49</v>
      </c>
      <c r="G835" s="18" t="s">
        <v>2154</v>
      </c>
      <c r="H835" s="18" t="s">
        <v>2155</v>
      </c>
    </row>
    <row r="836" spans="1:8">
      <c r="A836" s="19" t="s">
        <v>189</v>
      </c>
      <c r="B836" s="19" t="s">
        <v>3582</v>
      </c>
      <c r="C836" s="19" t="s">
        <v>3583</v>
      </c>
      <c r="D836" s="19" t="s">
        <v>2584</v>
      </c>
      <c r="E836" s="19" t="s">
        <v>2417</v>
      </c>
      <c r="F836" s="19">
        <v>8.01</v>
      </c>
      <c r="G836" s="19" t="s">
        <v>2154</v>
      </c>
      <c r="H836" s="19" t="s">
        <v>2171</v>
      </c>
    </row>
    <row r="837" spans="1:8">
      <c r="A837" s="18" t="s">
        <v>189</v>
      </c>
      <c r="B837" s="18" t="s">
        <v>3584</v>
      </c>
      <c r="C837" s="18" t="s">
        <v>2222</v>
      </c>
      <c r="D837" s="18" t="s">
        <v>2400</v>
      </c>
      <c r="E837" s="18" t="s">
        <v>2401</v>
      </c>
      <c r="F837" s="18">
        <v>8.15</v>
      </c>
      <c r="G837" s="18" t="s">
        <v>2154</v>
      </c>
      <c r="H837" s="18" t="s">
        <v>2187</v>
      </c>
    </row>
    <row r="838" spans="1:8">
      <c r="A838" s="19" t="s">
        <v>189</v>
      </c>
      <c r="B838" s="19" t="s">
        <v>3585</v>
      </c>
      <c r="C838" s="19" t="s">
        <v>2226</v>
      </c>
      <c r="D838" s="19" t="s">
        <v>2955</v>
      </c>
      <c r="E838" s="19" t="s">
        <v>2790</v>
      </c>
      <c r="F838" s="19">
        <v>6.97</v>
      </c>
      <c r="G838" s="19" t="s">
        <v>2154</v>
      </c>
      <c r="H838" s="19" t="s">
        <v>2160</v>
      </c>
    </row>
    <row r="839" spans="1:8">
      <c r="A839" s="18" t="s">
        <v>189</v>
      </c>
      <c r="B839" s="18" t="s">
        <v>3586</v>
      </c>
      <c r="C839" s="18" t="s">
        <v>2230</v>
      </c>
      <c r="D839" s="18" t="s">
        <v>2380</v>
      </c>
      <c r="E839" s="18" t="s">
        <v>2934</v>
      </c>
      <c r="F839" s="18">
        <v>8.5399999999999991</v>
      </c>
      <c r="G839" s="18" t="s">
        <v>2154</v>
      </c>
      <c r="H839" s="18" t="s">
        <v>2171</v>
      </c>
    </row>
    <row r="840" spans="1:8">
      <c r="A840" s="19" t="s">
        <v>189</v>
      </c>
      <c r="B840" s="19" t="s">
        <v>3587</v>
      </c>
      <c r="C840" s="19" t="s">
        <v>2234</v>
      </c>
      <c r="D840" s="19" t="s">
        <v>2282</v>
      </c>
      <c r="E840" s="19" t="s">
        <v>2861</v>
      </c>
      <c r="F840" s="19">
        <v>10.7</v>
      </c>
      <c r="G840" s="19" t="s">
        <v>2154</v>
      </c>
      <c r="H840" s="19" t="s">
        <v>2160</v>
      </c>
    </row>
    <row r="841" spans="1:8">
      <c r="A841" s="18" t="s">
        <v>189</v>
      </c>
      <c r="B841" s="18" t="s">
        <v>3588</v>
      </c>
      <c r="C841" s="18" t="s">
        <v>2238</v>
      </c>
      <c r="D841" s="18" t="s">
        <v>2457</v>
      </c>
      <c r="E841" s="18" t="s">
        <v>3153</v>
      </c>
      <c r="F841" s="18">
        <v>10.06</v>
      </c>
      <c r="G841" s="18" t="s">
        <v>2154</v>
      </c>
      <c r="H841" s="18" t="s">
        <v>2155</v>
      </c>
    </row>
    <row r="842" spans="1:8">
      <c r="A842" s="19" t="s">
        <v>189</v>
      </c>
      <c r="B842" s="19" t="s">
        <v>3589</v>
      </c>
      <c r="C842" s="19" t="s">
        <v>2241</v>
      </c>
      <c r="D842" s="19" t="s">
        <v>2362</v>
      </c>
      <c r="E842" s="19" t="s">
        <v>2363</v>
      </c>
      <c r="F842" s="19">
        <v>10.43</v>
      </c>
      <c r="G842" s="19" t="s">
        <v>2154</v>
      </c>
      <c r="H842" s="19" t="s">
        <v>2187</v>
      </c>
    </row>
    <row r="843" spans="1:8">
      <c r="A843" s="18" t="s">
        <v>189</v>
      </c>
      <c r="B843" s="18" t="s">
        <v>3590</v>
      </c>
      <c r="C843" s="18" t="s">
        <v>2245</v>
      </c>
      <c r="D843" s="18" t="s">
        <v>2158</v>
      </c>
      <c r="E843" s="18" t="s">
        <v>3093</v>
      </c>
      <c r="F843" s="18">
        <v>10.36</v>
      </c>
      <c r="G843" s="18" t="s">
        <v>2154</v>
      </c>
      <c r="H843" s="18" t="s">
        <v>2187</v>
      </c>
    </row>
    <row r="844" spans="1:8">
      <c r="A844" s="19" t="s">
        <v>189</v>
      </c>
      <c r="B844" s="19" t="s">
        <v>3591</v>
      </c>
      <c r="C844" s="19" t="s">
        <v>2249</v>
      </c>
      <c r="D844" s="19" t="s">
        <v>2616</v>
      </c>
      <c r="E844" s="19" t="s">
        <v>2617</v>
      </c>
      <c r="F844" s="19">
        <v>6.85</v>
      </c>
      <c r="G844" s="19" t="s">
        <v>2154</v>
      </c>
      <c r="H844" s="19" t="s">
        <v>2155</v>
      </c>
    </row>
    <row r="845" spans="1:8">
      <c r="A845" s="18" t="s">
        <v>189</v>
      </c>
      <c r="B845" s="18" t="s">
        <v>3592</v>
      </c>
      <c r="C845" s="18" t="s">
        <v>2252</v>
      </c>
      <c r="D845" s="18" t="s">
        <v>2235</v>
      </c>
      <c r="E845" s="18" t="s">
        <v>3593</v>
      </c>
      <c r="F845" s="18">
        <v>9.68</v>
      </c>
      <c r="G845" s="18" t="s">
        <v>2154</v>
      </c>
      <c r="H845" s="18" t="s">
        <v>2187</v>
      </c>
    </row>
    <row r="846" spans="1:8">
      <c r="A846" s="19" t="s">
        <v>189</v>
      </c>
      <c r="B846" s="19" t="s">
        <v>3594</v>
      </c>
      <c r="C846" s="19" t="s">
        <v>2376</v>
      </c>
      <c r="D846" s="19" t="s">
        <v>2331</v>
      </c>
      <c r="E846" s="19" t="s">
        <v>2817</v>
      </c>
      <c r="F846" s="19">
        <v>6.84</v>
      </c>
      <c r="G846" s="19" t="s">
        <v>2154</v>
      </c>
      <c r="H846" s="19" t="s">
        <v>2160</v>
      </c>
    </row>
    <row r="847" spans="1:8">
      <c r="A847" s="18" t="s">
        <v>189</v>
      </c>
      <c r="B847" s="18" t="s">
        <v>3595</v>
      </c>
      <c r="C847" s="18" t="s">
        <v>2260</v>
      </c>
      <c r="D847" s="18" t="s">
        <v>2426</v>
      </c>
      <c r="E847" s="18" t="s">
        <v>2170</v>
      </c>
      <c r="F847" s="18">
        <v>11.17</v>
      </c>
      <c r="G847" s="18" t="s">
        <v>2154</v>
      </c>
      <c r="H847" s="18" t="s">
        <v>2187</v>
      </c>
    </row>
    <row r="848" spans="1:8">
      <c r="A848" s="19" t="s">
        <v>189</v>
      </c>
      <c r="B848" s="19" t="s">
        <v>3596</v>
      </c>
      <c r="C848" s="19" t="s">
        <v>2264</v>
      </c>
      <c r="D848" s="19" t="s">
        <v>3597</v>
      </c>
      <c r="E848" s="19" t="s">
        <v>2267</v>
      </c>
      <c r="F848" s="19">
        <v>9.6999999999999993</v>
      </c>
      <c r="G848" s="19" t="s">
        <v>2154</v>
      </c>
      <c r="H848" s="19" t="s">
        <v>2160</v>
      </c>
    </row>
    <row r="849" spans="1:8">
      <c r="A849" s="18" t="s">
        <v>189</v>
      </c>
      <c r="B849" s="18" t="s">
        <v>3598</v>
      </c>
      <c r="C849" s="18" t="s">
        <v>1948</v>
      </c>
      <c r="D849" s="18" t="s">
        <v>2632</v>
      </c>
      <c r="E849" s="18" t="s">
        <v>3599</v>
      </c>
      <c r="F849" s="18">
        <v>11.06</v>
      </c>
      <c r="G849" s="18" t="s">
        <v>2154</v>
      </c>
      <c r="H849" s="18" t="s">
        <v>2171</v>
      </c>
    </row>
    <row r="850" spans="1:8">
      <c r="A850" s="19" t="s">
        <v>189</v>
      </c>
      <c r="B850" s="19" t="s">
        <v>3600</v>
      </c>
      <c r="C850" s="19" t="s">
        <v>2269</v>
      </c>
      <c r="D850" s="19" t="s">
        <v>2253</v>
      </c>
      <c r="E850" s="19" t="s">
        <v>2670</v>
      </c>
      <c r="F850" s="19">
        <v>8.06</v>
      </c>
      <c r="G850" s="19" t="s">
        <v>2154</v>
      </c>
      <c r="H850" s="19" t="s">
        <v>2171</v>
      </c>
    </row>
    <row r="851" spans="1:8">
      <c r="A851" s="18" t="s">
        <v>189</v>
      </c>
      <c r="B851" s="18" t="s">
        <v>3601</v>
      </c>
      <c r="C851" s="18" t="s">
        <v>2273</v>
      </c>
      <c r="D851" s="18" t="s">
        <v>2709</v>
      </c>
      <c r="E851" s="18" t="s">
        <v>2710</v>
      </c>
      <c r="F851" s="18">
        <v>8.76</v>
      </c>
      <c r="G851" s="18" t="s">
        <v>2154</v>
      </c>
      <c r="H851" s="18" t="s">
        <v>2187</v>
      </c>
    </row>
    <row r="852" spans="1:8">
      <c r="A852" s="19" t="s">
        <v>189</v>
      </c>
      <c r="B852" s="19" t="s">
        <v>3602</v>
      </c>
      <c r="C852" s="19" t="s">
        <v>2277</v>
      </c>
      <c r="D852" s="19" t="s">
        <v>2541</v>
      </c>
      <c r="E852" s="19" t="s">
        <v>3599</v>
      </c>
      <c r="F852" s="19">
        <v>10.49</v>
      </c>
      <c r="G852" s="19" t="s">
        <v>2154</v>
      </c>
      <c r="H852" s="19" t="s">
        <v>2187</v>
      </c>
    </row>
    <row r="853" spans="1:8">
      <c r="A853" s="18" t="s">
        <v>189</v>
      </c>
      <c r="B853" s="18" t="s">
        <v>3603</v>
      </c>
      <c r="C853" s="18" t="s">
        <v>2281</v>
      </c>
      <c r="D853" s="18" t="s">
        <v>2479</v>
      </c>
      <c r="E853" s="18" t="s">
        <v>3226</v>
      </c>
      <c r="F853" s="18">
        <v>7.25</v>
      </c>
      <c r="G853" s="18" t="s">
        <v>2154</v>
      </c>
      <c r="H853" s="18" t="s">
        <v>2171</v>
      </c>
    </row>
    <row r="854" spans="1:8">
      <c r="A854" s="19" t="s">
        <v>189</v>
      </c>
      <c r="B854" s="19" t="s">
        <v>3604</v>
      </c>
      <c r="C854" s="19" t="s">
        <v>2396</v>
      </c>
      <c r="D854" s="19" t="s">
        <v>2403</v>
      </c>
      <c r="E854" s="19" t="s">
        <v>3331</v>
      </c>
      <c r="F854" s="19">
        <v>9.06</v>
      </c>
      <c r="G854" s="19" t="s">
        <v>2154</v>
      </c>
      <c r="H854" s="19" t="s">
        <v>2155</v>
      </c>
    </row>
    <row r="855" spans="1:8">
      <c r="A855" s="18" t="s">
        <v>189</v>
      </c>
      <c r="B855" s="18" t="s">
        <v>3605</v>
      </c>
      <c r="C855" s="18" t="s">
        <v>2289</v>
      </c>
      <c r="D855" s="18" t="s">
        <v>2572</v>
      </c>
      <c r="E855" s="18" t="s">
        <v>3279</v>
      </c>
      <c r="F855" s="18">
        <v>10.3</v>
      </c>
      <c r="G855" s="18" t="s">
        <v>2154</v>
      </c>
      <c r="H855" s="18" t="s">
        <v>2155</v>
      </c>
    </row>
    <row r="856" spans="1:8">
      <c r="A856" s="19" t="s">
        <v>189</v>
      </c>
      <c r="B856" s="19" t="s">
        <v>3606</v>
      </c>
      <c r="C856" s="19" t="s">
        <v>2293</v>
      </c>
      <c r="D856" s="19" t="s">
        <v>3085</v>
      </c>
      <c r="E856" s="19" t="s">
        <v>3086</v>
      </c>
      <c r="F856" s="19">
        <v>11.24</v>
      </c>
      <c r="G856" s="19" t="s">
        <v>2154</v>
      </c>
      <c r="H856" s="19" t="s">
        <v>2187</v>
      </c>
    </row>
    <row r="857" spans="1:8">
      <c r="A857" s="18" t="s">
        <v>189</v>
      </c>
      <c r="B857" s="18" t="s">
        <v>3607</v>
      </c>
      <c r="C857" s="18" t="s">
        <v>2296</v>
      </c>
      <c r="D857" s="18" t="s">
        <v>3123</v>
      </c>
      <c r="E857" s="18" t="s">
        <v>2317</v>
      </c>
      <c r="F857" s="18">
        <v>6.68</v>
      </c>
      <c r="G857" s="18" t="s">
        <v>2154</v>
      </c>
      <c r="H857" s="18" t="s">
        <v>2171</v>
      </c>
    </row>
    <row r="858" spans="1:8">
      <c r="A858" s="19" t="s">
        <v>189</v>
      </c>
      <c r="B858" s="19" t="s">
        <v>3608</v>
      </c>
      <c r="C858" s="19" t="s">
        <v>2300</v>
      </c>
      <c r="D858" s="19" t="s">
        <v>2174</v>
      </c>
      <c r="E858" s="19" t="s">
        <v>3064</v>
      </c>
      <c r="F858" s="19">
        <v>10.33</v>
      </c>
      <c r="G858" s="19" t="s">
        <v>2154</v>
      </c>
      <c r="H858" s="19" t="s">
        <v>2171</v>
      </c>
    </row>
    <row r="859" spans="1:8">
      <c r="A859" s="18" t="s">
        <v>189</v>
      </c>
      <c r="B859" s="18" t="s">
        <v>3609</v>
      </c>
      <c r="C859" s="18" t="s">
        <v>2144</v>
      </c>
      <c r="D859" s="18" t="s">
        <v>3299</v>
      </c>
      <c r="E859" s="18" t="s">
        <v>2175</v>
      </c>
      <c r="F859" s="18">
        <v>8.19</v>
      </c>
      <c r="G859" s="18" t="s">
        <v>2154</v>
      </c>
      <c r="H859" s="18" t="s">
        <v>2171</v>
      </c>
    </row>
    <row r="860" spans="1:8">
      <c r="A860" s="19" t="s">
        <v>189</v>
      </c>
      <c r="B860" s="19" t="s">
        <v>3610</v>
      </c>
      <c r="C860" s="19" t="s">
        <v>2307</v>
      </c>
      <c r="D860" s="19" t="s">
        <v>2494</v>
      </c>
      <c r="E860" s="19" t="s">
        <v>3611</v>
      </c>
      <c r="F860" s="19">
        <v>7.68</v>
      </c>
      <c r="G860" s="19" t="s">
        <v>2154</v>
      </c>
      <c r="H860" s="19" t="s">
        <v>2187</v>
      </c>
    </row>
    <row r="861" spans="1:8">
      <c r="A861" s="18" t="s">
        <v>189</v>
      </c>
      <c r="B861" s="18" t="s">
        <v>3612</v>
      </c>
      <c r="C861" s="18" t="s">
        <v>2311</v>
      </c>
      <c r="D861" s="18" t="s">
        <v>2443</v>
      </c>
      <c r="E861" s="18" t="s">
        <v>2444</v>
      </c>
      <c r="F861" s="18">
        <v>10.130000000000001</v>
      </c>
      <c r="G861" s="18" t="s">
        <v>2154</v>
      </c>
      <c r="H861" s="18" t="s">
        <v>2160</v>
      </c>
    </row>
    <row r="862" spans="1:8">
      <c r="A862" s="19" t="s">
        <v>1140</v>
      </c>
      <c r="B862" s="19" t="s">
        <v>3613</v>
      </c>
      <c r="C862" s="19" t="s">
        <v>2038</v>
      </c>
      <c r="D862" s="19" t="s">
        <v>2611</v>
      </c>
      <c r="E862" s="19" t="s">
        <v>2239</v>
      </c>
      <c r="F862" s="19">
        <v>10</v>
      </c>
      <c r="G862" s="19" t="s">
        <v>2154</v>
      </c>
      <c r="H862" s="19" t="s">
        <v>2160</v>
      </c>
    </row>
    <row r="863" spans="1:8">
      <c r="A863" s="18" t="s">
        <v>1140</v>
      </c>
      <c r="B863" s="18" t="s">
        <v>3614</v>
      </c>
      <c r="C863" s="18" t="s">
        <v>2157</v>
      </c>
      <c r="D863" s="18" t="s">
        <v>2521</v>
      </c>
      <c r="E863" s="18" t="s">
        <v>3615</v>
      </c>
      <c r="F863" s="18">
        <v>6.96</v>
      </c>
      <c r="G863" s="18" t="s">
        <v>2154</v>
      </c>
      <c r="H863" s="18" t="s">
        <v>2160</v>
      </c>
    </row>
    <row r="864" spans="1:8">
      <c r="A864" s="19" t="s">
        <v>1140</v>
      </c>
      <c r="B864" s="19" t="s">
        <v>3616</v>
      </c>
      <c r="C864" s="19" t="s">
        <v>2162</v>
      </c>
      <c r="D864" s="19" t="s">
        <v>2581</v>
      </c>
      <c r="E864" s="19" t="s">
        <v>2582</v>
      </c>
      <c r="F864" s="19">
        <v>9.16</v>
      </c>
      <c r="G864" s="19" t="s">
        <v>2154</v>
      </c>
      <c r="H864" s="19" t="s">
        <v>2155</v>
      </c>
    </row>
    <row r="865" spans="1:8">
      <c r="A865" s="18" t="s">
        <v>1140</v>
      </c>
      <c r="B865" s="18" t="s">
        <v>3617</v>
      </c>
      <c r="C865" s="18" t="s">
        <v>1937</v>
      </c>
      <c r="D865" s="18" t="s">
        <v>2572</v>
      </c>
      <c r="E865" s="18" t="s">
        <v>2573</v>
      </c>
      <c r="F865" s="18">
        <v>11.12</v>
      </c>
      <c r="G865" s="18" t="s">
        <v>2154</v>
      </c>
      <c r="H865" s="18" t="s">
        <v>2187</v>
      </c>
    </row>
    <row r="866" spans="1:8">
      <c r="A866" s="19" t="s">
        <v>1140</v>
      </c>
      <c r="B866" s="19" t="s">
        <v>3618</v>
      </c>
      <c r="C866" s="19" t="s">
        <v>2168</v>
      </c>
      <c r="D866" s="19" t="s">
        <v>2286</v>
      </c>
      <c r="E866" s="19" t="s">
        <v>3043</v>
      </c>
      <c r="F866" s="19">
        <v>8.81</v>
      </c>
      <c r="G866" s="19" t="s">
        <v>2154</v>
      </c>
      <c r="H866" s="19" t="s">
        <v>2155</v>
      </c>
    </row>
    <row r="867" spans="1:8">
      <c r="A867" s="18" t="s">
        <v>1140</v>
      </c>
      <c r="B867" s="18" t="s">
        <v>3619</v>
      </c>
      <c r="C867" s="18" t="s">
        <v>2173</v>
      </c>
      <c r="D867" s="18" t="s">
        <v>2606</v>
      </c>
      <c r="E867" s="18" t="s">
        <v>3620</v>
      </c>
      <c r="F867" s="18">
        <v>11.34</v>
      </c>
      <c r="G867" s="18" t="s">
        <v>2154</v>
      </c>
      <c r="H867" s="18" t="s">
        <v>2171</v>
      </c>
    </row>
    <row r="868" spans="1:8">
      <c r="A868" s="19" t="s">
        <v>1140</v>
      </c>
      <c r="B868" s="19" t="s">
        <v>3621</v>
      </c>
      <c r="C868" s="19" t="s">
        <v>2177</v>
      </c>
      <c r="D868" s="19" t="s">
        <v>2194</v>
      </c>
      <c r="E868" s="19" t="s">
        <v>2195</v>
      </c>
      <c r="F868" s="19">
        <v>9.83</v>
      </c>
      <c r="G868" s="19" t="s">
        <v>2154</v>
      </c>
      <c r="H868" s="19" t="s">
        <v>2155</v>
      </c>
    </row>
    <row r="869" spans="1:8">
      <c r="A869" s="18" t="s">
        <v>1140</v>
      </c>
      <c r="B869" s="18" t="s">
        <v>3622</v>
      </c>
      <c r="C869" s="18" t="s">
        <v>1945</v>
      </c>
      <c r="D869" s="18" t="s">
        <v>2359</v>
      </c>
      <c r="E869" s="18" t="s">
        <v>3437</v>
      </c>
      <c r="F869" s="18">
        <v>8.69</v>
      </c>
      <c r="G869" s="18" t="s">
        <v>2154</v>
      </c>
      <c r="H869" s="18" t="s">
        <v>2155</v>
      </c>
    </row>
    <row r="870" spans="1:8">
      <c r="A870" s="19" t="s">
        <v>1140</v>
      </c>
      <c r="B870" s="19" t="s">
        <v>3623</v>
      </c>
      <c r="C870" s="19" t="s">
        <v>2184</v>
      </c>
      <c r="D870" s="19" t="s">
        <v>2835</v>
      </c>
      <c r="E870" s="19" t="s">
        <v>3304</v>
      </c>
      <c r="F870" s="19">
        <v>7.42</v>
      </c>
      <c r="G870" s="19" t="s">
        <v>2154</v>
      </c>
      <c r="H870" s="19" t="s">
        <v>2160</v>
      </c>
    </row>
    <row r="871" spans="1:8">
      <c r="A871" s="18" t="s">
        <v>1140</v>
      </c>
      <c r="B871" s="18" t="s">
        <v>3624</v>
      </c>
      <c r="C871" s="18" t="s">
        <v>2189</v>
      </c>
      <c r="D871" s="18" t="s">
        <v>2703</v>
      </c>
      <c r="E871" s="18" t="s">
        <v>2704</v>
      </c>
      <c r="F871" s="18">
        <v>7.6</v>
      </c>
      <c r="G871" s="18" t="s">
        <v>2154</v>
      </c>
      <c r="H871" s="18" t="s">
        <v>2155</v>
      </c>
    </row>
    <row r="872" spans="1:8">
      <c r="A872" s="19" t="s">
        <v>1140</v>
      </c>
      <c r="B872" s="19" t="s">
        <v>3625</v>
      </c>
      <c r="C872" s="19" t="s">
        <v>2193</v>
      </c>
      <c r="D872" s="19" t="s">
        <v>2297</v>
      </c>
      <c r="E872" s="19" t="s">
        <v>2779</v>
      </c>
      <c r="F872" s="19">
        <v>11.34</v>
      </c>
      <c r="G872" s="19" t="s">
        <v>2154</v>
      </c>
      <c r="H872" s="19" t="s">
        <v>2155</v>
      </c>
    </row>
    <row r="873" spans="1:8">
      <c r="A873" s="18" t="s">
        <v>1140</v>
      </c>
      <c r="B873" s="18" t="s">
        <v>3626</v>
      </c>
      <c r="C873" s="18" t="s">
        <v>2197</v>
      </c>
      <c r="D873" s="18" t="s">
        <v>2227</v>
      </c>
      <c r="E873" s="18" t="s">
        <v>2931</v>
      </c>
      <c r="F873" s="18">
        <v>10.19</v>
      </c>
      <c r="G873" s="18" t="s">
        <v>2154</v>
      </c>
      <c r="H873" s="18" t="s">
        <v>2171</v>
      </c>
    </row>
    <row r="874" spans="1:8">
      <c r="A874" s="19" t="s">
        <v>1140</v>
      </c>
      <c r="B874" s="19" t="s">
        <v>3627</v>
      </c>
      <c r="C874" s="19" t="s">
        <v>1819</v>
      </c>
      <c r="D874" s="19" t="s">
        <v>2766</v>
      </c>
      <c r="E874" s="19" t="s">
        <v>2924</v>
      </c>
      <c r="F874" s="19">
        <v>10.16</v>
      </c>
      <c r="G874" s="19" t="s">
        <v>2154</v>
      </c>
      <c r="H874" s="19" t="s">
        <v>2160</v>
      </c>
    </row>
    <row r="875" spans="1:8">
      <c r="A875" s="18" t="s">
        <v>1140</v>
      </c>
      <c r="B875" s="18" t="s">
        <v>3628</v>
      </c>
      <c r="C875" s="18" t="s">
        <v>2204</v>
      </c>
      <c r="D875" s="18" t="s">
        <v>2464</v>
      </c>
      <c r="E875" s="18" t="s">
        <v>3241</v>
      </c>
      <c r="F875" s="18">
        <v>9.51</v>
      </c>
      <c r="G875" s="18" t="s">
        <v>2154</v>
      </c>
      <c r="H875" s="18" t="s">
        <v>2187</v>
      </c>
    </row>
    <row r="876" spans="1:8">
      <c r="A876" s="19" t="s">
        <v>1140</v>
      </c>
      <c r="B876" s="19" t="s">
        <v>3629</v>
      </c>
      <c r="C876" s="19" t="s">
        <v>1843</v>
      </c>
      <c r="D876" s="19" t="s">
        <v>2282</v>
      </c>
      <c r="E876" s="19" t="s">
        <v>2279</v>
      </c>
      <c r="F876" s="19">
        <v>7.21</v>
      </c>
      <c r="G876" s="19" t="s">
        <v>2154</v>
      </c>
      <c r="H876" s="19" t="s">
        <v>2155</v>
      </c>
    </row>
    <row r="877" spans="1:8">
      <c r="A877" s="18" t="s">
        <v>1140</v>
      </c>
      <c r="B877" s="18" t="s">
        <v>3630</v>
      </c>
      <c r="C877" s="18" t="s">
        <v>2211</v>
      </c>
      <c r="D877" s="18" t="s">
        <v>2696</v>
      </c>
      <c r="E877" s="18" t="s">
        <v>2434</v>
      </c>
      <c r="F877" s="18">
        <v>9.74</v>
      </c>
      <c r="G877" s="18" t="s">
        <v>2154</v>
      </c>
      <c r="H877" s="18" t="s">
        <v>2187</v>
      </c>
    </row>
    <row r="878" spans="1:8">
      <c r="A878" s="19" t="s">
        <v>1140</v>
      </c>
      <c r="B878" s="19" t="s">
        <v>3631</v>
      </c>
      <c r="C878" s="19" t="s">
        <v>2215</v>
      </c>
      <c r="D878" s="19" t="s">
        <v>2734</v>
      </c>
      <c r="E878" s="19" t="s">
        <v>2447</v>
      </c>
      <c r="F878" s="19">
        <v>9.16</v>
      </c>
      <c r="G878" s="19" t="s">
        <v>2154</v>
      </c>
      <c r="H878" s="19" t="s">
        <v>2160</v>
      </c>
    </row>
    <row r="879" spans="1:8">
      <c r="A879" s="18" t="s">
        <v>1140</v>
      </c>
      <c r="B879" s="18" t="s">
        <v>3632</v>
      </c>
      <c r="C879" s="18" t="s">
        <v>3583</v>
      </c>
      <c r="D879" s="18" t="s">
        <v>2534</v>
      </c>
      <c r="E879" s="18" t="s">
        <v>2287</v>
      </c>
      <c r="F879" s="18">
        <v>10.93</v>
      </c>
      <c r="G879" s="18" t="s">
        <v>2154</v>
      </c>
      <c r="H879" s="18" t="s">
        <v>2187</v>
      </c>
    </row>
    <row r="880" spans="1:8">
      <c r="A880" s="19" t="s">
        <v>1140</v>
      </c>
      <c r="B880" s="19" t="s">
        <v>3633</v>
      </c>
      <c r="C880" s="19" t="s">
        <v>3634</v>
      </c>
      <c r="D880" s="19" t="s">
        <v>2308</v>
      </c>
      <c r="E880" s="19" t="s">
        <v>3635</v>
      </c>
      <c r="F880" s="19">
        <v>8.59</v>
      </c>
      <c r="G880" s="19" t="s">
        <v>2154</v>
      </c>
      <c r="H880" s="19" t="s">
        <v>2187</v>
      </c>
    </row>
    <row r="881" spans="1:8">
      <c r="A881" s="18" t="s">
        <v>1140</v>
      </c>
      <c r="B881" s="18" t="s">
        <v>3636</v>
      </c>
      <c r="C881" s="18" t="s">
        <v>2226</v>
      </c>
      <c r="D881" s="18" t="s">
        <v>2536</v>
      </c>
      <c r="E881" s="18" t="s">
        <v>2529</v>
      </c>
      <c r="F881" s="18">
        <v>7.25</v>
      </c>
      <c r="G881" s="18" t="s">
        <v>2154</v>
      </c>
      <c r="H881" s="18" t="s">
        <v>2160</v>
      </c>
    </row>
    <row r="882" spans="1:8">
      <c r="A882" s="19" t="s">
        <v>1140</v>
      </c>
      <c r="B882" s="19" t="s">
        <v>3637</v>
      </c>
      <c r="C882" s="19" t="s">
        <v>2230</v>
      </c>
      <c r="D882" s="19" t="s">
        <v>2365</v>
      </c>
      <c r="E882" s="19" t="s">
        <v>2366</v>
      </c>
      <c r="F882" s="19">
        <v>7.19</v>
      </c>
      <c r="G882" s="19" t="s">
        <v>2154</v>
      </c>
      <c r="H882" s="19" t="s">
        <v>2155</v>
      </c>
    </row>
    <row r="883" spans="1:8">
      <c r="A883" s="18" t="s">
        <v>1140</v>
      </c>
      <c r="B883" s="18" t="s">
        <v>3638</v>
      </c>
      <c r="C883" s="18" t="s">
        <v>2234</v>
      </c>
      <c r="D883" s="18" t="s">
        <v>2703</v>
      </c>
      <c r="E883" s="18" t="s">
        <v>2519</v>
      </c>
      <c r="F883" s="18">
        <v>10.15</v>
      </c>
      <c r="G883" s="18" t="s">
        <v>2154</v>
      </c>
      <c r="H883" s="18" t="s">
        <v>2171</v>
      </c>
    </row>
    <row r="884" spans="1:8">
      <c r="A884" s="19" t="s">
        <v>1140</v>
      </c>
      <c r="B884" s="19" t="s">
        <v>3639</v>
      </c>
      <c r="C884" s="19" t="s">
        <v>2238</v>
      </c>
      <c r="D884" s="19" t="s">
        <v>2830</v>
      </c>
      <c r="E884" s="19" t="s">
        <v>2831</v>
      </c>
      <c r="F884" s="19">
        <v>9.73</v>
      </c>
      <c r="G884" s="19" t="s">
        <v>2154</v>
      </c>
      <c r="H884" s="19" t="s">
        <v>2155</v>
      </c>
    </row>
    <row r="885" spans="1:8">
      <c r="A885" s="18" t="s">
        <v>1140</v>
      </c>
      <c r="B885" s="18" t="s">
        <v>3640</v>
      </c>
      <c r="C885" s="18" t="s">
        <v>2241</v>
      </c>
      <c r="D885" s="18" t="s">
        <v>2383</v>
      </c>
      <c r="E885" s="18" t="s">
        <v>2489</v>
      </c>
      <c r="F885" s="18">
        <v>9.8000000000000007</v>
      </c>
      <c r="G885" s="18" t="s">
        <v>2154</v>
      </c>
      <c r="H885" s="18" t="s">
        <v>2155</v>
      </c>
    </row>
    <row r="886" spans="1:8">
      <c r="A886" s="19" t="s">
        <v>1140</v>
      </c>
      <c r="B886" s="19" t="s">
        <v>3641</v>
      </c>
      <c r="C886" s="19" t="s">
        <v>2476</v>
      </c>
      <c r="D886" s="19" t="s">
        <v>2201</v>
      </c>
      <c r="E886" s="19" t="s">
        <v>2895</v>
      </c>
      <c r="F886" s="19">
        <v>8.9600000000000009</v>
      </c>
      <c r="G886" s="19" t="s">
        <v>2154</v>
      </c>
      <c r="H886" s="19" t="s">
        <v>2155</v>
      </c>
    </row>
    <row r="887" spans="1:8">
      <c r="A887" s="18" t="s">
        <v>1140</v>
      </c>
      <c r="B887" s="18" t="s">
        <v>3642</v>
      </c>
      <c r="C887" s="18" t="s">
        <v>2249</v>
      </c>
      <c r="D887" s="18" t="s">
        <v>2431</v>
      </c>
      <c r="E887" s="18" t="s">
        <v>3643</v>
      </c>
      <c r="F887" s="18">
        <v>11.33</v>
      </c>
      <c r="G887" s="18" t="s">
        <v>2154</v>
      </c>
      <c r="H887" s="18" t="s">
        <v>2171</v>
      </c>
    </row>
    <row r="888" spans="1:8">
      <c r="A888" s="19" t="s">
        <v>1140</v>
      </c>
      <c r="B888" s="19" t="s">
        <v>3644</v>
      </c>
      <c r="C888" s="19" t="s">
        <v>2252</v>
      </c>
      <c r="D888" s="19"/>
      <c r="E888" s="19"/>
      <c r="F888" s="19"/>
      <c r="G888" s="19" t="s">
        <v>2220</v>
      </c>
      <c r="H888" s="19" t="s">
        <v>2160</v>
      </c>
    </row>
    <row r="889" spans="1:8">
      <c r="A889" s="18" t="s">
        <v>1140</v>
      </c>
      <c r="B889" s="18" t="s">
        <v>3645</v>
      </c>
      <c r="C889" s="18" t="s">
        <v>2376</v>
      </c>
      <c r="D889" s="18" t="s">
        <v>2351</v>
      </c>
      <c r="E889" s="18" t="s">
        <v>2913</v>
      </c>
      <c r="F889" s="18">
        <v>8.64</v>
      </c>
      <c r="G889" s="18" t="s">
        <v>2154</v>
      </c>
      <c r="H889" s="18" t="s">
        <v>2171</v>
      </c>
    </row>
    <row r="890" spans="1:8">
      <c r="A890" s="19" t="s">
        <v>1140</v>
      </c>
      <c r="B890" s="19" t="s">
        <v>3646</v>
      </c>
      <c r="C890" s="19" t="s">
        <v>2260</v>
      </c>
      <c r="D890" s="19" t="s">
        <v>2700</v>
      </c>
      <c r="E890" s="19" t="s">
        <v>2897</v>
      </c>
      <c r="F890" s="19">
        <v>9.52</v>
      </c>
      <c r="G890" s="19" t="s">
        <v>2154</v>
      </c>
      <c r="H890" s="19" t="s">
        <v>2155</v>
      </c>
    </row>
    <row r="891" spans="1:8">
      <c r="A891" s="18" t="s">
        <v>1140</v>
      </c>
      <c r="B891" s="18" t="s">
        <v>3647</v>
      </c>
      <c r="C891" s="18" t="s">
        <v>2264</v>
      </c>
      <c r="D891" s="18" t="s">
        <v>2880</v>
      </c>
      <c r="E891" s="18" t="s">
        <v>3315</v>
      </c>
      <c r="F891" s="18">
        <v>10.28</v>
      </c>
      <c r="G891" s="18" t="s">
        <v>2154</v>
      </c>
      <c r="H891" s="18" t="s">
        <v>2187</v>
      </c>
    </row>
    <row r="892" spans="1:8">
      <c r="A892" s="19" t="s">
        <v>1140</v>
      </c>
      <c r="B892" s="19" t="s">
        <v>3648</v>
      </c>
      <c r="C892" s="19" t="s">
        <v>1948</v>
      </c>
      <c r="D892" s="19" t="s">
        <v>2488</v>
      </c>
      <c r="E892" s="19" t="s">
        <v>3118</v>
      </c>
      <c r="F892" s="19">
        <v>9.0299999999999994</v>
      </c>
      <c r="G892" s="19" t="s">
        <v>2154</v>
      </c>
      <c r="H892" s="19" t="s">
        <v>2187</v>
      </c>
    </row>
    <row r="893" spans="1:8">
      <c r="A893" s="18" t="s">
        <v>1140</v>
      </c>
      <c r="B893" s="18" t="s">
        <v>3649</v>
      </c>
      <c r="C893" s="18" t="s">
        <v>2269</v>
      </c>
      <c r="D893" s="18" t="s">
        <v>3597</v>
      </c>
      <c r="E893" s="18" t="s">
        <v>2267</v>
      </c>
      <c r="F893" s="18">
        <v>9.26</v>
      </c>
      <c r="G893" s="18" t="s">
        <v>2154</v>
      </c>
      <c r="H893" s="18" t="s">
        <v>2155</v>
      </c>
    </row>
    <row r="894" spans="1:8">
      <c r="A894" s="19" t="s">
        <v>1140</v>
      </c>
      <c r="B894" s="19" t="s">
        <v>3650</v>
      </c>
      <c r="C894" s="19" t="s">
        <v>2273</v>
      </c>
      <c r="D894" s="19" t="s">
        <v>2431</v>
      </c>
      <c r="E894" s="19" t="s">
        <v>3060</v>
      </c>
      <c r="F894" s="19">
        <v>7.11</v>
      </c>
      <c r="G894" s="19" t="s">
        <v>2154</v>
      </c>
      <c r="H894" s="19" t="s">
        <v>2155</v>
      </c>
    </row>
    <row r="895" spans="1:8">
      <c r="A895" s="18" t="s">
        <v>1140</v>
      </c>
      <c r="B895" s="18" t="s">
        <v>3651</v>
      </c>
      <c r="C895" s="18" t="s">
        <v>2277</v>
      </c>
      <c r="D895" s="18" t="s">
        <v>2761</v>
      </c>
      <c r="E895" s="18" t="s">
        <v>2753</v>
      </c>
      <c r="F895" s="18">
        <v>7.01</v>
      </c>
      <c r="G895" s="18" t="s">
        <v>2154</v>
      </c>
      <c r="H895" s="18" t="s">
        <v>2155</v>
      </c>
    </row>
    <row r="896" spans="1:8">
      <c r="A896" s="19" t="s">
        <v>1140</v>
      </c>
      <c r="B896" s="19" t="s">
        <v>3652</v>
      </c>
      <c r="C896" s="19" t="s">
        <v>2281</v>
      </c>
      <c r="D896" s="19" t="s">
        <v>2431</v>
      </c>
      <c r="E896" s="19" t="s">
        <v>2236</v>
      </c>
      <c r="F896" s="19">
        <v>6.69</v>
      </c>
      <c r="G896" s="19" t="s">
        <v>2154</v>
      </c>
      <c r="H896" s="19" t="s">
        <v>2187</v>
      </c>
    </row>
    <row r="897" spans="1:8">
      <c r="A897" s="18" t="s">
        <v>1140</v>
      </c>
      <c r="B897" s="18" t="s">
        <v>3653</v>
      </c>
      <c r="C897" s="18" t="s">
        <v>2396</v>
      </c>
      <c r="D897" s="18" t="s">
        <v>2440</v>
      </c>
      <c r="E897" s="18" t="s">
        <v>3218</v>
      </c>
      <c r="F897" s="18">
        <v>8.3000000000000007</v>
      </c>
      <c r="G897" s="18" t="s">
        <v>2154</v>
      </c>
      <c r="H897" s="18" t="s">
        <v>2171</v>
      </c>
    </row>
    <row r="898" spans="1:8">
      <c r="A898" s="19" t="s">
        <v>1140</v>
      </c>
      <c r="B898" s="19" t="s">
        <v>3654</v>
      </c>
      <c r="C898" s="19" t="s">
        <v>2289</v>
      </c>
      <c r="D898" s="19" t="s">
        <v>2274</v>
      </c>
      <c r="E898" s="19" t="s">
        <v>3003</v>
      </c>
      <c r="F898" s="19">
        <v>9.08</v>
      </c>
      <c r="G898" s="19" t="s">
        <v>2154</v>
      </c>
      <c r="H898" s="19" t="s">
        <v>2155</v>
      </c>
    </row>
    <row r="899" spans="1:8">
      <c r="A899" s="18" t="s">
        <v>1140</v>
      </c>
      <c r="B899" s="18" t="s">
        <v>3655</v>
      </c>
      <c r="C899" s="18" t="s">
        <v>2293</v>
      </c>
      <c r="D899" s="18" t="s">
        <v>2428</v>
      </c>
      <c r="E899" s="18" t="s">
        <v>2732</v>
      </c>
      <c r="F899" s="18">
        <v>7.95</v>
      </c>
      <c r="G899" s="18" t="s">
        <v>2154</v>
      </c>
      <c r="H899" s="18" t="s">
        <v>2160</v>
      </c>
    </row>
    <row r="900" spans="1:8">
      <c r="A900" s="19" t="s">
        <v>1140</v>
      </c>
      <c r="B900" s="19" t="s">
        <v>3656</v>
      </c>
      <c r="C900" s="19" t="s">
        <v>2296</v>
      </c>
      <c r="D900" s="19" t="s">
        <v>2796</v>
      </c>
      <c r="E900" s="19" t="s">
        <v>2810</v>
      </c>
      <c r="F900" s="19">
        <v>10.1</v>
      </c>
      <c r="G900" s="19" t="s">
        <v>2154</v>
      </c>
      <c r="H900" s="19" t="s">
        <v>2155</v>
      </c>
    </row>
    <row r="901" spans="1:8">
      <c r="A901" s="18" t="s">
        <v>1140</v>
      </c>
      <c r="B901" s="18" t="s">
        <v>3657</v>
      </c>
      <c r="C901" s="18" t="s">
        <v>2300</v>
      </c>
      <c r="D901" s="18" t="s">
        <v>2541</v>
      </c>
      <c r="E901" s="18" t="s">
        <v>3599</v>
      </c>
      <c r="F901" s="18">
        <v>10.99</v>
      </c>
      <c r="G901" s="18" t="s">
        <v>2154</v>
      </c>
      <c r="H901" s="18" t="s">
        <v>2155</v>
      </c>
    </row>
    <row r="902" spans="1:8">
      <c r="A902" s="19" t="s">
        <v>1140</v>
      </c>
      <c r="B902" s="19" t="s">
        <v>3658</v>
      </c>
      <c r="C902" s="19" t="s">
        <v>2144</v>
      </c>
      <c r="D902" s="19" t="s">
        <v>2734</v>
      </c>
      <c r="E902" s="19" t="s">
        <v>2195</v>
      </c>
      <c r="F902" s="19">
        <v>10.53</v>
      </c>
      <c r="G902" s="19" t="s">
        <v>2154</v>
      </c>
      <c r="H902" s="19" t="s">
        <v>2155</v>
      </c>
    </row>
    <row r="903" spans="1:8">
      <c r="A903" s="18" t="s">
        <v>1140</v>
      </c>
      <c r="B903" s="18" t="s">
        <v>3659</v>
      </c>
      <c r="C903" s="18" t="s">
        <v>2307</v>
      </c>
      <c r="D903" s="18" t="s">
        <v>2419</v>
      </c>
      <c r="E903" s="18" t="s">
        <v>3175</v>
      </c>
      <c r="F903" s="18">
        <v>9.51</v>
      </c>
      <c r="G903" s="18" t="s">
        <v>2154</v>
      </c>
      <c r="H903" s="18" t="s">
        <v>2171</v>
      </c>
    </row>
    <row r="904" spans="1:8">
      <c r="A904" s="19" t="s">
        <v>1140</v>
      </c>
      <c r="B904" s="19" t="s">
        <v>3660</v>
      </c>
      <c r="C904" s="19" t="s">
        <v>2311</v>
      </c>
      <c r="D904" s="19"/>
      <c r="E904" s="19"/>
      <c r="F904" s="19"/>
      <c r="G904" s="19" t="s">
        <v>2343</v>
      </c>
      <c r="H904" s="19" t="s">
        <v>2155</v>
      </c>
    </row>
    <row r="905" spans="1:8">
      <c r="A905" s="18" t="s">
        <v>1213</v>
      </c>
      <c r="B905" s="18" t="s">
        <v>3661</v>
      </c>
      <c r="C905" s="18" t="s">
        <v>2038</v>
      </c>
      <c r="D905" s="18" t="s">
        <v>2696</v>
      </c>
      <c r="E905" s="18" t="s">
        <v>2434</v>
      </c>
      <c r="F905" s="18">
        <v>9.3699999999999992</v>
      </c>
      <c r="G905" s="18" t="s">
        <v>2154</v>
      </c>
      <c r="H905" s="18" t="s">
        <v>2187</v>
      </c>
    </row>
    <row r="906" spans="1:8">
      <c r="A906" s="19" t="s">
        <v>1213</v>
      </c>
      <c r="B906" s="19" t="s">
        <v>3662</v>
      </c>
      <c r="C906" s="19" t="s">
        <v>2157</v>
      </c>
      <c r="D906" s="19" t="s">
        <v>2278</v>
      </c>
      <c r="E906" s="19" t="s">
        <v>3663</v>
      </c>
      <c r="F906" s="19">
        <v>7.9</v>
      </c>
      <c r="G906" s="19" t="s">
        <v>2154</v>
      </c>
      <c r="H906" s="19" t="s">
        <v>2155</v>
      </c>
    </row>
    <row r="907" spans="1:8">
      <c r="A907" s="18" t="s">
        <v>1213</v>
      </c>
      <c r="B907" s="18" t="s">
        <v>3664</v>
      </c>
      <c r="C907" s="18" t="s">
        <v>2162</v>
      </c>
      <c r="D907" s="18" t="s">
        <v>3010</v>
      </c>
      <c r="E907" s="18" t="s">
        <v>2740</v>
      </c>
      <c r="F907" s="18">
        <v>6.78</v>
      </c>
      <c r="G907" s="18" t="s">
        <v>2154</v>
      </c>
      <c r="H907" s="18" t="s">
        <v>2187</v>
      </c>
    </row>
    <row r="908" spans="1:8">
      <c r="A908" s="19" t="s">
        <v>1213</v>
      </c>
      <c r="B908" s="19" t="s">
        <v>3665</v>
      </c>
      <c r="C908" s="19" t="s">
        <v>1937</v>
      </c>
      <c r="D908" s="19" t="s">
        <v>3597</v>
      </c>
      <c r="E908" s="19" t="s">
        <v>3216</v>
      </c>
      <c r="F908" s="19">
        <v>8.99</v>
      </c>
      <c r="G908" s="19" t="s">
        <v>2154</v>
      </c>
      <c r="H908" s="19" t="s">
        <v>2155</v>
      </c>
    </row>
    <row r="909" spans="1:8">
      <c r="A909" s="18" t="s">
        <v>1213</v>
      </c>
      <c r="B909" s="18" t="s">
        <v>3666</v>
      </c>
      <c r="C909" s="18" t="s">
        <v>2168</v>
      </c>
      <c r="D909" s="18" t="s">
        <v>3180</v>
      </c>
      <c r="E909" s="18" t="s">
        <v>3021</v>
      </c>
      <c r="F909" s="18">
        <v>9.5299999999999994</v>
      </c>
      <c r="G909" s="18" t="s">
        <v>2154</v>
      </c>
      <c r="H909" s="18" t="s">
        <v>2155</v>
      </c>
    </row>
    <row r="910" spans="1:8">
      <c r="A910" s="19" t="s">
        <v>1213</v>
      </c>
      <c r="B910" s="19" t="s">
        <v>3667</v>
      </c>
      <c r="C910" s="19" t="s">
        <v>2173</v>
      </c>
      <c r="D910" s="19" t="s">
        <v>2282</v>
      </c>
      <c r="E910" s="19" t="s">
        <v>3663</v>
      </c>
      <c r="F910" s="19">
        <v>8.01</v>
      </c>
      <c r="G910" s="19" t="s">
        <v>2154</v>
      </c>
      <c r="H910" s="19" t="s">
        <v>2155</v>
      </c>
    </row>
    <row r="911" spans="1:8">
      <c r="A911" s="18" t="s">
        <v>1213</v>
      </c>
      <c r="B911" s="18" t="s">
        <v>3668</v>
      </c>
      <c r="C911" s="18" t="s">
        <v>2177</v>
      </c>
      <c r="D911" s="18" t="s">
        <v>2491</v>
      </c>
      <c r="E911" s="18" t="s">
        <v>2159</v>
      </c>
      <c r="F911" s="18">
        <v>8.84</v>
      </c>
      <c r="G911" s="18" t="s">
        <v>2154</v>
      </c>
      <c r="H911" s="18" t="s">
        <v>2187</v>
      </c>
    </row>
    <row r="912" spans="1:8">
      <c r="A912" s="19" t="s">
        <v>1213</v>
      </c>
      <c r="B912" s="19" t="s">
        <v>3669</v>
      </c>
      <c r="C912" s="19" t="s">
        <v>1945</v>
      </c>
      <c r="D912" s="19" t="s">
        <v>2491</v>
      </c>
      <c r="E912" s="19" t="s">
        <v>2224</v>
      </c>
      <c r="F912" s="19">
        <v>10.54</v>
      </c>
      <c r="G912" s="19" t="s">
        <v>2154</v>
      </c>
      <c r="H912" s="19" t="s">
        <v>2160</v>
      </c>
    </row>
    <row r="913" spans="1:8">
      <c r="A913" s="18" t="s">
        <v>1213</v>
      </c>
      <c r="B913" s="18" t="s">
        <v>3670</v>
      </c>
      <c r="C913" s="18" t="s">
        <v>2184</v>
      </c>
      <c r="D913" s="18" t="s">
        <v>3010</v>
      </c>
      <c r="E913" s="18" t="s">
        <v>3671</v>
      </c>
      <c r="F913" s="18">
        <v>9.8800000000000008</v>
      </c>
      <c r="G913" s="18" t="s">
        <v>2154</v>
      </c>
      <c r="H913" s="18" t="s">
        <v>2160</v>
      </c>
    </row>
    <row r="914" spans="1:8">
      <c r="A914" s="19" t="s">
        <v>1213</v>
      </c>
      <c r="B914" s="19" t="s">
        <v>3672</v>
      </c>
      <c r="C914" s="19" t="s">
        <v>3673</v>
      </c>
      <c r="D914" s="19" t="s">
        <v>2485</v>
      </c>
      <c r="E914" s="19" t="s">
        <v>2486</v>
      </c>
      <c r="F914" s="19">
        <v>8.27</v>
      </c>
      <c r="G914" s="19" t="s">
        <v>2154</v>
      </c>
      <c r="H914" s="19" t="s">
        <v>2171</v>
      </c>
    </row>
    <row r="915" spans="1:8">
      <c r="A915" s="18" t="s">
        <v>1213</v>
      </c>
      <c r="B915" s="18" t="s">
        <v>3674</v>
      </c>
      <c r="C915" s="18" t="s">
        <v>2193</v>
      </c>
      <c r="D915" s="18" t="s">
        <v>2640</v>
      </c>
      <c r="E915" s="18" t="s">
        <v>2641</v>
      </c>
      <c r="F915" s="18">
        <v>9.0500000000000007</v>
      </c>
      <c r="G915" s="18" t="s">
        <v>2154</v>
      </c>
      <c r="H915" s="18" t="s">
        <v>2155</v>
      </c>
    </row>
    <row r="916" spans="1:8">
      <c r="A916" s="19" t="s">
        <v>1213</v>
      </c>
      <c r="B916" s="19" t="s">
        <v>3675</v>
      </c>
      <c r="C916" s="19" t="s">
        <v>2197</v>
      </c>
      <c r="D916" s="19" t="s">
        <v>2370</v>
      </c>
      <c r="E916" s="19" t="s">
        <v>3620</v>
      </c>
      <c r="F916" s="19">
        <v>9.99</v>
      </c>
      <c r="G916" s="19" t="s">
        <v>2154</v>
      </c>
      <c r="H916" s="19" t="s">
        <v>2160</v>
      </c>
    </row>
    <row r="917" spans="1:8">
      <c r="A917" s="18" t="s">
        <v>1213</v>
      </c>
      <c r="B917" s="18" t="s">
        <v>3676</v>
      </c>
      <c r="C917" s="18" t="s">
        <v>1819</v>
      </c>
      <c r="D917" s="18"/>
      <c r="E917" s="18"/>
      <c r="F917" s="18"/>
      <c r="G917" s="18" t="s">
        <v>2220</v>
      </c>
      <c r="H917" s="18" t="s">
        <v>2171</v>
      </c>
    </row>
    <row r="918" spans="1:8">
      <c r="A918" s="19" t="s">
        <v>1213</v>
      </c>
      <c r="B918" s="19" t="s">
        <v>3677</v>
      </c>
      <c r="C918" s="19" t="s">
        <v>2204</v>
      </c>
      <c r="D918" s="19" t="s">
        <v>2274</v>
      </c>
      <c r="E918" s="19" t="s">
        <v>2629</v>
      </c>
      <c r="F918" s="19">
        <v>10.28</v>
      </c>
      <c r="G918" s="19" t="s">
        <v>2154</v>
      </c>
      <c r="H918" s="19" t="s">
        <v>2187</v>
      </c>
    </row>
    <row r="919" spans="1:8">
      <c r="A919" s="18" t="s">
        <v>1213</v>
      </c>
      <c r="B919" s="18" t="s">
        <v>3678</v>
      </c>
      <c r="C919" s="18" t="s">
        <v>1843</v>
      </c>
      <c r="D919" s="18" t="s">
        <v>2464</v>
      </c>
      <c r="E919" s="18" t="s">
        <v>2501</v>
      </c>
      <c r="F919" s="18">
        <v>7.63</v>
      </c>
      <c r="G919" s="18" t="s">
        <v>2154</v>
      </c>
      <c r="H919" s="18" t="s">
        <v>2160</v>
      </c>
    </row>
    <row r="920" spans="1:8">
      <c r="A920" s="19" t="s">
        <v>1213</v>
      </c>
      <c r="B920" s="19" t="s">
        <v>3679</v>
      </c>
      <c r="C920" s="19" t="s">
        <v>2211</v>
      </c>
      <c r="D920" s="19" t="s">
        <v>2597</v>
      </c>
      <c r="E920" s="19" t="s">
        <v>2598</v>
      </c>
      <c r="F920" s="19">
        <v>10.7</v>
      </c>
      <c r="G920" s="19" t="s">
        <v>2154</v>
      </c>
      <c r="H920" s="19" t="s">
        <v>2155</v>
      </c>
    </row>
    <row r="921" spans="1:8">
      <c r="A921" s="18" t="s">
        <v>1213</v>
      </c>
      <c r="B921" s="18" t="s">
        <v>3680</v>
      </c>
      <c r="C921" s="18" t="s">
        <v>2215</v>
      </c>
      <c r="D921" s="18" t="s">
        <v>2524</v>
      </c>
      <c r="E921" s="18" t="s">
        <v>3241</v>
      </c>
      <c r="F921" s="18">
        <v>11.09</v>
      </c>
      <c r="G921" s="18" t="s">
        <v>2154</v>
      </c>
      <c r="H921" s="18" t="s">
        <v>2155</v>
      </c>
    </row>
    <row r="922" spans="1:8">
      <c r="A922" s="19" t="s">
        <v>1213</v>
      </c>
      <c r="B922" s="19" t="s">
        <v>3681</v>
      </c>
      <c r="C922" s="19" t="s">
        <v>2219</v>
      </c>
      <c r="D922" s="19" t="s">
        <v>3278</v>
      </c>
      <c r="E922" s="19" t="s">
        <v>2743</v>
      </c>
      <c r="F922" s="19">
        <v>8.65</v>
      </c>
      <c r="G922" s="19" t="s">
        <v>2154</v>
      </c>
      <c r="H922" s="19" t="s">
        <v>2155</v>
      </c>
    </row>
    <row r="923" spans="1:8">
      <c r="A923" s="18" t="s">
        <v>1213</v>
      </c>
      <c r="B923" s="18" t="s">
        <v>3682</v>
      </c>
      <c r="C923" s="18" t="s">
        <v>2222</v>
      </c>
      <c r="D923" s="18" t="s">
        <v>2888</v>
      </c>
      <c r="E923" s="18" t="s">
        <v>2455</v>
      </c>
      <c r="F923" s="18">
        <v>11.17</v>
      </c>
      <c r="G923" s="18" t="s">
        <v>2154</v>
      </c>
      <c r="H923" s="18" t="s">
        <v>2187</v>
      </c>
    </row>
    <row r="924" spans="1:8">
      <c r="A924" s="19" t="s">
        <v>1213</v>
      </c>
      <c r="B924" s="19" t="s">
        <v>3683</v>
      </c>
      <c r="C924" s="19" t="s">
        <v>2226</v>
      </c>
      <c r="D924" s="19" t="s">
        <v>2516</v>
      </c>
      <c r="E924" s="19" t="s">
        <v>2863</v>
      </c>
      <c r="F924" s="19">
        <v>7.18</v>
      </c>
      <c r="G924" s="19" t="s">
        <v>2154</v>
      </c>
      <c r="H924" s="19" t="s">
        <v>2160</v>
      </c>
    </row>
    <row r="925" spans="1:8">
      <c r="A925" s="18" t="s">
        <v>1213</v>
      </c>
      <c r="B925" s="18" t="s">
        <v>3684</v>
      </c>
      <c r="C925" s="18" t="s">
        <v>2230</v>
      </c>
      <c r="D925" s="18" t="s">
        <v>2227</v>
      </c>
      <c r="E925" s="18" t="s">
        <v>2931</v>
      </c>
      <c r="F925" s="18">
        <v>10.87</v>
      </c>
      <c r="G925" s="18" t="s">
        <v>2154</v>
      </c>
      <c r="H925" s="18" t="s">
        <v>2155</v>
      </c>
    </row>
    <row r="926" spans="1:8">
      <c r="A926" s="19" t="s">
        <v>1213</v>
      </c>
      <c r="B926" s="19" t="s">
        <v>3685</v>
      </c>
      <c r="C926" s="19" t="s">
        <v>2234</v>
      </c>
      <c r="D926" s="19" t="s">
        <v>2761</v>
      </c>
      <c r="E926" s="19" t="s">
        <v>2753</v>
      </c>
      <c r="F926" s="19">
        <v>7.72</v>
      </c>
      <c r="G926" s="19" t="s">
        <v>2154</v>
      </c>
      <c r="H926" s="19" t="s">
        <v>2171</v>
      </c>
    </row>
    <row r="927" spans="1:8">
      <c r="A927" s="18" t="s">
        <v>1213</v>
      </c>
      <c r="B927" s="18" t="s">
        <v>3686</v>
      </c>
      <c r="C927" s="18" t="s">
        <v>2238</v>
      </c>
      <c r="D927" s="18" t="s">
        <v>2308</v>
      </c>
      <c r="E927" s="18" t="s">
        <v>2850</v>
      </c>
      <c r="F927" s="18">
        <v>10.85</v>
      </c>
      <c r="G927" s="18" t="s">
        <v>2154</v>
      </c>
      <c r="H927" s="18" t="s">
        <v>2155</v>
      </c>
    </row>
    <row r="928" spans="1:8">
      <c r="A928" s="19" t="s">
        <v>1213</v>
      </c>
      <c r="B928" s="19" t="s">
        <v>3687</v>
      </c>
      <c r="C928" s="19" t="s">
        <v>2241</v>
      </c>
      <c r="D928" s="19" t="s">
        <v>2319</v>
      </c>
      <c r="E928" s="19" t="s">
        <v>2349</v>
      </c>
      <c r="F928" s="19">
        <v>8.67</v>
      </c>
      <c r="G928" s="19" t="s">
        <v>2154</v>
      </c>
      <c r="H928" s="19" t="s">
        <v>2171</v>
      </c>
    </row>
    <row r="929" spans="1:8">
      <c r="A929" s="18" t="s">
        <v>1213</v>
      </c>
      <c r="B929" s="18" t="s">
        <v>3688</v>
      </c>
      <c r="C929" s="18" t="s">
        <v>2245</v>
      </c>
      <c r="D929" s="18" t="s">
        <v>2524</v>
      </c>
      <c r="E929" s="18" t="s">
        <v>3689</v>
      </c>
      <c r="F929" s="18">
        <v>6.53</v>
      </c>
      <c r="G929" s="18" t="s">
        <v>2154</v>
      </c>
      <c r="H929" s="18" t="s">
        <v>2171</v>
      </c>
    </row>
    <row r="930" spans="1:8">
      <c r="A930" s="19" t="s">
        <v>1213</v>
      </c>
      <c r="B930" s="19" t="s">
        <v>3690</v>
      </c>
      <c r="C930" s="19" t="s">
        <v>2249</v>
      </c>
      <c r="D930" s="19" t="s">
        <v>3106</v>
      </c>
      <c r="E930" s="19" t="s">
        <v>3107</v>
      </c>
      <c r="F930" s="19">
        <v>8.24</v>
      </c>
      <c r="G930" s="19" t="s">
        <v>2154</v>
      </c>
      <c r="H930" s="19" t="s">
        <v>2160</v>
      </c>
    </row>
    <row r="931" spans="1:8">
      <c r="A931" s="18" t="s">
        <v>1213</v>
      </c>
      <c r="B931" s="18" t="s">
        <v>3691</v>
      </c>
      <c r="C931" s="18" t="s">
        <v>2252</v>
      </c>
      <c r="D931" s="18" t="s">
        <v>2619</v>
      </c>
      <c r="E931" s="18" t="s">
        <v>2250</v>
      </c>
      <c r="F931" s="18">
        <v>9.81</v>
      </c>
      <c r="G931" s="18" t="s">
        <v>2154</v>
      </c>
      <c r="H931" s="18" t="s">
        <v>2187</v>
      </c>
    </row>
    <row r="932" spans="1:8">
      <c r="A932" s="19" t="s">
        <v>1213</v>
      </c>
      <c r="B932" s="19" t="s">
        <v>3692</v>
      </c>
      <c r="C932" s="19" t="s">
        <v>2376</v>
      </c>
      <c r="D932" s="19" t="s">
        <v>2581</v>
      </c>
      <c r="E932" s="19" t="s">
        <v>3266</v>
      </c>
      <c r="F932" s="19">
        <v>8.68</v>
      </c>
      <c r="G932" s="19" t="s">
        <v>2154</v>
      </c>
      <c r="H932" s="19" t="s">
        <v>2187</v>
      </c>
    </row>
    <row r="933" spans="1:8">
      <c r="A933" s="18" t="s">
        <v>1213</v>
      </c>
      <c r="B933" s="18" t="s">
        <v>3693</v>
      </c>
      <c r="C933" s="18" t="s">
        <v>2260</v>
      </c>
      <c r="D933" s="18" t="s">
        <v>2387</v>
      </c>
      <c r="E933" s="18" t="s">
        <v>2749</v>
      </c>
      <c r="F933" s="18">
        <v>11.36</v>
      </c>
      <c r="G933" s="18" t="s">
        <v>2154</v>
      </c>
      <c r="H933" s="18" t="s">
        <v>2160</v>
      </c>
    </row>
    <row r="934" spans="1:8">
      <c r="A934" s="19" t="s">
        <v>1213</v>
      </c>
      <c r="B934" s="19" t="s">
        <v>3694</v>
      </c>
      <c r="C934" s="19" t="s">
        <v>2264</v>
      </c>
      <c r="D934" s="19" t="s">
        <v>2951</v>
      </c>
      <c r="E934" s="19" t="s">
        <v>2866</v>
      </c>
      <c r="F934" s="19">
        <v>10.37</v>
      </c>
      <c r="G934" s="19" t="s">
        <v>2154</v>
      </c>
      <c r="H934" s="19" t="s">
        <v>2160</v>
      </c>
    </row>
    <row r="935" spans="1:8">
      <c r="A935" s="18" t="s">
        <v>1213</v>
      </c>
      <c r="B935" s="18" t="s">
        <v>3695</v>
      </c>
      <c r="C935" s="18" t="s">
        <v>1948</v>
      </c>
      <c r="D935" s="18" t="s">
        <v>2521</v>
      </c>
      <c r="E935" s="18" t="s">
        <v>3696</v>
      </c>
      <c r="F935" s="18">
        <v>7.5</v>
      </c>
      <c r="G935" s="18" t="s">
        <v>2154</v>
      </c>
      <c r="H935" s="18" t="s">
        <v>2171</v>
      </c>
    </row>
    <row r="936" spans="1:8">
      <c r="A936" s="19" t="s">
        <v>1213</v>
      </c>
      <c r="B936" s="19" t="s">
        <v>3697</v>
      </c>
      <c r="C936" s="19" t="s">
        <v>2269</v>
      </c>
      <c r="D936" s="19" t="s">
        <v>2690</v>
      </c>
      <c r="E936" s="19" t="s">
        <v>2817</v>
      </c>
      <c r="F936" s="19">
        <v>8.14</v>
      </c>
      <c r="G936" s="19" t="s">
        <v>2154</v>
      </c>
      <c r="H936" s="19" t="s">
        <v>2171</v>
      </c>
    </row>
    <row r="937" spans="1:8">
      <c r="A937" s="18" t="s">
        <v>1213</v>
      </c>
      <c r="B937" s="18" t="s">
        <v>3698</v>
      </c>
      <c r="C937" s="18" t="s">
        <v>2273</v>
      </c>
      <c r="D937" s="18" t="s">
        <v>2734</v>
      </c>
      <c r="E937" s="18" t="s">
        <v>2195</v>
      </c>
      <c r="F937" s="18">
        <v>10.32</v>
      </c>
      <c r="G937" s="18" t="s">
        <v>2154</v>
      </c>
      <c r="H937" s="18" t="s">
        <v>2160</v>
      </c>
    </row>
    <row r="938" spans="1:8">
      <c r="A938" s="19" t="s">
        <v>1213</v>
      </c>
      <c r="B938" s="19" t="s">
        <v>3699</v>
      </c>
      <c r="C938" s="19" t="s">
        <v>2277</v>
      </c>
      <c r="D938" s="19" t="s">
        <v>3253</v>
      </c>
      <c r="E938" s="19" t="s">
        <v>2294</v>
      </c>
      <c r="F938" s="19">
        <v>10.59</v>
      </c>
      <c r="G938" s="19" t="s">
        <v>2154</v>
      </c>
      <c r="H938" s="19" t="s">
        <v>2155</v>
      </c>
    </row>
    <row r="939" spans="1:8">
      <c r="A939" s="18" t="s">
        <v>1213</v>
      </c>
      <c r="B939" s="18" t="s">
        <v>3700</v>
      </c>
      <c r="C939" s="18" t="s">
        <v>2281</v>
      </c>
      <c r="D939" s="18" t="s">
        <v>2966</v>
      </c>
      <c r="E939" s="18" t="s">
        <v>3157</v>
      </c>
      <c r="F939" s="18">
        <v>7.2</v>
      </c>
      <c r="G939" s="18" t="s">
        <v>2154</v>
      </c>
      <c r="H939" s="18" t="s">
        <v>2155</v>
      </c>
    </row>
    <row r="940" spans="1:8">
      <c r="A940" s="19" t="s">
        <v>1213</v>
      </c>
      <c r="B940" s="19" t="s">
        <v>3701</v>
      </c>
      <c r="C940" s="19" t="s">
        <v>2396</v>
      </c>
      <c r="D940" s="19" t="s">
        <v>2640</v>
      </c>
      <c r="E940" s="19" t="s">
        <v>2202</v>
      </c>
      <c r="F940" s="19">
        <v>7.07</v>
      </c>
      <c r="G940" s="19" t="s">
        <v>2154</v>
      </c>
      <c r="H940" s="19" t="s">
        <v>2155</v>
      </c>
    </row>
    <row r="941" spans="1:8">
      <c r="A941" s="18" t="s">
        <v>1213</v>
      </c>
      <c r="B941" s="18" t="s">
        <v>3702</v>
      </c>
      <c r="C941" s="18" t="s">
        <v>2289</v>
      </c>
      <c r="D941" s="18" t="s">
        <v>2992</v>
      </c>
      <c r="E941" s="18" t="s">
        <v>3107</v>
      </c>
      <c r="F941" s="18">
        <v>10.47</v>
      </c>
      <c r="G941" s="18" t="s">
        <v>2154</v>
      </c>
      <c r="H941" s="18" t="s">
        <v>2187</v>
      </c>
    </row>
    <row r="942" spans="1:8">
      <c r="A942" s="19" t="s">
        <v>1213</v>
      </c>
      <c r="B942" s="19" t="s">
        <v>3703</v>
      </c>
      <c r="C942" s="19" t="s">
        <v>2293</v>
      </c>
      <c r="D942" s="19" t="s">
        <v>3089</v>
      </c>
      <c r="E942" s="19" t="s">
        <v>3704</v>
      </c>
      <c r="F942" s="19">
        <v>7.16</v>
      </c>
      <c r="G942" s="19" t="s">
        <v>2154</v>
      </c>
      <c r="H942" s="19" t="s">
        <v>2155</v>
      </c>
    </row>
    <row r="943" spans="1:8">
      <c r="A943" s="18" t="s">
        <v>1213</v>
      </c>
      <c r="B943" s="18" t="s">
        <v>3705</v>
      </c>
      <c r="C943" s="18" t="s">
        <v>2296</v>
      </c>
      <c r="D943" s="18" t="s">
        <v>2700</v>
      </c>
      <c r="E943" s="18" t="s">
        <v>2897</v>
      </c>
      <c r="F943" s="18">
        <v>9.4</v>
      </c>
      <c r="G943" s="18" t="s">
        <v>2154</v>
      </c>
      <c r="H943" s="18" t="s">
        <v>2155</v>
      </c>
    </row>
    <row r="944" spans="1:8">
      <c r="A944" s="19" t="s">
        <v>1213</v>
      </c>
      <c r="B944" s="19" t="s">
        <v>3706</v>
      </c>
      <c r="C944" s="19" t="s">
        <v>2300</v>
      </c>
      <c r="D944" s="19"/>
      <c r="E944" s="19"/>
      <c r="F944" s="19"/>
      <c r="G944" s="19" t="s">
        <v>2343</v>
      </c>
      <c r="H944" s="19" t="s">
        <v>2187</v>
      </c>
    </row>
    <row r="945" spans="1:8">
      <c r="A945" s="18" t="s">
        <v>1213</v>
      </c>
      <c r="B945" s="18" t="s">
        <v>3707</v>
      </c>
      <c r="C945" s="18" t="s">
        <v>2144</v>
      </c>
      <c r="D945" s="18" t="s">
        <v>2786</v>
      </c>
      <c r="E945" s="18" t="s">
        <v>2554</v>
      </c>
      <c r="F945" s="18">
        <v>9.01</v>
      </c>
      <c r="G945" s="18" t="s">
        <v>2154</v>
      </c>
      <c r="H945" s="18" t="s">
        <v>2171</v>
      </c>
    </row>
    <row r="946" spans="1:8">
      <c r="A946" s="19" t="s">
        <v>1213</v>
      </c>
      <c r="B946" s="19" t="s">
        <v>3708</v>
      </c>
      <c r="C946" s="19" t="s">
        <v>2307</v>
      </c>
      <c r="D946" s="19" t="s">
        <v>2513</v>
      </c>
      <c r="E946" s="19" t="s">
        <v>2267</v>
      </c>
      <c r="F946" s="19">
        <v>10.220000000000001</v>
      </c>
      <c r="G946" s="19" t="s">
        <v>2154</v>
      </c>
      <c r="H946" s="19" t="s">
        <v>2171</v>
      </c>
    </row>
    <row r="947" spans="1:8">
      <c r="A947" s="18" t="s">
        <v>1213</v>
      </c>
      <c r="B947" s="18" t="s">
        <v>3709</v>
      </c>
      <c r="C947" s="18" t="s">
        <v>2311</v>
      </c>
      <c r="D947" s="18" t="s">
        <v>2807</v>
      </c>
      <c r="E947" s="18" t="s">
        <v>3710</v>
      </c>
      <c r="F947" s="18">
        <v>10.15</v>
      </c>
      <c r="G947" s="18" t="s">
        <v>2154</v>
      </c>
      <c r="H947" s="18" t="s">
        <v>2160</v>
      </c>
    </row>
    <row r="948" spans="1:8">
      <c r="A948" s="19" t="s">
        <v>100</v>
      </c>
      <c r="B948" s="19" t="s">
        <v>3711</v>
      </c>
      <c r="C948" s="19" t="s">
        <v>2038</v>
      </c>
      <c r="D948" s="19" t="s">
        <v>2370</v>
      </c>
      <c r="E948" s="19" t="s">
        <v>2670</v>
      </c>
      <c r="F948" s="19">
        <v>7.82</v>
      </c>
      <c r="G948" s="19" t="s">
        <v>2154</v>
      </c>
      <c r="H948" s="19" t="s">
        <v>2171</v>
      </c>
    </row>
    <row r="949" spans="1:8">
      <c r="A949" s="18" t="s">
        <v>100</v>
      </c>
      <c r="B949" s="18" t="s">
        <v>3712</v>
      </c>
      <c r="C949" s="18" t="s">
        <v>2157</v>
      </c>
      <c r="D949" s="18" t="s">
        <v>2635</v>
      </c>
      <c r="E949" s="18" t="s">
        <v>2636</v>
      </c>
      <c r="F949" s="18">
        <v>9.4700000000000006</v>
      </c>
      <c r="G949" s="18" t="s">
        <v>2154</v>
      </c>
      <c r="H949" s="18" t="s">
        <v>2187</v>
      </c>
    </row>
    <row r="950" spans="1:8">
      <c r="A950" s="19" t="s">
        <v>100</v>
      </c>
      <c r="B950" s="19" t="s">
        <v>3713</v>
      </c>
      <c r="C950" s="19" t="s">
        <v>2162</v>
      </c>
      <c r="D950" s="19" t="s">
        <v>2169</v>
      </c>
      <c r="E950" s="19" t="s">
        <v>3439</v>
      </c>
      <c r="F950" s="19">
        <v>8.8000000000000007</v>
      </c>
      <c r="G950" s="19" t="s">
        <v>2154</v>
      </c>
      <c r="H950" s="19" t="s">
        <v>2187</v>
      </c>
    </row>
    <row r="951" spans="1:8">
      <c r="A951" s="18" t="s">
        <v>100</v>
      </c>
      <c r="B951" s="18" t="s">
        <v>3714</v>
      </c>
      <c r="C951" s="18" t="s">
        <v>1937</v>
      </c>
      <c r="D951" s="18" t="s">
        <v>2503</v>
      </c>
      <c r="E951" s="18" t="s">
        <v>2213</v>
      </c>
      <c r="F951" s="18">
        <v>9.94</v>
      </c>
      <c r="G951" s="18" t="s">
        <v>2154</v>
      </c>
      <c r="H951" s="18" t="s">
        <v>2160</v>
      </c>
    </row>
    <row r="952" spans="1:8">
      <c r="A952" s="19" t="s">
        <v>100</v>
      </c>
      <c r="B952" s="19" t="s">
        <v>3715</v>
      </c>
      <c r="C952" s="19" t="s">
        <v>2168</v>
      </c>
      <c r="D952" s="19" t="s">
        <v>2304</v>
      </c>
      <c r="E952" s="19" t="s">
        <v>3226</v>
      </c>
      <c r="F952" s="19">
        <v>6.68</v>
      </c>
      <c r="G952" s="19" t="s">
        <v>2154</v>
      </c>
      <c r="H952" s="19" t="s">
        <v>2155</v>
      </c>
    </row>
    <row r="953" spans="1:8">
      <c r="A953" s="18" t="s">
        <v>100</v>
      </c>
      <c r="B953" s="18" t="s">
        <v>3716</v>
      </c>
      <c r="C953" s="18" t="s">
        <v>2173</v>
      </c>
      <c r="D953" s="18" t="s">
        <v>2362</v>
      </c>
      <c r="E953" s="18" t="s">
        <v>3003</v>
      </c>
      <c r="F953" s="18">
        <v>11.13</v>
      </c>
      <c r="G953" s="18" t="s">
        <v>2154</v>
      </c>
      <c r="H953" s="18" t="s">
        <v>2171</v>
      </c>
    </row>
    <row r="954" spans="1:8">
      <c r="A954" s="19" t="s">
        <v>100</v>
      </c>
      <c r="B954" s="19" t="s">
        <v>3717</v>
      </c>
      <c r="C954" s="19" t="s">
        <v>2177</v>
      </c>
      <c r="D954" s="19" t="s">
        <v>2348</v>
      </c>
      <c r="E954" s="19" t="s">
        <v>2320</v>
      </c>
      <c r="F954" s="19">
        <v>11.5</v>
      </c>
      <c r="G954" s="19" t="s">
        <v>2154</v>
      </c>
      <c r="H954" s="19" t="s">
        <v>2160</v>
      </c>
    </row>
    <row r="955" spans="1:8">
      <c r="A955" s="18" t="s">
        <v>100</v>
      </c>
      <c r="B955" s="18" t="s">
        <v>3718</v>
      </c>
      <c r="C955" s="18" t="s">
        <v>1945</v>
      </c>
      <c r="D955" s="18"/>
      <c r="E955" s="18"/>
      <c r="F955" s="18"/>
      <c r="G955" s="18" t="s">
        <v>2163</v>
      </c>
      <c r="H955" s="18" t="s">
        <v>2187</v>
      </c>
    </row>
    <row r="956" spans="1:8">
      <c r="A956" s="19" t="s">
        <v>100</v>
      </c>
      <c r="B956" s="19" t="s">
        <v>3719</v>
      </c>
      <c r="C956" s="19" t="s">
        <v>2184</v>
      </c>
      <c r="D956" s="19" t="s">
        <v>2488</v>
      </c>
      <c r="E956" s="19" t="s">
        <v>3536</v>
      </c>
      <c r="F956" s="19">
        <v>11.08</v>
      </c>
      <c r="G956" s="19" t="s">
        <v>2154</v>
      </c>
      <c r="H956" s="19" t="s">
        <v>2171</v>
      </c>
    </row>
    <row r="957" spans="1:8">
      <c r="A957" s="18" t="s">
        <v>100</v>
      </c>
      <c r="B957" s="18" t="s">
        <v>3720</v>
      </c>
      <c r="C957" s="18" t="s">
        <v>2189</v>
      </c>
      <c r="D957" s="18" t="s">
        <v>2553</v>
      </c>
      <c r="E957" s="18" t="s">
        <v>2831</v>
      </c>
      <c r="F957" s="18">
        <v>8.66</v>
      </c>
      <c r="G957" s="18" t="s">
        <v>2154</v>
      </c>
      <c r="H957" s="18" t="s">
        <v>2171</v>
      </c>
    </row>
    <row r="958" spans="1:8">
      <c r="A958" s="19" t="s">
        <v>100</v>
      </c>
      <c r="B958" s="19" t="s">
        <v>3721</v>
      </c>
      <c r="C958" s="19" t="s">
        <v>2193</v>
      </c>
      <c r="D958" s="19" t="s">
        <v>2365</v>
      </c>
      <c r="E958" s="19" t="s">
        <v>2363</v>
      </c>
      <c r="F958" s="19">
        <v>9.59</v>
      </c>
      <c r="G958" s="19" t="s">
        <v>2154</v>
      </c>
      <c r="H958" s="19" t="s">
        <v>2160</v>
      </c>
    </row>
    <row r="959" spans="1:8">
      <c r="A959" s="18" t="s">
        <v>100</v>
      </c>
      <c r="B959" s="18" t="s">
        <v>3722</v>
      </c>
      <c r="C959" s="18" t="s">
        <v>2197</v>
      </c>
      <c r="D959" s="18" t="s">
        <v>2548</v>
      </c>
      <c r="E959" s="18" t="s">
        <v>3257</v>
      </c>
      <c r="F959" s="18">
        <v>8.92</v>
      </c>
      <c r="G959" s="18" t="s">
        <v>2154</v>
      </c>
      <c r="H959" s="18" t="s">
        <v>2187</v>
      </c>
    </row>
    <row r="960" spans="1:8">
      <c r="A960" s="19" t="s">
        <v>100</v>
      </c>
      <c r="B960" s="19" t="s">
        <v>3723</v>
      </c>
      <c r="C960" s="19" t="s">
        <v>1819</v>
      </c>
      <c r="D960" s="19" t="s">
        <v>2253</v>
      </c>
      <c r="E960" s="19" t="s">
        <v>2944</v>
      </c>
      <c r="F960" s="19">
        <v>7.74</v>
      </c>
      <c r="G960" s="19" t="s">
        <v>2154</v>
      </c>
      <c r="H960" s="19" t="s">
        <v>2171</v>
      </c>
    </row>
    <row r="961" spans="1:8">
      <c r="A961" s="18" t="s">
        <v>100</v>
      </c>
      <c r="B961" s="18" t="s">
        <v>3724</v>
      </c>
      <c r="C961" s="18" t="s">
        <v>2204</v>
      </c>
      <c r="D961" s="18" t="s">
        <v>2397</v>
      </c>
      <c r="E961" s="18" t="s">
        <v>2501</v>
      </c>
      <c r="F961" s="18">
        <v>8.81</v>
      </c>
      <c r="G961" s="18" t="s">
        <v>2154</v>
      </c>
      <c r="H961" s="18" t="s">
        <v>2171</v>
      </c>
    </row>
    <row r="962" spans="1:8">
      <c r="A962" s="19" t="s">
        <v>100</v>
      </c>
      <c r="B962" s="19" t="s">
        <v>3725</v>
      </c>
      <c r="C962" s="19" t="s">
        <v>1843</v>
      </c>
      <c r="D962" s="19" t="s">
        <v>2793</v>
      </c>
      <c r="E962" s="19" t="s">
        <v>3033</v>
      </c>
      <c r="F962" s="19">
        <v>9.9700000000000006</v>
      </c>
      <c r="G962" s="19" t="s">
        <v>2154</v>
      </c>
      <c r="H962" s="19" t="s">
        <v>2155</v>
      </c>
    </row>
    <row r="963" spans="1:8">
      <c r="A963" s="18" t="s">
        <v>100</v>
      </c>
      <c r="B963" s="18" t="s">
        <v>3726</v>
      </c>
      <c r="C963" s="18" t="s">
        <v>2211</v>
      </c>
      <c r="D963" s="18" t="s">
        <v>2314</v>
      </c>
      <c r="E963" s="18" t="s">
        <v>3727</v>
      </c>
      <c r="F963" s="18">
        <v>7.19</v>
      </c>
      <c r="G963" s="18" t="s">
        <v>2154</v>
      </c>
      <c r="H963" s="18" t="s">
        <v>2155</v>
      </c>
    </row>
    <row r="964" spans="1:8">
      <c r="A964" s="19" t="s">
        <v>100</v>
      </c>
      <c r="B964" s="19" t="s">
        <v>3728</v>
      </c>
      <c r="C964" s="19" t="s">
        <v>2215</v>
      </c>
      <c r="D964" s="19" t="s">
        <v>2397</v>
      </c>
      <c r="E964" s="19" t="s">
        <v>3241</v>
      </c>
      <c r="F964" s="19">
        <v>10.32</v>
      </c>
      <c r="G964" s="19" t="s">
        <v>2154</v>
      </c>
      <c r="H964" s="19" t="s">
        <v>2160</v>
      </c>
    </row>
    <row r="965" spans="1:8">
      <c r="A965" s="18" t="s">
        <v>100</v>
      </c>
      <c r="B965" s="18" t="s">
        <v>3729</v>
      </c>
      <c r="C965" s="18" t="s">
        <v>2219</v>
      </c>
      <c r="D965" s="18" t="s">
        <v>2485</v>
      </c>
      <c r="E965" s="18" t="s">
        <v>2995</v>
      </c>
      <c r="F965" s="18">
        <v>6.9</v>
      </c>
      <c r="G965" s="18" t="s">
        <v>2154</v>
      </c>
      <c r="H965" s="18" t="s">
        <v>2171</v>
      </c>
    </row>
    <row r="966" spans="1:8">
      <c r="A966" s="19" t="s">
        <v>100</v>
      </c>
      <c r="B966" s="19" t="s">
        <v>3730</v>
      </c>
      <c r="C966" s="19" t="s">
        <v>2222</v>
      </c>
      <c r="D966" s="19" t="s">
        <v>2443</v>
      </c>
      <c r="E966" s="19" t="s">
        <v>3710</v>
      </c>
      <c r="F966" s="19">
        <v>9.74</v>
      </c>
      <c r="G966" s="19" t="s">
        <v>2154</v>
      </c>
      <c r="H966" s="19" t="s">
        <v>2187</v>
      </c>
    </row>
    <row r="967" spans="1:8">
      <c r="A967" s="18" t="s">
        <v>100</v>
      </c>
      <c r="B967" s="18" t="s">
        <v>3731</v>
      </c>
      <c r="C967" s="18" t="s">
        <v>2226</v>
      </c>
      <c r="D967" s="18" t="s">
        <v>2373</v>
      </c>
      <c r="E967" s="18" t="s">
        <v>2374</v>
      </c>
      <c r="F967" s="18">
        <v>11.16</v>
      </c>
      <c r="G967" s="18" t="s">
        <v>2154</v>
      </c>
      <c r="H967" s="18" t="s">
        <v>2171</v>
      </c>
    </row>
    <row r="968" spans="1:8">
      <c r="A968" s="19" t="s">
        <v>100</v>
      </c>
      <c r="B968" s="19" t="s">
        <v>3732</v>
      </c>
      <c r="C968" s="19" t="s">
        <v>2230</v>
      </c>
      <c r="D968" s="19" t="s">
        <v>2242</v>
      </c>
      <c r="E968" s="19" t="s">
        <v>3733</v>
      </c>
      <c r="F968" s="19">
        <v>11.41</v>
      </c>
      <c r="G968" s="19" t="s">
        <v>2154</v>
      </c>
      <c r="H968" s="19" t="s">
        <v>2187</v>
      </c>
    </row>
    <row r="969" spans="1:8">
      <c r="A969" s="18" t="s">
        <v>100</v>
      </c>
      <c r="B969" s="18" t="s">
        <v>3734</v>
      </c>
      <c r="C969" s="18" t="s">
        <v>2234</v>
      </c>
      <c r="D969" s="18" t="s">
        <v>2830</v>
      </c>
      <c r="E969" s="18" t="s">
        <v>2845</v>
      </c>
      <c r="F969" s="18">
        <v>7.75</v>
      </c>
      <c r="G969" s="18" t="s">
        <v>2154</v>
      </c>
      <c r="H969" s="18" t="s">
        <v>2171</v>
      </c>
    </row>
    <row r="970" spans="1:8">
      <c r="A970" s="19" t="s">
        <v>100</v>
      </c>
      <c r="B970" s="19" t="s">
        <v>3735</v>
      </c>
      <c r="C970" s="19" t="s">
        <v>2238</v>
      </c>
      <c r="D970" s="19" t="s">
        <v>2278</v>
      </c>
      <c r="E970" s="19" t="s">
        <v>3201</v>
      </c>
      <c r="F970" s="19">
        <v>10.19</v>
      </c>
      <c r="G970" s="19" t="s">
        <v>2154</v>
      </c>
      <c r="H970" s="19" t="s">
        <v>2187</v>
      </c>
    </row>
    <row r="971" spans="1:8">
      <c r="A971" s="18" t="s">
        <v>100</v>
      </c>
      <c r="B971" s="18" t="s">
        <v>3736</v>
      </c>
      <c r="C971" s="18" t="s">
        <v>2241</v>
      </c>
      <c r="D971" s="18" t="s">
        <v>2770</v>
      </c>
      <c r="E971" s="18" t="s">
        <v>2166</v>
      </c>
      <c r="F971" s="18">
        <v>8.32</v>
      </c>
      <c r="G971" s="18" t="s">
        <v>2154</v>
      </c>
      <c r="H971" s="18" t="s">
        <v>2160</v>
      </c>
    </row>
    <row r="972" spans="1:8">
      <c r="A972" s="19" t="s">
        <v>100</v>
      </c>
      <c r="B972" s="19" t="s">
        <v>3737</v>
      </c>
      <c r="C972" s="19" t="s">
        <v>2245</v>
      </c>
      <c r="D972" s="19" t="s">
        <v>2948</v>
      </c>
      <c r="E972" s="19" t="s">
        <v>2522</v>
      </c>
      <c r="F972" s="19">
        <v>9.16</v>
      </c>
      <c r="G972" s="19" t="s">
        <v>2154</v>
      </c>
      <c r="H972" s="19" t="s">
        <v>2160</v>
      </c>
    </row>
    <row r="973" spans="1:8">
      <c r="A973" s="18" t="s">
        <v>100</v>
      </c>
      <c r="B973" s="18" t="s">
        <v>3738</v>
      </c>
      <c r="C973" s="18" t="s">
        <v>2249</v>
      </c>
      <c r="D973" s="18"/>
      <c r="E973" s="18"/>
      <c r="F973" s="18"/>
      <c r="G973" s="18" t="s">
        <v>2220</v>
      </c>
      <c r="H973" s="18" t="s">
        <v>2160</v>
      </c>
    </row>
    <row r="974" spans="1:8">
      <c r="A974" s="19" t="s">
        <v>100</v>
      </c>
      <c r="B974" s="19" t="s">
        <v>3739</v>
      </c>
      <c r="C974" s="19" t="s">
        <v>2252</v>
      </c>
      <c r="D974" s="19" t="s">
        <v>2301</v>
      </c>
      <c r="E974" s="19" t="s">
        <v>2438</v>
      </c>
      <c r="F974" s="19">
        <v>7.08</v>
      </c>
      <c r="G974" s="19" t="s">
        <v>2154</v>
      </c>
      <c r="H974" s="19" t="s">
        <v>2155</v>
      </c>
    </row>
    <row r="975" spans="1:8">
      <c r="A975" s="18" t="s">
        <v>100</v>
      </c>
      <c r="B975" s="18" t="s">
        <v>3740</v>
      </c>
      <c r="C975" s="18" t="s">
        <v>2376</v>
      </c>
      <c r="D975" s="18" t="s">
        <v>2789</v>
      </c>
      <c r="E975" s="18" t="s">
        <v>3741</v>
      </c>
      <c r="F975" s="18">
        <v>8.07</v>
      </c>
      <c r="G975" s="18" t="s">
        <v>2154</v>
      </c>
      <c r="H975" s="18" t="s">
        <v>2187</v>
      </c>
    </row>
    <row r="976" spans="1:8">
      <c r="A976" s="19" t="s">
        <v>100</v>
      </c>
      <c r="B976" s="19" t="s">
        <v>3742</v>
      </c>
      <c r="C976" s="19" t="s">
        <v>2260</v>
      </c>
      <c r="D976" s="19" t="s">
        <v>2194</v>
      </c>
      <c r="E976" s="19" t="s">
        <v>2447</v>
      </c>
      <c r="F976" s="19">
        <v>8.17</v>
      </c>
      <c r="G976" s="19" t="s">
        <v>2154</v>
      </c>
      <c r="H976" s="19" t="s">
        <v>2171</v>
      </c>
    </row>
    <row r="977" spans="1:8">
      <c r="A977" s="18" t="s">
        <v>100</v>
      </c>
      <c r="B977" s="18" t="s">
        <v>3743</v>
      </c>
      <c r="C977" s="18" t="s">
        <v>2264</v>
      </c>
      <c r="D977" s="18" t="s">
        <v>2223</v>
      </c>
      <c r="E977" s="18" t="s">
        <v>2224</v>
      </c>
      <c r="F977" s="18">
        <v>11.33</v>
      </c>
      <c r="G977" s="18" t="s">
        <v>2154</v>
      </c>
      <c r="H977" s="18" t="s">
        <v>2160</v>
      </c>
    </row>
    <row r="978" spans="1:8">
      <c r="A978" s="19" t="s">
        <v>100</v>
      </c>
      <c r="B978" s="19" t="s">
        <v>3744</v>
      </c>
      <c r="C978" s="19" t="s">
        <v>1948</v>
      </c>
      <c r="D978" s="19" t="s">
        <v>2473</v>
      </c>
      <c r="E978" s="19" t="s">
        <v>2474</v>
      </c>
      <c r="F978" s="19">
        <v>7.91</v>
      </c>
      <c r="G978" s="19" t="s">
        <v>2154</v>
      </c>
      <c r="H978" s="19" t="s">
        <v>2171</v>
      </c>
    </row>
    <row r="979" spans="1:8">
      <c r="A979" s="18" t="s">
        <v>100</v>
      </c>
      <c r="B979" s="18" t="s">
        <v>3745</v>
      </c>
      <c r="C979" s="18" t="s">
        <v>2269</v>
      </c>
      <c r="D979" s="18" t="s">
        <v>2966</v>
      </c>
      <c r="E979" s="18" t="s">
        <v>3746</v>
      </c>
      <c r="F979" s="18">
        <v>11.28</v>
      </c>
      <c r="G979" s="18" t="s">
        <v>2154</v>
      </c>
      <c r="H979" s="18" t="s">
        <v>2160</v>
      </c>
    </row>
    <row r="980" spans="1:8">
      <c r="A980" s="19" t="s">
        <v>100</v>
      </c>
      <c r="B980" s="19" t="s">
        <v>3747</v>
      </c>
      <c r="C980" s="19" t="s">
        <v>2273</v>
      </c>
      <c r="D980" s="19" t="s">
        <v>2482</v>
      </c>
      <c r="E980" s="19" t="s">
        <v>2882</v>
      </c>
      <c r="F980" s="19">
        <v>9.4700000000000006</v>
      </c>
      <c r="G980" s="19" t="s">
        <v>2154</v>
      </c>
      <c r="H980" s="19" t="s">
        <v>2160</v>
      </c>
    </row>
    <row r="981" spans="1:8">
      <c r="A981" s="18" t="s">
        <v>100</v>
      </c>
      <c r="B981" s="18" t="s">
        <v>3748</v>
      </c>
      <c r="C981" s="18" t="s">
        <v>2277</v>
      </c>
      <c r="D981" s="18"/>
      <c r="E981" s="18"/>
      <c r="F981" s="18"/>
      <c r="G981" s="18" t="s">
        <v>2220</v>
      </c>
      <c r="H981" s="18" t="s">
        <v>2160</v>
      </c>
    </row>
    <row r="982" spans="1:8">
      <c r="A982" s="19" t="s">
        <v>100</v>
      </c>
      <c r="B982" s="19" t="s">
        <v>3749</v>
      </c>
      <c r="C982" s="19" t="s">
        <v>2281</v>
      </c>
      <c r="D982" s="19" t="s">
        <v>2789</v>
      </c>
      <c r="E982" s="19" t="s">
        <v>3741</v>
      </c>
      <c r="F982" s="19">
        <v>8.64</v>
      </c>
      <c r="G982" s="19" t="s">
        <v>2154</v>
      </c>
      <c r="H982" s="19" t="s">
        <v>2160</v>
      </c>
    </row>
    <row r="983" spans="1:8">
      <c r="A983" s="18" t="s">
        <v>100</v>
      </c>
      <c r="B983" s="18" t="s">
        <v>3750</v>
      </c>
      <c r="C983" s="18" t="s">
        <v>2396</v>
      </c>
      <c r="D983" s="18" t="s">
        <v>2567</v>
      </c>
      <c r="E983" s="18" t="s">
        <v>2568</v>
      </c>
      <c r="F983" s="18">
        <v>10.39</v>
      </c>
      <c r="G983" s="18" t="s">
        <v>2154</v>
      </c>
      <c r="H983" s="18" t="s">
        <v>2155</v>
      </c>
    </row>
    <row r="984" spans="1:8">
      <c r="A984" s="19" t="s">
        <v>100</v>
      </c>
      <c r="B984" s="19" t="s">
        <v>3751</v>
      </c>
      <c r="C984" s="19" t="s">
        <v>2289</v>
      </c>
      <c r="D984" s="19" t="s">
        <v>2457</v>
      </c>
      <c r="E984" s="19" t="s">
        <v>2762</v>
      </c>
      <c r="F984" s="19">
        <v>9.52</v>
      </c>
      <c r="G984" s="19" t="s">
        <v>2154</v>
      </c>
      <c r="H984" s="19" t="s">
        <v>2160</v>
      </c>
    </row>
    <row r="985" spans="1:8">
      <c r="A985" s="18" t="s">
        <v>100</v>
      </c>
      <c r="B985" s="18" t="s">
        <v>3752</v>
      </c>
      <c r="C985" s="18" t="s">
        <v>2293</v>
      </c>
      <c r="D985" s="18" t="s">
        <v>3278</v>
      </c>
      <c r="E985" s="18" t="s">
        <v>2841</v>
      </c>
      <c r="F985" s="18">
        <v>7.88</v>
      </c>
      <c r="G985" s="18" t="s">
        <v>2154</v>
      </c>
      <c r="H985" s="18" t="s">
        <v>2187</v>
      </c>
    </row>
    <row r="986" spans="1:8">
      <c r="A986" s="19" t="s">
        <v>100</v>
      </c>
      <c r="B986" s="19" t="s">
        <v>3753</v>
      </c>
      <c r="C986" s="19" t="s">
        <v>2296</v>
      </c>
      <c r="D986" s="19" t="s">
        <v>2198</v>
      </c>
      <c r="E986" s="19" t="s">
        <v>2710</v>
      </c>
      <c r="F986" s="19">
        <v>7.41</v>
      </c>
      <c r="G986" s="19" t="s">
        <v>2154</v>
      </c>
      <c r="H986" s="19" t="s">
        <v>2155</v>
      </c>
    </row>
    <row r="987" spans="1:8">
      <c r="A987" s="18" t="s">
        <v>100</v>
      </c>
      <c r="B987" s="18" t="s">
        <v>3754</v>
      </c>
      <c r="C987" s="18" t="s">
        <v>2300</v>
      </c>
      <c r="D987" s="18" t="s">
        <v>2696</v>
      </c>
      <c r="E987" s="18" t="s">
        <v>2434</v>
      </c>
      <c r="F987" s="18">
        <v>9.57</v>
      </c>
      <c r="G987" s="18" t="s">
        <v>2154</v>
      </c>
      <c r="H987" s="18" t="s">
        <v>2171</v>
      </c>
    </row>
    <row r="988" spans="1:8">
      <c r="A988" s="19" t="s">
        <v>100</v>
      </c>
      <c r="B988" s="19" t="s">
        <v>3755</v>
      </c>
      <c r="C988" s="19" t="s">
        <v>2144</v>
      </c>
      <c r="D988" s="19" t="s">
        <v>2709</v>
      </c>
      <c r="E988" s="19" t="s">
        <v>2749</v>
      </c>
      <c r="F988" s="19">
        <v>10.93</v>
      </c>
      <c r="G988" s="19" t="s">
        <v>2154</v>
      </c>
      <c r="H988" s="19" t="s">
        <v>2187</v>
      </c>
    </row>
    <row r="989" spans="1:8">
      <c r="A989" s="18" t="s">
        <v>100</v>
      </c>
      <c r="B989" s="18" t="s">
        <v>3756</v>
      </c>
      <c r="C989" s="18" t="s">
        <v>2307</v>
      </c>
      <c r="D989" s="18" t="s">
        <v>2290</v>
      </c>
      <c r="E989" s="18" t="s">
        <v>2327</v>
      </c>
      <c r="F989" s="18">
        <v>6.8</v>
      </c>
      <c r="G989" s="18" t="s">
        <v>2154</v>
      </c>
      <c r="H989" s="18" t="s">
        <v>2160</v>
      </c>
    </row>
    <row r="990" spans="1:8">
      <c r="A990" s="19" t="s">
        <v>100</v>
      </c>
      <c r="B990" s="19" t="s">
        <v>3757</v>
      </c>
      <c r="C990" s="19" t="s">
        <v>2311</v>
      </c>
      <c r="D990" s="19" t="s">
        <v>3239</v>
      </c>
      <c r="E990" s="19" t="s">
        <v>3758</v>
      </c>
      <c r="F990" s="19">
        <v>6.91</v>
      </c>
      <c r="G990" s="19" t="s">
        <v>2154</v>
      </c>
      <c r="H990" s="19" t="s">
        <v>2187</v>
      </c>
    </row>
    <row r="991" spans="1:8">
      <c r="A991" s="18" t="s">
        <v>1247</v>
      </c>
      <c r="B991" s="18" t="s">
        <v>3759</v>
      </c>
      <c r="C991" s="18" t="s">
        <v>2038</v>
      </c>
      <c r="D991" s="18" t="s">
        <v>2426</v>
      </c>
      <c r="E991" s="18" t="s">
        <v>2329</v>
      </c>
      <c r="F991" s="18">
        <v>10.58</v>
      </c>
      <c r="G991" s="18" t="s">
        <v>2154</v>
      </c>
      <c r="H991" s="18" t="s">
        <v>2155</v>
      </c>
    </row>
    <row r="992" spans="1:8">
      <c r="A992" s="19" t="s">
        <v>1247</v>
      </c>
      <c r="B992" s="19" t="s">
        <v>3760</v>
      </c>
      <c r="C992" s="19" t="s">
        <v>2157</v>
      </c>
      <c r="D992" s="19" t="s">
        <v>2524</v>
      </c>
      <c r="E992" s="19" t="s">
        <v>2465</v>
      </c>
      <c r="F992" s="19">
        <v>8.8699999999999992</v>
      </c>
      <c r="G992" s="19" t="s">
        <v>2154</v>
      </c>
      <c r="H992" s="19" t="s">
        <v>2160</v>
      </c>
    </row>
    <row r="993" spans="1:8">
      <c r="A993" s="18" t="s">
        <v>1247</v>
      </c>
      <c r="B993" s="18" t="s">
        <v>3761</v>
      </c>
      <c r="C993" s="18" t="s">
        <v>2162</v>
      </c>
      <c r="D993" s="18" t="s">
        <v>2966</v>
      </c>
      <c r="E993" s="18" t="s">
        <v>3157</v>
      </c>
      <c r="F993" s="18">
        <v>7.35</v>
      </c>
      <c r="G993" s="18" t="s">
        <v>2154</v>
      </c>
      <c r="H993" s="18" t="s">
        <v>2187</v>
      </c>
    </row>
    <row r="994" spans="1:8">
      <c r="A994" s="19" t="s">
        <v>1247</v>
      </c>
      <c r="B994" s="19" t="s">
        <v>3762</v>
      </c>
      <c r="C994" s="19" t="s">
        <v>1937</v>
      </c>
      <c r="D994" s="19" t="s">
        <v>3251</v>
      </c>
      <c r="E994" s="19" t="s">
        <v>2882</v>
      </c>
      <c r="F994" s="19">
        <v>7.05</v>
      </c>
      <c r="G994" s="19" t="s">
        <v>2154</v>
      </c>
      <c r="H994" s="19" t="s">
        <v>2155</v>
      </c>
    </row>
    <row r="995" spans="1:8">
      <c r="A995" s="18" t="s">
        <v>1247</v>
      </c>
      <c r="B995" s="18" t="s">
        <v>3763</v>
      </c>
      <c r="C995" s="18" t="s">
        <v>2168</v>
      </c>
      <c r="D995" s="18" t="s">
        <v>2205</v>
      </c>
      <c r="E995" s="18" t="s">
        <v>2250</v>
      </c>
      <c r="F995" s="18">
        <v>7.3</v>
      </c>
      <c r="G995" s="18" t="s">
        <v>2154</v>
      </c>
      <c r="H995" s="18" t="s">
        <v>2187</v>
      </c>
    </row>
    <row r="996" spans="1:8">
      <c r="A996" s="19" t="s">
        <v>1247</v>
      </c>
      <c r="B996" s="19" t="s">
        <v>3764</v>
      </c>
      <c r="C996" s="19" t="s">
        <v>2173</v>
      </c>
      <c r="D996" s="19" t="s">
        <v>2290</v>
      </c>
      <c r="E996" s="19" t="s">
        <v>2291</v>
      </c>
      <c r="F996" s="19">
        <v>9.11</v>
      </c>
      <c r="G996" s="19" t="s">
        <v>2154</v>
      </c>
      <c r="H996" s="19" t="s">
        <v>2160</v>
      </c>
    </row>
    <row r="997" spans="1:8">
      <c r="A997" s="18" t="s">
        <v>1247</v>
      </c>
      <c r="B997" s="18" t="s">
        <v>3765</v>
      </c>
      <c r="C997" s="18" t="s">
        <v>2177</v>
      </c>
      <c r="D997" s="18" t="s">
        <v>2282</v>
      </c>
      <c r="E997" s="18" t="s">
        <v>2861</v>
      </c>
      <c r="F997" s="18">
        <v>10.26</v>
      </c>
      <c r="G997" s="18" t="s">
        <v>2154</v>
      </c>
      <c r="H997" s="18" t="s">
        <v>2155</v>
      </c>
    </row>
    <row r="998" spans="1:8">
      <c r="A998" s="19" t="s">
        <v>1247</v>
      </c>
      <c r="B998" s="19" t="s">
        <v>3766</v>
      </c>
      <c r="C998" s="19" t="s">
        <v>1945</v>
      </c>
      <c r="D998" s="19" t="s">
        <v>2403</v>
      </c>
      <c r="E998" s="19" t="s">
        <v>2404</v>
      </c>
      <c r="F998" s="19">
        <v>7.87</v>
      </c>
      <c r="G998" s="19" t="s">
        <v>2154</v>
      </c>
      <c r="H998" s="19" t="s">
        <v>2155</v>
      </c>
    </row>
    <row r="999" spans="1:8">
      <c r="A999" s="18" t="s">
        <v>1247</v>
      </c>
      <c r="B999" s="18" t="s">
        <v>3767</v>
      </c>
      <c r="C999" s="18" t="s">
        <v>2184</v>
      </c>
      <c r="D999" s="18" t="s">
        <v>2235</v>
      </c>
      <c r="E999" s="18" t="s">
        <v>3060</v>
      </c>
      <c r="F999" s="18">
        <v>8.6</v>
      </c>
      <c r="G999" s="18" t="s">
        <v>2154</v>
      </c>
      <c r="H999" s="18" t="s">
        <v>2155</v>
      </c>
    </row>
    <row r="1000" spans="1:8">
      <c r="A1000" s="19" t="s">
        <v>1247</v>
      </c>
      <c r="B1000" s="19" t="s">
        <v>3768</v>
      </c>
      <c r="C1000" s="19" t="s">
        <v>2189</v>
      </c>
      <c r="D1000" s="19" t="s">
        <v>2323</v>
      </c>
      <c r="E1000" s="19" t="s">
        <v>3024</v>
      </c>
      <c r="F1000" s="19">
        <v>9.36</v>
      </c>
      <c r="G1000" s="19" t="s">
        <v>2154</v>
      </c>
      <c r="H1000" s="19" t="s">
        <v>2171</v>
      </c>
    </row>
    <row r="1001" spans="1:8">
      <c r="A1001" s="18" t="s">
        <v>1247</v>
      </c>
      <c r="B1001" s="18" t="s">
        <v>3769</v>
      </c>
      <c r="C1001" s="18" t="s">
        <v>2193</v>
      </c>
      <c r="D1001" s="18" t="s">
        <v>2356</v>
      </c>
      <c r="E1001" s="18" t="s">
        <v>2570</v>
      </c>
      <c r="F1001" s="18">
        <v>7.95</v>
      </c>
      <c r="G1001" s="18" t="s">
        <v>2154</v>
      </c>
      <c r="H1001" s="18" t="s">
        <v>2187</v>
      </c>
    </row>
    <row r="1002" spans="1:8">
      <c r="A1002" s="19" t="s">
        <v>1247</v>
      </c>
      <c r="B1002" s="19" t="s">
        <v>3770</v>
      </c>
      <c r="C1002" s="19" t="s">
        <v>2197</v>
      </c>
      <c r="D1002" s="19"/>
      <c r="E1002" s="19"/>
      <c r="F1002" s="19"/>
      <c r="G1002" s="19" t="s">
        <v>2220</v>
      </c>
      <c r="H1002" s="19" t="s">
        <v>2160</v>
      </c>
    </row>
    <row r="1003" spans="1:8">
      <c r="A1003" s="18" t="s">
        <v>1247</v>
      </c>
      <c r="B1003" s="18" t="s">
        <v>3771</v>
      </c>
      <c r="C1003" s="18" t="s">
        <v>1819</v>
      </c>
      <c r="D1003" s="18" t="s">
        <v>2314</v>
      </c>
      <c r="E1003" s="18" t="s">
        <v>2315</v>
      </c>
      <c r="F1003" s="18">
        <v>9.81</v>
      </c>
      <c r="G1003" s="18" t="s">
        <v>2154</v>
      </c>
      <c r="H1003" s="18" t="s">
        <v>2160</v>
      </c>
    </row>
    <row r="1004" spans="1:8">
      <c r="A1004" s="19" t="s">
        <v>1247</v>
      </c>
      <c r="B1004" s="19" t="s">
        <v>3772</v>
      </c>
      <c r="C1004" s="19" t="s">
        <v>3773</v>
      </c>
      <c r="D1004" s="19" t="s">
        <v>2246</v>
      </c>
      <c r="E1004" s="19" t="s">
        <v>2247</v>
      </c>
      <c r="F1004" s="19">
        <v>7.68</v>
      </c>
      <c r="G1004" s="19" t="s">
        <v>2154</v>
      </c>
      <c r="H1004" s="19" t="s">
        <v>2160</v>
      </c>
    </row>
    <row r="1005" spans="1:8">
      <c r="A1005" s="18" t="s">
        <v>1247</v>
      </c>
      <c r="B1005" s="18" t="s">
        <v>3774</v>
      </c>
      <c r="C1005" s="18" t="s">
        <v>1843</v>
      </c>
      <c r="D1005" s="18" t="s">
        <v>2212</v>
      </c>
      <c r="E1005" s="18" t="s">
        <v>2406</v>
      </c>
      <c r="F1005" s="18">
        <v>9.85</v>
      </c>
      <c r="G1005" s="18" t="s">
        <v>2154</v>
      </c>
      <c r="H1005" s="18" t="s">
        <v>2171</v>
      </c>
    </row>
    <row r="1006" spans="1:8">
      <c r="A1006" s="19" t="s">
        <v>1247</v>
      </c>
      <c r="B1006" s="19" t="s">
        <v>3775</v>
      </c>
      <c r="C1006" s="19" t="s">
        <v>2211</v>
      </c>
      <c r="D1006" s="19" t="s">
        <v>2393</v>
      </c>
      <c r="E1006" s="19" t="s">
        <v>2568</v>
      </c>
      <c r="F1006" s="19">
        <v>9.5299999999999994</v>
      </c>
      <c r="G1006" s="19" t="s">
        <v>2154</v>
      </c>
      <c r="H1006" s="19" t="s">
        <v>2171</v>
      </c>
    </row>
    <row r="1007" spans="1:8">
      <c r="A1007" s="18" t="s">
        <v>1247</v>
      </c>
      <c r="B1007" s="18" t="s">
        <v>3776</v>
      </c>
      <c r="C1007" s="18" t="s">
        <v>2215</v>
      </c>
      <c r="D1007" s="18" t="s">
        <v>2278</v>
      </c>
      <c r="E1007" s="18" t="s">
        <v>2283</v>
      </c>
      <c r="F1007" s="18">
        <v>8.9600000000000009</v>
      </c>
      <c r="G1007" s="18" t="s">
        <v>2154</v>
      </c>
      <c r="H1007" s="18" t="s">
        <v>2160</v>
      </c>
    </row>
    <row r="1008" spans="1:8">
      <c r="A1008" s="19" t="s">
        <v>1247</v>
      </c>
      <c r="B1008" s="19" t="s">
        <v>3777</v>
      </c>
      <c r="C1008" s="19" t="s">
        <v>2219</v>
      </c>
      <c r="D1008" s="19" t="s">
        <v>2387</v>
      </c>
      <c r="E1008" s="19" t="s">
        <v>2587</v>
      </c>
      <c r="F1008" s="19">
        <v>8.41</v>
      </c>
      <c r="G1008" s="19" t="s">
        <v>2154</v>
      </c>
      <c r="H1008" s="19" t="s">
        <v>2171</v>
      </c>
    </row>
    <row r="1009" spans="1:8">
      <c r="A1009" s="18" t="s">
        <v>1247</v>
      </c>
      <c r="B1009" s="18" t="s">
        <v>3778</v>
      </c>
      <c r="C1009" s="18" t="s">
        <v>2222</v>
      </c>
      <c r="D1009" s="18" t="s">
        <v>2198</v>
      </c>
      <c r="E1009" s="18" t="s">
        <v>3779</v>
      </c>
      <c r="F1009" s="18">
        <v>11.23</v>
      </c>
      <c r="G1009" s="18" t="s">
        <v>2154</v>
      </c>
      <c r="H1009" s="18" t="s">
        <v>2171</v>
      </c>
    </row>
    <row r="1010" spans="1:8">
      <c r="A1010" s="19" t="s">
        <v>1247</v>
      </c>
      <c r="B1010" s="19" t="s">
        <v>3780</v>
      </c>
      <c r="C1010" s="19" t="s">
        <v>3781</v>
      </c>
      <c r="D1010" s="19" t="s">
        <v>2440</v>
      </c>
      <c r="E1010" s="19" t="s">
        <v>3218</v>
      </c>
      <c r="F1010" s="19">
        <v>8.6300000000000008</v>
      </c>
      <c r="G1010" s="19" t="s">
        <v>2154</v>
      </c>
      <c r="H1010" s="19" t="s">
        <v>2160</v>
      </c>
    </row>
    <row r="1011" spans="1:8">
      <c r="A1011" s="18" t="s">
        <v>1247</v>
      </c>
      <c r="B1011" s="18" t="s">
        <v>3782</v>
      </c>
      <c r="C1011" s="18" t="s">
        <v>2230</v>
      </c>
      <c r="D1011" s="18" t="s">
        <v>2345</v>
      </c>
      <c r="E1011" s="18" t="s">
        <v>3013</v>
      </c>
      <c r="F1011" s="18">
        <v>6.86</v>
      </c>
      <c r="G1011" s="18" t="s">
        <v>2154</v>
      </c>
      <c r="H1011" s="18" t="s">
        <v>2155</v>
      </c>
    </row>
    <row r="1012" spans="1:8">
      <c r="A1012" s="19" t="s">
        <v>1247</v>
      </c>
      <c r="B1012" s="19" t="s">
        <v>3783</v>
      </c>
      <c r="C1012" s="19" t="s">
        <v>2234</v>
      </c>
      <c r="D1012" s="19"/>
      <c r="E1012" s="19"/>
      <c r="F1012" s="19"/>
      <c r="G1012" s="19" t="s">
        <v>2163</v>
      </c>
      <c r="H1012" s="19" t="s">
        <v>2160</v>
      </c>
    </row>
    <row r="1013" spans="1:8">
      <c r="A1013" s="18" t="s">
        <v>1247</v>
      </c>
      <c r="B1013" s="18" t="s">
        <v>3784</v>
      </c>
      <c r="C1013" s="18" t="s">
        <v>2238</v>
      </c>
      <c r="D1013" s="18" t="s">
        <v>3100</v>
      </c>
      <c r="E1013" s="18" t="s">
        <v>2568</v>
      </c>
      <c r="F1013" s="18">
        <v>11.02</v>
      </c>
      <c r="G1013" s="18" t="s">
        <v>2154</v>
      </c>
      <c r="H1013" s="18" t="s">
        <v>2171</v>
      </c>
    </row>
    <row r="1014" spans="1:8">
      <c r="A1014" s="19" t="s">
        <v>1247</v>
      </c>
      <c r="B1014" s="19" t="s">
        <v>3785</v>
      </c>
      <c r="C1014" s="19" t="s">
        <v>2241</v>
      </c>
      <c r="D1014" s="19" t="s">
        <v>2709</v>
      </c>
      <c r="E1014" s="19" t="s">
        <v>2749</v>
      </c>
      <c r="F1014" s="19">
        <v>10.79</v>
      </c>
      <c r="G1014" s="19" t="s">
        <v>2154</v>
      </c>
      <c r="H1014" s="19" t="s">
        <v>2160</v>
      </c>
    </row>
    <row r="1015" spans="1:8">
      <c r="A1015" s="18" t="s">
        <v>1247</v>
      </c>
      <c r="B1015" s="18" t="s">
        <v>3786</v>
      </c>
      <c r="C1015" s="18" t="s">
        <v>2245</v>
      </c>
      <c r="D1015" s="18" t="s">
        <v>3020</v>
      </c>
      <c r="E1015" s="18" t="s">
        <v>2617</v>
      </c>
      <c r="F1015" s="18">
        <v>7.56</v>
      </c>
      <c r="G1015" s="18" t="s">
        <v>2154</v>
      </c>
      <c r="H1015" s="18" t="s">
        <v>2171</v>
      </c>
    </row>
    <row r="1016" spans="1:8">
      <c r="A1016" s="19" t="s">
        <v>1247</v>
      </c>
      <c r="B1016" s="19" t="s">
        <v>3787</v>
      </c>
      <c r="C1016" s="19" t="s">
        <v>2249</v>
      </c>
      <c r="D1016" s="19" t="s">
        <v>2541</v>
      </c>
      <c r="E1016" s="19" t="s">
        <v>2938</v>
      </c>
      <c r="F1016" s="19">
        <v>8.6300000000000008</v>
      </c>
      <c r="G1016" s="19" t="s">
        <v>2154</v>
      </c>
      <c r="H1016" s="19" t="s">
        <v>2171</v>
      </c>
    </row>
    <row r="1017" spans="1:8">
      <c r="A1017" s="18" t="s">
        <v>1247</v>
      </c>
      <c r="B1017" s="18" t="s">
        <v>3788</v>
      </c>
      <c r="C1017" s="18" t="s">
        <v>2252</v>
      </c>
      <c r="D1017" s="18" t="s">
        <v>2443</v>
      </c>
      <c r="E1017" s="18" t="s">
        <v>2726</v>
      </c>
      <c r="F1017" s="18">
        <v>7.71</v>
      </c>
      <c r="G1017" s="18" t="s">
        <v>2154</v>
      </c>
      <c r="H1017" s="18" t="s">
        <v>2171</v>
      </c>
    </row>
    <row r="1018" spans="1:8">
      <c r="A1018" s="19" t="s">
        <v>1247</v>
      </c>
      <c r="B1018" s="19" t="s">
        <v>3789</v>
      </c>
      <c r="C1018" s="19" t="s">
        <v>2376</v>
      </c>
      <c r="D1018" s="19" t="s">
        <v>2684</v>
      </c>
      <c r="E1018" s="19" t="s">
        <v>3790</v>
      </c>
      <c r="F1018" s="19">
        <v>10.79</v>
      </c>
      <c r="G1018" s="19" t="s">
        <v>2154</v>
      </c>
      <c r="H1018" s="19" t="s">
        <v>2187</v>
      </c>
    </row>
    <row r="1019" spans="1:8">
      <c r="A1019" s="18" t="s">
        <v>1247</v>
      </c>
      <c r="B1019" s="18" t="s">
        <v>3791</v>
      </c>
      <c r="C1019" s="18" t="s">
        <v>2260</v>
      </c>
      <c r="D1019" s="18"/>
      <c r="E1019" s="18"/>
      <c r="F1019" s="18"/>
      <c r="G1019" s="18" t="s">
        <v>2343</v>
      </c>
      <c r="H1019" s="18" t="s">
        <v>2171</v>
      </c>
    </row>
    <row r="1020" spans="1:8">
      <c r="A1020" s="19" t="s">
        <v>1247</v>
      </c>
      <c r="B1020" s="19" t="s">
        <v>3792</v>
      </c>
      <c r="C1020" s="19" t="s">
        <v>2264</v>
      </c>
      <c r="D1020" s="19" t="s">
        <v>2594</v>
      </c>
      <c r="E1020" s="19" t="s">
        <v>2658</v>
      </c>
      <c r="F1020" s="19">
        <v>11.19</v>
      </c>
      <c r="G1020" s="19" t="s">
        <v>2154</v>
      </c>
      <c r="H1020" s="19" t="s">
        <v>2160</v>
      </c>
    </row>
    <row r="1021" spans="1:8">
      <c r="A1021" s="18" t="s">
        <v>1247</v>
      </c>
      <c r="B1021" s="18" t="s">
        <v>3793</v>
      </c>
      <c r="C1021" s="18" t="s">
        <v>1948</v>
      </c>
      <c r="D1021" s="18"/>
      <c r="E1021" s="18"/>
      <c r="F1021" s="18"/>
      <c r="G1021" s="18" t="s">
        <v>2163</v>
      </c>
      <c r="H1021" s="18" t="s">
        <v>2155</v>
      </c>
    </row>
    <row r="1022" spans="1:8">
      <c r="A1022" s="19" t="s">
        <v>1247</v>
      </c>
      <c r="B1022" s="19" t="s">
        <v>3794</v>
      </c>
      <c r="C1022" s="19" t="s">
        <v>2269</v>
      </c>
      <c r="D1022" s="19" t="s">
        <v>2169</v>
      </c>
      <c r="E1022" s="19" t="s">
        <v>2799</v>
      </c>
      <c r="F1022" s="19">
        <v>7.12</v>
      </c>
      <c r="G1022" s="19" t="s">
        <v>2154</v>
      </c>
      <c r="H1022" s="19" t="s">
        <v>2171</v>
      </c>
    </row>
    <row r="1023" spans="1:8">
      <c r="A1023" s="18" t="s">
        <v>1247</v>
      </c>
      <c r="B1023" s="18" t="s">
        <v>3795</v>
      </c>
      <c r="C1023" s="18" t="s">
        <v>2273</v>
      </c>
      <c r="D1023" s="18" t="s">
        <v>2158</v>
      </c>
      <c r="E1023" s="18" t="s">
        <v>2492</v>
      </c>
      <c r="F1023" s="18">
        <v>6.76</v>
      </c>
      <c r="G1023" s="18" t="s">
        <v>2154</v>
      </c>
      <c r="H1023" s="18" t="s">
        <v>2187</v>
      </c>
    </row>
    <row r="1024" spans="1:8">
      <c r="A1024" s="19" t="s">
        <v>1247</v>
      </c>
      <c r="B1024" s="19" t="s">
        <v>3796</v>
      </c>
      <c r="C1024" s="19" t="s">
        <v>2277</v>
      </c>
      <c r="D1024" s="19" t="s">
        <v>2597</v>
      </c>
      <c r="E1024" s="19" t="s">
        <v>3006</v>
      </c>
      <c r="F1024" s="19">
        <v>7.19</v>
      </c>
      <c r="G1024" s="19" t="s">
        <v>2154</v>
      </c>
      <c r="H1024" s="19" t="s">
        <v>2155</v>
      </c>
    </row>
    <row r="1025" spans="1:8">
      <c r="A1025" s="18" t="s">
        <v>1247</v>
      </c>
      <c r="B1025" s="18" t="s">
        <v>3797</v>
      </c>
      <c r="C1025" s="18" t="s">
        <v>2281</v>
      </c>
      <c r="D1025" s="18" t="s">
        <v>2594</v>
      </c>
      <c r="E1025" s="18" t="s">
        <v>3366</v>
      </c>
      <c r="F1025" s="18">
        <v>10.66</v>
      </c>
      <c r="G1025" s="18" t="s">
        <v>2154</v>
      </c>
      <c r="H1025" s="18" t="s">
        <v>2160</v>
      </c>
    </row>
    <row r="1026" spans="1:8">
      <c r="A1026" s="19" t="s">
        <v>1247</v>
      </c>
      <c r="B1026" s="19" t="s">
        <v>3798</v>
      </c>
      <c r="C1026" s="19" t="s">
        <v>2396</v>
      </c>
      <c r="D1026" s="19" t="s">
        <v>2516</v>
      </c>
      <c r="E1026" s="19" t="s">
        <v>2236</v>
      </c>
      <c r="F1026" s="19">
        <v>8.43</v>
      </c>
      <c r="G1026" s="19" t="s">
        <v>2154</v>
      </c>
      <c r="H1026" s="19" t="s">
        <v>2171</v>
      </c>
    </row>
    <row r="1027" spans="1:8">
      <c r="A1027" s="18" t="s">
        <v>1247</v>
      </c>
      <c r="B1027" s="18" t="s">
        <v>3799</v>
      </c>
      <c r="C1027" s="18" t="s">
        <v>2289</v>
      </c>
      <c r="D1027" s="18" t="s">
        <v>2308</v>
      </c>
      <c r="E1027" s="18" t="s">
        <v>3635</v>
      </c>
      <c r="F1027" s="18">
        <v>8.2799999999999994</v>
      </c>
      <c r="G1027" s="18" t="s">
        <v>2154</v>
      </c>
      <c r="H1027" s="18" t="s">
        <v>2160</v>
      </c>
    </row>
    <row r="1028" spans="1:8">
      <c r="A1028" s="19" t="s">
        <v>1247</v>
      </c>
      <c r="B1028" s="19" t="s">
        <v>3800</v>
      </c>
      <c r="C1028" s="19" t="s">
        <v>2293</v>
      </c>
      <c r="D1028" s="19" t="s">
        <v>2297</v>
      </c>
      <c r="E1028" s="19" t="s">
        <v>2998</v>
      </c>
      <c r="F1028" s="19">
        <v>9.7799999999999994</v>
      </c>
      <c r="G1028" s="19" t="s">
        <v>2154</v>
      </c>
      <c r="H1028" s="19" t="s">
        <v>2160</v>
      </c>
    </row>
    <row r="1029" spans="1:8">
      <c r="A1029" s="18" t="s">
        <v>1247</v>
      </c>
      <c r="B1029" s="18" t="s">
        <v>3801</v>
      </c>
      <c r="C1029" s="18" t="s">
        <v>2296</v>
      </c>
      <c r="D1029" s="18" t="s">
        <v>2885</v>
      </c>
      <c r="E1029" s="18" t="s">
        <v>2808</v>
      </c>
      <c r="F1029" s="18">
        <v>10.58</v>
      </c>
      <c r="G1029" s="18" t="s">
        <v>2154</v>
      </c>
      <c r="H1029" s="18" t="s">
        <v>2160</v>
      </c>
    </row>
    <row r="1030" spans="1:8">
      <c r="A1030" s="19" t="s">
        <v>1247</v>
      </c>
      <c r="B1030" s="19" t="s">
        <v>3802</v>
      </c>
      <c r="C1030" s="19" t="s">
        <v>2300</v>
      </c>
      <c r="D1030" s="19" t="s">
        <v>2548</v>
      </c>
      <c r="E1030" s="19" t="s">
        <v>2549</v>
      </c>
      <c r="F1030" s="19">
        <v>10.34</v>
      </c>
      <c r="G1030" s="19" t="s">
        <v>2154</v>
      </c>
      <c r="H1030" s="19" t="s">
        <v>2160</v>
      </c>
    </row>
    <row r="1031" spans="1:8">
      <c r="A1031" s="18" t="s">
        <v>1247</v>
      </c>
      <c r="B1031" s="18" t="s">
        <v>3803</v>
      </c>
      <c r="C1031" s="18" t="s">
        <v>2144</v>
      </c>
      <c r="D1031" s="18" t="s">
        <v>2393</v>
      </c>
      <c r="E1031" s="18" t="s">
        <v>2568</v>
      </c>
      <c r="F1031" s="18">
        <v>9.57</v>
      </c>
      <c r="G1031" s="18" t="s">
        <v>2154</v>
      </c>
      <c r="H1031" s="18" t="s">
        <v>2155</v>
      </c>
    </row>
    <row r="1032" spans="1:8">
      <c r="A1032" s="19" t="s">
        <v>1247</v>
      </c>
      <c r="B1032" s="19" t="s">
        <v>3804</v>
      </c>
      <c r="C1032" s="19" t="s">
        <v>2307</v>
      </c>
      <c r="D1032" s="19" t="s">
        <v>2807</v>
      </c>
      <c r="E1032" s="19" t="s">
        <v>3710</v>
      </c>
      <c r="F1032" s="19">
        <v>10.62</v>
      </c>
      <c r="G1032" s="19" t="s">
        <v>2154</v>
      </c>
      <c r="H1032" s="19" t="s">
        <v>2171</v>
      </c>
    </row>
    <row r="1033" spans="1:8">
      <c r="A1033" s="18" t="s">
        <v>1247</v>
      </c>
      <c r="B1033" s="18" t="s">
        <v>3805</v>
      </c>
      <c r="C1033" s="18" t="s">
        <v>2311</v>
      </c>
      <c r="D1033" s="18" t="s">
        <v>2419</v>
      </c>
      <c r="E1033" s="18" t="s">
        <v>3404</v>
      </c>
      <c r="F1033" s="18">
        <v>8.84</v>
      </c>
      <c r="G1033" s="18" t="s">
        <v>2154</v>
      </c>
      <c r="H1033" s="18" t="s">
        <v>2171</v>
      </c>
    </row>
    <row r="1034" spans="1:8">
      <c r="A1034" s="19" t="s">
        <v>1282</v>
      </c>
      <c r="B1034" s="19" t="s">
        <v>3806</v>
      </c>
      <c r="C1034" s="19" t="s">
        <v>2038</v>
      </c>
      <c r="D1034" s="19" t="s">
        <v>2308</v>
      </c>
      <c r="E1034" s="19" t="s">
        <v>2921</v>
      </c>
      <c r="F1034" s="19">
        <v>7.71</v>
      </c>
      <c r="G1034" s="19" t="s">
        <v>2154</v>
      </c>
      <c r="H1034" s="19" t="s">
        <v>2155</v>
      </c>
    </row>
    <row r="1035" spans="1:8">
      <c r="A1035" s="18" t="s">
        <v>1282</v>
      </c>
      <c r="B1035" s="18" t="s">
        <v>3807</v>
      </c>
      <c r="C1035" s="18" t="s">
        <v>2157</v>
      </c>
      <c r="D1035" s="18" t="s">
        <v>2416</v>
      </c>
      <c r="E1035" s="18" t="s">
        <v>3381</v>
      </c>
      <c r="F1035" s="18">
        <v>6.95</v>
      </c>
      <c r="G1035" s="18" t="s">
        <v>2154</v>
      </c>
      <c r="H1035" s="18" t="s">
        <v>2187</v>
      </c>
    </row>
    <row r="1036" spans="1:8">
      <c r="A1036" s="19" t="s">
        <v>1282</v>
      </c>
      <c r="B1036" s="19" t="s">
        <v>3808</v>
      </c>
      <c r="C1036" s="19" t="s">
        <v>2162</v>
      </c>
      <c r="D1036" s="19" t="s">
        <v>2304</v>
      </c>
      <c r="E1036" s="19" t="s">
        <v>3790</v>
      </c>
      <c r="F1036" s="19">
        <v>11.37</v>
      </c>
      <c r="G1036" s="19" t="s">
        <v>2154</v>
      </c>
      <c r="H1036" s="19" t="s">
        <v>2187</v>
      </c>
    </row>
    <row r="1037" spans="1:8">
      <c r="A1037" s="18" t="s">
        <v>1282</v>
      </c>
      <c r="B1037" s="18" t="s">
        <v>3809</v>
      </c>
      <c r="C1037" s="18" t="s">
        <v>1937</v>
      </c>
      <c r="D1037" s="18" t="s">
        <v>2561</v>
      </c>
      <c r="E1037" s="18" t="s">
        <v>2882</v>
      </c>
      <c r="F1037" s="18">
        <v>8.64</v>
      </c>
      <c r="G1037" s="18" t="s">
        <v>2154</v>
      </c>
      <c r="H1037" s="18" t="s">
        <v>2171</v>
      </c>
    </row>
    <row r="1038" spans="1:8">
      <c r="A1038" s="19" t="s">
        <v>1282</v>
      </c>
      <c r="B1038" s="19" t="s">
        <v>3810</v>
      </c>
      <c r="C1038" s="19" t="s">
        <v>2168</v>
      </c>
      <c r="D1038" s="19" t="s">
        <v>2301</v>
      </c>
      <c r="E1038" s="19" t="s">
        <v>2455</v>
      </c>
      <c r="F1038" s="19">
        <v>9.7899999999999991</v>
      </c>
      <c r="G1038" s="19" t="s">
        <v>2154</v>
      </c>
      <c r="H1038" s="19" t="s">
        <v>2187</v>
      </c>
    </row>
    <row r="1039" spans="1:8">
      <c r="A1039" s="18" t="s">
        <v>1282</v>
      </c>
      <c r="B1039" s="18" t="s">
        <v>3811</v>
      </c>
      <c r="C1039" s="18" t="s">
        <v>2173</v>
      </c>
      <c r="D1039" s="18" t="s">
        <v>2278</v>
      </c>
      <c r="E1039" s="18" t="s">
        <v>2283</v>
      </c>
      <c r="F1039" s="18">
        <v>8.81</v>
      </c>
      <c r="G1039" s="18" t="s">
        <v>2154</v>
      </c>
      <c r="H1039" s="18" t="s">
        <v>2187</v>
      </c>
    </row>
    <row r="1040" spans="1:8">
      <c r="A1040" s="19" t="s">
        <v>1282</v>
      </c>
      <c r="B1040" s="19" t="s">
        <v>3812</v>
      </c>
      <c r="C1040" s="19" t="s">
        <v>2177</v>
      </c>
      <c r="D1040" s="19" t="s">
        <v>2331</v>
      </c>
      <c r="E1040" s="19" t="s">
        <v>2582</v>
      </c>
      <c r="F1040" s="19">
        <v>8</v>
      </c>
      <c r="G1040" s="19" t="s">
        <v>2154</v>
      </c>
      <c r="H1040" s="19" t="s">
        <v>2187</v>
      </c>
    </row>
    <row r="1041" spans="1:8">
      <c r="A1041" s="18" t="s">
        <v>1282</v>
      </c>
      <c r="B1041" s="18" t="s">
        <v>3813</v>
      </c>
      <c r="C1041" s="18" t="s">
        <v>1945</v>
      </c>
      <c r="D1041" s="18" t="s">
        <v>2652</v>
      </c>
      <c r="E1041" s="18" t="s">
        <v>2486</v>
      </c>
      <c r="F1041" s="18">
        <v>10.84</v>
      </c>
      <c r="G1041" s="18" t="s">
        <v>2154</v>
      </c>
      <c r="H1041" s="18" t="s">
        <v>2160</v>
      </c>
    </row>
    <row r="1042" spans="1:8">
      <c r="A1042" s="19" t="s">
        <v>1282</v>
      </c>
      <c r="B1042" s="19" t="s">
        <v>3814</v>
      </c>
      <c r="C1042" s="19" t="s">
        <v>2184</v>
      </c>
      <c r="D1042" s="19" t="s">
        <v>2216</v>
      </c>
      <c r="E1042" s="19" t="s">
        <v>2217</v>
      </c>
      <c r="F1042" s="19">
        <v>8.2799999999999994</v>
      </c>
      <c r="G1042" s="19" t="s">
        <v>2154</v>
      </c>
      <c r="H1042" s="19" t="s">
        <v>2160</v>
      </c>
    </row>
    <row r="1043" spans="1:8">
      <c r="A1043" s="18" t="s">
        <v>1282</v>
      </c>
      <c r="B1043" s="18" t="s">
        <v>3815</v>
      </c>
      <c r="C1043" s="18" t="s">
        <v>2189</v>
      </c>
      <c r="D1043" s="18" t="s">
        <v>2246</v>
      </c>
      <c r="E1043" s="18" t="s">
        <v>2434</v>
      </c>
      <c r="F1043" s="18">
        <v>10.55</v>
      </c>
      <c r="G1043" s="18" t="s">
        <v>2154</v>
      </c>
      <c r="H1043" s="18" t="s">
        <v>2160</v>
      </c>
    </row>
    <row r="1044" spans="1:8">
      <c r="A1044" s="19" t="s">
        <v>1282</v>
      </c>
      <c r="B1044" s="19" t="s">
        <v>3816</v>
      </c>
      <c r="C1044" s="19" t="s">
        <v>2193</v>
      </c>
      <c r="D1044" s="19" t="s">
        <v>3020</v>
      </c>
      <c r="E1044" s="19" t="s">
        <v>3181</v>
      </c>
      <c r="F1044" s="19">
        <v>8.9499999999999993</v>
      </c>
      <c r="G1044" s="19" t="s">
        <v>2154</v>
      </c>
      <c r="H1044" s="19" t="s">
        <v>2155</v>
      </c>
    </row>
    <row r="1045" spans="1:8">
      <c r="A1045" s="18" t="s">
        <v>1282</v>
      </c>
      <c r="B1045" s="18" t="s">
        <v>3817</v>
      </c>
      <c r="C1045" s="18" t="s">
        <v>2197</v>
      </c>
      <c r="D1045" s="18" t="s">
        <v>2807</v>
      </c>
      <c r="E1045" s="18" t="s">
        <v>3710</v>
      </c>
      <c r="F1045" s="18">
        <v>10.18</v>
      </c>
      <c r="G1045" s="18" t="s">
        <v>2154</v>
      </c>
      <c r="H1045" s="18" t="s">
        <v>2171</v>
      </c>
    </row>
    <row r="1046" spans="1:8">
      <c r="A1046" s="19" t="s">
        <v>1282</v>
      </c>
      <c r="B1046" s="19" t="s">
        <v>3818</v>
      </c>
      <c r="C1046" s="19" t="s">
        <v>1819</v>
      </c>
      <c r="D1046" s="19" t="s">
        <v>2729</v>
      </c>
      <c r="E1046" s="19" t="s">
        <v>3422</v>
      </c>
      <c r="F1046" s="19">
        <v>9.7200000000000006</v>
      </c>
      <c r="G1046" s="19" t="s">
        <v>2154</v>
      </c>
      <c r="H1046" s="19" t="s">
        <v>2155</v>
      </c>
    </row>
    <row r="1047" spans="1:8">
      <c r="A1047" s="18" t="s">
        <v>1282</v>
      </c>
      <c r="B1047" s="18" t="s">
        <v>3819</v>
      </c>
      <c r="C1047" s="18" t="s">
        <v>2204</v>
      </c>
      <c r="D1047" s="18" t="s">
        <v>2652</v>
      </c>
      <c r="E1047" s="18" t="s">
        <v>2486</v>
      </c>
      <c r="F1047" s="18">
        <v>10.43</v>
      </c>
      <c r="G1047" s="18" t="s">
        <v>2154</v>
      </c>
      <c r="H1047" s="18" t="s">
        <v>2187</v>
      </c>
    </row>
    <row r="1048" spans="1:8">
      <c r="A1048" s="19" t="s">
        <v>1282</v>
      </c>
      <c r="B1048" s="19" t="s">
        <v>3820</v>
      </c>
      <c r="C1048" s="19" t="s">
        <v>1843</v>
      </c>
      <c r="D1048" s="19" t="s">
        <v>2734</v>
      </c>
      <c r="E1048" s="19" t="s">
        <v>2195</v>
      </c>
      <c r="F1048" s="19">
        <v>10.62</v>
      </c>
      <c r="G1048" s="19" t="s">
        <v>2154</v>
      </c>
      <c r="H1048" s="19" t="s">
        <v>2160</v>
      </c>
    </row>
    <row r="1049" spans="1:8">
      <c r="A1049" s="18" t="s">
        <v>1282</v>
      </c>
      <c r="B1049" s="18" t="s">
        <v>3821</v>
      </c>
      <c r="C1049" s="18" t="s">
        <v>2211</v>
      </c>
      <c r="D1049" s="18" t="s">
        <v>2437</v>
      </c>
      <c r="E1049" s="18" t="s">
        <v>2302</v>
      </c>
      <c r="F1049" s="18">
        <v>7.94</v>
      </c>
      <c r="G1049" s="18" t="s">
        <v>2154</v>
      </c>
      <c r="H1049" s="18" t="s">
        <v>2187</v>
      </c>
    </row>
    <row r="1050" spans="1:8">
      <c r="A1050" s="19" t="s">
        <v>1282</v>
      </c>
      <c r="B1050" s="19" t="s">
        <v>3822</v>
      </c>
      <c r="C1050" s="19" t="s">
        <v>2215</v>
      </c>
      <c r="D1050" s="19" t="s">
        <v>2865</v>
      </c>
      <c r="E1050" s="19" t="s">
        <v>3823</v>
      </c>
      <c r="F1050" s="19">
        <v>7.14</v>
      </c>
      <c r="G1050" s="19" t="s">
        <v>2154</v>
      </c>
      <c r="H1050" s="19" t="s">
        <v>2187</v>
      </c>
    </row>
    <row r="1051" spans="1:8">
      <c r="A1051" s="18" t="s">
        <v>1282</v>
      </c>
      <c r="B1051" s="18" t="s">
        <v>3824</v>
      </c>
      <c r="C1051" s="18" t="s">
        <v>2219</v>
      </c>
      <c r="D1051" s="18"/>
      <c r="E1051" s="18"/>
      <c r="F1051" s="18"/>
      <c r="G1051" s="18" t="s">
        <v>2163</v>
      </c>
      <c r="H1051" s="18" t="s">
        <v>2160</v>
      </c>
    </row>
    <row r="1052" spans="1:8">
      <c r="A1052" s="19" t="s">
        <v>1282</v>
      </c>
      <c r="B1052" s="19" t="s">
        <v>3825</v>
      </c>
      <c r="C1052" s="19" t="s">
        <v>2222</v>
      </c>
      <c r="D1052" s="19" t="s">
        <v>2541</v>
      </c>
      <c r="E1052" s="19" t="s">
        <v>2938</v>
      </c>
      <c r="F1052" s="19">
        <v>8.26</v>
      </c>
      <c r="G1052" s="19" t="s">
        <v>2154</v>
      </c>
      <c r="H1052" s="19" t="s">
        <v>2155</v>
      </c>
    </row>
    <row r="1053" spans="1:8">
      <c r="A1053" s="18" t="s">
        <v>1282</v>
      </c>
      <c r="B1053" s="18" t="s">
        <v>3826</v>
      </c>
      <c r="C1053" s="18" t="s">
        <v>2226</v>
      </c>
      <c r="D1053" s="18" t="s">
        <v>3051</v>
      </c>
      <c r="E1053" s="18" t="s">
        <v>3259</v>
      </c>
      <c r="F1053" s="18">
        <v>11.23</v>
      </c>
      <c r="G1053" s="18" t="s">
        <v>2154</v>
      </c>
      <c r="H1053" s="18" t="s">
        <v>2171</v>
      </c>
    </row>
    <row r="1054" spans="1:8">
      <c r="A1054" s="19" t="s">
        <v>1282</v>
      </c>
      <c r="B1054" s="19" t="s">
        <v>3827</v>
      </c>
      <c r="C1054" s="19" t="s">
        <v>2230</v>
      </c>
      <c r="D1054" s="19" t="s">
        <v>2616</v>
      </c>
      <c r="E1054" s="19" t="s">
        <v>3549</v>
      </c>
      <c r="F1054" s="19">
        <v>9.6999999999999993</v>
      </c>
      <c r="G1054" s="19" t="s">
        <v>2154</v>
      </c>
      <c r="H1054" s="19" t="s">
        <v>2187</v>
      </c>
    </row>
    <row r="1055" spans="1:8">
      <c r="A1055" s="18" t="s">
        <v>1282</v>
      </c>
      <c r="B1055" s="18" t="s">
        <v>3828</v>
      </c>
      <c r="C1055" s="18" t="s">
        <v>2234</v>
      </c>
      <c r="D1055" s="18" t="s">
        <v>2491</v>
      </c>
      <c r="E1055" s="18" t="s">
        <v>2159</v>
      </c>
      <c r="F1055" s="18">
        <v>8.2899999999999991</v>
      </c>
      <c r="G1055" s="18" t="s">
        <v>2154</v>
      </c>
      <c r="H1055" s="18" t="s">
        <v>2160</v>
      </c>
    </row>
    <row r="1056" spans="1:8">
      <c r="A1056" s="19" t="s">
        <v>1282</v>
      </c>
      <c r="B1056" s="19" t="s">
        <v>3829</v>
      </c>
      <c r="C1056" s="19" t="s">
        <v>2238</v>
      </c>
      <c r="D1056" s="19" t="s">
        <v>2362</v>
      </c>
      <c r="E1056" s="19" t="s">
        <v>2275</v>
      </c>
      <c r="F1056" s="19">
        <v>9.82</v>
      </c>
      <c r="G1056" s="19" t="s">
        <v>2154</v>
      </c>
      <c r="H1056" s="19" t="s">
        <v>2171</v>
      </c>
    </row>
    <row r="1057" spans="1:8">
      <c r="A1057" s="18" t="s">
        <v>1282</v>
      </c>
      <c r="B1057" s="18" t="s">
        <v>3830</v>
      </c>
      <c r="C1057" s="18" t="s">
        <v>2241</v>
      </c>
      <c r="D1057" s="18"/>
      <c r="E1057" s="18"/>
      <c r="F1057" s="18"/>
      <c r="G1057" s="18" t="s">
        <v>2163</v>
      </c>
      <c r="H1057" s="18" t="s">
        <v>2171</v>
      </c>
    </row>
    <row r="1058" spans="1:8">
      <c r="A1058" s="19" t="s">
        <v>1282</v>
      </c>
      <c r="B1058" s="19" t="s">
        <v>3831</v>
      </c>
      <c r="C1058" s="19" t="s">
        <v>2245</v>
      </c>
      <c r="D1058" s="19" t="s">
        <v>2314</v>
      </c>
      <c r="E1058" s="19" t="s">
        <v>2334</v>
      </c>
      <c r="F1058" s="19">
        <v>8.32</v>
      </c>
      <c r="G1058" s="19" t="s">
        <v>2154</v>
      </c>
      <c r="H1058" s="19" t="s">
        <v>2187</v>
      </c>
    </row>
    <row r="1059" spans="1:8">
      <c r="A1059" s="18" t="s">
        <v>1282</v>
      </c>
      <c r="B1059" s="18" t="s">
        <v>3832</v>
      </c>
      <c r="C1059" s="18" t="s">
        <v>2249</v>
      </c>
      <c r="D1059" s="18" t="s">
        <v>2662</v>
      </c>
      <c r="E1059" s="18" t="s">
        <v>2663</v>
      </c>
      <c r="F1059" s="18">
        <v>7.18</v>
      </c>
      <c r="G1059" s="18" t="s">
        <v>2154</v>
      </c>
      <c r="H1059" s="18" t="s">
        <v>2187</v>
      </c>
    </row>
    <row r="1060" spans="1:8">
      <c r="A1060" s="19" t="s">
        <v>1282</v>
      </c>
      <c r="B1060" s="19" t="s">
        <v>3833</v>
      </c>
      <c r="C1060" s="19" t="s">
        <v>2252</v>
      </c>
      <c r="D1060" s="19" t="s">
        <v>2709</v>
      </c>
      <c r="E1060" s="19" t="s">
        <v>2587</v>
      </c>
      <c r="F1060" s="19">
        <v>7.13</v>
      </c>
      <c r="G1060" s="19" t="s">
        <v>2154</v>
      </c>
      <c r="H1060" s="19" t="s">
        <v>2187</v>
      </c>
    </row>
    <row r="1061" spans="1:8">
      <c r="A1061" s="18" t="s">
        <v>1282</v>
      </c>
      <c r="B1061" s="18" t="s">
        <v>3834</v>
      </c>
      <c r="C1061" s="18" t="s">
        <v>2376</v>
      </c>
      <c r="D1061" s="18" t="s">
        <v>2165</v>
      </c>
      <c r="E1061" s="18" t="s">
        <v>2819</v>
      </c>
      <c r="F1061" s="18">
        <v>10.220000000000001</v>
      </c>
      <c r="G1061" s="18" t="s">
        <v>2154</v>
      </c>
      <c r="H1061" s="18" t="s">
        <v>2187</v>
      </c>
    </row>
    <row r="1062" spans="1:8">
      <c r="A1062" s="19" t="s">
        <v>1282</v>
      </c>
      <c r="B1062" s="19" t="s">
        <v>3835</v>
      </c>
      <c r="C1062" s="19" t="s">
        <v>2260</v>
      </c>
      <c r="D1062" s="19" t="s">
        <v>2581</v>
      </c>
      <c r="E1062" s="19" t="s">
        <v>3266</v>
      </c>
      <c r="F1062" s="19">
        <v>8.8699999999999992</v>
      </c>
      <c r="G1062" s="19" t="s">
        <v>2154</v>
      </c>
      <c r="H1062" s="19" t="s">
        <v>2160</v>
      </c>
    </row>
    <row r="1063" spans="1:8">
      <c r="A1063" s="18" t="s">
        <v>1282</v>
      </c>
      <c r="B1063" s="18" t="s">
        <v>3836</v>
      </c>
      <c r="C1063" s="18" t="s">
        <v>2264</v>
      </c>
      <c r="D1063" s="18" t="s">
        <v>2581</v>
      </c>
      <c r="E1063" s="18" t="s">
        <v>2582</v>
      </c>
      <c r="F1063" s="18">
        <v>9.59</v>
      </c>
      <c r="G1063" s="18" t="s">
        <v>2154</v>
      </c>
      <c r="H1063" s="18" t="s">
        <v>2155</v>
      </c>
    </row>
    <row r="1064" spans="1:8">
      <c r="A1064" s="19" t="s">
        <v>1282</v>
      </c>
      <c r="B1064" s="19" t="s">
        <v>3837</v>
      </c>
      <c r="C1064" s="19" t="s">
        <v>1948</v>
      </c>
      <c r="D1064" s="19" t="s">
        <v>2397</v>
      </c>
      <c r="E1064" s="19" t="s">
        <v>3241</v>
      </c>
      <c r="F1064" s="19">
        <v>10.55</v>
      </c>
      <c r="G1064" s="19" t="s">
        <v>2154</v>
      </c>
      <c r="H1064" s="19" t="s">
        <v>2171</v>
      </c>
    </row>
    <row r="1065" spans="1:8">
      <c r="A1065" s="18" t="s">
        <v>1282</v>
      </c>
      <c r="B1065" s="18" t="s">
        <v>3838</v>
      </c>
      <c r="C1065" s="18" t="s">
        <v>2269</v>
      </c>
      <c r="D1065" s="18" t="s">
        <v>3145</v>
      </c>
      <c r="E1065" s="18" t="s">
        <v>3439</v>
      </c>
      <c r="F1065" s="18">
        <v>7</v>
      </c>
      <c r="G1065" s="18" t="s">
        <v>2154</v>
      </c>
      <c r="H1065" s="18" t="s">
        <v>2187</v>
      </c>
    </row>
    <row r="1066" spans="1:8">
      <c r="A1066" s="19" t="s">
        <v>1282</v>
      </c>
      <c r="B1066" s="19" t="s">
        <v>3839</v>
      </c>
      <c r="C1066" s="19" t="s">
        <v>2273</v>
      </c>
      <c r="D1066" s="19" t="s">
        <v>2541</v>
      </c>
      <c r="E1066" s="19" t="s">
        <v>2182</v>
      </c>
      <c r="F1066" s="19">
        <v>7.37</v>
      </c>
      <c r="G1066" s="19" t="s">
        <v>2154</v>
      </c>
      <c r="H1066" s="19" t="s">
        <v>2155</v>
      </c>
    </row>
    <row r="1067" spans="1:8">
      <c r="A1067" s="18" t="s">
        <v>1282</v>
      </c>
      <c r="B1067" s="18" t="s">
        <v>3840</v>
      </c>
      <c r="C1067" s="18" t="s">
        <v>2277</v>
      </c>
      <c r="D1067" s="18" t="s">
        <v>3051</v>
      </c>
      <c r="E1067" s="18" t="s">
        <v>3366</v>
      </c>
      <c r="F1067" s="18">
        <v>9.5500000000000007</v>
      </c>
      <c r="G1067" s="18" t="s">
        <v>2154</v>
      </c>
      <c r="H1067" s="18" t="s">
        <v>2171</v>
      </c>
    </row>
    <row r="1068" spans="1:8">
      <c r="A1068" s="19" t="s">
        <v>1282</v>
      </c>
      <c r="B1068" s="19" t="s">
        <v>3841</v>
      </c>
      <c r="C1068" s="19" t="s">
        <v>2281</v>
      </c>
      <c r="D1068" s="19" t="s">
        <v>2693</v>
      </c>
      <c r="E1068" s="19" t="s">
        <v>3555</v>
      </c>
      <c r="F1068" s="19">
        <v>9.31</v>
      </c>
      <c r="G1068" s="19" t="s">
        <v>2154</v>
      </c>
      <c r="H1068" s="19" t="s">
        <v>2187</v>
      </c>
    </row>
    <row r="1069" spans="1:8">
      <c r="A1069" s="18" t="s">
        <v>1282</v>
      </c>
      <c r="B1069" s="18" t="s">
        <v>3842</v>
      </c>
      <c r="C1069" s="18" t="s">
        <v>2396</v>
      </c>
      <c r="D1069" s="18" t="s">
        <v>2323</v>
      </c>
      <c r="E1069" s="18" t="s">
        <v>2404</v>
      </c>
      <c r="F1069" s="18">
        <v>8.77</v>
      </c>
      <c r="G1069" s="18" t="s">
        <v>2154</v>
      </c>
      <c r="H1069" s="18" t="s">
        <v>2187</v>
      </c>
    </row>
    <row r="1070" spans="1:8">
      <c r="A1070" s="19" t="s">
        <v>1282</v>
      </c>
      <c r="B1070" s="19" t="s">
        <v>3843</v>
      </c>
      <c r="C1070" s="19" t="s">
        <v>2289</v>
      </c>
      <c r="D1070" s="19" t="s">
        <v>2198</v>
      </c>
      <c r="E1070" s="19" t="s">
        <v>3844</v>
      </c>
      <c r="F1070" s="19">
        <v>8.1999999999999993</v>
      </c>
      <c r="G1070" s="19" t="s">
        <v>2154</v>
      </c>
      <c r="H1070" s="19" t="s">
        <v>2187</v>
      </c>
    </row>
    <row r="1071" spans="1:8">
      <c r="A1071" s="18" t="s">
        <v>1282</v>
      </c>
      <c r="B1071" s="18" t="s">
        <v>3845</v>
      </c>
      <c r="C1071" s="18" t="s">
        <v>2293</v>
      </c>
      <c r="D1071" s="18" t="s">
        <v>2589</v>
      </c>
      <c r="E1071" s="18" t="s">
        <v>2590</v>
      </c>
      <c r="F1071" s="18">
        <v>9.69</v>
      </c>
      <c r="G1071" s="18" t="s">
        <v>2154</v>
      </c>
      <c r="H1071" s="18" t="s">
        <v>2187</v>
      </c>
    </row>
    <row r="1072" spans="1:8">
      <c r="A1072" s="19" t="s">
        <v>1282</v>
      </c>
      <c r="B1072" s="19" t="s">
        <v>3846</v>
      </c>
      <c r="C1072" s="19" t="s">
        <v>2296</v>
      </c>
      <c r="D1072" s="19" t="s">
        <v>2482</v>
      </c>
      <c r="E1072" s="19" t="s">
        <v>2483</v>
      </c>
      <c r="F1072" s="19">
        <v>7.58</v>
      </c>
      <c r="G1072" s="19" t="s">
        <v>2154</v>
      </c>
      <c r="H1072" s="19" t="s">
        <v>2155</v>
      </c>
    </row>
    <row r="1073" spans="1:8">
      <c r="A1073" s="18" t="s">
        <v>1282</v>
      </c>
      <c r="B1073" s="18" t="s">
        <v>3847</v>
      </c>
      <c r="C1073" s="18" t="s">
        <v>2300</v>
      </c>
      <c r="D1073" s="18" t="s">
        <v>2700</v>
      </c>
      <c r="E1073" s="18" t="s">
        <v>2897</v>
      </c>
      <c r="F1073" s="18">
        <v>9.61</v>
      </c>
      <c r="G1073" s="18" t="s">
        <v>2154</v>
      </c>
      <c r="H1073" s="18" t="s">
        <v>2155</v>
      </c>
    </row>
    <row r="1074" spans="1:8">
      <c r="A1074" s="19" t="s">
        <v>1282</v>
      </c>
      <c r="B1074" s="19" t="s">
        <v>3848</v>
      </c>
      <c r="C1074" s="19" t="s">
        <v>2144</v>
      </c>
      <c r="D1074" s="19" t="s">
        <v>2416</v>
      </c>
      <c r="E1074" s="19" t="s">
        <v>3381</v>
      </c>
      <c r="F1074" s="19">
        <v>6.56</v>
      </c>
      <c r="G1074" s="19" t="s">
        <v>2154</v>
      </c>
      <c r="H1074" s="19" t="s">
        <v>2155</v>
      </c>
    </row>
    <row r="1075" spans="1:8">
      <c r="A1075" s="18" t="s">
        <v>1282</v>
      </c>
      <c r="B1075" s="18" t="s">
        <v>3849</v>
      </c>
      <c r="C1075" s="18" t="s">
        <v>2307</v>
      </c>
      <c r="D1075" s="18" t="s">
        <v>2948</v>
      </c>
      <c r="E1075" s="18" t="s">
        <v>2522</v>
      </c>
      <c r="F1075" s="18">
        <v>9.5299999999999994</v>
      </c>
      <c r="G1075" s="18" t="s">
        <v>2154</v>
      </c>
      <c r="H1075" s="18" t="s">
        <v>2187</v>
      </c>
    </row>
    <row r="1076" spans="1:8">
      <c r="A1076" s="19" t="s">
        <v>1282</v>
      </c>
      <c r="B1076" s="19" t="s">
        <v>3850</v>
      </c>
      <c r="C1076" s="19" t="s">
        <v>2311</v>
      </c>
      <c r="D1076" s="19" t="s">
        <v>2606</v>
      </c>
      <c r="E1076" s="19" t="s">
        <v>3326</v>
      </c>
      <c r="F1076" s="19">
        <v>7.12</v>
      </c>
      <c r="G1076" s="19" t="s">
        <v>2154</v>
      </c>
      <c r="H1076" s="19" t="s">
        <v>2160</v>
      </c>
    </row>
    <row r="1077" spans="1:8">
      <c r="A1077" s="18" t="s">
        <v>1069</v>
      </c>
      <c r="B1077" s="18" t="s">
        <v>3851</v>
      </c>
      <c r="C1077" s="18" t="s">
        <v>2038</v>
      </c>
      <c r="D1077" s="18" t="s">
        <v>2548</v>
      </c>
      <c r="E1077" s="18" t="s">
        <v>2797</v>
      </c>
      <c r="F1077" s="18">
        <v>7.09</v>
      </c>
      <c r="G1077" s="18" t="s">
        <v>2154</v>
      </c>
      <c r="H1077" s="18" t="s">
        <v>2187</v>
      </c>
    </row>
    <row r="1078" spans="1:8">
      <c r="A1078" s="19" t="s">
        <v>1069</v>
      </c>
      <c r="B1078" s="19" t="s">
        <v>3852</v>
      </c>
      <c r="C1078" s="19" t="s">
        <v>2157</v>
      </c>
      <c r="D1078" s="19" t="s">
        <v>2416</v>
      </c>
      <c r="E1078" s="19" t="s">
        <v>3381</v>
      </c>
      <c r="F1078" s="19">
        <v>6.54</v>
      </c>
      <c r="G1078" s="19" t="s">
        <v>2154</v>
      </c>
      <c r="H1078" s="19" t="s">
        <v>2187</v>
      </c>
    </row>
    <row r="1079" spans="1:8">
      <c r="A1079" s="18" t="s">
        <v>1069</v>
      </c>
      <c r="B1079" s="18" t="s">
        <v>3853</v>
      </c>
      <c r="C1079" s="18" t="s">
        <v>2162</v>
      </c>
      <c r="D1079" s="18" t="s">
        <v>2326</v>
      </c>
      <c r="E1079" s="18" t="s">
        <v>2291</v>
      </c>
      <c r="F1079" s="18">
        <v>10.74</v>
      </c>
      <c r="G1079" s="18" t="s">
        <v>2154</v>
      </c>
      <c r="H1079" s="18" t="s">
        <v>2160</v>
      </c>
    </row>
    <row r="1080" spans="1:8">
      <c r="A1080" s="19" t="s">
        <v>1069</v>
      </c>
      <c r="B1080" s="19" t="s">
        <v>3854</v>
      </c>
      <c r="C1080" s="19" t="s">
        <v>1937</v>
      </c>
      <c r="D1080" s="19" t="s">
        <v>2174</v>
      </c>
      <c r="E1080" s="19" t="s">
        <v>2357</v>
      </c>
      <c r="F1080" s="19">
        <v>11.11</v>
      </c>
      <c r="G1080" s="19" t="s">
        <v>2154</v>
      </c>
      <c r="H1080" s="19" t="s">
        <v>2155</v>
      </c>
    </row>
    <row r="1081" spans="1:8">
      <c r="A1081" s="18" t="s">
        <v>1069</v>
      </c>
      <c r="B1081" s="18" t="s">
        <v>3855</v>
      </c>
      <c r="C1081" s="18" t="s">
        <v>2168</v>
      </c>
      <c r="D1081" s="18" t="s">
        <v>2951</v>
      </c>
      <c r="E1081" s="18" t="s">
        <v>2952</v>
      </c>
      <c r="F1081" s="18">
        <v>8.8699999999999992</v>
      </c>
      <c r="G1081" s="18" t="s">
        <v>2154</v>
      </c>
      <c r="H1081" s="18" t="s">
        <v>2187</v>
      </c>
    </row>
    <row r="1082" spans="1:8">
      <c r="A1082" s="19" t="s">
        <v>1069</v>
      </c>
      <c r="B1082" s="19" t="s">
        <v>3856</v>
      </c>
      <c r="C1082" s="19" t="s">
        <v>2173</v>
      </c>
      <c r="D1082" s="19" t="s">
        <v>2584</v>
      </c>
      <c r="E1082" s="19" t="s">
        <v>3857</v>
      </c>
      <c r="F1082" s="19">
        <v>11.31</v>
      </c>
      <c r="G1082" s="19" t="s">
        <v>2154</v>
      </c>
      <c r="H1082" s="19" t="s">
        <v>2155</v>
      </c>
    </row>
    <row r="1083" spans="1:8">
      <c r="A1083" s="18" t="s">
        <v>1069</v>
      </c>
      <c r="B1083" s="18" t="s">
        <v>3858</v>
      </c>
      <c r="C1083" s="18" t="s">
        <v>2177</v>
      </c>
      <c r="D1083" s="18" t="s">
        <v>2553</v>
      </c>
      <c r="E1083" s="18" t="s">
        <v>2775</v>
      </c>
      <c r="F1083" s="18">
        <v>10.67</v>
      </c>
      <c r="G1083" s="18" t="s">
        <v>2154</v>
      </c>
      <c r="H1083" s="18" t="s">
        <v>2160</v>
      </c>
    </row>
    <row r="1084" spans="1:8">
      <c r="A1084" s="19" t="s">
        <v>1069</v>
      </c>
      <c r="B1084" s="19" t="s">
        <v>3859</v>
      </c>
      <c r="C1084" s="19" t="s">
        <v>1945</v>
      </c>
      <c r="D1084" s="19" t="s">
        <v>2400</v>
      </c>
      <c r="E1084" s="19" t="s">
        <v>3860</v>
      </c>
      <c r="F1084" s="19">
        <v>6.84</v>
      </c>
      <c r="G1084" s="19" t="s">
        <v>2154</v>
      </c>
      <c r="H1084" s="19" t="s">
        <v>2155</v>
      </c>
    </row>
    <row r="1085" spans="1:8">
      <c r="A1085" s="18" t="s">
        <v>1069</v>
      </c>
      <c r="B1085" s="18" t="s">
        <v>3861</v>
      </c>
      <c r="C1085" s="18" t="s">
        <v>2184</v>
      </c>
      <c r="D1085" s="18" t="s">
        <v>2479</v>
      </c>
      <c r="E1085" s="18" t="s">
        <v>3226</v>
      </c>
      <c r="F1085" s="18">
        <v>7.77</v>
      </c>
      <c r="G1085" s="18" t="s">
        <v>2154</v>
      </c>
      <c r="H1085" s="18" t="s">
        <v>2155</v>
      </c>
    </row>
    <row r="1086" spans="1:8">
      <c r="A1086" s="19" t="s">
        <v>1069</v>
      </c>
      <c r="B1086" s="19" t="s">
        <v>3862</v>
      </c>
      <c r="C1086" s="19" t="s">
        <v>2189</v>
      </c>
      <c r="D1086" s="19" t="s">
        <v>2340</v>
      </c>
      <c r="E1086" s="19" t="s">
        <v>2429</v>
      </c>
      <c r="F1086" s="19">
        <v>8.32</v>
      </c>
      <c r="G1086" s="19" t="s">
        <v>2154</v>
      </c>
      <c r="H1086" s="19" t="s">
        <v>2160</v>
      </c>
    </row>
    <row r="1087" spans="1:8">
      <c r="A1087" s="18" t="s">
        <v>1069</v>
      </c>
      <c r="B1087" s="18" t="s">
        <v>3863</v>
      </c>
      <c r="C1087" s="18" t="s">
        <v>2193</v>
      </c>
      <c r="D1087" s="18" t="s">
        <v>2362</v>
      </c>
      <c r="E1087" s="18" t="s">
        <v>2366</v>
      </c>
      <c r="F1087" s="18">
        <v>8.69</v>
      </c>
      <c r="G1087" s="18" t="s">
        <v>2154</v>
      </c>
      <c r="H1087" s="18" t="s">
        <v>2171</v>
      </c>
    </row>
    <row r="1088" spans="1:8">
      <c r="A1088" s="19" t="s">
        <v>1069</v>
      </c>
      <c r="B1088" s="19" t="s">
        <v>3864</v>
      </c>
      <c r="C1088" s="19" t="s">
        <v>2197</v>
      </c>
      <c r="D1088" s="19" t="s">
        <v>2992</v>
      </c>
      <c r="E1088" s="19" t="s">
        <v>2993</v>
      </c>
      <c r="F1088" s="19">
        <v>9.81</v>
      </c>
      <c r="G1088" s="19" t="s">
        <v>2154</v>
      </c>
      <c r="H1088" s="19" t="s">
        <v>2187</v>
      </c>
    </row>
    <row r="1089" spans="1:8">
      <c r="A1089" s="18" t="s">
        <v>1069</v>
      </c>
      <c r="B1089" s="18" t="s">
        <v>3865</v>
      </c>
      <c r="C1089" s="18" t="s">
        <v>1819</v>
      </c>
      <c r="D1089" s="18"/>
      <c r="E1089" s="18"/>
      <c r="F1089" s="18"/>
      <c r="G1089" s="18" t="s">
        <v>2343</v>
      </c>
      <c r="H1089" s="18" t="s">
        <v>2160</v>
      </c>
    </row>
    <row r="1090" spans="1:8">
      <c r="A1090" s="19" t="s">
        <v>1069</v>
      </c>
      <c r="B1090" s="19" t="s">
        <v>3866</v>
      </c>
      <c r="C1090" s="19" t="s">
        <v>2204</v>
      </c>
      <c r="D1090" s="19" t="s">
        <v>2403</v>
      </c>
      <c r="E1090" s="19" t="s">
        <v>3867</v>
      </c>
      <c r="F1090" s="19">
        <v>11.44</v>
      </c>
      <c r="G1090" s="19" t="s">
        <v>2154</v>
      </c>
      <c r="H1090" s="19" t="s">
        <v>2160</v>
      </c>
    </row>
    <row r="1091" spans="1:8">
      <c r="A1091" s="18" t="s">
        <v>1069</v>
      </c>
      <c r="B1091" s="18" t="s">
        <v>3868</v>
      </c>
      <c r="C1091" s="18" t="s">
        <v>1843</v>
      </c>
      <c r="D1091" s="18" t="s">
        <v>2951</v>
      </c>
      <c r="E1091" s="18" t="s">
        <v>3823</v>
      </c>
      <c r="F1091" s="18">
        <v>9.34</v>
      </c>
      <c r="G1091" s="18" t="s">
        <v>2154</v>
      </c>
      <c r="H1091" s="18" t="s">
        <v>2160</v>
      </c>
    </row>
    <row r="1092" spans="1:8">
      <c r="A1092" s="19" t="s">
        <v>1069</v>
      </c>
      <c r="B1092" s="19" t="s">
        <v>3869</v>
      </c>
      <c r="C1092" s="19" t="s">
        <v>2211</v>
      </c>
      <c r="D1092" s="19" t="s">
        <v>3278</v>
      </c>
      <c r="E1092" s="19" t="s">
        <v>3351</v>
      </c>
      <c r="F1092" s="19">
        <v>10.85</v>
      </c>
      <c r="G1092" s="19" t="s">
        <v>2154</v>
      </c>
      <c r="H1092" s="19" t="s">
        <v>2155</v>
      </c>
    </row>
    <row r="1093" spans="1:8">
      <c r="A1093" s="18" t="s">
        <v>1069</v>
      </c>
      <c r="B1093" s="18" t="s">
        <v>3870</v>
      </c>
      <c r="C1093" s="18" t="s">
        <v>2215</v>
      </c>
      <c r="D1093" s="18" t="s">
        <v>2652</v>
      </c>
      <c r="E1093" s="18" t="s">
        <v>3871</v>
      </c>
      <c r="F1093" s="18">
        <v>6.52</v>
      </c>
      <c r="G1093" s="18" t="s">
        <v>2154</v>
      </c>
      <c r="H1093" s="18" t="s">
        <v>2171</v>
      </c>
    </row>
    <row r="1094" spans="1:8">
      <c r="A1094" s="19" t="s">
        <v>1069</v>
      </c>
      <c r="B1094" s="19" t="s">
        <v>3872</v>
      </c>
      <c r="C1094" s="19" t="s">
        <v>2219</v>
      </c>
      <c r="D1094" s="19"/>
      <c r="E1094" s="19"/>
      <c r="F1094" s="19"/>
      <c r="G1094" s="19" t="s">
        <v>2343</v>
      </c>
      <c r="H1094" s="19" t="s">
        <v>2171</v>
      </c>
    </row>
    <row r="1095" spans="1:8">
      <c r="A1095" s="18" t="s">
        <v>1069</v>
      </c>
      <c r="B1095" s="18" t="s">
        <v>3873</v>
      </c>
      <c r="C1095" s="18" t="s">
        <v>2222</v>
      </c>
      <c r="D1095" s="18" t="s">
        <v>2734</v>
      </c>
      <c r="E1095" s="18" t="s">
        <v>3567</v>
      </c>
      <c r="F1095" s="18">
        <v>6.51</v>
      </c>
      <c r="G1095" s="18" t="s">
        <v>2154</v>
      </c>
      <c r="H1095" s="18" t="s">
        <v>2171</v>
      </c>
    </row>
    <row r="1096" spans="1:8">
      <c r="A1096" s="19" t="s">
        <v>1069</v>
      </c>
      <c r="B1096" s="19" t="s">
        <v>3874</v>
      </c>
      <c r="C1096" s="19" t="s">
        <v>2226</v>
      </c>
      <c r="D1096" s="19" t="s">
        <v>3100</v>
      </c>
      <c r="E1096" s="19" t="s">
        <v>3875</v>
      </c>
      <c r="F1096" s="19">
        <v>7.71</v>
      </c>
      <c r="G1096" s="19" t="s">
        <v>2154</v>
      </c>
      <c r="H1096" s="19" t="s">
        <v>2160</v>
      </c>
    </row>
    <row r="1097" spans="1:8">
      <c r="A1097" s="18" t="s">
        <v>1069</v>
      </c>
      <c r="B1097" s="18" t="s">
        <v>3876</v>
      </c>
      <c r="C1097" s="18" t="s">
        <v>2230</v>
      </c>
      <c r="D1097" s="18" t="s">
        <v>2423</v>
      </c>
      <c r="E1097" s="18" t="s">
        <v>3404</v>
      </c>
      <c r="F1097" s="18">
        <v>9.51</v>
      </c>
      <c r="G1097" s="18" t="s">
        <v>2154</v>
      </c>
      <c r="H1097" s="18" t="s">
        <v>2155</v>
      </c>
    </row>
    <row r="1098" spans="1:8">
      <c r="A1098" s="19" t="s">
        <v>1069</v>
      </c>
      <c r="B1098" s="19" t="s">
        <v>3877</v>
      </c>
      <c r="C1098" s="19" t="s">
        <v>2234</v>
      </c>
      <c r="D1098" s="19" t="s">
        <v>2408</v>
      </c>
      <c r="E1098" s="19" t="s">
        <v>3635</v>
      </c>
      <c r="F1098" s="19">
        <v>7.41</v>
      </c>
      <c r="G1098" s="19" t="s">
        <v>2154</v>
      </c>
      <c r="H1098" s="19" t="s">
        <v>2155</v>
      </c>
    </row>
    <row r="1099" spans="1:8">
      <c r="A1099" s="18" t="s">
        <v>1069</v>
      </c>
      <c r="B1099" s="18" t="s">
        <v>3878</v>
      </c>
      <c r="C1099" s="18" t="s">
        <v>2238</v>
      </c>
      <c r="D1099" s="18" t="s">
        <v>2690</v>
      </c>
      <c r="E1099" s="18" t="s">
        <v>3266</v>
      </c>
      <c r="F1099" s="18">
        <v>9.9499999999999993</v>
      </c>
      <c r="G1099" s="18" t="s">
        <v>2154</v>
      </c>
      <c r="H1099" s="18" t="s">
        <v>2187</v>
      </c>
    </row>
    <row r="1100" spans="1:8">
      <c r="A1100" s="19" t="s">
        <v>1069</v>
      </c>
      <c r="B1100" s="19" t="s">
        <v>3879</v>
      </c>
      <c r="C1100" s="19" t="s">
        <v>2241</v>
      </c>
      <c r="D1100" s="19" t="s">
        <v>2416</v>
      </c>
      <c r="E1100" s="19" t="s">
        <v>2663</v>
      </c>
      <c r="F1100" s="19">
        <v>8.49</v>
      </c>
      <c r="G1100" s="19" t="s">
        <v>2154</v>
      </c>
      <c r="H1100" s="19" t="s">
        <v>2160</v>
      </c>
    </row>
    <row r="1101" spans="1:8">
      <c r="A1101" s="18" t="s">
        <v>1069</v>
      </c>
      <c r="B1101" s="18" t="s">
        <v>3880</v>
      </c>
      <c r="C1101" s="18" t="s">
        <v>2245</v>
      </c>
      <c r="D1101" s="18" t="s">
        <v>3020</v>
      </c>
      <c r="E1101" s="18" t="s">
        <v>3181</v>
      </c>
      <c r="F1101" s="18">
        <v>8.77</v>
      </c>
      <c r="G1101" s="18" t="s">
        <v>2154</v>
      </c>
      <c r="H1101" s="18" t="s">
        <v>2160</v>
      </c>
    </row>
    <row r="1102" spans="1:8">
      <c r="A1102" s="19" t="s">
        <v>1069</v>
      </c>
      <c r="B1102" s="19" t="s">
        <v>3881</v>
      </c>
      <c r="C1102" s="19" t="s">
        <v>2249</v>
      </c>
      <c r="D1102" s="19" t="s">
        <v>2880</v>
      </c>
      <c r="E1102" s="19" t="s">
        <v>3315</v>
      </c>
      <c r="F1102" s="19">
        <v>10</v>
      </c>
      <c r="G1102" s="19" t="s">
        <v>2154</v>
      </c>
      <c r="H1102" s="19" t="s">
        <v>2155</v>
      </c>
    </row>
    <row r="1103" spans="1:8">
      <c r="A1103" s="18" t="s">
        <v>1069</v>
      </c>
      <c r="B1103" s="18" t="s">
        <v>3882</v>
      </c>
      <c r="C1103" s="18" t="s">
        <v>2252</v>
      </c>
      <c r="D1103" s="18" t="s">
        <v>2437</v>
      </c>
      <c r="E1103" s="18" t="s">
        <v>2438</v>
      </c>
      <c r="F1103" s="18">
        <v>8.76</v>
      </c>
      <c r="G1103" s="18" t="s">
        <v>2154</v>
      </c>
      <c r="H1103" s="18" t="s">
        <v>2155</v>
      </c>
    </row>
    <row r="1104" spans="1:8">
      <c r="A1104" s="19" t="s">
        <v>1069</v>
      </c>
      <c r="B1104" s="19" t="s">
        <v>3883</v>
      </c>
      <c r="C1104" s="19" t="s">
        <v>2376</v>
      </c>
      <c r="D1104" s="19" t="s">
        <v>2362</v>
      </c>
      <c r="E1104" s="19" t="s">
        <v>2275</v>
      </c>
      <c r="F1104" s="19">
        <v>9.24</v>
      </c>
      <c r="G1104" s="19" t="s">
        <v>2154</v>
      </c>
      <c r="H1104" s="19" t="s">
        <v>2171</v>
      </c>
    </row>
    <row r="1105" spans="1:8">
      <c r="A1105" s="18" t="s">
        <v>1069</v>
      </c>
      <c r="B1105" s="18" t="s">
        <v>3884</v>
      </c>
      <c r="C1105" s="18" t="s">
        <v>2260</v>
      </c>
      <c r="D1105" s="18" t="s">
        <v>3051</v>
      </c>
      <c r="E1105" s="18" t="s">
        <v>3157</v>
      </c>
      <c r="F1105" s="18">
        <v>8.42</v>
      </c>
      <c r="G1105" s="18" t="s">
        <v>2154</v>
      </c>
      <c r="H1105" s="18" t="s">
        <v>2171</v>
      </c>
    </row>
    <row r="1106" spans="1:8">
      <c r="A1106" s="19" t="s">
        <v>1069</v>
      </c>
      <c r="B1106" s="19" t="s">
        <v>3885</v>
      </c>
      <c r="C1106" s="19" t="s">
        <v>3159</v>
      </c>
      <c r="D1106" s="19" t="s">
        <v>2624</v>
      </c>
      <c r="E1106" s="19" t="s">
        <v>3886</v>
      </c>
      <c r="F1106" s="19">
        <v>6.7</v>
      </c>
      <c r="G1106" s="19" t="s">
        <v>2154</v>
      </c>
      <c r="H1106" s="19" t="s">
        <v>2155</v>
      </c>
    </row>
    <row r="1107" spans="1:8">
      <c r="A1107" s="18" t="s">
        <v>1069</v>
      </c>
      <c r="B1107" s="18" t="s">
        <v>3887</v>
      </c>
      <c r="C1107" s="18" t="s">
        <v>1948</v>
      </c>
      <c r="D1107" s="18" t="s">
        <v>2416</v>
      </c>
      <c r="E1107" s="18" t="s">
        <v>2663</v>
      </c>
      <c r="F1107" s="18">
        <v>8.84</v>
      </c>
      <c r="G1107" s="18" t="s">
        <v>2154</v>
      </c>
      <c r="H1107" s="18" t="s">
        <v>2171</v>
      </c>
    </row>
    <row r="1108" spans="1:8">
      <c r="A1108" s="19" t="s">
        <v>1069</v>
      </c>
      <c r="B1108" s="19" t="s">
        <v>3888</v>
      </c>
      <c r="C1108" s="19" t="s">
        <v>2269</v>
      </c>
      <c r="D1108" s="19" t="s">
        <v>2880</v>
      </c>
      <c r="E1108" s="19" t="s">
        <v>3889</v>
      </c>
      <c r="F1108" s="19">
        <v>11.07</v>
      </c>
      <c r="G1108" s="19" t="s">
        <v>2154</v>
      </c>
      <c r="H1108" s="19" t="s">
        <v>2160</v>
      </c>
    </row>
    <row r="1109" spans="1:8">
      <c r="A1109" s="18" t="s">
        <v>1069</v>
      </c>
      <c r="B1109" s="18" t="s">
        <v>3890</v>
      </c>
      <c r="C1109" s="18" t="s">
        <v>2273</v>
      </c>
      <c r="D1109" s="18" t="s">
        <v>2223</v>
      </c>
      <c r="E1109" s="18" t="s">
        <v>3891</v>
      </c>
      <c r="F1109" s="18">
        <v>7.57</v>
      </c>
      <c r="G1109" s="18" t="s">
        <v>2154</v>
      </c>
      <c r="H1109" s="18" t="s">
        <v>2171</v>
      </c>
    </row>
    <row r="1110" spans="1:8">
      <c r="A1110" s="19" t="s">
        <v>1069</v>
      </c>
      <c r="B1110" s="19" t="s">
        <v>3892</v>
      </c>
      <c r="C1110" s="19" t="s">
        <v>2277</v>
      </c>
      <c r="D1110" s="19" t="s">
        <v>3100</v>
      </c>
      <c r="E1110" s="19" t="s">
        <v>2551</v>
      </c>
      <c r="F1110" s="19">
        <v>10.98</v>
      </c>
      <c r="G1110" s="19" t="s">
        <v>2154</v>
      </c>
      <c r="H1110" s="19" t="s">
        <v>2187</v>
      </c>
    </row>
    <row r="1111" spans="1:8">
      <c r="A1111" s="18" t="s">
        <v>1069</v>
      </c>
      <c r="B1111" s="18" t="s">
        <v>3893</v>
      </c>
      <c r="C1111" s="18" t="s">
        <v>2281</v>
      </c>
      <c r="D1111" s="18" t="s">
        <v>2348</v>
      </c>
      <c r="E1111" s="18" t="s">
        <v>3894</v>
      </c>
      <c r="F1111" s="18">
        <v>6.76</v>
      </c>
      <c r="G1111" s="18" t="s">
        <v>2154</v>
      </c>
      <c r="H1111" s="18" t="s">
        <v>2187</v>
      </c>
    </row>
    <row r="1112" spans="1:8">
      <c r="A1112" s="19" t="s">
        <v>1069</v>
      </c>
      <c r="B1112" s="19" t="s">
        <v>3895</v>
      </c>
      <c r="C1112" s="19" t="s">
        <v>2396</v>
      </c>
      <c r="D1112" s="19" t="s">
        <v>2955</v>
      </c>
      <c r="E1112" s="19" t="s">
        <v>2474</v>
      </c>
      <c r="F1112" s="19">
        <v>8.8000000000000007</v>
      </c>
      <c r="G1112" s="19" t="s">
        <v>2154</v>
      </c>
      <c r="H1112" s="19" t="s">
        <v>2160</v>
      </c>
    </row>
    <row r="1113" spans="1:8">
      <c r="A1113" s="18" t="s">
        <v>1069</v>
      </c>
      <c r="B1113" s="18" t="s">
        <v>3896</v>
      </c>
      <c r="C1113" s="18" t="s">
        <v>2289</v>
      </c>
      <c r="D1113" s="18" t="s">
        <v>2524</v>
      </c>
      <c r="E1113" s="18" t="s">
        <v>2501</v>
      </c>
      <c r="F1113" s="18">
        <v>9.92</v>
      </c>
      <c r="G1113" s="18" t="s">
        <v>2154</v>
      </c>
      <c r="H1113" s="18" t="s">
        <v>2160</v>
      </c>
    </row>
    <row r="1114" spans="1:8">
      <c r="A1114" s="19" t="s">
        <v>1069</v>
      </c>
      <c r="B1114" s="19" t="s">
        <v>3897</v>
      </c>
      <c r="C1114" s="19" t="s">
        <v>2293</v>
      </c>
      <c r="D1114" s="19"/>
      <c r="E1114" s="19"/>
      <c r="F1114" s="19"/>
      <c r="G1114" s="19" t="s">
        <v>2163</v>
      </c>
      <c r="H1114" s="19" t="s">
        <v>2160</v>
      </c>
    </row>
    <row r="1115" spans="1:8">
      <c r="A1115" s="18" t="s">
        <v>1069</v>
      </c>
      <c r="B1115" s="18" t="s">
        <v>3898</v>
      </c>
      <c r="C1115" s="18" t="s">
        <v>2296</v>
      </c>
      <c r="D1115" s="18" t="s">
        <v>2473</v>
      </c>
      <c r="E1115" s="18" t="s">
        <v>2474</v>
      </c>
      <c r="F1115" s="18">
        <v>7.86</v>
      </c>
      <c r="G1115" s="18" t="s">
        <v>2154</v>
      </c>
      <c r="H1115" s="18" t="s">
        <v>2160</v>
      </c>
    </row>
    <row r="1116" spans="1:8">
      <c r="A1116" s="19" t="s">
        <v>1069</v>
      </c>
      <c r="B1116" s="19" t="s">
        <v>3899</v>
      </c>
      <c r="C1116" s="19" t="s">
        <v>2300</v>
      </c>
      <c r="D1116" s="19" t="s">
        <v>2951</v>
      </c>
      <c r="E1116" s="19" t="s">
        <v>3900</v>
      </c>
      <c r="F1116" s="19">
        <v>7.68</v>
      </c>
      <c r="G1116" s="19" t="s">
        <v>2154</v>
      </c>
      <c r="H1116" s="19" t="s">
        <v>2171</v>
      </c>
    </row>
    <row r="1117" spans="1:8">
      <c r="A1117" s="18" t="s">
        <v>1069</v>
      </c>
      <c r="B1117" s="18" t="s">
        <v>3901</v>
      </c>
      <c r="C1117" s="18" t="s">
        <v>2144</v>
      </c>
      <c r="D1117" s="18" t="s">
        <v>2766</v>
      </c>
      <c r="E1117" s="18" t="s">
        <v>2779</v>
      </c>
      <c r="F1117" s="18">
        <v>9.5500000000000007</v>
      </c>
      <c r="G1117" s="18" t="s">
        <v>2154</v>
      </c>
      <c r="H1117" s="18" t="s">
        <v>2160</v>
      </c>
    </row>
    <row r="1118" spans="1:8">
      <c r="A1118" s="19" t="s">
        <v>1069</v>
      </c>
      <c r="B1118" s="19" t="s">
        <v>3902</v>
      </c>
      <c r="C1118" s="19" t="s">
        <v>2307</v>
      </c>
      <c r="D1118" s="19" t="s">
        <v>2545</v>
      </c>
      <c r="E1118" s="19" t="s">
        <v>3903</v>
      </c>
      <c r="F1118" s="19">
        <v>6.93</v>
      </c>
      <c r="G1118" s="19" t="s">
        <v>2154</v>
      </c>
      <c r="H1118" s="19" t="s">
        <v>2160</v>
      </c>
    </row>
    <row r="1119" spans="1:8">
      <c r="A1119" s="18" t="s">
        <v>1069</v>
      </c>
      <c r="B1119" s="18" t="s">
        <v>3904</v>
      </c>
      <c r="C1119" s="18" t="s">
        <v>2311</v>
      </c>
      <c r="D1119" s="18" t="s">
        <v>2314</v>
      </c>
      <c r="E1119" s="18" t="s">
        <v>2315</v>
      </c>
      <c r="F1119" s="18">
        <v>9.57</v>
      </c>
      <c r="G1119" s="18" t="s">
        <v>2154</v>
      </c>
      <c r="H1119" s="18" t="s">
        <v>2187</v>
      </c>
    </row>
    <row r="1120" spans="1:8">
      <c r="A1120" s="19" t="s">
        <v>422</v>
      </c>
      <c r="B1120" s="19" t="s">
        <v>3905</v>
      </c>
      <c r="C1120" s="19" t="s">
        <v>2038</v>
      </c>
      <c r="D1120" s="19" t="s">
        <v>2684</v>
      </c>
      <c r="E1120" s="19" t="s">
        <v>2685</v>
      </c>
      <c r="F1120" s="19">
        <v>7.09</v>
      </c>
      <c r="G1120" s="19" t="s">
        <v>2154</v>
      </c>
      <c r="H1120" s="19" t="s">
        <v>2171</v>
      </c>
    </row>
    <row r="1121" spans="1:8">
      <c r="A1121" s="18" t="s">
        <v>422</v>
      </c>
      <c r="B1121" s="18" t="s">
        <v>3906</v>
      </c>
      <c r="C1121" s="18" t="s">
        <v>2157</v>
      </c>
      <c r="D1121" s="18" t="s">
        <v>2770</v>
      </c>
      <c r="E1121" s="18" t="s">
        <v>3161</v>
      </c>
      <c r="F1121" s="18">
        <v>10.79</v>
      </c>
      <c r="G1121" s="18" t="s">
        <v>2154</v>
      </c>
      <c r="H1121" s="18" t="s">
        <v>2155</v>
      </c>
    </row>
    <row r="1122" spans="1:8">
      <c r="A1122" s="19" t="s">
        <v>422</v>
      </c>
      <c r="B1122" s="19" t="s">
        <v>3907</v>
      </c>
      <c r="C1122" s="19" t="s">
        <v>2162</v>
      </c>
      <c r="D1122" s="19" t="s">
        <v>2282</v>
      </c>
      <c r="E1122" s="19" t="s">
        <v>3663</v>
      </c>
      <c r="F1122" s="19">
        <v>8.59</v>
      </c>
      <c r="G1122" s="19" t="s">
        <v>2154</v>
      </c>
      <c r="H1122" s="19" t="s">
        <v>2187</v>
      </c>
    </row>
    <row r="1123" spans="1:8">
      <c r="A1123" s="18" t="s">
        <v>422</v>
      </c>
      <c r="B1123" s="18" t="s">
        <v>3908</v>
      </c>
      <c r="C1123" s="18" t="s">
        <v>1937</v>
      </c>
      <c r="D1123" s="18" t="s">
        <v>2340</v>
      </c>
      <c r="E1123" s="18" t="s">
        <v>2391</v>
      </c>
      <c r="F1123" s="18">
        <v>7.34</v>
      </c>
      <c r="G1123" s="18" t="s">
        <v>2154</v>
      </c>
      <c r="H1123" s="18" t="s">
        <v>2187</v>
      </c>
    </row>
    <row r="1124" spans="1:8">
      <c r="A1124" s="19" t="s">
        <v>422</v>
      </c>
      <c r="B1124" s="19" t="s">
        <v>3909</v>
      </c>
      <c r="C1124" s="19" t="s">
        <v>2168</v>
      </c>
      <c r="D1124" s="19" t="s">
        <v>2494</v>
      </c>
      <c r="E1124" s="19" t="s">
        <v>2993</v>
      </c>
      <c r="F1124" s="19">
        <v>8.0399999999999991</v>
      </c>
      <c r="G1124" s="19" t="s">
        <v>2154</v>
      </c>
      <c r="H1124" s="19" t="s">
        <v>2160</v>
      </c>
    </row>
    <row r="1125" spans="1:8">
      <c r="A1125" s="18" t="s">
        <v>422</v>
      </c>
      <c r="B1125" s="18" t="s">
        <v>3910</v>
      </c>
      <c r="C1125" s="18" t="s">
        <v>2173</v>
      </c>
      <c r="D1125" s="18" t="s">
        <v>2584</v>
      </c>
      <c r="E1125" s="18" t="s">
        <v>2585</v>
      </c>
      <c r="F1125" s="18">
        <v>9.56</v>
      </c>
      <c r="G1125" s="18" t="s">
        <v>2154</v>
      </c>
      <c r="H1125" s="18" t="s">
        <v>2187</v>
      </c>
    </row>
    <row r="1126" spans="1:8">
      <c r="A1126" s="19" t="s">
        <v>422</v>
      </c>
      <c r="B1126" s="19" t="s">
        <v>3911</v>
      </c>
      <c r="C1126" s="19" t="s">
        <v>2177</v>
      </c>
      <c r="D1126" s="19" t="s">
        <v>2503</v>
      </c>
      <c r="E1126" s="19" t="s">
        <v>3912</v>
      </c>
      <c r="F1126" s="19">
        <v>11.37</v>
      </c>
      <c r="G1126" s="19" t="s">
        <v>2154</v>
      </c>
      <c r="H1126" s="19" t="s">
        <v>2155</v>
      </c>
    </row>
    <row r="1127" spans="1:8">
      <c r="A1127" s="18" t="s">
        <v>422</v>
      </c>
      <c r="B1127" s="18" t="s">
        <v>3913</v>
      </c>
      <c r="C1127" s="18" t="s">
        <v>3914</v>
      </c>
      <c r="D1127" s="18" t="s">
        <v>2652</v>
      </c>
      <c r="E1127" s="18" t="s">
        <v>3903</v>
      </c>
      <c r="F1127" s="18">
        <v>7.38</v>
      </c>
      <c r="G1127" s="18" t="s">
        <v>2154</v>
      </c>
      <c r="H1127" s="18" t="s">
        <v>2155</v>
      </c>
    </row>
    <row r="1128" spans="1:8">
      <c r="A1128" s="19" t="s">
        <v>422</v>
      </c>
      <c r="B1128" s="19" t="s">
        <v>3915</v>
      </c>
      <c r="C1128" s="19" t="s">
        <v>2184</v>
      </c>
      <c r="D1128" s="19" t="s">
        <v>2693</v>
      </c>
      <c r="E1128" s="19" t="s">
        <v>3916</v>
      </c>
      <c r="F1128" s="19">
        <v>11.27</v>
      </c>
      <c r="G1128" s="19" t="s">
        <v>2154</v>
      </c>
      <c r="H1128" s="19" t="s">
        <v>2160</v>
      </c>
    </row>
    <row r="1129" spans="1:8">
      <c r="A1129" s="18" t="s">
        <v>422</v>
      </c>
      <c r="B1129" s="18" t="s">
        <v>3917</v>
      </c>
      <c r="C1129" s="18" t="s">
        <v>2189</v>
      </c>
      <c r="D1129" s="18" t="s">
        <v>2428</v>
      </c>
      <c r="E1129" s="18" t="s">
        <v>2429</v>
      </c>
      <c r="F1129" s="18">
        <v>10.43</v>
      </c>
      <c r="G1129" s="18" t="s">
        <v>2154</v>
      </c>
      <c r="H1129" s="18" t="s">
        <v>2171</v>
      </c>
    </row>
    <row r="1130" spans="1:8">
      <c r="A1130" s="19" t="s">
        <v>422</v>
      </c>
      <c r="B1130" s="19" t="s">
        <v>3918</v>
      </c>
      <c r="C1130" s="19" t="s">
        <v>2643</v>
      </c>
      <c r="D1130" s="19" t="s">
        <v>2516</v>
      </c>
      <c r="E1130" s="19" t="s">
        <v>2432</v>
      </c>
      <c r="F1130" s="19">
        <v>11.4</v>
      </c>
      <c r="G1130" s="19" t="s">
        <v>2154</v>
      </c>
      <c r="H1130" s="19" t="s">
        <v>2187</v>
      </c>
    </row>
    <row r="1131" spans="1:8">
      <c r="A1131" s="18" t="s">
        <v>422</v>
      </c>
      <c r="B1131" s="18" t="s">
        <v>3919</v>
      </c>
      <c r="C1131" s="18" t="s">
        <v>2197</v>
      </c>
      <c r="D1131" s="18" t="s">
        <v>2561</v>
      </c>
      <c r="E1131" s="18" t="s">
        <v>3920</v>
      </c>
      <c r="F1131" s="18">
        <v>7.04</v>
      </c>
      <c r="G1131" s="18" t="s">
        <v>2154</v>
      </c>
      <c r="H1131" s="18" t="s">
        <v>2187</v>
      </c>
    </row>
    <row r="1132" spans="1:8">
      <c r="A1132" s="19" t="s">
        <v>422</v>
      </c>
      <c r="B1132" s="19" t="s">
        <v>3921</v>
      </c>
      <c r="C1132" s="19" t="s">
        <v>1819</v>
      </c>
      <c r="D1132" s="19" t="s">
        <v>2274</v>
      </c>
      <c r="E1132" s="19" t="s">
        <v>3003</v>
      </c>
      <c r="F1132" s="19">
        <v>9.75</v>
      </c>
      <c r="G1132" s="19" t="s">
        <v>2154</v>
      </c>
      <c r="H1132" s="19" t="s">
        <v>2171</v>
      </c>
    </row>
    <row r="1133" spans="1:8">
      <c r="A1133" s="18" t="s">
        <v>422</v>
      </c>
      <c r="B1133" s="18" t="s">
        <v>3922</v>
      </c>
      <c r="C1133" s="18" t="s">
        <v>2204</v>
      </c>
      <c r="D1133" s="18" t="s">
        <v>2992</v>
      </c>
      <c r="E1133" s="18" t="s">
        <v>3611</v>
      </c>
      <c r="F1133" s="18">
        <v>8.4</v>
      </c>
      <c r="G1133" s="18" t="s">
        <v>2154</v>
      </c>
      <c r="H1133" s="18" t="s">
        <v>2155</v>
      </c>
    </row>
    <row r="1134" spans="1:8">
      <c r="A1134" s="19" t="s">
        <v>422</v>
      </c>
      <c r="B1134" s="19" t="s">
        <v>3923</v>
      </c>
      <c r="C1134" s="19" t="s">
        <v>1843</v>
      </c>
      <c r="D1134" s="19" t="s">
        <v>2603</v>
      </c>
      <c r="E1134" s="19" t="s">
        <v>2391</v>
      </c>
      <c r="F1134" s="19">
        <v>8.82</v>
      </c>
      <c r="G1134" s="19" t="s">
        <v>2154</v>
      </c>
      <c r="H1134" s="19" t="s">
        <v>2187</v>
      </c>
    </row>
    <row r="1135" spans="1:8">
      <c r="A1135" s="18" t="s">
        <v>422</v>
      </c>
      <c r="B1135" s="18" t="s">
        <v>3924</v>
      </c>
      <c r="C1135" s="18" t="s">
        <v>2211</v>
      </c>
      <c r="D1135" s="18" t="s">
        <v>2789</v>
      </c>
      <c r="E1135" s="18" t="s">
        <v>2675</v>
      </c>
      <c r="F1135" s="18">
        <v>11.24</v>
      </c>
      <c r="G1135" s="18" t="s">
        <v>2154</v>
      </c>
      <c r="H1135" s="18" t="s">
        <v>2160</v>
      </c>
    </row>
    <row r="1136" spans="1:8">
      <c r="A1136" s="19" t="s">
        <v>422</v>
      </c>
      <c r="B1136" s="19" t="s">
        <v>3925</v>
      </c>
      <c r="C1136" s="19" t="s">
        <v>2215</v>
      </c>
      <c r="D1136" s="19" t="s">
        <v>2373</v>
      </c>
      <c r="E1136" s="19" t="s">
        <v>3823</v>
      </c>
      <c r="F1136" s="19">
        <v>8.59</v>
      </c>
      <c r="G1136" s="19" t="s">
        <v>2154</v>
      </c>
      <c r="H1136" s="19" t="s">
        <v>2155</v>
      </c>
    </row>
    <row r="1137" spans="1:8">
      <c r="A1137" s="18" t="s">
        <v>422</v>
      </c>
      <c r="B1137" s="18" t="s">
        <v>3926</v>
      </c>
      <c r="C1137" s="18" t="s">
        <v>2219</v>
      </c>
      <c r="D1137" s="18" t="s">
        <v>2491</v>
      </c>
      <c r="E1137" s="18" t="s">
        <v>2159</v>
      </c>
      <c r="F1137" s="18">
        <v>8.4499999999999993</v>
      </c>
      <c r="G1137" s="18" t="s">
        <v>2154</v>
      </c>
      <c r="H1137" s="18" t="s">
        <v>2187</v>
      </c>
    </row>
    <row r="1138" spans="1:8">
      <c r="A1138" s="19" t="s">
        <v>422</v>
      </c>
      <c r="B1138" s="19" t="s">
        <v>3927</v>
      </c>
      <c r="C1138" s="19" t="s">
        <v>2222</v>
      </c>
      <c r="D1138" s="19" t="s">
        <v>2766</v>
      </c>
      <c r="E1138" s="19" t="s">
        <v>3262</v>
      </c>
      <c r="F1138" s="19">
        <v>6.52</v>
      </c>
      <c r="G1138" s="19" t="s">
        <v>2154</v>
      </c>
      <c r="H1138" s="19" t="s">
        <v>2171</v>
      </c>
    </row>
    <row r="1139" spans="1:8">
      <c r="A1139" s="18" t="s">
        <v>422</v>
      </c>
      <c r="B1139" s="18" t="s">
        <v>3928</v>
      </c>
      <c r="C1139" s="18" t="s">
        <v>2226</v>
      </c>
      <c r="D1139" s="18" t="s">
        <v>2557</v>
      </c>
      <c r="E1139" s="18" t="s">
        <v>3218</v>
      </c>
      <c r="F1139" s="18">
        <v>9.58</v>
      </c>
      <c r="G1139" s="18" t="s">
        <v>2154</v>
      </c>
      <c r="H1139" s="18" t="s">
        <v>2187</v>
      </c>
    </row>
    <row r="1140" spans="1:8">
      <c r="A1140" s="19" t="s">
        <v>422</v>
      </c>
      <c r="B1140" s="19" t="s">
        <v>3929</v>
      </c>
      <c r="C1140" s="19" t="s">
        <v>2230</v>
      </c>
      <c r="D1140" s="19" t="s">
        <v>2348</v>
      </c>
      <c r="E1140" s="19" t="s">
        <v>2320</v>
      </c>
      <c r="F1140" s="19">
        <v>11.25</v>
      </c>
      <c r="G1140" s="19" t="s">
        <v>2154</v>
      </c>
      <c r="H1140" s="19" t="s">
        <v>2155</v>
      </c>
    </row>
    <row r="1141" spans="1:8">
      <c r="A1141" s="18" t="s">
        <v>422</v>
      </c>
      <c r="B1141" s="18" t="s">
        <v>3930</v>
      </c>
      <c r="C1141" s="18" t="s">
        <v>2234</v>
      </c>
      <c r="D1141" s="18" t="s">
        <v>2693</v>
      </c>
      <c r="E1141" s="18" t="s">
        <v>2694</v>
      </c>
      <c r="F1141" s="18">
        <v>10.78</v>
      </c>
      <c r="G1141" s="18" t="s">
        <v>2154</v>
      </c>
      <c r="H1141" s="18" t="s">
        <v>2160</v>
      </c>
    </row>
    <row r="1142" spans="1:8">
      <c r="A1142" s="19" t="s">
        <v>422</v>
      </c>
      <c r="B1142" s="19" t="s">
        <v>3931</v>
      </c>
      <c r="C1142" s="19" t="s">
        <v>2238</v>
      </c>
      <c r="D1142" s="19" t="s">
        <v>3145</v>
      </c>
      <c r="E1142" s="19" t="s">
        <v>2962</v>
      </c>
      <c r="F1142" s="19">
        <v>10.17</v>
      </c>
      <c r="G1142" s="19" t="s">
        <v>2154</v>
      </c>
      <c r="H1142" s="19" t="s">
        <v>2160</v>
      </c>
    </row>
    <row r="1143" spans="1:8">
      <c r="A1143" s="18" t="s">
        <v>422</v>
      </c>
      <c r="B1143" s="18" t="s">
        <v>3932</v>
      </c>
      <c r="C1143" s="18" t="s">
        <v>2241</v>
      </c>
      <c r="D1143" s="18" t="s">
        <v>2297</v>
      </c>
      <c r="E1143" s="18" t="s">
        <v>3457</v>
      </c>
      <c r="F1143" s="18">
        <v>10.48</v>
      </c>
      <c r="G1143" s="18" t="s">
        <v>2154</v>
      </c>
      <c r="H1143" s="18" t="s">
        <v>2160</v>
      </c>
    </row>
    <row r="1144" spans="1:8">
      <c r="A1144" s="19" t="s">
        <v>422</v>
      </c>
      <c r="B1144" s="19" t="s">
        <v>3933</v>
      </c>
      <c r="C1144" s="19" t="s">
        <v>2245</v>
      </c>
      <c r="D1144" s="19" t="s">
        <v>2286</v>
      </c>
      <c r="E1144" s="19" t="s">
        <v>2704</v>
      </c>
      <c r="F1144" s="19">
        <v>6.65</v>
      </c>
      <c r="G1144" s="19" t="s">
        <v>2154</v>
      </c>
      <c r="H1144" s="19" t="s">
        <v>2155</v>
      </c>
    </row>
    <row r="1145" spans="1:8">
      <c r="A1145" s="18" t="s">
        <v>422</v>
      </c>
      <c r="B1145" s="18" t="s">
        <v>3934</v>
      </c>
      <c r="C1145" s="18" t="s">
        <v>2249</v>
      </c>
      <c r="D1145" s="18" t="s">
        <v>3253</v>
      </c>
      <c r="E1145" s="18" t="s">
        <v>3245</v>
      </c>
      <c r="F1145" s="18">
        <v>9.01</v>
      </c>
      <c r="G1145" s="18" t="s">
        <v>2154</v>
      </c>
      <c r="H1145" s="18" t="s">
        <v>2160</v>
      </c>
    </row>
    <row r="1146" spans="1:8">
      <c r="A1146" s="19" t="s">
        <v>422</v>
      </c>
      <c r="B1146" s="19" t="s">
        <v>3935</v>
      </c>
      <c r="C1146" s="19" t="s">
        <v>2252</v>
      </c>
      <c r="D1146" s="19" t="s">
        <v>2479</v>
      </c>
      <c r="E1146" s="19" t="s">
        <v>2305</v>
      </c>
      <c r="F1146" s="19">
        <v>10.27</v>
      </c>
      <c r="G1146" s="19" t="s">
        <v>2154</v>
      </c>
      <c r="H1146" s="19" t="s">
        <v>2155</v>
      </c>
    </row>
    <row r="1147" spans="1:8">
      <c r="A1147" s="18" t="s">
        <v>422</v>
      </c>
      <c r="B1147" s="18" t="s">
        <v>3936</v>
      </c>
      <c r="C1147" s="18" t="s">
        <v>2376</v>
      </c>
      <c r="D1147" s="18" t="s">
        <v>2340</v>
      </c>
      <c r="E1147" s="18" t="s">
        <v>2391</v>
      </c>
      <c r="F1147" s="18">
        <v>7.35</v>
      </c>
      <c r="G1147" s="18" t="s">
        <v>2154</v>
      </c>
      <c r="H1147" s="18" t="s">
        <v>2187</v>
      </c>
    </row>
    <row r="1148" spans="1:8">
      <c r="A1148" s="19" t="s">
        <v>422</v>
      </c>
      <c r="B1148" s="19" t="s">
        <v>3937</v>
      </c>
      <c r="C1148" s="19" t="s">
        <v>2260</v>
      </c>
      <c r="D1148" s="19" t="s">
        <v>2323</v>
      </c>
      <c r="E1148" s="19" t="s">
        <v>2324</v>
      </c>
      <c r="F1148" s="19">
        <v>6.73</v>
      </c>
      <c r="G1148" s="19" t="s">
        <v>2154</v>
      </c>
      <c r="H1148" s="19" t="s">
        <v>2160</v>
      </c>
    </row>
    <row r="1149" spans="1:8">
      <c r="A1149" s="18" t="s">
        <v>422</v>
      </c>
      <c r="B1149" s="18" t="s">
        <v>3938</v>
      </c>
      <c r="C1149" s="18" t="s">
        <v>2264</v>
      </c>
      <c r="D1149" s="18" t="s">
        <v>3001</v>
      </c>
      <c r="E1149" s="18" t="s">
        <v>2458</v>
      </c>
      <c r="F1149" s="18">
        <v>7.46</v>
      </c>
      <c r="G1149" s="18" t="s">
        <v>2154</v>
      </c>
      <c r="H1149" s="18" t="s">
        <v>2187</v>
      </c>
    </row>
    <row r="1150" spans="1:8">
      <c r="A1150" s="19" t="s">
        <v>422</v>
      </c>
      <c r="B1150" s="19" t="s">
        <v>3939</v>
      </c>
      <c r="C1150" s="19" t="s">
        <v>1948</v>
      </c>
      <c r="D1150" s="19" t="s">
        <v>2158</v>
      </c>
      <c r="E1150" s="19" t="s">
        <v>3093</v>
      </c>
      <c r="F1150" s="19">
        <v>10.59</v>
      </c>
      <c r="G1150" s="19" t="s">
        <v>2154</v>
      </c>
      <c r="H1150" s="19" t="s">
        <v>2171</v>
      </c>
    </row>
    <row r="1151" spans="1:8">
      <c r="A1151" s="18" t="s">
        <v>422</v>
      </c>
      <c r="B1151" s="18" t="s">
        <v>3940</v>
      </c>
      <c r="C1151" s="18" t="s">
        <v>2269</v>
      </c>
      <c r="D1151" s="18" t="s">
        <v>2359</v>
      </c>
      <c r="E1151" s="18" t="s">
        <v>3941</v>
      </c>
      <c r="F1151" s="18">
        <v>6.62</v>
      </c>
      <c r="G1151" s="18" t="s">
        <v>2154</v>
      </c>
      <c r="H1151" s="18" t="s">
        <v>2187</v>
      </c>
    </row>
    <row r="1152" spans="1:8">
      <c r="A1152" s="19" t="s">
        <v>422</v>
      </c>
      <c r="B1152" s="19" t="s">
        <v>3942</v>
      </c>
      <c r="C1152" s="19" t="s">
        <v>2273</v>
      </c>
      <c r="D1152" s="19" t="s">
        <v>2823</v>
      </c>
      <c r="E1152" s="19" t="s">
        <v>2819</v>
      </c>
      <c r="F1152" s="19">
        <v>8.31</v>
      </c>
      <c r="G1152" s="19" t="s">
        <v>2154</v>
      </c>
      <c r="H1152" s="19" t="s">
        <v>2160</v>
      </c>
    </row>
    <row r="1153" spans="1:8">
      <c r="A1153" s="18" t="s">
        <v>422</v>
      </c>
      <c r="B1153" s="18" t="s">
        <v>3943</v>
      </c>
      <c r="C1153" s="18" t="s">
        <v>2277</v>
      </c>
      <c r="D1153" s="18" t="s">
        <v>2703</v>
      </c>
      <c r="E1153" s="18" t="s">
        <v>3043</v>
      </c>
      <c r="F1153" s="18">
        <v>9.4600000000000009</v>
      </c>
      <c r="G1153" s="18" t="s">
        <v>2154</v>
      </c>
      <c r="H1153" s="18" t="s">
        <v>2187</v>
      </c>
    </row>
    <row r="1154" spans="1:8">
      <c r="A1154" s="19" t="s">
        <v>422</v>
      </c>
      <c r="B1154" s="19" t="s">
        <v>3944</v>
      </c>
      <c r="C1154" s="19" t="s">
        <v>2281</v>
      </c>
      <c r="D1154" s="19" t="s">
        <v>2814</v>
      </c>
      <c r="E1154" s="19" t="s">
        <v>3372</v>
      </c>
      <c r="F1154" s="19">
        <v>7.49</v>
      </c>
      <c r="G1154" s="19" t="s">
        <v>2154</v>
      </c>
      <c r="H1154" s="19" t="s">
        <v>2187</v>
      </c>
    </row>
    <row r="1155" spans="1:8">
      <c r="A1155" s="18" t="s">
        <v>422</v>
      </c>
      <c r="B1155" s="18" t="s">
        <v>3945</v>
      </c>
      <c r="C1155" s="18" t="s">
        <v>2396</v>
      </c>
      <c r="D1155" s="18" t="s">
        <v>2266</v>
      </c>
      <c r="E1155" s="18" t="s">
        <v>3216</v>
      </c>
      <c r="F1155" s="18">
        <v>7.62</v>
      </c>
      <c r="G1155" s="18" t="s">
        <v>2154</v>
      </c>
      <c r="H1155" s="18" t="s">
        <v>2160</v>
      </c>
    </row>
    <row r="1156" spans="1:8">
      <c r="A1156" s="19" t="s">
        <v>422</v>
      </c>
      <c r="B1156" s="19" t="s">
        <v>3946</v>
      </c>
      <c r="C1156" s="19" t="s">
        <v>2289</v>
      </c>
      <c r="D1156" s="19" t="s">
        <v>2536</v>
      </c>
      <c r="E1156" s="19" t="s">
        <v>2911</v>
      </c>
      <c r="F1156" s="19">
        <v>9.6300000000000008</v>
      </c>
      <c r="G1156" s="19" t="s">
        <v>2154</v>
      </c>
      <c r="H1156" s="19" t="s">
        <v>2155</v>
      </c>
    </row>
    <row r="1157" spans="1:8">
      <c r="A1157" s="18" t="s">
        <v>422</v>
      </c>
      <c r="B1157" s="18" t="s">
        <v>3947</v>
      </c>
      <c r="C1157" s="18" t="s">
        <v>2293</v>
      </c>
      <c r="D1157" s="18" t="s">
        <v>2955</v>
      </c>
      <c r="E1157" s="18" t="s">
        <v>3391</v>
      </c>
      <c r="F1157" s="18">
        <v>9.2100000000000009</v>
      </c>
      <c r="G1157" s="18" t="s">
        <v>2154</v>
      </c>
      <c r="H1157" s="18" t="s">
        <v>2155</v>
      </c>
    </row>
    <row r="1158" spans="1:8">
      <c r="A1158" s="19" t="s">
        <v>422</v>
      </c>
      <c r="B1158" s="19" t="s">
        <v>3948</v>
      </c>
      <c r="C1158" s="19" t="s">
        <v>2296</v>
      </c>
      <c r="D1158" s="19" t="s">
        <v>3597</v>
      </c>
      <c r="E1158" s="19" t="s">
        <v>3216</v>
      </c>
      <c r="F1158" s="19">
        <v>8.4499999999999993</v>
      </c>
      <c r="G1158" s="19" t="s">
        <v>2154</v>
      </c>
      <c r="H1158" s="19" t="s">
        <v>2155</v>
      </c>
    </row>
    <row r="1159" spans="1:8">
      <c r="A1159" s="18" t="s">
        <v>422</v>
      </c>
      <c r="B1159" s="18" t="s">
        <v>3949</v>
      </c>
      <c r="C1159" s="18" t="s">
        <v>2300</v>
      </c>
      <c r="D1159" s="18" t="s">
        <v>2575</v>
      </c>
      <c r="E1159" s="18" t="s">
        <v>2899</v>
      </c>
      <c r="F1159" s="18">
        <v>9.67</v>
      </c>
      <c r="G1159" s="18" t="s">
        <v>2154</v>
      </c>
      <c r="H1159" s="18" t="s">
        <v>2160</v>
      </c>
    </row>
    <row r="1160" spans="1:8">
      <c r="A1160" s="19" t="s">
        <v>422</v>
      </c>
      <c r="B1160" s="19" t="s">
        <v>3950</v>
      </c>
      <c r="C1160" s="19" t="s">
        <v>2144</v>
      </c>
      <c r="D1160" s="19" t="s">
        <v>2488</v>
      </c>
      <c r="E1160" s="19" t="s">
        <v>3055</v>
      </c>
      <c r="F1160" s="19">
        <v>10.86</v>
      </c>
      <c r="G1160" s="19" t="s">
        <v>2154</v>
      </c>
      <c r="H1160" s="19" t="s">
        <v>2155</v>
      </c>
    </row>
    <row r="1161" spans="1:8">
      <c r="A1161" s="18" t="s">
        <v>422</v>
      </c>
      <c r="B1161" s="18" t="s">
        <v>3951</v>
      </c>
      <c r="C1161" s="18" t="s">
        <v>2307</v>
      </c>
      <c r="D1161" s="18" t="s">
        <v>2408</v>
      </c>
      <c r="E1161" s="18" t="s">
        <v>2926</v>
      </c>
      <c r="F1161" s="18">
        <v>10.48</v>
      </c>
      <c r="G1161" s="18" t="s">
        <v>2154</v>
      </c>
      <c r="H1161" s="18" t="s">
        <v>2155</v>
      </c>
    </row>
    <row r="1162" spans="1:8">
      <c r="A1162" s="19" t="s">
        <v>422</v>
      </c>
      <c r="B1162" s="19" t="s">
        <v>3952</v>
      </c>
      <c r="C1162" s="19" t="s">
        <v>2311</v>
      </c>
      <c r="D1162" s="19"/>
      <c r="E1162" s="19"/>
      <c r="F1162" s="19"/>
      <c r="G1162" s="19" t="s">
        <v>2220</v>
      </c>
      <c r="H1162" s="19" t="s">
        <v>2187</v>
      </c>
    </row>
    <row r="1163" spans="1:8">
      <c r="A1163" s="18" t="s">
        <v>839</v>
      </c>
      <c r="B1163" s="18" t="s">
        <v>3953</v>
      </c>
      <c r="C1163" s="18" t="s">
        <v>2038</v>
      </c>
      <c r="D1163" s="18" t="s">
        <v>2801</v>
      </c>
      <c r="E1163" s="18" t="s">
        <v>2913</v>
      </c>
      <c r="F1163" s="18">
        <v>9.8800000000000008</v>
      </c>
      <c r="G1163" s="18" t="s">
        <v>2154</v>
      </c>
      <c r="H1163" s="18" t="s">
        <v>2160</v>
      </c>
    </row>
    <row r="1164" spans="1:8">
      <c r="A1164" s="19" t="s">
        <v>839</v>
      </c>
      <c r="B1164" s="19" t="s">
        <v>3954</v>
      </c>
      <c r="C1164" s="19" t="s">
        <v>2157</v>
      </c>
      <c r="D1164" s="19" t="s">
        <v>2823</v>
      </c>
      <c r="E1164" s="19" t="s">
        <v>3161</v>
      </c>
      <c r="F1164" s="19">
        <v>9.0299999999999994</v>
      </c>
      <c r="G1164" s="19" t="s">
        <v>2154</v>
      </c>
      <c r="H1164" s="19" t="s">
        <v>2155</v>
      </c>
    </row>
    <row r="1165" spans="1:8">
      <c r="A1165" s="18" t="s">
        <v>839</v>
      </c>
      <c r="B1165" s="18" t="s">
        <v>3955</v>
      </c>
      <c r="C1165" s="18" t="s">
        <v>3414</v>
      </c>
      <c r="D1165" s="18" t="s">
        <v>3253</v>
      </c>
      <c r="E1165" s="18" t="s">
        <v>3956</v>
      </c>
      <c r="F1165" s="18">
        <v>6.9</v>
      </c>
      <c r="G1165" s="18" t="s">
        <v>2154</v>
      </c>
      <c r="H1165" s="18" t="s">
        <v>2187</v>
      </c>
    </row>
    <row r="1166" spans="1:8">
      <c r="A1166" s="19" t="s">
        <v>839</v>
      </c>
      <c r="B1166" s="19" t="s">
        <v>3957</v>
      </c>
      <c r="C1166" s="19" t="s">
        <v>1937</v>
      </c>
      <c r="D1166" s="19" t="s">
        <v>2413</v>
      </c>
      <c r="E1166" s="19" t="s">
        <v>2539</v>
      </c>
      <c r="F1166" s="19">
        <v>11.11</v>
      </c>
      <c r="G1166" s="19" t="s">
        <v>2154</v>
      </c>
      <c r="H1166" s="19" t="s">
        <v>2187</v>
      </c>
    </row>
    <row r="1167" spans="1:8">
      <c r="A1167" s="18" t="s">
        <v>839</v>
      </c>
      <c r="B1167" s="18" t="s">
        <v>3958</v>
      </c>
      <c r="C1167" s="18" t="s">
        <v>2168</v>
      </c>
      <c r="D1167" s="18" t="s">
        <v>2174</v>
      </c>
      <c r="E1167" s="18" t="s">
        <v>3064</v>
      </c>
      <c r="F1167" s="18">
        <v>10.029999999999999</v>
      </c>
      <c r="G1167" s="18" t="s">
        <v>2154</v>
      </c>
      <c r="H1167" s="18" t="s">
        <v>2171</v>
      </c>
    </row>
    <row r="1168" spans="1:8">
      <c r="A1168" s="19" t="s">
        <v>839</v>
      </c>
      <c r="B1168" s="19" t="s">
        <v>3959</v>
      </c>
      <c r="C1168" s="19" t="s">
        <v>2173</v>
      </c>
      <c r="D1168" s="19" t="s">
        <v>2703</v>
      </c>
      <c r="E1168" s="19" t="s">
        <v>3960</v>
      </c>
      <c r="F1168" s="19">
        <v>8.69</v>
      </c>
      <c r="G1168" s="19" t="s">
        <v>2154</v>
      </c>
      <c r="H1168" s="19" t="s">
        <v>2155</v>
      </c>
    </row>
    <row r="1169" spans="1:8">
      <c r="A1169" s="18" t="s">
        <v>839</v>
      </c>
      <c r="B1169" s="18" t="s">
        <v>3961</v>
      </c>
      <c r="C1169" s="18" t="s">
        <v>2177</v>
      </c>
      <c r="D1169" s="18" t="s">
        <v>2362</v>
      </c>
      <c r="E1169" s="18" t="s">
        <v>3003</v>
      </c>
      <c r="F1169" s="18">
        <v>11.48</v>
      </c>
      <c r="G1169" s="18" t="s">
        <v>2154</v>
      </c>
      <c r="H1169" s="18" t="s">
        <v>2155</v>
      </c>
    </row>
    <row r="1170" spans="1:8">
      <c r="A1170" s="19" t="s">
        <v>839</v>
      </c>
      <c r="B1170" s="19" t="s">
        <v>3962</v>
      </c>
      <c r="C1170" s="19" t="s">
        <v>1945</v>
      </c>
      <c r="D1170" s="19" t="s">
        <v>2253</v>
      </c>
      <c r="E1170" s="19" t="s">
        <v>3326</v>
      </c>
      <c r="F1170" s="19">
        <v>6.76</v>
      </c>
      <c r="G1170" s="19" t="s">
        <v>2154</v>
      </c>
      <c r="H1170" s="19" t="s">
        <v>2160</v>
      </c>
    </row>
    <row r="1171" spans="1:8">
      <c r="A1171" s="18" t="s">
        <v>839</v>
      </c>
      <c r="B1171" s="18" t="s">
        <v>3963</v>
      </c>
      <c r="C1171" s="18" t="s">
        <v>2184</v>
      </c>
      <c r="D1171" s="18" t="s">
        <v>3120</v>
      </c>
      <c r="E1171" s="18" t="s">
        <v>3024</v>
      </c>
      <c r="F1171" s="18">
        <v>10.7</v>
      </c>
      <c r="G1171" s="18" t="s">
        <v>2154</v>
      </c>
      <c r="H1171" s="18" t="s">
        <v>2187</v>
      </c>
    </row>
    <row r="1172" spans="1:8">
      <c r="A1172" s="19" t="s">
        <v>839</v>
      </c>
      <c r="B1172" s="19" t="s">
        <v>3964</v>
      </c>
      <c r="C1172" s="19" t="s">
        <v>2189</v>
      </c>
      <c r="D1172" s="19" t="s">
        <v>2319</v>
      </c>
      <c r="E1172" s="19" t="s">
        <v>3733</v>
      </c>
      <c r="F1172" s="19">
        <v>9.1</v>
      </c>
      <c r="G1172" s="19" t="s">
        <v>2154</v>
      </c>
      <c r="H1172" s="19" t="s">
        <v>2160</v>
      </c>
    </row>
    <row r="1173" spans="1:8">
      <c r="A1173" s="18" t="s">
        <v>839</v>
      </c>
      <c r="B1173" s="18" t="s">
        <v>3965</v>
      </c>
      <c r="C1173" s="18" t="s">
        <v>2193</v>
      </c>
      <c r="D1173" s="18" t="s">
        <v>2594</v>
      </c>
      <c r="E1173" s="18" t="s">
        <v>3966</v>
      </c>
      <c r="F1173" s="18">
        <v>6.93</v>
      </c>
      <c r="G1173" s="18" t="s">
        <v>2154</v>
      </c>
      <c r="H1173" s="18" t="s">
        <v>2155</v>
      </c>
    </row>
    <row r="1174" spans="1:8">
      <c r="A1174" s="19" t="s">
        <v>839</v>
      </c>
      <c r="B1174" s="19" t="s">
        <v>3967</v>
      </c>
      <c r="C1174" s="19" t="s">
        <v>2197</v>
      </c>
      <c r="D1174" s="19" t="s">
        <v>2766</v>
      </c>
      <c r="E1174" s="19" t="s">
        <v>2998</v>
      </c>
      <c r="F1174" s="19">
        <v>7.87</v>
      </c>
      <c r="G1174" s="19" t="s">
        <v>2154</v>
      </c>
      <c r="H1174" s="19" t="s">
        <v>2171</v>
      </c>
    </row>
    <row r="1175" spans="1:8">
      <c r="A1175" s="18" t="s">
        <v>839</v>
      </c>
      <c r="B1175" s="18" t="s">
        <v>3968</v>
      </c>
      <c r="C1175" s="18" t="s">
        <v>1819</v>
      </c>
      <c r="D1175" s="18" t="s">
        <v>2488</v>
      </c>
      <c r="E1175" s="18" t="s">
        <v>3055</v>
      </c>
      <c r="F1175" s="18">
        <v>10.82</v>
      </c>
      <c r="G1175" s="18" t="s">
        <v>2154</v>
      </c>
      <c r="H1175" s="18" t="s">
        <v>2155</v>
      </c>
    </row>
    <row r="1176" spans="1:8">
      <c r="A1176" s="19" t="s">
        <v>839</v>
      </c>
      <c r="B1176" s="19" t="s">
        <v>3969</v>
      </c>
      <c r="C1176" s="19" t="s">
        <v>2204</v>
      </c>
      <c r="D1176" s="19" t="s">
        <v>2246</v>
      </c>
      <c r="E1176" s="19" t="s">
        <v>2712</v>
      </c>
      <c r="F1176" s="19">
        <v>8.9499999999999993</v>
      </c>
      <c r="G1176" s="19" t="s">
        <v>2154</v>
      </c>
      <c r="H1176" s="19" t="s">
        <v>2160</v>
      </c>
    </row>
    <row r="1177" spans="1:8">
      <c r="A1177" s="18" t="s">
        <v>839</v>
      </c>
      <c r="B1177" s="18" t="s">
        <v>3970</v>
      </c>
      <c r="C1177" s="18" t="s">
        <v>1843</v>
      </c>
      <c r="D1177" s="18" t="s">
        <v>2377</v>
      </c>
      <c r="E1177" s="18" t="s">
        <v>3463</v>
      </c>
      <c r="F1177" s="18">
        <v>7.71</v>
      </c>
      <c r="G1177" s="18" t="s">
        <v>2154</v>
      </c>
      <c r="H1177" s="18" t="s">
        <v>2155</v>
      </c>
    </row>
    <row r="1178" spans="1:8">
      <c r="A1178" s="19" t="s">
        <v>839</v>
      </c>
      <c r="B1178" s="19" t="s">
        <v>3971</v>
      </c>
      <c r="C1178" s="19" t="s">
        <v>2211</v>
      </c>
      <c r="D1178" s="19" t="s">
        <v>2297</v>
      </c>
      <c r="E1178" s="19" t="s">
        <v>3262</v>
      </c>
      <c r="F1178" s="19">
        <v>8.17</v>
      </c>
      <c r="G1178" s="19" t="s">
        <v>2154</v>
      </c>
      <c r="H1178" s="19" t="s">
        <v>2160</v>
      </c>
    </row>
    <row r="1179" spans="1:8">
      <c r="A1179" s="18" t="s">
        <v>839</v>
      </c>
      <c r="B1179" s="18" t="s">
        <v>3972</v>
      </c>
      <c r="C1179" s="18" t="s">
        <v>2215</v>
      </c>
      <c r="D1179" s="18" t="s">
        <v>3010</v>
      </c>
      <c r="E1179" s="18" t="s">
        <v>2360</v>
      </c>
      <c r="F1179" s="18">
        <v>10.89</v>
      </c>
      <c r="G1179" s="18" t="s">
        <v>2154</v>
      </c>
      <c r="H1179" s="18" t="s">
        <v>2187</v>
      </c>
    </row>
    <row r="1180" spans="1:8">
      <c r="A1180" s="19" t="s">
        <v>839</v>
      </c>
      <c r="B1180" s="19" t="s">
        <v>3973</v>
      </c>
      <c r="C1180" s="19" t="s">
        <v>2219</v>
      </c>
      <c r="D1180" s="19" t="s">
        <v>2201</v>
      </c>
      <c r="E1180" s="19" t="s">
        <v>2895</v>
      </c>
      <c r="F1180" s="19">
        <v>8.07</v>
      </c>
      <c r="G1180" s="19" t="s">
        <v>2154</v>
      </c>
      <c r="H1180" s="19" t="s">
        <v>2171</v>
      </c>
    </row>
    <row r="1181" spans="1:8">
      <c r="A1181" s="18" t="s">
        <v>839</v>
      </c>
      <c r="B1181" s="18" t="s">
        <v>3974</v>
      </c>
      <c r="C1181" s="18" t="s">
        <v>2222</v>
      </c>
      <c r="D1181" s="18" t="s">
        <v>2297</v>
      </c>
      <c r="E1181" s="18" t="s">
        <v>3457</v>
      </c>
      <c r="F1181" s="18">
        <v>10.38</v>
      </c>
      <c r="G1181" s="18" t="s">
        <v>2154</v>
      </c>
      <c r="H1181" s="18" t="s">
        <v>2155</v>
      </c>
    </row>
    <row r="1182" spans="1:8">
      <c r="A1182" s="19" t="s">
        <v>839</v>
      </c>
      <c r="B1182" s="19" t="s">
        <v>3975</v>
      </c>
      <c r="C1182" s="19" t="s">
        <v>2226</v>
      </c>
      <c r="D1182" s="19" t="s">
        <v>2835</v>
      </c>
      <c r="E1182" s="19" t="s">
        <v>3304</v>
      </c>
      <c r="F1182" s="19">
        <v>7.03</v>
      </c>
      <c r="G1182" s="19" t="s">
        <v>2154</v>
      </c>
      <c r="H1182" s="19" t="s">
        <v>2187</v>
      </c>
    </row>
    <row r="1183" spans="1:8">
      <c r="A1183" s="18" t="s">
        <v>839</v>
      </c>
      <c r="B1183" s="18" t="s">
        <v>3976</v>
      </c>
      <c r="C1183" s="18" t="s">
        <v>2230</v>
      </c>
      <c r="D1183" s="18" t="s">
        <v>2443</v>
      </c>
      <c r="E1183" s="18" t="s">
        <v>2726</v>
      </c>
      <c r="F1183" s="18">
        <v>7</v>
      </c>
      <c r="G1183" s="18" t="s">
        <v>2154</v>
      </c>
      <c r="H1183" s="18" t="s">
        <v>2171</v>
      </c>
    </row>
    <row r="1184" spans="1:8">
      <c r="A1184" s="19" t="s">
        <v>839</v>
      </c>
      <c r="B1184" s="19" t="s">
        <v>3977</v>
      </c>
      <c r="C1184" s="19" t="s">
        <v>2234</v>
      </c>
      <c r="D1184" s="19" t="s">
        <v>2485</v>
      </c>
      <c r="E1184" s="19" t="s">
        <v>2486</v>
      </c>
      <c r="F1184" s="19">
        <v>8.19</v>
      </c>
      <c r="G1184" s="19" t="s">
        <v>2154</v>
      </c>
      <c r="H1184" s="19" t="s">
        <v>2160</v>
      </c>
    </row>
    <row r="1185" spans="1:8">
      <c r="A1185" s="18" t="s">
        <v>839</v>
      </c>
      <c r="B1185" s="18" t="s">
        <v>3978</v>
      </c>
      <c r="C1185" s="18" t="s">
        <v>2238</v>
      </c>
      <c r="D1185" s="18" t="s">
        <v>2513</v>
      </c>
      <c r="E1185" s="18" t="s">
        <v>3075</v>
      </c>
      <c r="F1185" s="18">
        <v>6.91</v>
      </c>
      <c r="G1185" s="18" t="s">
        <v>2154</v>
      </c>
      <c r="H1185" s="18" t="s">
        <v>2171</v>
      </c>
    </row>
    <row r="1186" spans="1:8">
      <c r="A1186" s="19" t="s">
        <v>839</v>
      </c>
      <c r="B1186" s="19" t="s">
        <v>3979</v>
      </c>
      <c r="C1186" s="19" t="s">
        <v>2241</v>
      </c>
      <c r="D1186" s="19" t="s">
        <v>2387</v>
      </c>
      <c r="E1186" s="19" t="s">
        <v>3980</v>
      </c>
      <c r="F1186" s="19">
        <v>6.73</v>
      </c>
      <c r="G1186" s="19" t="s">
        <v>2154</v>
      </c>
      <c r="H1186" s="19" t="s">
        <v>2187</v>
      </c>
    </row>
    <row r="1187" spans="1:8">
      <c r="A1187" s="18" t="s">
        <v>839</v>
      </c>
      <c r="B1187" s="18" t="s">
        <v>3981</v>
      </c>
      <c r="C1187" s="18" t="s">
        <v>2245</v>
      </c>
      <c r="D1187" s="18" t="s">
        <v>2597</v>
      </c>
      <c r="E1187" s="18" t="s">
        <v>2576</v>
      </c>
      <c r="F1187" s="18">
        <v>9.67</v>
      </c>
      <c r="G1187" s="18" t="s">
        <v>2154</v>
      </c>
      <c r="H1187" s="18" t="s">
        <v>2155</v>
      </c>
    </row>
    <row r="1188" spans="1:8">
      <c r="A1188" s="19" t="s">
        <v>839</v>
      </c>
      <c r="B1188" s="19" t="s">
        <v>3982</v>
      </c>
      <c r="C1188" s="19" t="s">
        <v>2249</v>
      </c>
      <c r="D1188" s="19"/>
      <c r="E1188" s="19"/>
      <c r="F1188" s="19"/>
      <c r="G1188" s="19" t="s">
        <v>2220</v>
      </c>
      <c r="H1188" s="19" t="s">
        <v>2171</v>
      </c>
    </row>
    <row r="1189" spans="1:8">
      <c r="A1189" s="18" t="s">
        <v>839</v>
      </c>
      <c r="B1189" s="18" t="s">
        <v>3983</v>
      </c>
      <c r="C1189" s="18" t="s">
        <v>2252</v>
      </c>
      <c r="D1189" s="18" t="s">
        <v>2703</v>
      </c>
      <c r="E1189" s="18" t="s">
        <v>3960</v>
      </c>
      <c r="F1189" s="18">
        <v>8.64</v>
      </c>
      <c r="G1189" s="18" t="s">
        <v>2154</v>
      </c>
      <c r="H1189" s="18" t="s">
        <v>2171</v>
      </c>
    </row>
    <row r="1190" spans="1:8">
      <c r="A1190" s="19" t="s">
        <v>839</v>
      </c>
      <c r="B1190" s="19" t="s">
        <v>3984</v>
      </c>
      <c r="C1190" s="19" t="s">
        <v>2376</v>
      </c>
      <c r="D1190" s="19"/>
      <c r="E1190" s="19"/>
      <c r="F1190" s="19"/>
      <c r="G1190" s="19" t="s">
        <v>2220</v>
      </c>
      <c r="H1190" s="19" t="s">
        <v>2171</v>
      </c>
    </row>
    <row r="1191" spans="1:8">
      <c r="A1191" s="18" t="s">
        <v>839</v>
      </c>
      <c r="B1191" s="18" t="s">
        <v>3985</v>
      </c>
      <c r="C1191" s="18" t="s">
        <v>2260</v>
      </c>
      <c r="D1191" s="18" t="s">
        <v>2181</v>
      </c>
      <c r="E1191" s="18" t="s">
        <v>2312</v>
      </c>
      <c r="F1191" s="18">
        <v>10.98</v>
      </c>
      <c r="G1191" s="18" t="s">
        <v>2154</v>
      </c>
      <c r="H1191" s="18" t="s">
        <v>2160</v>
      </c>
    </row>
    <row r="1192" spans="1:8">
      <c r="A1192" s="19" t="s">
        <v>839</v>
      </c>
      <c r="B1192" s="19" t="s">
        <v>3986</v>
      </c>
      <c r="C1192" s="19" t="s">
        <v>2264</v>
      </c>
      <c r="D1192" s="19" t="s">
        <v>2488</v>
      </c>
      <c r="E1192" s="19" t="s">
        <v>2489</v>
      </c>
      <c r="F1192" s="19">
        <v>8.8000000000000007</v>
      </c>
      <c r="G1192" s="19" t="s">
        <v>2154</v>
      </c>
      <c r="H1192" s="19" t="s">
        <v>2171</v>
      </c>
    </row>
    <row r="1193" spans="1:8">
      <c r="A1193" s="18" t="s">
        <v>839</v>
      </c>
      <c r="B1193" s="18" t="s">
        <v>3987</v>
      </c>
      <c r="C1193" s="18" t="s">
        <v>1948</v>
      </c>
      <c r="D1193" s="18" t="s">
        <v>2865</v>
      </c>
      <c r="E1193" s="18" t="s">
        <v>3027</v>
      </c>
      <c r="F1193" s="18">
        <v>9.16</v>
      </c>
      <c r="G1193" s="18" t="s">
        <v>2154</v>
      </c>
      <c r="H1193" s="18" t="s">
        <v>2160</v>
      </c>
    </row>
    <row r="1194" spans="1:8">
      <c r="A1194" s="19" t="s">
        <v>839</v>
      </c>
      <c r="B1194" s="19" t="s">
        <v>3988</v>
      </c>
      <c r="C1194" s="19" t="s">
        <v>2269</v>
      </c>
      <c r="D1194" s="19"/>
      <c r="E1194" s="19"/>
      <c r="F1194" s="19"/>
      <c r="G1194" s="19" t="s">
        <v>2163</v>
      </c>
      <c r="H1194" s="19" t="s">
        <v>2171</v>
      </c>
    </row>
    <row r="1195" spans="1:8">
      <c r="A1195" s="18" t="s">
        <v>839</v>
      </c>
      <c r="B1195" s="18" t="s">
        <v>3989</v>
      </c>
      <c r="C1195" s="18" t="s">
        <v>2273</v>
      </c>
      <c r="D1195" s="18" t="s">
        <v>2419</v>
      </c>
      <c r="E1195" s="18" t="s">
        <v>2424</v>
      </c>
      <c r="F1195" s="18">
        <v>7.66</v>
      </c>
      <c r="G1195" s="18" t="s">
        <v>2154</v>
      </c>
      <c r="H1195" s="18" t="s">
        <v>2171</v>
      </c>
    </row>
    <row r="1196" spans="1:8">
      <c r="A1196" s="19" t="s">
        <v>839</v>
      </c>
      <c r="B1196" s="19" t="s">
        <v>3990</v>
      </c>
      <c r="C1196" s="19" t="s">
        <v>2277</v>
      </c>
      <c r="D1196" s="19" t="s">
        <v>2274</v>
      </c>
      <c r="E1196" s="19" t="s">
        <v>3003</v>
      </c>
      <c r="F1196" s="19">
        <v>9.09</v>
      </c>
      <c r="G1196" s="19" t="s">
        <v>2154</v>
      </c>
      <c r="H1196" s="19" t="s">
        <v>2171</v>
      </c>
    </row>
    <row r="1197" spans="1:8">
      <c r="A1197" s="18" t="s">
        <v>839</v>
      </c>
      <c r="B1197" s="18" t="s">
        <v>3991</v>
      </c>
      <c r="C1197" s="18" t="s">
        <v>2281</v>
      </c>
      <c r="D1197" s="18" t="s">
        <v>2345</v>
      </c>
      <c r="E1197" s="18" t="s">
        <v>2974</v>
      </c>
      <c r="F1197" s="18">
        <v>10.69</v>
      </c>
      <c r="G1197" s="18" t="s">
        <v>2154</v>
      </c>
      <c r="H1197" s="18" t="s">
        <v>2187</v>
      </c>
    </row>
    <row r="1198" spans="1:8">
      <c r="A1198" s="19" t="s">
        <v>839</v>
      </c>
      <c r="B1198" s="19" t="s">
        <v>3992</v>
      </c>
      <c r="C1198" s="19" t="s">
        <v>2396</v>
      </c>
      <c r="D1198" s="19" t="s">
        <v>3253</v>
      </c>
      <c r="E1198" s="19" t="s">
        <v>2294</v>
      </c>
      <c r="F1198" s="19">
        <v>10.19</v>
      </c>
      <c r="G1198" s="19" t="s">
        <v>2154</v>
      </c>
      <c r="H1198" s="19" t="s">
        <v>2171</v>
      </c>
    </row>
    <row r="1199" spans="1:8">
      <c r="A1199" s="18" t="s">
        <v>839</v>
      </c>
      <c r="B1199" s="18" t="s">
        <v>3993</v>
      </c>
      <c r="C1199" s="18" t="s">
        <v>2289</v>
      </c>
      <c r="D1199" s="18" t="s">
        <v>2304</v>
      </c>
      <c r="E1199" s="18" t="s">
        <v>2685</v>
      </c>
      <c r="F1199" s="18">
        <v>8.82</v>
      </c>
      <c r="G1199" s="18" t="s">
        <v>2154</v>
      </c>
      <c r="H1199" s="18" t="s">
        <v>2160</v>
      </c>
    </row>
    <row r="1200" spans="1:8">
      <c r="A1200" s="19" t="s">
        <v>839</v>
      </c>
      <c r="B1200" s="19" t="s">
        <v>3994</v>
      </c>
      <c r="C1200" s="19" t="s">
        <v>2293</v>
      </c>
      <c r="D1200" s="19" t="s">
        <v>2253</v>
      </c>
      <c r="E1200" s="19" t="s">
        <v>2670</v>
      </c>
      <c r="F1200" s="19">
        <v>8</v>
      </c>
      <c r="G1200" s="19" t="s">
        <v>2154</v>
      </c>
      <c r="H1200" s="19" t="s">
        <v>2171</v>
      </c>
    </row>
    <row r="1201" spans="1:8">
      <c r="A1201" s="18" t="s">
        <v>839</v>
      </c>
      <c r="B1201" s="18" t="s">
        <v>3995</v>
      </c>
      <c r="C1201" s="18" t="s">
        <v>2296</v>
      </c>
      <c r="D1201" s="18" t="s">
        <v>2314</v>
      </c>
      <c r="E1201" s="18" t="s">
        <v>2315</v>
      </c>
      <c r="F1201" s="18">
        <v>9.1300000000000008</v>
      </c>
      <c r="G1201" s="18" t="s">
        <v>2154</v>
      </c>
      <c r="H1201" s="18" t="s">
        <v>2187</v>
      </c>
    </row>
    <row r="1202" spans="1:8">
      <c r="A1202" s="19" t="s">
        <v>839</v>
      </c>
      <c r="B1202" s="19" t="s">
        <v>3996</v>
      </c>
      <c r="C1202" s="19" t="s">
        <v>2300</v>
      </c>
      <c r="D1202" s="19" t="s">
        <v>2348</v>
      </c>
      <c r="E1202" s="19" t="s">
        <v>2565</v>
      </c>
      <c r="F1202" s="19">
        <v>7.02</v>
      </c>
      <c r="G1202" s="19" t="s">
        <v>2154</v>
      </c>
      <c r="H1202" s="19" t="s">
        <v>2160</v>
      </c>
    </row>
    <row r="1203" spans="1:8">
      <c r="A1203" s="18" t="s">
        <v>839</v>
      </c>
      <c r="B1203" s="18" t="s">
        <v>3997</v>
      </c>
      <c r="C1203" s="18" t="s">
        <v>2144</v>
      </c>
      <c r="D1203" s="18" t="s">
        <v>2951</v>
      </c>
      <c r="E1203" s="18" t="s">
        <v>3900</v>
      </c>
      <c r="F1203" s="18">
        <v>7.57</v>
      </c>
      <c r="G1203" s="18" t="s">
        <v>2154</v>
      </c>
      <c r="H1203" s="18" t="s">
        <v>2155</v>
      </c>
    </row>
    <row r="1204" spans="1:8">
      <c r="A1204" s="19" t="s">
        <v>839</v>
      </c>
      <c r="B1204" s="19" t="s">
        <v>3998</v>
      </c>
      <c r="C1204" s="19" t="s">
        <v>2307</v>
      </c>
      <c r="D1204" s="19" t="s">
        <v>2337</v>
      </c>
      <c r="E1204" s="19" t="s">
        <v>2644</v>
      </c>
      <c r="F1204" s="19">
        <v>8.44</v>
      </c>
      <c r="G1204" s="19" t="s">
        <v>2154</v>
      </c>
      <c r="H1204" s="19" t="s">
        <v>2171</v>
      </c>
    </row>
    <row r="1205" spans="1:8">
      <c r="A1205" s="18" t="s">
        <v>839</v>
      </c>
      <c r="B1205" s="18" t="s">
        <v>3999</v>
      </c>
      <c r="C1205" s="18" t="s">
        <v>2311</v>
      </c>
      <c r="D1205" s="18" t="s">
        <v>2948</v>
      </c>
      <c r="E1205" s="18" t="s">
        <v>3137</v>
      </c>
      <c r="F1205" s="18">
        <v>7.84</v>
      </c>
      <c r="G1205" s="18" t="s">
        <v>2154</v>
      </c>
      <c r="H1205" s="18" t="s">
        <v>2155</v>
      </c>
    </row>
    <row r="1206" spans="1:8">
      <c r="A1206" s="19" t="s">
        <v>834</v>
      </c>
      <c r="B1206" s="19" t="s">
        <v>4000</v>
      </c>
      <c r="C1206" s="19" t="s">
        <v>2038</v>
      </c>
      <c r="D1206" s="19" t="s">
        <v>3180</v>
      </c>
      <c r="E1206" s="19" t="s">
        <v>3143</v>
      </c>
      <c r="F1206" s="19">
        <v>7.18</v>
      </c>
      <c r="G1206" s="19" t="s">
        <v>2154</v>
      </c>
      <c r="H1206" s="19" t="s">
        <v>2171</v>
      </c>
    </row>
    <row r="1207" spans="1:8">
      <c r="A1207" s="18" t="s">
        <v>834</v>
      </c>
      <c r="B1207" s="18" t="s">
        <v>4001</v>
      </c>
      <c r="C1207" s="18" t="s">
        <v>2157</v>
      </c>
      <c r="D1207" s="18" t="s">
        <v>2464</v>
      </c>
      <c r="E1207" s="18" t="s">
        <v>2826</v>
      </c>
      <c r="F1207" s="18">
        <v>8.0500000000000007</v>
      </c>
      <c r="G1207" s="18" t="s">
        <v>2154</v>
      </c>
      <c r="H1207" s="18" t="s">
        <v>2171</v>
      </c>
    </row>
    <row r="1208" spans="1:8">
      <c r="A1208" s="19" t="s">
        <v>834</v>
      </c>
      <c r="B1208" s="19" t="s">
        <v>4002</v>
      </c>
      <c r="C1208" s="19" t="s">
        <v>2162</v>
      </c>
      <c r="D1208" s="19" t="s">
        <v>2693</v>
      </c>
      <c r="E1208" s="19" t="s">
        <v>3555</v>
      </c>
      <c r="F1208" s="19">
        <v>9.52</v>
      </c>
      <c r="G1208" s="19" t="s">
        <v>2154</v>
      </c>
      <c r="H1208" s="19" t="s">
        <v>2187</v>
      </c>
    </row>
    <row r="1209" spans="1:8">
      <c r="A1209" s="18" t="s">
        <v>834</v>
      </c>
      <c r="B1209" s="18" t="s">
        <v>4003</v>
      </c>
      <c r="C1209" s="18" t="s">
        <v>1937</v>
      </c>
      <c r="D1209" s="18" t="s">
        <v>2174</v>
      </c>
      <c r="E1209" s="18" t="s">
        <v>2570</v>
      </c>
      <c r="F1209" s="18">
        <v>8.1300000000000008</v>
      </c>
      <c r="G1209" s="18" t="s">
        <v>2154</v>
      </c>
      <c r="H1209" s="18" t="s">
        <v>2155</v>
      </c>
    </row>
    <row r="1210" spans="1:8">
      <c r="A1210" s="19" t="s">
        <v>834</v>
      </c>
      <c r="B1210" s="19" t="s">
        <v>4004</v>
      </c>
      <c r="C1210" s="19" t="s">
        <v>2168</v>
      </c>
      <c r="D1210" s="19" t="s">
        <v>2397</v>
      </c>
      <c r="E1210" s="19" t="s">
        <v>2465</v>
      </c>
      <c r="F1210" s="19">
        <v>7.36</v>
      </c>
      <c r="G1210" s="19" t="s">
        <v>2154</v>
      </c>
      <c r="H1210" s="19" t="s">
        <v>2187</v>
      </c>
    </row>
    <row r="1211" spans="1:8">
      <c r="A1211" s="18" t="s">
        <v>834</v>
      </c>
      <c r="B1211" s="18" t="s">
        <v>4005</v>
      </c>
      <c r="C1211" s="18" t="s">
        <v>3517</v>
      </c>
      <c r="D1211" s="18" t="s">
        <v>2212</v>
      </c>
      <c r="E1211" s="18" t="s">
        <v>3302</v>
      </c>
      <c r="F1211" s="18">
        <v>11.33</v>
      </c>
      <c r="G1211" s="18" t="s">
        <v>2154</v>
      </c>
      <c r="H1211" s="18" t="s">
        <v>2187</v>
      </c>
    </row>
    <row r="1212" spans="1:8">
      <c r="A1212" s="19" t="s">
        <v>834</v>
      </c>
      <c r="B1212" s="19" t="s">
        <v>4006</v>
      </c>
      <c r="C1212" s="19" t="s">
        <v>2177</v>
      </c>
      <c r="D1212" s="19" t="s">
        <v>2729</v>
      </c>
      <c r="E1212" s="19" t="s">
        <v>4007</v>
      </c>
      <c r="F1212" s="19">
        <v>11.25</v>
      </c>
      <c r="G1212" s="19" t="s">
        <v>2154</v>
      </c>
      <c r="H1212" s="19" t="s">
        <v>2160</v>
      </c>
    </row>
    <row r="1213" spans="1:8">
      <c r="A1213" s="18" t="s">
        <v>834</v>
      </c>
      <c r="B1213" s="18" t="s">
        <v>4008</v>
      </c>
      <c r="C1213" s="18" t="s">
        <v>1945</v>
      </c>
      <c r="D1213" s="18" t="s">
        <v>2528</v>
      </c>
      <c r="E1213" s="18" t="s">
        <v>2911</v>
      </c>
      <c r="F1213" s="18">
        <v>10</v>
      </c>
      <c r="G1213" s="18" t="s">
        <v>2154</v>
      </c>
      <c r="H1213" s="18" t="s">
        <v>2187</v>
      </c>
    </row>
    <row r="1214" spans="1:8">
      <c r="A1214" s="19" t="s">
        <v>834</v>
      </c>
      <c r="B1214" s="19" t="s">
        <v>4009</v>
      </c>
      <c r="C1214" s="19" t="s">
        <v>2184</v>
      </c>
      <c r="D1214" s="19" t="s">
        <v>2274</v>
      </c>
      <c r="E1214" s="19" t="s">
        <v>2366</v>
      </c>
      <c r="F1214" s="19">
        <v>6.78</v>
      </c>
      <c r="G1214" s="19" t="s">
        <v>2154</v>
      </c>
      <c r="H1214" s="19" t="s">
        <v>2155</v>
      </c>
    </row>
    <row r="1215" spans="1:8">
      <c r="A1215" s="18" t="s">
        <v>834</v>
      </c>
      <c r="B1215" s="18" t="s">
        <v>4010</v>
      </c>
      <c r="C1215" s="18" t="s">
        <v>2189</v>
      </c>
      <c r="D1215" s="18" t="s">
        <v>2473</v>
      </c>
      <c r="E1215" s="18" t="s">
        <v>4011</v>
      </c>
      <c r="F1215" s="18">
        <v>10.59</v>
      </c>
      <c r="G1215" s="18" t="s">
        <v>2154</v>
      </c>
      <c r="H1215" s="18" t="s">
        <v>2187</v>
      </c>
    </row>
    <row r="1216" spans="1:8">
      <c r="A1216" s="19" t="s">
        <v>834</v>
      </c>
      <c r="B1216" s="19" t="s">
        <v>4012</v>
      </c>
      <c r="C1216" s="19" t="s">
        <v>2193</v>
      </c>
      <c r="D1216" s="19" t="s">
        <v>2966</v>
      </c>
      <c r="E1216" s="19" t="s">
        <v>2658</v>
      </c>
      <c r="F1216" s="19">
        <v>9.27</v>
      </c>
      <c r="G1216" s="19" t="s">
        <v>2154</v>
      </c>
      <c r="H1216" s="19" t="s">
        <v>2187</v>
      </c>
    </row>
    <row r="1217" spans="1:8">
      <c r="A1217" s="18" t="s">
        <v>834</v>
      </c>
      <c r="B1217" s="18" t="s">
        <v>4013</v>
      </c>
      <c r="C1217" s="18" t="s">
        <v>2197</v>
      </c>
      <c r="D1217" s="18" t="s">
        <v>2849</v>
      </c>
      <c r="E1217" s="18" t="s">
        <v>2907</v>
      </c>
      <c r="F1217" s="18">
        <v>11.11</v>
      </c>
      <c r="G1217" s="18" t="s">
        <v>2154</v>
      </c>
      <c r="H1217" s="18" t="s">
        <v>2171</v>
      </c>
    </row>
    <row r="1218" spans="1:8">
      <c r="A1218" s="19" t="s">
        <v>834</v>
      </c>
      <c r="B1218" s="19" t="s">
        <v>4014</v>
      </c>
      <c r="C1218" s="19" t="s">
        <v>1819</v>
      </c>
      <c r="D1218" s="19"/>
      <c r="E1218" s="19"/>
      <c r="F1218" s="19"/>
      <c r="G1218" s="19" t="s">
        <v>2220</v>
      </c>
      <c r="H1218" s="19" t="s">
        <v>2155</v>
      </c>
    </row>
    <row r="1219" spans="1:8">
      <c r="A1219" s="18" t="s">
        <v>834</v>
      </c>
      <c r="B1219" s="18" t="s">
        <v>4015</v>
      </c>
      <c r="C1219" s="18" t="s">
        <v>2204</v>
      </c>
      <c r="D1219" s="18" t="s">
        <v>3253</v>
      </c>
      <c r="E1219" s="18" t="s">
        <v>2228</v>
      </c>
      <c r="F1219" s="18">
        <v>8.44</v>
      </c>
      <c r="G1219" s="18" t="s">
        <v>2154</v>
      </c>
      <c r="H1219" s="18" t="s">
        <v>2160</v>
      </c>
    </row>
    <row r="1220" spans="1:8">
      <c r="A1220" s="19" t="s">
        <v>834</v>
      </c>
      <c r="B1220" s="19" t="s">
        <v>4016</v>
      </c>
      <c r="C1220" s="19" t="s">
        <v>1843</v>
      </c>
      <c r="D1220" s="19" t="s">
        <v>2835</v>
      </c>
      <c r="E1220" s="19" t="s">
        <v>2636</v>
      </c>
      <c r="F1220" s="19">
        <v>8.64</v>
      </c>
      <c r="G1220" s="19" t="s">
        <v>2154</v>
      </c>
      <c r="H1220" s="19" t="s">
        <v>2155</v>
      </c>
    </row>
    <row r="1221" spans="1:8">
      <c r="A1221" s="18" t="s">
        <v>834</v>
      </c>
      <c r="B1221" s="18" t="s">
        <v>4017</v>
      </c>
      <c r="C1221" s="18" t="s">
        <v>2211</v>
      </c>
      <c r="D1221" s="18" t="s">
        <v>2709</v>
      </c>
      <c r="E1221" s="18" t="s">
        <v>2749</v>
      </c>
      <c r="F1221" s="18">
        <v>10.37</v>
      </c>
      <c r="G1221" s="18" t="s">
        <v>2154</v>
      </c>
      <c r="H1221" s="18" t="s">
        <v>2171</v>
      </c>
    </row>
    <row r="1222" spans="1:8">
      <c r="A1222" s="19" t="s">
        <v>834</v>
      </c>
      <c r="B1222" s="19" t="s">
        <v>4018</v>
      </c>
      <c r="C1222" s="19" t="s">
        <v>2215</v>
      </c>
      <c r="D1222" s="19"/>
      <c r="E1222" s="19"/>
      <c r="F1222" s="19"/>
      <c r="G1222" s="19" t="s">
        <v>2220</v>
      </c>
      <c r="H1222" s="19" t="s">
        <v>2171</v>
      </c>
    </row>
    <row r="1223" spans="1:8">
      <c r="A1223" s="18" t="s">
        <v>834</v>
      </c>
      <c r="B1223" s="18" t="s">
        <v>4019</v>
      </c>
      <c r="C1223" s="18" t="s">
        <v>2219</v>
      </c>
      <c r="D1223" s="18"/>
      <c r="E1223" s="18"/>
      <c r="F1223" s="18"/>
      <c r="G1223" s="18" t="s">
        <v>2220</v>
      </c>
      <c r="H1223" s="18" t="s">
        <v>2187</v>
      </c>
    </row>
    <row r="1224" spans="1:8">
      <c r="A1224" s="19" t="s">
        <v>834</v>
      </c>
      <c r="B1224" s="19" t="s">
        <v>4020</v>
      </c>
      <c r="C1224" s="19" t="s">
        <v>2222</v>
      </c>
      <c r="D1224" s="19" t="s">
        <v>2761</v>
      </c>
      <c r="E1224" s="19" t="s">
        <v>3153</v>
      </c>
      <c r="F1224" s="19">
        <v>9.4499999999999993</v>
      </c>
      <c r="G1224" s="19" t="s">
        <v>2154</v>
      </c>
      <c r="H1224" s="19" t="s">
        <v>2187</v>
      </c>
    </row>
    <row r="1225" spans="1:8">
      <c r="A1225" s="18" t="s">
        <v>834</v>
      </c>
      <c r="B1225" s="18" t="s">
        <v>4021</v>
      </c>
      <c r="C1225" s="18" t="s">
        <v>2226</v>
      </c>
      <c r="D1225" s="18" t="s">
        <v>2541</v>
      </c>
      <c r="E1225" s="18" t="s">
        <v>3599</v>
      </c>
      <c r="F1225" s="18">
        <v>10.86</v>
      </c>
      <c r="G1225" s="18" t="s">
        <v>2154</v>
      </c>
      <c r="H1225" s="18" t="s">
        <v>2187</v>
      </c>
    </row>
    <row r="1226" spans="1:8">
      <c r="A1226" s="19" t="s">
        <v>834</v>
      </c>
      <c r="B1226" s="19" t="s">
        <v>4022</v>
      </c>
      <c r="C1226" s="19" t="s">
        <v>2230</v>
      </c>
      <c r="D1226" s="19" t="s">
        <v>2257</v>
      </c>
      <c r="E1226" s="19" t="s">
        <v>3396</v>
      </c>
      <c r="F1226" s="19">
        <v>10.06</v>
      </c>
      <c r="G1226" s="19" t="s">
        <v>2154</v>
      </c>
      <c r="H1226" s="19" t="s">
        <v>2187</v>
      </c>
    </row>
    <row r="1227" spans="1:8">
      <c r="A1227" s="18" t="s">
        <v>834</v>
      </c>
      <c r="B1227" s="18" t="s">
        <v>4023</v>
      </c>
      <c r="C1227" s="18" t="s">
        <v>2234</v>
      </c>
      <c r="D1227" s="18" t="s">
        <v>2640</v>
      </c>
      <c r="E1227" s="18" t="s">
        <v>2641</v>
      </c>
      <c r="F1227" s="18">
        <v>9.73</v>
      </c>
      <c r="G1227" s="18" t="s">
        <v>2154</v>
      </c>
      <c r="H1227" s="18" t="s">
        <v>2171</v>
      </c>
    </row>
    <row r="1228" spans="1:8">
      <c r="A1228" s="19" t="s">
        <v>834</v>
      </c>
      <c r="B1228" s="19" t="s">
        <v>4024</v>
      </c>
      <c r="C1228" s="19" t="s">
        <v>2238</v>
      </c>
      <c r="D1228" s="19" t="s">
        <v>2337</v>
      </c>
      <c r="E1228" s="19" t="s">
        <v>3149</v>
      </c>
      <c r="F1228" s="19">
        <v>9.86</v>
      </c>
      <c r="G1228" s="19" t="s">
        <v>2154</v>
      </c>
      <c r="H1228" s="19" t="s">
        <v>2187</v>
      </c>
    </row>
    <row r="1229" spans="1:8">
      <c r="A1229" s="18" t="s">
        <v>834</v>
      </c>
      <c r="B1229" s="18" t="s">
        <v>4025</v>
      </c>
      <c r="C1229" s="18" t="s">
        <v>2241</v>
      </c>
      <c r="D1229" s="18" t="s">
        <v>2278</v>
      </c>
      <c r="E1229" s="18" t="s">
        <v>3663</v>
      </c>
      <c r="F1229" s="18">
        <v>7.23</v>
      </c>
      <c r="G1229" s="18" t="s">
        <v>2154</v>
      </c>
      <c r="H1229" s="18" t="s">
        <v>2155</v>
      </c>
    </row>
    <row r="1230" spans="1:8">
      <c r="A1230" s="19" t="s">
        <v>834</v>
      </c>
      <c r="B1230" s="19" t="s">
        <v>4026</v>
      </c>
      <c r="C1230" s="19" t="s">
        <v>2245</v>
      </c>
      <c r="D1230" s="19" t="s">
        <v>2359</v>
      </c>
      <c r="E1230" s="19" t="s">
        <v>2740</v>
      </c>
      <c r="F1230" s="19">
        <v>7.12</v>
      </c>
      <c r="G1230" s="19" t="s">
        <v>2154</v>
      </c>
      <c r="H1230" s="19" t="s">
        <v>2171</v>
      </c>
    </row>
    <row r="1231" spans="1:8">
      <c r="A1231" s="18" t="s">
        <v>834</v>
      </c>
      <c r="B1231" s="18" t="s">
        <v>4027</v>
      </c>
      <c r="C1231" s="18" t="s">
        <v>4028</v>
      </c>
      <c r="D1231" s="18" t="s">
        <v>2557</v>
      </c>
      <c r="E1231" s="18" t="s">
        <v>3218</v>
      </c>
      <c r="F1231" s="18">
        <v>9.2200000000000006</v>
      </c>
      <c r="G1231" s="18" t="s">
        <v>2154</v>
      </c>
      <c r="H1231" s="18" t="s">
        <v>2187</v>
      </c>
    </row>
    <row r="1232" spans="1:8">
      <c r="A1232" s="19" t="s">
        <v>834</v>
      </c>
      <c r="B1232" s="19" t="s">
        <v>4029</v>
      </c>
      <c r="C1232" s="19" t="s">
        <v>2252</v>
      </c>
      <c r="D1232" s="19"/>
      <c r="E1232" s="19"/>
      <c r="F1232" s="19"/>
      <c r="G1232" s="19" t="s">
        <v>2163</v>
      </c>
      <c r="H1232" s="19" t="s">
        <v>2155</v>
      </c>
    </row>
    <row r="1233" spans="1:8">
      <c r="A1233" s="18" t="s">
        <v>834</v>
      </c>
      <c r="B1233" s="18" t="s">
        <v>4030</v>
      </c>
      <c r="C1233" s="18" t="s">
        <v>2376</v>
      </c>
      <c r="D1233" s="18" t="s">
        <v>2169</v>
      </c>
      <c r="E1233" s="18" t="s">
        <v>2170</v>
      </c>
      <c r="F1233" s="18">
        <v>10.67</v>
      </c>
      <c r="G1233" s="18" t="s">
        <v>2154</v>
      </c>
      <c r="H1233" s="18" t="s">
        <v>2171</v>
      </c>
    </row>
    <row r="1234" spans="1:8">
      <c r="A1234" s="19" t="s">
        <v>834</v>
      </c>
      <c r="B1234" s="19" t="s">
        <v>4031</v>
      </c>
      <c r="C1234" s="19" t="s">
        <v>2260</v>
      </c>
      <c r="D1234" s="19" t="s">
        <v>2877</v>
      </c>
      <c r="E1234" s="19" t="s">
        <v>2678</v>
      </c>
      <c r="F1234" s="19">
        <v>8.66</v>
      </c>
      <c r="G1234" s="19" t="s">
        <v>2154</v>
      </c>
      <c r="H1234" s="19" t="s">
        <v>2171</v>
      </c>
    </row>
    <row r="1235" spans="1:8">
      <c r="A1235" s="18" t="s">
        <v>834</v>
      </c>
      <c r="B1235" s="18" t="s">
        <v>4032</v>
      </c>
      <c r="C1235" s="18" t="s">
        <v>2264</v>
      </c>
      <c r="D1235" s="18" t="s">
        <v>2323</v>
      </c>
      <c r="E1235" s="18" t="s">
        <v>2324</v>
      </c>
      <c r="F1235" s="18">
        <v>6.69</v>
      </c>
      <c r="G1235" s="18" t="s">
        <v>2154</v>
      </c>
      <c r="H1235" s="18" t="s">
        <v>2171</v>
      </c>
    </row>
    <row r="1236" spans="1:8">
      <c r="A1236" s="19" t="s">
        <v>834</v>
      </c>
      <c r="B1236" s="19" t="s">
        <v>4033</v>
      </c>
      <c r="C1236" s="19" t="s">
        <v>1948</v>
      </c>
      <c r="D1236" s="19" t="s">
        <v>2443</v>
      </c>
      <c r="E1236" s="19" t="s">
        <v>4034</v>
      </c>
      <c r="F1236" s="19">
        <v>11.09</v>
      </c>
      <c r="G1236" s="19" t="s">
        <v>2154</v>
      </c>
      <c r="H1236" s="19" t="s">
        <v>2171</v>
      </c>
    </row>
    <row r="1237" spans="1:8">
      <c r="A1237" s="18" t="s">
        <v>834</v>
      </c>
      <c r="B1237" s="18" t="s">
        <v>4035</v>
      </c>
      <c r="C1237" s="18" t="s">
        <v>2269</v>
      </c>
      <c r="D1237" s="18" t="s">
        <v>3077</v>
      </c>
      <c r="E1237" s="18" t="s">
        <v>4036</v>
      </c>
      <c r="F1237" s="18">
        <v>6.84</v>
      </c>
      <c r="G1237" s="18" t="s">
        <v>2154</v>
      </c>
      <c r="H1237" s="18" t="s">
        <v>2171</v>
      </c>
    </row>
    <row r="1238" spans="1:8">
      <c r="A1238" s="19" t="s">
        <v>834</v>
      </c>
      <c r="B1238" s="19" t="s">
        <v>4037</v>
      </c>
      <c r="C1238" s="19" t="s">
        <v>2273</v>
      </c>
      <c r="D1238" s="19" t="s">
        <v>2624</v>
      </c>
      <c r="E1238" s="19" t="s">
        <v>2489</v>
      </c>
      <c r="F1238" s="19">
        <v>10.9</v>
      </c>
      <c r="G1238" s="19" t="s">
        <v>2154</v>
      </c>
      <c r="H1238" s="19" t="s">
        <v>2187</v>
      </c>
    </row>
    <row r="1239" spans="1:8">
      <c r="A1239" s="18" t="s">
        <v>834</v>
      </c>
      <c r="B1239" s="18" t="s">
        <v>4038</v>
      </c>
      <c r="C1239" s="18" t="s">
        <v>2277</v>
      </c>
      <c r="D1239" s="18" t="s">
        <v>2783</v>
      </c>
      <c r="E1239" s="18" t="s">
        <v>2315</v>
      </c>
      <c r="F1239" s="18">
        <v>8.57</v>
      </c>
      <c r="G1239" s="18" t="s">
        <v>2154</v>
      </c>
      <c r="H1239" s="18" t="s">
        <v>2155</v>
      </c>
    </row>
    <row r="1240" spans="1:8">
      <c r="A1240" s="19" t="s">
        <v>834</v>
      </c>
      <c r="B1240" s="19" t="s">
        <v>4039</v>
      </c>
      <c r="C1240" s="19" t="s">
        <v>2281</v>
      </c>
      <c r="D1240" s="19" t="s">
        <v>2323</v>
      </c>
      <c r="E1240" s="19" t="s">
        <v>2404</v>
      </c>
      <c r="F1240" s="19">
        <v>8.8800000000000008</v>
      </c>
      <c r="G1240" s="19" t="s">
        <v>2154</v>
      </c>
      <c r="H1240" s="19" t="s">
        <v>2171</v>
      </c>
    </row>
    <row r="1241" spans="1:8">
      <c r="A1241" s="18" t="s">
        <v>834</v>
      </c>
      <c r="B1241" s="18" t="s">
        <v>4040</v>
      </c>
      <c r="C1241" s="18" t="s">
        <v>2396</v>
      </c>
      <c r="D1241" s="18" t="s">
        <v>2548</v>
      </c>
      <c r="E1241" s="18" t="s">
        <v>2810</v>
      </c>
      <c r="F1241" s="18">
        <v>9.49</v>
      </c>
      <c r="G1241" s="18" t="s">
        <v>2154</v>
      </c>
      <c r="H1241" s="18" t="s">
        <v>2160</v>
      </c>
    </row>
    <row r="1242" spans="1:8">
      <c r="A1242" s="19" t="s">
        <v>834</v>
      </c>
      <c r="B1242" s="19" t="s">
        <v>4041</v>
      </c>
      <c r="C1242" s="19" t="s">
        <v>2289</v>
      </c>
      <c r="D1242" s="19" t="s">
        <v>2703</v>
      </c>
      <c r="E1242" s="19" t="s">
        <v>2704</v>
      </c>
      <c r="F1242" s="19">
        <v>7</v>
      </c>
      <c r="G1242" s="19" t="s">
        <v>2154</v>
      </c>
      <c r="H1242" s="19" t="s">
        <v>2160</v>
      </c>
    </row>
    <row r="1243" spans="1:8">
      <c r="A1243" s="18" t="s">
        <v>834</v>
      </c>
      <c r="B1243" s="18" t="s">
        <v>4042</v>
      </c>
      <c r="C1243" s="18" t="s">
        <v>2293</v>
      </c>
      <c r="D1243" s="18" t="s">
        <v>3123</v>
      </c>
      <c r="E1243" s="18" t="s">
        <v>2745</v>
      </c>
      <c r="F1243" s="18">
        <v>9.1999999999999993</v>
      </c>
      <c r="G1243" s="18" t="s">
        <v>2154</v>
      </c>
      <c r="H1243" s="18" t="s">
        <v>2171</v>
      </c>
    </row>
    <row r="1244" spans="1:8">
      <c r="A1244" s="19" t="s">
        <v>834</v>
      </c>
      <c r="B1244" s="19" t="s">
        <v>4043</v>
      </c>
      <c r="C1244" s="19" t="s">
        <v>2296</v>
      </c>
      <c r="D1244" s="19" t="s">
        <v>2709</v>
      </c>
      <c r="E1244" s="19" t="s">
        <v>2587</v>
      </c>
      <c r="F1244" s="19">
        <v>7.79</v>
      </c>
      <c r="G1244" s="19" t="s">
        <v>2154</v>
      </c>
      <c r="H1244" s="19" t="s">
        <v>2187</v>
      </c>
    </row>
    <row r="1245" spans="1:8">
      <c r="A1245" s="18" t="s">
        <v>834</v>
      </c>
      <c r="B1245" s="18" t="s">
        <v>4044</v>
      </c>
      <c r="C1245" s="18" t="s">
        <v>2300</v>
      </c>
      <c r="D1245" s="18" t="s">
        <v>2877</v>
      </c>
      <c r="E1245" s="18" t="s">
        <v>3191</v>
      </c>
      <c r="F1245" s="18">
        <v>10.46</v>
      </c>
      <c r="G1245" s="18" t="s">
        <v>2154</v>
      </c>
      <c r="H1245" s="18" t="s">
        <v>2155</v>
      </c>
    </row>
    <row r="1246" spans="1:8">
      <c r="A1246" s="19" t="s">
        <v>834</v>
      </c>
      <c r="B1246" s="19" t="s">
        <v>4045</v>
      </c>
      <c r="C1246" s="19" t="s">
        <v>2144</v>
      </c>
      <c r="D1246" s="19" t="s">
        <v>2877</v>
      </c>
      <c r="E1246" s="19" t="s">
        <v>2579</v>
      </c>
      <c r="F1246" s="19">
        <v>7.32</v>
      </c>
      <c r="G1246" s="19" t="s">
        <v>2154</v>
      </c>
      <c r="H1246" s="19" t="s">
        <v>2160</v>
      </c>
    </row>
    <row r="1247" spans="1:8">
      <c r="A1247" s="18" t="s">
        <v>834</v>
      </c>
      <c r="B1247" s="18" t="s">
        <v>4046</v>
      </c>
      <c r="C1247" s="18" t="s">
        <v>2307</v>
      </c>
      <c r="D1247" s="18" t="s">
        <v>2345</v>
      </c>
      <c r="E1247" s="18" t="s">
        <v>3577</v>
      </c>
      <c r="F1247" s="18">
        <v>11.26</v>
      </c>
      <c r="G1247" s="18" t="s">
        <v>2154</v>
      </c>
      <c r="H1247" s="18" t="s">
        <v>2155</v>
      </c>
    </row>
    <row r="1248" spans="1:8">
      <c r="A1248" s="19" t="s">
        <v>834</v>
      </c>
      <c r="B1248" s="19" t="s">
        <v>4047</v>
      </c>
      <c r="C1248" s="19" t="s">
        <v>2311</v>
      </c>
      <c r="D1248" s="19" t="s">
        <v>2419</v>
      </c>
      <c r="E1248" s="19" t="s">
        <v>3067</v>
      </c>
      <c r="F1248" s="19">
        <v>6.62</v>
      </c>
      <c r="G1248" s="19" t="s">
        <v>2154</v>
      </c>
      <c r="H1248" s="19" t="s">
        <v>2187</v>
      </c>
    </row>
    <row r="1249" spans="1:8">
      <c r="A1249" s="18" t="s">
        <v>735</v>
      </c>
      <c r="B1249" s="18" t="s">
        <v>4048</v>
      </c>
      <c r="C1249" s="18" t="s">
        <v>2038</v>
      </c>
      <c r="D1249" s="18" t="s">
        <v>2789</v>
      </c>
      <c r="E1249" s="18" t="s">
        <v>2474</v>
      </c>
      <c r="F1249" s="18">
        <v>9.1300000000000008</v>
      </c>
      <c r="G1249" s="18" t="s">
        <v>2154</v>
      </c>
      <c r="H1249" s="18" t="s">
        <v>2171</v>
      </c>
    </row>
    <row r="1250" spans="1:8">
      <c r="A1250" s="19" t="s">
        <v>735</v>
      </c>
      <c r="B1250" s="19" t="s">
        <v>4049</v>
      </c>
      <c r="C1250" s="19" t="s">
        <v>2856</v>
      </c>
      <c r="D1250" s="19" t="s">
        <v>2227</v>
      </c>
      <c r="E1250" s="19" t="s">
        <v>2228</v>
      </c>
      <c r="F1250" s="19">
        <v>7.99</v>
      </c>
      <c r="G1250" s="19" t="s">
        <v>2154</v>
      </c>
      <c r="H1250" s="19" t="s">
        <v>2187</v>
      </c>
    </row>
    <row r="1251" spans="1:8">
      <c r="A1251" s="18" t="s">
        <v>735</v>
      </c>
      <c r="B1251" s="18" t="s">
        <v>4050</v>
      </c>
      <c r="C1251" s="18" t="s">
        <v>2162</v>
      </c>
      <c r="D1251" s="18" t="s">
        <v>2452</v>
      </c>
      <c r="E1251" s="18" t="s">
        <v>2636</v>
      </c>
      <c r="F1251" s="18">
        <v>10.58</v>
      </c>
      <c r="G1251" s="18" t="s">
        <v>2154</v>
      </c>
      <c r="H1251" s="18" t="s">
        <v>2160</v>
      </c>
    </row>
    <row r="1252" spans="1:8">
      <c r="A1252" s="19" t="s">
        <v>735</v>
      </c>
      <c r="B1252" s="19" t="s">
        <v>4051</v>
      </c>
      <c r="C1252" s="19" t="s">
        <v>1937</v>
      </c>
      <c r="D1252" s="19" t="s">
        <v>2181</v>
      </c>
      <c r="E1252" s="19" t="s">
        <v>2312</v>
      </c>
      <c r="F1252" s="19">
        <v>10.32</v>
      </c>
      <c r="G1252" s="19" t="s">
        <v>2154</v>
      </c>
      <c r="H1252" s="19" t="s">
        <v>2171</v>
      </c>
    </row>
    <row r="1253" spans="1:8">
      <c r="A1253" s="18" t="s">
        <v>735</v>
      </c>
      <c r="B1253" s="18" t="s">
        <v>4052</v>
      </c>
      <c r="C1253" s="18" t="s">
        <v>2168</v>
      </c>
      <c r="D1253" s="18" t="s">
        <v>2365</v>
      </c>
      <c r="E1253" s="18" t="s">
        <v>2366</v>
      </c>
      <c r="F1253" s="18">
        <v>7.38</v>
      </c>
      <c r="G1253" s="18" t="s">
        <v>2154</v>
      </c>
      <c r="H1253" s="18" t="s">
        <v>2155</v>
      </c>
    </row>
    <row r="1254" spans="1:8">
      <c r="A1254" s="19" t="s">
        <v>735</v>
      </c>
      <c r="B1254" s="19" t="s">
        <v>4053</v>
      </c>
      <c r="C1254" s="19" t="s">
        <v>2173</v>
      </c>
      <c r="D1254" s="19" t="s">
        <v>2589</v>
      </c>
      <c r="E1254" s="19" t="s">
        <v>2601</v>
      </c>
      <c r="F1254" s="19">
        <v>8.2899999999999991</v>
      </c>
      <c r="G1254" s="19" t="s">
        <v>2154</v>
      </c>
      <c r="H1254" s="19" t="s">
        <v>2155</v>
      </c>
    </row>
    <row r="1255" spans="1:8">
      <c r="A1255" s="18" t="s">
        <v>735</v>
      </c>
      <c r="B1255" s="18" t="s">
        <v>4054</v>
      </c>
      <c r="C1255" s="18" t="s">
        <v>2177</v>
      </c>
      <c r="D1255" s="18" t="s">
        <v>2282</v>
      </c>
      <c r="E1255" s="18" t="s">
        <v>2279</v>
      </c>
      <c r="F1255" s="18">
        <v>7.31</v>
      </c>
      <c r="G1255" s="18" t="s">
        <v>2154</v>
      </c>
      <c r="H1255" s="18" t="s">
        <v>2187</v>
      </c>
    </row>
    <row r="1256" spans="1:8">
      <c r="A1256" s="19" t="s">
        <v>735</v>
      </c>
      <c r="B1256" s="19" t="s">
        <v>4055</v>
      </c>
      <c r="C1256" s="19" t="s">
        <v>1945</v>
      </c>
      <c r="D1256" s="19" t="s">
        <v>2393</v>
      </c>
      <c r="E1256" s="19" t="s">
        <v>3101</v>
      </c>
      <c r="F1256" s="19">
        <v>7.71</v>
      </c>
      <c r="G1256" s="19" t="s">
        <v>2154</v>
      </c>
      <c r="H1256" s="19" t="s">
        <v>2160</v>
      </c>
    </row>
    <row r="1257" spans="1:8">
      <c r="A1257" s="18" t="s">
        <v>735</v>
      </c>
      <c r="B1257" s="18" t="s">
        <v>4056</v>
      </c>
      <c r="C1257" s="18" t="s">
        <v>2184</v>
      </c>
      <c r="D1257" s="18" t="s">
        <v>2521</v>
      </c>
      <c r="E1257" s="18" t="s">
        <v>3696</v>
      </c>
      <c r="F1257" s="18">
        <v>7.92</v>
      </c>
      <c r="G1257" s="18" t="s">
        <v>2154</v>
      </c>
      <c r="H1257" s="18" t="s">
        <v>2187</v>
      </c>
    </row>
    <row r="1258" spans="1:8">
      <c r="A1258" s="19" t="s">
        <v>735</v>
      </c>
      <c r="B1258" s="19" t="s">
        <v>4057</v>
      </c>
      <c r="C1258" s="19" t="s">
        <v>2189</v>
      </c>
      <c r="D1258" s="19" t="s">
        <v>3253</v>
      </c>
      <c r="E1258" s="19" t="s">
        <v>2294</v>
      </c>
      <c r="F1258" s="19">
        <v>10.24</v>
      </c>
      <c r="G1258" s="19" t="s">
        <v>2154</v>
      </c>
      <c r="H1258" s="19" t="s">
        <v>2171</v>
      </c>
    </row>
    <row r="1259" spans="1:8">
      <c r="A1259" s="18" t="s">
        <v>735</v>
      </c>
      <c r="B1259" s="18" t="s">
        <v>4058</v>
      </c>
      <c r="C1259" s="18" t="s">
        <v>2193</v>
      </c>
      <c r="D1259" s="18" t="s">
        <v>2331</v>
      </c>
      <c r="E1259" s="18" t="s">
        <v>2332</v>
      </c>
      <c r="F1259" s="18">
        <v>9.51</v>
      </c>
      <c r="G1259" s="18" t="s">
        <v>2154</v>
      </c>
      <c r="H1259" s="18" t="s">
        <v>2155</v>
      </c>
    </row>
    <row r="1260" spans="1:8">
      <c r="A1260" s="19" t="s">
        <v>735</v>
      </c>
      <c r="B1260" s="19" t="s">
        <v>4059</v>
      </c>
      <c r="C1260" s="19" t="s">
        <v>2197</v>
      </c>
      <c r="D1260" s="19" t="s">
        <v>2592</v>
      </c>
      <c r="E1260" s="19" t="s">
        <v>2895</v>
      </c>
      <c r="F1260" s="19">
        <v>7.44</v>
      </c>
      <c r="G1260" s="19" t="s">
        <v>2154</v>
      </c>
      <c r="H1260" s="19" t="s">
        <v>2155</v>
      </c>
    </row>
    <row r="1261" spans="1:8">
      <c r="A1261" s="18" t="s">
        <v>735</v>
      </c>
      <c r="B1261" s="18" t="s">
        <v>4060</v>
      </c>
      <c r="C1261" s="18" t="s">
        <v>1819</v>
      </c>
      <c r="D1261" s="18" t="s">
        <v>2606</v>
      </c>
      <c r="E1261" s="18" t="s">
        <v>2670</v>
      </c>
      <c r="F1261" s="18">
        <v>9.98</v>
      </c>
      <c r="G1261" s="18" t="s">
        <v>2154</v>
      </c>
      <c r="H1261" s="18" t="s">
        <v>2160</v>
      </c>
    </row>
    <row r="1262" spans="1:8">
      <c r="A1262" s="19" t="s">
        <v>735</v>
      </c>
      <c r="B1262" s="19" t="s">
        <v>4061</v>
      </c>
      <c r="C1262" s="19" t="s">
        <v>2204</v>
      </c>
      <c r="D1262" s="19" t="s">
        <v>2337</v>
      </c>
      <c r="E1262" s="19" t="s">
        <v>3149</v>
      </c>
      <c r="F1262" s="19">
        <v>9.48</v>
      </c>
      <c r="G1262" s="19" t="s">
        <v>2154</v>
      </c>
      <c r="H1262" s="19" t="s">
        <v>2160</v>
      </c>
    </row>
    <row r="1263" spans="1:8">
      <c r="A1263" s="18" t="s">
        <v>735</v>
      </c>
      <c r="B1263" s="18" t="s">
        <v>4062</v>
      </c>
      <c r="C1263" s="18" t="s">
        <v>1843</v>
      </c>
      <c r="D1263" s="18" t="s">
        <v>2282</v>
      </c>
      <c r="E1263" s="18" t="s">
        <v>3663</v>
      </c>
      <c r="F1263" s="18">
        <v>8.26</v>
      </c>
      <c r="G1263" s="18" t="s">
        <v>2154</v>
      </c>
      <c r="H1263" s="18" t="s">
        <v>2187</v>
      </c>
    </row>
    <row r="1264" spans="1:8">
      <c r="A1264" s="19" t="s">
        <v>735</v>
      </c>
      <c r="B1264" s="19" t="s">
        <v>4063</v>
      </c>
      <c r="C1264" s="19" t="s">
        <v>2211</v>
      </c>
      <c r="D1264" s="19" t="s">
        <v>2948</v>
      </c>
      <c r="E1264" s="19" t="s">
        <v>3696</v>
      </c>
      <c r="F1264" s="19">
        <v>6.78</v>
      </c>
      <c r="G1264" s="19" t="s">
        <v>2154</v>
      </c>
      <c r="H1264" s="19" t="s">
        <v>2171</v>
      </c>
    </row>
    <row r="1265" spans="1:8">
      <c r="A1265" s="18" t="s">
        <v>735</v>
      </c>
      <c r="B1265" s="18" t="s">
        <v>4064</v>
      </c>
      <c r="C1265" s="18" t="s">
        <v>2215</v>
      </c>
      <c r="D1265" s="18" t="s">
        <v>2426</v>
      </c>
      <c r="E1265" s="18" t="s">
        <v>2170</v>
      </c>
      <c r="F1265" s="18">
        <v>11.08</v>
      </c>
      <c r="G1265" s="18" t="s">
        <v>2154</v>
      </c>
      <c r="H1265" s="18" t="s">
        <v>2160</v>
      </c>
    </row>
    <row r="1266" spans="1:8">
      <c r="A1266" s="19" t="s">
        <v>735</v>
      </c>
      <c r="B1266" s="19" t="s">
        <v>4065</v>
      </c>
      <c r="C1266" s="19" t="s">
        <v>2219</v>
      </c>
      <c r="D1266" s="19" t="s">
        <v>2201</v>
      </c>
      <c r="E1266" s="19" t="s">
        <v>4066</v>
      </c>
      <c r="F1266" s="19">
        <v>7.78</v>
      </c>
      <c r="G1266" s="19" t="s">
        <v>2154</v>
      </c>
      <c r="H1266" s="19" t="s">
        <v>2160</v>
      </c>
    </row>
    <row r="1267" spans="1:8">
      <c r="A1267" s="18" t="s">
        <v>735</v>
      </c>
      <c r="B1267" s="18" t="s">
        <v>4067</v>
      </c>
      <c r="C1267" s="18" t="s">
        <v>2222</v>
      </c>
      <c r="D1267" s="18" t="s">
        <v>2212</v>
      </c>
      <c r="E1267" s="18" t="s">
        <v>2213</v>
      </c>
      <c r="F1267" s="18">
        <v>10.34</v>
      </c>
      <c r="G1267" s="18" t="s">
        <v>2154</v>
      </c>
      <c r="H1267" s="18" t="s">
        <v>2187</v>
      </c>
    </row>
    <row r="1268" spans="1:8">
      <c r="A1268" s="19" t="s">
        <v>735</v>
      </c>
      <c r="B1268" s="19" t="s">
        <v>4068</v>
      </c>
      <c r="C1268" s="19" t="s">
        <v>2226</v>
      </c>
      <c r="D1268" s="19" t="s">
        <v>2600</v>
      </c>
      <c r="E1268" s="19" t="s">
        <v>2934</v>
      </c>
      <c r="F1268" s="19">
        <v>7.28</v>
      </c>
      <c r="G1268" s="19" t="s">
        <v>2154</v>
      </c>
      <c r="H1268" s="19" t="s">
        <v>2160</v>
      </c>
    </row>
    <row r="1269" spans="1:8">
      <c r="A1269" s="18" t="s">
        <v>735</v>
      </c>
      <c r="B1269" s="18" t="s">
        <v>4069</v>
      </c>
      <c r="C1269" s="18" t="s">
        <v>2230</v>
      </c>
      <c r="D1269" s="18" t="s">
        <v>2362</v>
      </c>
      <c r="E1269" s="18" t="s">
        <v>2366</v>
      </c>
      <c r="F1269" s="18">
        <v>8.76</v>
      </c>
      <c r="G1269" s="18" t="s">
        <v>2154</v>
      </c>
      <c r="H1269" s="18" t="s">
        <v>2187</v>
      </c>
    </row>
    <row r="1270" spans="1:8">
      <c r="A1270" s="19" t="s">
        <v>735</v>
      </c>
      <c r="B1270" s="19" t="s">
        <v>4070</v>
      </c>
      <c r="C1270" s="19" t="s">
        <v>2234</v>
      </c>
      <c r="D1270" s="19" t="s">
        <v>2979</v>
      </c>
      <c r="E1270" s="19" t="s">
        <v>3663</v>
      </c>
      <c r="F1270" s="19">
        <v>6.61</v>
      </c>
      <c r="G1270" s="19" t="s">
        <v>2154</v>
      </c>
      <c r="H1270" s="19" t="s">
        <v>2187</v>
      </c>
    </row>
    <row r="1271" spans="1:8">
      <c r="A1271" s="18" t="s">
        <v>735</v>
      </c>
      <c r="B1271" s="18" t="s">
        <v>4071</v>
      </c>
      <c r="C1271" s="18" t="s">
        <v>2238</v>
      </c>
      <c r="D1271" s="18" t="s">
        <v>2185</v>
      </c>
      <c r="E1271" s="18" t="s">
        <v>2843</v>
      </c>
      <c r="F1271" s="18">
        <v>8.89</v>
      </c>
      <c r="G1271" s="18" t="s">
        <v>2154</v>
      </c>
      <c r="H1271" s="18" t="s">
        <v>2155</v>
      </c>
    </row>
    <row r="1272" spans="1:8">
      <c r="A1272" s="19" t="s">
        <v>735</v>
      </c>
      <c r="B1272" s="19" t="s">
        <v>4072</v>
      </c>
      <c r="C1272" s="19" t="s">
        <v>2241</v>
      </c>
      <c r="D1272" s="19" t="s">
        <v>3100</v>
      </c>
      <c r="E1272" s="19" t="s">
        <v>4073</v>
      </c>
      <c r="F1272" s="19">
        <v>6.52</v>
      </c>
      <c r="G1272" s="19" t="s">
        <v>2154</v>
      </c>
      <c r="H1272" s="19" t="s">
        <v>2187</v>
      </c>
    </row>
    <row r="1273" spans="1:8">
      <c r="A1273" s="18" t="s">
        <v>735</v>
      </c>
      <c r="B1273" s="18" t="s">
        <v>4074</v>
      </c>
      <c r="C1273" s="18" t="s">
        <v>2245</v>
      </c>
      <c r="D1273" s="18" t="s">
        <v>2835</v>
      </c>
      <c r="E1273" s="18" t="s">
        <v>3169</v>
      </c>
      <c r="F1273" s="18">
        <v>9.5399999999999991</v>
      </c>
      <c r="G1273" s="18" t="s">
        <v>2154</v>
      </c>
      <c r="H1273" s="18" t="s">
        <v>2187</v>
      </c>
    </row>
    <row r="1274" spans="1:8">
      <c r="A1274" s="19" t="s">
        <v>735</v>
      </c>
      <c r="B1274" s="19" t="s">
        <v>4075</v>
      </c>
      <c r="C1274" s="19" t="s">
        <v>2249</v>
      </c>
      <c r="D1274" s="19" t="s">
        <v>2174</v>
      </c>
      <c r="E1274" s="19" t="s">
        <v>2357</v>
      </c>
      <c r="F1274" s="19">
        <v>11.08</v>
      </c>
      <c r="G1274" s="19" t="s">
        <v>2154</v>
      </c>
      <c r="H1274" s="19" t="s">
        <v>2155</v>
      </c>
    </row>
    <row r="1275" spans="1:8">
      <c r="A1275" s="18" t="s">
        <v>735</v>
      </c>
      <c r="B1275" s="18" t="s">
        <v>4076</v>
      </c>
      <c r="C1275" s="18" t="s">
        <v>2252</v>
      </c>
      <c r="D1275" s="18" t="s">
        <v>2340</v>
      </c>
      <c r="E1275" s="18" t="s">
        <v>2429</v>
      </c>
      <c r="F1275" s="18">
        <v>8.3800000000000008</v>
      </c>
      <c r="G1275" s="18" t="s">
        <v>2154</v>
      </c>
      <c r="H1275" s="18" t="s">
        <v>2160</v>
      </c>
    </row>
    <row r="1276" spans="1:8">
      <c r="A1276" s="19" t="s">
        <v>735</v>
      </c>
      <c r="B1276" s="19" t="s">
        <v>4077</v>
      </c>
      <c r="C1276" s="19" t="s">
        <v>2376</v>
      </c>
      <c r="D1276" s="19" t="s">
        <v>2452</v>
      </c>
      <c r="E1276" s="19" t="s">
        <v>2636</v>
      </c>
      <c r="F1276" s="19">
        <v>10.31</v>
      </c>
      <c r="G1276" s="19" t="s">
        <v>2154</v>
      </c>
      <c r="H1276" s="19" t="s">
        <v>2160</v>
      </c>
    </row>
    <row r="1277" spans="1:8">
      <c r="A1277" s="18" t="s">
        <v>735</v>
      </c>
      <c r="B1277" s="18" t="s">
        <v>4078</v>
      </c>
      <c r="C1277" s="18" t="s">
        <v>2260</v>
      </c>
      <c r="D1277" s="18" t="s">
        <v>2266</v>
      </c>
      <c r="E1277" s="18" t="s">
        <v>4079</v>
      </c>
      <c r="F1277" s="18">
        <v>11.36</v>
      </c>
      <c r="G1277" s="18" t="s">
        <v>2154</v>
      </c>
      <c r="H1277" s="18" t="s">
        <v>2171</v>
      </c>
    </row>
    <row r="1278" spans="1:8">
      <c r="A1278" s="19" t="s">
        <v>735</v>
      </c>
      <c r="B1278" s="19" t="s">
        <v>4080</v>
      </c>
      <c r="C1278" s="19" t="s">
        <v>2264</v>
      </c>
      <c r="D1278" s="19" t="s">
        <v>2169</v>
      </c>
      <c r="E1278" s="19" t="s">
        <v>2329</v>
      </c>
      <c r="F1278" s="19">
        <v>9.67</v>
      </c>
      <c r="G1278" s="19" t="s">
        <v>2154</v>
      </c>
      <c r="H1278" s="19" t="s">
        <v>2160</v>
      </c>
    </row>
    <row r="1279" spans="1:8">
      <c r="A1279" s="18" t="s">
        <v>735</v>
      </c>
      <c r="B1279" s="18" t="s">
        <v>4081</v>
      </c>
      <c r="C1279" s="18" t="s">
        <v>1948</v>
      </c>
      <c r="D1279" s="18" t="s">
        <v>2801</v>
      </c>
      <c r="E1279" s="18" t="s">
        <v>2539</v>
      </c>
      <c r="F1279" s="18">
        <v>10.25</v>
      </c>
      <c r="G1279" s="18" t="s">
        <v>2154</v>
      </c>
      <c r="H1279" s="18" t="s">
        <v>2160</v>
      </c>
    </row>
    <row r="1280" spans="1:8">
      <c r="A1280" s="19" t="s">
        <v>735</v>
      </c>
      <c r="B1280" s="19" t="s">
        <v>4082</v>
      </c>
      <c r="C1280" s="19" t="s">
        <v>2269</v>
      </c>
      <c r="D1280" s="19" t="s">
        <v>2830</v>
      </c>
      <c r="E1280" s="19" t="s">
        <v>2831</v>
      </c>
      <c r="F1280" s="19">
        <v>9.98</v>
      </c>
      <c r="G1280" s="19" t="s">
        <v>2154</v>
      </c>
      <c r="H1280" s="19" t="s">
        <v>2187</v>
      </c>
    </row>
    <row r="1281" spans="1:8">
      <c r="A1281" s="18" t="s">
        <v>735</v>
      </c>
      <c r="B1281" s="18" t="s">
        <v>4083</v>
      </c>
      <c r="C1281" s="18" t="s">
        <v>2273</v>
      </c>
      <c r="D1281" s="18" t="s">
        <v>2253</v>
      </c>
      <c r="E1281" s="18" t="s">
        <v>2670</v>
      </c>
      <c r="F1281" s="18">
        <v>8.43</v>
      </c>
      <c r="G1281" s="18" t="s">
        <v>2154</v>
      </c>
      <c r="H1281" s="18" t="s">
        <v>2187</v>
      </c>
    </row>
    <row r="1282" spans="1:8">
      <c r="A1282" s="19" t="s">
        <v>735</v>
      </c>
      <c r="B1282" s="19" t="s">
        <v>4084</v>
      </c>
      <c r="C1282" s="19" t="s">
        <v>2277</v>
      </c>
      <c r="D1282" s="19" t="s">
        <v>2393</v>
      </c>
      <c r="E1282" s="19" t="s">
        <v>2551</v>
      </c>
      <c r="F1282" s="19">
        <v>8.32</v>
      </c>
      <c r="G1282" s="19" t="s">
        <v>2154</v>
      </c>
      <c r="H1282" s="19" t="s">
        <v>2155</v>
      </c>
    </row>
    <row r="1283" spans="1:8">
      <c r="A1283" s="18" t="s">
        <v>735</v>
      </c>
      <c r="B1283" s="18" t="s">
        <v>4085</v>
      </c>
      <c r="C1283" s="18" t="s">
        <v>2281</v>
      </c>
      <c r="D1283" s="18" t="s">
        <v>3100</v>
      </c>
      <c r="E1283" s="18" t="s">
        <v>2568</v>
      </c>
      <c r="F1283" s="18">
        <v>11.38</v>
      </c>
      <c r="G1283" s="18" t="s">
        <v>2154</v>
      </c>
      <c r="H1283" s="18" t="s">
        <v>2187</v>
      </c>
    </row>
    <row r="1284" spans="1:8">
      <c r="A1284" s="19" t="s">
        <v>735</v>
      </c>
      <c r="B1284" s="19" t="s">
        <v>4086</v>
      </c>
      <c r="C1284" s="19" t="s">
        <v>2396</v>
      </c>
      <c r="D1284" s="19" t="s">
        <v>2513</v>
      </c>
      <c r="E1284" s="19" t="s">
        <v>3216</v>
      </c>
      <c r="F1284" s="19">
        <v>9.15</v>
      </c>
      <c r="G1284" s="19" t="s">
        <v>2154</v>
      </c>
      <c r="H1284" s="19" t="s">
        <v>2187</v>
      </c>
    </row>
    <row r="1285" spans="1:8">
      <c r="A1285" s="18" t="s">
        <v>735</v>
      </c>
      <c r="B1285" s="18" t="s">
        <v>4087</v>
      </c>
      <c r="C1285" s="18" t="s">
        <v>2289</v>
      </c>
      <c r="D1285" s="18" t="s">
        <v>2729</v>
      </c>
      <c r="E1285" s="18" t="s">
        <v>3422</v>
      </c>
      <c r="F1285" s="18">
        <v>9.3000000000000007</v>
      </c>
      <c r="G1285" s="18" t="s">
        <v>2154</v>
      </c>
      <c r="H1285" s="18" t="s">
        <v>2155</v>
      </c>
    </row>
    <row r="1286" spans="1:8">
      <c r="A1286" s="19" t="s">
        <v>735</v>
      </c>
      <c r="B1286" s="19" t="s">
        <v>4088</v>
      </c>
      <c r="C1286" s="19" t="s">
        <v>2293</v>
      </c>
      <c r="D1286" s="19" t="s">
        <v>2304</v>
      </c>
      <c r="E1286" s="19" t="s">
        <v>2685</v>
      </c>
      <c r="F1286" s="19">
        <v>8.5399999999999991</v>
      </c>
      <c r="G1286" s="19" t="s">
        <v>2154</v>
      </c>
      <c r="H1286" s="19" t="s">
        <v>2187</v>
      </c>
    </row>
    <row r="1287" spans="1:8">
      <c r="A1287" s="18" t="s">
        <v>735</v>
      </c>
      <c r="B1287" s="18" t="s">
        <v>4089</v>
      </c>
      <c r="C1287" s="18" t="s">
        <v>2296</v>
      </c>
      <c r="D1287" s="18" t="s">
        <v>2589</v>
      </c>
      <c r="E1287" s="18" t="s">
        <v>2928</v>
      </c>
      <c r="F1287" s="18">
        <v>11.34</v>
      </c>
      <c r="G1287" s="18" t="s">
        <v>2154</v>
      </c>
      <c r="H1287" s="18" t="s">
        <v>2171</v>
      </c>
    </row>
    <row r="1288" spans="1:8">
      <c r="A1288" s="19" t="s">
        <v>735</v>
      </c>
      <c r="B1288" s="19" t="s">
        <v>4090</v>
      </c>
      <c r="C1288" s="19" t="s">
        <v>2300</v>
      </c>
      <c r="D1288" s="19" t="s">
        <v>3180</v>
      </c>
      <c r="E1288" s="19" t="s">
        <v>4091</v>
      </c>
      <c r="F1288" s="19">
        <v>10.38</v>
      </c>
      <c r="G1288" s="19" t="s">
        <v>2154</v>
      </c>
      <c r="H1288" s="19" t="s">
        <v>2187</v>
      </c>
    </row>
    <row r="1289" spans="1:8">
      <c r="A1289" s="18" t="s">
        <v>735</v>
      </c>
      <c r="B1289" s="18" t="s">
        <v>4092</v>
      </c>
      <c r="C1289" s="18" t="s">
        <v>2144</v>
      </c>
      <c r="D1289" s="18" t="s">
        <v>2766</v>
      </c>
      <c r="E1289" s="18" t="s">
        <v>2924</v>
      </c>
      <c r="F1289" s="18">
        <v>10.87</v>
      </c>
      <c r="G1289" s="18" t="s">
        <v>2154</v>
      </c>
      <c r="H1289" s="18" t="s">
        <v>2155</v>
      </c>
    </row>
    <row r="1290" spans="1:8">
      <c r="A1290" s="19" t="s">
        <v>735</v>
      </c>
      <c r="B1290" s="19" t="s">
        <v>4093</v>
      </c>
      <c r="C1290" s="19" t="s">
        <v>2307</v>
      </c>
      <c r="D1290" s="19" t="s">
        <v>2966</v>
      </c>
      <c r="E1290" s="19" t="s">
        <v>3746</v>
      </c>
      <c r="F1290" s="19">
        <v>11.1</v>
      </c>
      <c r="G1290" s="19" t="s">
        <v>2154</v>
      </c>
      <c r="H1290" s="19" t="s">
        <v>2171</v>
      </c>
    </row>
    <row r="1291" spans="1:8">
      <c r="A1291" s="18" t="s">
        <v>735</v>
      </c>
      <c r="B1291" s="18" t="s">
        <v>4094</v>
      </c>
      <c r="C1291" s="18" t="s">
        <v>2311</v>
      </c>
      <c r="D1291" s="18" t="s">
        <v>2274</v>
      </c>
      <c r="E1291" s="18" t="s">
        <v>2629</v>
      </c>
      <c r="F1291" s="18">
        <v>10.71</v>
      </c>
      <c r="G1291" s="18" t="s">
        <v>2154</v>
      </c>
      <c r="H1291" s="18" t="s">
        <v>2155</v>
      </c>
    </row>
    <row r="1292" spans="1:8">
      <c r="A1292" s="19" t="s">
        <v>1037</v>
      </c>
      <c r="B1292" s="19" t="s">
        <v>4095</v>
      </c>
      <c r="C1292" s="19" t="s">
        <v>2038</v>
      </c>
      <c r="D1292" s="19" t="s">
        <v>2521</v>
      </c>
      <c r="E1292" s="19" t="s">
        <v>2522</v>
      </c>
      <c r="F1292" s="19">
        <v>10.61</v>
      </c>
      <c r="G1292" s="19" t="s">
        <v>2154</v>
      </c>
      <c r="H1292" s="19" t="s">
        <v>2155</v>
      </c>
    </row>
    <row r="1293" spans="1:8">
      <c r="A1293" s="18" t="s">
        <v>1037</v>
      </c>
      <c r="B1293" s="18" t="s">
        <v>4096</v>
      </c>
      <c r="C1293" s="18" t="s">
        <v>2157</v>
      </c>
      <c r="D1293" s="18" t="s">
        <v>2326</v>
      </c>
      <c r="E1293" s="18" t="s">
        <v>2291</v>
      </c>
      <c r="F1293" s="18">
        <v>10.11</v>
      </c>
      <c r="G1293" s="18" t="s">
        <v>2154</v>
      </c>
      <c r="H1293" s="18" t="s">
        <v>2160</v>
      </c>
    </row>
    <row r="1294" spans="1:8">
      <c r="A1294" s="19" t="s">
        <v>1037</v>
      </c>
      <c r="B1294" s="19" t="s">
        <v>4097</v>
      </c>
      <c r="C1294" s="19" t="s">
        <v>2162</v>
      </c>
      <c r="D1294" s="19" t="s">
        <v>2440</v>
      </c>
      <c r="E1294" s="19" t="s">
        <v>2558</v>
      </c>
      <c r="F1294" s="19">
        <v>6.82</v>
      </c>
      <c r="G1294" s="19" t="s">
        <v>2154</v>
      </c>
      <c r="H1294" s="19" t="s">
        <v>2171</v>
      </c>
    </row>
    <row r="1295" spans="1:8">
      <c r="A1295" s="18" t="s">
        <v>1037</v>
      </c>
      <c r="B1295" s="18" t="s">
        <v>4098</v>
      </c>
      <c r="C1295" s="18" t="s">
        <v>1937</v>
      </c>
      <c r="D1295" s="18" t="s">
        <v>3066</v>
      </c>
      <c r="E1295" s="18" t="s">
        <v>2424</v>
      </c>
      <c r="F1295" s="18">
        <v>9.64</v>
      </c>
      <c r="G1295" s="18" t="s">
        <v>2154</v>
      </c>
      <c r="H1295" s="18" t="s">
        <v>2155</v>
      </c>
    </row>
    <row r="1296" spans="1:8">
      <c r="A1296" s="19" t="s">
        <v>1037</v>
      </c>
      <c r="B1296" s="19" t="s">
        <v>4099</v>
      </c>
      <c r="C1296" s="19" t="s">
        <v>2168</v>
      </c>
      <c r="D1296" s="19" t="s">
        <v>2194</v>
      </c>
      <c r="E1296" s="19" t="s">
        <v>2447</v>
      </c>
      <c r="F1296" s="19">
        <v>8.65</v>
      </c>
      <c r="G1296" s="19" t="s">
        <v>2154</v>
      </c>
      <c r="H1296" s="19" t="s">
        <v>2155</v>
      </c>
    </row>
    <row r="1297" spans="1:8">
      <c r="A1297" s="18" t="s">
        <v>1037</v>
      </c>
      <c r="B1297" s="18" t="s">
        <v>4100</v>
      </c>
      <c r="C1297" s="18" t="s">
        <v>2173</v>
      </c>
      <c r="D1297" s="18" t="s">
        <v>2789</v>
      </c>
      <c r="E1297" s="18" t="s">
        <v>3741</v>
      </c>
      <c r="F1297" s="18">
        <v>8.68</v>
      </c>
      <c r="G1297" s="18" t="s">
        <v>2154</v>
      </c>
      <c r="H1297" s="18" t="s">
        <v>2155</v>
      </c>
    </row>
    <row r="1298" spans="1:8">
      <c r="A1298" s="19" t="s">
        <v>1037</v>
      </c>
      <c r="B1298" s="19" t="s">
        <v>4101</v>
      </c>
      <c r="C1298" s="19" t="s">
        <v>2177</v>
      </c>
      <c r="D1298" s="19"/>
      <c r="E1298" s="19"/>
      <c r="F1298" s="19"/>
      <c r="G1298" s="19" t="s">
        <v>2343</v>
      </c>
      <c r="H1298" s="19" t="s">
        <v>2160</v>
      </c>
    </row>
    <row r="1299" spans="1:8">
      <c r="A1299" s="18" t="s">
        <v>1037</v>
      </c>
      <c r="B1299" s="18" t="s">
        <v>4102</v>
      </c>
      <c r="C1299" s="18" t="s">
        <v>1945</v>
      </c>
      <c r="D1299" s="18" t="s">
        <v>2766</v>
      </c>
      <c r="E1299" s="18" t="s">
        <v>2998</v>
      </c>
      <c r="F1299" s="18">
        <v>7.04</v>
      </c>
      <c r="G1299" s="18" t="s">
        <v>2154</v>
      </c>
      <c r="H1299" s="18" t="s">
        <v>2160</v>
      </c>
    </row>
    <row r="1300" spans="1:8">
      <c r="A1300" s="19" t="s">
        <v>1037</v>
      </c>
      <c r="B1300" s="19" t="s">
        <v>4103</v>
      </c>
      <c r="C1300" s="19" t="s">
        <v>2184</v>
      </c>
      <c r="D1300" s="19" t="s">
        <v>2632</v>
      </c>
      <c r="E1300" s="19" t="s">
        <v>4104</v>
      </c>
      <c r="F1300" s="19">
        <v>6.89</v>
      </c>
      <c r="G1300" s="19" t="s">
        <v>2154</v>
      </c>
      <c r="H1300" s="19" t="s">
        <v>2187</v>
      </c>
    </row>
    <row r="1301" spans="1:8">
      <c r="A1301" s="18" t="s">
        <v>1037</v>
      </c>
      <c r="B1301" s="18" t="s">
        <v>4105</v>
      </c>
      <c r="C1301" s="18" t="s">
        <v>2189</v>
      </c>
      <c r="D1301" s="18" t="s">
        <v>2174</v>
      </c>
      <c r="E1301" s="18" t="s">
        <v>2175</v>
      </c>
      <c r="F1301" s="18">
        <v>7.27</v>
      </c>
      <c r="G1301" s="18" t="s">
        <v>2154</v>
      </c>
      <c r="H1301" s="18" t="s">
        <v>2160</v>
      </c>
    </row>
    <row r="1302" spans="1:8">
      <c r="A1302" s="19" t="s">
        <v>1037</v>
      </c>
      <c r="B1302" s="19" t="s">
        <v>4106</v>
      </c>
      <c r="C1302" s="19" t="s">
        <v>2193</v>
      </c>
      <c r="D1302" s="19" t="s">
        <v>2403</v>
      </c>
      <c r="E1302" s="19" t="s">
        <v>3867</v>
      </c>
      <c r="F1302" s="19">
        <v>11.34</v>
      </c>
      <c r="G1302" s="19" t="s">
        <v>2154</v>
      </c>
      <c r="H1302" s="19" t="s">
        <v>2187</v>
      </c>
    </row>
    <row r="1303" spans="1:8">
      <c r="A1303" s="18" t="s">
        <v>1037</v>
      </c>
      <c r="B1303" s="18" t="s">
        <v>4107</v>
      </c>
      <c r="C1303" s="18" t="s">
        <v>2197</v>
      </c>
      <c r="D1303" s="18" t="s">
        <v>2400</v>
      </c>
      <c r="E1303" s="18" t="s">
        <v>4108</v>
      </c>
      <c r="F1303" s="18">
        <v>7.2</v>
      </c>
      <c r="G1303" s="18" t="s">
        <v>2154</v>
      </c>
      <c r="H1303" s="18" t="s">
        <v>2187</v>
      </c>
    </row>
    <row r="1304" spans="1:8">
      <c r="A1304" s="19" t="s">
        <v>1037</v>
      </c>
      <c r="B1304" s="19" t="s">
        <v>4109</v>
      </c>
      <c r="C1304" s="19" t="s">
        <v>1819</v>
      </c>
      <c r="D1304" s="19" t="s">
        <v>2423</v>
      </c>
      <c r="E1304" s="19" t="s">
        <v>3067</v>
      </c>
      <c r="F1304" s="19">
        <v>7.57</v>
      </c>
      <c r="G1304" s="19" t="s">
        <v>2154</v>
      </c>
      <c r="H1304" s="19" t="s">
        <v>2171</v>
      </c>
    </row>
    <row r="1305" spans="1:8">
      <c r="A1305" s="18" t="s">
        <v>1037</v>
      </c>
      <c r="B1305" s="18" t="s">
        <v>4110</v>
      </c>
      <c r="C1305" s="18" t="s">
        <v>2204</v>
      </c>
      <c r="D1305" s="18" t="s">
        <v>2516</v>
      </c>
      <c r="E1305" s="18" t="s">
        <v>2863</v>
      </c>
      <c r="F1305" s="18">
        <v>7.89</v>
      </c>
      <c r="G1305" s="18" t="s">
        <v>2154</v>
      </c>
      <c r="H1305" s="18" t="s">
        <v>2171</v>
      </c>
    </row>
    <row r="1306" spans="1:8">
      <c r="A1306" s="19" t="s">
        <v>1037</v>
      </c>
      <c r="B1306" s="19" t="s">
        <v>4111</v>
      </c>
      <c r="C1306" s="19" t="s">
        <v>1843</v>
      </c>
      <c r="D1306" s="19" t="s">
        <v>2849</v>
      </c>
      <c r="E1306" s="19" t="s">
        <v>2926</v>
      </c>
      <c r="F1306" s="19">
        <v>9.93</v>
      </c>
      <c r="G1306" s="19" t="s">
        <v>2154</v>
      </c>
      <c r="H1306" s="19" t="s">
        <v>2160</v>
      </c>
    </row>
    <row r="1307" spans="1:8">
      <c r="A1307" s="18" t="s">
        <v>1037</v>
      </c>
      <c r="B1307" s="18" t="s">
        <v>4112</v>
      </c>
      <c r="C1307" s="18" t="s">
        <v>2211</v>
      </c>
      <c r="D1307" s="18" t="s">
        <v>2464</v>
      </c>
      <c r="E1307" s="18" t="s">
        <v>3241</v>
      </c>
      <c r="F1307" s="18">
        <v>9.93</v>
      </c>
      <c r="G1307" s="18" t="s">
        <v>2154</v>
      </c>
      <c r="H1307" s="18" t="s">
        <v>2187</v>
      </c>
    </row>
    <row r="1308" spans="1:8">
      <c r="A1308" s="19" t="s">
        <v>1037</v>
      </c>
      <c r="B1308" s="19" t="s">
        <v>4113</v>
      </c>
      <c r="C1308" s="19" t="s">
        <v>2215</v>
      </c>
      <c r="D1308" s="19" t="s">
        <v>2557</v>
      </c>
      <c r="E1308" s="19" t="s">
        <v>2719</v>
      </c>
      <c r="F1308" s="19">
        <v>6.84</v>
      </c>
      <c r="G1308" s="19" t="s">
        <v>2154</v>
      </c>
      <c r="H1308" s="19" t="s">
        <v>2187</v>
      </c>
    </row>
    <row r="1309" spans="1:8">
      <c r="A1309" s="18" t="s">
        <v>1037</v>
      </c>
      <c r="B1309" s="18" t="s">
        <v>4114</v>
      </c>
      <c r="C1309" s="18" t="s">
        <v>2219</v>
      </c>
      <c r="D1309" s="18" t="s">
        <v>2729</v>
      </c>
      <c r="E1309" s="18" t="s">
        <v>4115</v>
      </c>
      <c r="F1309" s="18">
        <v>10.62</v>
      </c>
      <c r="G1309" s="18" t="s">
        <v>2154</v>
      </c>
      <c r="H1309" s="18" t="s">
        <v>2187</v>
      </c>
    </row>
    <row r="1310" spans="1:8">
      <c r="A1310" s="19" t="s">
        <v>1037</v>
      </c>
      <c r="B1310" s="19" t="s">
        <v>4116</v>
      </c>
      <c r="C1310" s="19" t="s">
        <v>2222</v>
      </c>
      <c r="D1310" s="19" t="s">
        <v>2640</v>
      </c>
      <c r="E1310" s="19" t="s">
        <v>2202</v>
      </c>
      <c r="F1310" s="19">
        <v>7.81</v>
      </c>
      <c r="G1310" s="19" t="s">
        <v>2154</v>
      </c>
      <c r="H1310" s="19" t="s">
        <v>2187</v>
      </c>
    </row>
    <row r="1311" spans="1:8">
      <c r="A1311" s="18" t="s">
        <v>1037</v>
      </c>
      <c r="B1311" s="18" t="s">
        <v>4117</v>
      </c>
      <c r="C1311" s="18" t="s">
        <v>2226</v>
      </c>
      <c r="D1311" s="18"/>
      <c r="E1311" s="18"/>
      <c r="F1311" s="18"/>
      <c r="G1311" s="18" t="s">
        <v>2220</v>
      </c>
      <c r="H1311" s="18" t="s">
        <v>2155</v>
      </c>
    </row>
    <row r="1312" spans="1:8">
      <c r="A1312" s="19" t="s">
        <v>1037</v>
      </c>
      <c r="B1312" s="19" t="s">
        <v>4118</v>
      </c>
      <c r="C1312" s="19" t="s">
        <v>2230</v>
      </c>
      <c r="D1312" s="19" t="s">
        <v>2278</v>
      </c>
      <c r="E1312" s="19" t="s">
        <v>3195</v>
      </c>
      <c r="F1312" s="19">
        <v>11.4</v>
      </c>
      <c r="G1312" s="19" t="s">
        <v>2154</v>
      </c>
      <c r="H1312" s="19" t="s">
        <v>2155</v>
      </c>
    </row>
    <row r="1313" spans="1:8">
      <c r="A1313" s="18" t="s">
        <v>1037</v>
      </c>
      <c r="B1313" s="18" t="s">
        <v>4119</v>
      </c>
      <c r="C1313" s="18" t="s">
        <v>2234</v>
      </c>
      <c r="D1313" s="18" t="s">
        <v>2835</v>
      </c>
      <c r="E1313" s="18" t="s">
        <v>2636</v>
      </c>
      <c r="F1313" s="18">
        <v>8.6300000000000008</v>
      </c>
      <c r="G1313" s="18" t="s">
        <v>2154</v>
      </c>
      <c r="H1313" s="18" t="s">
        <v>2155</v>
      </c>
    </row>
    <row r="1314" spans="1:8">
      <c r="A1314" s="19" t="s">
        <v>1037</v>
      </c>
      <c r="B1314" s="19" t="s">
        <v>4120</v>
      </c>
      <c r="C1314" s="19" t="s">
        <v>2238</v>
      </c>
      <c r="D1314" s="19" t="s">
        <v>2865</v>
      </c>
      <c r="E1314" s="19" t="s">
        <v>3027</v>
      </c>
      <c r="F1314" s="19">
        <v>9.6300000000000008</v>
      </c>
      <c r="G1314" s="19" t="s">
        <v>2154</v>
      </c>
      <c r="H1314" s="19" t="s">
        <v>2160</v>
      </c>
    </row>
    <row r="1315" spans="1:8">
      <c r="A1315" s="18" t="s">
        <v>1037</v>
      </c>
      <c r="B1315" s="18" t="s">
        <v>4121</v>
      </c>
      <c r="C1315" s="18" t="s">
        <v>2241</v>
      </c>
      <c r="D1315" s="18" t="s">
        <v>2212</v>
      </c>
      <c r="E1315" s="18" t="s">
        <v>2499</v>
      </c>
      <c r="F1315" s="18">
        <v>7.88</v>
      </c>
      <c r="G1315" s="18" t="s">
        <v>2154</v>
      </c>
      <c r="H1315" s="18" t="s">
        <v>2171</v>
      </c>
    </row>
    <row r="1316" spans="1:8">
      <c r="A1316" s="19" t="s">
        <v>1037</v>
      </c>
      <c r="B1316" s="19" t="s">
        <v>4122</v>
      </c>
      <c r="C1316" s="19" t="s">
        <v>2245</v>
      </c>
      <c r="D1316" s="19" t="s">
        <v>2521</v>
      </c>
      <c r="E1316" s="19" t="s">
        <v>3615</v>
      </c>
      <c r="F1316" s="19">
        <v>6.64</v>
      </c>
      <c r="G1316" s="19" t="s">
        <v>2154</v>
      </c>
      <c r="H1316" s="19" t="s">
        <v>2160</v>
      </c>
    </row>
    <row r="1317" spans="1:8">
      <c r="A1317" s="18" t="s">
        <v>1037</v>
      </c>
      <c r="B1317" s="18" t="s">
        <v>4123</v>
      </c>
      <c r="C1317" s="18" t="s">
        <v>2249</v>
      </c>
      <c r="D1317" s="18" t="s">
        <v>2885</v>
      </c>
      <c r="E1317" s="18" t="s">
        <v>3355</v>
      </c>
      <c r="F1317" s="18">
        <v>7.24</v>
      </c>
      <c r="G1317" s="18" t="s">
        <v>2154</v>
      </c>
      <c r="H1317" s="18" t="s">
        <v>2155</v>
      </c>
    </row>
    <row r="1318" spans="1:8">
      <c r="A1318" s="19" t="s">
        <v>1037</v>
      </c>
      <c r="B1318" s="19" t="s">
        <v>4124</v>
      </c>
      <c r="C1318" s="19" t="s">
        <v>2252</v>
      </c>
      <c r="D1318" s="19" t="s">
        <v>2290</v>
      </c>
      <c r="E1318" s="19" t="s">
        <v>2291</v>
      </c>
      <c r="F1318" s="19">
        <v>9.16</v>
      </c>
      <c r="G1318" s="19" t="s">
        <v>2154</v>
      </c>
      <c r="H1318" s="19" t="s">
        <v>2155</v>
      </c>
    </row>
    <row r="1319" spans="1:8">
      <c r="A1319" s="18" t="s">
        <v>1037</v>
      </c>
      <c r="B1319" s="18" t="s">
        <v>4125</v>
      </c>
      <c r="C1319" s="18" t="s">
        <v>2376</v>
      </c>
      <c r="D1319" s="18" t="s">
        <v>2635</v>
      </c>
      <c r="E1319" s="18" t="s">
        <v>3304</v>
      </c>
      <c r="F1319" s="18">
        <v>8.44</v>
      </c>
      <c r="G1319" s="18" t="s">
        <v>2154</v>
      </c>
      <c r="H1319" s="18" t="s">
        <v>2187</v>
      </c>
    </row>
    <row r="1320" spans="1:8">
      <c r="A1320" s="19" t="s">
        <v>1037</v>
      </c>
      <c r="B1320" s="19" t="s">
        <v>4126</v>
      </c>
      <c r="C1320" s="19" t="s">
        <v>2260</v>
      </c>
      <c r="D1320" s="19" t="s">
        <v>2351</v>
      </c>
      <c r="E1320" s="19" t="s">
        <v>2352</v>
      </c>
      <c r="F1320" s="19">
        <v>10.48</v>
      </c>
      <c r="G1320" s="19" t="s">
        <v>2154</v>
      </c>
      <c r="H1320" s="19" t="s">
        <v>2171</v>
      </c>
    </row>
    <row r="1321" spans="1:8">
      <c r="A1321" s="18" t="s">
        <v>1037</v>
      </c>
      <c r="B1321" s="18" t="s">
        <v>4127</v>
      </c>
      <c r="C1321" s="18" t="s">
        <v>2264</v>
      </c>
      <c r="D1321" s="18" t="s">
        <v>2814</v>
      </c>
      <c r="E1321" s="18" t="s">
        <v>3372</v>
      </c>
      <c r="F1321" s="18">
        <v>7.73</v>
      </c>
      <c r="G1321" s="18" t="s">
        <v>2154</v>
      </c>
      <c r="H1321" s="18" t="s">
        <v>2171</v>
      </c>
    </row>
    <row r="1322" spans="1:8">
      <c r="A1322" s="19" t="s">
        <v>1037</v>
      </c>
      <c r="B1322" s="19" t="s">
        <v>4128</v>
      </c>
      <c r="C1322" s="19" t="s">
        <v>1948</v>
      </c>
      <c r="D1322" s="19" t="s">
        <v>2992</v>
      </c>
      <c r="E1322" s="19" t="s">
        <v>2495</v>
      </c>
      <c r="F1322" s="19">
        <v>7.19</v>
      </c>
      <c r="G1322" s="19" t="s">
        <v>2154</v>
      </c>
      <c r="H1322" s="19" t="s">
        <v>2187</v>
      </c>
    </row>
    <row r="1323" spans="1:8">
      <c r="A1323" s="18" t="s">
        <v>1037</v>
      </c>
      <c r="B1323" s="18" t="s">
        <v>4129</v>
      </c>
      <c r="C1323" s="18" t="s">
        <v>2269</v>
      </c>
      <c r="D1323" s="18" t="s">
        <v>2231</v>
      </c>
      <c r="E1323" s="18" t="s">
        <v>2291</v>
      </c>
      <c r="F1323" s="18">
        <v>11.44</v>
      </c>
      <c r="G1323" s="18" t="s">
        <v>2154</v>
      </c>
      <c r="H1323" s="18" t="s">
        <v>2160</v>
      </c>
    </row>
    <row r="1324" spans="1:8">
      <c r="A1324" s="19" t="s">
        <v>1037</v>
      </c>
      <c r="B1324" s="19" t="s">
        <v>4130</v>
      </c>
      <c r="C1324" s="19" t="s">
        <v>2273</v>
      </c>
      <c r="D1324" s="19" t="s">
        <v>2696</v>
      </c>
      <c r="E1324" s="19" t="s">
        <v>2672</v>
      </c>
      <c r="F1324" s="19">
        <v>8.1199999999999992</v>
      </c>
      <c r="G1324" s="19" t="s">
        <v>2154</v>
      </c>
      <c r="H1324" s="19" t="s">
        <v>2171</v>
      </c>
    </row>
    <row r="1325" spans="1:8">
      <c r="A1325" s="18" t="s">
        <v>1037</v>
      </c>
      <c r="B1325" s="18" t="s">
        <v>4131</v>
      </c>
      <c r="C1325" s="18" t="s">
        <v>4132</v>
      </c>
      <c r="D1325" s="18" t="s">
        <v>2290</v>
      </c>
      <c r="E1325" s="18" t="s">
        <v>2714</v>
      </c>
      <c r="F1325" s="18">
        <v>7.65</v>
      </c>
      <c r="G1325" s="18" t="s">
        <v>2154</v>
      </c>
      <c r="H1325" s="18" t="s">
        <v>2171</v>
      </c>
    </row>
    <row r="1326" spans="1:8">
      <c r="A1326" s="19" t="s">
        <v>1037</v>
      </c>
      <c r="B1326" s="19" t="s">
        <v>4133</v>
      </c>
      <c r="C1326" s="19" t="s">
        <v>2281</v>
      </c>
      <c r="D1326" s="19" t="s">
        <v>2205</v>
      </c>
      <c r="E1326" s="19" t="s">
        <v>3033</v>
      </c>
      <c r="F1326" s="19">
        <v>8.99</v>
      </c>
      <c r="G1326" s="19" t="s">
        <v>2154</v>
      </c>
      <c r="H1326" s="19" t="s">
        <v>2160</v>
      </c>
    </row>
    <row r="1327" spans="1:8">
      <c r="A1327" s="18" t="s">
        <v>1037</v>
      </c>
      <c r="B1327" s="18" t="s">
        <v>4134</v>
      </c>
      <c r="C1327" s="18" t="s">
        <v>2396</v>
      </c>
      <c r="D1327" s="18"/>
      <c r="E1327" s="18"/>
      <c r="F1327" s="18"/>
      <c r="G1327" s="18" t="s">
        <v>2163</v>
      </c>
      <c r="H1327" s="18" t="s">
        <v>2187</v>
      </c>
    </row>
    <row r="1328" spans="1:8">
      <c r="A1328" s="19" t="s">
        <v>1037</v>
      </c>
      <c r="B1328" s="19" t="s">
        <v>4135</v>
      </c>
      <c r="C1328" s="19" t="s">
        <v>2289</v>
      </c>
      <c r="D1328" s="19" t="s">
        <v>2365</v>
      </c>
      <c r="E1328" s="19" t="s">
        <v>2366</v>
      </c>
      <c r="F1328" s="19">
        <v>7.93</v>
      </c>
      <c r="G1328" s="19" t="s">
        <v>2154</v>
      </c>
      <c r="H1328" s="19" t="s">
        <v>2155</v>
      </c>
    </row>
    <row r="1329" spans="1:8">
      <c r="A1329" s="18" t="s">
        <v>1037</v>
      </c>
      <c r="B1329" s="18" t="s">
        <v>4136</v>
      </c>
      <c r="C1329" s="18" t="s">
        <v>2293</v>
      </c>
      <c r="D1329" s="18" t="s">
        <v>2597</v>
      </c>
      <c r="E1329" s="18" t="s">
        <v>2899</v>
      </c>
      <c r="F1329" s="18">
        <v>8.84</v>
      </c>
      <c r="G1329" s="18" t="s">
        <v>2154</v>
      </c>
      <c r="H1329" s="18" t="s">
        <v>2160</v>
      </c>
    </row>
    <row r="1330" spans="1:8">
      <c r="A1330" s="19" t="s">
        <v>1037</v>
      </c>
      <c r="B1330" s="19" t="s">
        <v>4137</v>
      </c>
      <c r="C1330" s="19" t="s">
        <v>2296</v>
      </c>
      <c r="D1330" s="19" t="s">
        <v>2457</v>
      </c>
      <c r="E1330" s="19" t="s">
        <v>2762</v>
      </c>
      <c r="F1330" s="19">
        <v>9.68</v>
      </c>
      <c r="G1330" s="19" t="s">
        <v>2154</v>
      </c>
      <c r="H1330" s="19" t="s">
        <v>2171</v>
      </c>
    </row>
    <row r="1331" spans="1:8">
      <c r="A1331" s="18" t="s">
        <v>1037</v>
      </c>
      <c r="B1331" s="18" t="s">
        <v>4138</v>
      </c>
      <c r="C1331" s="18" t="s">
        <v>2300</v>
      </c>
      <c r="D1331" s="18" t="s">
        <v>2359</v>
      </c>
      <c r="E1331" s="18" t="s">
        <v>2740</v>
      </c>
      <c r="F1331" s="18">
        <v>7.66</v>
      </c>
      <c r="G1331" s="18" t="s">
        <v>2154</v>
      </c>
      <c r="H1331" s="18" t="s">
        <v>2160</v>
      </c>
    </row>
    <row r="1332" spans="1:8">
      <c r="A1332" s="19" t="s">
        <v>1037</v>
      </c>
      <c r="B1332" s="19" t="s">
        <v>4139</v>
      </c>
      <c r="C1332" s="19" t="s">
        <v>2144</v>
      </c>
      <c r="D1332" s="19" t="s">
        <v>3120</v>
      </c>
      <c r="E1332" s="19" t="s">
        <v>3331</v>
      </c>
      <c r="F1332" s="19">
        <v>11.29</v>
      </c>
      <c r="G1332" s="19" t="s">
        <v>2154</v>
      </c>
      <c r="H1332" s="19" t="s">
        <v>2155</v>
      </c>
    </row>
    <row r="1333" spans="1:8">
      <c r="A1333" s="18" t="s">
        <v>1037</v>
      </c>
      <c r="B1333" s="18" t="s">
        <v>4140</v>
      </c>
      <c r="C1333" s="18" t="s">
        <v>2307</v>
      </c>
      <c r="D1333" s="18" t="s">
        <v>3145</v>
      </c>
      <c r="E1333" s="18" t="s">
        <v>2170</v>
      </c>
      <c r="F1333" s="18">
        <v>9.19</v>
      </c>
      <c r="G1333" s="18" t="s">
        <v>2154</v>
      </c>
      <c r="H1333" s="18" t="s">
        <v>2171</v>
      </c>
    </row>
    <row r="1334" spans="1:8">
      <c r="A1334" s="19" t="s">
        <v>1037</v>
      </c>
      <c r="B1334" s="19" t="s">
        <v>4141</v>
      </c>
      <c r="C1334" s="19" t="s">
        <v>2311</v>
      </c>
      <c r="D1334" s="19" t="s">
        <v>2835</v>
      </c>
      <c r="E1334" s="19" t="s">
        <v>3169</v>
      </c>
      <c r="F1334" s="19">
        <v>9.51</v>
      </c>
      <c r="G1334" s="19" t="s">
        <v>2154</v>
      </c>
      <c r="H1334" s="19" t="s">
        <v>2155</v>
      </c>
    </row>
    <row r="1335" spans="1:8">
      <c r="A1335" s="18" t="s">
        <v>296</v>
      </c>
      <c r="B1335" s="18" t="s">
        <v>4142</v>
      </c>
      <c r="C1335" s="18" t="s">
        <v>2038</v>
      </c>
      <c r="D1335" s="18" t="s">
        <v>2452</v>
      </c>
      <c r="E1335" s="18" t="s">
        <v>3169</v>
      </c>
      <c r="F1335" s="18">
        <v>11.06</v>
      </c>
      <c r="G1335" s="18" t="s">
        <v>2154</v>
      </c>
      <c r="H1335" s="18" t="s">
        <v>2171</v>
      </c>
    </row>
    <row r="1336" spans="1:8">
      <c r="A1336" s="19" t="s">
        <v>296</v>
      </c>
      <c r="B1336" s="19" t="s">
        <v>4143</v>
      </c>
      <c r="C1336" s="19" t="s">
        <v>2157</v>
      </c>
      <c r="D1336" s="19" t="s">
        <v>2696</v>
      </c>
      <c r="E1336" s="19" t="s">
        <v>2434</v>
      </c>
      <c r="F1336" s="19">
        <v>9.1</v>
      </c>
      <c r="G1336" s="19" t="s">
        <v>2154</v>
      </c>
      <c r="H1336" s="19" t="s">
        <v>2187</v>
      </c>
    </row>
    <row r="1337" spans="1:8">
      <c r="A1337" s="18" t="s">
        <v>296</v>
      </c>
      <c r="B1337" s="18" t="s">
        <v>4144</v>
      </c>
      <c r="C1337" s="18" t="s">
        <v>2162</v>
      </c>
      <c r="D1337" s="18" t="s">
        <v>2223</v>
      </c>
      <c r="E1337" s="18" t="s">
        <v>3891</v>
      </c>
      <c r="F1337" s="18">
        <v>7.84</v>
      </c>
      <c r="G1337" s="18" t="s">
        <v>2154</v>
      </c>
      <c r="H1337" s="18" t="s">
        <v>2187</v>
      </c>
    </row>
    <row r="1338" spans="1:8">
      <c r="A1338" s="19" t="s">
        <v>296</v>
      </c>
      <c r="B1338" s="19" t="s">
        <v>4145</v>
      </c>
      <c r="C1338" s="19" t="s">
        <v>1937</v>
      </c>
      <c r="D1338" s="19"/>
      <c r="E1338" s="19"/>
      <c r="F1338" s="19"/>
      <c r="G1338" s="19" t="s">
        <v>2220</v>
      </c>
      <c r="H1338" s="19" t="s">
        <v>2155</v>
      </c>
    </row>
    <row r="1339" spans="1:8">
      <c r="A1339" s="18" t="s">
        <v>296</v>
      </c>
      <c r="B1339" s="18" t="s">
        <v>4146</v>
      </c>
      <c r="C1339" s="18" t="s">
        <v>2168</v>
      </c>
      <c r="D1339" s="18" t="s">
        <v>2397</v>
      </c>
      <c r="E1339" s="18" t="s">
        <v>3241</v>
      </c>
      <c r="F1339" s="18">
        <v>10.02</v>
      </c>
      <c r="G1339" s="18" t="s">
        <v>2154</v>
      </c>
      <c r="H1339" s="18" t="s">
        <v>2187</v>
      </c>
    </row>
    <row r="1340" spans="1:8">
      <c r="A1340" s="19" t="s">
        <v>296</v>
      </c>
      <c r="B1340" s="19" t="s">
        <v>4147</v>
      </c>
      <c r="C1340" s="19" t="s">
        <v>2173</v>
      </c>
      <c r="D1340" s="19" t="s">
        <v>2408</v>
      </c>
      <c r="E1340" s="19" t="s">
        <v>2926</v>
      </c>
      <c r="F1340" s="19">
        <v>10.59</v>
      </c>
      <c r="G1340" s="19" t="s">
        <v>2154</v>
      </c>
      <c r="H1340" s="19" t="s">
        <v>2160</v>
      </c>
    </row>
    <row r="1341" spans="1:8">
      <c r="A1341" s="18" t="s">
        <v>296</v>
      </c>
      <c r="B1341" s="18" t="s">
        <v>4148</v>
      </c>
      <c r="C1341" s="18" t="s">
        <v>2177</v>
      </c>
      <c r="D1341" s="18" t="s">
        <v>2581</v>
      </c>
      <c r="E1341" s="18" t="s">
        <v>3029</v>
      </c>
      <c r="F1341" s="18">
        <v>11.32</v>
      </c>
      <c r="G1341" s="18" t="s">
        <v>2154</v>
      </c>
      <c r="H1341" s="18" t="s">
        <v>2171</v>
      </c>
    </row>
    <row r="1342" spans="1:8">
      <c r="A1342" s="19" t="s">
        <v>296</v>
      </c>
      <c r="B1342" s="19" t="s">
        <v>4149</v>
      </c>
      <c r="C1342" s="19" t="s">
        <v>1945</v>
      </c>
      <c r="D1342" s="19" t="s">
        <v>2786</v>
      </c>
      <c r="E1342" s="19" t="s">
        <v>2554</v>
      </c>
      <c r="F1342" s="19">
        <v>9.9700000000000006</v>
      </c>
      <c r="G1342" s="19" t="s">
        <v>2154</v>
      </c>
      <c r="H1342" s="19" t="s">
        <v>2155</v>
      </c>
    </row>
    <row r="1343" spans="1:8">
      <c r="A1343" s="18" t="s">
        <v>296</v>
      </c>
      <c r="B1343" s="18" t="s">
        <v>4150</v>
      </c>
      <c r="C1343" s="18" t="s">
        <v>2184</v>
      </c>
      <c r="D1343" s="18" t="s">
        <v>2278</v>
      </c>
      <c r="E1343" s="18" t="s">
        <v>2279</v>
      </c>
      <c r="F1343" s="18">
        <v>6.71</v>
      </c>
      <c r="G1343" s="18" t="s">
        <v>2154</v>
      </c>
      <c r="H1343" s="18" t="s">
        <v>2160</v>
      </c>
    </row>
    <row r="1344" spans="1:8">
      <c r="A1344" s="19" t="s">
        <v>296</v>
      </c>
      <c r="B1344" s="19" t="s">
        <v>4151</v>
      </c>
      <c r="C1344" s="19" t="s">
        <v>2189</v>
      </c>
      <c r="D1344" s="19" t="s">
        <v>2581</v>
      </c>
      <c r="E1344" s="19" t="s">
        <v>2332</v>
      </c>
      <c r="F1344" s="19">
        <v>10.51</v>
      </c>
      <c r="G1344" s="19" t="s">
        <v>2154</v>
      </c>
      <c r="H1344" s="19" t="s">
        <v>2187</v>
      </c>
    </row>
    <row r="1345" spans="1:8">
      <c r="A1345" s="18" t="s">
        <v>296</v>
      </c>
      <c r="B1345" s="18" t="s">
        <v>4152</v>
      </c>
      <c r="C1345" s="18" t="s">
        <v>2193</v>
      </c>
      <c r="D1345" s="18" t="s">
        <v>2457</v>
      </c>
      <c r="E1345" s="18" t="s">
        <v>2753</v>
      </c>
      <c r="F1345" s="18">
        <v>8.36</v>
      </c>
      <c r="G1345" s="18" t="s">
        <v>2154</v>
      </c>
      <c r="H1345" s="18" t="s">
        <v>2187</v>
      </c>
    </row>
    <row r="1346" spans="1:8">
      <c r="A1346" s="19" t="s">
        <v>296</v>
      </c>
      <c r="B1346" s="19" t="s">
        <v>4153</v>
      </c>
      <c r="C1346" s="19" t="s">
        <v>2197</v>
      </c>
      <c r="D1346" s="19" t="s">
        <v>2201</v>
      </c>
      <c r="E1346" s="19" t="s">
        <v>4066</v>
      </c>
      <c r="F1346" s="19">
        <v>7.46</v>
      </c>
      <c r="G1346" s="19" t="s">
        <v>2154</v>
      </c>
      <c r="H1346" s="19" t="s">
        <v>2160</v>
      </c>
    </row>
    <row r="1347" spans="1:8">
      <c r="A1347" s="18" t="s">
        <v>296</v>
      </c>
      <c r="B1347" s="18" t="s">
        <v>4154</v>
      </c>
      <c r="C1347" s="18" t="s">
        <v>1819</v>
      </c>
      <c r="D1347" s="18" t="s">
        <v>2696</v>
      </c>
      <c r="E1347" s="18" t="s">
        <v>2712</v>
      </c>
      <c r="F1347" s="18">
        <v>7.18</v>
      </c>
      <c r="G1347" s="18" t="s">
        <v>2154</v>
      </c>
      <c r="H1347" s="18" t="s">
        <v>2187</v>
      </c>
    </row>
    <row r="1348" spans="1:8">
      <c r="A1348" s="19" t="s">
        <v>296</v>
      </c>
      <c r="B1348" s="19" t="s">
        <v>4155</v>
      </c>
      <c r="C1348" s="19" t="s">
        <v>2204</v>
      </c>
      <c r="D1348" s="19" t="s">
        <v>2640</v>
      </c>
      <c r="E1348" s="19" t="s">
        <v>2895</v>
      </c>
      <c r="F1348" s="19">
        <v>6.67</v>
      </c>
      <c r="G1348" s="19" t="s">
        <v>2154</v>
      </c>
      <c r="H1348" s="19" t="s">
        <v>2187</v>
      </c>
    </row>
    <row r="1349" spans="1:8">
      <c r="A1349" s="18" t="s">
        <v>296</v>
      </c>
      <c r="B1349" s="18" t="s">
        <v>4156</v>
      </c>
      <c r="C1349" s="18" t="s">
        <v>1843</v>
      </c>
      <c r="D1349" s="18" t="s">
        <v>2416</v>
      </c>
      <c r="E1349" s="18" t="s">
        <v>2663</v>
      </c>
      <c r="F1349" s="18">
        <v>8.0299999999999994</v>
      </c>
      <c r="G1349" s="18" t="s">
        <v>2154</v>
      </c>
      <c r="H1349" s="18" t="s">
        <v>2171</v>
      </c>
    </row>
    <row r="1350" spans="1:8">
      <c r="A1350" s="19" t="s">
        <v>296</v>
      </c>
      <c r="B1350" s="19" t="s">
        <v>4157</v>
      </c>
      <c r="C1350" s="19" t="s">
        <v>2211</v>
      </c>
      <c r="D1350" s="19" t="s">
        <v>2575</v>
      </c>
      <c r="E1350" s="19" t="s">
        <v>3006</v>
      </c>
      <c r="F1350" s="19">
        <v>8.69</v>
      </c>
      <c r="G1350" s="19" t="s">
        <v>2154</v>
      </c>
      <c r="H1350" s="19" t="s">
        <v>2187</v>
      </c>
    </row>
    <row r="1351" spans="1:8">
      <c r="A1351" s="18" t="s">
        <v>296</v>
      </c>
      <c r="B1351" s="18" t="s">
        <v>4158</v>
      </c>
      <c r="C1351" s="18" t="s">
        <v>2215</v>
      </c>
      <c r="D1351" s="18" t="s">
        <v>2680</v>
      </c>
      <c r="E1351" s="18" t="s">
        <v>2294</v>
      </c>
      <c r="F1351" s="18">
        <v>8.94</v>
      </c>
      <c r="G1351" s="18" t="s">
        <v>2154</v>
      </c>
      <c r="H1351" s="18" t="s">
        <v>2155</v>
      </c>
    </row>
    <row r="1352" spans="1:8">
      <c r="A1352" s="19" t="s">
        <v>296</v>
      </c>
      <c r="B1352" s="19" t="s">
        <v>4159</v>
      </c>
      <c r="C1352" s="19" t="s">
        <v>2219</v>
      </c>
      <c r="D1352" s="19" t="s">
        <v>2356</v>
      </c>
      <c r="E1352" s="19" t="s">
        <v>3064</v>
      </c>
      <c r="F1352" s="19">
        <v>9.69</v>
      </c>
      <c r="G1352" s="19" t="s">
        <v>2154</v>
      </c>
      <c r="H1352" s="19" t="s">
        <v>2155</v>
      </c>
    </row>
    <row r="1353" spans="1:8">
      <c r="A1353" s="18" t="s">
        <v>296</v>
      </c>
      <c r="B1353" s="18" t="s">
        <v>4160</v>
      </c>
      <c r="C1353" s="18" t="s">
        <v>2222</v>
      </c>
      <c r="D1353" s="18" t="s">
        <v>3123</v>
      </c>
      <c r="E1353" s="18" t="s">
        <v>2745</v>
      </c>
      <c r="F1353" s="18">
        <v>9.39</v>
      </c>
      <c r="G1353" s="18" t="s">
        <v>2154</v>
      </c>
      <c r="H1353" s="18" t="s">
        <v>2171</v>
      </c>
    </row>
    <row r="1354" spans="1:8">
      <c r="A1354" s="19" t="s">
        <v>296</v>
      </c>
      <c r="B1354" s="19" t="s">
        <v>4161</v>
      </c>
      <c r="C1354" s="19" t="s">
        <v>2226</v>
      </c>
      <c r="D1354" s="19" t="s">
        <v>2823</v>
      </c>
      <c r="E1354" s="19" t="s">
        <v>4162</v>
      </c>
      <c r="F1354" s="19">
        <v>10.61</v>
      </c>
      <c r="G1354" s="19" t="s">
        <v>2154</v>
      </c>
      <c r="H1354" s="19" t="s">
        <v>2160</v>
      </c>
    </row>
    <row r="1355" spans="1:8">
      <c r="A1355" s="18" t="s">
        <v>296</v>
      </c>
      <c r="B1355" s="18" t="s">
        <v>4163</v>
      </c>
      <c r="C1355" s="18" t="s">
        <v>2230</v>
      </c>
      <c r="D1355" s="18" t="s">
        <v>2419</v>
      </c>
      <c r="E1355" s="18" t="s">
        <v>3404</v>
      </c>
      <c r="F1355" s="18">
        <v>8.57</v>
      </c>
      <c r="G1355" s="18" t="s">
        <v>2154</v>
      </c>
      <c r="H1355" s="18" t="s">
        <v>2187</v>
      </c>
    </row>
    <row r="1356" spans="1:8">
      <c r="A1356" s="19" t="s">
        <v>296</v>
      </c>
      <c r="B1356" s="19" t="s">
        <v>4164</v>
      </c>
      <c r="C1356" s="19" t="s">
        <v>2234</v>
      </c>
      <c r="D1356" s="19" t="s">
        <v>2632</v>
      </c>
      <c r="E1356" s="19" t="s">
        <v>4104</v>
      </c>
      <c r="F1356" s="19">
        <v>6.89</v>
      </c>
      <c r="G1356" s="19" t="s">
        <v>2154</v>
      </c>
      <c r="H1356" s="19" t="s">
        <v>2171</v>
      </c>
    </row>
    <row r="1357" spans="1:8">
      <c r="A1357" s="18" t="s">
        <v>296</v>
      </c>
      <c r="B1357" s="18" t="s">
        <v>4165</v>
      </c>
      <c r="C1357" s="18" t="s">
        <v>2238</v>
      </c>
      <c r="D1357" s="18"/>
      <c r="E1357" s="18"/>
      <c r="F1357" s="18"/>
      <c r="G1357" s="18" t="s">
        <v>2163</v>
      </c>
      <c r="H1357" s="18" t="s">
        <v>2171</v>
      </c>
    </row>
    <row r="1358" spans="1:8">
      <c r="A1358" s="19" t="s">
        <v>296</v>
      </c>
      <c r="B1358" s="19" t="s">
        <v>4166</v>
      </c>
      <c r="C1358" s="19" t="s">
        <v>2241</v>
      </c>
      <c r="D1358" s="19" t="s">
        <v>2632</v>
      </c>
      <c r="E1358" s="19" t="s">
        <v>4104</v>
      </c>
      <c r="F1358" s="19">
        <v>6.78</v>
      </c>
      <c r="G1358" s="19" t="s">
        <v>2154</v>
      </c>
      <c r="H1358" s="19" t="s">
        <v>2187</v>
      </c>
    </row>
    <row r="1359" spans="1:8">
      <c r="A1359" s="18" t="s">
        <v>296</v>
      </c>
      <c r="B1359" s="18" t="s">
        <v>4167</v>
      </c>
      <c r="C1359" s="18" t="s">
        <v>2245</v>
      </c>
      <c r="D1359" s="18" t="s">
        <v>2578</v>
      </c>
      <c r="E1359" s="18" t="s">
        <v>2871</v>
      </c>
      <c r="F1359" s="18">
        <v>7.68</v>
      </c>
      <c r="G1359" s="18" t="s">
        <v>2154</v>
      </c>
      <c r="H1359" s="18" t="s">
        <v>2160</v>
      </c>
    </row>
    <row r="1360" spans="1:8">
      <c r="A1360" s="19" t="s">
        <v>296</v>
      </c>
      <c r="B1360" s="19" t="s">
        <v>4168</v>
      </c>
      <c r="C1360" s="19" t="s">
        <v>2249</v>
      </c>
      <c r="D1360" s="19" t="s">
        <v>2413</v>
      </c>
      <c r="E1360" s="19" t="s">
        <v>4169</v>
      </c>
      <c r="F1360" s="19">
        <v>6.65</v>
      </c>
      <c r="G1360" s="19" t="s">
        <v>2154</v>
      </c>
      <c r="H1360" s="19" t="s">
        <v>2155</v>
      </c>
    </row>
    <row r="1361" spans="1:8">
      <c r="A1361" s="18" t="s">
        <v>296</v>
      </c>
      <c r="B1361" s="18" t="s">
        <v>4170</v>
      </c>
      <c r="C1361" s="18" t="s">
        <v>2252</v>
      </c>
      <c r="D1361" s="18" t="s">
        <v>2528</v>
      </c>
      <c r="E1361" s="18" t="s">
        <v>3248</v>
      </c>
      <c r="F1361" s="18">
        <v>6.58</v>
      </c>
      <c r="G1361" s="18" t="s">
        <v>2154</v>
      </c>
      <c r="H1361" s="18" t="s">
        <v>2171</v>
      </c>
    </row>
    <row r="1362" spans="1:8">
      <c r="A1362" s="19" t="s">
        <v>296</v>
      </c>
      <c r="B1362" s="19" t="s">
        <v>4171</v>
      </c>
      <c r="C1362" s="19" t="s">
        <v>2376</v>
      </c>
      <c r="D1362" s="19" t="s">
        <v>2181</v>
      </c>
      <c r="E1362" s="19" t="s">
        <v>2633</v>
      </c>
      <c r="F1362" s="19">
        <v>8.83</v>
      </c>
      <c r="G1362" s="19" t="s">
        <v>2154</v>
      </c>
      <c r="H1362" s="19" t="s">
        <v>2160</v>
      </c>
    </row>
    <row r="1363" spans="1:8">
      <c r="A1363" s="18" t="s">
        <v>296</v>
      </c>
      <c r="B1363" s="18" t="s">
        <v>4172</v>
      </c>
      <c r="C1363" s="18" t="s">
        <v>2260</v>
      </c>
      <c r="D1363" s="18" t="s">
        <v>2589</v>
      </c>
      <c r="E1363" s="18" t="s">
        <v>2622</v>
      </c>
      <c r="F1363" s="18">
        <v>7.11</v>
      </c>
      <c r="G1363" s="18" t="s">
        <v>2154</v>
      </c>
      <c r="H1363" s="18" t="s">
        <v>2155</v>
      </c>
    </row>
    <row r="1364" spans="1:8">
      <c r="A1364" s="19" t="s">
        <v>296</v>
      </c>
      <c r="B1364" s="19" t="s">
        <v>4173</v>
      </c>
      <c r="C1364" s="19" t="s">
        <v>2264</v>
      </c>
      <c r="D1364" s="19" t="s">
        <v>2594</v>
      </c>
      <c r="E1364" s="19" t="s">
        <v>2595</v>
      </c>
      <c r="F1364" s="19">
        <v>8.1199999999999992</v>
      </c>
      <c r="G1364" s="19" t="s">
        <v>2154</v>
      </c>
      <c r="H1364" s="19" t="s">
        <v>2155</v>
      </c>
    </row>
    <row r="1365" spans="1:8">
      <c r="A1365" s="18" t="s">
        <v>296</v>
      </c>
      <c r="B1365" s="18" t="s">
        <v>4174</v>
      </c>
      <c r="C1365" s="18" t="s">
        <v>1948</v>
      </c>
      <c r="D1365" s="18" t="s">
        <v>2589</v>
      </c>
      <c r="E1365" s="18" t="s">
        <v>2601</v>
      </c>
      <c r="F1365" s="18">
        <v>8.81</v>
      </c>
      <c r="G1365" s="18" t="s">
        <v>2154</v>
      </c>
      <c r="H1365" s="18" t="s">
        <v>2155</v>
      </c>
    </row>
    <row r="1366" spans="1:8">
      <c r="A1366" s="19" t="s">
        <v>296</v>
      </c>
      <c r="B1366" s="19" t="s">
        <v>4175</v>
      </c>
      <c r="C1366" s="19" t="s">
        <v>4176</v>
      </c>
      <c r="D1366" s="19" t="s">
        <v>2814</v>
      </c>
      <c r="E1366" s="19" t="s">
        <v>3372</v>
      </c>
      <c r="F1366" s="19">
        <v>7.48</v>
      </c>
      <c r="G1366" s="19" t="s">
        <v>2154</v>
      </c>
      <c r="H1366" s="19" t="s">
        <v>2155</v>
      </c>
    </row>
    <row r="1367" spans="1:8">
      <c r="A1367" s="18" t="s">
        <v>296</v>
      </c>
      <c r="B1367" s="18" t="s">
        <v>4177</v>
      </c>
      <c r="C1367" s="18" t="s">
        <v>4178</v>
      </c>
      <c r="D1367" s="18" t="s">
        <v>2807</v>
      </c>
      <c r="E1367" s="18" t="s">
        <v>2726</v>
      </c>
      <c r="F1367" s="18">
        <v>8.0299999999999994</v>
      </c>
      <c r="G1367" s="18" t="s">
        <v>2154</v>
      </c>
      <c r="H1367" s="18" t="s">
        <v>2160</v>
      </c>
    </row>
    <row r="1368" spans="1:8">
      <c r="A1368" s="19" t="s">
        <v>296</v>
      </c>
      <c r="B1368" s="19" t="s">
        <v>4179</v>
      </c>
      <c r="C1368" s="19" t="s">
        <v>2277</v>
      </c>
      <c r="D1368" s="19" t="s">
        <v>2359</v>
      </c>
      <c r="E1368" s="19" t="s">
        <v>3671</v>
      </c>
      <c r="F1368" s="19">
        <v>10.42</v>
      </c>
      <c r="G1368" s="19" t="s">
        <v>2154</v>
      </c>
      <c r="H1368" s="19" t="s">
        <v>2171</v>
      </c>
    </row>
    <row r="1369" spans="1:8">
      <c r="A1369" s="18" t="s">
        <v>296</v>
      </c>
      <c r="B1369" s="18" t="s">
        <v>4180</v>
      </c>
      <c r="C1369" s="18" t="s">
        <v>2281</v>
      </c>
      <c r="D1369" s="18" t="s">
        <v>3106</v>
      </c>
      <c r="E1369" s="18" t="s">
        <v>4181</v>
      </c>
      <c r="F1369" s="18">
        <v>10.72</v>
      </c>
      <c r="G1369" s="18" t="s">
        <v>2154</v>
      </c>
      <c r="H1369" s="18" t="s">
        <v>2160</v>
      </c>
    </row>
    <row r="1370" spans="1:8">
      <c r="A1370" s="19" t="s">
        <v>296</v>
      </c>
      <c r="B1370" s="19" t="s">
        <v>4182</v>
      </c>
      <c r="C1370" s="19" t="s">
        <v>2396</v>
      </c>
      <c r="D1370" s="19" t="s">
        <v>2761</v>
      </c>
      <c r="E1370" s="19" t="s">
        <v>2753</v>
      </c>
      <c r="F1370" s="19">
        <v>7.79</v>
      </c>
      <c r="G1370" s="19" t="s">
        <v>2154</v>
      </c>
      <c r="H1370" s="19" t="s">
        <v>2160</v>
      </c>
    </row>
    <row r="1371" spans="1:8">
      <c r="A1371" s="18" t="s">
        <v>296</v>
      </c>
      <c r="B1371" s="18" t="s">
        <v>4183</v>
      </c>
      <c r="C1371" s="18" t="s">
        <v>2289</v>
      </c>
      <c r="D1371" s="18" t="s">
        <v>3306</v>
      </c>
      <c r="E1371" s="18" t="s">
        <v>2847</v>
      </c>
      <c r="F1371" s="18">
        <v>8.39</v>
      </c>
      <c r="G1371" s="18" t="s">
        <v>2154</v>
      </c>
      <c r="H1371" s="18" t="s">
        <v>2155</v>
      </c>
    </row>
    <row r="1372" spans="1:8">
      <c r="A1372" s="19" t="s">
        <v>296</v>
      </c>
      <c r="B1372" s="19" t="s">
        <v>4184</v>
      </c>
      <c r="C1372" s="19" t="s">
        <v>2293</v>
      </c>
      <c r="D1372" s="19" t="s">
        <v>2589</v>
      </c>
      <c r="E1372" s="19" t="s">
        <v>2601</v>
      </c>
      <c r="F1372" s="19">
        <v>8.56</v>
      </c>
      <c r="G1372" s="19" t="s">
        <v>2154</v>
      </c>
      <c r="H1372" s="19" t="s">
        <v>2171</v>
      </c>
    </row>
    <row r="1373" spans="1:8">
      <c r="A1373" s="18" t="s">
        <v>296</v>
      </c>
      <c r="B1373" s="18" t="s">
        <v>4185</v>
      </c>
      <c r="C1373" s="18" t="s">
        <v>2296</v>
      </c>
      <c r="D1373" s="18" t="s">
        <v>2470</v>
      </c>
      <c r="E1373" s="18" t="s">
        <v>2712</v>
      </c>
      <c r="F1373" s="18">
        <v>6.59</v>
      </c>
      <c r="G1373" s="18" t="s">
        <v>2154</v>
      </c>
      <c r="H1373" s="18" t="s">
        <v>2171</v>
      </c>
    </row>
    <row r="1374" spans="1:8">
      <c r="A1374" s="19" t="s">
        <v>296</v>
      </c>
      <c r="B1374" s="19" t="s">
        <v>4186</v>
      </c>
      <c r="C1374" s="19" t="s">
        <v>2300</v>
      </c>
      <c r="D1374" s="19" t="s">
        <v>2282</v>
      </c>
      <c r="E1374" s="19" t="s">
        <v>3201</v>
      </c>
      <c r="F1374" s="19">
        <v>11.32</v>
      </c>
      <c r="G1374" s="19" t="s">
        <v>2154</v>
      </c>
      <c r="H1374" s="19" t="s">
        <v>2160</v>
      </c>
    </row>
    <row r="1375" spans="1:8">
      <c r="A1375" s="18" t="s">
        <v>296</v>
      </c>
      <c r="B1375" s="18" t="s">
        <v>4187</v>
      </c>
      <c r="C1375" s="18" t="s">
        <v>2144</v>
      </c>
      <c r="D1375" s="18" t="s">
        <v>2835</v>
      </c>
      <c r="E1375" s="18" t="s">
        <v>2706</v>
      </c>
      <c r="F1375" s="18">
        <v>6.99</v>
      </c>
      <c r="G1375" s="18" t="s">
        <v>2154</v>
      </c>
      <c r="H1375" s="18" t="s">
        <v>2155</v>
      </c>
    </row>
    <row r="1376" spans="1:8">
      <c r="A1376" s="19" t="s">
        <v>296</v>
      </c>
      <c r="B1376" s="19" t="s">
        <v>4188</v>
      </c>
      <c r="C1376" s="19" t="s">
        <v>2307</v>
      </c>
      <c r="D1376" s="19" t="s">
        <v>2951</v>
      </c>
      <c r="E1376" s="19" t="s">
        <v>3900</v>
      </c>
      <c r="F1376" s="19">
        <v>7.24</v>
      </c>
      <c r="G1376" s="19" t="s">
        <v>2154</v>
      </c>
      <c r="H1376" s="19" t="s">
        <v>2187</v>
      </c>
    </row>
    <row r="1377" spans="1:8">
      <c r="A1377" s="18" t="s">
        <v>296</v>
      </c>
      <c r="B1377" s="18" t="s">
        <v>4189</v>
      </c>
      <c r="C1377" s="18" t="s">
        <v>2311</v>
      </c>
      <c r="D1377" s="18" t="s">
        <v>2383</v>
      </c>
      <c r="E1377" s="18" t="s">
        <v>2511</v>
      </c>
      <c r="F1377" s="18">
        <v>7.32</v>
      </c>
      <c r="G1377" s="18" t="s">
        <v>2154</v>
      </c>
      <c r="H1377" s="18" t="s">
        <v>2187</v>
      </c>
    </row>
    <row r="1378" spans="1:8">
      <c r="A1378" s="19" t="s">
        <v>1004</v>
      </c>
      <c r="B1378" s="19" t="s">
        <v>4190</v>
      </c>
      <c r="C1378" s="19" t="s">
        <v>2038</v>
      </c>
      <c r="D1378" s="19" t="s">
        <v>2380</v>
      </c>
      <c r="E1378" s="19" t="s">
        <v>2934</v>
      </c>
      <c r="F1378" s="19">
        <v>8.15</v>
      </c>
      <c r="G1378" s="19" t="s">
        <v>2154</v>
      </c>
      <c r="H1378" s="19" t="s">
        <v>2171</v>
      </c>
    </row>
    <row r="1379" spans="1:8">
      <c r="A1379" s="18" t="s">
        <v>1004</v>
      </c>
      <c r="B1379" s="18" t="s">
        <v>4191</v>
      </c>
      <c r="C1379" s="18" t="s">
        <v>2157</v>
      </c>
      <c r="D1379" s="18" t="s">
        <v>2223</v>
      </c>
      <c r="E1379" s="18" t="s">
        <v>2492</v>
      </c>
      <c r="F1379" s="18">
        <v>8.35</v>
      </c>
      <c r="G1379" s="18" t="s">
        <v>2154</v>
      </c>
      <c r="H1379" s="18" t="s">
        <v>2155</v>
      </c>
    </row>
    <row r="1380" spans="1:8">
      <c r="A1380" s="19" t="s">
        <v>1004</v>
      </c>
      <c r="B1380" s="19" t="s">
        <v>4192</v>
      </c>
      <c r="C1380" s="19" t="s">
        <v>2162</v>
      </c>
      <c r="D1380" s="19"/>
      <c r="E1380" s="19"/>
      <c r="F1380" s="19"/>
      <c r="G1380" s="19" t="s">
        <v>2343</v>
      </c>
      <c r="H1380" s="19" t="s">
        <v>2171</v>
      </c>
    </row>
    <row r="1381" spans="1:8">
      <c r="A1381" s="18" t="s">
        <v>1004</v>
      </c>
      <c r="B1381" s="18" t="s">
        <v>4193</v>
      </c>
      <c r="C1381" s="18" t="s">
        <v>1937</v>
      </c>
      <c r="D1381" s="18" t="s">
        <v>2662</v>
      </c>
      <c r="E1381" s="18" t="s">
        <v>3379</v>
      </c>
      <c r="F1381" s="18">
        <v>11.44</v>
      </c>
      <c r="G1381" s="18" t="s">
        <v>2154</v>
      </c>
      <c r="H1381" s="18" t="s">
        <v>2155</v>
      </c>
    </row>
    <row r="1382" spans="1:8">
      <c r="A1382" s="19" t="s">
        <v>1004</v>
      </c>
      <c r="B1382" s="19" t="s">
        <v>4194</v>
      </c>
      <c r="C1382" s="19" t="s">
        <v>2168</v>
      </c>
      <c r="D1382" s="19" t="s">
        <v>2835</v>
      </c>
      <c r="E1382" s="19" t="s">
        <v>4195</v>
      </c>
      <c r="F1382" s="19">
        <v>10.26</v>
      </c>
      <c r="G1382" s="19" t="s">
        <v>2154</v>
      </c>
      <c r="H1382" s="19" t="s">
        <v>2187</v>
      </c>
    </row>
    <row r="1383" spans="1:8">
      <c r="A1383" s="18" t="s">
        <v>1004</v>
      </c>
      <c r="B1383" s="18" t="s">
        <v>4196</v>
      </c>
      <c r="C1383" s="18" t="s">
        <v>2173</v>
      </c>
      <c r="D1383" s="18" t="s">
        <v>2479</v>
      </c>
      <c r="E1383" s="18" t="s">
        <v>2685</v>
      </c>
      <c r="F1383" s="18">
        <v>9.39</v>
      </c>
      <c r="G1383" s="18" t="s">
        <v>2154</v>
      </c>
      <c r="H1383" s="18" t="s">
        <v>2160</v>
      </c>
    </row>
    <row r="1384" spans="1:8">
      <c r="A1384" s="19" t="s">
        <v>1004</v>
      </c>
      <c r="B1384" s="19" t="s">
        <v>4197</v>
      </c>
      <c r="C1384" s="19" t="s">
        <v>2177</v>
      </c>
      <c r="D1384" s="19" t="s">
        <v>2783</v>
      </c>
      <c r="E1384" s="19" t="s">
        <v>2315</v>
      </c>
      <c r="F1384" s="19">
        <v>8.44</v>
      </c>
      <c r="G1384" s="19" t="s">
        <v>2154</v>
      </c>
      <c r="H1384" s="19" t="s">
        <v>2187</v>
      </c>
    </row>
    <row r="1385" spans="1:8">
      <c r="A1385" s="18" t="s">
        <v>1004</v>
      </c>
      <c r="B1385" s="18" t="s">
        <v>4198</v>
      </c>
      <c r="C1385" s="18" t="s">
        <v>1945</v>
      </c>
      <c r="D1385" s="18" t="s">
        <v>2286</v>
      </c>
      <c r="E1385" s="18" t="s">
        <v>3043</v>
      </c>
      <c r="F1385" s="18">
        <v>8.25</v>
      </c>
      <c r="G1385" s="18" t="s">
        <v>2154</v>
      </c>
      <c r="H1385" s="18" t="s">
        <v>2171</v>
      </c>
    </row>
    <row r="1386" spans="1:8">
      <c r="A1386" s="19" t="s">
        <v>1004</v>
      </c>
      <c r="B1386" s="19" t="s">
        <v>4199</v>
      </c>
      <c r="C1386" s="19" t="s">
        <v>2184</v>
      </c>
      <c r="D1386" s="19" t="s">
        <v>2158</v>
      </c>
      <c r="E1386" s="19" t="s">
        <v>3093</v>
      </c>
      <c r="F1386" s="19">
        <v>10.36</v>
      </c>
      <c r="G1386" s="19" t="s">
        <v>2154</v>
      </c>
      <c r="H1386" s="19" t="s">
        <v>2155</v>
      </c>
    </row>
    <row r="1387" spans="1:8">
      <c r="A1387" s="18" t="s">
        <v>1004</v>
      </c>
      <c r="B1387" s="18" t="s">
        <v>4200</v>
      </c>
      <c r="C1387" s="18" t="s">
        <v>2189</v>
      </c>
      <c r="D1387" s="18" t="s">
        <v>2979</v>
      </c>
      <c r="E1387" s="18" t="s">
        <v>3308</v>
      </c>
      <c r="F1387" s="18">
        <v>11.14</v>
      </c>
      <c r="G1387" s="18" t="s">
        <v>2154</v>
      </c>
      <c r="H1387" s="18" t="s">
        <v>2187</v>
      </c>
    </row>
    <row r="1388" spans="1:8">
      <c r="A1388" s="19" t="s">
        <v>1004</v>
      </c>
      <c r="B1388" s="19" t="s">
        <v>4201</v>
      </c>
      <c r="C1388" s="19" t="s">
        <v>2193</v>
      </c>
      <c r="D1388" s="19" t="s">
        <v>2208</v>
      </c>
      <c r="E1388" s="19" t="s">
        <v>3671</v>
      </c>
      <c r="F1388" s="19">
        <v>8.9600000000000009</v>
      </c>
      <c r="G1388" s="19" t="s">
        <v>2154</v>
      </c>
      <c r="H1388" s="19" t="s">
        <v>2160</v>
      </c>
    </row>
    <row r="1389" spans="1:8">
      <c r="A1389" s="18" t="s">
        <v>1004</v>
      </c>
      <c r="B1389" s="18" t="s">
        <v>4202</v>
      </c>
      <c r="C1389" s="18" t="s">
        <v>2197</v>
      </c>
      <c r="D1389" s="18" t="s">
        <v>2616</v>
      </c>
      <c r="E1389" s="18" t="s">
        <v>3143</v>
      </c>
      <c r="F1389" s="18">
        <v>8.1</v>
      </c>
      <c r="G1389" s="18" t="s">
        <v>2154</v>
      </c>
      <c r="H1389" s="18" t="s">
        <v>2171</v>
      </c>
    </row>
    <row r="1390" spans="1:8">
      <c r="A1390" s="19" t="s">
        <v>1004</v>
      </c>
      <c r="B1390" s="19" t="s">
        <v>4203</v>
      </c>
      <c r="C1390" s="19" t="s">
        <v>1819</v>
      </c>
      <c r="D1390" s="19" t="s">
        <v>3180</v>
      </c>
      <c r="E1390" s="19" t="s">
        <v>3021</v>
      </c>
      <c r="F1390" s="19">
        <v>9.0299999999999994</v>
      </c>
      <c r="G1390" s="19" t="s">
        <v>2154</v>
      </c>
      <c r="H1390" s="19" t="s">
        <v>2160</v>
      </c>
    </row>
    <row r="1391" spans="1:8">
      <c r="A1391" s="18" t="s">
        <v>1004</v>
      </c>
      <c r="B1391" s="18" t="s">
        <v>4204</v>
      </c>
      <c r="C1391" s="18" t="s">
        <v>2204</v>
      </c>
      <c r="D1391" s="18" t="s">
        <v>2684</v>
      </c>
      <c r="E1391" s="18" t="s">
        <v>2685</v>
      </c>
      <c r="F1391" s="18">
        <v>7.63</v>
      </c>
      <c r="G1391" s="18" t="s">
        <v>2154</v>
      </c>
      <c r="H1391" s="18" t="s">
        <v>2155</v>
      </c>
    </row>
    <row r="1392" spans="1:8">
      <c r="A1392" s="19" t="s">
        <v>1004</v>
      </c>
      <c r="B1392" s="19" t="s">
        <v>4205</v>
      </c>
      <c r="C1392" s="19" t="s">
        <v>1843</v>
      </c>
      <c r="D1392" s="19"/>
      <c r="E1392" s="19"/>
      <c r="F1392" s="19"/>
      <c r="G1392" s="19" t="s">
        <v>2220</v>
      </c>
      <c r="H1392" s="19" t="s">
        <v>2155</v>
      </c>
    </row>
    <row r="1393" spans="1:8">
      <c r="A1393" s="18" t="s">
        <v>1004</v>
      </c>
      <c r="B1393" s="18" t="s">
        <v>4206</v>
      </c>
      <c r="C1393" s="18" t="s">
        <v>2211</v>
      </c>
      <c r="D1393" s="18"/>
      <c r="E1393" s="18"/>
      <c r="F1393" s="18"/>
      <c r="G1393" s="18" t="s">
        <v>2163</v>
      </c>
      <c r="H1393" s="18" t="s">
        <v>2155</v>
      </c>
    </row>
    <row r="1394" spans="1:8">
      <c r="A1394" s="19" t="s">
        <v>1004</v>
      </c>
      <c r="B1394" s="19" t="s">
        <v>4207</v>
      </c>
      <c r="C1394" s="19" t="s">
        <v>2215</v>
      </c>
      <c r="D1394" s="19" t="s">
        <v>2877</v>
      </c>
      <c r="E1394" s="19" t="s">
        <v>3191</v>
      </c>
      <c r="F1394" s="19">
        <v>10.45</v>
      </c>
      <c r="G1394" s="19" t="s">
        <v>2154</v>
      </c>
      <c r="H1394" s="19" t="s">
        <v>2155</v>
      </c>
    </row>
    <row r="1395" spans="1:8">
      <c r="A1395" s="18" t="s">
        <v>1004</v>
      </c>
      <c r="B1395" s="18" t="s">
        <v>4208</v>
      </c>
      <c r="C1395" s="18" t="s">
        <v>2219</v>
      </c>
      <c r="D1395" s="18" t="s">
        <v>2253</v>
      </c>
      <c r="E1395" s="18" t="s">
        <v>2254</v>
      </c>
      <c r="F1395" s="18">
        <v>9.64</v>
      </c>
      <c r="G1395" s="18" t="s">
        <v>2154</v>
      </c>
      <c r="H1395" s="18" t="s">
        <v>2187</v>
      </c>
    </row>
    <row r="1396" spans="1:8">
      <c r="A1396" s="19" t="s">
        <v>1004</v>
      </c>
      <c r="B1396" s="19" t="s">
        <v>4209</v>
      </c>
      <c r="C1396" s="19" t="s">
        <v>2222</v>
      </c>
      <c r="D1396" s="19" t="s">
        <v>2652</v>
      </c>
      <c r="E1396" s="19" t="s">
        <v>2995</v>
      </c>
      <c r="F1396" s="19">
        <v>8.84</v>
      </c>
      <c r="G1396" s="19" t="s">
        <v>2154</v>
      </c>
      <c r="H1396" s="19" t="s">
        <v>2155</v>
      </c>
    </row>
    <row r="1397" spans="1:8">
      <c r="A1397" s="18" t="s">
        <v>1004</v>
      </c>
      <c r="B1397" s="18" t="s">
        <v>4210</v>
      </c>
      <c r="C1397" s="18" t="s">
        <v>2226</v>
      </c>
      <c r="D1397" s="18" t="s">
        <v>2584</v>
      </c>
      <c r="E1397" s="18" t="s">
        <v>2585</v>
      </c>
      <c r="F1397" s="18">
        <v>9.57</v>
      </c>
      <c r="G1397" s="18" t="s">
        <v>2154</v>
      </c>
      <c r="H1397" s="18" t="s">
        <v>2171</v>
      </c>
    </row>
    <row r="1398" spans="1:8">
      <c r="A1398" s="19" t="s">
        <v>1004</v>
      </c>
      <c r="B1398" s="19" t="s">
        <v>4211</v>
      </c>
      <c r="C1398" s="19" t="s">
        <v>2742</v>
      </c>
      <c r="D1398" s="19" t="s">
        <v>2479</v>
      </c>
      <c r="E1398" s="19" t="s">
        <v>2480</v>
      </c>
      <c r="F1398" s="19">
        <v>8.67</v>
      </c>
      <c r="G1398" s="19" t="s">
        <v>2154</v>
      </c>
      <c r="H1398" s="19" t="s">
        <v>2155</v>
      </c>
    </row>
    <row r="1399" spans="1:8">
      <c r="A1399" s="18" t="s">
        <v>1004</v>
      </c>
      <c r="B1399" s="18" t="s">
        <v>4212</v>
      </c>
      <c r="C1399" s="18" t="s">
        <v>2234</v>
      </c>
      <c r="D1399" s="18" t="s">
        <v>3306</v>
      </c>
      <c r="E1399" s="18" t="s">
        <v>3555</v>
      </c>
      <c r="F1399" s="18">
        <v>10.7</v>
      </c>
      <c r="G1399" s="18" t="s">
        <v>2154</v>
      </c>
      <c r="H1399" s="18" t="s">
        <v>2171</v>
      </c>
    </row>
    <row r="1400" spans="1:8">
      <c r="A1400" s="19" t="s">
        <v>1004</v>
      </c>
      <c r="B1400" s="19" t="s">
        <v>4213</v>
      </c>
      <c r="C1400" s="19" t="s">
        <v>2238</v>
      </c>
      <c r="D1400" s="19" t="s">
        <v>2181</v>
      </c>
      <c r="E1400" s="19" t="s">
        <v>2938</v>
      </c>
      <c r="F1400" s="19">
        <v>7.15</v>
      </c>
      <c r="G1400" s="19" t="s">
        <v>2154</v>
      </c>
      <c r="H1400" s="19" t="s">
        <v>2171</v>
      </c>
    </row>
    <row r="1401" spans="1:8">
      <c r="A1401" s="18" t="s">
        <v>1004</v>
      </c>
      <c r="B1401" s="18" t="s">
        <v>4214</v>
      </c>
      <c r="C1401" s="18" t="s">
        <v>2241</v>
      </c>
      <c r="D1401" s="18" t="s">
        <v>2581</v>
      </c>
      <c r="E1401" s="18" t="s">
        <v>3266</v>
      </c>
      <c r="F1401" s="18">
        <v>8.02</v>
      </c>
      <c r="G1401" s="18" t="s">
        <v>2154</v>
      </c>
      <c r="H1401" s="18" t="s">
        <v>2160</v>
      </c>
    </row>
    <row r="1402" spans="1:8">
      <c r="A1402" s="19" t="s">
        <v>1004</v>
      </c>
      <c r="B1402" s="19" t="s">
        <v>4215</v>
      </c>
      <c r="C1402" s="19" t="s">
        <v>2245</v>
      </c>
      <c r="D1402" s="19" t="s">
        <v>2362</v>
      </c>
      <c r="E1402" s="19" t="s">
        <v>2366</v>
      </c>
      <c r="F1402" s="19">
        <v>8.11</v>
      </c>
      <c r="G1402" s="19" t="s">
        <v>2154</v>
      </c>
      <c r="H1402" s="19" t="s">
        <v>2187</v>
      </c>
    </row>
    <row r="1403" spans="1:8">
      <c r="A1403" s="18" t="s">
        <v>1004</v>
      </c>
      <c r="B1403" s="18" t="s">
        <v>4216</v>
      </c>
      <c r="C1403" s="18" t="s">
        <v>2249</v>
      </c>
      <c r="D1403" s="18" t="s">
        <v>2716</v>
      </c>
      <c r="E1403" s="18" t="s">
        <v>2529</v>
      </c>
      <c r="F1403" s="18">
        <v>9.39</v>
      </c>
      <c r="G1403" s="18" t="s">
        <v>2154</v>
      </c>
      <c r="H1403" s="18" t="s">
        <v>2187</v>
      </c>
    </row>
    <row r="1404" spans="1:8">
      <c r="A1404" s="19" t="s">
        <v>1004</v>
      </c>
      <c r="B1404" s="19" t="s">
        <v>4217</v>
      </c>
      <c r="C1404" s="19" t="s">
        <v>2252</v>
      </c>
      <c r="D1404" s="19" t="s">
        <v>2766</v>
      </c>
      <c r="E1404" s="19" t="s">
        <v>3262</v>
      </c>
      <c r="F1404" s="19">
        <v>6.97</v>
      </c>
      <c r="G1404" s="19" t="s">
        <v>2154</v>
      </c>
      <c r="H1404" s="19" t="s">
        <v>2155</v>
      </c>
    </row>
    <row r="1405" spans="1:8">
      <c r="A1405" s="18" t="s">
        <v>1004</v>
      </c>
      <c r="B1405" s="18" t="s">
        <v>4218</v>
      </c>
      <c r="C1405" s="18" t="s">
        <v>2376</v>
      </c>
      <c r="D1405" s="18" t="s">
        <v>2581</v>
      </c>
      <c r="E1405" s="18" t="s">
        <v>2582</v>
      </c>
      <c r="F1405" s="18">
        <v>9.23</v>
      </c>
      <c r="G1405" s="18" t="s">
        <v>2154</v>
      </c>
      <c r="H1405" s="18" t="s">
        <v>2187</v>
      </c>
    </row>
    <row r="1406" spans="1:8">
      <c r="A1406" s="19" t="s">
        <v>1004</v>
      </c>
      <c r="B1406" s="19" t="s">
        <v>4219</v>
      </c>
      <c r="C1406" s="19" t="s">
        <v>2260</v>
      </c>
      <c r="D1406" s="19" t="s">
        <v>2567</v>
      </c>
      <c r="E1406" s="19" t="s">
        <v>2551</v>
      </c>
      <c r="F1406" s="19">
        <v>9.4600000000000009</v>
      </c>
      <c r="G1406" s="19" t="s">
        <v>2154</v>
      </c>
      <c r="H1406" s="19" t="s">
        <v>2155</v>
      </c>
    </row>
    <row r="1407" spans="1:8">
      <c r="A1407" s="18" t="s">
        <v>1004</v>
      </c>
      <c r="B1407" s="18" t="s">
        <v>4220</v>
      </c>
      <c r="C1407" s="18" t="s">
        <v>2264</v>
      </c>
      <c r="D1407" s="18" t="s">
        <v>3106</v>
      </c>
      <c r="E1407" s="18" t="s">
        <v>3611</v>
      </c>
      <c r="F1407" s="18">
        <v>6.64</v>
      </c>
      <c r="G1407" s="18" t="s">
        <v>2154</v>
      </c>
      <c r="H1407" s="18" t="s">
        <v>2187</v>
      </c>
    </row>
    <row r="1408" spans="1:8">
      <c r="A1408" s="19" t="s">
        <v>1004</v>
      </c>
      <c r="B1408" s="19" t="s">
        <v>4221</v>
      </c>
      <c r="C1408" s="19" t="s">
        <v>1948</v>
      </c>
      <c r="D1408" s="19" t="s">
        <v>2801</v>
      </c>
      <c r="E1408" s="19" t="s">
        <v>2414</v>
      </c>
      <c r="F1408" s="19">
        <v>6.77</v>
      </c>
      <c r="G1408" s="19" t="s">
        <v>2154</v>
      </c>
      <c r="H1408" s="19" t="s">
        <v>2187</v>
      </c>
    </row>
    <row r="1409" spans="1:8">
      <c r="A1409" s="18" t="s">
        <v>1004</v>
      </c>
      <c r="B1409" s="18" t="s">
        <v>4222</v>
      </c>
      <c r="C1409" s="18" t="s">
        <v>2269</v>
      </c>
      <c r="D1409" s="18" t="s">
        <v>2616</v>
      </c>
      <c r="E1409" s="18" t="s">
        <v>3021</v>
      </c>
      <c r="F1409" s="18">
        <v>10.01</v>
      </c>
      <c r="G1409" s="18" t="s">
        <v>2154</v>
      </c>
      <c r="H1409" s="18" t="s">
        <v>2155</v>
      </c>
    </row>
    <row r="1410" spans="1:8">
      <c r="A1410" s="19" t="s">
        <v>1004</v>
      </c>
      <c r="B1410" s="19" t="s">
        <v>4223</v>
      </c>
      <c r="C1410" s="19" t="s">
        <v>2273</v>
      </c>
      <c r="D1410" s="19" t="s">
        <v>2880</v>
      </c>
      <c r="E1410" s="19" t="s">
        <v>2899</v>
      </c>
      <c r="F1410" s="19">
        <v>7.95</v>
      </c>
      <c r="G1410" s="19" t="s">
        <v>2154</v>
      </c>
      <c r="H1410" s="19" t="s">
        <v>2171</v>
      </c>
    </row>
    <row r="1411" spans="1:8">
      <c r="A1411" s="18" t="s">
        <v>1004</v>
      </c>
      <c r="B1411" s="18" t="s">
        <v>4224</v>
      </c>
      <c r="C1411" s="18" t="s">
        <v>2277</v>
      </c>
      <c r="D1411" s="18" t="s">
        <v>2246</v>
      </c>
      <c r="E1411" s="18" t="s">
        <v>2434</v>
      </c>
      <c r="F1411" s="18">
        <v>10.71</v>
      </c>
      <c r="G1411" s="18" t="s">
        <v>2154</v>
      </c>
      <c r="H1411" s="18" t="s">
        <v>2160</v>
      </c>
    </row>
    <row r="1412" spans="1:8">
      <c r="A1412" s="19" t="s">
        <v>1004</v>
      </c>
      <c r="B1412" s="19" t="s">
        <v>4225</v>
      </c>
      <c r="C1412" s="19" t="s">
        <v>2281</v>
      </c>
      <c r="D1412" s="19" t="s">
        <v>2880</v>
      </c>
      <c r="E1412" s="19" t="s">
        <v>3315</v>
      </c>
      <c r="F1412" s="19">
        <v>10.97</v>
      </c>
      <c r="G1412" s="19" t="s">
        <v>2154</v>
      </c>
      <c r="H1412" s="19" t="s">
        <v>2187</v>
      </c>
    </row>
    <row r="1413" spans="1:8">
      <c r="A1413" s="18" t="s">
        <v>1004</v>
      </c>
      <c r="B1413" s="18" t="s">
        <v>4226</v>
      </c>
      <c r="C1413" s="18" t="s">
        <v>2396</v>
      </c>
      <c r="D1413" s="18" t="s">
        <v>2428</v>
      </c>
      <c r="E1413" s="18" t="s">
        <v>2604</v>
      </c>
      <c r="F1413" s="18">
        <v>11.2</v>
      </c>
      <c r="G1413" s="18" t="s">
        <v>2154</v>
      </c>
      <c r="H1413" s="18" t="s">
        <v>2155</v>
      </c>
    </row>
    <row r="1414" spans="1:8">
      <c r="A1414" s="19" t="s">
        <v>1004</v>
      </c>
      <c r="B1414" s="19" t="s">
        <v>4227</v>
      </c>
      <c r="C1414" s="19" t="s">
        <v>2289</v>
      </c>
      <c r="D1414" s="19"/>
      <c r="E1414" s="19"/>
      <c r="F1414" s="19"/>
      <c r="G1414" s="19" t="s">
        <v>2343</v>
      </c>
      <c r="H1414" s="19" t="s">
        <v>2187</v>
      </c>
    </row>
    <row r="1415" spans="1:8">
      <c r="A1415" s="18" t="s">
        <v>1004</v>
      </c>
      <c r="B1415" s="18" t="s">
        <v>4228</v>
      </c>
      <c r="C1415" s="18" t="s">
        <v>2293</v>
      </c>
      <c r="D1415" s="18" t="s">
        <v>2345</v>
      </c>
      <c r="E1415" s="18" t="s">
        <v>3013</v>
      </c>
      <c r="F1415" s="18">
        <v>6.94</v>
      </c>
      <c r="G1415" s="18" t="s">
        <v>2154</v>
      </c>
      <c r="H1415" s="18" t="s">
        <v>2155</v>
      </c>
    </row>
    <row r="1416" spans="1:8">
      <c r="A1416" s="19" t="s">
        <v>1004</v>
      </c>
      <c r="B1416" s="19" t="s">
        <v>4229</v>
      </c>
      <c r="C1416" s="19" t="s">
        <v>2296</v>
      </c>
      <c r="D1416" s="19" t="s">
        <v>2323</v>
      </c>
      <c r="E1416" s="19" t="s">
        <v>2526</v>
      </c>
      <c r="F1416" s="19">
        <v>7.1</v>
      </c>
      <c r="G1416" s="19" t="s">
        <v>2154</v>
      </c>
      <c r="H1416" s="19" t="s">
        <v>2187</v>
      </c>
    </row>
    <row r="1417" spans="1:8">
      <c r="A1417" s="18" t="s">
        <v>1004</v>
      </c>
      <c r="B1417" s="18" t="s">
        <v>4230</v>
      </c>
      <c r="C1417" s="18" t="s">
        <v>2300</v>
      </c>
      <c r="D1417" s="18" t="s">
        <v>2885</v>
      </c>
      <c r="E1417" s="18" t="s">
        <v>3103</v>
      </c>
      <c r="F1417" s="18">
        <v>8.9600000000000009</v>
      </c>
      <c r="G1417" s="18" t="s">
        <v>2154</v>
      </c>
      <c r="H1417" s="18" t="s">
        <v>2187</v>
      </c>
    </row>
    <row r="1418" spans="1:8">
      <c r="A1418" s="19" t="s">
        <v>1004</v>
      </c>
      <c r="B1418" s="19" t="s">
        <v>4231</v>
      </c>
      <c r="C1418" s="19" t="s">
        <v>2144</v>
      </c>
      <c r="D1418" s="19" t="s">
        <v>2304</v>
      </c>
      <c r="E1418" s="19" t="s">
        <v>3008</v>
      </c>
      <c r="F1418" s="19">
        <v>10.28</v>
      </c>
      <c r="G1418" s="19" t="s">
        <v>2154</v>
      </c>
      <c r="H1418" s="19" t="s">
        <v>2160</v>
      </c>
    </row>
    <row r="1419" spans="1:8">
      <c r="A1419" s="18" t="s">
        <v>1004</v>
      </c>
      <c r="B1419" s="18" t="s">
        <v>4232</v>
      </c>
      <c r="C1419" s="18" t="s">
        <v>3114</v>
      </c>
      <c r="D1419" s="18" t="s">
        <v>3123</v>
      </c>
      <c r="E1419" s="18" t="s">
        <v>2217</v>
      </c>
      <c r="F1419" s="18">
        <v>7.86</v>
      </c>
      <c r="G1419" s="18" t="s">
        <v>2154</v>
      </c>
      <c r="H1419" s="18" t="s">
        <v>2171</v>
      </c>
    </row>
    <row r="1420" spans="1:8">
      <c r="A1420" s="19" t="s">
        <v>1004</v>
      </c>
      <c r="B1420" s="19" t="s">
        <v>4233</v>
      </c>
      <c r="C1420" s="19" t="s">
        <v>2311</v>
      </c>
      <c r="D1420" s="19" t="s">
        <v>2362</v>
      </c>
      <c r="E1420" s="19" t="s">
        <v>2363</v>
      </c>
      <c r="F1420" s="19">
        <v>10.88</v>
      </c>
      <c r="G1420" s="19" t="s">
        <v>2154</v>
      </c>
      <c r="H1420" s="19" t="s">
        <v>2171</v>
      </c>
    </row>
    <row r="1421" spans="1:8">
      <c r="A1421" s="18" t="s">
        <v>1179</v>
      </c>
      <c r="B1421" s="18" t="s">
        <v>4234</v>
      </c>
      <c r="C1421" s="18" t="s">
        <v>2038</v>
      </c>
      <c r="D1421" s="18" t="s">
        <v>3253</v>
      </c>
      <c r="E1421" s="18" t="s">
        <v>3245</v>
      </c>
      <c r="F1421" s="18">
        <v>9.69</v>
      </c>
      <c r="G1421" s="18" t="s">
        <v>2154</v>
      </c>
      <c r="H1421" s="18" t="s">
        <v>2171</v>
      </c>
    </row>
    <row r="1422" spans="1:8">
      <c r="A1422" s="19" t="s">
        <v>1179</v>
      </c>
      <c r="B1422" s="19" t="s">
        <v>4235</v>
      </c>
      <c r="C1422" s="19" t="s">
        <v>2157</v>
      </c>
      <c r="D1422" s="19"/>
      <c r="E1422" s="19"/>
      <c r="F1422" s="19"/>
      <c r="G1422" s="19" t="s">
        <v>2163</v>
      </c>
      <c r="H1422" s="19" t="s">
        <v>2171</v>
      </c>
    </row>
    <row r="1423" spans="1:8">
      <c r="A1423" s="18" t="s">
        <v>1179</v>
      </c>
      <c r="B1423" s="18" t="s">
        <v>4236</v>
      </c>
      <c r="C1423" s="18" t="s">
        <v>2162</v>
      </c>
      <c r="D1423" s="18" t="s">
        <v>3253</v>
      </c>
      <c r="E1423" s="18" t="s">
        <v>3245</v>
      </c>
      <c r="F1423" s="18">
        <v>9.7100000000000009</v>
      </c>
      <c r="G1423" s="18" t="s">
        <v>2154</v>
      </c>
      <c r="H1423" s="18" t="s">
        <v>2187</v>
      </c>
    </row>
    <row r="1424" spans="1:8">
      <c r="A1424" s="19" t="s">
        <v>1179</v>
      </c>
      <c r="B1424" s="19" t="s">
        <v>4237</v>
      </c>
      <c r="C1424" s="19" t="s">
        <v>1937</v>
      </c>
      <c r="D1424" s="19" t="s">
        <v>2823</v>
      </c>
      <c r="E1424" s="19" t="s">
        <v>4162</v>
      </c>
      <c r="F1424" s="19">
        <v>10.130000000000001</v>
      </c>
      <c r="G1424" s="19" t="s">
        <v>2154</v>
      </c>
      <c r="H1424" s="19" t="s">
        <v>2171</v>
      </c>
    </row>
    <row r="1425" spans="1:8">
      <c r="A1425" s="18" t="s">
        <v>1179</v>
      </c>
      <c r="B1425" s="18" t="s">
        <v>4238</v>
      </c>
      <c r="C1425" s="18" t="s">
        <v>2168</v>
      </c>
      <c r="D1425" s="18" t="s">
        <v>2383</v>
      </c>
      <c r="E1425" s="18" t="s">
        <v>2511</v>
      </c>
      <c r="F1425" s="18">
        <v>7.24</v>
      </c>
      <c r="G1425" s="18" t="s">
        <v>2154</v>
      </c>
      <c r="H1425" s="18" t="s">
        <v>2160</v>
      </c>
    </row>
    <row r="1426" spans="1:8">
      <c r="A1426" s="19" t="s">
        <v>1179</v>
      </c>
      <c r="B1426" s="19" t="s">
        <v>4239</v>
      </c>
      <c r="C1426" s="19" t="s">
        <v>2173</v>
      </c>
      <c r="D1426" s="19" t="s">
        <v>2423</v>
      </c>
      <c r="E1426" s="19" t="s">
        <v>3067</v>
      </c>
      <c r="F1426" s="19">
        <v>7.94</v>
      </c>
      <c r="G1426" s="19" t="s">
        <v>2154</v>
      </c>
      <c r="H1426" s="19" t="s">
        <v>2155</v>
      </c>
    </row>
    <row r="1427" spans="1:8">
      <c r="A1427" s="18" t="s">
        <v>1179</v>
      </c>
      <c r="B1427" s="18" t="s">
        <v>4240</v>
      </c>
      <c r="C1427" s="18" t="s">
        <v>2177</v>
      </c>
      <c r="D1427" s="18" t="s">
        <v>2473</v>
      </c>
      <c r="E1427" s="18" t="s">
        <v>4241</v>
      </c>
      <c r="F1427" s="18">
        <v>11.1</v>
      </c>
      <c r="G1427" s="18" t="s">
        <v>2154</v>
      </c>
      <c r="H1427" s="18" t="s">
        <v>2155</v>
      </c>
    </row>
    <row r="1428" spans="1:8">
      <c r="A1428" s="19" t="s">
        <v>1179</v>
      </c>
      <c r="B1428" s="19" t="s">
        <v>4242</v>
      </c>
      <c r="C1428" s="19" t="s">
        <v>1945</v>
      </c>
      <c r="D1428" s="19" t="s">
        <v>2786</v>
      </c>
      <c r="E1428" s="19" t="s">
        <v>2554</v>
      </c>
      <c r="F1428" s="19">
        <v>9.68</v>
      </c>
      <c r="G1428" s="19" t="s">
        <v>2154</v>
      </c>
      <c r="H1428" s="19" t="s">
        <v>2187</v>
      </c>
    </row>
    <row r="1429" spans="1:8">
      <c r="A1429" s="18" t="s">
        <v>1179</v>
      </c>
      <c r="B1429" s="18" t="s">
        <v>4243</v>
      </c>
      <c r="C1429" s="18" t="s">
        <v>2184</v>
      </c>
      <c r="D1429" s="18" t="s">
        <v>2326</v>
      </c>
      <c r="E1429" s="18" t="s">
        <v>2714</v>
      </c>
      <c r="F1429" s="18">
        <v>8.7200000000000006</v>
      </c>
      <c r="G1429" s="18" t="s">
        <v>2154</v>
      </c>
      <c r="H1429" s="18" t="s">
        <v>2155</v>
      </c>
    </row>
    <row r="1430" spans="1:8">
      <c r="A1430" s="19" t="s">
        <v>1179</v>
      </c>
      <c r="B1430" s="19" t="s">
        <v>4244</v>
      </c>
      <c r="C1430" s="19" t="s">
        <v>2189</v>
      </c>
      <c r="D1430" s="19" t="s">
        <v>2700</v>
      </c>
      <c r="E1430" s="19" t="s">
        <v>2897</v>
      </c>
      <c r="F1430" s="19">
        <v>9.08</v>
      </c>
      <c r="G1430" s="19" t="s">
        <v>2154</v>
      </c>
      <c r="H1430" s="19" t="s">
        <v>2171</v>
      </c>
    </row>
    <row r="1431" spans="1:8">
      <c r="A1431" s="18" t="s">
        <v>1179</v>
      </c>
      <c r="B1431" s="18" t="s">
        <v>4245</v>
      </c>
      <c r="C1431" s="18" t="s">
        <v>2193</v>
      </c>
      <c r="D1431" s="18" t="s">
        <v>3106</v>
      </c>
      <c r="E1431" s="18" t="s">
        <v>3611</v>
      </c>
      <c r="F1431" s="18">
        <v>6.57</v>
      </c>
      <c r="G1431" s="18" t="s">
        <v>2154</v>
      </c>
      <c r="H1431" s="18" t="s">
        <v>2187</v>
      </c>
    </row>
    <row r="1432" spans="1:8">
      <c r="A1432" s="19" t="s">
        <v>1179</v>
      </c>
      <c r="B1432" s="19" t="s">
        <v>4246</v>
      </c>
      <c r="C1432" s="19" t="s">
        <v>2197</v>
      </c>
      <c r="D1432" s="19" t="s">
        <v>3251</v>
      </c>
      <c r="E1432" s="19" t="s">
        <v>2562</v>
      </c>
      <c r="F1432" s="19">
        <v>10.23</v>
      </c>
      <c r="G1432" s="19" t="s">
        <v>2154</v>
      </c>
      <c r="H1432" s="19" t="s">
        <v>2160</v>
      </c>
    </row>
    <row r="1433" spans="1:8">
      <c r="A1433" s="18" t="s">
        <v>1179</v>
      </c>
      <c r="B1433" s="18" t="s">
        <v>4247</v>
      </c>
      <c r="C1433" s="18" t="s">
        <v>1819</v>
      </c>
      <c r="D1433" s="18" t="s">
        <v>2158</v>
      </c>
      <c r="E1433" s="18" t="s">
        <v>3093</v>
      </c>
      <c r="F1433" s="18">
        <v>10.52</v>
      </c>
      <c r="G1433" s="18" t="s">
        <v>2154</v>
      </c>
      <c r="H1433" s="18" t="s">
        <v>2155</v>
      </c>
    </row>
    <row r="1434" spans="1:8">
      <c r="A1434" s="19" t="s">
        <v>1179</v>
      </c>
      <c r="B1434" s="19" t="s">
        <v>4248</v>
      </c>
      <c r="C1434" s="19" t="s">
        <v>2204</v>
      </c>
      <c r="D1434" s="19" t="s">
        <v>2359</v>
      </c>
      <c r="E1434" s="19" t="s">
        <v>3437</v>
      </c>
      <c r="F1434" s="19">
        <v>8.56</v>
      </c>
      <c r="G1434" s="19" t="s">
        <v>2154</v>
      </c>
      <c r="H1434" s="19" t="s">
        <v>2171</v>
      </c>
    </row>
    <row r="1435" spans="1:8">
      <c r="A1435" s="18" t="s">
        <v>1179</v>
      </c>
      <c r="B1435" s="18" t="s">
        <v>4249</v>
      </c>
      <c r="C1435" s="18" t="s">
        <v>1843</v>
      </c>
      <c r="D1435" s="18" t="s">
        <v>2503</v>
      </c>
      <c r="E1435" s="18" t="s">
        <v>2271</v>
      </c>
      <c r="F1435" s="18">
        <v>7.29</v>
      </c>
      <c r="G1435" s="18" t="s">
        <v>2154</v>
      </c>
      <c r="H1435" s="18" t="s">
        <v>2155</v>
      </c>
    </row>
    <row r="1436" spans="1:8">
      <c r="A1436" s="19" t="s">
        <v>1179</v>
      </c>
      <c r="B1436" s="19" t="s">
        <v>4250</v>
      </c>
      <c r="C1436" s="19" t="s">
        <v>2211</v>
      </c>
      <c r="D1436" s="19" t="s">
        <v>2274</v>
      </c>
      <c r="E1436" s="19" t="s">
        <v>3003</v>
      </c>
      <c r="F1436" s="19">
        <v>9.01</v>
      </c>
      <c r="G1436" s="19" t="s">
        <v>2154</v>
      </c>
      <c r="H1436" s="19" t="s">
        <v>2155</v>
      </c>
    </row>
    <row r="1437" spans="1:8">
      <c r="A1437" s="18" t="s">
        <v>1179</v>
      </c>
      <c r="B1437" s="18" t="s">
        <v>4251</v>
      </c>
      <c r="C1437" s="18" t="s">
        <v>2215</v>
      </c>
      <c r="D1437" s="18" t="s">
        <v>2169</v>
      </c>
      <c r="E1437" s="18" t="s">
        <v>2962</v>
      </c>
      <c r="F1437" s="18">
        <v>11.03</v>
      </c>
      <c r="G1437" s="18" t="s">
        <v>2154</v>
      </c>
      <c r="H1437" s="18" t="s">
        <v>2160</v>
      </c>
    </row>
    <row r="1438" spans="1:8">
      <c r="A1438" s="19" t="s">
        <v>1179</v>
      </c>
      <c r="B1438" s="19" t="s">
        <v>4252</v>
      </c>
      <c r="C1438" s="19" t="s">
        <v>2219</v>
      </c>
      <c r="D1438" s="19" t="s">
        <v>2761</v>
      </c>
      <c r="E1438" s="19" t="s">
        <v>3153</v>
      </c>
      <c r="F1438" s="19">
        <v>9.49</v>
      </c>
      <c r="G1438" s="19" t="s">
        <v>2154</v>
      </c>
      <c r="H1438" s="19" t="s">
        <v>2155</v>
      </c>
    </row>
    <row r="1439" spans="1:8">
      <c r="A1439" s="18" t="s">
        <v>1179</v>
      </c>
      <c r="B1439" s="18" t="s">
        <v>4253</v>
      </c>
      <c r="C1439" s="18" t="s">
        <v>2222</v>
      </c>
      <c r="D1439" s="18" t="s">
        <v>2662</v>
      </c>
      <c r="E1439" s="18" t="s">
        <v>2969</v>
      </c>
      <c r="F1439" s="18">
        <v>8.82</v>
      </c>
      <c r="G1439" s="18" t="s">
        <v>2154</v>
      </c>
      <c r="H1439" s="18" t="s">
        <v>2155</v>
      </c>
    </row>
    <row r="1440" spans="1:8">
      <c r="A1440" s="19" t="s">
        <v>1179</v>
      </c>
      <c r="B1440" s="19" t="s">
        <v>4254</v>
      </c>
      <c r="C1440" s="19" t="s">
        <v>2226</v>
      </c>
      <c r="D1440" s="19" t="s">
        <v>2393</v>
      </c>
      <c r="E1440" s="19" t="s">
        <v>2568</v>
      </c>
      <c r="F1440" s="19">
        <v>9.6300000000000008</v>
      </c>
      <c r="G1440" s="19" t="s">
        <v>2154</v>
      </c>
      <c r="H1440" s="19" t="s">
        <v>2171</v>
      </c>
    </row>
    <row r="1441" spans="1:8">
      <c r="A1441" s="18" t="s">
        <v>1179</v>
      </c>
      <c r="B1441" s="18" t="s">
        <v>4255</v>
      </c>
      <c r="C1441" s="18" t="s">
        <v>2230</v>
      </c>
      <c r="D1441" s="18"/>
      <c r="E1441" s="18"/>
      <c r="F1441" s="18"/>
      <c r="G1441" s="18" t="s">
        <v>2220</v>
      </c>
      <c r="H1441" s="18" t="s">
        <v>2187</v>
      </c>
    </row>
    <row r="1442" spans="1:8">
      <c r="A1442" s="19" t="s">
        <v>1179</v>
      </c>
      <c r="B1442" s="19" t="s">
        <v>4256</v>
      </c>
      <c r="C1442" s="19" t="s">
        <v>2234</v>
      </c>
      <c r="D1442" s="19" t="s">
        <v>2880</v>
      </c>
      <c r="E1442" s="19" t="s">
        <v>2899</v>
      </c>
      <c r="F1442" s="19">
        <v>7.68</v>
      </c>
      <c r="G1442" s="19" t="s">
        <v>2154</v>
      </c>
      <c r="H1442" s="19" t="s">
        <v>2187</v>
      </c>
    </row>
    <row r="1443" spans="1:8">
      <c r="A1443" s="18" t="s">
        <v>1179</v>
      </c>
      <c r="B1443" s="18" t="s">
        <v>4257</v>
      </c>
      <c r="C1443" s="18" t="s">
        <v>2238</v>
      </c>
      <c r="D1443" s="18" t="s">
        <v>2796</v>
      </c>
      <c r="E1443" s="18" t="s">
        <v>3257</v>
      </c>
      <c r="F1443" s="18">
        <v>9.9600000000000009</v>
      </c>
      <c r="G1443" s="18" t="s">
        <v>2154</v>
      </c>
      <c r="H1443" s="18" t="s">
        <v>2187</v>
      </c>
    </row>
    <row r="1444" spans="1:8">
      <c r="A1444" s="19" t="s">
        <v>1179</v>
      </c>
      <c r="B1444" s="19" t="s">
        <v>4258</v>
      </c>
      <c r="C1444" s="19" t="s">
        <v>2241</v>
      </c>
      <c r="D1444" s="19" t="s">
        <v>2470</v>
      </c>
      <c r="E1444" s="19" t="s">
        <v>2434</v>
      </c>
      <c r="F1444" s="19">
        <v>8.19</v>
      </c>
      <c r="G1444" s="19" t="s">
        <v>2154</v>
      </c>
      <c r="H1444" s="19" t="s">
        <v>2171</v>
      </c>
    </row>
    <row r="1445" spans="1:8">
      <c r="A1445" s="18" t="s">
        <v>1179</v>
      </c>
      <c r="B1445" s="18" t="s">
        <v>4259</v>
      </c>
      <c r="C1445" s="18" t="s">
        <v>2245</v>
      </c>
      <c r="D1445" s="18" t="s">
        <v>3085</v>
      </c>
      <c r="E1445" s="18" t="s">
        <v>3086</v>
      </c>
      <c r="F1445" s="18">
        <v>11.2</v>
      </c>
      <c r="G1445" s="18" t="s">
        <v>2154</v>
      </c>
      <c r="H1445" s="18" t="s">
        <v>2160</v>
      </c>
    </row>
    <row r="1446" spans="1:8">
      <c r="A1446" s="19" t="s">
        <v>1179</v>
      </c>
      <c r="B1446" s="19" t="s">
        <v>4260</v>
      </c>
      <c r="C1446" s="19" t="s">
        <v>2249</v>
      </c>
      <c r="D1446" s="19" t="s">
        <v>2185</v>
      </c>
      <c r="E1446" s="19" t="s">
        <v>2843</v>
      </c>
      <c r="F1446" s="19">
        <v>8.3000000000000007</v>
      </c>
      <c r="G1446" s="19" t="s">
        <v>2154</v>
      </c>
      <c r="H1446" s="19" t="s">
        <v>2171</v>
      </c>
    </row>
    <row r="1447" spans="1:8">
      <c r="A1447" s="18" t="s">
        <v>1179</v>
      </c>
      <c r="B1447" s="18" t="s">
        <v>4261</v>
      </c>
      <c r="C1447" s="18" t="s">
        <v>2252</v>
      </c>
      <c r="D1447" s="18" t="s">
        <v>2359</v>
      </c>
      <c r="E1447" s="18" t="s">
        <v>2740</v>
      </c>
      <c r="F1447" s="18">
        <v>7.59</v>
      </c>
      <c r="G1447" s="18" t="s">
        <v>2154</v>
      </c>
      <c r="H1447" s="18" t="s">
        <v>2160</v>
      </c>
    </row>
    <row r="1448" spans="1:8">
      <c r="A1448" s="19" t="s">
        <v>1179</v>
      </c>
      <c r="B1448" s="19" t="s">
        <v>4262</v>
      </c>
      <c r="C1448" s="19" t="s">
        <v>2376</v>
      </c>
      <c r="D1448" s="19" t="s">
        <v>2494</v>
      </c>
      <c r="E1448" s="19" t="s">
        <v>3611</v>
      </c>
      <c r="F1448" s="19">
        <v>7.34</v>
      </c>
      <c r="G1448" s="19" t="s">
        <v>2154</v>
      </c>
      <c r="H1448" s="19" t="s">
        <v>2171</v>
      </c>
    </row>
    <row r="1449" spans="1:8">
      <c r="A1449" s="18" t="s">
        <v>1179</v>
      </c>
      <c r="B1449" s="18" t="s">
        <v>4263</v>
      </c>
      <c r="C1449" s="18" t="s">
        <v>2260</v>
      </c>
      <c r="D1449" s="18" t="s">
        <v>2488</v>
      </c>
      <c r="E1449" s="18" t="s">
        <v>2942</v>
      </c>
      <c r="F1449" s="18">
        <v>7.28</v>
      </c>
      <c r="G1449" s="18" t="s">
        <v>2154</v>
      </c>
      <c r="H1449" s="18" t="s">
        <v>2160</v>
      </c>
    </row>
    <row r="1450" spans="1:8">
      <c r="A1450" s="19" t="s">
        <v>1179</v>
      </c>
      <c r="B1450" s="19" t="s">
        <v>4264</v>
      </c>
      <c r="C1450" s="19" t="s">
        <v>2264</v>
      </c>
      <c r="D1450" s="19" t="s">
        <v>2521</v>
      </c>
      <c r="E1450" s="19" t="s">
        <v>3696</v>
      </c>
      <c r="F1450" s="19">
        <v>7.59</v>
      </c>
      <c r="G1450" s="19" t="s">
        <v>2154</v>
      </c>
      <c r="H1450" s="19" t="s">
        <v>2187</v>
      </c>
    </row>
    <row r="1451" spans="1:8">
      <c r="A1451" s="18" t="s">
        <v>1179</v>
      </c>
      <c r="B1451" s="18" t="s">
        <v>4265</v>
      </c>
      <c r="C1451" s="18" t="s">
        <v>1948</v>
      </c>
      <c r="D1451" s="18" t="s">
        <v>2178</v>
      </c>
      <c r="E1451" s="18" t="s">
        <v>3058</v>
      </c>
      <c r="F1451" s="18">
        <v>10.16</v>
      </c>
      <c r="G1451" s="18" t="s">
        <v>2154</v>
      </c>
      <c r="H1451" s="18" t="s">
        <v>2171</v>
      </c>
    </row>
    <row r="1452" spans="1:8">
      <c r="A1452" s="19" t="s">
        <v>1179</v>
      </c>
      <c r="B1452" s="19" t="s">
        <v>4266</v>
      </c>
      <c r="C1452" s="19" t="s">
        <v>2269</v>
      </c>
      <c r="D1452" s="19" t="s">
        <v>2584</v>
      </c>
      <c r="E1452" s="19" t="s">
        <v>2663</v>
      </c>
      <c r="F1452" s="19">
        <v>6.55</v>
      </c>
      <c r="G1452" s="19" t="s">
        <v>2154</v>
      </c>
      <c r="H1452" s="19" t="s">
        <v>2187</v>
      </c>
    </row>
    <row r="1453" spans="1:8">
      <c r="A1453" s="18" t="s">
        <v>1179</v>
      </c>
      <c r="B1453" s="18" t="s">
        <v>4267</v>
      </c>
      <c r="C1453" s="18" t="s">
        <v>2273</v>
      </c>
      <c r="D1453" s="18" t="s">
        <v>2485</v>
      </c>
      <c r="E1453" s="18" t="s">
        <v>2546</v>
      </c>
      <c r="F1453" s="18">
        <v>10.199999999999999</v>
      </c>
      <c r="G1453" s="18" t="s">
        <v>2154</v>
      </c>
      <c r="H1453" s="18" t="s">
        <v>2187</v>
      </c>
    </row>
    <row r="1454" spans="1:8">
      <c r="A1454" s="19" t="s">
        <v>1179</v>
      </c>
      <c r="B1454" s="19" t="s">
        <v>4268</v>
      </c>
      <c r="C1454" s="19" t="s">
        <v>2277</v>
      </c>
      <c r="D1454" s="19" t="s">
        <v>2216</v>
      </c>
      <c r="E1454" s="19" t="s">
        <v>2745</v>
      </c>
      <c r="F1454" s="19">
        <v>10.63</v>
      </c>
      <c r="G1454" s="19" t="s">
        <v>2154</v>
      </c>
      <c r="H1454" s="19" t="s">
        <v>2160</v>
      </c>
    </row>
    <row r="1455" spans="1:8">
      <c r="A1455" s="18" t="s">
        <v>1179</v>
      </c>
      <c r="B1455" s="18" t="s">
        <v>4269</v>
      </c>
      <c r="C1455" s="18" t="s">
        <v>2281</v>
      </c>
      <c r="D1455" s="18" t="s">
        <v>2348</v>
      </c>
      <c r="E1455" s="18" t="s">
        <v>2320</v>
      </c>
      <c r="F1455" s="18">
        <v>11.36</v>
      </c>
      <c r="G1455" s="18" t="s">
        <v>2154</v>
      </c>
      <c r="H1455" s="18" t="s">
        <v>2160</v>
      </c>
    </row>
    <row r="1456" spans="1:8">
      <c r="A1456" s="19" t="s">
        <v>1179</v>
      </c>
      <c r="B1456" s="19" t="s">
        <v>4270</v>
      </c>
      <c r="C1456" s="19" t="s">
        <v>2396</v>
      </c>
      <c r="D1456" s="19" t="s">
        <v>2397</v>
      </c>
      <c r="E1456" s="19" t="s">
        <v>3241</v>
      </c>
      <c r="F1456" s="19">
        <v>10.02</v>
      </c>
      <c r="G1456" s="19" t="s">
        <v>2154</v>
      </c>
      <c r="H1456" s="19" t="s">
        <v>2187</v>
      </c>
    </row>
    <row r="1457" spans="1:8">
      <c r="A1457" s="18" t="s">
        <v>1179</v>
      </c>
      <c r="B1457" s="18" t="s">
        <v>4271</v>
      </c>
      <c r="C1457" s="18" t="s">
        <v>2289</v>
      </c>
      <c r="D1457" s="18" t="s">
        <v>2823</v>
      </c>
      <c r="E1457" s="18" t="s">
        <v>3161</v>
      </c>
      <c r="F1457" s="18">
        <v>9.43</v>
      </c>
      <c r="G1457" s="18" t="s">
        <v>2154</v>
      </c>
      <c r="H1457" s="18" t="s">
        <v>2187</v>
      </c>
    </row>
    <row r="1458" spans="1:8">
      <c r="A1458" s="19" t="s">
        <v>1179</v>
      </c>
      <c r="B1458" s="19" t="s">
        <v>4272</v>
      </c>
      <c r="C1458" s="19" t="s">
        <v>2293</v>
      </c>
      <c r="D1458" s="19" t="s">
        <v>2830</v>
      </c>
      <c r="E1458" s="19" t="s">
        <v>2775</v>
      </c>
      <c r="F1458" s="19">
        <v>11.37</v>
      </c>
      <c r="G1458" s="19" t="s">
        <v>2154</v>
      </c>
      <c r="H1458" s="19" t="s">
        <v>2171</v>
      </c>
    </row>
    <row r="1459" spans="1:8">
      <c r="A1459" s="18" t="s">
        <v>1179</v>
      </c>
      <c r="B1459" s="18" t="s">
        <v>4273</v>
      </c>
      <c r="C1459" s="18" t="s">
        <v>2296</v>
      </c>
      <c r="D1459" s="18" t="s">
        <v>2709</v>
      </c>
      <c r="E1459" s="18" t="s">
        <v>2587</v>
      </c>
      <c r="F1459" s="18">
        <v>7.21</v>
      </c>
      <c r="G1459" s="18" t="s">
        <v>2154</v>
      </c>
      <c r="H1459" s="18" t="s">
        <v>2155</v>
      </c>
    </row>
    <row r="1460" spans="1:8">
      <c r="A1460" s="19" t="s">
        <v>1179</v>
      </c>
      <c r="B1460" s="19" t="s">
        <v>4274</v>
      </c>
      <c r="C1460" s="19" t="s">
        <v>2300</v>
      </c>
      <c r="D1460" s="19"/>
      <c r="E1460" s="19"/>
      <c r="F1460" s="19"/>
      <c r="G1460" s="19" t="s">
        <v>2343</v>
      </c>
      <c r="H1460" s="19" t="s">
        <v>2155</v>
      </c>
    </row>
    <row r="1461" spans="1:8">
      <c r="A1461" s="18" t="s">
        <v>1179</v>
      </c>
      <c r="B1461" s="18" t="s">
        <v>4275</v>
      </c>
      <c r="C1461" s="18" t="s">
        <v>2144</v>
      </c>
      <c r="D1461" s="18" t="s">
        <v>2464</v>
      </c>
      <c r="E1461" s="18" t="s">
        <v>2804</v>
      </c>
      <c r="F1461" s="18">
        <v>10.95</v>
      </c>
      <c r="G1461" s="18" t="s">
        <v>2154</v>
      </c>
      <c r="H1461" s="18" t="s">
        <v>2187</v>
      </c>
    </row>
    <row r="1462" spans="1:8">
      <c r="A1462" s="19" t="s">
        <v>1179</v>
      </c>
      <c r="B1462" s="19" t="s">
        <v>4276</v>
      </c>
      <c r="C1462" s="19" t="s">
        <v>2307</v>
      </c>
      <c r="D1462" s="19" t="s">
        <v>2786</v>
      </c>
      <c r="E1462" s="19" t="s">
        <v>2845</v>
      </c>
      <c r="F1462" s="19">
        <v>8.49</v>
      </c>
      <c r="G1462" s="19" t="s">
        <v>2154</v>
      </c>
      <c r="H1462" s="19" t="s">
        <v>2155</v>
      </c>
    </row>
    <row r="1463" spans="1:8">
      <c r="A1463" s="18" t="s">
        <v>1179</v>
      </c>
      <c r="B1463" s="18" t="s">
        <v>4277</v>
      </c>
      <c r="C1463" s="18" t="s">
        <v>2311</v>
      </c>
      <c r="D1463" s="18" t="s">
        <v>2205</v>
      </c>
      <c r="E1463" s="18" t="s">
        <v>2781</v>
      </c>
      <c r="F1463" s="18">
        <v>9.0500000000000007</v>
      </c>
      <c r="G1463" s="18" t="s">
        <v>2154</v>
      </c>
      <c r="H1463" s="18" t="s">
        <v>2171</v>
      </c>
    </row>
    <row r="1464" spans="1:8">
      <c r="A1464" s="19" t="s">
        <v>125</v>
      </c>
      <c r="B1464" s="19" t="s">
        <v>4278</v>
      </c>
      <c r="C1464" s="19" t="s">
        <v>2038</v>
      </c>
      <c r="D1464" s="19" t="s">
        <v>2452</v>
      </c>
      <c r="E1464" s="19" t="s">
        <v>2636</v>
      </c>
      <c r="F1464" s="19">
        <v>10.08</v>
      </c>
      <c r="G1464" s="19" t="s">
        <v>2154</v>
      </c>
      <c r="H1464" s="19" t="s">
        <v>2187</v>
      </c>
    </row>
    <row r="1465" spans="1:8">
      <c r="A1465" s="18" t="s">
        <v>125</v>
      </c>
      <c r="B1465" s="18" t="s">
        <v>4279</v>
      </c>
      <c r="C1465" s="18" t="s">
        <v>2157</v>
      </c>
      <c r="D1465" s="18" t="s">
        <v>2223</v>
      </c>
      <c r="E1465" s="18" t="s">
        <v>2224</v>
      </c>
      <c r="F1465" s="18">
        <v>11.05</v>
      </c>
      <c r="G1465" s="18" t="s">
        <v>2154</v>
      </c>
      <c r="H1465" s="18" t="s">
        <v>2171</v>
      </c>
    </row>
    <row r="1466" spans="1:8">
      <c r="A1466" s="19" t="s">
        <v>125</v>
      </c>
      <c r="B1466" s="19" t="s">
        <v>4280</v>
      </c>
      <c r="C1466" s="19" t="s">
        <v>2162</v>
      </c>
      <c r="D1466" s="19" t="s">
        <v>2575</v>
      </c>
      <c r="E1466" s="19" t="s">
        <v>2899</v>
      </c>
      <c r="F1466" s="19">
        <v>9.2799999999999994</v>
      </c>
      <c r="G1466" s="19" t="s">
        <v>2154</v>
      </c>
      <c r="H1466" s="19" t="s">
        <v>2155</v>
      </c>
    </row>
    <row r="1467" spans="1:8">
      <c r="A1467" s="18" t="s">
        <v>125</v>
      </c>
      <c r="B1467" s="18" t="s">
        <v>4281</v>
      </c>
      <c r="C1467" s="18" t="s">
        <v>1937</v>
      </c>
      <c r="D1467" s="18" t="s">
        <v>2951</v>
      </c>
      <c r="E1467" s="18" t="s">
        <v>2952</v>
      </c>
      <c r="F1467" s="18">
        <v>8.42</v>
      </c>
      <c r="G1467" s="18" t="s">
        <v>2154</v>
      </c>
      <c r="H1467" s="18" t="s">
        <v>2171</v>
      </c>
    </row>
    <row r="1468" spans="1:8">
      <c r="A1468" s="19" t="s">
        <v>125</v>
      </c>
      <c r="B1468" s="19" t="s">
        <v>4282</v>
      </c>
      <c r="C1468" s="19" t="s">
        <v>2168</v>
      </c>
      <c r="D1468" s="19" t="s">
        <v>2257</v>
      </c>
      <c r="E1468" s="19" t="s">
        <v>2258</v>
      </c>
      <c r="F1468" s="19">
        <v>8.91</v>
      </c>
      <c r="G1468" s="19" t="s">
        <v>2154</v>
      </c>
      <c r="H1468" s="19" t="s">
        <v>2160</v>
      </c>
    </row>
    <row r="1469" spans="1:8">
      <c r="A1469" s="18" t="s">
        <v>125</v>
      </c>
      <c r="B1469" s="18" t="s">
        <v>4283</v>
      </c>
      <c r="C1469" s="18" t="s">
        <v>2173</v>
      </c>
      <c r="D1469" s="18" t="s">
        <v>3261</v>
      </c>
      <c r="E1469" s="18" t="s">
        <v>2998</v>
      </c>
      <c r="F1469" s="18">
        <v>8.23</v>
      </c>
      <c r="G1469" s="18" t="s">
        <v>2154</v>
      </c>
      <c r="H1469" s="18" t="s">
        <v>2160</v>
      </c>
    </row>
    <row r="1470" spans="1:8">
      <c r="A1470" s="19" t="s">
        <v>125</v>
      </c>
      <c r="B1470" s="19" t="s">
        <v>4284</v>
      </c>
      <c r="C1470" s="19" t="s">
        <v>2177</v>
      </c>
      <c r="D1470" s="19" t="s">
        <v>2575</v>
      </c>
      <c r="E1470" s="19" t="s">
        <v>2598</v>
      </c>
      <c r="F1470" s="19">
        <v>11.17</v>
      </c>
      <c r="G1470" s="19" t="s">
        <v>2154</v>
      </c>
      <c r="H1470" s="19" t="s">
        <v>2160</v>
      </c>
    </row>
    <row r="1471" spans="1:8">
      <c r="A1471" s="18" t="s">
        <v>125</v>
      </c>
      <c r="B1471" s="18" t="s">
        <v>4285</v>
      </c>
      <c r="C1471" s="18" t="s">
        <v>1945</v>
      </c>
      <c r="D1471" s="18" t="s">
        <v>2297</v>
      </c>
      <c r="E1471" s="18" t="s">
        <v>3457</v>
      </c>
      <c r="F1471" s="18">
        <v>10.28</v>
      </c>
      <c r="G1471" s="18" t="s">
        <v>2154</v>
      </c>
      <c r="H1471" s="18" t="s">
        <v>2171</v>
      </c>
    </row>
    <row r="1472" spans="1:8">
      <c r="A1472" s="19" t="s">
        <v>125</v>
      </c>
      <c r="B1472" s="19" t="s">
        <v>4286</v>
      </c>
      <c r="C1472" s="19" t="s">
        <v>2184</v>
      </c>
      <c r="D1472" s="19" t="s">
        <v>2521</v>
      </c>
      <c r="E1472" s="19" t="s">
        <v>3078</v>
      </c>
      <c r="F1472" s="19">
        <v>9.9499999999999993</v>
      </c>
      <c r="G1472" s="19" t="s">
        <v>2154</v>
      </c>
      <c r="H1472" s="19" t="s">
        <v>2155</v>
      </c>
    </row>
    <row r="1473" spans="1:8">
      <c r="A1473" s="18" t="s">
        <v>125</v>
      </c>
      <c r="B1473" s="18" t="s">
        <v>4287</v>
      </c>
      <c r="C1473" s="18" t="s">
        <v>3673</v>
      </c>
      <c r="D1473" s="18" t="s">
        <v>2766</v>
      </c>
      <c r="E1473" s="18" t="s">
        <v>2779</v>
      </c>
      <c r="F1473" s="18">
        <v>9.0399999999999991</v>
      </c>
      <c r="G1473" s="18" t="s">
        <v>2154</v>
      </c>
      <c r="H1473" s="18" t="s">
        <v>2160</v>
      </c>
    </row>
    <row r="1474" spans="1:8">
      <c r="A1474" s="19" t="s">
        <v>125</v>
      </c>
      <c r="B1474" s="19" t="s">
        <v>4288</v>
      </c>
      <c r="C1474" s="19" t="s">
        <v>2193</v>
      </c>
      <c r="D1474" s="19" t="s">
        <v>2603</v>
      </c>
      <c r="E1474" s="19" t="s">
        <v>2341</v>
      </c>
      <c r="F1474" s="19">
        <v>7.54</v>
      </c>
      <c r="G1474" s="19" t="s">
        <v>2154</v>
      </c>
      <c r="H1474" s="19" t="s">
        <v>2187</v>
      </c>
    </row>
    <row r="1475" spans="1:8">
      <c r="A1475" s="18" t="s">
        <v>125</v>
      </c>
      <c r="B1475" s="18" t="s">
        <v>4289</v>
      </c>
      <c r="C1475" s="18" t="s">
        <v>2197</v>
      </c>
      <c r="D1475" s="18" t="s">
        <v>2212</v>
      </c>
      <c r="E1475" s="18" t="s">
        <v>4290</v>
      </c>
      <c r="F1475" s="18">
        <v>6.82</v>
      </c>
      <c r="G1475" s="18" t="s">
        <v>2154</v>
      </c>
      <c r="H1475" s="18" t="s">
        <v>2171</v>
      </c>
    </row>
    <row r="1476" spans="1:8">
      <c r="A1476" s="19" t="s">
        <v>125</v>
      </c>
      <c r="B1476" s="19" t="s">
        <v>4291</v>
      </c>
      <c r="C1476" s="19" t="s">
        <v>1819</v>
      </c>
      <c r="D1476" s="19" t="s">
        <v>3077</v>
      </c>
      <c r="E1476" s="19" t="s">
        <v>4036</v>
      </c>
      <c r="F1476" s="19">
        <v>6.6</v>
      </c>
      <c r="G1476" s="19" t="s">
        <v>2154</v>
      </c>
      <c r="H1476" s="19" t="s">
        <v>2155</v>
      </c>
    </row>
    <row r="1477" spans="1:8">
      <c r="A1477" s="18" t="s">
        <v>125</v>
      </c>
      <c r="B1477" s="18" t="s">
        <v>4292</v>
      </c>
      <c r="C1477" s="18" t="s">
        <v>2204</v>
      </c>
      <c r="D1477" s="18" t="s">
        <v>2761</v>
      </c>
      <c r="E1477" s="18" t="s">
        <v>3153</v>
      </c>
      <c r="F1477" s="18">
        <v>9.6300000000000008</v>
      </c>
      <c r="G1477" s="18" t="s">
        <v>2154</v>
      </c>
      <c r="H1477" s="18" t="s">
        <v>2155</v>
      </c>
    </row>
    <row r="1478" spans="1:8">
      <c r="A1478" s="19" t="s">
        <v>125</v>
      </c>
      <c r="B1478" s="19" t="s">
        <v>4293</v>
      </c>
      <c r="C1478" s="19" t="s">
        <v>1843</v>
      </c>
      <c r="D1478" s="19" t="s">
        <v>2198</v>
      </c>
      <c r="E1478" s="19" t="s">
        <v>2710</v>
      </c>
      <c r="F1478" s="19">
        <v>7.54</v>
      </c>
      <c r="G1478" s="19" t="s">
        <v>2154</v>
      </c>
      <c r="H1478" s="19" t="s">
        <v>2171</v>
      </c>
    </row>
    <row r="1479" spans="1:8">
      <c r="A1479" s="18" t="s">
        <v>125</v>
      </c>
      <c r="B1479" s="18" t="s">
        <v>4294</v>
      </c>
      <c r="C1479" s="18" t="s">
        <v>2211</v>
      </c>
      <c r="D1479" s="18" t="s">
        <v>2235</v>
      </c>
      <c r="E1479" s="18" t="s">
        <v>2432</v>
      </c>
      <c r="F1479" s="18">
        <v>10.78</v>
      </c>
      <c r="G1479" s="18" t="s">
        <v>2154</v>
      </c>
      <c r="H1479" s="18" t="s">
        <v>2155</v>
      </c>
    </row>
    <row r="1480" spans="1:8">
      <c r="A1480" s="19" t="s">
        <v>125</v>
      </c>
      <c r="B1480" s="19" t="s">
        <v>4295</v>
      </c>
      <c r="C1480" s="19" t="s">
        <v>2215</v>
      </c>
      <c r="D1480" s="19" t="s">
        <v>2729</v>
      </c>
      <c r="E1480" s="19" t="s">
        <v>3149</v>
      </c>
      <c r="F1480" s="19">
        <v>8.08</v>
      </c>
      <c r="G1480" s="19" t="s">
        <v>2154</v>
      </c>
      <c r="H1480" s="19" t="s">
        <v>2160</v>
      </c>
    </row>
    <row r="1481" spans="1:8">
      <c r="A1481" s="18" t="s">
        <v>125</v>
      </c>
      <c r="B1481" s="18" t="s">
        <v>4296</v>
      </c>
      <c r="C1481" s="18" t="s">
        <v>2219</v>
      </c>
      <c r="D1481" s="18" t="s">
        <v>2274</v>
      </c>
      <c r="E1481" s="18" t="s">
        <v>2275</v>
      </c>
      <c r="F1481" s="18">
        <v>7.48</v>
      </c>
      <c r="G1481" s="18" t="s">
        <v>2154</v>
      </c>
      <c r="H1481" s="18" t="s">
        <v>2160</v>
      </c>
    </row>
    <row r="1482" spans="1:8">
      <c r="A1482" s="19" t="s">
        <v>125</v>
      </c>
      <c r="B1482" s="19" t="s">
        <v>4297</v>
      </c>
      <c r="C1482" s="19" t="s">
        <v>2222</v>
      </c>
      <c r="D1482" s="19" t="s">
        <v>3253</v>
      </c>
      <c r="E1482" s="19" t="s">
        <v>3956</v>
      </c>
      <c r="F1482" s="19">
        <v>6.7</v>
      </c>
      <c r="G1482" s="19" t="s">
        <v>2154</v>
      </c>
      <c r="H1482" s="19" t="s">
        <v>2155</v>
      </c>
    </row>
    <row r="1483" spans="1:8">
      <c r="A1483" s="18" t="s">
        <v>125</v>
      </c>
      <c r="B1483" s="18" t="s">
        <v>4298</v>
      </c>
      <c r="C1483" s="18" t="s">
        <v>2226</v>
      </c>
      <c r="D1483" s="18" t="s">
        <v>2431</v>
      </c>
      <c r="E1483" s="18" t="s">
        <v>3060</v>
      </c>
      <c r="F1483" s="18">
        <v>7.79</v>
      </c>
      <c r="G1483" s="18" t="s">
        <v>2154</v>
      </c>
      <c r="H1483" s="18" t="s">
        <v>2155</v>
      </c>
    </row>
    <row r="1484" spans="1:8">
      <c r="A1484" s="19" t="s">
        <v>125</v>
      </c>
      <c r="B1484" s="19" t="s">
        <v>4299</v>
      </c>
      <c r="C1484" s="19" t="s">
        <v>2230</v>
      </c>
      <c r="D1484" s="19" t="s">
        <v>2516</v>
      </c>
      <c r="E1484" s="19" t="s">
        <v>3503</v>
      </c>
      <c r="F1484" s="19">
        <v>6.93</v>
      </c>
      <c r="G1484" s="19" t="s">
        <v>2154</v>
      </c>
      <c r="H1484" s="19" t="s">
        <v>2171</v>
      </c>
    </row>
    <row r="1485" spans="1:8">
      <c r="A1485" s="18" t="s">
        <v>125</v>
      </c>
      <c r="B1485" s="18" t="s">
        <v>4300</v>
      </c>
      <c r="C1485" s="18" t="s">
        <v>2234</v>
      </c>
      <c r="D1485" s="18" t="s">
        <v>2700</v>
      </c>
      <c r="E1485" s="18" t="s">
        <v>2315</v>
      </c>
      <c r="F1485" s="18">
        <v>7.36</v>
      </c>
      <c r="G1485" s="18" t="s">
        <v>2154</v>
      </c>
      <c r="H1485" s="18" t="s">
        <v>2160</v>
      </c>
    </row>
    <row r="1486" spans="1:8">
      <c r="A1486" s="19" t="s">
        <v>125</v>
      </c>
      <c r="B1486" s="19" t="s">
        <v>4301</v>
      </c>
      <c r="C1486" s="19" t="s">
        <v>2238</v>
      </c>
      <c r="D1486" s="19" t="s">
        <v>2413</v>
      </c>
      <c r="E1486" s="19" t="s">
        <v>4302</v>
      </c>
      <c r="F1486" s="19">
        <v>8.86</v>
      </c>
      <c r="G1486" s="19" t="s">
        <v>2154</v>
      </c>
      <c r="H1486" s="19" t="s">
        <v>2171</v>
      </c>
    </row>
    <row r="1487" spans="1:8">
      <c r="A1487" s="18" t="s">
        <v>125</v>
      </c>
      <c r="B1487" s="18" t="s">
        <v>4303</v>
      </c>
      <c r="C1487" s="18" t="s">
        <v>2241</v>
      </c>
      <c r="D1487" s="18" t="s">
        <v>2198</v>
      </c>
      <c r="E1487" s="18" t="s">
        <v>2710</v>
      </c>
      <c r="F1487" s="18">
        <v>7.29</v>
      </c>
      <c r="G1487" s="18" t="s">
        <v>2154</v>
      </c>
      <c r="H1487" s="18" t="s">
        <v>2171</v>
      </c>
    </row>
    <row r="1488" spans="1:8">
      <c r="A1488" s="19" t="s">
        <v>125</v>
      </c>
      <c r="B1488" s="19" t="s">
        <v>4304</v>
      </c>
      <c r="C1488" s="19" t="s">
        <v>2245</v>
      </c>
      <c r="D1488" s="19" t="s">
        <v>2198</v>
      </c>
      <c r="E1488" s="19" t="s">
        <v>2199</v>
      </c>
      <c r="F1488" s="19">
        <v>10.79</v>
      </c>
      <c r="G1488" s="19" t="s">
        <v>2154</v>
      </c>
      <c r="H1488" s="19" t="s">
        <v>2187</v>
      </c>
    </row>
    <row r="1489" spans="1:8">
      <c r="A1489" s="18" t="s">
        <v>125</v>
      </c>
      <c r="B1489" s="18" t="s">
        <v>4305</v>
      </c>
      <c r="C1489" s="18" t="s">
        <v>2249</v>
      </c>
      <c r="D1489" s="18" t="s">
        <v>2431</v>
      </c>
      <c r="E1489" s="18" t="s">
        <v>4306</v>
      </c>
      <c r="F1489" s="18">
        <v>10.59</v>
      </c>
      <c r="G1489" s="18" t="s">
        <v>2154</v>
      </c>
      <c r="H1489" s="18" t="s">
        <v>2155</v>
      </c>
    </row>
    <row r="1490" spans="1:8">
      <c r="A1490" s="19" t="s">
        <v>125</v>
      </c>
      <c r="B1490" s="19" t="s">
        <v>4307</v>
      </c>
      <c r="C1490" s="19" t="s">
        <v>2252</v>
      </c>
      <c r="D1490" s="19" t="s">
        <v>2449</v>
      </c>
      <c r="E1490" s="19" t="s">
        <v>3071</v>
      </c>
      <c r="F1490" s="19">
        <v>9.26</v>
      </c>
      <c r="G1490" s="19" t="s">
        <v>2154</v>
      </c>
      <c r="H1490" s="19" t="s">
        <v>2160</v>
      </c>
    </row>
    <row r="1491" spans="1:8">
      <c r="A1491" s="18" t="s">
        <v>125</v>
      </c>
      <c r="B1491" s="18" t="s">
        <v>4308</v>
      </c>
      <c r="C1491" s="18" t="s">
        <v>2376</v>
      </c>
      <c r="D1491" s="18" t="s">
        <v>2716</v>
      </c>
      <c r="E1491" s="18" t="s">
        <v>2537</v>
      </c>
      <c r="F1491" s="18">
        <v>10.81</v>
      </c>
      <c r="G1491" s="18" t="s">
        <v>2154</v>
      </c>
      <c r="H1491" s="18" t="s">
        <v>2187</v>
      </c>
    </row>
    <row r="1492" spans="1:8">
      <c r="A1492" s="19" t="s">
        <v>125</v>
      </c>
      <c r="B1492" s="19" t="s">
        <v>4309</v>
      </c>
      <c r="C1492" s="19" t="s">
        <v>3220</v>
      </c>
      <c r="D1492" s="19" t="s">
        <v>2194</v>
      </c>
      <c r="E1492" s="19" t="s">
        <v>2195</v>
      </c>
      <c r="F1492" s="19">
        <v>9.0500000000000007</v>
      </c>
      <c r="G1492" s="19" t="s">
        <v>2154</v>
      </c>
      <c r="H1492" s="19" t="s">
        <v>2187</v>
      </c>
    </row>
    <row r="1493" spans="1:8">
      <c r="A1493" s="18" t="s">
        <v>125</v>
      </c>
      <c r="B1493" s="18" t="s">
        <v>4310</v>
      </c>
      <c r="C1493" s="18" t="s">
        <v>2264</v>
      </c>
      <c r="D1493" s="18" t="s">
        <v>3001</v>
      </c>
      <c r="E1493" s="18" t="s">
        <v>2458</v>
      </c>
      <c r="F1493" s="18">
        <v>7.69</v>
      </c>
      <c r="G1493" s="18" t="s">
        <v>2154</v>
      </c>
      <c r="H1493" s="18" t="s">
        <v>2171</v>
      </c>
    </row>
    <row r="1494" spans="1:8">
      <c r="A1494" s="19" t="s">
        <v>125</v>
      </c>
      <c r="B1494" s="19" t="s">
        <v>4311</v>
      </c>
      <c r="C1494" s="19" t="s">
        <v>1948</v>
      </c>
      <c r="D1494" s="19" t="s">
        <v>3123</v>
      </c>
      <c r="E1494" s="19" t="s">
        <v>2239</v>
      </c>
      <c r="F1494" s="19">
        <v>8.32</v>
      </c>
      <c r="G1494" s="19" t="s">
        <v>2154</v>
      </c>
      <c r="H1494" s="19" t="s">
        <v>2155</v>
      </c>
    </row>
    <row r="1495" spans="1:8">
      <c r="A1495" s="18" t="s">
        <v>125</v>
      </c>
      <c r="B1495" s="18" t="s">
        <v>4312</v>
      </c>
      <c r="C1495" s="18" t="s">
        <v>4176</v>
      </c>
      <c r="D1495" s="18" t="s">
        <v>2524</v>
      </c>
      <c r="E1495" s="18" t="s">
        <v>2398</v>
      </c>
      <c r="F1495" s="18">
        <v>7.11</v>
      </c>
      <c r="G1495" s="18" t="s">
        <v>2154</v>
      </c>
      <c r="H1495" s="18" t="s">
        <v>2155</v>
      </c>
    </row>
    <row r="1496" spans="1:8">
      <c r="A1496" s="19" t="s">
        <v>125</v>
      </c>
      <c r="B1496" s="19" t="s">
        <v>4313</v>
      </c>
      <c r="C1496" s="19" t="s">
        <v>2273</v>
      </c>
      <c r="D1496" s="19" t="s">
        <v>2640</v>
      </c>
      <c r="E1496" s="19" t="s">
        <v>2724</v>
      </c>
      <c r="F1496" s="19">
        <v>8.86</v>
      </c>
      <c r="G1496" s="19" t="s">
        <v>2154</v>
      </c>
      <c r="H1496" s="19" t="s">
        <v>2187</v>
      </c>
    </row>
    <row r="1497" spans="1:8">
      <c r="A1497" s="18" t="s">
        <v>125</v>
      </c>
      <c r="B1497" s="18" t="s">
        <v>4314</v>
      </c>
      <c r="C1497" s="18" t="s">
        <v>2277</v>
      </c>
      <c r="D1497" s="18" t="s">
        <v>2331</v>
      </c>
      <c r="E1497" s="18" t="s">
        <v>3266</v>
      </c>
      <c r="F1497" s="18">
        <v>7.74</v>
      </c>
      <c r="G1497" s="18" t="s">
        <v>2154</v>
      </c>
      <c r="H1497" s="18" t="s">
        <v>2187</v>
      </c>
    </row>
    <row r="1498" spans="1:8">
      <c r="A1498" s="19" t="s">
        <v>125</v>
      </c>
      <c r="B1498" s="19" t="s">
        <v>4315</v>
      </c>
      <c r="C1498" s="19" t="s">
        <v>2281</v>
      </c>
      <c r="D1498" s="19" t="s">
        <v>3299</v>
      </c>
      <c r="E1498" s="19" t="s">
        <v>2175</v>
      </c>
      <c r="F1498" s="19">
        <v>8.26</v>
      </c>
      <c r="G1498" s="19" t="s">
        <v>2154</v>
      </c>
      <c r="H1498" s="19" t="s">
        <v>2187</v>
      </c>
    </row>
    <row r="1499" spans="1:8">
      <c r="A1499" s="18" t="s">
        <v>125</v>
      </c>
      <c r="B1499" s="18" t="s">
        <v>4316</v>
      </c>
      <c r="C1499" s="18" t="s">
        <v>2396</v>
      </c>
      <c r="D1499" s="18" t="s">
        <v>2503</v>
      </c>
      <c r="E1499" s="18" t="s">
        <v>2271</v>
      </c>
      <c r="F1499" s="18">
        <v>7.19</v>
      </c>
      <c r="G1499" s="18" t="s">
        <v>2154</v>
      </c>
      <c r="H1499" s="18" t="s">
        <v>2160</v>
      </c>
    </row>
    <row r="1500" spans="1:8">
      <c r="A1500" s="19" t="s">
        <v>125</v>
      </c>
      <c r="B1500" s="19" t="s">
        <v>4317</v>
      </c>
      <c r="C1500" s="19" t="s">
        <v>2289</v>
      </c>
      <c r="D1500" s="19" t="s">
        <v>2680</v>
      </c>
      <c r="E1500" s="19" t="s">
        <v>3197</v>
      </c>
      <c r="F1500" s="19">
        <v>10.36</v>
      </c>
      <c r="G1500" s="19" t="s">
        <v>2154</v>
      </c>
      <c r="H1500" s="19" t="s">
        <v>2171</v>
      </c>
    </row>
    <row r="1501" spans="1:8">
      <c r="A1501" s="18" t="s">
        <v>125</v>
      </c>
      <c r="B1501" s="18" t="s">
        <v>4318</v>
      </c>
      <c r="C1501" s="18" t="s">
        <v>2293</v>
      </c>
      <c r="D1501" s="18" t="s">
        <v>2452</v>
      </c>
      <c r="E1501" s="18" t="s">
        <v>3304</v>
      </c>
      <c r="F1501" s="18">
        <v>9.83</v>
      </c>
      <c r="G1501" s="18" t="s">
        <v>2154</v>
      </c>
      <c r="H1501" s="18" t="s">
        <v>2171</v>
      </c>
    </row>
    <row r="1502" spans="1:8">
      <c r="A1502" s="19" t="s">
        <v>125</v>
      </c>
      <c r="B1502" s="19" t="s">
        <v>4319</v>
      </c>
      <c r="C1502" s="19" t="s">
        <v>2296</v>
      </c>
      <c r="D1502" s="19" t="s">
        <v>3597</v>
      </c>
      <c r="E1502" s="19" t="s">
        <v>2267</v>
      </c>
      <c r="F1502" s="19">
        <v>9.83</v>
      </c>
      <c r="G1502" s="19" t="s">
        <v>2154</v>
      </c>
      <c r="H1502" s="19" t="s">
        <v>2187</v>
      </c>
    </row>
    <row r="1503" spans="1:8">
      <c r="A1503" s="18" t="s">
        <v>125</v>
      </c>
      <c r="B1503" s="18" t="s">
        <v>4320</v>
      </c>
      <c r="C1503" s="18" t="s">
        <v>2300</v>
      </c>
      <c r="D1503" s="18" t="s">
        <v>2208</v>
      </c>
      <c r="E1503" s="18" t="s">
        <v>3671</v>
      </c>
      <c r="F1503" s="18">
        <v>8.43</v>
      </c>
      <c r="G1503" s="18" t="s">
        <v>2154</v>
      </c>
      <c r="H1503" s="18" t="s">
        <v>2187</v>
      </c>
    </row>
    <row r="1504" spans="1:8">
      <c r="A1504" s="19" t="s">
        <v>125</v>
      </c>
      <c r="B1504" s="19" t="s">
        <v>4321</v>
      </c>
      <c r="C1504" s="19" t="s">
        <v>2916</v>
      </c>
      <c r="D1504" s="19" t="s">
        <v>3077</v>
      </c>
      <c r="E1504" s="19" t="s">
        <v>3615</v>
      </c>
      <c r="F1504" s="19">
        <v>7.15</v>
      </c>
      <c r="G1504" s="19" t="s">
        <v>2154</v>
      </c>
      <c r="H1504" s="19" t="s">
        <v>2155</v>
      </c>
    </row>
    <row r="1505" spans="1:8">
      <c r="A1505" s="18" t="s">
        <v>125</v>
      </c>
      <c r="B1505" s="18" t="s">
        <v>4322</v>
      </c>
      <c r="C1505" s="18" t="s">
        <v>2307</v>
      </c>
      <c r="D1505" s="18" t="s">
        <v>2761</v>
      </c>
      <c r="E1505" s="18" t="s">
        <v>2753</v>
      </c>
      <c r="F1505" s="18">
        <v>7.92</v>
      </c>
      <c r="G1505" s="18" t="s">
        <v>2154</v>
      </c>
      <c r="H1505" s="18" t="s">
        <v>2155</v>
      </c>
    </row>
    <row r="1506" spans="1:8">
      <c r="A1506" s="19" t="s">
        <v>125</v>
      </c>
      <c r="B1506" s="19" t="s">
        <v>4323</v>
      </c>
      <c r="C1506" s="19" t="s">
        <v>2311</v>
      </c>
      <c r="D1506" s="19" t="s">
        <v>3066</v>
      </c>
      <c r="E1506" s="19" t="s">
        <v>3175</v>
      </c>
      <c r="F1506" s="19">
        <v>11.03</v>
      </c>
      <c r="G1506" s="19" t="s">
        <v>2154</v>
      </c>
      <c r="H1506" s="19" t="s">
        <v>2187</v>
      </c>
    </row>
    <row r="1507" spans="1:8">
      <c r="A1507" s="18" t="s">
        <v>1552</v>
      </c>
      <c r="B1507" s="18" t="s">
        <v>4324</v>
      </c>
      <c r="C1507" s="18" t="s">
        <v>2038</v>
      </c>
      <c r="D1507" s="18" t="s">
        <v>2373</v>
      </c>
      <c r="E1507" s="18" t="s">
        <v>3027</v>
      </c>
      <c r="F1507" s="18">
        <v>10.85</v>
      </c>
      <c r="G1507" s="18" t="s">
        <v>2154</v>
      </c>
      <c r="H1507" s="18" t="s">
        <v>2187</v>
      </c>
    </row>
    <row r="1508" spans="1:8">
      <c r="A1508" s="19" t="s">
        <v>1552</v>
      </c>
      <c r="B1508" s="19" t="s">
        <v>4325</v>
      </c>
      <c r="C1508" s="19" t="s">
        <v>2157</v>
      </c>
      <c r="D1508" s="19" t="s">
        <v>2345</v>
      </c>
      <c r="E1508" s="19" t="s">
        <v>2258</v>
      </c>
      <c r="F1508" s="19">
        <v>7.76</v>
      </c>
      <c r="G1508" s="19" t="s">
        <v>2154</v>
      </c>
      <c r="H1508" s="19" t="s">
        <v>2160</v>
      </c>
    </row>
    <row r="1509" spans="1:8">
      <c r="A1509" s="18" t="s">
        <v>1552</v>
      </c>
      <c r="B1509" s="18" t="s">
        <v>4326</v>
      </c>
      <c r="C1509" s="18" t="s">
        <v>2162</v>
      </c>
      <c r="D1509" s="18" t="s">
        <v>2428</v>
      </c>
      <c r="E1509" s="18" t="s">
        <v>2341</v>
      </c>
      <c r="F1509" s="18">
        <v>8.93</v>
      </c>
      <c r="G1509" s="18" t="s">
        <v>2154</v>
      </c>
      <c r="H1509" s="18" t="s">
        <v>2160</v>
      </c>
    </row>
    <row r="1510" spans="1:8">
      <c r="A1510" s="19" t="s">
        <v>1552</v>
      </c>
      <c r="B1510" s="19" t="s">
        <v>4327</v>
      </c>
      <c r="C1510" s="19" t="s">
        <v>1937</v>
      </c>
      <c r="D1510" s="19" t="s">
        <v>2319</v>
      </c>
      <c r="E1510" s="19" t="s">
        <v>2349</v>
      </c>
      <c r="F1510" s="19">
        <v>8.83</v>
      </c>
      <c r="G1510" s="19" t="s">
        <v>2154</v>
      </c>
      <c r="H1510" s="19" t="s">
        <v>2171</v>
      </c>
    </row>
    <row r="1511" spans="1:8">
      <c r="A1511" s="18" t="s">
        <v>1552</v>
      </c>
      <c r="B1511" s="18" t="s">
        <v>4328</v>
      </c>
      <c r="C1511" s="18" t="s">
        <v>2168</v>
      </c>
      <c r="D1511" s="18" t="s">
        <v>2278</v>
      </c>
      <c r="E1511" s="18" t="s">
        <v>2279</v>
      </c>
      <c r="F1511" s="18">
        <v>6.89</v>
      </c>
      <c r="G1511" s="18" t="s">
        <v>2154</v>
      </c>
      <c r="H1511" s="18" t="s">
        <v>2160</v>
      </c>
    </row>
    <row r="1512" spans="1:8">
      <c r="A1512" s="19" t="s">
        <v>1552</v>
      </c>
      <c r="B1512" s="19" t="s">
        <v>4329</v>
      </c>
      <c r="C1512" s="19" t="s">
        <v>2173</v>
      </c>
      <c r="D1512" s="19" t="s">
        <v>2567</v>
      </c>
      <c r="E1512" s="19" t="s">
        <v>3101</v>
      </c>
      <c r="F1512" s="19">
        <v>8.43</v>
      </c>
      <c r="G1512" s="19" t="s">
        <v>2154</v>
      </c>
      <c r="H1512" s="19" t="s">
        <v>2160</v>
      </c>
    </row>
    <row r="1513" spans="1:8">
      <c r="A1513" s="18" t="s">
        <v>1552</v>
      </c>
      <c r="B1513" s="18" t="s">
        <v>4330</v>
      </c>
      <c r="C1513" s="18" t="s">
        <v>2177</v>
      </c>
      <c r="D1513" s="18" t="s">
        <v>2278</v>
      </c>
      <c r="E1513" s="18" t="s">
        <v>3663</v>
      </c>
      <c r="F1513" s="18">
        <v>7.73</v>
      </c>
      <c r="G1513" s="18" t="s">
        <v>2154</v>
      </c>
      <c r="H1513" s="18" t="s">
        <v>2187</v>
      </c>
    </row>
    <row r="1514" spans="1:8">
      <c r="A1514" s="19" t="s">
        <v>1552</v>
      </c>
      <c r="B1514" s="19" t="s">
        <v>4331</v>
      </c>
      <c r="C1514" s="19" t="s">
        <v>1945</v>
      </c>
      <c r="D1514" s="19" t="s">
        <v>2567</v>
      </c>
      <c r="E1514" s="19" t="s">
        <v>2394</v>
      </c>
      <c r="F1514" s="19">
        <v>7.66</v>
      </c>
      <c r="G1514" s="19" t="s">
        <v>2154</v>
      </c>
      <c r="H1514" s="19" t="s">
        <v>2160</v>
      </c>
    </row>
    <row r="1515" spans="1:8">
      <c r="A1515" s="18" t="s">
        <v>1552</v>
      </c>
      <c r="B1515" s="18" t="s">
        <v>4332</v>
      </c>
      <c r="C1515" s="18" t="s">
        <v>2184</v>
      </c>
      <c r="D1515" s="18" t="s">
        <v>2553</v>
      </c>
      <c r="E1515" s="18" t="s">
        <v>2845</v>
      </c>
      <c r="F1515" s="18">
        <v>6.53</v>
      </c>
      <c r="G1515" s="18" t="s">
        <v>2154</v>
      </c>
      <c r="H1515" s="18" t="s">
        <v>2155</v>
      </c>
    </row>
    <row r="1516" spans="1:8">
      <c r="A1516" s="19" t="s">
        <v>1552</v>
      </c>
      <c r="B1516" s="19" t="s">
        <v>4333</v>
      </c>
      <c r="C1516" s="19" t="s">
        <v>2189</v>
      </c>
      <c r="D1516" s="19" t="s">
        <v>2397</v>
      </c>
      <c r="E1516" s="19" t="s">
        <v>2826</v>
      </c>
      <c r="F1516" s="19">
        <v>9.2200000000000006</v>
      </c>
      <c r="G1516" s="19" t="s">
        <v>2154</v>
      </c>
      <c r="H1516" s="19" t="s">
        <v>2171</v>
      </c>
    </row>
    <row r="1517" spans="1:8">
      <c r="A1517" s="18" t="s">
        <v>1552</v>
      </c>
      <c r="B1517" s="18" t="s">
        <v>4334</v>
      </c>
      <c r="C1517" s="18" t="s">
        <v>2193</v>
      </c>
      <c r="D1517" s="18"/>
      <c r="E1517" s="18"/>
      <c r="F1517" s="18"/>
      <c r="G1517" s="18" t="s">
        <v>2220</v>
      </c>
      <c r="H1517" s="18" t="s">
        <v>2155</v>
      </c>
    </row>
    <row r="1518" spans="1:8">
      <c r="A1518" s="19" t="s">
        <v>1552</v>
      </c>
      <c r="B1518" s="19" t="s">
        <v>4335</v>
      </c>
      <c r="C1518" s="19" t="s">
        <v>2197</v>
      </c>
      <c r="D1518" s="19" t="s">
        <v>2319</v>
      </c>
      <c r="E1518" s="19" t="s">
        <v>2349</v>
      </c>
      <c r="F1518" s="19">
        <v>8.64</v>
      </c>
      <c r="G1518" s="19" t="s">
        <v>2154</v>
      </c>
      <c r="H1518" s="19" t="s">
        <v>2187</v>
      </c>
    </row>
    <row r="1519" spans="1:8">
      <c r="A1519" s="18" t="s">
        <v>1552</v>
      </c>
      <c r="B1519" s="18" t="s">
        <v>4336</v>
      </c>
      <c r="C1519" s="18" t="s">
        <v>1819</v>
      </c>
      <c r="D1519" s="18" t="s">
        <v>2373</v>
      </c>
      <c r="E1519" s="18" t="s">
        <v>3823</v>
      </c>
      <c r="F1519" s="18">
        <v>8.74</v>
      </c>
      <c r="G1519" s="18" t="s">
        <v>2154</v>
      </c>
      <c r="H1519" s="18" t="s">
        <v>2171</v>
      </c>
    </row>
    <row r="1520" spans="1:8">
      <c r="A1520" s="19" t="s">
        <v>1552</v>
      </c>
      <c r="B1520" s="19" t="s">
        <v>4337</v>
      </c>
      <c r="C1520" s="19" t="s">
        <v>2204</v>
      </c>
      <c r="D1520" s="19" t="s">
        <v>3597</v>
      </c>
      <c r="E1520" s="19" t="s">
        <v>4338</v>
      </c>
      <c r="F1520" s="19">
        <v>7.33</v>
      </c>
      <c r="G1520" s="19" t="s">
        <v>2154</v>
      </c>
      <c r="H1520" s="19" t="s">
        <v>2160</v>
      </c>
    </row>
    <row r="1521" spans="1:8">
      <c r="A1521" s="18" t="s">
        <v>1552</v>
      </c>
      <c r="B1521" s="18" t="s">
        <v>4339</v>
      </c>
      <c r="C1521" s="18" t="s">
        <v>4340</v>
      </c>
      <c r="D1521" s="18" t="s">
        <v>3001</v>
      </c>
      <c r="E1521" s="18" t="s">
        <v>2458</v>
      </c>
      <c r="F1521" s="18">
        <v>7.36</v>
      </c>
      <c r="G1521" s="18" t="s">
        <v>2154</v>
      </c>
      <c r="H1521" s="18" t="s">
        <v>2187</v>
      </c>
    </row>
    <row r="1522" spans="1:8">
      <c r="A1522" s="19" t="s">
        <v>1552</v>
      </c>
      <c r="B1522" s="19" t="s">
        <v>4341</v>
      </c>
      <c r="C1522" s="19" t="s">
        <v>2211</v>
      </c>
      <c r="D1522" s="19" t="s">
        <v>3597</v>
      </c>
      <c r="E1522" s="19" t="s">
        <v>2514</v>
      </c>
      <c r="F1522" s="19">
        <v>6.76</v>
      </c>
      <c r="G1522" s="19" t="s">
        <v>2154</v>
      </c>
      <c r="H1522" s="19" t="s">
        <v>2171</v>
      </c>
    </row>
    <row r="1523" spans="1:8">
      <c r="A1523" s="18" t="s">
        <v>1552</v>
      </c>
      <c r="B1523" s="18" t="s">
        <v>4342</v>
      </c>
      <c r="C1523" s="18" t="s">
        <v>2215</v>
      </c>
      <c r="D1523" s="18" t="s">
        <v>2380</v>
      </c>
      <c r="E1523" s="18" t="s">
        <v>2622</v>
      </c>
      <c r="F1523" s="18">
        <v>9.01</v>
      </c>
      <c r="G1523" s="18" t="s">
        <v>2154</v>
      </c>
      <c r="H1523" s="18" t="s">
        <v>2171</v>
      </c>
    </row>
    <row r="1524" spans="1:8">
      <c r="A1524" s="19" t="s">
        <v>1552</v>
      </c>
      <c r="B1524" s="19" t="s">
        <v>4343</v>
      </c>
      <c r="C1524" s="19" t="s">
        <v>2219</v>
      </c>
      <c r="D1524" s="19" t="s">
        <v>2356</v>
      </c>
      <c r="E1524" s="19" t="s">
        <v>4344</v>
      </c>
      <c r="F1524" s="19">
        <v>11.49</v>
      </c>
      <c r="G1524" s="19" t="s">
        <v>2154</v>
      </c>
      <c r="H1524" s="19" t="s">
        <v>2187</v>
      </c>
    </row>
    <row r="1525" spans="1:8">
      <c r="A1525" s="18" t="s">
        <v>1552</v>
      </c>
      <c r="B1525" s="18" t="s">
        <v>4345</v>
      </c>
      <c r="C1525" s="18" t="s">
        <v>2222</v>
      </c>
      <c r="D1525" s="18"/>
      <c r="E1525" s="18"/>
      <c r="F1525" s="18"/>
      <c r="G1525" s="18" t="s">
        <v>2343</v>
      </c>
      <c r="H1525" s="18" t="s">
        <v>2160</v>
      </c>
    </row>
    <row r="1526" spans="1:8">
      <c r="A1526" s="19" t="s">
        <v>1552</v>
      </c>
      <c r="B1526" s="19" t="s">
        <v>4346</v>
      </c>
      <c r="C1526" s="19" t="s">
        <v>2226</v>
      </c>
      <c r="D1526" s="19" t="s">
        <v>2165</v>
      </c>
      <c r="E1526" s="19" t="s">
        <v>2771</v>
      </c>
      <c r="F1526" s="19">
        <v>7.8</v>
      </c>
      <c r="G1526" s="19" t="s">
        <v>2154</v>
      </c>
      <c r="H1526" s="19" t="s">
        <v>2171</v>
      </c>
    </row>
    <row r="1527" spans="1:8">
      <c r="A1527" s="18" t="s">
        <v>1552</v>
      </c>
      <c r="B1527" s="18" t="s">
        <v>4347</v>
      </c>
      <c r="C1527" s="18" t="s">
        <v>2230</v>
      </c>
      <c r="D1527" s="18" t="s">
        <v>2460</v>
      </c>
      <c r="E1527" s="18" t="s">
        <v>2573</v>
      </c>
      <c r="F1527" s="18">
        <v>10.39</v>
      </c>
      <c r="G1527" s="18" t="s">
        <v>2154</v>
      </c>
      <c r="H1527" s="18" t="s">
        <v>2187</v>
      </c>
    </row>
    <row r="1528" spans="1:8">
      <c r="A1528" s="19" t="s">
        <v>1552</v>
      </c>
      <c r="B1528" s="19" t="s">
        <v>4348</v>
      </c>
      <c r="C1528" s="19" t="s">
        <v>2234</v>
      </c>
      <c r="D1528" s="19" t="s">
        <v>2319</v>
      </c>
      <c r="E1528" s="19" t="s">
        <v>2565</v>
      </c>
      <c r="F1528" s="19">
        <v>6.93</v>
      </c>
      <c r="G1528" s="19" t="s">
        <v>2154</v>
      </c>
      <c r="H1528" s="19" t="s">
        <v>2171</v>
      </c>
    </row>
    <row r="1529" spans="1:8">
      <c r="A1529" s="18" t="s">
        <v>1552</v>
      </c>
      <c r="B1529" s="18" t="s">
        <v>4349</v>
      </c>
      <c r="C1529" s="18" t="s">
        <v>2238</v>
      </c>
      <c r="D1529" s="18" t="s">
        <v>3278</v>
      </c>
      <c r="E1529" s="18" t="s">
        <v>2461</v>
      </c>
      <c r="F1529" s="18">
        <v>9.31</v>
      </c>
      <c r="G1529" s="18" t="s">
        <v>2154</v>
      </c>
      <c r="H1529" s="18" t="s">
        <v>2187</v>
      </c>
    </row>
    <row r="1530" spans="1:8">
      <c r="A1530" s="19" t="s">
        <v>1552</v>
      </c>
      <c r="B1530" s="19" t="s">
        <v>4350</v>
      </c>
      <c r="C1530" s="19" t="s">
        <v>2241</v>
      </c>
      <c r="D1530" s="19" t="s">
        <v>2253</v>
      </c>
      <c r="E1530" s="19" t="s">
        <v>2254</v>
      </c>
      <c r="F1530" s="19">
        <v>9.35</v>
      </c>
      <c r="G1530" s="19" t="s">
        <v>2154</v>
      </c>
      <c r="H1530" s="19" t="s">
        <v>2187</v>
      </c>
    </row>
    <row r="1531" spans="1:8">
      <c r="A1531" s="18" t="s">
        <v>1552</v>
      </c>
      <c r="B1531" s="18" t="s">
        <v>4351</v>
      </c>
      <c r="C1531" s="18" t="s">
        <v>2245</v>
      </c>
      <c r="D1531" s="18" t="s">
        <v>2534</v>
      </c>
      <c r="E1531" s="18" t="s">
        <v>3213</v>
      </c>
      <c r="F1531" s="18">
        <v>9.84</v>
      </c>
      <c r="G1531" s="18" t="s">
        <v>2154</v>
      </c>
      <c r="H1531" s="18" t="s">
        <v>2187</v>
      </c>
    </row>
    <row r="1532" spans="1:8">
      <c r="A1532" s="19" t="s">
        <v>1552</v>
      </c>
      <c r="B1532" s="19" t="s">
        <v>4352</v>
      </c>
      <c r="C1532" s="19" t="s">
        <v>2249</v>
      </c>
      <c r="D1532" s="19" t="s">
        <v>2557</v>
      </c>
      <c r="E1532" s="19" t="s">
        <v>2558</v>
      </c>
      <c r="F1532" s="19">
        <v>7.35</v>
      </c>
      <c r="G1532" s="19" t="s">
        <v>2154</v>
      </c>
      <c r="H1532" s="19" t="s">
        <v>2171</v>
      </c>
    </row>
    <row r="1533" spans="1:8">
      <c r="A1533" s="18" t="s">
        <v>1552</v>
      </c>
      <c r="B1533" s="18" t="s">
        <v>4353</v>
      </c>
      <c r="C1533" s="18" t="s">
        <v>2252</v>
      </c>
      <c r="D1533" s="18" t="s">
        <v>2548</v>
      </c>
      <c r="E1533" s="18" t="s">
        <v>2687</v>
      </c>
      <c r="F1533" s="18">
        <v>6.66</v>
      </c>
      <c r="G1533" s="18" t="s">
        <v>2154</v>
      </c>
      <c r="H1533" s="18" t="s">
        <v>2187</v>
      </c>
    </row>
    <row r="1534" spans="1:8">
      <c r="A1534" s="19" t="s">
        <v>1552</v>
      </c>
      <c r="B1534" s="19" t="s">
        <v>4354</v>
      </c>
      <c r="C1534" s="19" t="s">
        <v>2376</v>
      </c>
      <c r="D1534" s="19" t="s">
        <v>2198</v>
      </c>
      <c r="E1534" s="19" t="s">
        <v>2199</v>
      </c>
      <c r="F1534" s="19">
        <v>10.43</v>
      </c>
      <c r="G1534" s="19" t="s">
        <v>2154</v>
      </c>
      <c r="H1534" s="19" t="s">
        <v>2171</v>
      </c>
    </row>
    <row r="1535" spans="1:8">
      <c r="A1535" s="18" t="s">
        <v>1552</v>
      </c>
      <c r="B1535" s="18" t="s">
        <v>4355</v>
      </c>
      <c r="C1535" s="18" t="s">
        <v>2260</v>
      </c>
      <c r="D1535" s="18" t="s">
        <v>2331</v>
      </c>
      <c r="E1535" s="18" t="s">
        <v>2582</v>
      </c>
      <c r="F1535" s="18">
        <v>8.41</v>
      </c>
      <c r="G1535" s="18" t="s">
        <v>2154</v>
      </c>
      <c r="H1535" s="18" t="s">
        <v>2160</v>
      </c>
    </row>
    <row r="1536" spans="1:8">
      <c r="A1536" s="19" t="s">
        <v>1552</v>
      </c>
      <c r="B1536" s="19" t="s">
        <v>4356</v>
      </c>
      <c r="C1536" s="19" t="s">
        <v>2264</v>
      </c>
      <c r="D1536" s="19"/>
      <c r="E1536" s="19"/>
      <c r="F1536" s="19"/>
      <c r="G1536" s="19" t="s">
        <v>2220</v>
      </c>
      <c r="H1536" s="19" t="s">
        <v>2171</v>
      </c>
    </row>
    <row r="1537" spans="1:8">
      <c r="A1537" s="18" t="s">
        <v>1552</v>
      </c>
      <c r="B1537" s="18" t="s">
        <v>4357</v>
      </c>
      <c r="C1537" s="18" t="s">
        <v>1948</v>
      </c>
      <c r="D1537" s="18" t="s">
        <v>2624</v>
      </c>
      <c r="E1537" s="18" t="s">
        <v>2942</v>
      </c>
      <c r="F1537" s="18">
        <v>9.73</v>
      </c>
      <c r="G1537" s="18" t="s">
        <v>2154</v>
      </c>
      <c r="H1537" s="18" t="s">
        <v>2155</v>
      </c>
    </row>
    <row r="1538" spans="1:8">
      <c r="A1538" s="19" t="s">
        <v>1552</v>
      </c>
      <c r="B1538" s="19" t="s">
        <v>4358</v>
      </c>
      <c r="C1538" s="19" t="s">
        <v>2269</v>
      </c>
      <c r="D1538" s="19" t="s">
        <v>2362</v>
      </c>
      <c r="E1538" s="19" t="s">
        <v>2275</v>
      </c>
      <c r="F1538" s="19">
        <v>9.42</v>
      </c>
      <c r="G1538" s="19" t="s">
        <v>2154</v>
      </c>
      <c r="H1538" s="19" t="s">
        <v>2155</v>
      </c>
    </row>
    <row r="1539" spans="1:8">
      <c r="A1539" s="18" t="s">
        <v>1552</v>
      </c>
      <c r="B1539" s="18" t="s">
        <v>4359</v>
      </c>
      <c r="C1539" s="18" t="s">
        <v>2273</v>
      </c>
      <c r="D1539" s="18" t="s">
        <v>2253</v>
      </c>
      <c r="E1539" s="18" t="s">
        <v>2944</v>
      </c>
      <c r="F1539" s="18">
        <v>7.05</v>
      </c>
      <c r="G1539" s="18" t="s">
        <v>2154</v>
      </c>
      <c r="H1539" s="18" t="s">
        <v>2155</v>
      </c>
    </row>
    <row r="1540" spans="1:8">
      <c r="A1540" s="19" t="s">
        <v>1552</v>
      </c>
      <c r="B1540" s="19" t="s">
        <v>4360</v>
      </c>
      <c r="C1540" s="19" t="s">
        <v>2277</v>
      </c>
      <c r="D1540" s="19" t="s">
        <v>2356</v>
      </c>
      <c r="E1540" s="19" t="s">
        <v>4361</v>
      </c>
      <c r="F1540" s="19">
        <v>8.5299999999999994</v>
      </c>
      <c r="G1540" s="19" t="s">
        <v>2154</v>
      </c>
      <c r="H1540" s="19" t="s">
        <v>2155</v>
      </c>
    </row>
    <row r="1541" spans="1:8">
      <c r="A1541" s="18" t="s">
        <v>1552</v>
      </c>
      <c r="B1541" s="18" t="s">
        <v>4362</v>
      </c>
      <c r="C1541" s="18" t="s">
        <v>2281</v>
      </c>
      <c r="D1541" s="18" t="s">
        <v>2703</v>
      </c>
      <c r="E1541" s="18" t="s">
        <v>3043</v>
      </c>
      <c r="F1541" s="18">
        <v>9.8699999999999992</v>
      </c>
      <c r="G1541" s="18" t="s">
        <v>2154</v>
      </c>
      <c r="H1541" s="18" t="s">
        <v>2171</v>
      </c>
    </row>
    <row r="1542" spans="1:8">
      <c r="A1542" s="19" t="s">
        <v>1552</v>
      </c>
      <c r="B1542" s="19" t="s">
        <v>4363</v>
      </c>
      <c r="C1542" s="19" t="s">
        <v>2396</v>
      </c>
      <c r="D1542" s="19" t="s">
        <v>2690</v>
      </c>
      <c r="E1542" s="19" t="s">
        <v>2817</v>
      </c>
      <c r="F1542" s="19">
        <v>8.6300000000000008</v>
      </c>
      <c r="G1542" s="19" t="s">
        <v>2154</v>
      </c>
      <c r="H1542" s="19" t="s">
        <v>2160</v>
      </c>
    </row>
    <row r="1543" spans="1:8">
      <c r="A1543" s="18" t="s">
        <v>1552</v>
      </c>
      <c r="B1543" s="18" t="s">
        <v>4364</v>
      </c>
      <c r="C1543" s="18" t="s">
        <v>2289</v>
      </c>
      <c r="D1543" s="18" t="s">
        <v>2452</v>
      </c>
      <c r="E1543" s="18" t="s">
        <v>3304</v>
      </c>
      <c r="F1543" s="18">
        <v>9.99</v>
      </c>
      <c r="G1543" s="18" t="s">
        <v>2154</v>
      </c>
      <c r="H1543" s="18" t="s">
        <v>2155</v>
      </c>
    </row>
    <row r="1544" spans="1:8">
      <c r="A1544" s="19" t="s">
        <v>1552</v>
      </c>
      <c r="B1544" s="19" t="s">
        <v>4365</v>
      </c>
      <c r="C1544" s="19" t="s">
        <v>2293</v>
      </c>
      <c r="D1544" s="19" t="s">
        <v>2761</v>
      </c>
      <c r="E1544" s="19" t="s">
        <v>2858</v>
      </c>
      <c r="F1544" s="19">
        <v>6.87</v>
      </c>
      <c r="G1544" s="19" t="s">
        <v>2154</v>
      </c>
      <c r="H1544" s="19" t="s">
        <v>2160</v>
      </c>
    </row>
    <row r="1545" spans="1:8">
      <c r="A1545" s="18" t="s">
        <v>1552</v>
      </c>
      <c r="B1545" s="18" t="s">
        <v>4366</v>
      </c>
      <c r="C1545" s="18" t="s">
        <v>2296</v>
      </c>
      <c r="D1545" s="18" t="s">
        <v>2205</v>
      </c>
      <c r="E1545" s="18" t="s">
        <v>2505</v>
      </c>
      <c r="F1545" s="18">
        <v>10.61</v>
      </c>
      <c r="G1545" s="18" t="s">
        <v>2154</v>
      </c>
      <c r="H1545" s="18" t="s">
        <v>2160</v>
      </c>
    </row>
    <row r="1546" spans="1:8">
      <c r="A1546" s="19" t="s">
        <v>1552</v>
      </c>
      <c r="B1546" s="19" t="s">
        <v>4367</v>
      </c>
      <c r="C1546" s="19" t="s">
        <v>2300</v>
      </c>
      <c r="D1546" s="19" t="s">
        <v>2301</v>
      </c>
      <c r="E1546" s="19" t="s">
        <v>4368</v>
      </c>
      <c r="F1546" s="19">
        <v>10.52</v>
      </c>
      <c r="G1546" s="19" t="s">
        <v>2154</v>
      </c>
      <c r="H1546" s="19" t="s">
        <v>2171</v>
      </c>
    </row>
    <row r="1547" spans="1:8">
      <c r="A1547" s="18" t="s">
        <v>1552</v>
      </c>
      <c r="B1547" s="18" t="s">
        <v>4369</v>
      </c>
      <c r="C1547" s="18" t="s">
        <v>2144</v>
      </c>
      <c r="D1547" s="18" t="s">
        <v>2323</v>
      </c>
      <c r="E1547" s="18" t="s">
        <v>3024</v>
      </c>
      <c r="F1547" s="18">
        <v>9.7799999999999994</v>
      </c>
      <c r="G1547" s="18" t="s">
        <v>2154</v>
      </c>
      <c r="H1547" s="18" t="s">
        <v>2171</v>
      </c>
    </row>
    <row r="1548" spans="1:8">
      <c r="A1548" s="19" t="s">
        <v>1552</v>
      </c>
      <c r="B1548" s="19" t="s">
        <v>4370</v>
      </c>
      <c r="C1548" s="19" t="s">
        <v>2307</v>
      </c>
      <c r="D1548" s="19" t="s">
        <v>2416</v>
      </c>
      <c r="E1548" s="19" t="s">
        <v>2417</v>
      </c>
      <c r="F1548" s="19">
        <v>10.210000000000001</v>
      </c>
      <c r="G1548" s="19" t="s">
        <v>2154</v>
      </c>
      <c r="H1548" s="19" t="s">
        <v>2171</v>
      </c>
    </row>
    <row r="1549" spans="1:8">
      <c r="A1549" s="18" t="s">
        <v>1552</v>
      </c>
      <c r="B1549" s="18" t="s">
        <v>4371</v>
      </c>
      <c r="C1549" s="18" t="s">
        <v>2311</v>
      </c>
      <c r="D1549" s="18" t="s">
        <v>2557</v>
      </c>
      <c r="E1549" s="18" t="s">
        <v>2558</v>
      </c>
      <c r="F1549" s="18">
        <v>7.61</v>
      </c>
      <c r="G1549" s="18" t="s">
        <v>2154</v>
      </c>
      <c r="H1549" s="18" t="s">
        <v>2160</v>
      </c>
    </row>
    <row r="1550" spans="1:8">
      <c r="A1550" s="19" t="s">
        <v>1050</v>
      </c>
      <c r="B1550" s="19" t="s">
        <v>4372</v>
      </c>
      <c r="C1550" s="19" t="s">
        <v>4373</v>
      </c>
      <c r="D1550" s="19" t="s">
        <v>2165</v>
      </c>
      <c r="E1550" s="19" t="s">
        <v>2771</v>
      </c>
      <c r="F1550" s="19">
        <v>7.4</v>
      </c>
      <c r="G1550" s="19" t="s">
        <v>2154</v>
      </c>
      <c r="H1550" s="19" t="s">
        <v>2160</v>
      </c>
    </row>
    <row r="1551" spans="1:8">
      <c r="A1551" s="18" t="s">
        <v>1050</v>
      </c>
      <c r="B1551" s="18" t="s">
        <v>4374</v>
      </c>
      <c r="C1551" s="18" t="s">
        <v>2157</v>
      </c>
      <c r="D1551" s="18" t="s">
        <v>2437</v>
      </c>
      <c r="E1551" s="18" t="s">
        <v>2438</v>
      </c>
      <c r="F1551" s="18">
        <v>8.36</v>
      </c>
      <c r="G1551" s="18" t="s">
        <v>2154</v>
      </c>
      <c r="H1551" s="18" t="s">
        <v>2155</v>
      </c>
    </row>
    <row r="1552" spans="1:8">
      <c r="A1552" s="19" t="s">
        <v>1050</v>
      </c>
      <c r="B1552" s="19" t="s">
        <v>4375</v>
      </c>
      <c r="C1552" s="19" t="s">
        <v>2162</v>
      </c>
      <c r="D1552" s="19" t="s">
        <v>3100</v>
      </c>
      <c r="E1552" s="19" t="s">
        <v>3101</v>
      </c>
      <c r="F1552" s="19">
        <v>9.83</v>
      </c>
      <c r="G1552" s="19" t="s">
        <v>2154</v>
      </c>
      <c r="H1552" s="19" t="s">
        <v>2155</v>
      </c>
    </row>
    <row r="1553" spans="1:8">
      <c r="A1553" s="18" t="s">
        <v>1050</v>
      </c>
      <c r="B1553" s="18" t="s">
        <v>4376</v>
      </c>
      <c r="C1553" s="18" t="s">
        <v>1937</v>
      </c>
      <c r="D1553" s="18" t="s">
        <v>3089</v>
      </c>
      <c r="E1553" s="18" t="s">
        <v>3704</v>
      </c>
      <c r="F1553" s="18">
        <v>7.23</v>
      </c>
      <c r="G1553" s="18" t="s">
        <v>2154</v>
      </c>
      <c r="H1553" s="18" t="s">
        <v>2171</v>
      </c>
    </row>
    <row r="1554" spans="1:8">
      <c r="A1554" s="19" t="s">
        <v>1050</v>
      </c>
      <c r="B1554" s="19" t="s">
        <v>4377</v>
      </c>
      <c r="C1554" s="19" t="s">
        <v>2168</v>
      </c>
      <c r="D1554" s="19" t="s">
        <v>2351</v>
      </c>
      <c r="E1554" s="19" t="s">
        <v>2539</v>
      </c>
      <c r="F1554" s="19">
        <v>9.6</v>
      </c>
      <c r="G1554" s="19" t="s">
        <v>2154</v>
      </c>
      <c r="H1554" s="19" t="s">
        <v>2160</v>
      </c>
    </row>
    <row r="1555" spans="1:8">
      <c r="A1555" s="18" t="s">
        <v>1050</v>
      </c>
      <c r="B1555" s="18" t="s">
        <v>4378</v>
      </c>
      <c r="C1555" s="18" t="s">
        <v>2173</v>
      </c>
      <c r="D1555" s="18" t="s">
        <v>2419</v>
      </c>
      <c r="E1555" s="18" t="s">
        <v>3175</v>
      </c>
      <c r="F1555" s="18">
        <v>9.6199999999999992</v>
      </c>
      <c r="G1555" s="18" t="s">
        <v>2154</v>
      </c>
      <c r="H1555" s="18" t="s">
        <v>2155</v>
      </c>
    </row>
    <row r="1556" spans="1:8">
      <c r="A1556" s="19" t="s">
        <v>1050</v>
      </c>
      <c r="B1556" s="19" t="s">
        <v>4379</v>
      </c>
      <c r="C1556" s="19" t="s">
        <v>2177</v>
      </c>
      <c r="D1556" s="19" t="s">
        <v>2290</v>
      </c>
      <c r="E1556" s="19" t="s">
        <v>2714</v>
      </c>
      <c r="F1556" s="19">
        <v>7.53</v>
      </c>
      <c r="G1556" s="19" t="s">
        <v>2154</v>
      </c>
      <c r="H1556" s="19" t="s">
        <v>2155</v>
      </c>
    </row>
    <row r="1557" spans="1:8">
      <c r="A1557" s="18" t="s">
        <v>1050</v>
      </c>
      <c r="B1557" s="18" t="s">
        <v>4380</v>
      </c>
      <c r="C1557" s="18" t="s">
        <v>1945</v>
      </c>
      <c r="D1557" s="18" t="s">
        <v>2304</v>
      </c>
      <c r="E1557" s="18" t="s">
        <v>2480</v>
      </c>
      <c r="F1557" s="18">
        <v>7.89</v>
      </c>
      <c r="G1557" s="18" t="s">
        <v>2154</v>
      </c>
      <c r="H1557" s="18" t="s">
        <v>2171</v>
      </c>
    </row>
    <row r="1558" spans="1:8">
      <c r="A1558" s="19" t="s">
        <v>1050</v>
      </c>
      <c r="B1558" s="19" t="s">
        <v>4381</v>
      </c>
      <c r="C1558" s="19" t="s">
        <v>2184</v>
      </c>
      <c r="D1558" s="19" t="s">
        <v>2174</v>
      </c>
      <c r="E1558" s="19" t="s">
        <v>2357</v>
      </c>
      <c r="F1558" s="19">
        <v>11.46</v>
      </c>
      <c r="G1558" s="19" t="s">
        <v>2154</v>
      </c>
      <c r="H1558" s="19" t="s">
        <v>2171</v>
      </c>
    </row>
    <row r="1559" spans="1:8">
      <c r="A1559" s="18" t="s">
        <v>1050</v>
      </c>
      <c r="B1559" s="18" t="s">
        <v>4382</v>
      </c>
      <c r="C1559" s="18" t="s">
        <v>3673</v>
      </c>
      <c r="D1559" s="18" t="s">
        <v>3180</v>
      </c>
      <c r="E1559" s="18" t="s">
        <v>3143</v>
      </c>
      <c r="F1559" s="18">
        <v>7.09</v>
      </c>
      <c r="G1559" s="18" t="s">
        <v>2154</v>
      </c>
      <c r="H1559" s="18" t="s">
        <v>2171</v>
      </c>
    </row>
    <row r="1560" spans="1:8">
      <c r="A1560" s="19" t="s">
        <v>1050</v>
      </c>
      <c r="B1560" s="19" t="s">
        <v>4383</v>
      </c>
      <c r="C1560" s="19" t="s">
        <v>2193</v>
      </c>
      <c r="D1560" s="19" t="s">
        <v>2597</v>
      </c>
      <c r="E1560" s="19" t="s">
        <v>3006</v>
      </c>
      <c r="F1560" s="19">
        <v>7.41</v>
      </c>
      <c r="G1560" s="19" t="s">
        <v>2154</v>
      </c>
      <c r="H1560" s="19" t="s">
        <v>2160</v>
      </c>
    </row>
    <row r="1561" spans="1:8">
      <c r="A1561" s="18" t="s">
        <v>1050</v>
      </c>
      <c r="B1561" s="18" t="s">
        <v>4384</v>
      </c>
      <c r="C1561" s="18" t="s">
        <v>2197</v>
      </c>
      <c r="D1561" s="18" t="s">
        <v>2169</v>
      </c>
      <c r="E1561" s="18" t="s">
        <v>2962</v>
      </c>
      <c r="F1561" s="18">
        <v>11.33</v>
      </c>
      <c r="G1561" s="18" t="s">
        <v>2154</v>
      </c>
      <c r="H1561" s="18" t="s">
        <v>2160</v>
      </c>
    </row>
    <row r="1562" spans="1:8">
      <c r="A1562" s="19" t="s">
        <v>1050</v>
      </c>
      <c r="B1562" s="19" t="s">
        <v>4385</v>
      </c>
      <c r="C1562" s="19" t="s">
        <v>1819</v>
      </c>
      <c r="D1562" s="19" t="s">
        <v>2584</v>
      </c>
      <c r="E1562" s="19" t="s">
        <v>2585</v>
      </c>
      <c r="F1562" s="19">
        <v>9.01</v>
      </c>
      <c r="G1562" s="19" t="s">
        <v>2154</v>
      </c>
      <c r="H1562" s="19" t="s">
        <v>2155</v>
      </c>
    </row>
    <row r="1563" spans="1:8">
      <c r="A1563" s="18" t="s">
        <v>1050</v>
      </c>
      <c r="B1563" s="18" t="s">
        <v>4386</v>
      </c>
      <c r="C1563" s="18" t="s">
        <v>2204</v>
      </c>
      <c r="D1563" s="18" t="s">
        <v>2290</v>
      </c>
      <c r="E1563" s="18" t="s">
        <v>2327</v>
      </c>
      <c r="F1563" s="18">
        <v>6.83</v>
      </c>
      <c r="G1563" s="18" t="s">
        <v>2154</v>
      </c>
      <c r="H1563" s="18" t="s">
        <v>2155</v>
      </c>
    </row>
    <row r="1564" spans="1:8">
      <c r="A1564" s="19" t="s">
        <v>1050</v>
      </c>
      <c r="B1564" s="19" t="s">
        <v>4387</v>
      </c>
      <c r="C1564" s="19" t="s">
        <v>1843</v>
      </c>
      <c r="D1564" s="19" t="s">
        <v>3496</v>
      </c>
      <c r="E1564" s="19" t="s">
        <v>3463</v>
      </c>
      <c r="F1564" s="19">
        <v>8.5</v>
      </c>
      <c r="G1564" s="19" t="s">
        <v>2154</v>
      </c>
      <c r="H1564" s="19" t="s">
        <v>2171</v>
      </c>
    </row>
    <row r="1565" spans="1:8">
      <c r="A1565" s="18" t="s">
        <v>1050</v>
      </c>
      <c r="B1565" s="18" t="s">
        <v>4388</v>
      </c>
      <c r="C1565" s="18" t="s">
        <v>4389</v>
      </c>
      <c r="D1565" s="18" t="s">
        <v>2452</v>
      </c>
      <c r="E1565" s="18" t="s">
        <v>2636</v>
      </c>
      <c r="F1565" s="18">
        <v>10.07</v>
      </c>
      <c r="G1565" s="18" t="s">
        <v>2154</v>
      </c>
      <c r="H1565" s="18" t="s">
        <v>2187</v>
      </c>
    </row>
    <row r="1566" spans="1:8">
      <c r="A1566" s="19" t="s">
        <v>1050</v>
      </c>
      <c r="B1566" s="19" t="s">
        <v>4390</v>
      </c>
      <c r="C1566" s="19" t="s">
        <v>2215</v>
      </c>
      <c r="D1566" s="19" t="s">
        <v>2216</v>
      </c>
      <c r="E1566" s="19" t="s">
        <v>2239</v>
      </c>
      <c r="F1566" s="19">
        <v>9.1199999999999992</v>
      </c>
      <c r="G1566" s="19" t="s">
        <v>2154</v>
      </c>
      <c r="H1566" s="19" t="s">
        <v>2171</v>
      </c>
    </row>
    <row r="1567" spans="1:8">
      <c r="A1567" s="18" t="s">
        <v>1050</v>
      </c>
      <c r="B1567" s="18" t="s">
        <v>4391</v>
      </c>
      <c r="C1567" s="18" t="s">
        <v>2219</v>
      </c>
      <c r="D1567" s="18" t="s">
        <v>2297</v>
      </c>
      <c r="E1567" s="18" t="s">
        <v>3262</v>
      </c>
      <c r="F1567" s="18">
        <v>8.5</v>
      </c>
      <c r="G1567" s="18" t="s">
        <v>2154</v>
      </c>
      <c r="H1567" s="18" t="s">
        <v>2171</v>
      </c>
    </row>
    <row r="1568" spans="1:8">
      <c r="A1568" s="19" t="s">
        <v>1050</v>
      </c>
      <c r="B1568" s="19" t="s">
        <v>4392</v>
      </c>
      <c r="C1568" s="19" t="s">
        <v>2222</v>
      </c>
      <c r="D1568" s="19" t="s">
        <v>2979</v>
      </c>
      <c r="E1568" s="19" t="s">
        <v>3308</v>
      </c>
      <c r="F1568" s="19">
        <v>11.36</v>
      </c>
      <c r="G1568" s="19" t="s">
        <v>2154</v>
      </c>
      <c r="H1568" s="19" t="s">
        <v>2187</v>
      </c>
    </row>
    <row r="1569" spans="1:8">
      <c r="A1569" s="18" t="s">
        <v>1050</v>
      </c>
      <c r="B1569" s="18" t="s">
        <v>4393</v>
      </c>
      <c r="C1569" s="18" t="s">
        <v>2226</v>
      </c>
      <c r="D1569" s="18" t="s">
        <v>2783</v>
      </c>
      <c r="E1569" s="18" t="s">
        <v>2334</v>
      </c>
      <c r="F1569" s="18">
        <v>7.34</v>
      </c>
      <c r="G1569" s="18" t="s">
        <v>2154</v>
      </c>
      <c r="H1569" s="18" t="s">
        <v>2155</v>
      </c>
    </row>
    <row r="1570" spans="1:8">
      <c r="A1570" s="19" t="s">
        <v>1050</v>
      </c>
      <c r="B1570" s="19" t="s">
        <v>4394</v>
      </c>
      <c r="C1570" s="19" t="s">
        <v>2230</v>
      </c>
      <c r="D1570" s="19" t="s">
        <v>2880</v>
      </c>
      <c r="E1570" s="19" t="s">
        <v>2576</v>
      </c>
      <c r="F1570" s="19">
        <v>8.73</v>
      </c>
      <c r="G1570" s="19" t="s">
        <v>2154</v>
      </c>
      <c r="H1570" s="19" t="s">
        <v>2171</v>
      </c>
    </row>
    <row r="1571" spans="1:8">
      <c r="A1571" s="18" t="s">
        <v>1050</v>
      </c>
      <c r="B1571" s="18" t="s">
        <v>4395</v>
      </c>
      <c r="C1571" s="18" t="s">
        <v>4396</v>
      </c>
      <c r="D1571" s="18"/>
      <c r="E1571" s="18"/>
      <c r="F1571" s="18"/>
      <c r="G1571" s="18" t="s">
        <v>2220</v>
      </c>
      <c r="H1571" s="18" t="s">
        <v>2160</v>
      </c>
    </row>
    <row r="1572" spans="1:8">
      <c r="A1572" s="19" t="s">
        <v>1050</v>
      </c>
      <c r="B1572" s="19" t="s">
        <v>4397</v>
      </c>
      <c r="C1572" s="19" t="s">
        <v>2238</v>
      </c>
      <c r="D1572" s="19" t="s">
        <v>2885</v>
      </c>
      <c r="E1572" s="19" t="s">
        <v>3355</v>
      </c>
      <c r="F1572" s="19">
        <v>7.05</v>
      </c>
      <c r="G1572" s="19" t="s">
        <v>2154</v>
      </c>
      <c r="H1572" s="19" t="s">
        <v>2171</v>
      </c>
    </row>
    <row r="1573" spans="1:8">
      <c r="A1573" s="18" t="s">
        <v>1050</v>
      </c>
      <c r="B1573" s="18" t="s">
        <v>4398</v>
      </c>
      <c r="C1573" s="18" t="s">
        <v>2241</v>
      </c>
      <c r="D1573" s="18" t="s">
        <v>2830</v>
      </c>
      <c r="E1573" s="18" t="s">
        <v>2787</v>
      </c>
      <c r="F1573" s="18">
        <v>10.52</v>
      </c>
      <c r="G1573" s="18" t="s">
        <v>2154</v>
      </c>
      <c r="H1573" s="18" t="s">
        <v>2160</v>
      </c>
    </row>
    <row r="1574" spans="1:8">
      <c r="A1574" s="19" t="s">
        <v>1050</v>
      </c>
      <c r="B1574" s="19" t="s">
        <v>4399</v>
      </c>
      <c r="C1574" s="19" t="s">
        <v>2245</v>
      </c>
      <c r="D1574" s="19" t="s">
        <v>3020</v>
      </c>
      <c r="E1574" s="19" t="s">
        <v>2617</v>
      </c>
      <c r="F1574" s="19">
        <v>7.58</v>
      </c>
      <c r="G1574" s="19" t="s">
        <v>2154</v>
      </c>
      <c r="H1574" s="19" t="s">
        <v>2155</v>
      </c>
    </row>
    <row r="1575" spans="1:8">
      <c r="A1575" s="18" t="s">
        <v>1050</v>
      </c>
      <c r="B1575" s="18" t="s">
        <v>4400</v>
      </c>
      <c r="C1575" s="18" t="s">
        <v>2249</v>
      </c>
      <c r="D1575" s="18" t="s">
        <v>2169</v>
      </c>
      <c r="E1575" s="18" t="s">
        <v>2170</v>
      </c>
      <c r="F1575" s="18">
        <v>10.06</v>
      </c>
      <c r="G1575" s="18" t="s">
        <v>2154</v>
      </c>
      <c r="H1575" s="18" t="s">
        <v>2187</v>
      </c>
    </row>
    <row r="1576" spans="1:8">
      <c r="A1576" s="19" t="s">
        <v>1050</v>
      </c>
      <c r="B1576" s="19" t="s">
        <v>4401</v>
      </c>
      <c r="C1576" s="19" t="s">
        <v>2252</v>
      </c>
      <c r="D1576" s="19" t="s">
        <v>2413</v>
      </c>
      <c r="E1576" s="19" t="s">
        <v>2913</v>
      </c>
      <c r="F1576" s="19">
        <v>10.71</v>
      </c>
      <c r="G1576" s="19" t="s">
        <v>2154</v>
      </c>
      <c r="H1576" s="19" t="s">
        <v>2155</v>
      </c>
    </row>
    <row r="1577" spans="1:8">
      <c r="A1577" s="18" t="s">
        <v>1050</v>
      </c>
      <c r="B1577" s="18" t="s">
        <v>4402</v>
      </c>
      <c r="C1577" s="18" t="s">
        <v>2376</v>
      </c>
      <c r="D1577" s="18" t="s">
        <v>2290</v>
      </c>
      <c r="E1577" s="18" t="s">
        <v>2291</v>
      </c>
      <c r="F1577" s="18">
        <v>9.32</v>
      </c>
      <c r="G1577" s="18" t="s">
        <v>2154</v>
      </c>
      <c r="H1577" s="18" t="s">
        <v>2187</v>
      </c>
    </row>
    <row r="1578" spans="1:8">
      <c r="A1578" s="19" t="s">
        <v>1050</v>
      </c>
      <c r="B1578" s="19" t="s">
        <v>4403</v>
      </c>
      <c r="C1578" s="19" t="s">
        <v>2260</v>
      </c>
      <c r="D1578" s="19" t="s">
        <v>2696</v>
      </c>
      <c r="E1578" s="19" t="s">
        <v>2712</v>
      </c>
      <c r="F1578" s="19">
        <v>7.24</v>
      </c>
      <c r="G1578" s="19" t="s">
        <v>2154</v>
      </c>
      <c r="H1578" s="19" t="s">
        <v>2155</v>
      </c>
    </row>
    <row r="1579" spans="1:8">
      <c r="A1579" s="18" t="s">
        <v>1050</v>
      </c>
      <c r="B1579" s="18" t="s">
        <v>4404</v>
      </c>
      <c r="C1579" s="18" t="s">
        <v>2264</v>
      </c>
      <c r="D1579" s="18" t="s">
        <v>2589</v>
      </c>
      <c r="E1579" s="18" t="s">
        <v>2601</v>
      </c>
      <c r="F1579" s="18">
        <v>8.84</v>
      </c>
      <c r="G1579" s="18" t="s">
        <v>2154</v>
      </c>
      <c r="H1579" s="18" t="s">
        <v>2155</v>
      </c>
    </row>
    <row r="1580" spans="1:8">
      <c r="A1580" s="19" t="s">
        <v>1050</v>
      </c>
      <c r="B1580" s="19" t="s">
        <v>4405</v>
      </c>
      <c r="C1580" s="19" t="s">
        <v>1948</v>
      </c>
      <c r="D1580" s="19" t="s">
        <v>2823</v>
      </c>
      <c r="E1580" s="19" t="s">
        <v>2166</v>
      </c>
      <c r="F1580" s="19">
        <v>7.38</v>
      </c>
      <c r="G1580" s="19" t="s">
        <v>2154</v>
      </c>
      <c r="H1580" s="19" t="s">
        <v>2171</v>
      </c>
    </row>
    <row r="1581" spans="1:8">
      <c r="A1581" s="18" t="s">
        <v>1050</v>
      </c>
      <c r="B1581" s="18" t="s">
        <v>4406</v>
      </c>
      <c r="C1581" s="18" t="s">
        <v>2269</v>
      </c>
      <c r="D1581" s="18" t="s">
        <v>2165</v>
      </c>
      <c r="E1581" s="18" t="s">
        <v>4407</v>
      </c>
      <c r="F1581" s="18">
        <v>6.61</v>
      </c>
      <c r="G1581" s="18" t="s">
        <v>2154</v>
      </c>
      <c r="H1581" s="18" t="s">
        <v>2171</v>
      </c>
    </row>
    <row r="1582" spans="1:8">
      <c r="A1582" s="19" t="s">
        <v>1050</v>
      </c>
      <c r="B1582" s="19" t="s">
        <v>4408</v>
      </c>
      <c r="C1582" s="19" t="s">
        <v>2273</v>
      </c>
      <c r="D1582" s="19" t="s">
        <v>3010</v>
      </c>
      <c r="E1582" s="19" t="s">
        <v>2360</v>
      </c>
      <c r="F1582" s="19">
        <v>10.09</v>
      </c>
      <c r="G1582" s="19" t="s">
        <v>2154</v>
      </c>
      <c r="H1582" s="19" t="s">
        <v>2160</v>
      </c>
    </row>
    <row r="1583" spans="1:8">
      <c r="A1583" s="18" t="s">
        <v>1050</v>
      </c>
      <c r="B1583" s="18" t="s">
        <v>4409</v>
      </c>
      <c r="C1583" s="18" t="s">
        <v>2277</v>
      </c>
      <c r="D1583" s="18" t="s">
        <v>3180</v>
      </c>
      <c r="E1583" s="18" t="s">
        <v>3021</v>
      </c>
      <c r="F1583" s="18">
        <v>9.73</v>
      </c>
      <c r="G1583" s="18" t="s">
        <v>2154</v>
      </c>
      <c r="H1583" s="18" t="s">
        <v>2171</v>
      </c>
    </row>
    <row r="1584" spans="1:8">
      <c r="A1584" s="19" t="s">
        <v>1050</v>
      </c>
      <c r="B1584" s="19" t="s">
        <v>4410</v>
      </c>
      <c r="C1584" s="19" t="s">
        <v>2281</v>
      </c>
      <c r="D1584" s="19" t="s">
        <v>2796</v>
      </c>
      <c r="E1584" s="19" t="s">
        <v>2810</v>
      </c>
      <c r="F1584" s="19">
        <v>10.91</v>
      </c>
      <c r="G1584" s="19" t="s">
        <v>2154</v>
      </c>
      <c r="H1584" s="19" t="s">
        <v>2171</v>
      </c>
    </row>
    <row r="1585" spans="1:8">
      <c r="A1585" s="18" t="s">
        <v>1050</v>
      </c>
      <c r="B1585" s="18" t="s">
        <v>4411</v>
      </c>
      <c r="C1585" s="18" t="s">
        <v>2396</v>
      </c>
      <c r="D1585" s="18" t="s">
        <v>2696</v>
      </c>
      <c r="E1585" s="18" t="s">
        <v>2672</v>
      </c>
      <c r="F1585" s="18">
        <v>8.06</v>
      </c>
      <c r="G1585" s="18" t="s">
        <v>2154</v>
      </c>
      <c r="H1585" s="18" t="s">
        <v>2160</v>
      </c>
    </row>
    <row r="1586" spans="1:8">
      <c r="A1586" s="19" t="s">
        <v>1050</v>
      </c>
      <c r="B1586" s="19" t="s">
        <v>4412</v>
      </c>
      <c r="C1586" s="19" t="s">
        <v>2289</v>
      </c>
      <c r="D1586" s="19" t="s">
        <v>3051</v>
      </c>
      <c r="E1586" s="19" t="s">
        <v>3259</v>
      </c>
      <c r="F1586" s="19">
        <v>11.36</v>
      </c>
      <c r="G1586" s="19" t="s">
        <v>2154</v>
      </c>
      <c r="H1586" s="19" t="s">
        <v>2171</v>
      </c>
    </row>
    <row r="1587" spans="1:8">
      <c r="A1587" s="18" t="s">
        <v>1050</v>
      </c>
      <c r="B1587" s="18" t="s">
        <v>4413</v>
      </c>
      <c r="C1587" s="18" t="s">
        <v>2293</v>
      </c>
      <c r="D1587" s="18" t="s">
        <v>2208</v>
      </c>
      <c r="E1587" s="18" t="s">
        <v>3671</v>
      </c>
      <c r="F1587" s="18">
        <v>8.23</v>
      </c>
      <c r="G1587" s="18" t="s">
        <v>2154</v>
      </c>
      <c r="H1587" s="18" t="s">
        <v>2155</v>
      </c>
    </row>
    <row r="1588" spans="1:8">
      <c r="A1588" s="19" t="s">
        <v>1050</v>
      </c>
      <c r="B1588" s="19" t="s">
        <v>4414</v>
      </c>
      <c r="C1588" s="19" t="s">
        <v>2296</v>
      </c>
      <c r="D1588" s="19" t="s">
        <v>2397</v>
      </c>
      <c r="E1588" s="19" t="s">
        <v>2501</v>
      </c>
      <c r="F1588" s="19">
        <v>8.19</v>
      </c>
      <c r="G1588" s="19" t="s">
        <v>2154</v>
      </c>
      <c r="H1588" s="19" t="s">
        <v>2160</v>
      </c>
    </row>
    <row r="1589" spans="1:8">
      <c r="A1589" s="18" t="s">
        <v>1050</v>
      </c>
      <c r="B1589" s="18" t="s">
        <v>4415</v>
      </c>
      <c r="C1589" s="18" t="s">
        <v>2300</v>
      </c>
      <c r="D1589" s="18" t="s">
        <v>2684</v>
      </c>
      <c r="E1589" s="18" t="s">
        <v>2305</v>
      </c>
      <c r="F1589" s="18">
        <v>8.6999999999999993</v>
      </c>
      <c r="G1589" s="18" t="s">
        <v>2154</v>
      </c>
      <c r="H1589" s="18" t="s">
        <v>2160</v>
      </c>
    </row>
    <row r="1590" spans="1:8">
      <c r="A1590" s="19" t="s">
        <v>1050</v>
      </c>
      <c r="B1590" s="19" t="s">
        <v>4416</v>
      </c>
      <c r="C1590" s="19" t="s">
        <v>2144</v>
      </c>
      <c r="D1590" s="19" t="s">
        <v>2337</v>
      </c>
      <c r="E1590" s="19" t="s">
        <v>3422</v>
      </c>
      <c r="F1590" s="19">
        <v>10.77</v>
      </c>
      <c r="G1590" s="19" t="s">
        <v>2154</v>
      </c>
      <c r="H1590" s="19" t="s">
        <v>2171</v>
      </c>
    </row>
    <row r="1591" spans="1:8">
      <c r="A1591" s="18" t="s">
        <v>1050</v>
      </c>
      <c r="B1591" s="18" t="s">
        <v>4417</v>
      </c>
      <c r="C1591" s="18" t="s">
        <v>2307</v>
      </c>
      <c r="D1591" s="18" t="s">
        <v>3253</v>
      </c>
      <c r="E1591" s="18" t="s">
        <v>3254</v>
      </c>
      <c r="F1591" s="18">
        <v>7.82</v>
      </c>
      <c r="G1591" s="18" t="s">
        <v>2154</v>
      </c>
      <c r="H1591" s="18" t="s">
        <v>2171</v>
      </c>
    </row>
    <row r="1592" spans="1:8">
      <c r="A1592" s="19" t="s">
        <v>1050</v>
      </c>
      <c r="B1592" s="19" t="s">
        <v>4418</v>
      </c>
      <c r="C1592" s="19" t="s">
        <v>2311</v>
      </c>
      <c r="D1592" s="19" t="s">
        <v>2684</v>
      </c>
      <c r="E1592" s="19" t="s">
        <v>3008</v>
      </c>
      <c r="F1592" s="19">
        <v>9.36</v>
      </c>
      <c r="G1592" s="19" t="s">
        <v>2154</v>
      </c>
      <c r="H1592" s="19" t="s">
        <v>2187</v>
      </c>
    </row>
    <row r="1593" spans="1:8">
      <c r="A1593" s="18" t="s">
        <v>434</v>
      </c>
      <c r="B1593" s="18" t="s">
        <v>4419</v>
      </c>
      <c r="C1593" s="18" t="s">
        <v>2038</v>
      </c>
      <c r="D1593" s="18" t="s">
        <v>2235</v>
      </c>
      <c r="E1593" s="18" t="s">
        <v>3060</v>
      </c>
      <c r="F1593" s="18">
        <v>8.61</v>
      </c>
      <c r="G1593" s="18" t="s">
        <v>2154</v>
      </c>
      <c r="H1593" s="18" t="s">
        <v>2187</v>
      </c>
    </row>
    <row r="1594" spans="1:8">
      <c r="A1594" s="19" t="s">
        <v>434</v>
      </c>
      <c r="B1594" s="19" t="s">
        <v>4420</v>
      </c>
      <c r="C1594" s="19" t="s">
        <v>2157</v>
      </c>
      <c r="D1594" s="19" t="s">
        <v>2548</v>
      </c>
      <c r="E1594" s="19" t="s">
        <v>2758</v>
      </c>
      <c r="F1594" s="19">
        <v>11.25</v>
      </c>
      <c r="G1594" s="19" t="s">
        <v>2154</v>
      </c>
      <c r="H1594" s="19" t="s">
        <v>2187</v>
      </c>
    </row>
    <row r="1595" spans="1:8">
      <c r="A1595" s="18" t="s">
        <v>434</v>
      </c>
      <c r="B1595" s="18" t="s">
        <v>4421</v>
      </c>
      <c r="C1595" s="18" t="s">
        <v>2162</v>
      </c>
      <c r="D1595" s="18" t="s">
        <v>2443</v>
      </c>
      <c r="E1595" s="18" t="s">
        <v>2808</v>
      </c>
      <c r="F1595" s="18">
        <v>8.52</v>
      </c>
      <c r="G1595" s="18" t="s">
        <v>2154</v>
      </c>
      <c r="H1595" s="18" t="s">
        <v>2155</v>
      </c>
    </row>
    <row r="1596" spans="1:8">
      <c r="A1596" s="19" t="s">
        <v>434</v>
      </c>
      <c r="B1596" s="19" t="s">
        <v>4422</v>
      </c>
      <c r="C1596" s="19" t="s">
        <v>4423</v>
      </c>
      <c r="D1596" s="19" t="s">
        <v>2431</v>
      </c>
      <c r="E1596" s="19" t="s">
        <v>2432</v>
      </c>
      <c r="F1596" s="19">
        <v>9.7200000000000006</v>
      </c>
      <c r="G1596" s="19" t="s">
        <v>2154</v>
      </c>
      <c r="H1596" s="19" t="s">
        <v>2187</v>
      </c>
    </row>
    <row r="1597" spans="1:8">
      <c r="A1597" s="18" t="s">
        <v>434</v>
      </c>
      <c r="B1597" s="18" t="s">
        <v>4424</v>
      </c>
      <c r="C1597" s="18" t="s">
        <v>2168</v>
      </c>
      <c r="D1597" s="18" t="s">
        <v>2387</v>
      </c>
      <c r="E1597" s="18" t="s">
        <v>3844</v>
      </c>
      <c r="F1597" s="18">
        <v>10.33</v>
      </c>
      <c r="G1597" s="18" t="s">
        <v>2154</v>
      </c>
      <c r="H1597" s="18" t="s">
        <v>2155</v>
      </c>
    </row>
    <row r="1598" spans="1:8">
      <c r="A1598" s="19" t="s">
        <v>434</v>
      </c>
      <c r="B1598" s="19" t="s">
        <v>4425</v>
      </c>
      <c r="C1598" s="19" t="s">
        <v>2173</v>
      </c>
      <c r="D1598" s="19" t="s">
        <v>2348</v>
      </c>
      <c r="E1598" s="19" t="s">
        <v>2320</v>
      </c>
      <c r="F1598" s="19">
        <v>11.01</v>
      </c>
      <c r="G1598" s="19" t="s">
        <v>2154</v>
      </c>
      <c r="H1598" s="19" t="s">
        <v>2171</v>
      </c>
    </row>
    <row r="1599" spans="1:8">
      <c r="A1599" s="18" t="s">
        <v>434</v>
      </c>
      <c r="B1599" s="18" t="s">
        <v>4426</v>
      </c>
      <c r="C1599" s="18" t="s">
        <v>2177</v>
      </c>
      <c r="D1599" s="18" t="s">
        <v>2452</v>
      </c>
      <c r="E1599" s="18" t="s">
        <v>4427</v>
      </c>
      <c r="F1599" s="18">
        <v>6.79</v>
      </c>
      <c r="G1599" s="18" t="s">
        <v>2154</v>
      </c>
      <c r="H1599" s="18" t="s">
        <v>2155</v>
      </c>
    </row>
    <row r="1600" spans="1:8">
      <c r="A1600" s="19" t="s">
        <v>434</v>
      </c>
      <c r="B1600" s="19" t="s">
        <v>4428</v>
      </c>
      <c r="C1600" s="19" t="s">
        <v>1945</v>
      </c>
      <c r="D1600" s="19" t="s">
        <v>3001</v>
      </c>
      <c r="E1600" s="19" t="s">
        <v>4429</v>
      </c>
      <c r="F1600" s="19">
        <v>6.71</v>
      </c>
      <c r="G1600" s="19" t="s">
        <v>2154</v>
      </c>
      <c r="H1600" s="19" t="s">
        <v>2155</v>
      </c>
    </row>
    <row r="1601" spans="1:8">
      <c r="A1601" s="18" t="s">
        <v>434</v>
      </c>
      <c r="B1601" s="18" t="s">
        <v>4430</v>
      </c>
      <c r="C1601" s="18" t="s">
        <v>2184</v>
      </c>
      <c r="D1601" s="18" t="s">
        <v>2619</v>
      </c>
      <c r="E1601" s="18" t="s">
        <v>2620</v>
      </c>
      <c r="F1601" s="18">
        <v>7.2</v>
      </c>
      <c r="G1601" s="18" t="s">
        <v>2154</v>
      </c>
      <c r="H1601" s="18" t="s">
        <v>2187</v>
      </c>
    </row>
    <row r="1602" spans="1:8">
      <c r="A1602" s="19" t="s">
        <v>434</v>
      </c>
      <c r="B1602" s="19" t="s">
        <v>4431</v>
      </c>
      <c r="C1602" s="19" t="s">
        <v>2189</v>
      </c>
      <c r="D1602" s="19" t="s">
        <v>3261</v>
      </c>
      <c r="E1602" s="19" t="s">
        <v>2779</v>
      </c>
      <c r="F1602" s="19">
        <v>10.78</v>
      </c>
      <c r="G1602" s="19" t="s">
        <v>2154</v>
      </c>
      <c r="H1602" s="19" t="s">
        <v>2187</v>
      </c>
    </row>
    <row r="1603" spans="1:8">
      <c r="A1603" s="18" t="s">
        <v>434</v>
      </c>
      <c r="B1603" s="18" t="s">
        <v>4432</v>
      </c>
      <c r="C1603" s="18" t="s">
        <v>2193</v>
      </c>
      <c r="D1603" s="18" t="s">
        <v>2348</v>
      </c>
      <c r="E1603" s="18" t="s">
        <v>2320</v>
      </c>
      <c r="F1603" s="18">
        <v>11.49</v>
      </c>
      <c r="G1603" s="18" t="s">
        <v>2154</v>
      </c>
      <c r="H1603" s="18" t="s">
        <v>2155</v>
      </c>
    </row>
    <row r="1604" spans="1:8">
      <c r="A1604" s="19" t="s">
        <v>434</v>
      </c>
      <c r="B1604" s="19" t="s">
        <v>4433</v>
      </c>
      <c r="C1604" s="19" t="s">
        <v>2197</v>
      </c>
      <c r="D1604" s="19" t="s">
        <v>2326</v>
      </c>
      <c r="E1604" s="19" t="s">
        <v>4434</v>
      </c>
      <c r="F1604" s="19">
        <v>6.84</v>
      </c>
      <c r="G1604" s="19" t="s">
        <v>2154</v>
      </c>
      <c r="H1604" s="19" t="s">
        <v>2187</v>
      </c>
    </row>
    <row r="1605" spans="1:8">
      <c r="A1605" s="18" t="s">
        <v>434</v>
      </c>
      <c r="B1605" s="18" t="s">
        <v>4435</v>
      </c>
      <c r="C1605" s="18" t="s">
        <v>1819</v>
      </c>
      <c r="D1605" s="18" t="s">
        <v>2709</v>
      </c>
      <c r="E1605" s="18" t="s">
        <v>3844</v>
      </c>
      <c r="F1605" s="18">
        <v>9.7799999999999994</v>
      </c>
      <c r="G1605" s="18" t="s">
        <v>2154</v>
      </c>
      <c r="H1605" s="18" t="s">
        <v>2160</v>
      </c>
    </row>
    <row r="1606" spans="1:8">
      <c r="A1606" s="19" t="s">
        <v>434</v>
      </c>
      <c r="B1606" s="19" t="s">
        <v>4436</v>
      </c>
      <c r="C1606" s="19" t="s">
        <v>2204</v>
      </c>
      <c r="D1606" s="19" t="s">
        <v>2955</v>
      </c>
      <c r="E1606" s="19" t="s">
        <v>2790</v>
      </c>
      <c r="F1606" s="19">
        <v>6.53</v>
      </c>
      <c r="G1606" s="19" t="s">
        <v>2154</v>
      </c>
      <c r="H1606" s="19" t="s">
        <v>2187</v>
      </c>
    </row>
    <row r="1607" spans="1:8">
      <c r="A1607" s="18" t="s">
        <v>434</v>
      </c>
      <c r="B1607" s="18" t="s">
        <v>4437</v>
      </c>
      <c r="C1607" s="18" t="s">
        <v>1843</v>
      </c>
      <c r="D1607" s="18" t="s">
        <v>2488</v>
      </c>
      <c r="E1607" s="18" t="s">
        <v>3118</v>
      </c>
      <c r="F1607" s="18">
        <v>9.7200000000000006</v>
      </c>
      <c r="G1607" s="18" t="s">
        <v>2154</v>
      </c>
      <c r="H1607" s="18" t="s">
        <v>2171</v>
      </c>
    </row>
    <row r="1608" spans="1:8">
      <c r="A1608" s="19" t="s">
        <v>434</v>
      </c>
      <c r="B1608" s="19" t="s">
        <v>4438</v>
      </c>
      <c r="C1608" s="19" t="s">
        <v>2211</v>
      </c>
      <c r="D1608" s="19" t="s">
        <v>2793</v>
      </c>
      <c r="E1608" s="19" t="s">
        <v>3151</v>
      </c>
      <c r="F1608" s="19">
        <v>7.61</v>
      </c>
      <c r="G1608" s="19" t="s">
        <v>2154</v>
      </c>
      <c r="H1608" s="19" t="s">
        <v>2160</v>
      </c>
    </row>
    <row r="1609" spans="1:8">
      <c r="A1609" s="18" t="s">
        <v>434</v>
      </c>
      <c r="B1609" s="18" t="s">
        <v>4439</v>
      </c>
      <c r="C1609" s="18" t="s">
        <v>2215</v>
      </c>
      <c r="D1609" s="18" t="s">
        <v>2948</v>
      </c>
      <c r="E1609" s="18" t="s">
        <v>3078</v>
      </c>
      <c r="F1609" s="18">
        <v>8.0399999999999991</v>
      </c>
      <c r="G1609" s="18" t="s">
        <v>2154</v>
      </c>
      <c r="H1609" s="18" t="s">
        <v>2155</v>
      </c>
    </row>
    <row r="1610" spans="1:8">
      <c r="A1610" s="19" t="s">
        <v>434</v>
      </c>
      <c r="B1610" s="19" t="s">
        <v>4440</v>
      </c>
      <c r="C1610" s="19" t="s">
        <v>2219</v>
      </c>
      <c r="D1610" s="19" t="s">
        <v>2966</v>
      </c>
      <c r="E1610" s="19" t="s">
        <v>3157</v>
      </c>
      <c r="F1610" s="19">
        <v>7.66</v>
      </c>
      <c r="G1610" s="19" t="s">
        <v>2154</v>
      </c>
      <c r="H1610" s="19" t="s">
        <v>2171</v>
      </c>
    </row>
    <row r="1611" spans="1:8">
      <c r="A1611" s="18" t="s">
        <v>434</v>
      </c>
      <c r="B1611" s="18" t="s">
        <v>4441</v>
      </c>
      <c r="C1611" s="18" t="s">
        <v>2222</v>
      </c>
      <c r="D1611" s="18" t="s">
        <v>2286</v>
      </c>
      <c r="E1611" s="18" t="s">
        <v>3043</v>
      </c>
      <c r="F1611" s="18">
        <v>8.1199999999999992</v>
      </c>
      <c r="G1611" s="18" t="s">
        <v>2154</v>
      </c>
      <c r="H1611" s="18" t="s">
        <v>2155</v>
      </c>
    </row>
    <row r="1612" spans="1:8">
      <c r="A1612" s="19" t="s">
        <v>434</v>
      </c>
      <c r="B1612" s="19" t="s">
        <v>4442</v>
      </c>
      <c r="C1612" s="19" t="s">
        <v>2226</v>
      </c>
      <c r="D1612" s="19" t="s">
        <v>2266</v>
      </c>
      <c r="E1612" s="19" t="s">
        <v>2267</v>
      </c>
      <c r="F1612" s="19">
        <v>8.1999999999999993</v>
      </c>
      <c r="G1612" s="19" t="s">
        <v>2154</v>
      </c>
      <c r="H1612" s="19" t="s">
        <v>2171</v>
      </c>
    </row>
    <row r="1613" spans="1:8">
      <c r="A1613" s="18" t="s">
        <v>434</v>
      </c>
      <c r="B1613" s="18" t="s">
        <v>4443</v>
      </c>
      <c r="C1613" s="18" t="s">
        <v>2230</v>
      </c>
      <c r="D1613" s="18" t="s">
        <v>2616</v>
      </c>
      <c r="E1613" s="18" t="s">
        <v>3021</v>
      </c>
      <c r="F1613" s="18">
        <v>10.74</v>
      </c>
      <c r="G1613" s="18" t="s">
        <v>2154</v>
      </c>
      <c r="H1613" s="18" t="s">
        <v>2187</v>
      </c>
    </row>
    <row r="1614" spans="1:8">
      <c r="A1614" s="19" t="s">
        <v>434</v>
      </c>
      <c r="B1614" s="19" t="s">
        <v>4444</v>
      </c>
      <c r="C1614" s="19" t="s">
        <v>2234</v>
      </c>
      <c r="D1614" s="19" t="s">
        <v>2431</v>
      </c>
      <c r="E1614" s="19" t="s">
        <v>3060</v>
      </c>
      <c r="F1614" s="19">
        <v>7.25</v>
      </c>
      <c r="G1614" s="19" t="s">
        <v>2154</v>
      </c>
      <c r="H1614" s="19" t="s">
        <v>2155</v>
      </c>
    </row>
    <row r="1615" spans="1:8">
      <c r="A1615" s="18" t="s">
        <v>434</v>
      </c>
      <c r="B1615" s="18" t="s">
        <v>4445</v>
      </c>
      <c r="C1615" s="18" t="s">
        <v>2238</v>
      </c>
      <c r="D1615" s="18" t="s">
        <v>2548</v>
      </c>
      <c r="E1615" s="18" t="s">
        <v>3257</v>
      </c>
      <c r="F1615" s="18">
        <v>8.39</v>
      </c>
      <c r="G1615" s="18" t="s">
        <v>2154</v>
      </c>
      <c r="H1615" s="18" t="s">
        <v>2187</v>
      </c>
    </row>
    <row r="1616" spans="1:8">
      <c r="A1616" s="19" t="s">
        <v>434</v>
      </c>
      <c r="B1616" s="19" t="s">
        <v>4446</v>
      </c>
      <c r="C1616" s="19" t="s">
        <v>2241</v>
      </c>
      <c r="D1616" s="19"/>
      <c r="E1616" s="19"/>
      <c r="F1616" s="19"/>
      <c r="G1616" s="19" t="s">
        <v>2163</v>
      </c>
      <c r="H1616" s="19" t="s">
        <v>2187</v>
      </c>
    </row>
    <row r="1617" spans="1:8">
      <c r="A1617" s="18" t="s">
        <v>434</v>
      </c>
      <c r="B1617" s="18" t="s">
        <v>4447</v>
      </c>
      <c r="C1617" s="18" t="s">
        <v>2245</v>
      </c>
      <c r="D1617" s="18" t="s">
        <v>2419</v>
      </c>
      <c r="E1617" s="18" t="s">
        <v>3067</v>
      </c>
      <c r="F1617" s="18">
        <v>6.73</v>
      </c>
      <c r="G1617" s="18" t="s">
        <v>2154</v>
      </c>
      <c r="H1617" s="18" t="s">
        <v>2171</v>
      </c>
    </row>
    <row r="1618" spans="1:8">
      <c r="A1618" s="19" t="s">
        <v>434</v>
      </c>
      <c r="B1618" s="19" t="s">
        <v>4448</v>
      </c>
      <c r="C1618" s="19" t="s">
        <v>2249</v>
      </c>
      <c r="D1618" s="19" t="s">
        <v>2619</v>
      </c>
      <c r="E1618" s="19" t="s">
        <v>3033</v>
      </c>
      <c r="F1618" s="19">
        <v>10.66</v>
      </c>
      <c r="G1618" s="19" t="s">
        <v>2154</v>
      </c>
      <c r="H1618" s="19" t="s">
        <v>2160</v>
      </c>
    </row>
    <row r="1619" spans="1:8">
      <c r="A1619" s="18" t="s">
        <v>434</v>
      </c>
      <c r="B1619" s="18" t="s">
        <v>4449</v>
      </c>
      <c r="C1619" s="18" t="s">
        <v>2252</v>
      </c>
      <c r="D1619" s="18" t="s">
        <v>2592</v>
      </c>
      <c r="E1619" s="18" t="s">
        <v>4066</v>
      </c>
      <c r="F1619" s="18">
        <v>6.94</v>
      </c>
      <c r="G1619" s="18" t="s">
        <v>2154</v>
      </c>
      <c r="H1619" s="18" t="s">
        <v>2187</v>
      </c>
    </row>
    <row r="1620" spans="1:8">
      <c r="A1620" s="19" t="s">
        <v>434</v>
      </c>
      <c r="B1620" s="19" t="s">
        <v>4450</v>
      </c>
      <c r="C1620" s="19" t="s">
        <v>2376</v>
      </c>
      <c r="D1620" s="19" t="s">
        <v>2709</v>
      </c>
      <c r="E1620" s="19" t="s">
        <v>3844</v>
      </c>
      <c r="F1620" s="19">
        <v>9.2200000000000006</v>
      </c>
      <c r="G1620" s="19" t="s">
        <v>2154</v>
      </c>
      <c r="H1620" s="19" t="s">
        <v>2187</v>
      </c>
    </row>
    <row r="1621" spans="1:8">
      <c r="A1621" s="18" t="s">
        <v>434</v>
      </c>
      <c r="B1621" s="18" t="s">
        <v>4451</v>
      </c>
      <c r="C1621" s="18" t="s">
        <v>2260</v>
      </c>
      <c r="D1621" s="18" t="s">
        <v>2865</v>
      </c>
      <c r="E1621" s="18" t="s">
        <v>2374</v>
      </c>
      <c r="F1621" s="18">
        <v>10.77</v>
      </c>
      <c r="G1621" s="18" t="s">
        <v>2154</v>
      </c>
      <c r="H1621" s="18" t="s">
        <v>2171</v>
      </c>
    </row>
    <row r="1622" spans="1:8">
      <c r="A1622" s="19" t="s">
        <v>434</v>
      </c>
      <c r="B1622" s="19" t="s">
        <v>4452</v>
      </c>
      <c r="C1622" s="19" t="s">
        <v>2264</v>
      </c>
      <c r="D1622" s="19" t="s">
        <v>2729</v>
      </c>
      <c r="E1622" s="19" t="s">
        <v>3149</v>
      </c>
      <c r="F1622" s="19">
        <v>8.02</v>
      </c>
      <c r="G1622" s="19" t="s">
        <v>2154</v>
      </c>
      <c r="H1622" s="19" t="s">
        <v>2160</v>
      </c>
    </row>
    <row r="1623" spans="1:8">
      <c r="A1623" s="18" t="s">
        <v>434</v>
      </c>
      <c r="B1623" s="18" t="s">
        <v>4453</v>
      </c>
      <c r="C1623" s="18" t="s">
        <v>1948</v>
      </c>
      <c r="D1623" s="18" t="s">
        <v>2174</v>
      </c>
      <c r="E1623" s="18" t="s">
        <v>2570</v>
      </c>
      <c r="F1623" s="18">
        <v>8.44</v>
      </c>
      <c r="G1623" s="18" t="s">
        <v>2154</v>
      </c>
      <c r="H1623" s="18" t="s">
        <v>2155</v>
      </c>
    </row>
    <row r="1624" spans="1:8">
      <c r="A1624" s="19" t="s">
        <v>434</v>
      </c>
      <c r="B1624" s="19" t="s">
        <v>4454</v>
      </c>
      <c r="C1624" s="19" t="s">
        <v>2269</v>
      </c>
      <c r="D1624" s="19" t="s">
        <v>2297</v>
      </c>
      <c r="E1624" s="19" t="s">
        <v>2298</v>
      </c>
      <c r="F1624" s="19">
        <v>7.02</v>
      </c>
      <c r="G1624" s="19" t="s">
        <v>2154</v>
      </c>
      <c r="H1624" s="19" t="s">
        <v>2155</v>
      </c>
    </row>
    <row r="1625" spans="1:8">
      <c r="A1625" s="18" t="s">
        <v>434</v>
      </c>
      <c r="B1625" s="18" t="s">
        <v>4455</v>
      </c>
      <c r="C1625" s="18" t="s">
        <v>2273</v>
      </c>
      <c r="D1625" s="18" t="s">
        <v>2578</v>
      </c>
      <c r="E1625" s="18" t="s">
        <v>3191</v>
      </c>
      <c r="F1625" s="18">
        <v>11.38</v>
      </c>
      <c r="G1625" s="18" t="s">
        <v>2154</v>
      </c>
      <c r="H1625" s="18" t="s">
        <v>2155</v>
      </c>
    </row>
    <row r="1626" spans="1:8">
      <c r="A1626" s="19" t="s">
        <v>434</v>
      </c>
      <c r="B1626" s="19" t="s">
        <v>4456</v>
      </c>
      <c r="C1626" s="19" t="s">
        <v>2277</v>
      </c>
      <c r="D1626" s="19" t="s">
        <v>2165</v>
      </c>
      <c r="E1626" s="19" t="s">
        <v>3425</v>
      </c>
      <c r="F1626" s="19">
        <v>8.7200000000000006</v>
      </c>
      <c r="G1626" s="19" t="s">
        <v>2154</v>
      </c>
      <c r="H1626" s="19" t="s">
        <v>2155</v>
      </c>
    </row>
    <row r="1627" spans="1:8">
      <c r="A1627" s="18" t="s">
        <v>434</v>
      </c>
      <c r="B1627" s="18" t="s">
        <v>4457</v>
      </c>
      <c r="C1627" s="18" t="s">
        <v>2281</v>
      </c>
      <c r="D1627" s="18" t="s">
        <v>2589</v>
      </c>
      <c r="E1627" s="18" t="s">
        <v>2622</v>
      </c>
      <c r="F1627" s="18">
        <v>7.54</v>
      </c>
      <c r="G1627" s="18" t="s">
        <v>2154</v>
      </c>
      <c r="H1627" s="18" t="s">
        <v>2171</v>
      </c>
    </row>
    <row r="1628" spans="1:8">
      <c r="A1628" s="19" t="s">
        <v>434</v>
      </c>
      <c r="B1628" s="19" t="s">
        <v>4458</v>
      </c>
      <c r="C1628" s="19" t="s">
        <v>2396</v>
      </c>
      <c r="D1628" s="19" t="s">
        <v>2632</v>
      </c>
      <c r="E1628" s="19" t="s">
        <v>2542</v>
      </c>
      <c r="F1628" s="19">
        <v>7.39</v>
      </c>
      <c r="G1628" s="19" t="s">
        <v>2154</v>
      </c>
      <c r="H1628" s="19" t="s">
        <v>2187</v>
      </c>
    </row>
    <row r="1629" spans="1:8">
      <c r="A1629" s="18" t="s">
        <v>434</v>
      </c>
      <c r="B1629" s="18" t="s">
        <v>4459</v>
      </c>
      <c r="C1629" s="18" t="s">
        <v>2289</v>
      </c>
      <c r="D1629" s="18" t="s">
        <v>2257</v>
      </c>
      <c r="E1629" s="18" t="s">
        <v>2258</v>
      </c>
      <c r="F1629" s="18">
        <v>8.43</v>
      </c>
      <c r="G1629" s="18" t="s">
        <v>2154</v>
      </c>
      <c r="H1629" s="18" t="s">
        <v>2187</v>
      </c>
    </row>
    <row r="1630" spans="1:8">
      <c r="A1630" s="19" t="s">
        <v>434</v>
      </c>
      <c r="B1630" s="19" t="s">
        <v>4460</v>
      </c>
      <c r="C1630" s="19" t="s">
        <v>2293</v>
      </c>
      <c r="D1630" s="19" t="s">
        <v>2589</v>
      </c>
      <c r="E1630" s="19" t="s">
        <v>2667</v>
      </c>
      <c r="F1630" s="19">
        <v>10.5</v>
      </c>
      <c r="G1630" s="19" t="s">
        <v>2154</v>
      </c>
      <c r="H1630" s="19" t="s">
        <v>2160</v>
      </c>
    </row>
    <row r="1631" spans="1:8">
      <c r="A1631" s="18" t="s">
        <v>434</v>
      </c>
      <c r="B1631" s="18" t="s">
        <v>4461</v>
      </c>
      <c r="C1631" s="18" t="s">
        <v>2296</v>
      </c>
      <c r="D1631" s="18" t="s">
        <v>3123</v>
      </c>
      <c r="E1631" s="18" t="s">
        <v>2745</v>
      </c>
      <c r="F1631" s="18">
        <v>9.6300000000000008</v>
      </c>
      <c r="G1631" s="18" t="s">
        <v>2154</v>
      </c>
      <c r="H1631" s="18" t="s">
        <v>2187</v>
      </c>
    </row>
    <row r="1632" spans="1:8">
      <c r="A1632" s="19" t="s">
        <v>434</v>
      </c>
      <c r="B1632" s="19" t="s">
        <v>4462</v>
      </c>
      <c r="C1632" s="19" t="s">
        <v>2300</v>
      </c>
      <c r="D1632" s="19" t="s">
        <v>3089</v>
      </c>
      <c r="E1632" s="19" t="s">
        <v>3422</v>
      </c>
      <c r="F1632" s="19">
        <v>11.29</v>
      </c>
      <c r="G1632" s="19" t="s">
        <v>2154</v>
      </c>
      <c r="H1632" s="19" t="s">
        <v>2187</v>
      </c>
    </row>
    <row r="1633" spans="1:8">
      <c r="A1633" s="18" t="s">
        <v>434</v>
      </c>
      <c r="B1633" s="18" t="s">
        <v>4463</v>
      </c>
      <c r="C1633" s="18" t="s">
        <v>2144</v>
      </c>
      <c r="D1633" s="18" t="s">
        <v>3253</v>
      </c>
      <c r="E1633" s="18" t="s">
        <v>3245</v>
      </c>
      <c r="F1633" s="18">
        <v>9.58</v>
      </c>
      <c r="G1633" s="18" t="s">
        <v>2154</v>
      </c>
      <c r="H1633" s="18" t="s">
        <v>2187</v>
      </c>
    </row>
    <row r="1634" spans="1:8">
      <c r="A1634" s="19" t="s">
        <v>434</v>
      </c>
      <c r="B1634" s="19" t="s">
        <v>4464</v>
      </c>
      <c r="C1634" s="19" t="s">
        <v>2307</v>
      </c>
      <c r="D1634" s="19" t="s">
        <v>2592</v>
      </c>
      <c r="E1634" s="19" t="s">
        <v>2724</v>
      </c>
      <c r="F1634" s="19">
        <v>9.65</v>
      </c>
      <c r="G1634" s="19" t="s">
        <v>2154</v>
      </c>
      <c r="H1634" s="19" t="s">
        <v>2187</v>
      </c>
    </row>
    <row r="1635" spans="1:8">
      <c r="A1635" s="18" t="s">
        <v>434</v>
      </c>
      <c r="B1635" s="18" t="s">
        <v>4465</v>
      </c>
      <c r="C1635" s="18" t="s">
        <v>2311</v>
      </c>
      <c r="D1635" s="18" t="s">
        <v>2534</v>
      </c>
      <c r="E1635" s="18" t="s">
        <v>2287</v>
      </c>
      <c r="F1635" s="18">
        <v>10.14</v>
      </c>
      <c r="G1635" s="18" t="s">
        <v>2154</v>
      </c>
      <c r="H1635" s="18" t="s">
        <v>2171</v>
      </c>
    </row>
    <row r="1636" spans="1:8">
      <c r="A1636" s="19" t="s">
        <v>837</v>
      </c>
      <c r="B1636" s="19" t="s">
        <v>4466</v>
      </c>
      <c r="C1636" s="19" t="s">
        <v>2038</v>
      </c>
      <c r="D1636" s="19" t="s">
        <v>2205</v>
      </c>
      <c r="E1636" s="19" t="s">
        <v>3151</v>
      </c>
      <c r="F1636" s="19">
        <v>6.88</v>
      </c>
      <c r="G1636" s="19" t="s">
        <v>2154</v>
      </c>
      <c r="H1636" s="19" t="s">
        <v>2171</v>
      </c>
    </row>
    <row r="1637" spans="1:8">
      <c r="A1637" s="18" t="s">
        <v>837</v>
      </c>
      <c r="B1637" s="18" t="s">
        <v>4467</v>
      </c>
      <c r="C1637" s="18" t="s">
        <v>2157</v>
      </c>
      <c r="D1637" s="18" t="s">
        <v>2362</v>
      </c>
      <c r="E1637" s="18" t="s">
        <v>2363</v>
      </c>
      <c r="F1637" s="18">
        <v>10.33</v>
      </c>
      <c r="G1637" s="18" t="s">
        <v>2154</v>
      </c>
      <c r="H1637" s="18" t="s">
        <v>2155</v>
      </c>
    </row>
    <row r="1638" spans="1:8">
      <c r="A1638" s="19" t="s">
        <v>837</v>
      </c>
      <c r="B1638" s="19" t="s">
        <v>4468</v>
      </c>
      <c r="C1638" s="19" t="s">
        <v>2162</v>
      </c>
      <c r="D1638" s="19" t="s">
        <v>2541</v>
      </c>
      <c r="E1638" s="19" t="s">
        <v>2542</v>
      </c>
      <c r="F1638" s="19">
        <v>6.73</v>
      </c>
      <c r="G1638" s="19" t="s">
        <v>2154</v>
      </c>
      <c r="H1638" s="19" t="s">
        <v>2160</v>
      </c>
    </row>
    <row r="1639" spans="1:8">
      <c r="A1639" s="18" t="s">
        <v>837</v>
      </c>
      <c r="B1639" s="18" t="s">
        <v>4469</v>
      </c>
      <c r="C1639" s="18" t="s">
        <v>4423</v>
      </c>
      <c r="D1639" s="18" t="s">
        <v>2616</v>
      </c>
      <c r="E1639" s="18" t="s">
        <v>3021</v>
      </c>
      <c r="F1639" s="18">
        <v>10.050000000000001</v>
      </c>
      <c r="G1639" s="18" t="s">
        <v>2154</v>
      </c>
      <c r="H1639" s="18" t="s">
        <v>2171</v>
      </c>
    </row>
    <row r="1640" spans="1:8">
      <c r="A1640" s="19" t="s">
        <v>837</v>
      </c>
      <c r="B1640" s="19" t="s">
        <v>4470</v>
      </c>
      <c r="C1640" s="19" t="s">
        <v>2168</v>
      </c>
      <c r="D1640" s="19" t="s">
        <v>2680</v>
      </c>
      <c r="E1640" s="19" t="s">
        <v>3245</v>
      </c>
      <c r="F1640" s="19">
        <v>7.55</v>
      </c>
      <c r="G1640" s="19" t="s">
        <v>2154</v>
      </c>
      <c r="H1640" s="19" t="s">
        <v>2187</v>
      </c>
    </row>
    <row r="1641" spans="1:8">
      <c r="A1641" s="18" t="s">
        <v>837</v>
      </c>
      <c r="B1641" s="18" t="s">
        <v>4471</v>
      </c>
      <c r="C1641" s="18" t="s">
        <v>2173</v>
      </c>
      <c r="D1641" s="18" t="s">
        <v>2488</v>
      </c>
      <c r="E1641" s="18" t="s">
        <v>3055</v>
      </c>
      <c r="F1641" s="18">
        <v>10.63</v>
      </c>
      <c r="G1641" s="18" t="s">
        <v>2154</v>
      </c>
      <c r="H1641" s="18" t="s">
        <v>2187</v>
      </c>
    </row>
    <row r="1642" spans="1:8">
      <c r="A1642" s="19" t="s">
        <v>837</v>
      </c>
      <c r="B1642" s="19" t="s">
        <v>4472</v>
      </c>
      <c r="C1642" s="19" t="s">
        <v>2177</v>
      </c>
      <c r="D1642" s="19" t="s">
        <v>3278</v>
      </c>
      <c r="E1642" s="19" t="s">
        <v>2841</v>
      </c>
      <c r="F1642" s="19">
        <v>7.57</v>
      </c>
      <c r="G1642" s="19" t="s">
        <v>2154</v>
      </c>
      <c r="H1642" s="19" t="s">
        <v>2160</v>
      </c>
    </row>
    <row r="1643" spans="1:8">
      <c r="A1643" s="18" t="s">
        <v>837</v>
      </c>
      <c r="B1643" s="18" t="s">
        <v>4473</v>
      </c>
      <c r="C1643" s="18" t="s">
        <v>1945</v>
      </c>
      <c r="D1643" s="18" t="s">
        <v>3180</v>
      </c>
      <c r="E1643" s="18" t="s">
        <v>3181</v>
      </c>
      <c r="F1643" s="18">
        <v>6.61</v>
      </c>
      <c r="G1643" s="18" t="s">
        <v>2154</v>
      </c>
      <c r="H1643" s="18" t="s">
        <v>2155</v>
      </c>
    </row>
    <row r="1644" spans="1:8">
      <c r="A1644" s="19" t="s">
        <v>837</v>
      </c>
      <c r="B1644" s="19" t="s">
        <v>4474</v>
      </c>
      <c r="C1644" s="19" t="s">
        <v>2184</v>
      </c>
      <c r="D1644" s="19" t="s">
        <v>2419</v>
      </c>
      <c r="E1644" s="19" t="s">
        <v>3404</v>
      </c>
      <c r="F1644" s="19">
        <v>8.81</v>
      </c>
      <c r="G1644" s="19" t="s">
        <v>2154</v>
      </c>
      <c r="H1644" s="19" t="s">
        <v>2155</v>
      </c>
    </row>
    <row r="1645" spans="1:8">
      <c r="A1645" s="18" t="s">
        <v>837</v>
      </c>
      <c r="B1645" s="18" t="s">
        <v>4475</v>
      </c>
      <c r="C1645" s="18" t="s">
        <v>2189</v>
      </c>
      <c r="D1645" s="18" t="s">
        <v>2606</v>
      </c>
      <c r="E1645" s="18" t="s">
        <v>2670</v>
      </c>
      <c r="F1645" s="18">
        <v>9.48</v>
      </c>
      <c r="G1645" s="18" t="s">
        <v>2154</v>
      </c>
      <c r="H1645" s="18" t="s">
        <v>2187</v>
      </c>
    </row>
    <row r="1646" spans="1:8">
      <c r="A1646" s="19" t="s">
        <v>837</v>
      </c>
      <c r="B1646" s="19" t="s">
        <v>4476</v>
      </c>
      <c r="C1646" s="19" t="s">
        <v>2193</v>
      </c>
      <c r="D1646" s="19" t="s">
        <v>2308</v>
      </c>
      <c r="E1646" s="19" t="s">
        <v>2850</v>
      </c>
      <c r="F1646" s="19">
        <v>10.31</v>
      </c>
      <c r="G1646" s="19" t="s">
        <v>2154</v>
      </c>
      <c r="H1646" s="19" t="s">
        <v>2187</v>
      </c>
    </row>
    <row r="1647" spans="1:8">
      <c r="A1647" s="18" t="s">
        <v>837</v>
      </c>
      <c r="B1647" s="18" t="s">
        <v>4477</v>
      </c>
      <c r="C1647" s="18" t="s">
        <v>2197</v>
      </c>
      <c r="D1647" s="18" t="s">
        <v>2326</v>
      </c>
      <c r="E1647" s="18" t="s">
        <v>2327</v>
      </c>
      <c r="F1647" s="18">
        <v>7.8</v>
      </c>
      <c r="G1647" s="18" t="s">
        <v>2154</v>
      </c>
      <c r="H1647" s="18" t="s">
        <v>2160</v>
      </c>
    </row>
    <row r="1648" spans="1:8">
      <c r="A1648" s="19" t="s">
        <v>837</v>
      </c>
      <c r="B1648" s="19" t="s">
        <v>4478</v>
      </c>
      <c r="C1648" s="19" t="s">
        <v>1819</v>
      </c>
      <c r="D1648" s="19" t="s">
        <v>2205</v>
      </c>
      <c r="E1648" s="19" t="s">
        <v>2206</v>
      </c>
      <c r="F1648" s="19">
        <v>11.25</v>
      </c>
      <c r="G1648" s="19" t="s">
        <v>2154</v>
      </c>
      <c r="H1648" s="19" t="s">
        <v>2155</v>
      </c>
    </row>
    <row r="1649" spans="1:8">
      <c r="A1649" s="18" t="s">
        <v>837</v>
      </c>
      <c r="B1649" s="18" t="s">
        <v>4479</v>
      </c>
      <c r="C1649" s="18" t="s">
        <v>2204</v>
      </c>
      <c r="D1649" s="18" t="s">
        <v>2849</v>
      </c>
      <c r="E1649" s="18" t="s">
        <v>2850</v>
      </c>
      <c r="F1649" s="18">
        <v>8.83</v>
      </c>
      <c r="G1649" s="18" t="s">
        <v>2154</v>
      </c>
      <c r="H1649" s="18" t="s">
        <v>2171</v>
      </c>
    </row>
    <row r="1650" spans="1:8">
      <c r="A1650" s="19" t="s">
        <v>837</v>
      </c>
      <c r="B1650" s="19" t="s">
        <v>4480</v>
      </c>
      <c r="C1650" s="19" t="s">
        <v>1843</v>
      </c>
      <c r="D1650" s="19" t="s">
        <v>3278</v>
      </c>
      <c r="E1650" s="19" t="s">
        <v>3351</v>
      </c>
      <c r="F1650" s="19">
        <v>10.07</v>
      </c>
      <c r="G1650" s="19" t="s">
        <v>2154</v>
      </c>
      <c r="H1650" s="19" t="s">
        <v>2160</v>
      </c>
    </row>
    <row r="1651" spans="1:8">
      <c r="A1651" s="18" t="s">
        <v>837</v>
      </c>
      <c r="B1651" s="18" t="s">
        <v>4481</v>
      </c>
      <c r="C1651" s="18" t="s">
        <v>2211</v>
      </c>
      <c r="D1651" s="18" t="s">
        <v>2635</v>
      </c>
      <c r="E1651" s="18" t="s">
        <v>3169</v>
      </c>
      <c r="F1651" s="18">
        <v>10.52</v>
      </c>
      <c r="G1651" s="18" t="s">
        <v>2154</v>
      </c>
      <c r="H1651" s="18" t="s">
        <v>2160</v>
      </c>
    </row>
    <row r="1652" spans="1:8">
      <c r="A1652" s="19" t="s">
        <v>837</v>
      </c>
      <c r="B1652" s="19" t="s">
        <v>4482</v>
      </c>
      <c r="C1652" s="19" t="s">
        <v>2215</v>
      </c>
      <c r="D1652" s="19" t="s">
        <v>3145</v>
      </c>
      <c r="E1652" s="19" t="s">
        <v>2329</v>
      </c>
      <c r="F1652" s="19">
        <v>8.48</v>
      </c>
      <c r="G1652" s="19" t="s">
        <v>2154</v>
      </c>
      <c r="H1652" s="19" t="s">
        <v>2160</v>
      </c>
    </row>
    <row r="1653" spans="1:8">
      <c r="A1653" s="18" t="s">
        <v>837</v>
      </c>
      <c r="B1653" s="18" t="s">
        <v>4483</v>
      </c>
      <c r="C1653" s="18" t="s">
        <v>2219</v>
      </c>
      <c r="D1653" s="18" t="s">
        <v>2257</v>
      </c>
      <c r="E1653" s="18" t="s">
        <v>3013</v>
      </c>
      <c r="F1653" s="18">
        <v>7.39</v>
      </c>
      <c r="G1653" s="18" t="s">
        <v>2154</v>
      </c>
      <c r="H1653" s="18" t="s">
        <v>2160</v>
      </c>
    </row>
    <row r="1654" spans="1:8">
      <c r="A1654" s="19" t="s">
        <v>837</v>
      </c>
      <c r="B1654" s="19" t="s">
        <v>4484</v>
      </c>
      <c r="C1654" s="19" t="s">
        <v>2222</v>
      </c>
      <c r="D1654" s="19" t="s">
        <v>2194</v>
      </c>
      <c r="E1654" s="19" t="s">
        <v>2186</v>
      </c>
      <c r="F1654" s="19">
        <v>7.78</v>
      </c>
      <c r="G1654" s="19" t="s">
        <v>2154</v>
      </c>
      <c r="H1654" s="19" t="s">
        <v>2155</v>
      </c>
    </row>
    <row r="1655" spans="1:8">
      <c r="A1655" s="18" t="s">
        <v>837</v>
      </c>
      <c r="B1655" s="18" t="s">
        <v>4485</v>
      </c>
      <c r="C1655" s="18" t="s">
        <v>2226</v>
      </c>
      <c r="D1655" s="18" t="s">
        <v>2337</v>
      </c>
      <c r="E1655" s="18" t="s">
        <v>3422</v>
      </c>
      <c r="F1655" s="18">
        <v>10.45</v>
      </c>
      <c r="G1655" s="18" t="s">
        <v>2154</v>
      </c>
      <c r="H1655" s="18" t="s">
        <v>2171</v>
      </c>
    </row>
    <row r="1656" spans="1:8">
      <c r="A1656" s="19" t="s">
        <v>837</v>
      </c>
      <c r="B1656" s="19" t="s">
        <v>4486</v>
      </c>
      <c r="C1656" s="19" t="s">
        <v>2230</v>
      </c>
      <c r="D1656" s="19" t="s">
        <v>2208</v>
      </c>
      <c r="E1656" s="19" t="s">
        <v>2209</v>
      </c>
      <c r="F1656" s="19">
        <v>10.43</v>
      </c>
      <c r="G1656" s="19" t="s">
        <v>2154</v>
      </c>
      <c r="H1656" s="19" t="s">
        <v>2155</v>
      </c>
    </row>
    <row r="1657" spans="1:8">
      <c r="A1657" s="18" t="s">
        <v>837</v>
      </c>
      <c r="B1657" s="18" t="s">
        <v>4487</v>
      </c>
      <c r="C1657" s="18" t="s">
        <v>2234</v>
      </c>
      <c r="D1657" s="18" t="s">
        <v>2282</v>
      </c>
      <c r="E1657" s="18" t="s">
        <v>3663</v>
      </c>
      <c r="F1657" s="18">
        <v>8.26</v>
      </c>
      <c r="G1657" s="18" t="s">
        <v>2154</v>
      </c>
      <c r="H1657" s="18" t="s">
        <v>2160</v>
      </c>
    </row>
    <row r="1658" spans="1:8">
      <c r="A1658" s="19" t="s">
        <v>837</v>
      </c>
      <c r="B1658" s="19" t="s">
        <v>4488</v>
      </c>
      <c r="C1658" s="19" t="s">
        <v>2238</v>
      </c>
      <c r="D1658" s="19" t="s">
        <v>2473</v>
      </c>
      <c r="E1658" s="19" t="s">
        <v>3391</v>
      </c>
      <c r="F1658" s="19">
        <v>8.18</v>
      </c>
      <c r="G1658" s="19" t="s">
        <v>2154</v>
      </c>
      <c r="H1658" s="19" t="s">
        <v>2171</v>
      </c>
    </row>
    <row r="1659" spans="1:8">
      <c r="A1659" s="18" t="s">
        <v>837</v>
      </c>
      <c r="B1659" s="18" t="s">
        <v>4489</v>
      </c>
      <c r="C1659" s="18" t="s">
        <v>2241</v>
      </c>
      <c r="D1659" s="18" t="s">
        <v>2541</v>
      </c>
      <c r="E1659" s="18" t="s">
        <v>2542</v>
      </c>
      <c r="F1659" s="18">
        <v>6.55</v>
      </c>
      <c r="G1659" s="18" t="s">
        <v>2154</v>
      </c>
      <c r="H1659" s="18" t="s">
        <v>2155</v>
      </c>
    </row>
    <row r="1660" spans="1:8">
      <c r="A1660" s="19" t="s">
        <v>837</v>
      </c>
      <c r="B1660" s="19" t="s">
        <v>4490</v>
      </c>
      <c r="C1660" s="19" t="s">
        <v>2245</v>
      </c>
      <c r="D1660" s="19" t="s">
        <v>2770</v>
      </c>
      <c r="E1660" s="19" t="s">
        <v>3425</v>
      </c>
      <c r="F1660" s="19">
        <v>7.59</v>
      </c>
      <c r="G1660" s="19" t="s">
        <v>2154</v>
      </c>
      <c r="H1660" s="19" t="s">
        <v>2155</v>
      </c>
    </row>
    <row r="1661" spans="1:8">
      <c r="A1661" s="18" t="s">
        <v>837</v>
      </c>
      <c r="B1661" s="18" t="s">
        <v>4491</v>
      </c>
      <c r="C1661" s="18" t="s">
        <v>2249</v>
      </c>
      <c r="D1661" s="18" t="s">
        <v>2270</v>
      </c>
      <c r="E1661" s="18" t="s">
        <v>2406</v>
      </c>
      <c r="F1661" s="18">
        <v>10.119999999999999</v>
      </c>
      <c r="G1661" s="18" t="s">
        <v>2154</v>
      </c>
      <c r="H1661" s="18" t="s">
        <v>2160</v>
      </c>
    </row>
    <row r="1662" spans="1:8">
      <c r="A1662" s="19" t="s">
        <v>837</v>
      </c>
      <c r="B1662" s="19" t="s">
        <v>4492</v>
      </c>
      <c r="C1662" s="19" t="s">
        <v>2252</v>
      </c>
      <c r="D1662" s="19" t="s">
        <v>2572</v>
      </c>
      <c r="E1662" s="19" t="s">
        <v>2461</v>
      </c>
      <c r="F1662" s="19">
        <v>8.89</v>
      </c>
      <c r="G1662" s="19" t="s">
        <v>2154</v>
      </c>
      <c r="H1662" s="19" t="s">
        <v>2187</v>
      </c>
    </row>
    <row r="1663" spans="1:8">
      <c r="A1663" s="18" t="s">
        <v>837</v>
      </c>
      <c r="B1663" s="18" t="s">
        <v>4493</v>
      </c>
      <c r="C1663" s="18" t="s">
        <v>2376</v>
      </c>
      <c r="D1663" s="18" t="s">
        <v>2345</v>
      </c>
      <c r="E1663" s="18" t="s">
        <v>2974</v>
      </c>
      <c r="F1663" s="18">
        <v>10.42</v>
      </c>
      <c r="G1663" s="18" t="s">
        <v>2154</v>
      </c>
      <c r="H1663" s="18" t="s">
        <v>2187</v>
      </c>
    </row>
    <row r="1664" spans="1:8">
      <c r="A1664" s="19" t="s">
        <v>837</v>
      </c>
      <c r="B1664" s="19" t="s">
        <v>4494</v>
      </c>
      <c r="C1664" s="19" t="s">
        <v>2260</v>
      </c>
      <c r="D1664" s="19" t="s">
        <v>2413</v>
      </c>
      <c r="E1664" s="19" t="s">
        <v>2802</v>
      </c>
      <c r="F1664" s="19">
        <v>9.32</v>
      </c>
      <c r="G1664" s="19" t="s">
        <v>2154</v>
      </c>
      <c r="H1664" s="19" t="s">
        <v>2171</v>
      </c>
    </row>
    <row r="1665" spans="1:8">
      <c r="A1665" s="18" t="s">
        <v>837</v>
      </c>
      <c r="B1665" s="18" t="s">
        <v>4495</v>
      </c>
      <c r="C1665" s="18" t="s">
        <v>2264</v>
      </c>
      <c r="D1665" s="18" t="s">
        <v>2979</v>
      </c>
      <c r="E1665" s="18" t="s">
        <v>3195</v>
      </c>
      <c r="F1665" s="18">
        <v>10.119999999999999</v>
      </c>
      <c r="G1665" s="18" t="s">
        <v>2154</v>
      </c>
      <c r="H1665" s="18" t="s">
        <v>2171</v>
      </c>
    </row>
    <row r="1666" spans="1:8">
      <c r="A1666" s="19" t="s">
        <v>837</v>
      </c>
      <c r="B1666" s="19" t="s">
        <v>4496</v>
      </c>
      <c r="C1666" s="19" t="s">
        <v>1948</v>
      </c>
      <c r="D1666" s="19" t="s">
        <v>2470</v>
      </c>
      <c r="E1666" s="19" t="s">
        <v>2507</v>
      </c>
      <c r="F1666" s="19">
        <v>9.69</v>
      </c>
      <c r="G1666" s="19" t="s">
        <v>2154</v>
      </c>
      <c r="H1666" s="19" t="s">
        <v>2160</v>
      </c>
    </row>
    <row r="1667" spans="1:8">
      <c r="A1667" s="18" t="s">
        <v>837</v>
      </c>
      <c r="B1667" s="18" t="s">
        <v>4497</v>
      </c>
      <c r="C1667" s="18" t="s">
        <v>2269</v>
      </c>
      <c r="D1667" s="18" t="s">
        <v>2877</v>
      </c>
      <c r="E1667" s="18" t="s">
        <v>2579</v>
      </c>
      <c r="F1667" s="18">
        <v>7.09</v>
      </c>
      <c r="G1667" s="18" t="s">
        <v>2154</v>
      </c>
      <c r="H1667" s="18" t="s">
        <v>2171</v>
      </c>
    </row>
    <row r="1668" spans="1:8">
      <c r="A1668" s="19" t="s">
        <v>837</v>
      </c>
      <c r="B1668" s="19" t="s">
        <v>4498</v>
      </c>
      <c r="C1668" s="19" t="s">
        <v>2273</v>
      </c>
      <c r="D1668" s="19" t="s">
        <v>3261</v>
      </c>
      <c r="E1668" s="19" t="s">
        <v>2924</v>
      </c>
      <c r="F1668" s="19">
        <v>11.35</v>
      </c>
      <c r="G1668" s="19" t="s">
        <v>2154</v>
      </c>
      <c r="H1668" s="19" t="s">
        <v>2160</v>
      </c>
    </row>
    <row r="1669" spans="1:8">
      <c r="A1669" s="18" t="s">
        <v>837</v>
      </c>
      <c r="B1669" s="18" t="s">
        <v>4499</v>
      </c>
      <c r="C1669" s="18" t="s">
        <v>2277</v>
      </c>
      <c r="D1669" s="18" t="s">
        <v>2766</v>
      </c>
      <c r="E1669" s="18" t="s">
        <v>3457</v>
      </c>
      <c r="F1669" s="18">
        <v>8.85</v>
      </c>
      <c r="G1669" s="18" t="s">
        <v>2154</v>
      </c>
      <c r="H1669" s="18" t="s">
        <v>2155</v>
      </c>
    </row>
    <row r="1670" spans="1:8">
      <c r="A1670" s="19" t="s">
        <v>837</v>
      </c>
      <c r="B1670" s="19" t="s">
        <v>4500</v>
      </c>
      <c r="C1670" s="19" t="s">
        <v>2281</v>
      </c>
      <c r="D1670" s="19" t="s">
        <v>2548</v>
      </c>
      <c r="E1670" s="19" t="s">
        <v>2797</v>
      </c>
      <c r="F1670" s="19">
        <v>7.39</v>
      </c>
      <c r="G1670" s="19" t="s">
        <v>2154</v>
      </c>
      <c r="H1670" s="19" t="s">
        <v>2187</v>
      </c>
    </row>
    <row r="1671" spans="1:8">
      <c r="A1671" s="18" t="s">
        <v>837</v>
      </c>
      <c r="B1671" s="18" t="s">
        <v>4501</v>
      </c>
      <c r="C1671" s="18" t="s">
        <v>2396</v>
      </c>
      <c r="D1671" s="18" t="s">
        <v>3299</v>
      </c>
      <c r="E1671" s="18" t="s">
        <v>4361</v>
      </c>
      <c r="F1671" s="18">
        <v>10.86</v>
      </c>
      <c r="G1671" s="18" t="s">
        <v>2154</v>
      </c>
      <c r="H1671" s="18" t="s">
        <v>2155</v>
      </c>
    </row>
    <row r="1672" spans="1:8">
      <c r="A1672" s="19" t="s">
        <v>837</v>
      </c>
      <c r="B1672" s="19" t="s">
        <v>4502</v>
      </c>
      <c r="C1672" s="19" t="s">
        <v>2289</v>
      </c>
      <c r="D1672" s="19" t="s">
        <v>2257</v>
      </c>
      <c r="E1672" s="19" t="s">
        <v>3396</v>
      </c>
      <c r="F1672" s="19">
        <v>10.8</v>
      </c>
      <c r="G1672" s="19" t="s">
        <v>2154</v>
      </c>
      <c r="H1672" s="19" t="s">
        <v>2155</v>
      </c>
    </row>
    <row r="1673" spans="1:8">
      <c r="A1673" s="18" t="s">
        <v>837</v>
      </c>
      <c r="B1673" s="18" t="s">
        <v>4503</v>
      </c>
      <c r="C1673" s="18" t="s">
        <v>2293</v>
      </c>
      <c r="D1673" s="18" t="s">
        <v>2178</v>
      </c>
      <c r="E1673" s="18" t="s">
        <v>2678</v>
      </c>
      <c r="F1673" s="18">
        <v>7.8</v>
      </c>
      <c r="G1673" s="18" t="s">
        <v>2154</v>
      </c>
      <c r="H1673" s="18" t="s">
        <v>2187</v>
      </c>
    </row>
    <row r="1674" spans="1:8">
      <c r="A1674" s="19" t="s">
        <v>837</v>
      </c>
      <c r="B1674" s="19" t="s">
        <v>4504</v>
      </c>
      <c r="C1674" s="19" t="s">
        <v>2296</v>
      </c>
      <c r="D1674" s="19" t="s">
        <v>2581</v>
      </c>
      <c r="E1674" s="19" t="s">
        <v>3266</v>
      </c>
      <c r="F1674" s="19">
        <v>8.17</v>
      </c>
      <c r="G1674" s="19" t="s">
        <v>2154</v>
      </c>
      <c r="H1674" s="19" t="s">
        <v>2171</v>
      </c>
    </row>
    <row r="1675" spans="1:8">
      <c r="A1675" s="18" t="s">
        <v>837</v>
      </c>
      <c r="B1675" s="18" t="s">
        <v>4505</v>
      </c>
      <c r="C1675" s="18" t="s">
        <v>2300</v>
      </c>
      <c r="D1675" s="18" t="s">
        <v>2431</v>
      </c>
      <c r="E1675" s="18" t="s">
        <v>3643</v>
      </c>
      <c r="F1675" s="18">
        <v>11.04</v>
      </c>
      <c r="G1675" s="18" t="s">
        <v>2154</v>
      </c>
      <c r="H1675" s="18" t="s">
        <v>2160</v>
      </c>
    </row>
    <row r="1676" spans="1:8">
      <c r="A1676" s="19" t="s">
        <v>837</v>
      </c>
      <c r="B1676" s="19" t="s">
        <v>4506</v>
      </c>
      <c r="C1676" s="19" t="s">
        <v>2144</v>
      </c>
      <c r="D1676" s="19" t="s">
        <v>3239</v>
      </c>
      <c r="E1676" s="19" t="s">
        <v>3758</v>
      </c>
      <c r="F1676" s="19">
        <v>6.77</v>
      </c>
      <c r="G1676" s="19" t="s">
        <v>2154</v>
      </c>
      <c r="H1676" s="19" t="s">
        <v>2160</v>
      </c>
    </row>
    <row r="1677" spans="1:8">
      <c r="A1677" s="18" t="s">
        <v>837</v>
      </c>
      <c r="B1677" s="18" t="s">
        <v>4507</v>
      </c>
      <c r="C1677" s="18" t="s">
        <v>3114</v>
      </c>
      <c r="D1677" s="18" t="s">
        <v>2885</v>
      </c>
      <c r="E1677" s="18" t="s">
        <v>2726</v>
      </c>
      <c r="F1677" s="18">
        <v>9.1</v>
      </c>
      <c r="G1677" s="18" t="s">
        <v>2154</v>
      </c>
      <c r="H1677" s="18" t="s">
        <v>2187</v>
      </c>
    </row>
    <row r="1678" spans="1:8">
      <c r="A1678" s="19" t="s">
        <v>837</v>
      </c>
      <c r="B1678" s="19" t="s">
        <v>4508</v>
      </c>
      <c r="C1678" s="19" t="s">
        <v>2311</v>
      </c>
      <c r="D1678" s="19" t="s">
        <v>2534</v>
      </c>
      <c r="E1678" s="19" t="s">
        <v>4509</v>
      </c>
      <c r="F1678" s="19">
        <v>11.11</v>
      </c>
      <c r="G1678" s="19" t="s">
        <v>2154</v>
      </c>
      <c r="H1678" s="19" t="s">
        <v>2187</v>
      </c>
    </row>
    <row r="1679" spans="1:8">
      <c r="A1679" s="18" t="s">
        <v>464</v>
      </c>
      <c r="B1679" s="18" t="s">
        <v>4510</v>
      </c>
      <c r="C1679" s="18" t="s">
        <v>2038</v>
      </c>
      <c r="D1679" s="18" t="s">
        <v>3066</v>
      </c>
      <c r="E1679" s="18" t="s">
        <v>3067</v>
      </c>
      <c r="F1679" s="18">
        <v>8.0399999999999991</v>
      </c>
      <c r="G1679" s="18" t="s">
        <v>2154</v>
      </c>
      <c r="H1679" s="18" t="s">
        <v>2171</v>
      </c>
    </row>
    <row r="1680" spans="1:8">
      <c r="A1680" s="19" t="s">
        <v>464</v>
      </c>
      <c r="B1680" s="19" t="s">
        <v>4511</v>
      </c>
      <c r="C1680" s="19" t="s">
        <v>2157</v>
      </c>
      <c r="D1680" s="19" t="s">
        <v>3261</v>
      </c>
      <c r="E1680" s="19" t="s">
        <v>3457</v>
      </c>
      <c r="F1680" s="19">
        <v>9.4600000000000009</v>
      </c>
      <c r="G1680" s="19" t="s">
        <v>2154</v>
      </c>
      <c r="H1680" s="19" t="s">
        <v>2171</v>
      </c>
    </row>
    <row r="1681" spans="1:8">
      <c r="A1681" s="18" t="s">
        <v>464</v>
      </c>
      <c r="B1681" s="18" t="s">
        <v>4512</v>
      </c>
      <c r="C1681" s="18" t="s">
        <v>2162</v>
      </c>
      <c r="D1681" s="18" t="s">
        <v>2948</v>
      </c>
      <c r="E1681" s="18" t="s">
        <v>3137</v>
      </c>
      <c r="F1681" s="18">
        <v>7.51</v>
      </c>
      <c r="G1681" s="18" t="s">
        <v>2154</v>
      </c>
      <c r="H1681" s="18" t="s">
        <v>2187</v>
      </c>
    </row>
    <row r="1682" spans="1:8">
      <c r="A1682" s="19" t="s">
        <v>464</v>
      </c>
      <c r="B1682" s="19" t="s">
        <v>4513</v>
      </c>
      <c r="C1682" s="19" t="s">
        <v>1937</v>
      </c>
      <c r="D1682" s="19" t="s">
        <v>2423</v>
      </c>
      <c r="E1682" s="19" t="s">
        <v>3067</v>
      </c>
      <c r="F1682" s="19">
        <v>7.95</v>
      </c>
      <c r="G1682" s="19" t="s">
        <v>2154</v>
      </c>
      <c r="H1682" s="19" t="s">
        <v>2171</v>
      </c>
    </row>
    <row r="1683" spans="1:8">
      <c r="A1683" s="18" t="s">
        <v>464</v>
      </c>
      <c r="B1683" s="18" t="s">
        <v>4514</v>
      </c>
      <c r="C1683" s="18" t="s">
        <v>2168</v>
      </c>
      <c r="D1683" s="18" t="s">
        <v>2393</v>
      </c>
      <c r="E1683" s="18" t="s">
        <v>3101</v>
      </c>
      <c r="F1683" s="18">
        <v>7.61</v>
      </c>
      <c r="G1683" s="18" t="s">
        <v>2154</v>
      </c>
      <c r="H1683" s="18" t="s">
        <v>2160</v>
      </c>
    </row>
    <row r="1684" spans="1:8">
      <c r="A1684" s="19" t="s">
        <v>464</v>
      </c>
      <c r="B1684" s="19" t="s">
        <v>4515</v>
      </c>
      <c r="C1684" s="19" t="s">
        <v>2173</v>
      </c>
      <c r="D1684" s="19" t="s">
        <v>2541</v>
      </c>
      <c r="E1684" s="19" t="s">
        <v>3599</v>
      </c>
      <c r="F1684" s="19">
        <v>10.65</v>
      </c>
      <c r="G1684" s="19" t="s">
        <v>2154</v>
      </c>
      <c r="H1684" s="19" t="s">
        <v>2160</v>
      </c>
    </row>
    <row r="1685" spans="1:8">
      <c r="A1685" s="18" t="s">
        <v>464</v>
      </c>
      <c r="B1685" s="18" t="s">
        <v>4516</v>
      </c>
      <c r="C1685" s="18" t="s">
        <v>2177</v>
      </c>
      <c r="D1685" s="18" t="s">
        <v>2536</v>
      </c>
      <c r="E1685" s="18" t="s">
        <v>2529</v>
      </c>
      <c r="F1685" s="18">
        <v>7.59</v>
      </c>
      <c r="G1685" s="18" t="s">
        <v>2154</v>
      </c>
      <c r="H1685" s="18" t="s">
        <v>2160</v>
      </c>
    </row>
    <row r="1686" spans="1:8">
      <c r="A1686" s="19" t="s">
        <v>464</v>
      </c>
      <c r="B1686" s="19" t="s">
        <v>4517</v>
      </c>
      <c r="C1686" s="19" t="s">
        <v>1945</v>
      </c>
      <c r="D1686" s="19" t="s">
        <v>2716</v>
      </c>
      <c r="E1686" s="19" t="s">
        <v>3248</v>
      </c>
      <c r="F1686" s="19">
        <v>7.61</v>
      </c>
      <c r="G1686" s="19" t="s">
        <v>2154</v>
      </c>
      <c r="H1686" s="19" t="s">
        <v>2187</v>
      </c>
    </row>
    <row r="1687" spans="1:8">
      <c r="A1687" s="18" t="s">
        <v>464</v>
      </c>
      <c r="B1687" s="18" t="s">
        <v>4518</v>
      </c>
      <c r="C1687" s="18" t="s">
        <v>2184</v>
      </c>
      <c r="D1687" s="18" t="s">
        <v>3306</v>
      </c>
      <c r="E1687" s="18" t="s">
        <v>2401</v>
      </c>
      <c r="F1687" s="18">
        <v>7.61</v>
      </c>
      <c r="G1687" s="18" t="s">
        <v>2154</v>
      </c>
      <c r="H1687" s="18" t="s">
        <v>2171</v>
      </c>
    </row>
    <row r="1688" spans="1:8">
      <c r="A1688" s="19" t="s">
        <v>464</v>
      </c>
      <c r="B1688" s="19" t="s">
        <v>4519</v>
      </c>
      <c r="C1688" s="19" t="s">
        <v>2189</v>
      </c>
      <c r="D1688" s="19" t="s">
        <v>2290</v>
      </c>
      <c r="E1688" s="19" t="s">
        <v>2714</v>
      </c>
      <c r="F1688" s="19">
        <v>7.99</v>
      </c>
      <c r="G1688" s="19" t="s">
        <v>2154</v>
      </c>
      <c r="H1688" s="19" t="s">
        <v>2171</v>
      </c>
    </row>
    <row r="1689" spans="1:8">
      <c r="A1689" s="18" t="s">
        <v>464</v>
      </c>
      <c r="B1689" s="18" t="s">
        <v>4520</v>
      </c>
      <c r="C1689" s="18" t="s">
        <v>2193</v>
      </c>
      <c r="D1689" s="18" t="s">
        <v>2452</v>
      </c>
      <c r="E1689" s="18" t="s">
        <v>2453</v>
      </c>
      <c r="F1689" s="18">
        <v>7.42</v>
      </c>
      <c r="G1689" s="18" t="s">
        <v>2154</v>
      </c>
      <c r="H1689" s="18" t="s">
        <v>2171</v>
      </c>
    </row>
    <row r="1690" spans="1:8">
      <c r="A1690" s="19" t="s">
        <v>464</v>
      </c>
      <c r="B1690" s="19" t="s">
        <v>4521</v>
      </c>
      <c r="C1690" s="19" t="s">
        <v>2197</v>
      </c>
      <c r="D1690" s="19" t="s">
        <v>2955</v>
      </c>
      <c r="E1690" s="19" t="s">
        <v>4011</v>
      </c>
      <c r="F1690" s="19">
        <v>11.26</v>
      </c>
      <c r="G1690" s="19" t="s">
        <v>2154</v>
      </c>
      <c r="H1690" s="19" t="s">
        <v>2155</v>
      </c>
    </row>
    <row r="1691" spans="1:8">
      <c r="A1691" s="18" t="s">
        <v>464</v>
      </c>
      <c r="B1691" s="18" t="s">
        <v>4522</v>
      </c>
      <c r="C1691" s="18" t="s">
        <v>1819</v>
      </c>
      <c r="D1691" s="18" t="s">
        <v>2830</v>
      </c>
      <c r="E1691" s="18" t="s">
        <v>2845</v>
      </c>
      <c r="F1691" s="18">
        <v>7.64</v>
      </c>
      <c r="G1691" s="18" t="s">
        <v>2154</v>
      </c>
      <c r="H1691" s="18" t="s">
        <v>2171</v>
      </c>
    </row>
    <row r="1692" spans="1:8">
      <c r="A1692" s="19" t="s">
        <v>464</v>
      </c>
      <c r="B1692" s="19" t="s">
        <v>4523</v>
      </c>
      <c r="C1692" s="19" t="s">
        <v>2204</v>
      </c>
      <c r="D1692" s="19" t="s">
        <v>2194</v>
      </c>
      <c r="E1692" s="19" t="s">
        <v>3132</v>
      </c>
      <c r="F1692" s="19">
        <v>10.39</v>
      </c>
      <c r="G1692" s="19" t="s">
        <v>2154</v>
      </c>
      <c r="H1692" s="19" t="s">
        <v>2160</v>
      </c>
    </row>
    <row r="1693" spans="1:8">
      <c r="A1693" s="18" t="s">
        <v>464</v>
      </c>
      <c r="B1693" s="18" t="s">
        <v>4524</v>
      </c>
      <c r="C1693" s="18" t="s">
        <v>1843</v>
      </c>
      <c r="D1693" s="18"/>
      <c r="E1693" s="18"/>
      <c r="F1693" s="18"/>
      <c r="G1693" s="18" t="s">
        <v>2220</v>
      </c>
      <c r="H1693" s="18" t="s">
        <v>2160</v>
      </c>
    </row>
    <row r="1694" spans="1:8">
      <c r="A1694" s="19" t="s">
        <v>464</v>
      </c>
      <c r="B1694" s="19" t="s">
        <v>4525</v>
      </c>
      <c r="C1694" s="19" t="s">
        <v>2211</v>
      </c>
      <c r="D1694" s="19" t="s">
        <v>2426</v>
      </c>
      <c r="E1694" s="19" t="s">
        <v>2329</v>
      </c>
      <c r="F1694" s="19">
        <v>10.58</v>
      </c>
      <c r="G1694" s="19" t="s">
        <v>2154</v>
      </c>
      <c r="H1694" s="19" t="s">
        <v>2155</v>
      </c>
    </row>
    <row r="1695" spans="1:8">
      <c r="A1695" s="18" t="s">
        <v>464</v>
      </c>
      <c r="B1695" s="18" t="s">
        <v>4526</v>
      </c>
      <c r="C1695" s="18" t="s">
        <v>2215</v>
      </c>
      <c r="D1695" s="18" t="s">
        <v>2516</v>
      </c>
      <c r="E1695" s="18" t="s">
        <v>3060</v>
      </c>
      <c r="F1695" s="18">
        <v>9.01</v>
      </c>
      <c r="G1695" s="18" t="s">
        <v>2154</v>
      </c>
      <c r="H1695" s="18" t="s">
        <v>2187</v>
      </c>
    </row>
    <row r="1696" spans="1:8">
      <c r="A1696" s="19" t="s">
        <v>464</v>
      </c>
      <c r="B1696" s="19" t="s">
        <v>4527</v>
      </c>
      <c r="C1696" s="19" t="s">
        <v>2219</v>
      </c>
      <c r="D1696" s="19" t="s">
        <v>2431</v>
      </c>
      <c r="E1696" s="19" t="s">
        <v>4306</v>
      </c>
      <c r="F1696" s="19">
        <v>10.63</v>
      </c>
      <c r="G1696" s="19" t="s">
        <v>2154</v>
      </c>
      <c r="H1696" s="19" t="s">
        <v>2155</v>
      </c>
    </row>
    <row r="1697" spans="1:8">
      <c r="A1697" s="18" t="s">
        <v>464</v>
      </c>
      <c r="B1697" s="18" t="s">
        <v>4528</v>
      </c>
      <c r="C1697" s="18" t="s">
        <v>2222</v>
      </c>
      <c r="D1697" s="18" t="s">
        <v>2700</v>
      </c>
      <c r="E1697" s="18" t="s">
        <v>2334</v>
      </c>
      <c r="F1697" s="18">
        <v>6.99</v>
      </c>
      <c r="G1697" s="18" t="s">
        <v>2154</v>
      </c>
      <c r="H1697" s="18" t="s">
        <v>2155</v>
      </c>
    </row>
    <row r="1698" spans="1:8">
      <c r="A1698" s="19" t="s">
        <v>464</v>
      </c>
      <c r="B1698" s="19" t="s">
        <v>4529</v>
      </c>
      <c r="C1698" s="19" t="s">
        <v>2226</v>
      </c>
      <c r="D1698" s="19" t="s">
        <v>2383</v>
      </c>
      <c r="E1698" s="19" t="s">
        <v>3118</v>
      </c>
      <c r="F1698" s="19">
        <v>10.119999999999999</v>
      </c>
      <c r="G1698" s="19" t="s">
        <v>2154</v>
      </c>
      <c r="H1698" s="19" t="s">
        <v>2160</v>
      </c>
    </row>
    <row r="1699" spans="1:8">
      <c r="A1699" s="18" t="s">
        <v>464</v>
      </c>
      <c r="B1699" s="18" t="s">
        <v>4530</v>
      </c>
      <c r="C1699" s="18" t="s">
        <v>2230</v>
      </c>
      <c r="D1699" s="18" t="s">
        <v>2600</v>
      </c>
      <c r="E1699" s="18" t="s">
        <v>2622</v>
      </c>
      <c r="F1699" s="18">
        <v>8.07</v>
      </c>
      <c r="G1699" s="18" t="s">
        <v>2154</v>
      </c>
      <c r="H1699" s="18" t="s">
        <v>2187</v>
      </c>
    </row>
    <row r="1700" spans="1:8">
      <c r="A1700" s="19" t="s">
        <v>464</v>
      </c>
      <c r="B1700" s="19" t="s">
        <v>4531</v>
      </c>
      <c r="C1700" s="19" t="s">
        <v>2234</v>
      </c>
      <c r="D1700" s="19" t="s">
        <v>2709</v>
      </c>
      <c r="E1700" s="19" t="s">
        <v>2749</v>
      </c>
      <c r="F1700" s="19">
        <v>10.84</v>
      </c>
      <c r="G1700" s="19" t="s">
        <v>2154</v>
      </c>
      <c r="H1700" s="19" t="s">
        <v>2171</v>
      </c>
    </row>
    <row r="1701" spans="1:8">
      <c r="A1701" s="18" t="s">
        <v>464</v>
      </c>
      <c r="B1701" s="18" t="s">
        <v>4532</v>
      </c>
      <c r="C1701" s="18" t="s">
        <v>2238</v>
      </c>
      <c r="D1701" s="18" t="s">
        <v>2652</v>
      </c>
      <c r="E1701" s="18" t="s">
        <v>2995</v>
      </c>
      <c r="F1701" s="18">
        <v>8.8000000000000007</v>
      </c>
      <c r="G1701" s="18" t="s">
        <v>2154</v>
      </c>
      <c r="H1701" s="18" t="s">
        <v>2187</v>
      </c>
    </row>
    <row r="1702" spans="1:8">
      <c r="A1702" s="19" t="s">
        <v>464</v>
      </c>
      <c r="B1702" s="19" t="s">
        <v>4533</v>
      </c>
      <c r="C1702" s="19" t="s">
        <v>2241</v>
      </c>
      <c r="D1702" s="19" t="s">
        <v>2423</v>
      </c>
      <c r="E1702" s="19" t="s">
        <v>3193</v>
      </c>
      <c r="F1702" s="19">
        <v>6.65</v>
      </c>
      <c r="G1702" s="19" t="s">
        <v>2154</v>
      </c>
      <c r="H1702" s="19" t="s">
        <v>2160</v>
      </c>
    </row>
    <row r="1703" spans="1:8">
      <c r="A1703" s="18" t="s">
        <v>464</v>
      </c>
      <c r="B1703" s="18" t="s">
        <v>4534</v>
      </c>
      <c r="C1703" s="18" t="s">
        <v>2245</v>
      </c>
      <c r="D1703" s="18" t="s">
        <v>3123</v>
      </c>
      <c r="E1703" s="18" t="s">
        <v>3204</v>
      </c>
      <c r="F1703" s="18">
        <v>10.43</v>
      </c>
      <c r="G1703" s="18" t="s">
        <v>2154</v>
      </c>
      <c r="H1703" s="18" t="s">
        <v>2155</v>
      </c>
    </row>
    <row r="1704" spans="1:8">
      <c r="A1704" s="19" t="s">
        <v>464</v>
      </c>
      <c r="B1704" s="19" t="s">
        <v>4535</v>
      </c>
      <c r="C1704" s="19" t="s">
        <v>2249</v>
      </c>
      <c r="D1704" s="19" t="s">
        <v>2416</v>
      </c>
      <c r="E1704" s="19" t="s">
        <v>2663</v>
      </c>
      <c r="F1704" s="19">
        <v>8.8699999999999992</v>
      </c>
      <c r="G1704" s="19" t="s">
        <v>2154</v>
      </c>
      <c r="H1704" s="19" t="s">
        <v>2171</v>
      </c>
    </row>
    <row r="1705" spans="1:8">
      <c r="A1705" s="18" t="s">
        <v>464</v>
      </c>
      <c r="B1705" s="18" t="s">
        <v>4536</v>
      </c>
      <c r="C1705" s="18" t="s">
        <v>2252</v>
      </c>
      <c r="D1705" s="18" t="s">
        <v>2696</v>
      </c>
      <c r="E1705" s="18" t="s">
        <v>2712</v>
      </c>
      <c r="F1705" s="18">
        <v>7</v>
      </c>
      <c r="G1705" s="18" t="s">
        <v>2154</v>
      </c>
      <c r="H1705" s="18" t="s">
        <v>2160</v>
      </c>
    </row>
    <row r="1706" spans="1:8">
      <c r="A1706" s="19" t="s">
        <v>464</v>
      </c>
      <c r="B1706" s="19" t="s">
        <v>4537</v>
      </c>
      <c r="C1706" s="19" t="s">
        <v>2376</v>
      </c>
      <c r="D1706" s="19" t="s">
        <v>2185</v>
      </c>
      <c r="E1706" s="19" t="s">
        <v>3567</v>
      </c>
      <c r="F1706" s="19">
        <v>7.83</v>
      </c>
      <c r="G1706" s="19" t="s">
        <v>2154</v>
      </c>
      <c r="H1706" s="19" t="s">
        <v>2160</v>
      </c>
    </row>
    <row r="1707" spans="1:8">
      <c r="A1707" s="18" t="s">
        <v>464</v>
      </c>
      <c r="B1707" s="18" t="s">
        <v>4538</v>
      </c>
      <c r="C1707" s="18" t="s">
        <v>2260</v>
      </c>
      <c r="D1707" s="18" t="s">
        <v>2801</v>
      </c>
      <c r="E1707" s="18" t="s">
        <v>2414</v>
      </c>
      <c r="F1707" s="18">
        <v>6.72</v>
      </c>
      <c r="G1707" s="18" t="s">
        <v>2154</v>
      </c>
      <c r="H1707" s="18" t="s">
        <v>2171</v>
      </c>
    </row>
    <row r="1708" spans="1:8">
      <c r="A1708" s="19" t="s">
        <v>464</v>
      </c>
      <c r="B1708" s="19" t="s">
        <v>4539</v>
      </c>
      <c r="C1708" s="19" t="s">
        <v>2264</v>
      </c>
      <c r="D1708" s="19" t="s">
        <v>2709</v>
      </c>
      <c r="E1708" s="19" t="s">
        <v>3844</v>
      </c>
      <c r="F1708" s="19">
        <v>9.9</v>
      </c>
      <c r="G1708" s="19" t="s">
        <v>2154</v>
      </c>
      <c r="H1708" s="19" t="s">
        <v>2155</v>
      </c>
    </row>
    <row r="1709" spans="1:8">
      <c r="A1709" s="18" t="s">
        <v>464</v>
      </c>
      <c r="B1709" s="18" t="s">
        <v>4540</v>
      </c>
      <c r="C1709" s="18" t="s">
        <v>1948</v>
      </c>
      <c r="D1709" s="18" t="s">
        <v>2301</v>
      </c>
      <c r="E1709" s="18" t="s">
        <v>4368</v>
      </c>
      <c r="F1709" s="18">
        <v>10.43</v>
      </c>
      <c r="G1709" s="18" t="s">
        <v>2154</v>
      </c>
      <c r="H1709" s="18" t="s">
        <v>2160</v>
      </c>
    </row>
    <row r="1710" spans="1:8">
      <c r="A1710" s="19" t="s">
        <v>464</v>
      </c>
      <c r="B1710" s="19" t="s">
        <v>4541</v>
      </c>
      <c r="C1710" s="19" t="s">
        <v>2269</v>
      </c>
      <c r="D1710" s="19" t="s">
        <v>2216</v>
      </c>
      <c r="E1710" s="19" t="s">
        <v>2317</v>
      </c>
      <c r="F1710" s="19">
        <v>7.3</v>
      </c>
      <c r="G1710" s="19" t="s">
        <v>2154</v>
      </c>
      <c r="H1710" s="19" t="s">
        <v>2171</v>
      </c>
    </row>
    <row r="1711" spans="1:8">
      <c r="A1711" s="18" t="s">
        <v>464</v>
      </c>
      <c r="B1711" s="18" t="s">
        <v>4542</v>
      </c>
      <c r="C1711" s="18" t="s">
        <v>2273</v>
      </c>
      <c r="D1711" s="18" t="s">
        <v>2814</v>
      </c>
      <c r="E1711" s="18" t="s">
        <v>2797</v>
      </c>
      <c r="F1711" s="18">
        <v>9.41</v>
      </c>
      <c r="G1711" s="18" t="s">
        <v>2154</v>
      </c>
      <c r="H1711" s="18" t="s">
        <v>2171</v>
      </c>
    </row>
    <row r="1712" spans="1:8">
      <c r="A1712" s="19" t="s">
        <v>464</v>
      </c>
      <c r="B1712" s="19" t="s">
        <v>4543</v>
      </c>
      <c r="C1712" s="19" t="s">
        <v>2277</v>
      </c>
      <c r="D1712" s="19" t="s">
        <v>2377</v>
      </c>
      <c r="E1712" s="19" t="s">
        <v>2378</v>
      </c>
      <c r="F1712" s="19">
        <v>8.0399999999999991</v>
      </c>
      <c r="G1712" s="19" t="s">
        <v>2154</v>
      </c>
      <c r="H1712" s="19" t="s">
        <v>2155</v>
      </c>
    </row>
    <row r="1713" spans="1:8">
      <c r="A1713" s="18" t="s">
        <v>464</v>
      </c>
      <c r="B1713" s="18" t="s">
        <v>4544</v>
      </c>
      <c r="C1713" s="18" t="s">
        <v>2281</v>
      </c>
      <c r="D1713" s="18" t="s">
        <v>2880</v>
      </c>
      <c r="E1713" s="18" t="s">
        <v>3315</v>
      </c>
      <c r="F1713" s="18">
        <v>10.4</v>
      </c>
      <c r="G1713" s="18" t="s">
        <v>2154</v>
      </c>
      <c r="H1713" s="18" t="s">
        <v>2160</v>
      </c>
    </row>
    <row r="1714" spans="1:8">
      <c r="A1714" s="19" t="s">
        <v>464</v>
      </c>
      <c r="B1714" s="19" t="s">
        <v>4545</v>
      </c>
      <c r="C1714" s="19" t="s">
        <v>2396</v>
      </c>
      <c r="D1714" s="19" t="s">
        <v>2584</v>
      </c>
      <c r="E1714" s="19" t="s">
        <v>2969</v>
      </c>
      <c r="F1714" s="19">
        <v>7.01</v>
      </c>
      <c r="G1714" s="19" t="s">
        <v>2154</v>
      </c>
      <c r="H1714" s="19" t="s">
        <v>2160</v>
      </c>
    </row>
    <row r="1715" spans="1:8">
      <c r="A1715" s="18" t="s">
        <v>464</v>
      </c>
      <c r="B1715" s="18" t="s">
        <v>4546</v>
      </c>
      <c r="C1715" s="18" t="s">
        <v>2289</v>
      </c>
      <c r="D1715" s="18" t="s">
        <v>2181</v>
      </c>
      <c r="E1715" s="18" t="s">
        <v>2312</v>
      </c>
      <c r="F1715" s="18">
        <v>10.95</v>
      </c>
      <c r="G1715" s="18" t="s">
        <v>2154</v>
      </c>
      <c r="H1715" s="18" t="s">
        <v>2160</v>
      </c>
    </row>
    <row r="1716" spans="1:8">
      <c r="A1716" s="19" t="s">
        <v>464</v>
      </c>
      <c r="B1716" s="19" t="s">
        <v>4547</v>
      </c>
      <c r="C1716" s="19" t="s">
        <v>2293</v>
      </c>
      <c r="D1716" s="19" t="s">
        <v>2397</v>
      </c>
      <c r="E1716" s="19" t="s">
        <v>2501</v>
      </c>
      <c r="F1716" s="19">
        <v>8.7799999999999994</v>
      </c>
      <c r="G1716" s="19" t="s">
        <v>2154</v>
      </c>
      <c r="H1716" s="19" t="s">
        <v>2171</v>
      </c>
    </row>
    <row r="1717" spans="1:8">
      <c r="A1717" s="18" t="s">
        <v>464</v>
      </c>
      <c r="B1717" s="18" t="s">
        <v>4548</v>
      </c>
      <c r="C1717" s="18" t="s">
        <v>2296</v>
      </c>
      <c r="D1717" s="18" t="s">
        <v>2624</v>
      </c>
      <c r="E1717" s="18" t="s">
        <v>3118</v>
      </c>
      <c r="F1717" s="18">
        <v>11.09</v>
      </c>
      <c r="G1717" s="18" t="s">
        <v>2154</v>
      </c>
      <c r="H1717" s="18" t="s">
        <v>2155</v>
      </c>
    </row>
    <row r="1718" spans="1:8">
      <c r="A1718" s="19" t="s">
        <v>464</v>
      </c>
      <c r="B1718" s="19" t="s">
        <v>4549</v>
      </c>
      <c r="C1718" s="19" t="s">
        <v>2300</v>
      </c>
      <c r="D1718" s="19" t="s">
        <v>3597</v>
      </c>
      <c r="E1718" s="19" t="s">
        <v>3216</v>
      </c>
      <c r="F1718" s="19">
        <v>8.6</v>
      </c>
      <c r="G1718" s="19" t="s">
        <v>2154</v>
      </c>
      <c r="H1718" s="19" t="s">
        <v>2155</v>
      </c>
    </row>
    <row r="1719" spans="1:8">
      <c r="A1719" s="18" t="s">
        <v>464</v>
      </c>
      <c r="B1719" s="18" t="s">
        <v>4550</v>
      </c>
      <c r="C1719" s="18" t="s">
        <v>2144</v>
      </c>
      <c r="D1719" s="18" t="s">
        <v>2597</v>
      </c>
      <c r="E1719" s="18" t="s">
        <v>2576</v>
      </c>
      <c r="F1719" s="18">
        <v>9.77</v>
      </c>
      <c r="G1719" s="18" t="s">
        <v>2154</v>
      </c>
      <c r="H1719" s="18" t="s">
        <v>2171</v>
      </c>
    </row>
    <row r="1720" spans="1:8">
      <c r="A1720" s="19" t="s">
        <v>464</v>
      </c>
      <c r="B1720" s="19" t="s">
        <v>4551</v>
      </c>
      <c r="C1720" s="19" t="s">
        <v>2307</v>
      </c>
      <c r="D1720" s="19" t="s">
        <v>2592</v>
      </c>
      <c r="E1720" s="19" t="s">
        <v>2724</v>
      </c>
      <c r="F1720" s="19">
        <v>9.44</v>
      </c>
      <c r="G1720" s="19" t="s">
        <v>2154</v>
      </c>
      <c r="H1720" s="19" t="s">
        <v>2160</v>
      </c>
    </row>
    <row r="1721" spans="1:8">
      <c r="A1721" s="18" t="s">
        <v>464</v>
      </c>
      <c r="B1721" s="18" t="s">
        <v>4552</v>
      </c>
      <c r="C1721" s="18" t="s">
        <v>2311</v>
      </c>
      <c r="D1721" s="18" t="s">
        <v>2479</v>
      </c>
      <c r="E1721" s="18" t="s">
        <v>2480</v>
      </c>
      <c r="F1721" s="18">
        <v>8.9700000000000006</v>
      </c>
      <c r="G1721" s="18" t="s">
        <v>2154</v>
      </c>
      <c r="H1721" s="18" t="s">
        <v>2155</v>
      </c>
    </row>
    <row r="1722" spans="1:8">
      <c r="A1722" s="19" t="s">
        <v>1309</v>
      </c>
      <c r="B1722" s="19" t="s">
        <v>4553</v>
      </c>
      <c r="C1722" s="19" t="s">
        <v>2038</v>
      </c>
      <c r="D1722" s="19" t="s">
        <v>2397</v>
      </c>
      <c r="E1722" s="19" t="s">
        <v>2501</v>
      </c>
      <c r="F1722" s="19">
        <v>8.07</v>
      </c>
      <c r="G1722" s="19" t="s">
        <v>2154</v>
      </c>
      <c r="H1722" s="19" t="s">
        <v>2187</v>
      </c>
    </row>
    <row r="1723" spans="1:8">
      <c r="A1723" s="18" t="s">
        <v>1309</v>
      </c>
      <c r="B1723" s="18" t="s">
        <v>4554</v>
      </c>
      <c r="C1723" s="18" t="s">
        <v>2157</v>
      </c>
      <c r="D1723" s="18" t="s">
        <v>2979</v>
      </c>
      <c r="E1723" s="18" t="s">
        <v>3663</v>
      </c>
      <c r="F1723" s="18">
        <v>6.94</v>
      </c>
      <c r="G1723" s="18" t="s">
        <v>2154</v>
      </c>
      <c r="H1723" s="18" t="s">
        <v>2171</v>
      </c>
    </row>
    <row r="1724" spans="1:8">
      <c r="A1724" s="19" t="s">
        <v>1309</v>
      </c>
      <c r="B1724" s="19" t="s">
        <v>4555</v>
      </c>
      <c r="C1724" s="19" t="s">
        <v>2162</v>
      </c>
      <c r="D1724" s="19" t="s">
        <v>3278</v>
      </c>
      <c r="E1724" s="19" t="s">
        <v>3351</v>
      </c>
      <c r="F1724" s="19">
        <v>10.52</v>
      </c>
      <c r="G1724" s="19" t="s">
        <v>2154</v>
      </c>
      <c r="H1724" s="19" t="s">
        <v>2187</v>
      </c>
    </row>
    <row r="1725" spans="1:8">
      <c r="A1725" s="18" t="s">
        <v>1309</v>
      </c>
      <c r="B1725" s="18" t="s">
        <v>4556</v>
      </c>
      <c r="C1725" s="18" t="s">
        <v>1937</v>
      </c>
      <c r="D1725" s="18" t="s">
        <v>2253</v>
      </c>
      <c r="E1725" s="18" t="s">
        <v>3326</v>
      </c>
      <c r="F1725" s="18">
        <v>6.84</v>
      </c>
      <c r="G1725" s="18" t="s">
        <v>2154</v>
      </c>
      <c r="H1725" s="18" t="s">
        <v>2171</v>
      </c>
    </row>
    <row r="1726" spans="1:8">
      <c r="A1726" s="19" t="s">
        <v>1309</v>
      </c>
      <c r="B1726" s="19" t="s">
        <v>4557</v>
      </c>
      <c r="C1726" s="19" t="s">
        <v>2168</v>
      </c>
      <c r="D1726" s="19" t="s">
        <v>2185</v>
      </c>
      <c r="E1726" s="19" t="s">
        <v>2447</v>
      </c>
      <c r="F1726" s="19">
        <v>10.53</v>
      </c>
      <c r="G1726" s="19" t="s">
        <v>2154</v>
      </c>
      <c r="H1726" s="19" t="s">
        <v>2155</v>
      </c>
    </row>
    <row r="1727" spans="1:8">
      <c r="A1727" s="18" t="s">
        <v>1309</v>
      </c>
      <c r="B1727" s="18" t="s">
        <v>4558</v>
      </c>
      <c r="C1727" s="18" t="s">
        <v>2173</v>
      </c>
      <c r="D1727" s="18" t="s">
        <v>2408</v>
      </c>
      <c r="E1727" s="18" t="s">
        <v>2921</v>
      </c>
      <c r="F1727" s="18">
        <v>6.97</v>
      </c>
      <c r="G1727" s="18" t="s">
        <v>2154</v>
      </c>
      <c r="H1727" s="18" t="s">
        <v>2160</v>
      </c>
    </row>
    <row r="1728" spans="1:8">
      <c r="A1728" s="19" t="s">
        <v>1309</v>
      </c>
      <c r="B1728" s="19" t="s">
        <v>4559</v>
      </c>
      <c r="C1728" s="19" t="s">
        <v>2177</v>
      </c>
      <c r="D1728" s="19" t="s">
        <v>2761</v>
      </c>
      <c r="E1728" s="19" t="s">
        <v>3153</v>
      </c>
      <c r="F1728" s="19">
        <v>9.44</v>
      </c>
      <c r="G1728" s="19" t="s">
        <v>2154</v>
      </c>
      <c r="H1728" s="19" t="s">
        <v>2160</v>
      </c>
    </row>
    <row r="1729" spans="1:8">
      <c r="A1729" s="18" t="s">
        <v>1309</v>
      </c>
      <c r="B1729" s="18" t="s">
        <v>4560</v>
      </c>
      <c r="C1729" s="18" t="s">
        <v>1945</v>
      </c>
      <c r="D1729" s="18" t="s">
        <v>2624</v>
      </c>
      <c r="E1729" s="18" t="s">
        <v>2384</v>
      </c>
      <c r="F1729" s="18">
        <v>7.43</v>
      </c>
      <c r="G1729" s="18" t="s">
        <v>2154</v>
      </c>
      <c r="H1729" s="18" t="s">
        <v>2171</v>
      </c>
    </row>
    <row r="1730" spans="1:8">
      <c r="A1730" s="19" t="s">
        <v>1309</v>
      </c>
      <c r="B1730" s="19" t="s">
        <v>4561</v>
      </c>
      <c r="C1730" s="19" t="s">
        <v>2184</v>
      </c>
      <c r="D1730" s="19" t="s">
        <v>2592</v>
      </c>
      <c r="E1730" s="19" t="s">
        <v>2895</v>
      </c>
      <c r="F1730" s="19">
        <v>7.27</v>
      </c>
      <c r="G1730" s="19" t="s">
        <v>2154</v>
      </c>
      <c r="H1730" s="19" t="s">
        <v>2155</v>
      </c>
    </row>
    <row r="1731" spans="1:8">
      <c r="A1731" s="18" t="s">
        <v>1309</v>
      </c>
      <c r="B1731" s="18" t="s">
        <v>4562</v>
      </c>
      <c r="C1731" s="18" t="s">
        <v>2189</v>
      </c>
      <c r="D1731" s="18" t="s">
        <v>2274</v>
      </c>
      <c r="E1731" s="18" t="s">
        <v>2366</v>
      </c>
      <c r="F1731" s="18">
        <v>6.72</v>
      </c>
      <c r="G1731" s="18" t="s">
        <v>2154</v>
      </c>
      <c r="H1731" s="18" t="s">
        <v>2187</v>
      </c>
    </row>
    <row r="1732" spans="1:8">
      <c r="A1732" s="19" t="s">
        <v>1309</v>
      </c>
      <c r="B1732" s="19" t="s">
        <v>4563</v>
      </c>
      <c r="C1732" s="19" t="s">
        <v>2193</v>
      </c>
      <c r="D1732" s="19" t="s">
        <v>2966</v>
      </c>
      <c r="E1732" s="19" t="s">
        <v>3157</v>
      </c>
      <c r="F1732" s="19">
        <v>7.85</v>
      </c>
      <c r="G1732" s="19" t="s">
        <v>2154</v>
      </c>
      <c r="H1732" s="19" t="s">
        <v>2187</v>
      </c>
    </row>
    <row r="1733" spans="1:8">
      <c r="A1733" s="18" t="s">
        <v>1309</v>
      </c>
      <c r="B1733" s="18" t="s">
        <v>4564</v>
      </c>
      <c r="C1733" s="18" t="s">
        <v>2197</v>
      </c>
      <c r="D1733" s="18" t="s">
        <v>2572</v>
      </c>
      <c r="E1733" s="18" t="s">
        <v>2743</v>
      </c>
      <c r="F1733" s="18">
        <v>7.39</v>
      </c>
      <c r="G1733" s="18" t="s">
        <v>2154</v>
      </c>
      <c r="H1733" s="18" t="s">
        <v>2160</v>
      </c>
    </row>
    <row r="1734" spans="1:8">
      <c r="A1734" s="19" t="s">
        <v>1309</v>
      </c>
      <c r="B1734" s="19" t="s">
        <v>4565</v>
      </c>
      <c r="C1734" s="19" t="s">
        <v>1819</v>
      </c>
      <c r="D1734" s="19" t="s">
        <v>2632</v>
      </c>
      <c r="E1734" s="19" t="s">
        <v>2633</v>
      </c>
      <c r="F1734" s="19">
        <v>10.89</v>
      </c>
      <c r="G1734" s="19" t="s">
        <v>2154</v>
      </c>
      <c r="H1734" s="19" t="s">
        <v>2160</v>
      </c>
    </row>
    <row r="1735" spans="1:8">
      <c r="A1735" s="18" t="s">
        <v>1309</v>
      </c>
      <c r="B1735" s="18" t="s">
        <v>4566</v>
      </c>
      <c r="C1735" s="18" t="s">
        <v>2204</v>
      </c>
      <c r="D1735" s="18" t="s">
        <v>2377</v>
      </c>
      <c r="E1735" s="18" t="s">
        <v>2378</v>
      </c>
      <c r="F1735" s="18">
        <v>8.68</v>
      </c>
      <c r="G1735" s="18" t="s">
        <v>2154</v>
      </c>
      <c r="H1735" s="18" t="s">
        <v>2187</v>
      </c>
    </row>
    <row r="1736" spans="1:8">
      <c r="A1736" s="19" t="s">
        <v>1309</v>
      </c>
      <c r="B1736" s="19" t="s">
        <v>4567</v>
      </c>
      <c r="C1736" s="19" t="s">
        <v>1843</v>
      </c>
      <c r="D1736" s="19" t="s">
        <v>2223</v>
      </c>
      <c r="E1736" s="19" t="s">
        <v>3891</v>
      </c>
      <c r="F1736" s="19">
        <v>7.37</v>
      </c>
      <c r="G1736" s="19" t="s">
        <v>2154</v>
      </c>
      <c r="H1736" s="19" t="s">
        <v>2155</v>
      </c>
    </row>
    <row r="1737" spans="1:8">
      <c r="A1737" s="18" t="s">
        <v>1309</v>
      </c>
      <c r="B1737" s="18" t="s">
        <v>4568</v>
      </c>
      <c r="C1737" s="18" t="s">
        <v>2211</v>
      </c>
      <c r="D1737" s="18" t="s">
        <v>2703</v>
      </c>
      <c r="E1737" s="18" t="s">
        <v>3213</v>
      </c>
      <c r="F1737" s="18">
        <v>11.16</v>
      </c>
      <c r="G1737" s="18" t="s">
        <v>2154</v>
      </c>
      <c r="H1737" s="18" t="s">
        <v>2155</v>
      </c>
    </row>
    <row r="1738" spans="1:8">
      <c r="A1738" s="19" t="s">
        <v>1309</v>
      </c>
      <c r="B1738" s="19" t="s">
        <v>4569</v>
      </c>
      <c r="C1738" s="19" t="s">
        <v>2215</v>
      </c>
      <c r="D1738" s="19" t="s">
        <v>3251</v>
      </c>
      <c r="E1738" s="19" t="s">
        <v>3165</v>
      </c>
      <c r="F1738" s="19">
        <v>9.9600000000000009</v>
      </c>
      <c r="G1738" s="19" t="s">
        <v>2154</v>
      </c>
      <c r="H1738" s="19" t="s">
        <v>2187</v>
      </c>
    </row>
    <row r="1739" spans="1:8">
      <c r="A1739" s="18" t="s">
        <v>1309</v>
      </c>
      <c r="B1739" s="18" t="s">
        <v>4570</v>
      </c>
      <c r="C1739" s="18" t="s">
        <v>2219</v>
      </c>
      <c r="D1739" s="18" t="s">
        <v>2437</v>
      </c>
      <c r="E1739" s="18" t="s">
        <v>2438</v>
      </c>
      <c r="F1739" s="18">
        <v>8.25</v>
      </c>
      <c r="G1739" s="18" t="s">
        <v>2154</v>
      </c>
      <c r="H1739" s="18" t="s">
        <v>2155</v>
      </c>
    </row>
    <row r="1740" spans="1:8">
      <c r="A1740" s="19" t="s">
        <v>1309</v>
      </c>
      <c r="B1740" s="19" t="s">
        <v>4571</v>
      </c>
      <c r="C1740" s="19" t="s">
        <v>2222</v>
      </c>
      <c r="D1740" s="19" t="s">
        <v>2513</v>
      </c>
      <c r="E1740" s="19" t="s">
        <v>2267</v>
      </c>
      <c r="F1740" s="19">
        <v>10.97</v>
      </c>
      <c r="G1740" s="19" t="s">
        <v>2154</v>
      </c>
      <c r="H1740" s="19" t="s">
        <v>2171</v>
      </c>
    </row>
    <row r="1741" spans="1:8">
      <c r="A1741" s="18" t="s">
        <v>1309</v>
      </c>
      <c r="B1741" s="18" t="s">
        <v>4572</v>
      </c>
      <c r="C1741" s="18" t="s">
        <v>2226</v>
      </c>
      <c r="D1741" s="18" t="s">
        <v>2589</v>
      </c>
      <c r="E1741" s="18" t="s">
        <v>2601</v>
      </c>
      <c r="F1741" s="18">
        <v>8.4499999999999993</v>
      </c>
      <c r="G1741" s="18" t="s">
        <v>2154</v>
      </c>
      <c r="H1741" s="18" t="s">
        <v>2171</v>
      </c>
    </row>
    <row r="1742" spans="1:8">
      <c r="A1742" s="19" t="s">
        <v>1309</v>
      </c>
      <c r="B1742" s="19" t="s">
        <v>4573</v>
      </c>
      <c r="C1742" s="19" t="s">
        <v>2230</v>
      </c>
      <c r="D1742" s="19" t="s">
        <v>2684</v>
      </c>
      <c r="E1742" s="19" t="s">
        <v>4574</v>
      </c>
      <c r="F1742" s="19">
        <v>11.17</v>
      </c>
      <c r="G1742" s="19" t="s">
        <v>2154</v>
      </c>
      <c r="H1742" s="19" t="s">
        <v>2187</v>
      </c>
    </row>
    <row r="1743" spans="1:8">
      <c r="A1743" s="18" t="s">
        <v>1309</v>
      </c>
      <c r="B1743" s="18" t="s">
        <v>4575</v>
      </c>
      <c r="C1743" s="18" t="s">
        <v>2234</v>
      </c>
      <c r="D1743" s="18" t="s">
        <v>2297</v>
      </c>
      <c r="E1743" s="18" t="s">
        <v>2998</v>
      </c>
      <c r="F1743" s="18">
        <v>9.8000000000000007</v>
      </c>
      <c r="G1743" s="18" t="s">
        <v>2154</v>
      </c>
      <c r="H1743" s="18" t="s">
        <v>2160</v>
      </c>
    </row>
    <row r="1744" spans="1:8">
      <c r="A1744" s="19" t="s">
        <v>1309</v>
      </c>
      <c r="B1744" s="19" t="s">
        <v>4576</v>
      </c>
      <c r="C1744" s="19" t="s">
        <v>2238</v>
      </c>
      <c r="D1744" s="19" t="s">
        <v>2709</v>
      </c>
      <c r="E1744" s="19" t="s">
        <v>3844</v>
      </c>
      <c r="F1744" s="19">
        <v>9.89</v>
      </c>
      <c r="G1744" s="19" t="s">
        <v>2154</v>
      </c>
      <c r="H1744" s="19" t="s">
        <v>2160</v>
      </c>
    </row>
    <row r="1745" spans="1:8">
      <c r="A1745" s="18" t="s">
        <v>1309</v>
      </c>
      <c r="B1745" s="18" t="s">
        <v>4577</v>
      </c>
      <c r="C1745" s="18" t="s">
        <v>2241</v>
      </c>
      <c r="D1745" s="18" t="s">
        <v>2662</v>
      </c>
      <c r="E1745" s="18" t="s">
        <v>2663</v>
      </c>
      <c r="F1745" s="18">
        <v>7.93</v>
      </c>
      <c r="G1745" s="18" t="s">
        <v>2154</v>
      </c>
      <c r="H1745" s="18" t="s">
        <v>2160</v>
      </c>
    </row>
    <row r="1746" spans="1:8">
      <c r="A1746" s="19" t="s">
        <v>1309</v>
      </c>
      <c r="B1746" s="19" t="s">
        <v>4578</v>
      </c>
      <c r="C1746" s="19" t="s">
        <v>2245</v>
      </c>
      <c r="D1746" s="19" t="s">
        <v>3299</v>
      </c>
      <c r="E1746" s="19" t="s">
        <v>2570</v>
      </c>
      <c r="F1746" s="19">
        <v>9.5299999999999994</v>
      </c>
      <c r="G1746" s="19" t="s">
        <v>2154</v>
      </c>
      <c r="H1746" s="19" t="s">
        <v>2155</v>
      </c>
    </row>
    <row r="1747" spans="1:8">
      <c r="A1747" s="18" t="s">
        <v>1309</v>
      </c>
      <c r="B1747" s="18" t="s">
        <v>4579</v>
      </c>
      <c r="C1747" s="18" t="s">
        <v>2249</v>
      </c>
      <c r="D1747" s="18" t="s">
        <v>3253</v>
      </c>
      <c r="E1747" s="18" t="s">
        <v>3956</v>
      </c>
      <c r="F1747" s="18">
        <v>6.61</v>
      </c>
      <c r="G1747" s="18" t="s">
        <v>2154</v>
      </c>
      <c r="H1747" s="18" t="s">
        <v>2187</v>
      </c>
    </row>
    <row r="1748" spans="1:8">
      <c r="A1748" s="19" t="s">
        <v>1309</v>
      </c>
      <c r="B1748" s="19" t="s">
        <v>4580</v>
      </c>
      <c r="C1748" s="19" t="s">
        <v>3385</v>
      </c>
      <c r="D1748" s="19"/>
      <c r="E1748" s="19"/>
      <c r="F1748" s="19"/>
      <c r="G1748" s="19" t="s">
        <v>2343</v>
      </c>
      <c r="H1748" s="19" t="s">
        <v>2171</v>
      </c>
    </row>
    <row r="1749" spans="1:8">
      <c r="A1749" s="18" t="s">
        <v>1309</v>
      </c>
      <c r="B1749" s="18" t="s">
        <v>4581</v>
      </c>
      <c r="C1749" s="18" t="s">
        <v>2376</v>
      </c>
      <c r="D1749" s="18" t="s">
        <v>2181</v>
      </c>
      <c r="E1749" s="18" t="s">
        <v>3599</v>
      </c>
      <c r="F1749" s="18">
        <v>9.18</v>
      </c>
      <c r="G1749" s="18" t="s">
        <v>2154</v>
      </c>
      <c r="H1749" s="18" t="s">
        <v>2155</v>
      </c>
    </row>
    <row r="1750" spans="1:8">
      <c r="A1750" s="19" t="s">
        <v>1309</v>
      </c>
      <c r="B1750" s="19" t="s">
        <v>4582</v>
      </c>
      <c r="C1750" s="19" t="s">
        <v>2260</v>
      </c>
      <c r="D1750" s="19" t="s">
        <v>2966</v>
      </c>
      <c r="E1750" s="19" t="s">
        <v>2658</v>
      </c>
      <c r="F1750" s="19">
        <v>9.6300000000000008</v>
      </c>
      <c r="G1750" s="19" t="s">
        <v>2154</v>
      </c>
      <c r="H1750" s="19" t="s">
        <v>2155</v>
      </c>
    </row>
    <row r="1751" spans="1:8">
      <c r="A1751" s="18" t="s">
        <v>1309</v>
      </c>
      <c r="B1751" s="18" t="s">
        <v>4583</v>
      </c>
      <c r="C1751" s="18" t="s">
        <v>2264</v>
      </c>
      <c r="D1751" s="18"/>
      <c r="E1751" s="18"/>
      <c r="F1751" s="18"/>
      <c r="G1751" s="18" t="s">
        <v>2163</v>
      </c>
      <c r="H1751" s="18" t="s">
        <v>2187</v>
      </c>
    </row>
    <row r="1752" spans="1:8">
      <c r="A1752" s="19" t="s">
        <v>1309</v>
      </c>
      <c r="B1752" s="19" t="s">
        <v>4584</v>
      </c>
      <c r="C1752" s="19" t="s">
        <v>1948</v>
      </c>
      <c r="D1752" s="19" t="s">
        <v>2716</v>
      </c>
      <c r="E1752" s="19" t="s">
        <v>2529</v>
      </c>
      <c r="F1752" s="19">
        <v>9.24</v>
      </c>
      <c r="G1752" s="19" t="s">
        <v>2154</v>
      </c>
      <c r="H1752" s="19" t="s">
        <v>2155</v>
      </c>
    </row>
    <row r="1753" spans="1:8">
      <c r="A1753" s="18" t="s">
        <v>1309</v>
      </c>
      <c r="B1753" s="18" t="s">
        <v>4585</v>
      </c>
      <c r="C1753" s="18" t="s">
        <v>2269</v>
      </c>
      <c r="D1753" s="18" t="s">
        <v>2594</v>
      </c>
      <c r="E1753" s="18" t="s">
        <v>3366</v>
      </c>
      <c r="F1753" s="18">
        <v>10.6</v>
      </c>
      <c r="G1753" s="18" t="s">
        <v>2154</v>
      </c>
      <c r="H1753" s="18" t="s">
        <v>2187</v>
      </c>
    </row>
    <row r="1754" spans="1:8">
      <c r="A1754" s="19" t="s">
        <v>1309</v>
      </c>
      <c r="B1754" s="19" t="s">
        <v>4586</v>
      </c>
      <c r="C1754" s="19" t="s">
        <v>2273</v>
      </c>
      <c r="D1754" s="19" t="s">
        <v>3066</v>
      </c>
      <c r="E1754" s="19" t="s">
        <v>3193</v>
      </c>
      <c r="F1754" s="19">
        <v>7.64</v>
      </c>
      <c r="G1754" s="19" t="s">
        <v>2154</v>
      </c>
      <c r="H1754" s="19" t="s">
        <v>2155</v>
      </c>
    </row>
    <row r="1755" spans="1:8">
      <c r="A1755" s="18" t="s">
        <v>1309</v>
      </c>
      <c r="B1755" s="18" t="s">
        <v>4587</v>
      </c>
      <c r="C1755" s="18" t="s">
        <v>2277</v>
      </c>
      <c r="D1755" s="18" t="s">
        <v>2408</v>
      </c>
      <c r="E1755" s="18" t="s">
        <v>2921</v>
      </c>
      <c r="F1755" s="18">
        <v>6.86</v>
      </c>
      <c r="G1755" s="18" t="s">
        <v>2154</v>
      </c>
      <c r="H1755" s="18" t="s">
        <v>2155</v>
      </c>
    </row>
    <row r="1756" spans="1:8">
      <c r="A1756" s="19" t="s">
        <v>1309</v>
      </c>
      <c r="B1756" s="19" t="s">
        <v>4588</v>
      </c>
      <c r="C1756" s="19" t="s">
        <v>2281</v>
      </c>
      <c r="D1756" s="19" t="s">
        <v>2979</v>
      </c>
      <c r="E1756" s="19" t="s">
        <v>3308</v>
      </c>
      <c r="F1756" s="19">
        <v>11.17</v>
      </c>
      <c r="G1756" s="19" t="s">
        <v>2154</v>
      </c>
      <c r="H1756" s="19" t="s">
        <v>2171</v>
      </c>
    </row>
    <row r="1757" spans="1:8">
      <c r="A1757" s="18" t="s">
        <v>1309</v>
      </c>
      <c r="B1757" s="18" t="s">
        <v>4589</v>
      </c>
      <c r="C1757" s="18" t="s">
        <v>2396</v>
      </c>
      <c r="D1757" s="18" t="s">
        <v>2700</v>
      </c>
      <c r="E1757" s="18" t="s">
        <v>2315</v>
      </c>
      <c r="F1757" s="18">
        <v>7.86</v>
      </c>
      <c r="G1757" s="18" t="s">
        <v>2154</v>
      </c>
      <c r="H1757" s="18" t="s">
        <v>2187</v>
      </c>
    </row>
    <row r="1758" spans="1:8">
      <c r="A1758" s="19" t="s">
        <v>1309</v>
      </c>
      <c r="B1758" s="19" t="s">
        <v>4590</v>
      </c>
      <c r="C1758" s="19" t="s">
        <v>2289</v>
      </c>
      <c r="D1758" s="19" t="s">
        <v>2282</v>
      </c>
      <c r="E1758" s="19" t="s">
        <v>2279</v>
      </c>
      <c r="F1758" s="19">
        <v>7.46</v>
      </c>
      <c r="G1758" s="19" t="s">
        <v>2154</v>
      </c>
      <c r="H1758" s="19" t="s">
        <v>2187</v>
      </c>
    </row>
    <row r="1759" spans="1:8">
      <c r="A1759" s="18" t="s">
        <v>1309</v>
      </c>
      <c r="B1759" s="18" t="s">
        <v>4591</v>
      </c>
      <c r="C1759" s="18" t="s">
        <v>2293</v>
      </c>
      <c r="D1759" s="18" t="s">
        <v>2684</v>
      </c>
      <c r="E1759" s="18" t="s">
        <v>3790</v>
      </c>
      <c r="F1759" s="18">
        <v>10.79</v>
      </c>
      <c r="G1759" s="18" t="s">
        <v>2154</v>
      </c>
      <c r="H1759" s="18" t="s">
        <v>2155</v>
      </c>
    </row>
    <row r="1760" spans="1:8">
      <c r="A1760" s="19" t="s">
        <v>1309</v>
      </c>
      <c r="B1760" s="19" t="s">
        <v>4592</v>
      </c>
      <c r="C1760" s="19" t="s">
        <v>2296</v>
      </c>
      <c r="D1760" s="19" t="s">
        <v>2370</v>
      </c>
      <c r="E1760" s="19" t="s">
        <v>2944</v>
      </c>
      <c r="F1760" s="19">
        <v>6.73</v>
      </c>
      <c r="G1760" s="19" t="s">
        <v>2154</v>
      </c>
      <c r="H1760" s="19" t="s">
        <v>2171</v>
      </c>
    </row>
    <row r="1761" spans="1:8">
      <c r="A1761" s="18" t="s">
        <v>1309</v>
      </c>
      <c r="B1761" s="18" t="s">
        <v>4593</v>
      </c>
      <c r="C1761" s="18" t="s">
        <v>2300</v>
      </c>
      <c r="D1761" s="18" t="s">
        <v>2373</v>
      </c>
      <c r="E1761" s="18" t="s">
        <v>2374</v>
      </c>
      <c r="F1761" s="18">
        <v>11.08</v>
      </c>
      <c r="G1761" s="18" t="s">
        <v>2154</v>
      </c>
      <c r="H1761" s="18" t="s">
        <v>2171</v>
      </c>
    </row>
    <row r="1762" spans="1:8">
      <c r="A1762" s="19" t="s">
        <v>1309</v>
      </c>
      <c r="B1762" s="19" t="s">
        <v>4594</v>
      </c>
      <c r="C1762" s="19" t="s">
        <v>2144</v>
      </c>
      <c r="D1762" s="19" t="s">
        <v>3120</v>
      </c>
      <c r="E1762" s="19" t="s">
        <v>2404</v>
      </c>
      <c r="F1762" s="19">
        <v>9.9600000000000009</v>
      </c>
      <c r="G1762" s="19" t="s">
        <v>2154</v>
      </c>
      <c r="H1762" s="19" t="s">
        <v>2187</v>
      </c>
    </row>
    <row r="1763" spans="1:8">
      <c r="A1763" s="18" t="s">
        <v>1309</v>
      </c>
      <c r="B1763" s="18" t="s">
        <v>4595</v>
      </c>
      <c r="C1763" s="18" t="s">
        <v>2307</v>
      </c>
      <c r="D1763" s="18" t="s">
        <v>2169</v>
      </c>
      <c r="E1763" s="18" t="s">
        <v>2170</v>
      </c>
      <c r="F1763" s="18">
        <v>10.63</v>
      </c>
      <c r="G1763" s="18" t="s">
        <v>2154</v>
      </c>
      <c r="H1763" s="18" t="s">
        <v>2160</v>
      </c>
    </row>
    <row r="1764" spans="1:8">
      <c r="A1764" s="19" t="s">
        <v>1309</v>
      </c>
      <c r="B1764" s="19" t="s">
        <v>4596</v>
      </c>
      <c r="C1764" s="19" t="s">
        <v>2311</v>
      </c>
      <c r="D1764" s="19"/>
      <c r="E1764" s="19"/>
      <c r="F1764" s="19"/>
      <c r="G1764" s="19" t="s">
        <v>2163</v>
      </c>
      <c r="H1764" s="19" t="s">
        <v>2160</v>
      </c>
    </row>
    <row r="1765" spans="1:8">
      <c r="A1765" s="18" t="s">
        <v>1343</v>
      </c>
      <c r="B1765" s="18" t="s">
        <v>4597</v>
      </c>
      <c r="C1765" s="18" t="s">
        <v>2038</v>
      </c>
      <c r="D1765" s="18" t="s">
        <v>2473</v>
      </c>
      <c r="E1765" s="18" t="s">
        <v>2675</v>
      </c>
      <c r="F1765" s="18">
        <v>9.59</v>
      </c>
      <c r="G1765" s="18" t="s">
        <v>2154</v>
      </c>
      <c r="H1765" s="18" t="s">
        <v>2155</v>
      </c>
    </row>
    <row r="1766" spans="1:8">
      <c r="A1766" s="19" t="s">
        <v>1343</v>
      </c>
      <c r="B1766" s="19" t="s">
        <v>4598</v>
      </c>
      <c r="C1766" s="19" t="s">
        <v>2157</v>
      </c>
      <c r="D1766" s="19" t="s">
        <v>2572</v>
      </c>
      <c r="E1766" s="19" t="s">
        <v>3351</v>
      </c>
      <c r="F1766" s="19">
        <v>9.7899999999999991</v>
      </c>
      <c r="G1766" s="19" t="s">
        <v>2154</v>
      </c>
      <c r="H1766" s="19" t="s">
        <v>2155</v>
      </c>
    </row>
    <row r="1767" spans="1:8">
      <c r="A1767" s="18" t="s">
        <v>1343</v>
      </c>
      <c r="B1767" s="18" t="s">
        <v>4599</v>
      </c>
      <c r="C1767" s="18" t="s">
        <v>2162</v>
      </c>
      <c r="D1767" s="18" t="s">
        <v>2524</v>
      </c>
      <c r="E1767" s="18" t="s">
        <v>2826</v>
      </c>
      <c r="F1767" s="18">
        <v>10.8</v>
      </c>
      <c r="G1767" s="18" t="s">
        <v>2154</v>
      </c>
      <c r="H1767" s="18" t="s">
        <v>2160</v>
      </c>
    </row>
    <row r="1768" spans="1:8">
      <c r="A1768" s="19" t="s">
        <v>1343</v>
      </c>
      <c r="B1768" s="19" t="s">
        <v>4600</v>
      </c>
      <c r="C1768" s="19" t="s">
        <v>1937</v>
      </c>
      <c r="D1768" s="19" t="s">
        <v>2979</v>
      </c>
      <c r="E1768" s="19" t="s">
        <v>2861</v>
      </c>
      <c r="F1768" s="19">
        <v>8.69</v>
      </c>
      <c r="G1768" s="19" t="s">
        <v>2154</v>
      </c>
      <c r="H1768" s="19" t="s">
        <v>2160</v>
      </c>
    </row>
    <row r="1769" spans="1:8">
      <c r="A1769" s="18" t="s">
        <v>1343</v>
      </c>
      <c r="B1769" s="18" t="s">
        <v>4601</v>
      </c>
      <c r="C1769" s="18" t="s">
        <v>2168</v>
      </c>
      <c r="D1769" s="18" t="s">
        <v>2380</v>
      </c>
      <c r="E1769" s="18" t="s">
        <v>2590</v>
      </c>
      <c r="F1769" s="18">
        <v>11.02</v>
      </c>
      <c r="G1769" s="18" t="s">
        <v>2154</v>
      </c>
      <c r="H1769" s="18" t="s">
        <v>2171</v>
      </c>
    </row>
    <row r="1770" spans="1:8">
      <c r="A1770" s="19" t="s">
        <v>1343</v>
      </c>
      <c r="B1770" s="19" t="s">
        <v>4602</v>
      </c>
      <c r="C1770" s="19" t="s">
        <v>2173</v>
      </c>
      <c r="D1770" s="19" t="s">
        <v>3253</v>
      </c>
      <c r="E1770" s="19" t="s">
        <v>3245</v>
      </c>
      <c r="F1770" s="19">
        <v>9.25</v>
      </c>
      <c r="G1770" s="19" t="s">
        <v>2154</v>
      </c>
      <c r="H1770" s="19" t="s">
        <v>2171</v>
      </c>
    </row>
    <row r="1771" spans="1:8">
      <c r="A1771" s="18" t="s">
        <v>1343</v>
      </c>
      <c r="B1771" s="18" t="s">
        <v>4603</v>
      </c>
      <c r="C1771" s="18" t="s">
        <v>2177</v>
      </c>
      <c r="D1771" s="18" t="s">
        <v>2397</v>
      </c>
      <c r="E1771" s="18" t="s">
        <v>2501</v>
      </c>
      <c r="F1771" s="18">
        <v>8.67</v>
      </c>
      <c r="G1771" s="18" t="s">
        <v>2154</v>
      </c>
      <c r="H1771" s="18" t="s">
        <v>2155</v>
      </c>
    </row>
    <row r="1772" spans="1:8">
      <c r="A1772" s="19" t="s">
        <v>1343</v>
      </c>
      <c r="B1772" s="19" t="s">
        <v>4604</v>
      </c>
      <c r="C1772" s="19" t="s">
        <v>1945</v>
      </c>
      <c r="D1772" s="19" t="s">
        <v>2696</v>
      </c>
      <c r="E1772" s="19" t="s">
        <v>2434</v>
      </c>
      <c r="F1772" s="19">
        <v>9.09</v>
      </c>
      <c r="G1772" s="19" t="s">
        <v>2154</v>
      </c>
      <c r="H1772" s="19" t="s">
        <v>2155</v>
      </c>
    </row>
    <row r="1773" spans="1:8">
      <c r="A1773" s="18" t="s">
        <v>1343</v>
      </c>
      <c r="B1773" s="18" t="s">
        <v>4605</v>
      </c>
      <c r="C1773" s="18" t="s">
        <v>2184</v>
      </c>
      <c r="D1773" s="18" t="s">
        <v>2589</v>
      </c>
      <c r="E1773" s="18" t="s">
        <v>2601</v>
      </c>
      <c r="F1773" s="18">
        <v>8.09</v>
      </c>
      <c r="G1773" s="18" t="s">
        <v>2154</v>
      </c>
      <c r="H1773" s="18" t="s">
        <v>2187</v>
      </c>
    </row>
    <row r="1774" spans="1:8">
      <c r="A1774" s="19" t="s">
        <v>1343</v>
      </c>
      <c r="B1774" s="19" t="s">
        <v>4606</v>
      </c>
      <c r="C1774" s="19" t="s">
        <v>2189</v>
      </c>
      <c r="D1774" s="19" t="s">
        <v>2440</v>
      </c>
      <c r="E1774" s="19" t="s">
        <v>3218</v>
      </c>
      <c r="F1774" s="19">
        <v>8.99</v>
      </c>
      <c r="G1774" s="19" t="s">
        <v>2154</v>
      </c>
      <c r="H1774" s="19" t="s">
        <v>2171</v>
      </c>
    </row>
    <row r="1775" spans="1:8">
      <c r="A1775" s="18" t="s">
        <v>1343</v>
      </c>
      <c r="B1775" s="18" t="s">
        <v>4607</v>
      </c>
      <c r="C1775" s="18" t="s">
        <v>2193</v>
      </c>
      <c r="D1775" s="18" t="s">
        <v>2589</v>
      </c>
      <c r="E1775" s="18" t="s">
        <v>2667</v>
      </c>
      <c r="F1775" s="18">
        <v>10.24</v>
      </c>
      <c r="G1775" s="18" t="s">
        <v>2154</v>
      </c>
      <c r="H1775" s="18" t="s">
        <v>2160</v>
      </c>
    </row>
    <row r="1776" spans="1:8">
      <c r="A1776" s="19" t="s">
        <v>1343</v>
      </c>
      <c r="B1776" s="19" t="s">
        <v>4608</v>
      </c>
      <c r="C1776" s="19" t="s">
        <v>2197</v>
      </c>
      <c r="D1776" s="19" t="s">
        <v>2690</v>
      </c>
      <c r="E1776" s="19" t="s">
        <v>2582</v>
      </c>
      <c r="F1776" s="19">
        <v>10.16</v>
      </c>
      <c r="G1776" s="19" t="s">
        <v>2154</v>
      </c>
      <c r="H1776" s="19" t="s">
        <v>2155</v>
      </c>
    </row>
    <row r="1777" spans="1:8">
      <c r="A1777" s="18" t="s">
        <v>1343</v>
      </c>
      <c r="B1777" s="18" t="s">
        <v>4609</v>
      </c>
      <c r="C1777" s="18" t="s">
        <v>1819</v>
      </c>
      <c r="D1777" s="18" t="s">
        <v>2611</v>
      </c>
      <c r="E1777" s="18" t="s">
        <v>2745</v>
      </c>
      <c r="F1777" s="18">
        <v>11.2</v>
      </c>
      <c r="G1777" s="18" t="s">
        <v>2154</v>
      </c>
      <c r="H1777" s="18" t="s">
        <v>2171</v>
      </c>
    </row>
    <row r="1778" spans="1:8">
      <c r="A1778" s="19" t="s">
        <v>1343</v>
      </c>
      <c r="B1778" s="19" t="s">
        <v>4610</v>
      </c>
      <c r="C1778" s="19" t="s">
        <v>2204</v>
      </c>
      <c r="D1778" s="19"/>
      <c r="E1778" s="19"/>
      <c r="F1778" s="19"/>
      <c r="G1778" s="19" t="s">
        <v>2343</v>
      </c>
      <c r="H1778" s="19" t="s">
        <v>2155</v>
      </c>
    </row>
    <row r="1779" spans="1:8">
      <c r="A1779" s="18" t="s">
        <v>1343</v>
      </c>
      <c r="B1779" s="18" t="s">
        <v>4611</v>
      </c>
      <c r="C1779" s="18" t="s">
        <v>1843</v>
      </c>
      <c r="D1779" s="18" t="s">
        <v>2178</v>
      </c>
      <c r="E1779" s="18" t="s">
        <v>3058</v>
      </c>
      <c r="F1779" s="18">
        <v>10.49</v>
      </c>
      <c r="G1779" s="18" t="s">
        <v>2154</v>
      </c>
      <c r="H1779" s="18" t="s">
        <v>2160</v>
      </c>
    </row>
    <row r="1780" spans="1:8">
      <c r="A1780" s="19" t="s">
        <v>1343</v>
      </c>
      <c r="B1780" s="19" t="s">
        <v>4612</v>
      </c>
      <c r="C1780" s="19" t="s">
        <v>2211</v>
      </c>
      <c r="D1780" s="19" t="s">
        <v>2567</v>
      </c>
      <c r="E1780" s="19" t="s">
        <v>3101</v>
      </c>
      <c r="F1780" s="19">
        <v>8.77</v>
      </c>
      <c r="G1780" s="19" t="s">
        <v>2154</v>
      </c>
      <c r="H1780" s="19" t="s">
        <v>2155</v>
      </c>
    </row>
    <row r="1781" spans="1:8">
      <c r="A1781" s="18" t="s">
        <v>1343</v>
      </c>
      <c r="B1781" s="18" t="s">
        <v>4613</v>
      </c>
      <c r="C1781" s="18" t="s">
        <v>2215</v>
      </c>
      <c r="D1781" s="18" t="s">
        <v>2423</v>
      </c>
      <c r="E1781" s="18" t="s">
        <v>2420</v>
      </c>
      <c r="F1781" s="18">
        <v>11.37</v>
      </c>
      <c r="G1781" s="18" t="s">
        <v>2154</v>
      </c>
      <c r="H1781" s="18" t="s">
        <v>2187</v>
      </c>
    </row>
    <row r="1782" spans="1:8">
      <c r="A1782" s="19" t="s">
        <v>1343</v>
      </c>
      <c r="B1782" s="19" t="s">
        <v>4614</v>
      </c>
      <c r="C1782" s="19" t="s">
        <v>2219</v>
      </c>
      <c r="D1782" s="19" t="s">
        <v>2212</v>
      </c>
      <c r="E1782" s="19" t="s">
        <v>2213</v>
      </c>
      <c r="F1782" s="19">
        <v>10.65</v>
      </c>
      <c r="G1782" s="19" t="s">
        <v>2154</v>
      </c>
      <c r="H1782" s="19" t="s">
        <v>2171</v>
      </c>
    </row>
    <row r="1783" spans="1:8">
      <c r="A1783" s="18" t="s">
        <v>1343</v>
      </c>
      <c r="B1783" s="18" t="s">
        <v>4615</v>
      </c>
      <c r="C1783" s="18" t="s">
        <v>2222</v>
      </c>
      <c r="D1783" s="18" t="s">
        <v>2581</v>
      </c>
      <c r="E1783" s="18" t="s">
        <v>3266</v>
      </c>
      <c r="F1783" s="18">
        <v>8.16</v>
      </c>
      <c r="G1783" s="18" t="s">
        <v>2154</v>
      </c>
      <c r="H1783" s="18" t="s">
        <v>2155</v>
      </c>
    </row>
    <row r="1784" spans="1:8">
      <c r="A1784" s="19" t="s">
        <v>1343</v>
      </c>
      <c r="B1784" s="19" t="s">
        <v>4616</v>
      </c>
      <c r="C1784" s="19" t="s">
        <v>2226</v>
      </c>
      <c r="D1784" s="19" t="s">
        <v>2491</v>
      </c>
      <c r="E1784" s="19" t="s">
        <v>2492</v>
      </c>
      <c r="F1784" s="19">
        <v>7.06</v>
      </c>
      <c r="G1784" s="19" t="s">
        <v>2154</v>
      </c>
      <c r="H1784" s="19" t="s">
        <v>2155</v>
      </c>
    </row>
    <row r="1785" spans="1:8">
      <c r="A1785" s="18" t="s">
        <v>1343</v>
      </c>
      <c r="B1785" s="18" t="s">
        <v>4617</v>
      </c>
      <c r="C1785" s="18" t="s">
        <v>2230</v>
      </c>
      <c r="D1785" s="18" t="s">
        <v>2793</v>
      </c>
      <c r="E1785" s="18" t="s">
        <v>3033</v>
      </c>
      <c r="F1785" s="18">
        <v>9.9600000000000009</v>
      </c>
      <c r="G1785" s="18" t="s">
        <v>2154</v>
      </c>
      <c r="H1785" s="18" t="s">
        <v>2171</v>
      </c>
    </row>
    <row r="1786" spans="1:8">
      <c r="A1786" s="19" t="s">
        <v>1343</v>
      </c>
      <c r="B1786" s="19" t="s">
        <v>4618</v>
      </c>
      <c r="C1786" s="19" t="s">
        <v>2234</v>
      </c>
      <c r="D1786" s="19" t="s">
        <v>2528</v>
      </c>
      <c r="E1786" s="19" t="s">
        <v>2529</v>
      </c>
      <c r="F1786" s="19">
        <v>8.94</v>
      </c>
      <c r="G1786" s="19" t="s">
        <v>2154</v>
      </c>
      <c r="H1786" s="19" t="s">
        <v>2155</v>
      </c>
    </row>
    <row r="1787" spans="1:8">
      <c r="A1787" s="18" t="s">
        <v>1343</v>
      </c>
      <c r="B1787" s="18" t="s">
        <v>4619</v>
      </c>
      <c r="C1787" s="18" t="s">
        <v>2238</v>
      </c>
      <c r="D1787" s="18" t="s">
        <v>2419</v>
      </c>
      <c r="E1787" s="18" t="s">
        <v>2424</v>
      </c>
      <c r="F1787" s="18">
        <v>7.68</v>
      </c>
      <c r="G1787" s="18" t="s">
        <v>2154</v>
      </c>
      <c r="H1787" s="18" t="s">
        <v>2187</v>
      </c>
    </row>
    <row r="1788" spans="1:8">
      <c r="A1788" s="19" t="s">
        <v>1343</v>
      </c>
      <c r="B1788" s="19" t="s">
        <v>4620</v>
      </c>
      <c r="C1788" s="19" t="s">
        <v>2241</v>
      </c>
      <c r="D1788" s="19" t="s">
        <v>2503</v>
      </c>
      <c r="E1788" s="19" t="s">
        <v>2213</v>
      </c>
      <c r="F1788" s="19">
        <v>9.8699999999999992</v>
      </c>
      <c r="G1788" s="19" t="s">
        <v>2154</v>
      </c>
      <c r="H1788" s="19" t="s">
        <v>2171</v>
      </c>
    </row>
    <row r="1789" spans="1:8">
      <c r="A1789" s="18" t="s">
        <v>1343</v>
      </c>
      <c r="B1789" s="18" t="s">
        <v>4621</v>
      </c>
      <c r="C1789" s="18" t="s">
        <v>2245</v>
      </c>
      <c r="D1789" s="18" t="s">
        <v>2513</v>
      </c>
      <c r="E1789" s="18" t="s">
        <v>4338</v>
      </c>
      <c r="F1789" s="18">
        <v>8.01</v>
      </c>
      <c r="G1789" s="18" t="s">
        <v>2154</v>
      </c>
      <c r="H1789" s="18" t="s">
        <v>2155</v>
      </c>
    </row>
    <row r="1790" spans="1:8">
      <c r="A1790" s="19" t="s">
        <v>1343</v>
      </c>
      <c r="B1790" s="19" t="s">
        <v>4622</v>
      </c>
      <c r="C1790" s="19" t="s">
        <v>2249</v>
      </c>
      <c r="D1790" s="19" t="s">
        <v>2624</v>
      </c>
      <c r="E1790" s="19" t="s">
        <v>2511</v>
      </c>
      <c r="F1790" s="19">
        <v>8.06</v>
      </c>
      <c r="G1790" s="19" t="s">
        <v>2154</v>
      </c>
      <c r="H1790" s="19" t="s">
        <v>2171</v>
      </c>
    </row>
    <row r="1791" spans="1:8">
      <c r="A1791" s="18" t="s">
        <v>1343</v>
      </c>
      <c r="B1791" s="18" t="s">
        <v>4623</v>
      </c>
      <c r="C1791" s="18" t="s">
        <v>2252</v>
      </c>
      <c r="D1791" s="18" t="s">
        <v>2611</v>
      </c>
      <c r="E1791" s="18" t="s">
        <v>2919</v>
      </c>
      <c r="F1791" s="18">
        <v>6.77</v>
      </c>
      <c r="G1791" s="18" t="s">
        <v>2154</v>
      </c>
      <c r="H1791" s="18" t="s">
        <v>2187</v>
      </c>
    </row>
    <row r="1792" spans="1:8">
      <c r="A1792" s="19" t="s">
        <v>1343</v>
      </c>
      <c r="B1792" s="19" t="s">
        <v>4624</v>
      </c>
      <c r="C1792" s="19" t="s">
        <v>2376</v>
      </c>
      <c r="D1792" s="19" t="s">
        <v>2951</v>
      </c>
      <c r="E1792" s="19" t="s">
        <v>3900</v>
      </c>
      <c r="F1792" s="19">
        <v>7.85</v>
      </c>
      <c r="G1792" s="19" t="s">
        <v>2154</v>
      </c>
      <c r="H1792" s="19" t="s">
        <v>2171</v>
      </c>
    </row>
    <row r="1793" spans="1:8">
      <c r="A1793" s="18" t="s">
        <v>1343</v>
      </c>
      <c r="B1793" s="18" t="s">
        <v>4625</v>
      </c>
      <c r="C1793" s="18" t="s">
        <v>2260</v>
      </c>
      <c r="D1793" s="18" t="s">
        <v>3120</v>
      </c>
      <c r="E1793" s="18" t="s">
        <v>2324</v>
      </c>
      <c r="F1793" s="18">
        <v>7.05</v>
      </c>
      <c r="G1793" s="18" t="s">
        <v>2154</v>
      </c>
      <c r="H1793" s="18" t="s">
        <v>2160</v>
      </c>
    </row>
    <row r="1794" spans="1:8">
      <c r="A1794" s="19" t="s">
        <v>1343</v>
      </c>
      <c r="B1794" s="19" t="s">
        <v>4626</v>
      </c>
      <c r="C1794" s="19" t="s">
        <v>2264</v>
      </c>
      <c r="D1794" s="19" t="s">
        <v>2594</v>
      </c>
      <c r="E1794" s="19" t="s">
        <v>3157</v>
      </c>
      <c r="F1794" s="19">
        <v>9.25</v>
      </c>
      <c r="G1794" s="19" t="s">
        <v>2154</v>
      </c>
      <c r="H1794" s="19" t="s">
        <v>2171</v>
      </c>
    </row>
    <row r="1795" spans="1:8">
      <c r="A1795" s="18" t="s">
        <v>1343</v>
      </c>
      <c r="B1795" s="18" t="s">
        <v>4627</v>
      </c>
      <c r="C1795" s="18" t="s">
        <v>1948</v>
      </c>
      <c r="D1795" s="18" t="s">
        <v>2464</v>
      </c>
      <c r="E1795" s="18" t="s">
        <v>3241</v>
      </c>
      <c r="F1795" s="18">
        <v>9.33</v>
      </c>
      <c r="G1795" s="18" t="s">
        <v>2154</v>
      </c>
      <c r="H1795" s="18" t="s">
        <v>2155</v>
      </c>
    </row>
    <row r="1796" spans="1:8">
      <c r="A1796" s="19" t="s">
        <v>1343</v>
      </c>
      <c r="B1796" s="19" t="s">
        <v>4628</v>
      </c>
      <c r="C1796" s="19" t="s">
        <v>2269</v>
      </c>
      <c r="D1796" s="19" t="s">
        <v>2181</v>
      </c>
      <c r="E1796" s="19" t="s">
        <v>2938</v>
      </c>
      <c r="F1796" s="19">
        <v>7.17</v>
      </c>
      <c r="G1796" s="19" t="s">
        <v>2154</v>
      </c>
      <c r="H1796" s="19" t="s">
        <v>2155</v>
      </c>
    </row>
    <row r="1797" spans="1:8">
      <c r="A1797" s="18" t="s">
        <v>1343</v>
      </c>
      <c r="B1797" s="18" t="s">
        <v>4629</v>
      </c>
      <c r="C1797" s="18" t="s">
        <v>2273</v>
      </c>
      <c r="D1797" s="18" t="s">
        <v>2700</v>
      </c>
      <c r="E1797" s="18" t="s">
        <v>2897</v>
      </c>
      <c r="F1797" s="18">
        <v>9.11</v>
      </c>
      <c r="G1797" s="18" t="s">
        <v>2154</v>
      </c>
      <c r="H1797" s="18" t="s">
        <v>2155</v>
      </c>
    </row>
    <row r="1798" spans="1:8">
      <c r="A1798" s="19" t="s">
        <v>1343</v>
      </c>
      <c r="B1798" s="19" t="s">
        <v>4630</v>
      </c>
      <c r="C1798" s="19" t="s">
        <v>2277</v>
      </c>
      <c r="D1798" s="19" t="s">
        <v>2198</v>
      </c>
      <c r="E1798" s="19" t="s">
        <v>3844</v>
      </c>
      <c r="F1798" s="19">
        <v>8.6</v>
      </c>
      <c r="G1798" s="19" t="s">
        <v>2154</v>
      </c>
      <c r="H1798" s="19" t="s">
        <v>2171</v>
      </c>
    </row>
    <row r="1799" spans="1:8">
      <c r="A1799" s="18" t="s">
        <v>1343</v>
      </c>
      <c r="B1799" s="18" t="s">
        <v>4631</v>
      </c>
      <c r="C1799" s="18" t="s">
        <v>2281</v>
      </c>
      <c r="D1799" s="18" t="s">
        <v>2227</v>
      </c>
      <c r="E1799" s="18" t="s">
        <v>3245</v>
      </c>
      <c r="F1799" s="18">
        <v>8.57</v>
      </c>
      <c r="G1799" s="18" t="s">
        <v>2154</v>
      </c>
      <c r="H1799" s="18" t="s">
        <v>2187</v>
      </c>
    </row>
    <row r="1800" spans="1:8">
      <c r="A1800" s="19" t="s">
        <v>1343</v>
      </c>
      <c r="B1800" s="19" t="s">
        <v>4632</v>
      </c>
      <c r="C1800" s="19" t="s">
        <v>2396</v>
      </c>
      <c r="D1800" s="19" t="s">
        <v>3020</v>
      </c>
      <c r="E1800" s="19" t="s">
        <v>3181</v>
      </c>
      <c r="F1800" s="19">
        <v>8.44</v>
      </c>
      <c r="G1800" s="19" t="s">
        <v>2154</v>
      </c>
      <c r="H1800" s="19" t="s">
        <v>2171</v>
      </c>
    </row>
    <row r="1801" spans="1:8">
      <c r="A1801" s="18" t="s">
        <v>1343</v>
      </c>
      <c r="B1801" s="18" t="s">
        <v>4633</v>
      </c>
      <c r="C1801" s="18" t="s">
        <v>2289</v>
      </c>
      <c r="D1801" s="18" t="s">
        <v>2616</v>
      </c>
      <c r="E1801" s="18" t="s">
        <v>2617</v>
      </c>
      <c r="F1801" s="18">
        <v>6.7</v>
      </c>
      <c r="G1801" s="18" t="s">
        <v>2154</v>
      </c>
      <c r="H1801" s="18" t="s">
        <v>2155</v>
      </c>
    </row>
    <row r="1802" spans="1:8">
      <c r="A1802" s="19" t="s">
        <v>1343</v>
      </c>
      <c r="B1802" s="19" t="s">
        <v>4634</v>
      </c>
      <c r="C1802" s="19" t="s">
        <v>2293</v>
      </c>
      <c r="D1802" s="19" t="s">
        <v>2194</v>
      </c>
      <c r="E1802" s="19" t="s">
        <v>3132</v>
      </c>
      <c r="F1802" s="19">
        <v>10.87</v>
      </c>
      <c r="G1802" s="19" t="s">
        <v>2154</v>
      </c>
      <c r="H1802" s="19" t="s">
        <v>2160</v>
      </c>
    </row>
    <row r="1803" spans="1:8">
      <c r="A1803" s="18" t="s">
        <v>1343</v>
      </c>
      <c r="B1803" s="18" t="s">
        <v>4635</v>
      </c>
      <c r="C1803" s="18" t="s">
        <v>2296</v>
      </c>
      <c r="D1803" s="18" t="s">
        <v>2783</v>
      </c>
      <c r="E1803" s="18" t="s">
        <v>2701</v>
      </c>
      <c r="F1803" s="18">
        <v>9.23</v>
      </c>
      <c r="G1803" s="18" t="s">
        <v>2154</v>
      </c>
      <c r="H1803" s="18" t="s">
        <v>2171</v>
      </c>
    </row>
    <row r="1804" spans="1:8">
      <c r="A1804" s="19" t="s">
        <v>1343</v>
      </c>
      <c r="B1804" s="19" t="s">
        <v>4636</v>
      </c>
      <c r="C1804" s="19" t="s">
        <v>2300</v>
      </c>
      <c r="D1804" s="19" t="s">
        <v>2408</v>
      </c>
      <c r="E1804" s="19" t="s">
        <v>2738</v>
      </c>
      <c r="F1804" s="19">
        <v>8.6999999999999993</v>
      </c>
      <c r="G1804" s="19" t="s">
        <v>2154</v>
      </c>
      <c r="H1804" s="19" t="s">
        <v>2187</v>
      </c>
    </row>
    <row r="1805" spans="1:8">
      <c r="A1805" s="18" t="s">
        <v>1343</v>
      </c>
      <c r="B1805" s="18" t="s">
        <v>4637</v>
      </c>
      <c r="C1805" s="18" t="s">
        <v>2144</v>
      </c>
      <c r="D1805" s="18"/>
      <c r="E1805" s="18"/>
      <c r="F1805" s="18"/>
      <c r="G1805" s="18" t="s">
        <v>2163</v>
      </c>
      <c r="H1805" s="18" t="s">
        <v>2171</v>
      </c>
    </row>
    <row r="1806" spans="1:8">
      <c r="A1806" s="19" t="s">
        <v>1343</v>
      </c>
      <c r="B1806" s="19" t="s">
        <v>4638</v>
      </c>
      <c r="C1806" s="19" t="s">
        <v>3114</v>
      </c>
      <c r="D1806" s="19" t="s">
        <v>2231</v>
      </c>
      <c r="E1806" s="19" t="s">
        <v>4434</v>
      </c>
      <c r="F1806" s="19">
        <v>7.38</v>
      </c>
      <c r="G1806" s="19" t="s">
        <v>2154</v>
      </c>
      <c r="H1806" s="19" t="s">
        <v>2187</v>
      </c>
    </row>
    <row r="1807" spans="1:8">
      <c r="A1807" s="18" t="s">
        <v>1343</v>
      </c>
      <c r="B1807" s="18" t="s">
        <v>4639</v>
      </c>
      <c r="C1807" s="18" t="s">
        <v>2311</v>
      </c>
      <c r="D1807" s="18" t="s">
        <v>2652</v>
      </c>
      <c r="E1807" s="18" t="s">
        <v>4640</v>
      </c>
      <c r="F1807" s="18">
        <v>11.14</v>
      </c>
      <c r="G1807" s="18" t="s">
        <v>2154</v>
      </c>
      <c r="H1807" s="18" t="s">
        <v>2187</v>
      </c>
    </row>
    <row r="1808" spans="1:8">
      <c r="A1808" s="19" t="s">
        <v>234</v>
      </c>
      <c r="B1808" s="19" t="s">
        <v>4641</v>
      </c>
      <c r="C1808" s="19" t="s">
        <v>2038</v>
      </c>
      <c r="D1808" s="19" t="s">
        <v>2572</v>
      </c>
      <c r="E1808" s="19" t="s">
        <v>2461</v>
      </c>
      <c r="F1808" s="19">
        <v>8.2200000000000006</v>
      </c>
      <c r="G1808" s="19" t="s">
        <v>2154</v>
      </c>
      <c r="H1808" s="19" t="s">
        <v>2187</v>
      </c>
    </row>
    <row r="1809" spans="1:8">
      <c r="A1809" s="18" t="s">
        <v>234</v>
      </c>
      <c r="B1809" s="18" t="s">
        <v>4642</v>
      </c>
      <c r="C1809" s="18" t="s">
        <v>2157</v>
      </c>
      <c r="D1809" s="18" t="s">
        <v>2340</v>
      </c>
      <c r="E1809" s="18" t="s">
        <v>2391</v>
      </c>
      <c r="F1809" s="18">
        <v>7.24</v>
      </c>
      <c r="G1809" s="18" t="s">
        <v>2154</v>
      </c>
      <c r="H1809" s="18" t="s">
        <v>2171</v>
      </c>
    </row>
    <row r="1810" spans="1:8">
      <c r="A1810" s="19" t="s">
        <v>234</v>
      </c>
      <c r="B1810" s="19" t="s">
        <v>4643</v>
      </c>
      <c r="C1810" s="19" t="s">
        <v>2162</v>
      </c>
      <c r="D1810" s="19" t="s">
        <v>2835</v>
      </c>
      <c r="E1810" s="19" t="s">
        <v>2706</v>
      </c>
      <c r="F1810" s="19">
        <v>6.84</v>
      </c>
      <c r="G1810" s="19" t="s">
        <v>2154</v>
      </c>
      <c r="H1810" s="19" t="s">
        <v>2155</v>
      </c>
    </row>
    <row r="1811" spans="1:8">
      <c r="A1811" s="18" t="s">
        <v>234</v>
      </c>
      <c r="B1811" s="18" t="s">
        <v>4644</v>
      </c>
      <c r="C1811" s="18" t="s">
        <v>1937</v>
      </c>
      <c r="D1811" s="18" t="s">
        <v>3020</v>
      </c>
      <c r="E1811" s="18" t="s">
        <v>3181</v>
      </c>
      <c r="F1811" s="18">
        <v>8.81</v>
      </c>
      <c r="G1811" s="18" t="s">
        <v>2154</v>
      </c>
      <c r="H1811" s="18" t="s">
        <v>2160</v>
      </c>
    </row>
    <row r="1812" spans="1:8">
      <c r="A1812" s="19" t="s">
        <v>234</v>
      </c>
      <c r="B1812" s="19" t="s">
        <v>4645</v>
      </c>
      <c r="C1812" s="19" t="s">
        <v>2168</v>
      </c>
      <c r="D1812" s="19" t="s">
        <v>3010</v>
      </c>
      <c r="E1812" s="19" t="s">
        <v>3011</v>
      </c>
      <c r="F1812" s="19">
        <v>8.83</v>
      </c>
      <c r="G1812" s="19" t="s">
        <v>2154</v>
      </c>
      <c r="H1812" s="19" t="s">
        <v>2160</v>
      </c>
    </row>
    <row r="1813" spans="1:8">
      <c r="A1813" s="18" t="s">
        <v>234</v>
      </c>
      <c r="B1813" s="18" t="s">
        <v>4646</v>
      </c>
      <c r="C1813" s="18" t="s">
        <v>2173</v>
      </c>
      <c r="D1813" s="18" t="s">
        <v>2373</v>
      </c>
      <c r="E1813" s="18" t="s">
        <v>3823</v>
      </c>
      <c r="F1813" s="18">
        <v>8.01</v>
      </c>
      <c r="G1813" s="18" t="s">
        <v>2154</v>
      </c>
      <c r="H1813" s="18" t="s">
        <v>2155</v>
      </c>
    </row>
    <row r="1814" spans="1:8">
      <c r="A1814" s="19" t="s">
        <v>234</v>
      </c>
      <c r="B1814" s="19" t="s">
        <v>4647</v>
      </c>
      <c r="C1814" s="19" t="s">
        <v>2177</v>
      </c>
      <c r="D1814" s="19" t="s">
        <v>2770</v>
      </c>
      <c r="E1814" s="19" t="s">
        <v>3425</v>
      </c>
      <c r="F1814" s="19">
        <v>7.93</v>
      </c>
      <c r="G1814" s="19" t="s">
        <v>2154</v>
      </c>
      <c r="H1814" s="19" t="s">
        <v>2171</v>
      </c>
    </row>
    <row r="1815" spans="1:8">
      <c r="A1815" s="18" t="s">
        <v>234</v>
      </c>
      <c r="B1815" s="18" t="s">
        <v>4648</v>
      </c>
      <c r="C1815" s="18" t="s">
        <v>1945</v>
      </c>
      <c r="D1815" s="18" t="s">
        <v>2449</v>
      </c>
      <c r="E1815" s="18" t="s">
        <v>3071</v>
      </c>
      <c r="F1815" s="18">
        <v>9.73</v>
      </c>
      <c r="G1815" s="18" t="s">
        <v>2154</v>
      </c>
      <c r="H1815" s="18" t="s">
        <v>2155</v>
      </c>
    </row>
    <row r="1816" spans="1:8">
      <c r="A1816" s="19" t="s">
        <v>234</v>
      </c>
      <c r="B1816" s="19" t="s">
        <v>4649</v>
      </c>
      <c r="C1816" s="19" t="s">
        <v>2184</v>
      </c>
      <c r="D1816" s="19" t="s">
        <v>2470</v>
      </c>
      <c r="E1816" s="19" t="s">
        <v>2434</v>
      </c>
      <c r="F1816" s="19">
        <v>8.64</v>
      </c>
      <c r="G1816" s="19" t="s">
        <v>2154</v>
      </c>
      <c r="H1816" s="19" t="s">
        <v>2160</v>
      </c>
    </row>
    <row r="1817" spans="1:8">
      <c r="A1817" s="18" t="s">
        <v>234</v>
      </c>
      <c r="B1817" s="18" t="s">
        <v>4650</v>
      </c>
      <c r="C1817" s="18" t="s">
        <v>2189</v>
      </c>
      <c r="D1817" s="18" t="s">
        <v>3051</v>
      </c>
      <c r="E1817" s="18" t="s">
        <v>2595</v>
      </c>
      <c r="F1817" s="18">
        <v>7.13</v>
      </c>
      <c r="G1817" s="18" t="s">
        <v>2154</v>
      </c>
      <c r="H1817" s="18" t="s">
        <v>2171</v>
      </c>
    </row>
    <row r="1818" spans="1:8">
      <c r="A1818" s="19" t="s">
        <v>234</v>
      </c>
      <c r="B1818" s="19" t="s">
        <v>4651</v>
      </c>
      <c r="C1818" s="19" t="s">
        <v>2193</v>
      </c>
      <c r="D1818" s="19" t="s">
        <v>2437</v>
      </c>
      <c r="E1818" s="19" t="s">
        <v>2455</v>
      </c>
      <c r="F1818" s="19">
        <v>10.34</v>
      </c>
      <c r="G1818" s="19" t="s">
        <v>2154</v>
      </c>
      <c r="H1818" s="19" t="s">
        <v>2160</v>
      </c>
    </row>
    <row r="1819" spans="1:8">
      <c r="A1819" s="18" t="s">
        <v>234</v>
      </c>
      <c r="B1819" s="18" t="s">
        <v>4652</v>
      </c>
      <c r="C1819" s="18" t="s">
        <v>2197</v>
      </c>
      <c r="D1819" s="18" t="s">
        <v>2319</v>
      </c>
      <c r="E1819" s="18" t="s">
        <v>4653</v>
      </c>
      <c r="F1819" s="18">
        <v>11.45</v>
      </c>
      <c r="G1819" s="18" t="s">
        <v>2154</v>
      </c>
      <c r="H1819" s="18" t="s">
        <v>2171</v>
      </c>
    </row>
    <row r="1820" spans="1:8">
      <c r="A1820" s="19" t="s">
        <v>234</v>
      </c>
      <c r="B1820" s="19" t="s">
        <v>4654</v>
      </c>
      <c r="C1820" s="19" t="s">
        <v>1819</v>
      </c>
      <c r="D1820" s="19"/>
      <c r="E1820" s="19"/>
      <c r="F1820" s="19"/>
      <c r="G1820" s="19" t="s">
        <v>2343</v>
      </c>
      <c r="H1820" s="19" t="s">
        <v>2155</v>
      </c>
    </row>
    <row r="1821" spans="1:8">
      <c r="A1821" s="18" t="s">
        <v>234</v>
      </c>
      <c r="B1821" s="18" t="s">
        <v>4655</v>
      </c>
      <c r="C1821" s="18" t="s">
        <v>2204</v>
      </c>
      <c r="D1821" s="18" t="s">
        <v>3253</v>
      </c>
      <c r="E1821" s="18" t="s">
        <v>2931</v>
      </c>
      <c r="F1821" s="18">
        <v>11.4</v>
      </c>
      <c r="G1821" s="18" t="s">
        <v>2154</v>
      </c>
      <c r="H1821" s="18" t="s">
        <v>2155</v>
      </c>
    </row>
    <row r="1822" spans="1:8">
      <c r="A1822" s="19" t="s">
        <v>234</v>
      </c>
      <c r="B1822" s="19" t="s">
        <v>4656</v>
      </c>
      <c r="C1822" s="19" t="s">
        <v>1843</v>
      </c>
      <c r="D1822" s="19" t="s">
        <v>2849</v>
      </c>
      <c r="E1822" s="19" t="s">
        <v>2926</v>
      </c>
      <c r="F1822" s="19">
        <v>9.1999999999999993</v>
      </c>
      <c r="G1822" s="19" t="s">
        <v>2154</v>
      </c>
      <c r="H1822" s="19" t="s">
        <v>2171</v>
      </c>
    </row>
    <row r="1823" spans="1:8">
      <c r="A1823" s="18" t="s">
        <v>234</v>
      </c>
      <c r="B1823" s="18" t="s">
        <v>4657</v>
      </c>
      <c r="C1823" s="18" t="s">
        <v>2211</v>
      </c>
      <c r="D1823" s="18" t="s">
        <v>2632</v>
      </c>
      <c r="E1823" s="18" t="s">
        <v>2633</v>
      </c>
      <c r="F1823" s="18">
        <v>10.17</v>
      </c>
      <c r="G1823" s="18" t="s">
        <v>2154</v>
      </c>
      <c r="H1823" s="18" t="s">
        <v>2171</v>
      </c>
    </row>
    <row r="1824" spans="1:8">
      <c r="A1824" s="19" t="s">
        <v>234</v>
      </c>
      <c r="B1824" s="19" t="s">
        <v>4658</v>
      </c>
      <c r="C1824" s="19" t="s">
        <v>2215</v>
      </c>
      <c r="D1824" s="19" t="s">
        <v>2611</v>
      </c>
      <c r="E1824" s="19" t="s">
        <v>2612</v>
      </c>
      <c r="F1824" s="19">
        <v>7.3</v>
      </c>
      <c r="G1824" s="19" t="s">
        <v>2154</v>
      </c>
      <c r="H1824" s="19" t="s">
        <v>2160</v>
      </c>
    </row>
    <row r="1825" spans="1:8">
      <c r="A1825" s="18" t="s">
        <v>234</v>
      </c>
      <c r="B1825" s="18" t="s">
        <v>4659</v>
      </c>
      <c r="C1825" s="18" t="s">
        <v>2219</v>
      </c>
      <c r="D1825" s="18" t="s">
        <v>2408</v>
      </c>
      <c r="E1825" s="18" t="s">
        <v>2738</v>
      </c>
      <c r="F1825" s="18">
        <v>8.25</v>
      </c>
      <c r="G1825" s="18" t="s">
        <v>2154</v>
      </c>
      <c r="H1825" s="18" t="s">
        <v>2160</v>
      </c>
    </row>
    <row r="1826" spans="1:8">
      <c r="A1826" s="19" t="s">
        <v>234</v>
      </c>
      <c r="B1826" s="19" t="s">
        <v>4660</v>
      </c>
      <c r="C1826" s="19" t="s">
        <v>2222</v>
      </c>
      <c r="D1826" s="19" t="s">
        <v>2572</v>
      </c>
      <c r="E1826" s="19" t="s">
        <v>2573</v>
      </c>
      <c r="F1826" s="19">
        <v>11.07</v>
      </c>
      <c r="G1826" s="19" t="s">
        <v>2154</v>
      </c>
      <c r="H1826" s="19" t="s">
        <v>2187</v>
      </c>
    </row>
    <row r="1827" spans="1:8">
      <c r="A1827" s="18" t="s">
        <v>234</v>
      </c>
      <c r="B1827" s="18" t="s">
        <v>4661</v>
      </c>
      <c r="C1827" s="18" t="s">
        <v>2226</v>
      </c>
      <c r="D1827" s="18" t="s">
        <v>2261</v>
      </c>
      <c r="E1827" s="18" t="s">
        <v>3288</v>
      </c>
      <c r="F1827" s="18">
        <v>9.93</v>
      </c>
      <c r="G1827" s="18" t="s">
        <v>2154</v>
      </c>
      <c r="H1827" s="18" t="s">
        <v>2171</v>
      </c>
    </row>
    <row r="1828" spans="1:8">
      <c r="A1828" s="19" t="s">
        <v>234</v>
      </c>
      <c r="B1828" s="19" t="s">
        <v>4662</v>
      </c>
      <c r="C1828" s="19" t="s">
        <v>2230</v>
      </c>
      <c r="D1828" s="19" t="s">
        <v>2297</v>
      </c>
      <c r="E1828" s="19" t="s">
        <v>2998</v>
      </c>
      <c r="F1828" s="19">
        <v>9.2899999999999991</v>
      </c>
      <c r="G1828" s="19" t="s">
        <v>2154</v>
      </c>
      <c r="H1828" s="19" t="s">
        <v>2155</v>
      </c>
    </row>
    <row r="1829" spans="1:8">
      <c r="A1829" s="18" t="s">
        <v>234</v>
      </c>
      <c r="B1829" s="18" t="s">
        <v>4663</v>
      </c>
      <c r="C1829" s="18" t="s">
        <v>2234</v>
      </c>
      <c r="D1829" s="18" t="s">
        <v>2194</v>
      </c>
      <c r="E1829" s="18" t="s">
        <v>3132</v>
      </c>
      <c r="F1829" s="18">
        <v>10.84</v>
      </c>
      <c r="G1829" s="18" t="s">
        <v>2154</v>
      </c>
      <c r="H1829" s="18" t="s">
        <v>2155</v>
      </c>
    </row>
    <row r="1830" spans="1:8">
      <c r="A1830" s="19" t="s">
        <v>234</v>
      </c>
      <c r="B1830" s="19" t="s">
        <v>4664</v>
      </c>
      <c r="C1830" s="19" t="s">
        <v>2238</v>
      </c>
      <c r="D1830" s="19" t="s">
        <v>2457</v>
      </c>
      <c r="E1830" s="19" t="s">
        <v>2762</v>
      </c>
      <c r="F1830" s="19">
        <v>9.16</v>
      </c>
      <c r="G1830" s="19" t="s">
        <v>2154</v>
      </c>
      <c r="H1830" s="19" t="s">
        <v>2187</v>
      </c>
    </row>
    <row r="1831" spans="1:8">
      <c r="A1831" s="18" t="s">
        <v>234</v>
      </c>
      <c r="B1831" s="18" t="s">
        <v>4665</v>
      </c>
      <c r="C1831" s="18" t="s">
        <v>2241</v>
      </c>
      <c r="D1831" s="18" t="s">
        <v>2257</v>
      </c>
      <c r="E1831" s="18" t="s">
        <v>3013</v>
      </c>
      <c r="F1831" s="18">
        <v>7.15</v>
      </c>
      <c r="G1831" s="18" t="s">
        <v>2154</v>
      </c>
      <c r="H1831" s="18" t="s">
        <v>2187</v>
      </c>
    </row>
    <row r="1832" spans="1:8">
      <c r="A1832" s="19" t="s">
        <v>234</v>
      </c>
      <c r="B1832" s="19" t="s">
        <v>4666</v>
      </c>
      <c r="C1832" s="19" t="s">
        <v>2245</v>
      </c>
      <c r="D1832" s="19" t="s">
        <v>2464</v>
      </c>
      <c r="E1832" s="19" t="s">
        <v>2804</v>
      </c>
      <c r="F1832" s="19">
        <v>10.36</v>
      </c>
      <c r="G1832" s="19" t="s">
        <v>2154</v>
      </c>
      <c r="H1832" s="19" t="s">
        <v>2171</v>
      </c>
    </row>
    <row r="1833" spans="1:8">
      <c r="A1833" s="18" t="s">
        <v>234</v>
      </c>
      <c r="B1833" s="18" t="s">
        <v>4667</v>
      </c>
      <c r="C1833" s="18" t="s">
        <v>2249</v>
      </c>
      <c r="D1833" s="18" t="s">
        <v>2246</v>
      </c>
      <c r="E1833" s="18" t="s">
        <v>2247</v>
      </c>
      <c r="F1833" s="18">
        <v>7.38</v>
      </c>
      <c r="G1833" s="18" t="s">
        <v>2154</v>
      </c>
      <c r="H1833" s="18" t="s">
        <v>2171</v>
      </c>
    </row>
    <row r="1834" spans="1:8">
      <c r="A1834" s="19" t="s">
        <v>234</v>
      </c>
      <c r="B1834" s="19" t="s">
        <v>4668</v>
      </c>
      <c r="C1834" s="19" t="s">
        <v>2252</v>
      </c>
      <c r="D1834" s="19" t="s">
        <v>2278</v>
      </c>
      <c r="E1834" s="19" t="s">
        <v>3195</v>
      </c>
      <c r="F1834" s="19">
        <v>11.07</v>
      </c>
      <c r="G1834" s="19" t="s">
        <v>2154</v>
      </c>
      <c r="H1834" s="19" t="s">
        <v>2171</v>
      </c>
    </row>
    <row r="1835" spans="1:8">
      <c r="A1835" s="18" t="s">
        <v>234</v>
      </c>
      <c r="B1835" s="18" t="s">
        <v>4669</v>
      </c>
      <c r="C1835" s="18" t="s">
        <v>2376</v>
      </c>
      <c r="D1835" s="18"/>
      <c r="E1835" s="18"/>
      <c r="F1835" s="18"/>
      <c r="G1835" s="18" t="s">
        <v>2220</v>
      </c>
      <c r="H1835" s="18" t="s">
        <v>2187</v>
      </c>
    </row>
    <row r="1836" spans="1:8">
      <c r="A1836" s="19" t="s">
        <v>234</v>
      </c>
      <c r="B1836" s="19" t="s">
        <v>4670</v>
      </c>
      <c r="C1836" s="19" t="s">
        <v>2260</v>
      </c>
      <c r="D1836" s="19" t="s">
        <v>2437</v>
      </c>
      <c r="E1836" s="19" t="s">
        <v>2302</v>
      </c>
      <c r="F1836" s="19">
        <v>7.01</v>
      </c>
      <c r="G1836" s="19" t="s">
        <v>2154</v>
      </c>
      <c r="H1836" s="19" t="s">
        <v>2187</v>
      </c>
    </row>
    <row r="1837" spans="1:8">
      <c r="A1837" s="18" t="s">
        <v>234</v>
      </c>
      <c r="B1837" s="18" t="s">
        <v>4671</v>
      </c>
      <c r="C1837" s="18" t="s">
        <v>2264</v>
      </c>
      <c r="D1837" s="18" t="s">
        <v>3010</v>
      </c>
      <c r="E1837" s="18" t="s">
        <v>2360</v>
      </c>
      <c r="F1837" s="18">
        <v>10.36</v>
      </c>
      <c r="G1837" s="18" t="s">
        <v>2154</v>
      </c>
      <c r="H1837" s="18" t="s">
        <v>2160</v>
      </c>
    </row>
    <row r="1838" spans="1:8">
      <c r="A1838" s="19" t="s">
        <v>234</v>
      </c>
      <c r="B1838" s="19" t="s">
        <v>4672</v>
      </c>
      <c r="C1838" s="19" t="s">
        <v>4673</v>
      </c>
      <c r="D1838" s="19" t="s">
        <v>2494</v>
      </c>
      <c r="E1838" s="19" t="s">
        <v>3107</v>
      </c>
      <c r="F1838" s="19">
        <v>9.2100000000000009</v>
      </c>
      <c r="G1838" s="19" t="s">
        <v>2154</v>
      </c>
      <c r="H1838" s="19" t="s">
        <v>2160</v>
      </c>
    </row>
    <row r="1839" spans="1:8">
      <c r="A1839" s="18" t="s">
        <v>234</v>
      </c>
      <c r="B1839" s="18" t="s">
        <v>4674</v>
      </c>
      <c r="C1839" s="18" t="s">
        <v>2269</v>
      </c>
      <c r="D1839" s="18" t="s">
        <v>2619</v>
      </c>
      <c r="E1839" s="18" t="s">
        <v>3033</v>
      </c>
      <c r="F1839" s="18">
        <v>10.93</v>
      </c>
      <c r="G1839" s="18" t="s">
        <v>2154</v>
      </c>
      <c r="H1839" s="18" t="s">
        <v>2187</v>
      </c>
    </row>
    <row r="1840" spans="1:8">
      <c r="A1840" s="19" t="s">
        <v>234</v>
      </c>
      <c r="B1840" s="19" t="s">
        <v>4675</v>
      </c>
      <c r="C1840" s="19" t="s">
        <v>2273</v>
      </c>
      <c r="D1840" s="19" t="s">
        <v>2597</v>
      </c>
      <c r="E1840" s="19" t="s">
        <v>2576</v>
      </c>
      <c r="F1840" s="19">
        <v>9.31</v>
      </c>
      <c r="G1840" s="19" t="s">
        <v>2154</v>
      </c>
      <c r="H1840" s="19" t="s">
        <v>2171</v>
      </c>
    </row>
    <row r="1841" spans="1:8">
      <c r="A1841" s="18" t="s">
        <v>234</v>
      </c>
      <c r="B1841" s="18" t="s">
        <v>4676</v>
      </c>
      <c r="C1841" s="18" t="s">
        <v>2277</v>
      </c>
      <c r="D1841" s="18" t="s">
        <v>2301</v>
      </c>
      <c r="E1841" s="18" t="s">
        <v>2438</v>
      </c>
      <c r="F1841" s="18">
        <v>7.27</v>
      </c>
      <c r="G1841" s="18" t="s">
        <v>2154</v>
      </c>
      <c r="H1841" s="18" t="s">
        <v>2155</v>
      </c>
    </row>
    <row r="1842" spans="1:8">
      <c r="A1842" s="19" t="s">
        <v>234</v>
      </c>
      <c r="B1842" s="19" t="s">
        <v>4677</v>
      </c>
      <c r="C1842" s="19" t="s">
        <v>2281</v>
      </c>
      <c r="D1842" s="19" t="s">
        <v>2567</v>
      </c>
      <c r="E1842" s="19" t="s">
        <v>2946</v>
      </c>
      <c r="F1842" s="19">
        <v>11.06</v>
      </c>
      <c r="G1842" s="19" t="s">
        <v>2154</v>
      </c>
      <c r="H1842" s="19" t="s">
        <v>2155</v>
      </c>
    </row>
    <row r="1843" spans="1:8">
      <c r="A1843" s="18" t="s">
        <v>234</v>
      </c>
      <c r="B1843" s="18" t="s">
        <v>4678</v>
      </c>
      <c r="C1843" s="18" t="s">
        <v>2396</v>
      </c>
      <c r="D1843" s="18" t="s">
        <v>2951</v>
      </c>
      <c r="E1843" s="18" t="s">
        <v>2952</v>
      </c>
      <c r="F1843" s="18">
        <v>8.9499999999999993</v>
      </c>
      <c r="G1843" s="18" t="s">
        <v>2154</v>
      </c>
      <c r="H1843" s="18" t="s">
        <v>2160</v>
      </c>
    </row>
    <row r="1844" spans="1:8">
      <c r="A1844" s="19" t="s">
        <v>234</v>
      </c>
      <c r="B1844" s="19" t="s">
        <v>4679</v>
      </c>
      <c r="C1844" s="19" t="s">
        <v>2289</v>
      </c>
      <c r="D1844" s="19" t="s">
        <v>2979</v>
      </c>
      <c r="E1844" s="19" t="s">
        <v>2861</v>
      </c>
      <c r="F1844" s="19">
        <v>8.8800000000000008</v>
      </c>
      <c r="G1844" s="19" t="s">
        <v>2154</v>
      </c>
      <c r="H1844" s="19" t="s">
        <v>2171</v>
      </c>
    </row>
    <row r="1845" spans="1:8">
      <c r="A1845" s="18" t="s">
        <v>234</v>
      </c>
      <c r="B1845" s="18" t="s">
        <v>4680</v>
      </c>
      <c r="C1845" s="18" t="s">
        <v>2293</v>
      </c>
      <c r="D1845" s="18" t="s">
        <v>2561</v>
      </c>
      <c r="E1845" s="18" t="s">
        <v>3235</v>
      </c>
      <c r="F1845" s="18">
        <v>9.18</v>
      </c>
      <c r="G1845" s="18" t="s">
        <v>2154</v>
      </c>
      <c r="H1845" s="18" t="s">
        <v>2160</v>
      </c>
    </row>
    <row r="1846" spans="1:8">
      <c r="A1846" s="19" t="s">
        <v>234</v>
      </c>
      <c r="B1846" s="19" t="s">
        <v>4681</v>
      </c>
      <c r="C1846" s="19" t="s">
        <v>2296</v>
      </c>
      <c r="D1846" s="19" t="s">
        <v>2734</v>
      </c>
      <c r="E1846" s="19" t="s">
        <v>2195</v>
      </c>
      <c r="F1846" s="19">
        <v>10.06</v>
      </c>
      <c r="G1846" s="19" t="s">
        <v>2154</v>
      </c>
      <c r="H1846" s="19" t="s">
        <v>2155</v>
      </c>
    </row>
    <row r="1847" spans="1:8">
      <c r="A1847" s="18" t="s">
        <v>234</v>
      </c>
      <c r="B1847" s="18" t="s">
        <v>4682</v>
      </c>
      <c r="C1847" s="18" t="s">
        <v>2300</v>
      </c>
      <c r="D1847" s="18" t="s">
        <v>2503</v>
      </c>
      <c r="E1847" s="18" t="s">
        <v>2271</v>
      </c>
      <c r="F1847" s="18">
        <v>7</v>
      </c>
      <c r="G1847" s="18" t="s">
        <v>2154</v>
      </c>
      <c r="H1847" s="18" t="s">
        <v>2160</v>
      </c>
    </row>
    <row r="1848" spans="1:8">
      <c r="A1848" s="19" t="s">
        <v>234</v>
      </c>
      <c r="B1848" s="19" t="s">
        <v>4683</v>
      </c>
      <c r="C1848" s="19" t="s">
        <v>2144</v>
      </c>
      <c r="D1848" s="19" t="s">
        <v>2611</v>
      </c>
      <c r="E1848" s="19" t="s">
        <v>2217</v>
      </c>
      <c r="F1848" s="19">
        <v>9.0399999999999991</v>
      </c>
      <c r="G1848" s="19" t="s">
        <v>2154</v>
      </c>
      <c r="H1848" s="19" t="s">
        <v>2160</v>
      </c>
    </row>
    <row r="1849" spans="1:8">
      <c r="A1849" s="18" t="s">
        <v>234</v>
      </c>
      <c r="B1849" s="18" t="s">
        <v>4684</v>
      </c>
      <c r="C1849" s="18" t="s">
        <v>2307</v>
      </c>
      <c r="D1849" s="18" t="s">
        <v>2761</v>
      </c>
      <c r="E1849" s="18" t="s">
        <v>3518</v>
      </c>
      <c r="F1849" s="18">
        <v>10.45</v>
      </c>
      <c r="G1849" s="18" t="s">
        <v>2154</v>
      </c>
      <c r="H1849" s="18" t="s">
        <v>2160</v>
      </c>
    </row>
    <row r="1850" spans="1:8">
      <c r="A1850" s="19" t="s">
        <v>234</v>
      </c>
      <c r="B1850" s="19" t="s">
        <v>4685</v>
      </c>
      <c r="C1850" s="19" t="s">
        <v>2311</v>
      </c>
      <c r="D1850" s="19"/>
      <c r="E1850" s="19"/>
      <c r="F1850" s="19"/>
      <c r="G1850" s="19" t="s">
        <v>2220</v>
      </c>
      <c r="H1850" s="19" t="s">
        <v>2160</v>
      </c>
    </row>
    <row r="1851" spans="1:8">
      <c r="A1851" s="18" t="s">
        <v>536</v>
      </c>
      <c r="B1851" s="18" t="s">
        <v>4686</v>
      </c>
      <c r="C1851" s="18" t="s">
        <v>2038</v>
      </c>
      <c r="D1851" s="18" t="s">
        <v>2770</v>
      </c>
      <c r="E1851" s="18" t="s">
        <v>2819</v>
      </c>
      <c r="F1851" s="18">
        <v>9.41</v>
      </c>
      <c r="G1851" s="18" t="s">
        <v>2154</v>
      </c>
      <c r="H1851" s="18" t="s">
        <v>2187</v>
      </c>
    </row>
    <row r="1852" spans="1:8">
      <c r="A1852" s="19" t="s">
        <v>536</v>
      </c>
      <c r="B1852" s="19" t="s">
        <v>4687</v>
      </c>
      <c r="C1852" s="19" t="s">
        <v>2157</v>
      </c>
      <c r="D1852" s="19" t="s">
        <v>2428</v>
      </c>
      <c r="E1852" s="19" t="s">
        <v>4688</v>
      </c>
      <c r="F1852" s="19">
        <v>6.74</v>
      </c>
      <c r="G1852" s="19" t="s">
        <v>2154</v>
      </c>
      <c r="H1852" s="19" t="s">
        <v>2155</v>
      </c>
    </row>
    <row r="1853" spans="1:8">
      <c r="A1853" s="18" t="s">
        <v>536</v>
      </c>
      <c r="B1853" s="18" t="s">
        <v>4689</v>
      </c>
      <c r="C1853" s="18" t="s">
        <v>2162</v>
      </c>
      <c r="D1853" s="18" t="s">
        <v>2513</v>
      </c>
      <c r="E1853" s="18" t="s">
        <v>2267</v>
      </c>
      <c r="F1853" s="18">
        <v>10.57</v>
      </c>
      <c r="G1853" s="18" t="s">
        <v>2154</v>
      </c>
      <c r="H1853" s="18" t="s">
        <v>2155</v>
      </c>
    </row>
    <row r="1854" spans="1:8">
      <c r="A1854" s="19" t="s">
        <v>536</v>
      </c>
      <c r="B1854" s="19" t="s">
        <v>4690</v>
      </c>
      <c r="C1854" s="19" t="s">
        <v>1937</v>
      </c>
      <c r="D1854" s="19" t="s">
        <v>2491</v>
      </c>
      <c r="E1854" s="19" t="s">
        <v>2477</v>
      </c>
      <c r="F1854" s="19">
        <v>9.7899999999999991</v>
      </c>
      <c r="G1854" s="19" t="s">
        <v>2154</v>
      </c>
      <c r="H1854" s="19" t="s">
        <v>2160</v>
      </c>
    </row>
    <row r="1855" spans="1:8">
      <c r="A1855" s="18" t="s">
        <v>536</v>
      </c>
      <c r="B1855" s="18" t="s">
        <v>4691</v>
      </c>
      <c r="C1855" s="18" t="s">
        <v>2168</v>
      </c>
      <c r="D1855" s="18" t="s">
        <v>2231</v>
      </c>
      <c r="E1855" s="18" t="s">
        <v>2232</v>
      </c>
      <c r="F1855" s="18">
        <v>10.97</v>
      </c>
      <c r="G1855" s="18" t="s">
        <v>2154</v>
      </c>
      <c r="H1855" s="18" t="s">
        <v>2171</v>
      </c>
    </row>
    <row r="1856" spans="1:8">
      <c r="A1856" s="19" t="s">
        <v>536</v>
      </c>
      <c r="B1856" s="19" t="s">
        <v>4692</v>
      </c>
      <c r="C1856" s="19" t="s">
        <v>2173</v>
      </c>
      <c r="D1856" s="19" t="s">
        <v>2223</v>
      </c>
      <c r="E1856" s="19" t="s">
        <v>3891</v>
      </c>
      <c r="F1856" s="19">
        <v>7.85</v>
      </c>
      <c r="G1856" s="19" t="s">
        <v>2154</v>
      </c>
      <c r="H1856" s="19" t="s">
        <v>2160</v>
      </c>
    </row>
    <row r="1857" spans="1:8">
      <c r="A1857" s="18" t="s">
        <v>536</v>
      </c>
      <c r="B1857" s="18" t="s">
        <v>4693</v>
      </c>
      <c r="C1857" s="18" t="s">
        <v>2177</v>
      </c>
      <c r="D1857" s="18" t="s">
        <v>2640</v>
      </c>
      <c r="E1857" s="18" t="s">
        <v>2724</v>
      </c>
      <c r="F1857" s="18">
        <v>8.07</v>
      </c>
      <c r="G1857" s="18" t="s">
        <v>2154</v>
      </c>
      <c r="H1857" s="18" t="s">
        <v>2171</v>
      </c>
    </row>
    <row r="1858" spans="1:8">
      <c r="A1858" s="19" t="s">
        <v>536</v>
      </c>
      <c r="B1858" s="19" t="s">
        <v>4694</v>
      </c>
      <c r="C1858" s="19" t="s">
        <v>1945</v>
      </c>
      <c r="D1858" s="19" t="s">
        <v>3120</v>
      </c>
      <c r="E1858" s="19" t="s">
        <v>2404</v>
      </c>
      <c r="F1858" s="19">
        <v>9.23</v>
      </c>
      <c r="G1858" s="19" t="s">
        <v>2154</v>
      </c>
      <c r="H1858" s="19" t="s">
        <v>2160</v>
      </c>
    </row>
    <row r="1859" spans="1:8">
      <c r="A1859" s="18" t="s">
        <v>536</v>
      </c>
      <c r="B1859" s="18" t="s">
        <v>4695</v>
      </c>
      <c r="C1859" s="18" t="s">
        <v>2184</v>
      </c>
      <c r="D1859" s="18" t="s">
        <v>2491</v>
      </c>
      <c r="E1859" s="18" t="s">
        <v>2492</v>
      </c>
      <c r="F1859" s="18">
        <v>7.24</v>
      </c>
      <c r="G1859" s="18" t="s">
        <v>2154</v>
      </c>
      <c r="H1859" s="18" t="s">
        <v>2155</v>
      </c>
    </row>
    <row r="1860" spans="1:8">
      <c r="A1860" s="19" t="s">
        <v>536</v>
      </c>
      <c r="B1860" s="19" t="s">
        <v>4696</v>
      </c>
      <c r="C1860" s="19" t="s">
        <v>2189</v>
      </c>
      <c r="D1860" s="19" t="s">
        <v>2801</v>
      </c>
      <c r="E1860" s="19" t="s">
        <v>2414</v>
      </c>
      <c r="F1860" s="19">
        <v>6.55</v>
      </c>
      <c r="G1860" s="19" t="s">
        <v>2154</v>
      </c>
      <c r="H1860" s="19" t="s">
        <v>2155</v>
      </c>
    </row>
    <row r="1861" spans="1:8">
      <c r="A1861" s="18" t="s">
        <v>536</v>
      </c>
      <c r="B1861" s="18" t="s">
        <v>4697</v>
      </c>
      <c r="C1861" s="18" t="s">
        <v>2193</v>
      </c>
      <c r="D1861" s="18" t="s">
        <v>2297</v>
      </c>
      <c r="E1861" s="18" t="s">
        <v>3543</v>
      </c>
      <c r="F1861" s="18">
        <v>6.52</v>
      </c>
      <c r="G1861" s="18" t="s">
        <v>2154</v>
      </c>
      <c r="H1861" s="18" t="s">
        <v>2155</v>
      </c>
    </row>
    <row r="1862" spans="1:8">
      <c r="A1862" s="19" t="s">
        <v>536</v>
      </c>
      <c r="B1862" s="19" t="s">
        <v>4698</v>
      </c>
      <c r="C1862" s="19" t="s">
        <v>2197</v>
      </c>
      <c r="D1862" s="19" t="s">
        <v>2216</v>
      </c>
      <c r="E1862" s="19" t="s">
        <v>2612</v>
      </c>
      <c r="F1862" s="19">
        <v>6.57</v>
      </c>
      <c r="G1862" s="19" t="s">
        <v>2154</v>
      </c>
      <c r="H1862" s="19" t="s">
        <v>2171</v>
      </c>
    </row>
    <row r="1863" spans="1:8">
      <c r="A1863" s="18" t="s">
        <v>536</v>
      </c>
      <c r="B1863" s="18" t="s">
        <v>4699</v>
      </c>
      <c r="C1863" s="18" t="s">
        <v>1819</v>
      </c>
      <c r="D1863" s="18" t="s">
        <v>2600</v>
      </c>
      <c r="E1863" s="18" t="s">
        <v>2601</v>
      </c>
      <c r="F1863" s="18">
        <v>9.59</v>
      </c>
      <c r="G1863" s="18" t="s">
        <v>2154</v>
      </c>
      <c r="H1863" s="18" t="s">
        <v>2171</v>
      </c>
    </row>
    <row r="1864" spans="1:8">
      <c r="A1864" s="19" t="s">
        <v>536</v>
      </c>
      <c r="B1864" s="19" t="s">
        <v>4700</v>
      </c>
      <c r="C1864" s="19" t="s">
        <v>2204</v>
      </c>
      <c r="D1864" s="19"/>
      <c r="E1864" s="19"/>
      <c r="F1864" s="19"/>
      <c r="G1864" s="19" t="s">
        <v>2220</v>
      </c>
      <c r="H1864" s="19" t="s">
        <v>2171</v>
      </c>
    </row>
    <row r="1865" spans="1:8">
      <c r="A1865" s="18" t="s">
        <v>536</v>
      </c>
      <c r="B1865" s="18" t="s">
        <v>4701</v>
      </c>
      <c r="C1865" s="18" t="s">
        <v>1843</v>
      </c>
      <c r="D1865" s="18" t="s">
        <v>2488</v>
      </c>
      <c r="E1865" s="18" t="s">
        <v>2942</v>
      </c>
      <c r="F1865" s="18">
        <v>7.75</v>
      </c>
      <c r="G1865" s="18" t="s">
        <v>2154</v>
      </c>
      <c r="H1865" s="18" t="s">
        <v>2187</v>
      </c>
    </row>
    <row r="1866" spans="1:8">
      <c r="A1866" s="19" t="s">
        <v>536</v>
      </c>
      <c r="B1866" s="19" t="s">
        <v>4702</v>
      </c>
      <c r="C1866" s="19" t="s">
        <v>2211</v>
      </c>
      <c r="D1866" s="19" t="s">
        <v>2553</v>
      </c>
      <c r="E1866" s="19" t="s">
        <v>2845</v>
      </c>
      <c r="F1866" s="19">
        <v>6.6</v>
      </c>
      <c r="G1866" s="19" t="s">
        <v>2154</v>
      </c>
      <c r="H1866" s="19" t="s">
        <v>2160</v>
      </c>
    </row>
    <row r="1867" spans="1:8">
      <c r="A1867" s="18" t="s">
        <v>536</v>
      </c>
      <c r="B1867" s="18" t="s">
        <v>4703</v>
      </c>
      <c r="C1867" s="18" t="s">
        <v>2215</v>
      </c>
      <c r="D1867" s="18" t="s">
        <v>3597</v>
      </c>
      <c r="E1867" s="18" t="s">
        <v>2660</v>
      </c>
      <c r="F1867" s="18">
        <v>11.4</v>
      </c>
      <c r="G1867" s="18" t="s">
        <v>2154</v>
      </c>
      <c r="H1867" s="18" t="s">
        <v>2160</v>
      </c>
    </row>
    <row r="1868" spans="1:8">
      <c r="A1868" s="19" t="s">
        <v>536</v>
      </c>
      <c r="B1868" s="19" t="s">
        <v>4704</v>
      </c>
      <c r="C1868" s="19" t="s">
        <v>2219</v>
      </c>
      <c r="D1868" s="19" t="s">
        <v>3020</v>
      </c>
      <c r="E1868" s="19" t="s">
        <v>3181</v>
      </c>
      <c r="F1868" s="19">
        <v>8.14</v>
      </c>
      <c r="G1868" s="19" t="s">
        <v>2154</v>
      </c>
      <c r="H1868" s="19" t="s">
        <v>2155</v>
      </c>
    </row>
    <row r="1869" spans="1:8">
      <c r="A1869" s="18" t="s">
        <v>536</v>
      </c>
      <c r="B1869" s="18" t="s">
        <v>4705</v>
      </c>
      <c r="C1869" s="18" t="s">
        <v>2222</v>
      </c>
      <c r="D1869" s="18" t="s">
        <v>2359</v>
      </c>
      <c r="E1869" s="18" t="s">
        <v>2740</v>
      </c>
      <c r="F1869" s="18">
        <v>7.67</v>
      </c>
      <c r="G1869" s="18" t="s">
        <v>2154</v>
      </c>
      <c r="H1869" s="18" t="s">
        <v>2160</v>
      </c>
    </row>
    <row r="1870" spans="1:8">
      <c r="A1870" s="19" t="s">
        <v>536</v>
      </c>
      <c r="B1870" s="19" t="s">
        <v>4706</v>
      </c>
      <c r="C1870" s="19" t="s">
        <v>2226</v>
      </c>
      <c r="D1870" s="19" t="s">
        <v>3100</v>
      </c>
      <c r="E1870" s="19" t="s">
        <v>2394</v>
      </c>
      <c r="F1870" s="19">
        <v>8</v>
      </c>
      <c r="G1870" s="19" t="s">
        <v>2154</v>
      </c>
      <c r="H1870" s="19" t="s">
        <v>2155</v>
      </c>
    </row>
    <row r="1871" spans="1:8">
      <c r="A1871" s="18" t="s">
        <v>536</v>
      </c>
      <c r="B1871" s="18" t="s">
        <v>4707</v>
      </c>
      <c r="C1871" s="18" t="s">
        <v>2230</v>
      </c>
      <c r="D1871" s="18" t="s">
        <v>2880</v>
      </c>
      <c r="E1871" s="18" t="s">
        <v>3315</v>
      </c>
      <c r="F1871" s="18">
        <v>10.18</v>
      </c>
      <c r="G1871" s="18" t="s">
        <v>2154</v>
      </c>
      <c r="H1871" s="18" t="s">
        <v>2160</v>
      </c>
    </row>
    <row r="1872" spans="1:8">
      <c r="A1872" s="19" t="s">
        <v>536</v>
      </c>
      <c r="B1872" s="19" t="s">
        <v>4708</v>
      </c>
      <c r="C1872" s="19" t="s">
        <v>2234</v>
      </c>
      <c r="D1872" s="19" t="s">
        <v>2877</v>
      </c>
      <c r="E1872" s="19" t="s">
        <v>3232</v>
      </c>
      <c r="F1872" s="19">
        <v>9.81</v>
      </c>
      <c r="G1872" s="19" t="s">
        <v>2154</v>
      </c>
      <c r="H1872" s="19" t="s">
        <v>2160</v>
      </c>
    </row>
    <row r="1873" spans="1:8">
      <c r="A1873" s="18" t="s">
        <v>536</v>
      </c>
      <c r="B1873" s="18" t="s">
        <v>4709</v>
      </c>
      <c r="C1873" s="18" t="s">
        <v>2238</v>
      </c>
      <c r="D1873" s="18" t="s">
        <v>2534</v>
      </c>
      <c r="E1873" s="18" t="s">
        <v>2519</v>
      </c>
      <c r="F1873" s="18">
        <v>8.3699999999999992</v>
      </c>
      <c r="G1873" s="18" t="s">
        <v>2154</v>
      </c>
      <c r="H1873" s="18" t="s">
        <v>2187</v>
      </c>
    </row>
    <row r="1874" spans="1:8">
      <c r="A1874" s="19" t="s">
        <v>536</v>
      </c>
      <c r="B1874" s="19" t="s">
        <v>4710</v>
      </c>
      <c r="C1874" s="19" t="s">
        <v>2241</v>
      </c>
      <c r="D1874" s="19" t="s">
        <v>3001</v>
      </c>
      <c r="E1874" s="19" t="s">
        <v>4429</v>
      </c>
      <c r="F1874" s="19">
        <v>6.83</v>
      </c>
      <c r="G1874" s="19" t="s">
        <v>2154</v>
      </c>
      <c r="H1874" s="19" t="s">
        <v>2171</v>
      </c>
    </row>
    <row r="1875" spans="1:8">
      <c r="A1875" s="18" t="s">
        <v>536</v>
      </c>
      <c r="B1875" s="18" t="s">
        <v>4711</v>
      </c>
      <c r="C1875" s="18" t="s">
        <v>2245</v>
      </c>
      <c r="D1875" s="18" t="s">
        <v>2581</v>
      </c>
      <c r="E1875" s="18" t="s">
        <v>3029</v>
      </c>
      <c r="F1875" s="18">
        <v>11.12</v>
      </c>
      <c r="G1875" s="18" t="s">
        <v>2154</v>
      </c>
      <c r="H1875" s="18" t="s">
        <v>2171</v>
      </c>
    </row>
    <row r="1876" spans="1:8">
      <c r="A1876" s="19" t="s">
        <v>536</v>
      </c>
      <c r="B1876" s="19" t="s">
        <v>4712</v>
      </c>
      <c r="C1876" s="19" t="s">
        <v>2249</v>
      </c>
      <c r="D1876" s="19" t="s">
        <v>2323</v>
      </c>
      <c r="E1876" s="19" t="s">
        <v>2509</v>
      </c>
      <c r="F1876" s="19">
        <v>11.37</v>
      </c>
      <c r="G1876" s="19" t="s">
        <v>2154</v>
      </c>
      <c r="H1876" s="19" t="s">
        <v>2171</v>
      </c>
    </row>
    <row r="1877" spans="1:8">
      <c r="A1877" s="18" t="s">
        <v>536</v>
      </c>
      <c r="B1877" s="18" t="s">
        <v>4713</v>
      </c>
      <c r="C1877" s="18" t="s">
        <v>2252</v>
      </c>
      <c r="D1877" s="18" t="s">
        <v>2326</v>
      </c>
      <c r="E1877" s="18" t="s">
        <v>2232</v>
      </c>
      <c r="F1877" s="18">
        <v>9.18</v>
      </c>
      <c r="G1877" s="18" t="s">
        <v>2154</v>
      </c>
      <c r="H1877" s="18" t="s">
        <v>2155</v>
      </c>
    </row>
    <row r="1878" spans="1:8">
      <c r="A1878" s="19" t="s">
        <v>536</v>
      </c>
      <c r="B1878" s="19" t="s">
        <v>4714</v>
      </c>
      <c r="C1878" s="19" t="s">
        <v>2376</v>
      </c>
      <c r="D1878" s="19" t="s">
        <v>2696</v>
      </c>
      <c r="E1878" s="19" t="s">
        <v>2712</v>
      </c>
      <c r="F1878" s="19">
        <v>7.47</v>
      </c>
      <c r="G1878" s="19" t="s">
        <v>2154</v>
      </c>
      <c r="H1878" s="19" t="s">
        <v>2155</v>
      </c>
    </row>
    <row r="1879" spans="1:8">
      <c r="A1879" s="18" t="s">
        <v>536</v>
      </c>
      <c r="B1879" s="18" t="s">
        <v>4715</v>
      </c>
      <c r="C1879" s="18" t="s">
        <v>2260</v>
      </c>
      <c r="D1879" s="18" t="s">
        <v>2158</v>
      </c>
      <c r="E1879" s="18" t="s">
        <v>2638</v>
      </c>
      <c r="F1879" s="18">
        <v>11.17</v>
      </c>
      <c r="G1879" s="18" t="s">
        <v>2154</v>
      </c>
      <c r="H1879" s="18" t="s">
        <v>2171</v>
      </c>
    </row>
    <row r="1880" spans="1:8">
      <c r="A1880" s="19" t="s">
        <v>536</v>
      </c>
      <c r="B1880" s="19" t="s">
        <v>4716</v>
      </c>
      <c r="C1880" s="19" t="s">
        <v>2264</v>
      </c>
      <c r="D1880" s="19" t="s">
        <v>2696</v>
      </c>
      <c r="E1880" s="19" t="s">
        <v>2434</v>
      </c>
      <c r="F1880" s="19">
        <v>9.6199999999999992</v>
      </c>
      <c r="G1880" s="19" t="s">
        <v>2154</v>
      </c>
      <c r="H1880" s="19" t="s">
        <v>2160</v>
      </c>
    </row>
    <row r="1881" spans="1:8">
      <c r="A1881" s="18" t="s">
        <v>536</v>
      </c>
      <c r="B1881" s="18" t="s">
        <v>4717</v>
      </c>
      <c r="C1881" s="18" t="s">
        <v>1948</v>
      </c>
      <c r="D1881" s="18" t="s">
        <v>2266</v>
      </c>
      <c r="E1881" s="18" t="s">
        <v>2660</v>
      </c>
      <c r="F1881" s="18">
        <v>10.98</v>
      </c>
      <c r="G1881" s="18" t="s">
        <v>2154</v>
      </c>
      <c r="H1881" s="18" t="s">
        <v>2155</v>
      </c>
    </row>
    <row r="1882" spans="1:8">
      <c r="A1882" s="19" t="s">
        <v>536</v>
      </c>
      <c r="B1882" s="19" t="s">
        <v>4718</v>
      </c>
      <c r="C1882" s="19" t="s">
        <v>2269</v>
      </c>
      <c r="D1882" s="19" t="s">
        <v>2423</v>
      </c>
      <c r="E1882" s="19" t="s">
        <v>3175</v>
      </c>
      <c r="F1882" s="19">
        <v>10.46</v>
      </c>
      <c r="G1882" s="19" t="s">
        <v>2154</v>
      </c>
      <c r="H1882" s="19" t="s">
        <v>2171</v>
      </c>
    </row>
    <row r="1883" spans="1:8">
      <c r="A1883" s="18" t="s">
        <v>536</v>
      </c>
      <c r="B1883" s="18" t="s">
        <v>4719</v>
      </c>
      <c r="C1883" s="18" t="s">
        <v>2273</v>
      </c>
      <c r="D1883" s="18" t="s">
        <v>2696</v>
      </c>
      <c r="E1883" s="18" t="s">
        <v>2712</v>
      </c>
      <c r="F1883" s="18">
        <v>7.97</v>
      </c>
      <c r="G1883" s="18" t="s">
        <v>2154</v>
      </c>
      <c r="H1883" s="18" t="s">
        <v>2155</v>
      </c>
    </row>
    <row r="1884" spans="1:8">
      <c r="A1884" s="19" t="s">
        <v>536</v>
      </c>
      <c r="B1884" s="19" t="s">
        <v>4720</v>
      </c>
      <c r="C1884" s="19" t="s">
        <v>2277</v>
      </c>
      <c r="D1884" s="19" t="s">
        <v>2603</v>
      </c>
      <c r="E1884" s="19" t="s">
        <v>2732</v>
      </c>
      <c r="F1884" s="19">
        <v>6.62</v>
      </c>
      <c r="G1884" s="19" t="s">
        <v>2154</v>
      </c>
      <c r="H1884" s="19" t="s">
        <v>2171</v>
      </c>
    </row>
    <row r="1885" spans="1:8">
      <c r="A1885" s="18" t="s">
        <v>536</v>
      </c>
      <c r="B1885" s="18" t="s">
        <v>4721</v>
      </c>
      <c r="C1885" s="18" t="s">
        <v>2281</v>
      </c>
      <c r="D1885" s="18" t="s">
        <v>2966</v>
      </c>
      <c r="E1885" s="18" t="s">
        <v>3366</v>
      </c>
      <c r="F1885" s="18">
        <v>8.1999999999999993</v>
      </c>
      <c r="G1885" s="18" t="s">
        <v>2154</v>
      </c>
      <c r="H1885" s="18" t="s">
        <v>2187</v>
      </c>
    </row>
    <row r="1886" spans="1:8">
      <c r="A1886" s="19" t="s">
        <v>536</v>
      </c>
      <c r="B1886" s="19" t="s">
        <v>4722</v>
      </c>
      <c r="C1886" s="19" t="s">
        <v>2396</v>
      </c>
      <c r="D1886" s="19" t="s">
        <v>2793</v>
      </c>
      <c r="E1886" s="19" t="s">
        <v>2781</v>
      </c>
      <c r="F1886" s="19">
        <v>10.26</v>
      </c>
      <c r="G1886" s="19" t="s">
        <v>2154</v>
      </c>
      <c r="H1886" s="19" t="s">
        <v>2187</v>
      </c>
    </row>
    <row r="1887" spans="1:8">
      <c r="A1887" s="18" t="s">
        <v>536</v>
      </c>
      <c r="B1887" s="18" t="s">
        <v>4723</v>
      </c>
      <c r="C1887" s="18" t="s">
        <v>2289</v>
      </c>
      <c r="D1887" s="18" t="s">
        <v>2423</v>
      </c>
      <c r="E1887" s="18" t="s">
        <v>3193</v>
      </c>
      <c r="F1887" s="18">
        <v>6.91</v>
      </c>
      <c r="G1887" s="18" t="s">
        <v>2154</v>
      </c>
      <c r="H1887" s="18" t="s">
        <v>2171</v>
      </c>
    </row>
    <row r="1888" spans="1:8">
      <c r="A1888" s="19" t="s">
        <v>536</v>
      </c>
      <c r="B1888" s="19" t="s">
        <v>4724</v>
      </c>
      <c r="C1888" s="19" t="s">
        <v>2293</v>
      </c>
      <c r="D1888" s="19" t="s">
        <v>2457</v>
      </c>
      <c r="E1888" s="19" t="s">
        <v>2753</v>
      </c>
      <c r="F1888" s="19">
        <v>8.86</v>
      </c>
      <c r="G1888" s="19" t="s">
        <v>2154</v>
      </c>
      <c r="H1888" s="19" t="s">
        <v>2171</v>
      </c>
    </row>
    <row r="1889" spans="1:8">
      <c r="A1889" s="18" t="s">
        <v>536</v>
      </c>
      <c r="B1889" s="18" t="s">
        <v>4725</v>
      </c>
      <c r="C1889" s="18" t="s">
        <v>2296</v>
      </c>
      <c r="D1889" s="18" t="s">
        <v>3145</v>
      </c>
      <c r="E1889" s="18" t="s">
        <v>4726</v>
      </c>
      <c r="F1889" s="18">
        <v>11.43</v>
      </c>
      <c r="G1889" s="18" t="s">
        <v>2154</v>
      </c>
      <c r="H1889" s="18" t="s">
        <v>2187</v>
      </c>
    </row>
    <row r="1890" spans="1:8">
      <c r="A1890" s="19" t="s">
        <v>536</v>
      </c>
      <c r="B1890" s="19" t="s">
        <v>4727</v>
      </c>
      <c r="C1890" s="19" t="s">
        <v>2300</v>
      </c>
      <c r="D1890" s="19" t="s">
        <v>2370</v>
      </c>
      <c r="E1890" s="19" t="s">
        <v>3620</v>
      </c>
      <c r="F1890" s="19">
        <v>9.1999999999999993</v>
      </c>
      <c r="G1890" s="19" t="s">
        <v>2154</v>
      </c>
      <c r="H1890" s="19" t="s">
        <v>2160</v>
      </c>
    </row>
    <row r="1891" spans="1:8">
      <c r="A1891" s="18" t="s">
        <v>536</v>
      </c>
      <c r="B1891" s="18" t="s">
        <v>4728</v>
      </c>
      <c r="C1891" s="18" t="s">
        <v>2144</v>
      </c>
      <c r="D1891" s="18"/>
      <c r="E1891" s="18"/>
      <c r="F1891" s="18"/>
      <c r="G1891" s="18" t="s">
        <v>2343</v>
      </c>
      <c r="H1891" s="18" t="s">
        <v>2160</v>
      </c>
    </row>
    <row r="1892" spans="1:8">
      <c r="A1892" s="19" t="s">
        <v>536</v>
      </c>
      <c r="B1892" s="19" t="s">
        <v>4729</v>
      </c>
      <c r="C1892" s="19" t="s">
        <v>2307</v>
      </c>
      <c r="D1892" s="19" t="s">
        <v>2190</v>
      </c>
      <c r="E1892" s="19" t="s">
        <v>3288</v>
      </c>
      <c r="F1892" s="19">
        <v>10.1</v>
      </c>
      <c r="G1892" s="19" t="s">
        <v>2154</v>
      </c>
      <c r="H1892" s="19" t="s">
        <v>2160</v>
      </c>
    </row>
    <row r="1893" spans="1:8">
      <c r="A1893" s="18" t="s">
        <v>536</v>
      </c>
      <c r="B1893" s="18" t="s">
        <v>4730</v>
      </c>
      <c r="C1893" s="18" t="s">
        <v>2311</v>
      </c>
      <c r="D1893" s="18" t="s">
        <v>2877</v>
      </c>
      <c r="E1893" s="18" t="s">
        <v>3232</v>
      </c>
      <c r="F1893" s="18">
        <v>9.93</v>
      </c>
      <c r="G1893" s="18" t="s">
        <v>2154</v>
      </c>
      <c r="H1893" s="18" t="s">
        <v>2160</v>
      </c>
    </row>
    <row r="1894" spans="1:8">
      <c r="A1894" s="19" t="s">
        <v>276</v>
      </c>
      <c r="B1894" s="19" t="s">
        <v>4731</v>
      </c>
      <c r="C1894" s="19" t="s">
        <v>2038</v>
      </c>
      <c r="D1894" s="19" t="s">
        <v>2619</v>
      </c>
      <c r="E1894" s="19" t="s">
        <v>3151</v>
      </c>
      <c r="F1894" s="19">
        <v>8.92</v>
      </c>
      <c r="G1894" s="19" t="s">
        <v>2154</v>
      </c>
      <c r="H1894" s="19" t="s">
        <v>2160</v>
      </c>
    </row>
    <row r="1895" spans="1:8">
      <c r="A1895" s="18" t="s">
        <v>276</v>
      </c>
      <c r="B1895" s="18" t="s">
        <v>4732</v>
      </c>
      <c r="C1895" s="18" t="s">
        <v>2157</v>
      </c>
      <c r="D1895" s="18" t="s">
        <v>2979</v>
      </c>
      <c r="E1895" s="18" t="s">
        <v>2283</v>
      </c>
      <c r="F1895" s="18">
        <v>7.51</v>
      </c>
      <c r="G1895" s="18" t="s">
        <v>2154</v>
      </c>
      <c r="H1895" s="18" t="s">
        <v>2187</v>
      </c>
    </row>
    <row r="1896" spans="1:8">
      <c r="A1896" s="19" t="s">
        <v>276</v>
      </c>
      <c r="B1896" s="19" t="s">
        <v>4733</v>
      </c>
      <c r="C1896" s="19" t="s">
        <v>2162</v>
      </c>
      <c r="D1896" s="19" t="s">
        <v>2308</v>
      </c>
      <c r="E1896" s="19" t="s">
        <v>2738</v>
      </c>
      <c r="F1896" s="19">
        <v>9.75</v>
      </c>
      <c r="G1896" s="19" t="s">
        <v>2154</v>
      </c>
      <c r="H1896" s="19" t="s">
        <v>2160</v>
      </c>
    </row>
    <row r="1897" spans="1:8">
      <c r="A1897" s="18" t="s">
        <v>276</v>
      </c>
      <c r="B1897" s="18" t="s">
        <v>4734</v>
      </c>
      <c r="C1897" s="18" t="s">
        <v>1937</v>
      </c>
      <c r="D1897" s="18" t="s">
        <v>2331</v>
      </c>
      <c r="E1897" s="18" t="s">
        <v>2332</v>
      </c>
      <c r="F1897" s="18">
        <v>9.93</v>
      </c>
      <c r="G1897" s="18" t="s">
        <v>2154</v>
      </c>
      <c r="H1897" s="18" t="s">
        <v>2187</v>
      </c>
    </row>
    <row r="1898" spans="1:8">
      <c r="A1898" s="19" t="s">
        <v>276</v>
      </c>
      <c r="B1898" s="19" t="s">
        <v>4735</v>
      </c>
      <c r="C1898" s="19" t="s">
        <v>2168</v>
      </c>
      <c r="D1898" s="19" t="s">
        <v>2457</v>
      </c>
      <c r="E1898" s="19" t="s">
        <v>2858</v>
      </c>
      <c r="F1898" s="19">
        <v>7.54</v>
      </c>
      <c r="G1898" s="19" t="s">
        <v>2154</v>
      </c>
      <c r="H1898" s="19" t="s">
        <v>2155</v>
      </c>
    </row>
    <row r="1899" spans="1:8">
      <c r="A1899" s="18" t="s">
        <v>276</v>
      </c>
      <c r="B1899" s="18" t="s">
        <v>4736</v>
      </c>
      <c r="C1899" s="18" t="s">
        <v>2173</v>
      </c>
      <c r="D1899" s="18" t="s">
        <v>2488</v>
      </c>
      <c r="E1899" s="18" t="s">
        <v>3118</v>
      </c>
      <c r="F1899" s="18">
        <v>9.34</v>
      </c>
      <c r="G1899" s="18" t="s">
        <v>2154</v>
      </c>
      <c r="H1899" s="18" t="s">
        <v>2171</v>
      </c>
    </row>
    <row r="1900" spans="1:8">
      <c r="A1900" s="19" t="s">
        <v>276</v>
      </c>
      <c r="B1900" s="19" t="s">
        <v>4737</v>
      </c>
      <c r="C1900" s="19" t="s">
        <v>2177</v>
      </c>
      <c r="D1900" s="19" t="s">
        <v>2340</v>
      </c>
      <c r="E1900" s="19" t="s">
        <v>2341</v>
      </c>
      <c r="F1900" s="19">
        <v>6.7</v>
      </c>
      <c r="G1900" s="19" t="s">
        <v>2154</v>
      </c>
      <c r="H1900" s="19" t="s">
        <v>2187</v>
      </c>
    </row>
    <row r="1901" spans="1:8">
      <c r="A1901" s="18" t="s">
        <v>276</v>
      </c>
      <c r="B1901" s="18" t="s">
        <v>4738</v>
      </c>
      <c r="C1901" s="18" t="s">
        <v>1945</v>
      </c>
      <c r="D1901" s="18" t="s">
        <v>2766</v>
      </c>
      <c r="E1901" s="18" t="s">
        <v>2924</v>
      </c>
      <c r="F1901" s="18">
        <v>10.75</v>
      </c>
      <c r="G1901" s="18" t="s">
        <v>2154</v>
      </c>
      <c r="H1901" s="18" t="s">
        <v>2155</v>
      </c>
    </row>
    <row r="1902" spans="1:8">
      <c r="A1902" s="19" t="s">
        <v>276</v>
      </c>
      <c r="B1902" s="19" t="s">
        <v>4739</v>
      </c>
      <c r="C1902" s="19" t="s">
        <v>2184</v>
      </c>
      <c r="D1902" s="19" t="s">
        <v>2419</v>
      </c>
      <c r="E1902" s="19" t="s">
        <v>3404</v>
      </c>
      <c r="F1902" s="19">
        <v>8.5299999999999994</v>
      </c>
      <c r="G1902" s="19" t="s">
        <v>2154</v>
      </c>
      <c r="H1902" s="19" t="s">
        <v>2160</v>
      </c>
    </row>
    <row r="1903" spans="1:8">
      <c r="A1903" s="18" t="s">
        <v>276</v>
      </c>
      <c r="B1903" s="18" t="s">
        <v>4740</v>
      </c>
      <c r="C1903" s="18" t="s">
        <v>2189</v>
      </c>
      <c r="D1903" s="18" t="s">
        <v>2473</v>
      </c>
      <c r="E1903" s="18" t="s">
        <v>4011</v>
      </c>
      <c r="F1903" s="18">
        <v>10.96</v>
      </c>
      <c r="G1903" s="18" t="s">
        <v>2154</v>
      </c>
      <c r="H1903" s="18" t="s">
        <v>2155</v>
      </c>
    </row>
    <row r="1904" spans="1:8">
      <c r="A1904" s="19" t="s">
        <v>276</v>
      </c>
      <c r="B1904" s="19" t="s">
        <v>4741</v>
      </c>
      <c r="C1904" s="19" t="s">
        <v>2643</v>
      </c>
      <c r="D1904" s="19" t="s">
        <v>2524</v>
      </c>
      <c r="E1904" s="19" t="s">
        <v>2826</v>
      </c>
      <c r="F1904" s="19">
        <v>10.39</v>
      </c>
      <c r="G1904" s="19" t="s">
        <v>2154</v>
      </c>
      <c r="H1904" s="19" t="s">
        <v>2160</v>
      </c>
    </row>
    <row r="1905" spans="1:8">
      <c r="A1905" s="18" t="s">
        <v>276</v>
      </c>
      <c r="B1905" s="18" t="s">
        <v>4742</v>
      </c>
      <c r="C1905" s="18" t="s">
        <v>2197</v>
      </c>
      <c r="D1905" s="18" t="s">
        <v>2584</v>
      </c>
      <c r="E1905" s="18" t="s">
        <v>3857</v>
      </c>
      <c r="F1905" s="18">
        <v>11.17</v>
      </c>
      <c r="G1905" s="18" t="s">
        <v>2154</v>
      </c>
      <c r="H1905" s="18" t="s">
        <v>2187</v>
      </c>
    </row>
    <row r="1906" spans="1:8">
      <c r="A1906" s="19" t="s">
        <v>276</v>
      </c>
      <c r="B1906" s="19" t="s">
        <v>4743</v>
      </c>
      <c r="C1906" s="19" t="s">
        <v>1819</v>
      </c>
      <c r="D1906" s="19" t="s">
        <v>2516</v>
      </c>
      <c r="E1906" s="19" t="s">
        <v>3593</v>
      </c>
      <c r="F1906" s="19">
        <v>10.88</v>
      </c>
      <c r="G1906" s="19" t="s">
        <v>2154</v>
      </c>
      <c r="H1906" s="19" t="s">
        <v>2171</v>
      </c>
    </row>
    <row r="1907" spans="1:8">
      <c r="A1907" s="18" t="s">
        <v>276</v>
      </c>
      <c r="B1907" s="18" t="s">
        <v>4744</v>
      </c>
      <c r="C1907" s="18" t="s">
        <v>2204</v>
      </c>
      <c r="D1907" s="18" t="s">
        <v>2786</v>
      </c>
      <c r="E1907" s="18" t="s">
        <v>2845</v>
      </c>
      <c r="F1907" s="18">
        <v>8.14</v>
      </c>
      <c r="G1907" s="18" t="s">
        <v>2154</v>
      </c>
      <c r="H1907" s="18" t="s">
        <v>2187</v>
      </c>
    </row>
    <row r="1908" spans="1:8">
      <c r="A1908" s="19" t="s">
        <v>276</v>
      </c>
      <c r="B1908" s="19" t="s">
        <v>4745</v>
      </c>
      <c r="C1908" s="19" t="s">
        <v>1843</v>
      </c>
      <c r="D1908" s="19" t="s">
        <v>2314</v>
      </c>
      <c r="E1908" s="19" t="s">
        <v>2334</v>
      </c>
      <c r="F1908" s="19">
        <v>8.48</v>
      </c>
      <c r="G1908" s="19" t="s">
        <v>2154</v>
      </c>
      <c r="H1908" s="19" t="s">
        <v>2155</v>
      </c>
    </row>
    <row r="1909" spans="1:8">
      <c r="A1909" s="18" t="s">
        <v>276</v>
      </c>
      <c r="B1909" s="18" t="s">
        <v>4746</v>
      </c>
      <c r="C1909" s="18" t="s">
        <v>2211</v>
      </c>
      <c r="D1909" s="18" t="s">
        <v>2572</v>
      </c>
      <c r="E1909" s="18" t="s">
        <v>3351</v>
      </c>
      <c r="F1909" s="18">
        <v>9.5299999999999994</v>
      </c>
      <c r="G1909" s="18" t="s">
        <v>2154</v>
      </c>
      <c r="H1909" s="18" t="s">
        <v>2187</v>
      </c>
    </row>
    <row r="1910" spans="1:8">
      <c r="A1910" s="19" t="s">
        <v>276</v>
      </c>
      <c r="B1910" s="19" t="s">
        <v>4747</v>
      </c>
      <c r="C1910" s="19" t="s">
        <v>2215</v>
      </c>
      <c r="D1910" s="19" t="s">
        <v>2716</v>
      </c>
      <c r="E1910" s="19" t="s">
        <v>4748</v>
      </c>
      <c r="F1910" s="19">
        <v>6.74</v>
      </c>
      <c r="G1910" s="19" t="s">
        <v>2154</v>
      </c>
      <c r="H1910" s="19" t="s">
        <v>2155</v>
      </c>
    </row>
    <row r="1911" spans="1:8">
      <c r="A1911" s="18" t="s">
        <v>276</v>
      </c>
      <c r="B1911" s="18" t="s">
        <v>4749</v>
      </c>
      <c r="C1911" s="18" t="s">
        <v>2219</v>
      </c>
      <c r="D1911" s="18" t="s">
        <v>2716</v>
      </c>
      <c r="E1911" s="18" t="s">
        <v>2537</v>
      </c>
      <c r="F1911" s="18">
        <v>10.27</v>
      </c>
      <c r="G1911" s="18" t="s">
        <v>2154</v>
      </c>
      <c r="H1911" s="18" t="s">
        <v>2160</v>
      </c>
    </row>
    <row r="1912" spans="1:8">
      <c r="A1912" s="19" t="s">
        <v>276</v>
      </c>
      <c r="B1912" s="19" t="s">
        <v>4750</v>
      </c>
      <c r="C1912" s="19" t="s">
        <v>2222</v>
      </c>
      <c r="D1912" s="19" t="s">
        <v>3020</v>
      </c>
      <c r="E1912" s="19" t="s">
        <v>3021</v>
      </c>
      <c r="F1912" s="19">
        <v>11.45</v>
      </c>
      <c r="G1912" s="19" t="s">
        <v>2154</v>
      </c>
      <c r="H1912" s="19" t="s">
        <v>2155</v>
      </c>
    </row>
    <row r="1913" spans="1:8">
      <c r="A1913" s="18" t="s">
        <v>276</v>
      </c>
      <c r="B1913" s="18" t="s">
        <v>4751</v>
      </c>
      <c r="C1913" s="18" t="s">
        <v>2226</v>
      </c>
      <c r="D1913" s="18" t="s">
        <v>2524</v>
      </c>
      <c r="E1913" s="18" t="s">
        <v>3689</v>
      </c>
      <c r="F1913" s="18">
        <v>6.55</v>
      </c>
      <c r="G1913" s="18" t="s">
        <v>2154</v>
      </c>
      <c r="H1913" s="18" t="s">
        <v>2187</v>
      </c>
    </row>
    <row r="1914" spans="1:8">
      <c r="A1914" s="19" t="s">
        <v>276</v>
      </c>
      <c r="B1914" s="19" t="s">
        <v>4752</v>
      </c>
      <c r="C1914" s="19" t="s">
        <v>2230</v>
      </c>
      <c r="D1914" s="19" t="s">
        <v>2282</v>
      </c>
      <c r="E1914" s="19" t="s">
        <v>2861</v>
      </c>
      <c r="F1914" s="19">
        <v>10.78</v>
      </c>
      <c r="G1914" s="19" t="s">
        <v>2154</v>
      </c>
      <c r="H1914" s="19" t="s">
        <v>2187</v>
      </c>
    </row>
    <row r="1915" spans="1:8">
      <c r="A1915" s="18" t="s">
        <v>276</v>
      </c>
      <c r="B1915" s="18" t="s">
        <v>4753</v>
      </c>
      <c r="C1915" s="18" t="s">
        <v>2234</v>
      </c>
      <c r="D1915" s="18" t="s">
        <v>3306</v>
      </c>
      <c r="E1915" s="18" t="s">
        <v>3555</v>
      </c>
      <c r="F1915" s="18">
        <v>10.69</v>
      </c>
      <c r="G1915" s="18" t="s">
        <v>2154</v>
      </c>
      <c r="H1915" s="18" t="s">
        <v>2160</v>
      </c>
    </row>
    <row r="1916" spans="1:8">
      <c r="A1916" s="19" t="s">
        <v>276</v>
      </c>
      <c r="B1916" s="19" t="s">
        <v>4754</v>
      </c>
      <c r="C1916" s="19" t="s">
        <v>2238</v>
      </c>
      <c r="D1916" s="19" t="s">
        <v>3253</v>
      </c>
      <c r="E1916" s="19" t="s">
        <v>3245</v>
      </c>
      <c r="F1916" s="19">
        <v>9.69</v>
      </c>
      <c r="G1916" s="19" t="s">
        <v>2154</v>
      </c>
      <c r="H1916" s="19" t="s">
        <v>2155</v>
      </c>
    </row>
    <row r="1917" spans="1:8">
      <c r="A1917" s="18" t="s">
        <v>276</v>
      </c>
      <c r="B1917" s="18" t="s">
        <v>4755</v>
      </c>
      <c r="C1917" s="18" t="s">
        <v>2241</v>
      </c>
      <c r="D1917" s="18" t="s">
        <v>2709</v>
      </c>
      <c r="E1917" s="18" t="s">
        <v>3844</v>
      </c>
      <c r="F1917" s="18">
        <v>9.31</v>
      </c>
      <c r="G1917" s="18" t="s">
        <v>2154</v>
      </c>
      <c r="H1917" s="18" t="s">
        <v>2155</v>
      </c>
    </row>
    <row r="1918" spans="1:8">
      <c r="A1918" s="19" t="s">
        <v>276</v>
      </c>
      <c r="B1918" s="19" t="s">
        <v>4756</v>
      </c>
      <c r="C1918" s="19" t="s">
        <v>2245</v>
      </c>
      <c r="D1918" s="19" t="s">
        <v>3106</v>
      </c>
      <c r="E1918" s="19" t="s">
        <v>2993</v>
      </c>
      <c r="F1918" s="19">
        <v>7.44</v>
      </c>
      <c r="G1918" s="19" t="s">
        <v>2154</v>
      </c>
      <c r="H1918" s="19" t="s">
        <v>2187</v>
      </c>
    </row>
    <row r="1919" spans="1:8">
      <c r="A1919" s="18" t="s">
        <v>276</v>
      </c>
      <c r="B1919" s="18" t="s">
        <v>4757</v>
      </c>
      <c r="C1919" s="18" t="s">
        <v>2249</v>
      </c>
      <c r="D1919" s="18" t="s">
        <v>2494</v>
      </c>
      <c r="E1919" s="18" t="s">
        <v>3611</v>
      </c>
      <c r="F1919" s="18">
        <v>7.46</v>
      </c>
      <c r="G1919" s="18" t="s">
        <v>2154</v>
      </c>
      <c r="H1919" s="18" t="s">
        <v>2187</v>
      </c>
    </row>
    <row r="1920" spans="1:8">
      <c r="A1920" s="19" t="s">
        <v>276</v>
      </c>
      <c r="B1920" s="19" t="s">
        <v>4758</v>
      </c>
      <c r="C1920" s="19" t="s">
        <v>2252</v>
      </c>
      <c r="D1920" s="19" t="s">
        <v>2877</v>
      </c>
      <c r="E1920" s="19" t="s">
        <v>3232</v>
      </c>
      <c r="F1920" s="19">
        <v>9.1300000000000008</v>
      </c>
      <c r="G1920" s="19" t="s">
        <v>2154</v>
      </c>
      <c r="H1920" s="19" t="s">
        <v>2155</v>
      </c>
    </row>
    <row r="1921" spans="1:8">
      <c r="A1921" s="18" t="s">
        <v>276</v>
      </c>
      <c r="B1921" s="18" t="s">
        <v>4759</v>
      </c>
      <c r="C1921" s="18" t="s">
        <v>2376</v>
      </c>
      <c r="D1921" s="18" t="s">
        <v>2830</v>
      </c>
      <c r="E1921" s="18" t="s">
        <v>2831</v>
      </c>
      <c r="F1921" s="18">
        <v>9.7799999999999994</v>
      </c>
      <c r="G1921" s="18" t="s">
        <v>2154</v>
      </c>
      <c r="H1921" s="18" t="s">
        <v>2171</v>
      </c>
    </row>
    <row r="1922" spans="1:8">
      <c r="A1922" s="19" t="s">
        <v>276</v>
      </c>
      <c r="B1922" s="19" t="s">
        <v>4760</v>
      </c>
      <c r="C1922" s="19" t="s">
        <v>2260</v>
      </c>
      <c r="D1922" s="19" t="s">
        <v>3100</v>
      </c>
      <c r="E1922" s="19" t="s">
        <v>2551</v>
      </c>
      <c r="F1922" s="19">
        <v>10.51</v>
      </c>
      <c r="G1922" s="19" t="s">
        <v>2154</v>
      </c>
      <c r="H1922" s="19" t="s">
        <v>2171</v>
      </c>
    </row>
    <row r="1923" spans="1:8">
      <c r="A1923" s="18" t="s">
        <v>276</v>
      </c>
      <c r="B1923" s="18" t="s">
        <v>4761</v>
      </c>
      <c r="C1923" s="18" t="s">
        <v>2264</v>
      </c>
      <c r="D1923" s="18" t="s">
        <v>2700</v>
      </c>
      <c r="E1923" s="18" t="s">
        <v>2701</v>
      </c>
      <c r="F1923" s="18">
        <v>8.24</v>
      </c>
      <c r="G1923" s="18" t="s">
        <v>2154</v>
      </c>
      <c r="H1923" s="18" t="s">
        <v>2160</v>
      </c>
    </row>
    <row r="1924" spans="1:8">
      <c r="A1924" s="19" t="s">
        <v>276</v>
      </c>
      <c r="B1924" s="19" t="s">
        <v>4762</v>
      </c>
      <c r="C1924" s="19" t="s">
        <v>1948</v>
      </c>
      <c r="D1924" s="19" t="s">
        <v>2253</v>
      </c>
      <c r="E1924" s="19" t="s">
        <v>2371</v>
      </c>
      <c r="F1924" s="19">
        <v>11.22</v>
      </c>
      <c r="G1924" s="19" t="s">
        <v>2154</v>
      </c>
      <c r="H1924" s="19" t="s">
        <v>2171</v>
      </c>
    </row>
    <row r="1925" spans="1:8">
      <c r="A1925" s="18" t="s">
        <v>276</v>
      </c>
      <c r="B1925" s="18" t="s">
        <v>4763</v>
      </c>
      <c r="C1925" s="18" t="s">
        <v>2269</v>
      </c>
      <c r="D1925" s="18" t="s">
        <v>2830</v>
      </c>
      <c r="E1925" s="18" t="s">
        <v>2787</v>
      </c>
      <c r="F1925" s="18">
        <v>10.15</v>
      </c>
      <c r="G1925" s="18" t="s">
        <v>2154</v>
      </c>
      <c r="H1925" s="18" t="s">
        <v>2171</v>
      </c>
    </row>
    <row r="1926" spans="1:8">
      <c r="A1926" s="19" t="s">
        <v>276</v>
      </c>
      <c r="B1926" s="19" t="s">
        <v>4764</v>
      </c>
      <c r="C1926" s="19" t="s">
        <v>2273</v>
      </c>
      <c r="D1926" s="19" t="s">
        <v>2205</v>
      </c>
      <c r="E1926" s="19" t="s">
        <v>2250</v>
      </c>
      <c r="F1926" s="19">
        <v>7.78</v>
      </c>
      <c r="G1926" s="19" t="s">
        <v>2154</v>
      </c>
      <c r="H1926" s="19" t="s">
        <v>2171</v>
      </c>
    </row>
    <row r="1927" spans="1:8">
      <c r="A1927" s="18" t="s">
        <v>276</v>
      </c>
      <c r="B1927" s="18" t="s">
        <v>4765</v>
      </c>
      <c r="C1927" s="18" t="s">
        <v>2277</v>
      </c>
      <c r="D1927" s="18" t="s">
        <v>2624</v>
      </c>
      <c r="E1927" s="18" t="s">
        <v>3886</v>
      </c>
      <c r="F1927" s="18">
        <v>6.52</v>
      </c>
      <c r="G1927" s="18" t="s">
        <v>2154</v>
      </c>
      <c r="H1927" s="18" t="s">
        <v>2171</v>
      </c>
    </row>
    <row r="1928" spans="1:8">
      <c r="A1928" s="19" t="s">
        <v>276</v>
      </c>
      <c r="B1928" s="19" t="s">
        <v>4766</v>
      </c>
      <c r="C1928" s="19" t="s">
        <v>2281</v>
      </c>
      <c r="D1928" s="19" t="s">
        <v>2246</v>
      </c>
      <c r="E1928" s="19" t="s">
        <v>2712</v>
      </c>
      <c r="F1928" s="19">
        <v>8.8800000000000008</v>
      </c>
      <c r="G1928" s="19" t="s">
        <v>2154</v>
      </c>
      <c r="H1928" s="19" t="s">
        <v>2155</v>
      </c>
    </row>
    <row r="1929" spans="1:8">
      <c r="A1929" s="18" t="s">
        <v>276</v>
      </c>
      <c r="B1929" s="18" t="s">
        <v>4767</v>
      </c>
      <c r="C1929" s="18" t="s">
        <v>2396</v>
      </c>
      <c r="D1929" s="18" t="s">
        <v>2823</v>
      </c>
      <c r="E1929" s="18" t="s">
        <v>4162</v>
      </c>
      <c r="F1929" s="18">
        <v>10.74</v>
      </c>
      <c r="G1929" s="18" t="s">
        <v>2154</v>
      </c>
      <c r="H1929" s="18" t="s">
        <v>2187</v>
      </c>
    </row>
    <row r="1930" spans="1:8">
      <c r="A1930" s="19" t="s">
        <v>276</v>
      </c>
      <c r="B1930" s="19" t="s">
        <v>4768</v>
      </c>
      <c r="C1930" s="19" t="s">
        <v>2289</v>
      </c>
      <c r="D1930" s="19" t="s">
        <v>2201</v>
      </c>
      <c r="E1930" s="19" t="s">
        <v>4769</v>
      </c>
      <c r="F1930" s="19">
        <v>6.67</v>
      </c>
      <c r="G1930" s="19" t="s">
        <v>2154</v>
      </c>
      <c r="H1930" s="19" t="s">
        <v>2155</v>
      </c>
    </row>
    <row r="1931" spans="1:8">
      <c r="A1931" s="18" t="s">
        <v>276</v>
      </c>
      <c r="B1931" s="18" t="s">
        <v>4770</v>
      </c>
      <c r="C1931" s="18" t="s">
        <v>2293</v>
      </c>
      <c r="D1931" s="18" t="s">
        <v>2158</v>
      </c>
      <c r="E1931" s="18" t="s">
        <v>2492</v>
      </c>
      <c r="F1931" s="18">
        <v>6.9</v>
      </c>
      <c r="G1931" s="18" t="s">
        <v>2154</v>
      </c>
      <c r="H1931" s="18" t="s">
        <v>2171</v>
      </c>
    </row>
    <row r="1932" spans="1:8">
      <c r="A1932" s="19" t="s">
        <v>276</v>
      </c>
      <c r="B1932" s="19" t="s">
        <v>4771</v>
      </c>
      <c r="C1932" s="19" t="s">
        <v>2296</v>
      </c>
      <c r="D1932" s="19" t="s">
        <v>2761</v>
      </c>
      <c r="E1932" s="19" t="s">
        <v>2753</v>
      </c>
      <c r="F1932" s="19">
        <v>7.38</v>
      </c>
      <c r="G1932" s="19" t="s">
        <v>2154</v>
      </c>
      <c r="H1932" s="19" t="s">
        <v>2160</v>
      </c>
    </row>
    <row r="1933" spans="1:8">
      <c r="A1933" s="18" t="s">
        <v>276</v>
      </c>
      <c r="B1933" s="18" t="s">
        <v>4772</v>
      </c>
      <c r="C1933" s="18" t="s">
        <v>2300</v>
      </c>
      <c r="D1933" s="18" t="s">
        <v>2351</v>
      </c>
      <c r="E1933" s="18" t="s">
        <v>2802</v>
      </c>
      <c r="F1933" s="18">
        <v>7.21</v>
      </c>
      <c r="G1933" s="18" t="s">
        <v>2154</v>
      </c>
      <c r="H1933" s="18" t="s">
        <v>2187</v>
      </c>
    </row>
    <row r="1934" spans="1:8">
      <c r="A1934" s="19" t="s">
        <v>276</v>
      </c>
      <c r="B1934" s="19" t="s">
        <v>4773</v>
      </c>
      <c r="C1934" s="19" t="s">
        <v>2144</v>
      </c>
      <c r="D1934" s="19" t="s">
        <v>2485</v>
      </c>
      <c r="E1934" s="19" t="s">
        <v>2653</v>
      </c>
      <c r="F1934" s="19">
        <v>7.83</v>
      </c>
      <c r="G1934" s="19" t="s">
        <v>2154</v>
      </c>
      <c r="H1934" s="19" t="s">
        <v>2171</v>
      </c>
    </row>
    <row r="1935" spans="1:8">
      <c r="A1935" s="18" t="s">
        <v>276</v>
      </c>
      <c r="B1935" s="18" t="s">
        <v>4774</v>
      </c>
      <c r="C1935" s="18" t="s">
        <v>2307</v>
      </c>
      <c r="D1935" s="18" t="s">
        <v>2426</v>
      </c>
      <c r="E1935" s="18" t="s">
        <v>2799</v>
      </c>
      <c r="F1935" s="18">
        <v>8.41</v>
      </c>
      <c r="G1935" s="18" t="s">
        <v>2154</v>
      </c>
      <c r="H1935" s="18" t="s">
        <v>2187</v>
      </c>
    </row>
    <row r="1936" spans="1:8">
      <c r="A1936" s="19" t="s">
        <v>276</v>
      </c>
      <c r="B1936" s="19" t="s">
        <v>4775</v>
      </c>
      <c r="C1936" s="19" t="s">
        <v>2311</v>
      </c>
      <c r="D1936" s="19" t="s">
        <v>2611</v>
      </c>
      <c r="E1936" s="19" t="s">
        <v>2239</v>
      </c>
      <c r="F1936" s="19">
        <v>10.84</v>
      </c>
      <c r="G1936" s="19" t="s">
        <v>2154</v>
      </c>
      <c r="H1936" s="19" t="s">
        <v>2155</v>
      </c>
    </row>
    <row r="1937" spans="1:8">
      <c r="A1937" s="18" t="s">
        <v>1030</v>
      </c>
      <c r="B1937" s="18" t="s">
        <v>4776</v>
      </c>
      <c r="C1937" s="18" t="s">
        <v>2038</v>
      </c>
      <c r="D1937" s="18" t="s">
        <v>2814</v>
      </c>
      <c r="E1937" s="18" t="s">
        <v>3257</v>
      </c>
      <c r="F1937" s="18">
        <v>10.67</v>
      </c>
      <c r="G1937" s="18" t="s">
        <v>2154</v>
      </c>
      <c r="H1937" s="18" t="s">
        <v>2160</v>
      </c>
    </row>
    <row r="1938" spans="1:8">
      <c r="A1938" s="19" t="s">
        <v>1030</v>
      </c>
      <c r="B1938" s="19" t="s">
        <v>4777</v>
      </c>
      <c r="C1938" s="19" t="s">
        <v>2157</v>
      </c>
      <c r="D1938" s="19" t="s">
        <v>2464</v>
      </c>
      <c r="E1938" s="19" t="s">
        <v>2501</v>
      </c>
      <c r="F1938" s="19">
        <v>7.7</v>
      </c>
      <c r="G1938" s="19" t="s">
        <v>2154</v>
      </c>
      <c r="H1938" s="19" t="s">
        <v>2187</v>
      </c>
    </row>
    <row r="1939" spans="1:8">
      <c r="A1939" s="18" t="s">
        <v>1030</v>
      </c>
      <c r="B1939" s="18" t="s">
        <v>4778</v>
      </c>
      <c r="C1939" s="18" t="s">
        <v>2162</v>
      </c>
      <c r="D1939" s="18" t="s">
        <v>2356</v>
      </c>
      <c r="E1939" s="18" t="s">
        <v>2357</v>
      </c>
      <c r="F1939" s="18">
        <v>10.93</v>
      </c>
      <c r="G1939" s="18" t="s">
        <v>2154</v>
      </c>
      <c r="H1939" s="18" t="s">
        <v>2160</v>
      </c>
    </row>
    <row r="1940" spans="1:8">
      <c r="A1940" s="19" t="s">
        <v>1030</v>
      </c>
      <c r="B1940" s="19" t="s">
        <v>4779</v>
      </c>
      <c r="C1940" s="19" t="s">
        <v>4423</v>
      </c>
      <c r="D1940" s="19" t="s">
        <v>2770</v>
      </c>
      <c r="E1940" s="19" t="s">
        <v>2166</v>
      </c>
      <c r="F1940" s="19">
        <v>8.02</v>
      </c>
      <c r="G1940" s="19" t="s">
        <v>2154</v>
      </c>
      <c r="H1940" s="19" t="s">
        <v>2155</v>
      </c>
    </row>
    <row r="1941" spans="1:8">
      <c r="A1941" s="18" t="s">
        <v>1030</v>
      </c>
      <c r="B1941" s="18" t="s">
        <v>4780</v>
      </c>
      <c r="C1941" s="18" t="s">
        <v>2168</v>
      </c>
      <c r="D1941" s="18" t="s">
        <v>2801</v>
      </c>
      <c r="E1941" s="18" t="s">
        <v>2414</v>
      </c>
      <c r="F1941" s="18">
        <v>6.54</v>
      </c>
      <c r="G1941" s="18" t="s">
        <v>2154</v>
      </c>
      <c r="H1941" s="18" t="s">
        <v>2155</v>
      </c>
    </row>
    <row r="1942" spans="1:8">
      <c r="A1942" s="19" t="s">
        <v>1030</v>
      </c>
      <c r="B1942" s="19" t="s">
        <v>4781</v>
      </c>
      <c r="C1942" s="19" t="s">
        <v>2173</v>
      </c>
      <c r="D1942" s="19" t="s">
        <v>2561</v>
      </c>
      <c r="E1942" s="19" t="s">
        <v>3920</v>
      </c>
      <c r="F1942" s="19">
        <v>7.35</v>
      </c>
      <c r="G1942" s="19" t="s">
        <v>2154</v>
      </c>
      <c r="H1942" s="19" t="s">
        <v>2160</v>
      </c>
    </row>
    <row r="1943" spans="1:8">
      <c r="A1943" s="18" t="s">
        <v>1030</v>
      </c>
      <c r="B1943" s="18" t="s">
        <v>4782</v>
      </c>
      <c r="C1943" s="18" t="s">
        <v>2177</v>
      </c>
      <c r="D1943" s="18" t="s">
        <v>2814</v>
      </c>
      <c r="E1943" s="18" t="s">
        <v>2687</v>
      </c>
      <c r="F1943" s="18">
        <v>8.0299999999999994</v>
      </c>
      <c r="G1943" s="18" t="s">
        <v>2154</v>
      </c>
      <c r="H1943" s="18" t="s">
        <v>2187</v>
      </c>
    </row>
    <row r="1944" spans="1:8">
      <c r="A1944" s="19" t="s">
        <v>1030</v>
      </c>
      <c r="B1944" s="19" t="s">
        <v>4783</v>
      </c>
      <c r="C1944" s="19" t="s">
        <v>1945</v>
      </c>
      <c r="D1944" s="19" t="s">
        <v>2437</v>
      </c>
      <c r="E1944" s="19" t="s">
        <v>2455</v>
      </c>
      <c r="F1944" s="19">
        <v>10.83</v>
      </c>
      <c r="G1944" s="19" t="s">
        <v>2154</v>
      </c>
      <c r="H1944" s="19" t="s">
        <v>2160</v>
      </c>
    </row>
    <row r="1945" spans="1:8">
      <c r="A1945" s="18" t="s">
        <v>1030</v>
      </c>
      <c r="B1945" s="18" t="s">
        <v>4784</v>
      </c>
      <c r="C1945" s="18" t="s">
        <v>2184</v>
      </c>
      <c r="D1945" s="18" t="s">
        <v>2479</v>
      </c>
      <c r="E1945" s="18" t="s">
        <v>2480</v>
      </c>
      <c r="F1945" s="18">
        <v>8.7799999999999994</v>
      </c>
      <c r="G1945" s="18" t="s">
        <v>2154</v>
      </c>
      <c r="H1945" s="18" t="s">
        <v>2187</v>
      </c>
    </row>
    <row r="1946" spans="1:8">
      <c r="A1946" s="19" t="s">
        <v>1030</v>
      </c>
      <c r="B1946" s="19" t="s">
        <v>4785</v>
      </c>
      <c r="C1946" s="19" t="s">
        <v>2189</v>
      </c>
      <c r="D1946" s="19"/>
      <c r="E1946" s="19"/>
      <c r="F1946" s="19"/>
      <c r="G1946" s="19" t="s">
        <v>2220</v>
      </c>
      <c r="H1946" s="19" t="s">
        <v>2155</v>
      </c>
    </row>
    <row r="1947" spans="1:8">
      <c r="A1947" s="18" t="s">
        <v>1030</v>
      </c>
      <c r="B1947" s="18" t="s">
        <v>4786</v>
      </c>
      <c r="C1947" s="18" t="s">
        <v>2193</v>
      </c>
      <c r="D1947" s="18" t="s">
        <v>2830</v>
      </c>
      <c r="E1947" s="18" t="s">
        <v>2775</v>
      </c>
      <c r="F1947" s="18">
        <v>11.25</v>
      </c>
      <c r="G1947" s="18" t="s">
        <v>2154</v>
      </c>
      <c r="H1947" s="18" t="s">
        <v>2187</v>
      </c>
    </row>
    <row r="1948" spans="1:8">
      <c r="A1948" s="19" t="s">
        <v>1030</v>
      </c>
      <c r="B1948" s="19" t="s">
        <v>4787</v>
      </c>
      <c r="C1948" s="19" t="s">
        <v>2197</v>
      </c>
      <c r="D1948" s="19" t="s">
        <v>2331</v>
      </c>
      <c r="E1948" s="19" t="s">
        <v>4788</v>
      </c>
      <c r="F1948" s="19">
        <v>11</v>
      </c>
      <c r="G1948" s="19" t="s">
        <v>2154</v>
      </c>
      <c r="H1948" s="19" t="s">
        <v>2171</v>
      </c>
    </row>
    <row r="1949" spans="1:8">
      <c r="A1949" s="18" t="s">
        <v>1030</v>
      </c>
      <c r="B1949" s="18" t="s">
        <v>4789</v>
      </c>
      <c r="C1949" s="18" t="s">
        <v>1819</v>
      </c>
      <c r="D1949" s="18" t="s">
        <v>2460</v>
      </c>
      <c r="E1949" s="18" t="s">
        <v>3279</v>
      </c>
      <c r="F1949" s="18">
        <v>9.42</v>
      </c>
      <c r="G1949" s="18" t="s">
        <v>2154</v>
      </c>
      <c r="H1949" s="18" t="s">
        <v>2171</v>
      </c>
    </row>
    <row r="1950" spans="1:8">
      <c r="A1950" s="19" t="s">
        <v>1030</v>
      </c>
      <c r="B1950" s="19" t="s">
        <v>4790</v>
      </c>
      <c r="C1950" s="19" t="s">
        <v>2204</v>
      </c>
      <c r="D1950" s="19" t="s">
        <v>2703</v>
      </c>
      <c r="E1950" s="19" t="s">
        <v>2704</v>
      </c>
      <c r="F1950" s="19">
        <v>7.88</v>
      </c>
      <c r="G1950" s="19" t="s">
        <v>2154</v>
      </c>
      <c r="H1950" s="19" t="s">
        <v>2160</v>
      </c>
    </row>
    <row r="1951" spans="1:8">
      <c r="A1951" s="18" t="s">
        <v>1030</v>
      </c>
      <c r="B1951" s="18" t="s">
        <v>4791</v>
      </c>
      <c r="C1951" s="18" t="s">
        <v>1843</v>
      </c>
      <c r="D1951" s="18" t="s">
        <v>2786</v>
      </c>
      <c r="E1951" s="18" t="s">
        <v>2554</v>
      </c>
      <c r="F1951" s="18">
        <v>9.42</v>
      </c>
      <c r="G1951" s="18" t="s">
        <v>2154</v>
      </c>
      <c r="H1951" s="18" t="s">
        <v>2171</v>
      </c>
    </row>
    <row r="1952" spans="1:8">
      <c r="A1952" s="19" t="s">
        <v>1030</v>
      </c>
      <c r="B1952" s="19" t="s">
        <v>4792</v>
      </c>
      <c r="C1952" s="19" t="s">
        <v>2211</v>
      </c>
      <c r="D1952" s="19" t="s">
        <v>2356</v>
      </c>
      <c r="E1952" s="19" t="s">
        <v>2357</v>
      </c>
      <c r="F1952" s="19">
        <v>10.6</v>
      </c>
      <c r="G1952" s="19" t="s">
        <v>2154</v>
      </c>
      <c r="H1952" s="19" t="s">
        <v>2171</v>
      </c>
    </row>
    <row r="1953" spans="1:8">
      <c r="A1953" s="18" t="s">
        <v>1030</v>
      </c>
      <c r="B1953" s="18" t="s">
        <v>4793</v>
      </c>
      <c r="C1953" s="18" t="s">
        <v>2215</v>
      </c>
      <c r="D1953" s="18"/>
      <c r="E1953" s="18"/>
      <c r="F1953" s="18"/>
      <c r="G1953" s="18" t="s">
        <v>2343</v>
      </c>
      <c r="H1953" s="18" t="s">
        <v>2155</v>
      </c>
    </row>
    <row r="1954" spans="1:8">
      <c r="A1954" s="19" t="s">
        <v>1030</v>
      </c>
      <c r="B1954" s="19" t="s">
        <v>4794</v>
      </c>
      <c r="C1954" s="19" t="s">
        <v>2219</v>
      </c>
      <c r="D1954" s="19" t="s">
        <v>2696</v>
      </c>
      <c r="E1954" s="19" t="s">
        <v>2434</v>
      </c>
      <c r="F1954" s="19">
        <v>9.1300000000000008</v>
      </c>
      <c r="G1954" s="19" t="s">
        <v>2154</v>
      </c>
      <c r="H1954" s="19" t="s">
        <v>2160</v>
      </c>
    </row>
    <row r="1955" spans="1:8">
      <c r="A1955" s="18" t="s">
        <v>1030</v>
      </c>
      <c r="B1955" s="18" t="s">
        <v>4795</v>
      </c>
      <c r="C1955" s="18" t="s">
        <v>2222</v>
      </c>
      <c r="D1955" s="18" t="s">
        <v>2684</v>
      </c>
      <c r="E1955" s="18" t="s">
        <v>2305</v>
      </c>
      <c r="F1955" s="18">
        <v>8.26</v>
      </c>
      <c r="G1955" s="18" t="s">
        <v>2154</v>
      </c>
      <c r="H1955" s="18" t="s">
        <v>2155</v>
      </c>
    </row>
    <row r="1956" spans="1:8">
      <c r="A1956" s="19" t="s">
        <v>1030</v>
      </c>
      <c r="B1956" s="19" t="s">
        <v>4796</v>
      </c>
      <c r="C1956" s="19" t="s">
        <v>2226</v>
      </c>
      <c r="D1956" s="19" t="s">
        <v>3145</v>
      </c>
      <c r="E1956" s="19" t="s">
        <v>2329</v>
      </c>
      <c r="F1956" s="19">
        <v>8.33</v>
      </c>
      <c r="G1956" s="19" t="s">
        <v>2154</v>
      </c>
      <c r="H1956" s="19" t="s">
        <v>2155</v>
      </c>
    </row>
    <row r="1957" spans="1:8">
      <c r="A1957" s="18" t="s">
        <v>1030</v>
      </c>
      <c r="B1957" s="18" t="s">
        <v>4797</v>
      </c>
      <c r="C1957" s="18" t="s">
        <v>2230</v>
      </c>
      <c r="D1957" s="18" t="s">
        <v>2304</v>
      </c>
      <c r="E1957" s="18" t="s">
        <v>2305</v>
      </c>
      <c r="F1957" s="18">
        <v>9.41</v>
      </c>
      <c r="G1957" s="18" t="s">
        <v>2154</v>
      </c>
      <c r="H1957" s="18" t="s">
        <v>2155</v>
      </c>
    </row>
    <row r="1958" spans="1:8">
      <c r="A1958" s="19" t="s">
        <v>1030</v>
      </c>
      <c r="B1958" s="19" t="s">
        <v>4798</v>
      </c>
      <c r="C1958" s="19" t="s">
        <v>2234</v>
      </c>
      <c r="D1958" s="19" t="s">
        <v>3239</v>
      </c>
      <c r="E1958" s="19" t="s">
        <v>3284</v>
      </c>
      <c r="F1958" s="19">
        <v>7.23</v>
      </c>
      <c r="G1958" s="19" t="s">
        <v>2154</v>
      </c>
      <c r="H1958" s="19" t="s">
        <v>2160</v>
      </c>
    </row>
    <row r="1959" spans="1:8">
      <c r="A1959" s="18" t="s">
        <v>1030</v>
      </c>
      <c r="B1959" s="18" t="s">
        <v>4799</v>
      </c>
      <c r="C1959" s="18" t="s">
        <v>2238</v>
      </c>
      <c r="D1959" s="18" t="s">
        <v>2261</v>
      </c>
      <c r="E1959" s="18" t="s">
        <v>3288</v>
      </c>
      <c r="F1959" s="18">
        <v>9.5500000000000007</v>
      </c>
      <c r="G1959" s="18" t="s">
        <v>2154</v>
      </c>
      <c r="H1959" s="18" t="s">
        <v>2187</v>
      </c>
    </row>
    <row r="1960" spans="1:8">
      <c r="A1960" s="19" t="s">
        <v>1030</v>
      </c>
      <c r="B1960" s="19" t="s">
        <v>4800</v>
      </c>
      <c r="C1960" s="19" t="s">
        <v>2241</v>
      </c>
      <c r="D1960" s="19" t="s">
        <v>3239</v>
      </c>
      <c r="E1960" s="19" t="s">
        <v>3758</v>
      </c>
      <c r="F1960" s="19">
        <v>6.79</v>
      </c>
      <c r="G1960" s="19" t="s">
        <v>2154</v>
      </c>
      <c r="H1960" s="19" t="s">
        <v>2160</v>
      </c>
    </row>
    <row r="1961" spans="1:8">
      <c r="A1961" s="18" t="s">
        <v>1030</v>
      </c>
      <c r="B1961" s="18" t="s">
        <v>4801</v>
      </c>
      <c r="C1961" s="18" t="s">
        <v>2245</v>
      </c>
      <c r="D1961" s="18" t="s">
        <v>2966</v>
      </c>
      <c r="E1961" s="18" t="s">
        <v>3157</v>
      </c>
      <c r="F1961" s="18">
        <v>7.87</v>
      </c>
      <c r="G1961" s="18" t="s">
        <v>2154</v>
      </c>
      <c r="H1961" s="18" t="s">
        <v>2155</v>
      </c>
    </row>
    <row r="1962" spans="1:8">
      <c r="A1962" s="19" t="s">
        <v>1030</v>
      </c>
      <c r="B1962" s="19" t="s">
        <v>4802</v>
      </c>
      <c r="C1962" s="19" t="s">
        <v>2249</v>
      </c>
      <c r="D1962" s="19" t="s">
        <v>2541</v>
      </c>
      <c r="E1962" s="19" t="s">
        <v>3599</v>
      </c>
      <c r="F1962" s="19">
        <v>10.16</v>
      </c>
      <c r="G1962" s="19" t="s">
        <v>2154</v>
      </c>
      <c r="H1962" s="19" t="s">
        <v>2187</v>
      </c>
    </row>
    <row r="1963" spans="1:8">
      <c r="A1963" s="18" t="s">
        <v>1030</v>
      </c>
      <c r="B1963" s="18" t="s">
        <v>4803</v>
      </c>
      <c r="C1963" s="18" t="s">
        <v>2252</v>
      </c>
      <c r="D1963" s="18" t="s">
        <v>2561</v>
      </c>
      <c r="E1963" s="18" t="s">
        <v>3235</v>
      </c>
      <c r="F1963" s="18">
        <v>9.61</v>
      </c>
      <c r="G1963" s="18" t="s">
        <v>2154</v>
      </c>
      <c r="H1963" s="18" t="s">
        <v>2171</v>
      </c>
    </row>
    <row r="1964" spans="1:8">
      <c r="A1964" s="19" t="s">
        <v>1030</v>
      </c>
      <c r="B1964" s="19" t="s">
        <v>4804</v>
      </c>
      <c r="C1964" s="19" t="s">
        <v>2376</v>
      </c>
      <c r="D1964" s="19" t="s">
        <v>3183</v>
      </c>
      <c r="E1964" s="19" t="s">
        <v>3463</v>
      </c>
      <c r="F1964" s="19">
        <v>9.09</v>
      </c>
      <c r="G1964" s="19" t="s">
        <v>2154</v>
      </c>
      <c r="H1964" s="19" t="s">
        <v>2187</v>
      </c>
    </row>
    <row r="1965" spans="1:8">
      <c r="A1965" s="18" t="s">
        <v>1030</v>
      </c>
      <c r="B1965" s="18" t="s">
        <v>4805</v>
      </c>
      <c r="C1965" s="18" t="s">
        <v>2260</v>
      </c>
      <c r="D1965" s="18" t="s">
        <v>3089</v>
      </c>
      <c r="E1965" s="18" t="s">
        <v>2338</v>
      </c>
      <c r="F1965" s="18">
        <v>8.19</v>
      </c>
      <c r="G1965" s="18" t="s">
        <v>2154</v>
      </c>
      <c r="H1965" s="18" t="s">
        <v>2160</v>
      </c>
    </row>
    <row r="1966" spans="1:8">
      <c r="A1966" s="19" t="s">
        <v>1030</v>
      </c>
      <c r="B1966" s="19" t="s">
        <v>4806</v>
      </c>
      <c r="C1966" s="19" t="s">
        <v>2264</v>
      </c>
      <c r="D1966" s="19" t="s">
        <v>2548</v>
      </c>
      <c r="E1966" s="19" t="s">
        <v>2797</v>
      </c>
      <c r="F1966" s="19">
        <v>7.99</v>
      </c>
      <c r="G1966" s="19" t="s">
        <v>2154</v>
      </c>
      <c r="H1966" s="19" t="s">
        <v>2155</v>
      </c>
    </row>
    <row r="1967" spans="1:8">
      <c r="A1967" s="18" t="s">
        <v>1030</v>
      </c>
      <c r="B1967" s="18" t="s">
        <v>4807</v>
      </c>
      <c r="C1967" s="18" t="s">
        <v>1948</v>
      </c>
      <c r="D1967" s="18" t="s">
        <v>2761</v>
      </c>
      <c r="E1967" s="18" t="s">
        <v>3518</v>
      </c>
      <c r="F1967" s="18">
        <v>10.87</v>
      </c>
      <c r="G1967" s="18" t="s">
        <v>2154</v>
      </c>
      <c r="H1967" s="18" t="s">
        <v>2155</v>
      </c>
    </row>
    <row r="1968" spans="1:8">
      <c r="A1968" s="19" t="s">
        <v>1030</v>
      </c>
      <c r="B1968" s="19" t="s">
        <v>4808</v>
      </c>
      <c r="C1968" s="19" t="s">
        <v>2269</v>
      </c>
      <c r="D1968" s="19" t="s">
        <v>3145</v>
      </c>
      <c r="E1968" s="19" t="s">
        <v>2329</v>
      </c>
      <c r="F1968" s="19">
        <v>8.77</v>
      </c>
      <c r="G1968" s="19" t="s">
        <v>2154</v>
      </c>
      <c r="H1968" s="19" t="s">
        <v>2155</v>
      </c>
    </row>
    <row r="1969" spans="1:8">
      <c r="A1969" s="18" t="s">
        <v>1030</v>
      </c>
      <c r="B1969" s="18" t="s">
        <v>4809</v>
      </c>
      <c r="C1969" s="18" t="s">
        <v>2273</v>
      </c>
      <c r="D1969" s="18" t="s">
        <v>2603</v>
      </c>
      <c r="E1969" s="18" t="s">
        <v>2604</v>
      </c>
      <c r="F1969" s="18">
        <v>10.47</v>
      </c>
      <c r="G1969" s="18" t="s">
        <v>2154</v>
      </c>
      <c r="H1969" s="18" t="s">
        <v>2171</v>
      </c>
    </row>
    <row r="1970" spans="1:8">
      <c r="A1970" s="19" t="s">
        <v>1030</v>
      </c>
      <c r="B1970" s="19" t="s">
        <v>4810</v>
      </c>
      <c r="C1970" s="19" t="s">
        <v>2277</v>
      </c>
      <c r="D1970" s="19" t="s">
        <v>3251</v>
      </c>
      <c r="E1970" s="19" t="s">
        <v>3235</v>
      </c>
      <c r="F1970" s="19">
        <v>8.9499999999999993</v>
      </c>
      <c r="G1970" s="19" t="s">
        <v>2154</v>
      </c>
      <c r="H1970" s="19" t="s">
        <v>2171</v>
      </c>
    </row>
    <row r="1971" spans="1:8">
      <c r="A1971" s="18" t="s">
        <v>1030</v>
      </c>
      <c r="B1971" s="18" t="s">
        <v>4811</v>
      </c>
      <c r="C1971" s="18" t="s">
        <v>2281</v>
      </c>
      <c r="D1971" s="18" t="s">
        <v>2464</v>
      </c>
      <c r="E1971" s="18" t="s">
        <v>4812</v>
      </c>
      <c r="F1971" s="18">
        <v>11.13</v>
      </c>
      <c r="G1971" s="18" t="s">
        <v>2154</v>
      </c>
      <c r="H1971" s="18" t="s">
        <v>2171</v>
      </c>
    </row>
    <row r="1972" spans="1:8">
      <c r="A1972" s="19" t="s">
        <v>1030</v>
      </c>
      <c r="B1972" s="19" t="s">
        <v>4813</v>
      </c>
      <c r="C1972" s="19" t="s">
        <v>2396</v>
      </c>
      <c r="D1972" s="19" t="s">
        <v>2488</v>
      </c>
      <c r="E1972" s="19" t="s">
        <v>3055</v>
      </c>
      <c r="F1972" s="19">
        <v>10.88</v>
      </c>
      <c r="G1972" s="19" t="s">
        <v>2154</v>
      </c>
      <c r="H1972" s="19" t="s">
        <v>2160</v>
      </c>
    </row>
    <row r="1973" spans="1:8">
      <c r="A1973" s="18" t="s">
        <v>1030</v>
      </c>
      <c r="B1973" s="18" t="s">
        <v>4814</v>
      </c>
      <c r="C1973" s="18" t="s">
        <v>2289</v>
      </c>
      <c r="D1973" s="18" t="s">
        <v>2606</v>
      </c>
      <c r="E1973" s="18" t="s">
        <v>2254</v>
      </c>
      <c r="F1973" s="18">
        <v>10.050000000000001</v>
      </c>
      <c r="G1973" s="18" t="s">
        <v>2154</v>
      </c>
      <c r="H1973" s="18" t="s">
        <v>2155</v>
      </c>
    </row>
    <row r="1974" spans="1:8">
      <c r="A1974" s="19" t="s">
        <v>1030</v>
      </c>
      <c r="B1974" s="19" t="s">
        <v>4815</v>
      </c>
      <c r="C1974" s="19" t="s">
        <v>2293</v>
      </c>
      <c r="D1974" s="19" t="s">
        <v>2528</v>
      </c>
      <c r="E1974" s="19" t="s">
        <v>2529</v>
      </c>
      <c r="F1974" s="19">
        <v>8.8000000000000007</v>
      </c>
      <c r="G1974" s="19" t="s">
        <v>2154</v>
      </c>
      <c r="H1974" s="19" t="s">
        <v>2171</v>
      </c>
    </row>
    <row r="1975" spans="1:8">
      <c r="A1975" s="18" t="s">
        <v>1030</v>
      </c>
      <c r="B1975" s="18" t="s">
        <v>4816</v>
      </c>
      <c r="C1975" s="18" t="s">
        <v>2296</v>
      </c>
      <c r="D1975" s="18" t="s">
        <v>2387</v>
      </c>
      <c r="E1975" s="18" t="s">
        <v>2587</v>
      </c>
      <c r="F1975" s="18">
        <v>8.24</v>
      </c>
      <c r="G1975" s="18" t="s">
        <v>2154</v>
      </c>
      <c r="H1975" s="18" t="s">
        <v>2160</v>
      </c>
    </row>
    <row r="1976" spans="1:8">
      <c r="A1976" s="19" t="s">
        <v>1030</v>
      </c>
      <c r="B1976" s="19" t="s">
        <v>4817</v>
      </c>
      <c r="C1976" s="19" t="s">
        <v>2300</v>
      </c>
      <c r="D1976" s="19" t="s">
        <v>2578</v>
      </c>
      <c r="E1976" s="19" t="s">
        <v>2579</v>
      </c>
      <c r="F1976" s="19">
        <v>8</v>
      </c>
      <c r="G1976" s="19" t="s">
        <v>2154</v>
      </c>
      <c r="H1976" s="19" t="s">
        <v>2171</v>
      </c>
    </row>
    <row r="1977" spans="1:8">
      <c r="A1977" s="18" t="s">
        <v>1030</v>
      </c>
      <c r="B1977" s="18" t="s">
        <v>4818</v>
      </c>
      <c r="C1977" s="18" t="s">
        <v>2144</v>
      </c>
      <c r="D1977" s="18" t="s">
        <v>3051</v>
      </c>
      <c r="E1977" s="18" t="s">
        <v>2658</v>
      </c>
      <c r="F1977" s="18">
        <v>10.86</v>
      </c>
      <c r="G1977" s="18" t="s">
        <v>2154</v>
      </c>
      <c r="H1977" s="18" t="s">
        <v>2171</v>
      </c>
    </row>
    <row r="1978" spans="1:8">
      <c r="A1978" s="19" t="s">
        <v>1030</v>
      </c>
      <c r="B1978" s="19" t="s">
        <v>4819</v>
      </c>
      <c r="C1978" s="19" t="s">
        <v>2307</v>
      </c>
      <c r="D1978" s="19" t="s">
        <v>2351</v>
      </c>
      <c r="E1978" s="19" t="s">
        <v>4302</v>
      </c>
      <c r="F1978" s="19">
        <v>6.82</v>
      </c>
      <c r="G1978" s="19" t="s">
        <v>2154</v>
      </c>
      <c r="H1978" s="19" t="s">
        <v>2171</v>
      </c>
    </row>
    <row r="1979" spans="1:8">
      <c r="A1979" s="18" t="s">
        <v>1030</v>
      </c>
      <c r="B1979" s="18" t="s">
        <v>4820</v>
      </c>
      <c r="C1979" s="18" t="s">
        <v>2311</v>
      </c>
      <c r="D1979" s="18" t="s">
        <v>2227</v>
      </c>
      <c r="E1979" s="18" t="s">
        <v>3245</v>
      </c>
      <c r="F1979" s="18">
        <v>8.7799999999999994</v>
      </c>
      <c r="G1979" s="18" t="s">
        <v>2154</v>
      </c>
      <c r="H1979" s="18" t="s">
        <v>2171</v>
      </c>
    </row>
    <row r="1980" spans="1:8">
      <c r="A1980" s="19" t="s">
        <v>741</v>
      </c>
      <c r="B1980" s="19" t="s">
        <v>4821</v>
      </c>
      <c r="C1980" s="19" t="s">
        <v>2038</v>
      </c>
      <c r="D1980" s="19" t="s">
        <v>2181</v>
      </c>
      <c r="E1980" s="19" t="s">
        <v>3599</v>
      </c>
      <c r="F1980" s="19">
        <v>9.0399999999999991</v>
      </c>
      <c r="G1980" s="19" t="s">
        <v>2154</v>
      </c>
      <c r="H1980" s="19" t="s">
        <v>2171</v>
      </c>
    </row>
    <row r="1981" spans="1:8">
      <c r="A1981" s="18" t="s">
        <v>741</v>
      </c>
      <c r="B1981" s="18" t="s">
        <v>4822</v>
      </c>
      <c r="C1981" s="18" t="s">
        <v>2157</v>
      </c>
      <c r="D1981" s="18" t="s">
        <v>2572</v>
      </c>
      <c r="E1981" s="18" t="s">
        <v>2743</v>
      </c>
      <c r="F1981" s="18">
        <v>7.8</v>
      </c>
      <c r="G1981" s="18" t="s">
        <v>2154</v>
      </c>
      <c r="H1981" s="18" t="s">
        <v>2171</v>
      </c>
    </row>
    <row r="1982" spans="1:8">
      <c r="A1982" s="19" t="s">
        <v>741</v>
      </c>
      <c r="B1982" s="19" t="s">
        <v>4823</v>
      </c>
      <c r="C1982" s="19" t="s">
        <v>2162</v>
      </c>
      <c r="D1982" s="19" t="s">
        <v>2770</v>
      </c>
      <c r="E1982" s="19" t="s">
        <v>2771</v>
      </c>
      <c r="F1982" s="19">
        <v>6.85</v>
      </c>
      <c r="G1982" s="19" t="s">
        <v>2154</v>
      </c>
      <c r="H1982" s="19" t="s">
        <v>2171</v>
      </c>
    </row>
    <row r="1983" spans="1:8">
      <c r="A1983" s="18" t="s">
        <v>741</v>
      </c>
      <c r="B1983" s="18" t="s">
        <v>4824</v>
      </c>
      <c r="C1983" s="18" t="s">
        <v>1937</v>
      </c>
      <c r="D1983" s="18" t="s">
        <v>3261</v>
      </c>
      <c r="E1983" s="18" t="s">
        <v>2998</v>
      </c>
      <c r="F1983" s="18">
        <v>8.2200000000000006</v>
      </c>
      <c r="G1983" s="18" t="s">
        <v>2154</v>
      </c>
      <c r="H1983" s="18" t="s">
        <v>2187</v>
      </c>
    </row>
    <row r="1984" spans="1:8">
      <c r="A1984" s="19" t="s">
        <v>741</v>
      </c>
      <c r="B1984" s="19" t="s">
        <v>4825</v>
      </c>
      <c r="C1984" s="19" t="s">
        <v>2168</v>
      </c>
      <c r="D1984" s="19" t="s">
        <v>2270</v>
      </c>
      <c r="E1984" s="19" t="s">
        <v>2271</v>
      </c>
      <c r="F1984" s="19">
        <v>9.26</v>
      </c>
      <c r="G1984" s="19" t="s">
        <v>2154</v>
      </c>
      <c r="H1984" s="19" t="s">
        <v>2187</v>
      </c>
    </row>
    <row r="1985" spans="1:8">
      <c r="A1985" s="18" t="s">
        <v>741</v>
      </c>
      <c r="B1985" s="18" t="s">
        <v>4826</v>
      </c>
      <c r="C1985" s="18" t="s">
        <v>2173</v>
      </c>
      <c r="D1985" s="18" t="s">
        <v>2416</v>
      </c>
      <c r="E1985" s="18" t="s">
        <v>4827</v>
      </c>
      <c r="F1985" s="18">
        <v>7.99</v>
      </c>
      <c r="G1985" s="18" t="s">
        <v>2154</v>
      </c>
      <c r="H1985" s="18" t="s">
        <v>2155</v>
      </c>
    </row>
    <row r="1986" spans="1:8">
      <c r="A1986" s="19" t="s">
        <v>741</v>
      </c>
      <c r="B1986" s="19" t="s">
        <v>4828</v>
      </c>
      <c r="C1986" s="19" t="s">
        <v>2177</v>
      </c>
      <c r="D1986" s="19" t="s">
        <v>2319</v>
      </c>
      <c r="E1986" s="19" t="s">
        <v>3733</v>
      </c>
      <c r="F1986" s="19">
        <v>9.83</v>
      </c>
      <c r="G1986" s="19" t="s">
        <v>2154</v>
      </c>
      <c r="H1986" s="19" t="s">
        <v>2187</v>
      </c>
    </row>
    <row r="1987" spans="1:8">
      <c r="A1987" s="18" t="s">
        <v>741</v>
      </c>
      <c r="B1987" s="18" t="s">
        <v>4829</v>
      </c>
      <c r="C1987" s="18" t="s">
        <v>1945</v>
      </c>
      <c r="D1987" s="18" t="s">
        <v>2578</v>
      </c>
      <c r="E1987" s="18" t="s">
        <v>2678</v>
      </c>
      <c r="F1987" s="18">
        <v>9.99</v>
      </c>
      <c r="G1987" s="18" t="s">
        <v>2154</v>
      </c>
      <c r="H1987" s="18" t="s">
        <v>2187</v>
      </c>
    </row>
    <row r="1988" spans="1:8">
      <c r="A1988" s="19" t="s">
        <v>741</v>
      </c>
      <c r="B1988" s="19" t="s">
        <v>4830</v>
      </c>
      <c r="C1988" s="19" t="s">
        <v>2184</v>
      </c>
      <c r="D1988" s="19" t="s">
        <v>2830</v>
      </c>
      <c r="E1988" s="19" t="s">
        <v>2845</v>
      </c>
      <c r="F1988" s="19">
        <v>7.2</v>
      </c>
      <c r="G1988" s="19" t="s">
        <v>2154</v>
      </c>
      <c r="H1988" s="19" t="s">
        <v>2187</v>
      </c>
    </row>
    <row r="1989" spans="1:8">
      <c r="A1989" s="18" t="s">
        <v>741</v>
      </c>
      <c r="B1989" s="18" t="s">
        <v>4831</v>
      </c>
      <c r="C1989" s="18" t="s">
        <v>2189</v>
      </c>
      <c r="D1989" s="18" t="s">
        <v>2201</v>
      </c>
      <c r="E1989" s="18" t="s">
        <v>2724</v>
      </c>
      <c r="F1989" s="18">
        <v>10.8</v>
      </c>
      <c r="G1989" s="18" t="s">
        <v>2154</v>
      </c>
      <c r="H1989" s="18" t="s">
        <v>2171</v>
      </c>
    </row>
    <row r="1990" spans="1:8">
      <c r="A1990" s="19" t="s">
        <v>741</v>
      </c>
      <c r="B1990" s="19" t="s">
        <v>4832</v>
      </c>
      <c r="C1990" s="19" t="s">
        <v>2193</v>
      </c>
      <c r="D1990" s="19" t="s">
        <v>2849</v>
      </c>
      <c r="E1990" s="19" t="s">
        <v>2738</v>
      </c>
      <c r="F1990" s="19">
        <v>7.52</v>
      </c>
      <c r="G1990" s="19" t="s">
        <v>2154</v>
      </c>
      <c r="H1990" s="19" t="s">
        <v>2171</v>
      </c>
    </row>
    <row r="1991" spans="1:8">
      <c r="A1991" s="18" t="s">
        <v>741</v>
      </c>
      <c r="B1991" s="18" t="s">
        <v>4833</v>
      </c>
      <c r="C1991" s="18" t="s">
        <v>2197</v>
      </c>
      <c r="D1991" s="18" t="s">
        <v>2185</v>
      </c>
      <c r="E1991" s="18" t="s">
        <v>2186</v>
      </c>
      <c r="F1991" s="18">
        <v>9.77</v>
      </c>
      <c r="G1991" s="18" t="s">
        <v>2154</v>
      </c>
      <c r="H1991" s="18" t="s">
        <v>2155</v>
      </c>
    </row>
    <row r="1992" spans="1:8">
      <c r="A1992" s="19" t="s">
        <v>741</v>
      </c>
      <c r="B1992" s="19" t="s">
        <v>4834</v>
      </c>
      <c r="C1992" s="19" t="s">
        <v>1819</v>
      </c>
      <c r="D1992" s="19" t="s">
        <v>2594</v>
      </c>
      <c r="E1992" s="19" t="s">
        <v>3157</v>
      </c>
      <c r="F1992" s="19">
        <v>9.9600000000000009</v>
      </c>
      <c r="G1992" s="19" t="s">
        <v>2154</v>
      </c>
      <c r="H1992" s="19" t="s">
        <v>2155</v>
      </c>
    </row>
    <row r="1993" spans="1:8">
      <c r="A1993" s="18" t="s">
        <v>741</v>
      </c>
      <c r="B1993" s="18" t="s">
        <v>4835</v>
      </c>
      <c r="C1993" s="18" t="s">
        <v>2204</v>
      </c>
      <c r="D1993" s="18" t="s">
        <v>2729</v>
      </c>
      <c r="E1993" s="18" t="s">
        <v>3149</v>
      </c>
      <c r="F1993" s="18">
        <v>8.9700000000000006</v>
      </c>
      <c r="G1993" s="18" t="s">
        <v>2154</v>
      </c>
      <c r="H1993" s="18" t="s">
        <v>2187</v>
      </c>
    </row>
    <row r="1994" spans="1:8">
      <c r="A1994" s="19" t="s">
        <v>741</v>
      </c>
      <c r="B1994" s="19" t="s">
        <v>4836</v>
      </c>
      <c r="C1994" s="19" t="s">
        <v>1843</v>
      </c>
      <c r="D1994" s="19" t="s">
        <v>2331</v>
      </c>
      <c r="E1994" s="19" t="s">
        <v>3266</v>
      </c>
      <c r="F1994" s="19">
        <v>7.98</v>
      </c>
      <c r="G1994" s="19" t="s">
        <v>2154</v>
      </c>
      <c r="H1994" s="19" t="s">
        <v>2187</v>
      </c>
    </row>
    <row r="1995" spans="1:8">
      <c r="A1995" s="18" t="s">
        <v>741</v>
      </c>
      <c r="B1995" s="18" t="s">
        <v>4837</v>
      </c>
      <c r="C1995" s="18" t="s">
        <v>2211</v>
      </c>
      <c r="D1995" s="18" t="s">
        <v>2557</v>
      </c>
      <c r="E1995" s="18" t="s">
        <v>2558</v>
      </c>
      <c r="F1995" s="18">
        <v>7.24</v>
      </c>
      <c r="G1995" s="18" t="s">
        <v>2154</v>
      </c>
      <c r="H1995" s="18" t="s">
        <v>2160</v>
      </c>
    </row>
    <row r="1996" spans="1:8">
      <c r="A1996" s="19" t="s">
        <v>741</v>
      </c>
      <c r="B1996" s="19" t="s">
        <v>4838</v>
      </c>
      <c r="C1996" s="19" t="s">
        <v>2215</v>
      </c>
      <c r="D1996" s="19" t="s">
        <v>2428</v>
      </c>
      <c r="E1996" s="19" t="s">
        <v>2391</v>
      </c>
      <c r="F1996" s="19">
        <v>9</v>
      </c>
      <c r="G1996" s="19" t="s">
        <v>2154</v>
      </c>
      <c r="H1996" s="19" t="s">
        <v>2160</v>
      </c>
    </row>
    <row r="1997" spans="1:8">
      <c r="A1997" s="18" t="s">
        <v>741</v>
      </c>
      <c r="B1997" s="18" t="s">
        <v>4839</v>
      </c>
      <c r="C1997" s="18" t="s">
        <v>2219</v>
      </c>
      <c r="D1997" s="18" t="s">
        <v>2426</v>
      </c>
      <c r="E1997" s="18" t="s">
        <v>2329</v>
      </c>
      <c r="F1997" s="18">
        <v>10.51</v>
      </c>
      <c r="G1997" s="18" t="s">
        <v>2154</v>
      </c>
      <c r="H1997" s="18" t="s">
        <v>2160</v>
      </c>
    </row>
    <row r="1998" spans="1:8">
      <c r="A1998" s="19" t="s">
        <v>741</v>
      </c>
      <c r="B1998" s="19" t="s">
        <v>4840</v>
      </c>
      <c r="C1998" s="19" t="s">
        <v>2222</v>
      </c>
      <c r="D1998" s="19" t="s">
        <v>3120</v>
      </c>
      <c r="E1998" s="19" t="s">
        <v>2526</v>
      </c>
      <c r="F1998" s="19">
        <v>8.56</v>
      </c>
      <c r="G1998" s="19" t="s">
        <v>2154</v>
      </c>
      <c r="H1998" s="19" t="s">
        <v>2155</v>
      </c>
    </row>
    <row r="1999" spans="1:8">
      <c r="A1999" s="18" t="s">
        <v>741</v>
      </c>
      <c r="B1999" s="18" t="s">
        <v>4841</v>
      </c>
      <c r="C1999" s="18" t="s">
        <v>2226</v>
      </c>
      <c r="D1999" s="18" t="s">
        <v>2680</v>
      </c>
      <c r="E1999" s="18" t="s">
        <v>2931</v>
      </c>
      <c r="F1999" s="18">
        <v>9.9600000000000009</v>
      </c>
      <c r="G1999" s="18" t="s">
        <v>2154</v>
      </c>
      <c r="H1999" s="18" t="s">
        <v>2160</v>
      </c>
    </row>
    <row r="2000" spans="1:8">
      <c r="A2000" s="19" t="s">
        <v>741</v>
      </c>
      <c r="B2000" s="19" t="s">
        <v>4842</v>
      </c>
      <c r="C2000" s="19" t="s">
        <v>2230</v>
      </c>
      <c r="D2000" s="19" t="s">
        <v>2534</v>
      </c>
      <c r="E2000" s="19" t="s">
        <v>3960</v>
      </c>
      <c r="F2000" s="19">
        <v>6.94</v>
      </c>
      <c r="G2000" s="19" t="s">
        <v>2154</v>
      </c>
      <c r="H2000" s="19" t="s">
        <v>2160</v>
      </c>
    </row>
    <row r="2001" spans="1:8">
      <c r="A2001" s="18" t="s">
        <v>741</v>
      </c>
      <c r="B2001" s="18" t="s">
        <v>4843</v>
      </c>
      <c r="C2001" s="18" t="s">
        <v>2234</v>
      </c>
      <c r="D2001" s="18" t="s">
        <v>2888</v>
      </c>
      <c r="E2001" s="18" t="s">
        <v>2438</v>
      </c>
      <c r="F2001" s="18">
        <v>9.26</v>
      </c>
      <c r="G2001" s="18" t="s">
        <v>2154</v>
      </c>
      <c r="H2001" s="18" t="s">
        <v>2171</v>
      </c>
    </row>
    <row r="2002" spans="1:8">
      <c r="A2002" s="19" t="s">
        <v>741</v>
      </c>
      <c r="B2002" s="19" t="s">
        <v>4844</v>
      </c>
      <c r="C2002" s="19" t="s">
        <v>2238</v>
      </c>
      <c r="D2002" s="19"/>
      <c r="E2002" s="19"/>
      <c r="F2002" s="19"/>
      <c r="G2002" s="19" t="s">
        <v>2220</v>
      </c>
      <c r="H2002" s="19" t="s">
        <v>2160</v>
      </c>
    </row>
    <row r="2003" spans="1:8">
      <c r="A2003" s="18" t="s">
        <v>741</v>
      </c>
      <c r="B2003" s="18" t="s">
        <v>4845</v>
      </c>
      <c r="C2003" s="18" t="s">
        <v>2241</v>
      </c>
      <c r="D2003" s="18" t="s">
        <v>2567</v>
      </c>
      <c r="E2003" s="18" t="s">
        <v>2394</v>
      </c>
      <c r="F2003" s="18">
        <v>7.89</v>
      </c>
      <c r="G2003" s="18" t="s">
        <v>2154</v>
      </c>
      <c r="H2003" s="18" t="s">
        <v>2160</v>
      </c>
    </row>
    <row r="2004" spans="1:8">
      <c r="A2004" s="19" t="s">
        <v>741</v>
      </c>
      <c r="B2004" s="19" t="s">
        <v>4846</v>
      </c>
      <c r="C2004" s="19" t="s">
        <v>2245</v>
      </c>
      <c r="D2004" s="19" t="s">
        <v>3278</v>
      </c>
      <c r="E2004" s="19" t="s">
        <v>2743</v>
      </c>
      <c r="F2004" s="19">
        <v>8.92</v>
      </c>
      <c r="G2004" s="19" t="s">
        <v>2154</v>
      </c>
      <c r="H2004" s="19" t="s">
        <v>2155</v>
      </c>
    </row>
    <row r="2005" spans="1:8">
      <c r="A2005" s="18" t="s">
        <v>741</v>
      </c>
      <c r="B2005" s="18" t="s">
        <v>4847</v>
      </c>
      <c r="C2005" s="18" t="s">
        <v>2249</v>
      </c>
      <c r="D2005" s="18" t="s">
        <v>2387</v>
      </c>
      <c r="E2005" s="18" t="s">
        <v>3980</v>
      </c>
      <c r="F2005" s="18">
        <v>6.77</v>
      </c>
      <c r="G2005" s="18" t="s">
        <v>2154</v>
      </c>
      <c r="H2005" s="18" t="s">
        <v>2155</v>
      </c>
    </row>
    <row r="2006" spans="1:8">
      <c r="A2006" s="19" t="s">
        <v>741</v>
      </c>
      <c r="B2006" s="19" t="s">
        <v>4848</v>
      </c>
      <c r="C2006" s="19" t="s">
        <v>2252</v>
      </c>
      <c r="D2006" s="19" t="s">
        <v>2231</v>
      </c>
      <c r="E2006" s="19" t="s">
        <v>2714</v>
      </c>
      <c r="F2006" s="19">
        <v>9.4499999999999993</v>
      </c>
      <c r="G2006" s="19" t="s">
        <v>2154</v>
      </c>
      <c r="H2006" s="19" t="s">
        <v>2160</v>
      </c>
    </row>
    <row r="2007" spans="1:8">
      <c r="A2007" s="18" t="s">
        <v>741</v>
      </c>
      <c r="B2007" s="18" t="s">
        <v>4849</v>
      </c>
      <c r="C2007" s="18" t="s">
        <v>2376</v>
      </c>
      <c r="D2007" s="18" t="s">
        <v>2169</v>
      </c>
      <c r="E2007" s="18" t="s">
        <v>2799</v>
      </c>
      <c r="F2007" s="18">
        <v>7.11</v>
      </c>
      <c r="G2007" s="18" t="s">
        <v>2154</v>
      </c>
      <c r="H2007" s="18" t="s">
        <v>2171</v>
      </c>
    </row>
    <row r="2008" spans="1:8">
      <c r="A2008" s="19" t="s">
        <v>741</v>
      </c>
      <c r="B2008" s="19" t="s">
        <v>4850</v>
      </c>
      <c r="C2008" s="19" t="s">
        <v>2260</v>
      </c>
      <c r="D2008" s="19" t="s">
        <v>2304</v>
      </c>
      <c r="E2008" s="19" t="s">
        <v>3226</v>
      </c>
      <c r="F2008" s="19">
        <v>6.83</v>
      </c>
      <c r="G2008" s="19" t="s">
        <v>2154</v>
      </c>
      <c r="H2008" s="19" t="s">
        <v>2171</v>
      </c>
    </row>
    <row r="2009" spans="1:8">
      <c r="A2009" s="18" t="s">
        <v>741</v>
      </c>
      <c r="B2009" s="18" t="s">
        <v>4851</v>
      </c>
      <c r="C2009" s="18" t="s">
        <v>2264</v>
      </c>
      <c r="D2009" s="18"/>
      <c r="E2009" s="18"/>
      <c r="F2009" s="18"/>
      <c r="G2009" s="18" t="s">
        <v>2163</v>
      </c>
      <c r="H2009" s="18" t="s">
        <v>2160</v>
      </c>
    </row>
    <row r="2010" spans="1:8">
      <c r="A2010" s="19" t="s">
        <v>741</v>
      </c>
      <c r="B2010" s="19" t="s">
        <v>4852</v>
      </c>
      <c r="C2010" s="19" t="s">
        <v>1948</v>
      </c>
      <c r="D2010" s="19" t="s">
        <v>2464</v>
      </c>
      <c r="E2010" s="19" t="s">
        <v>3241</v>
      </c>
      <c r="F2010" s="19">
        <v>9.91</v>
      </c>
      <c r="G2010" s="19" t="s">
        <v>2154</v>
      </c>
      <c r="H2010" s="19" t="s">
        <v>2160</v>
      </c>
    </row>
    <row r="2011" spans="1:8">
      <c r="A2011" s="18" t="s">
        <v>741</v>
      </c>
      <c r="B2011" s="18" t="s">
        <v>4853</v>
      </c>
      <c r="C2011" s="18" t="s">
        <v>2269</v>
      </c>
      <c r="D2011" s="18" t="s">
        <v>2561</v>
      </c>
      <c r="E2011" s="18" t="s">
        <v>2882</v>
      </c>
      <c r="F2011" s="18">
        <v>8.23</v>
      </c>
      <c r="G2011" s="18" t="s">
        <v>2154</v>
      </c>
      <c r="H2011" s="18" t="s">
        <v>2160</v>
      </c>
    </row>
    <row r="2012" spans="1:8">
      <c r="A2012" s="19" t="s">
        <v>741</v>
      </c>
      <c r="B2012" s="19" t="s">
        <v>4854</v>
      </c>
      <c r="C2012" s="19" t="s">
        <v>2273</v>
      </c>
      <c r="D2012" s="19" t="s">
        <v>2814</v>
      </c>
      <c r="E2012" s="19" t="s">
        <v>2687</v>
      </c>
      <c r="F2012" s="19">
        <v>8.19</v>
      </c>
      <c r="G2012" s="19" t="s">
        <v>2154</v>
      </c>
      <c r="H2012" s="19" t="s">
        <v>2160</v>
      </c>
    </row>
    <row r="2013" spans="1:8">
      <c r="A2013" s="18" t="s">
        <v>741</v>
      </c>
      <c r="B2013" s="18" t="s">
        <v>4855</v>
      </c>
      <c r="C2013" s="18" t="s">
        <v>2277</v>
      </c>
      <c r="D2013" s="18" t="s">
        <v>3010</v>
      </c>
      <c r="E2013" s="18" t="s">
        <v>2209</v>
      </c>
      <c r="F2013" s="18">
        <v>11.43</v>
      </c>
      <c r="G2013" s="18" t="s">
        <v>2154</v>
      </c>
      <c r="H2013" s="18" t="s">
        <v>2155</v>
      </c>
    </row>
    <row r="2014" spans="1:8">
      <c r="A2014" s="19" t="s">
        <v>741</v>
      </c>
      <c r="B2014" s="19" t="s">
        <v>4856</v>
      </c>
      <c r="C2014" s="19" t="s">
        <v>2281</v>
      </c>
      <c r="D2014" s="19" t="s">
        <v>2680</v>
      </c>
      <c r="E2014" s="19" t="s">
        <v>2931</v>
      </c>
      <c r="F2014" s="19">
        <v>9.75</v>
      </c>
      <c r="G2014" s="19" t="s">
        <v>2154</v>
      </c>
      <c r="H2014" s="19" t="s">
        <v>2187</v>
      </c>
    </row>
    <row r="2015" spans="1:8">
      <c r="A2015" s="18" t="s">
        <v>741</v>
      </c>
      <c r="B2015" s="18" t="s">
        <v>4857</v>
      </c>
      <c r="C2015" s="18" t="s">
        <v>2285</v>
      </c>
      <c r="D2015" s="18" t="s">
        <v>2212</v>
      </c>
      <c r="E2015" s="18" t="s">
        <v>2213</v>
      </c>
      <c r="F2015" s="18">
        <v>10.41</v>
      </c>
      <c r="G2015" s="18" t="s">
        <v>2154</v>
      </c>
      <c r="H2015" s="18" t="s">
        <v>2160</v>
      </c>
    </row>
    <row r="2016" spans="1:8">
      <c r="A2016" s="19" t="s">
        <v>741</v>
      </c>
      <c r="B2016" s="19" t="s">
        <v>4858</v>
      </c>
      <c r="C2016" s="19" t="s">
        <v>2289</v>
      </c>
      <c r="D2016" s="19" t="s">
        <v>3120</v>
      </c>
      <c r="E2016" s="19" t="s">
        <v>2324</v>
      </c>
      <c r="F2016" s="19">
        <v>7.81</v>
      </c>
      <c r="G2016" s="19" t="s">
        <v>2154</v>
      </c>
      <c r="H2016" s="19" t="s">
        <v>2155</v>
      </c>
    </row>
    <row r="2017" spans="1:8">
      <c r="A2017" s="18" t="s">
        <v>741</v>
      </c>
      <c r="B2017" s="18" t="s">
        <v>4859</v>
      </c>
      <c r="C2017" s="18" t="s">
        <v>2293</v>
      </c>
      <c r="D2017" s="18" t="s">
        <v>2951</v>
      </c>
      <c r="E2017" s="18" t="s">
        <v>3900</v>
      </c>
      <c r="F2017" s="18">
        <v>7.77</v>
      </c>
      <c r="G2017" s="18" t="s">
        <v>2154</v>
      </c>
      <c r="H2017" s="18" t="s">
        <v>2171</v>
      </c>
    </row>
    <row r="2018" spans="1:8">
      <c r="A2018" s="19" t="s">
        <v>741</v>
      </c>
      <c r="B2018" s="19" t="s">
        <v>4860</v>
      </c>
      <c r="C2018" s="19" t="s">
        <v>2296</v>
      </c>
      <c r="D2018" s="19"/>
      <c r="E2018" s="19"/>
      <c r="F2018" s="19"/>
      <c r="G2018" s="19" t="s">
        <v>2343</v>
      </c>
      <c r="H2018" s="19" t="s">
        <v>2155</v>
      </c>
    </row>
    <row r="2019" spans="1:8">
      <c r="A2019" s="18" t="s">
        <v>741</v>
      </c>
      <c r="B2019" s="18" t="s">
        <v>4861</v>
      </c>
      <c r="C2019" s="18" t="s">
        <v>2300</v>
      </c>
      <c r="D2019" s="18" t="s">
        <v>2464</v>
      </c>
      <c r="E2019" s="18" t="s">
        <v>2501</v>
      </c>
      <c r="F2019" s="18">
        <v>7.2</v>
      </c>
      <c r="G2019" s="18" t="s">
        <v>2154</v>
      </c>
      <c r="H2019" s="18" t="s">
        <v>2187</v>
      </c>
    </row>
    <row r="2020" spans="1:8">
      <c r="A2020" s="19" t="s">
        <v>741</v>
      </c>
      <c r="B2020" s="19" t="s">
        <v>4862</v>
      </c>
      <c r="C2020" s="19" t="s">
        <v>2144</v>
      </c>
      <c r="D2020" s="19" t="s">
        <v>3251</v>
      </c>
      <c r="E2020" s="19" t="s">
        <v>2882</v>
      </c>
      <c r="F2020" s="19">
        <v>7.3</v>
      </c>
      <c r="G2020" s="19" t="s">
        <v>2154</v>
      </c>
      <c r="H2020" s="19" t="s">
        <v>2171</v>
      </c>
    </row>
    <row r="2021" spans="1:8">
      <c r="A2021" s="18" t="s">
        <v>741</v>
      </c>
      <c r="B2021" s="18" t="s">
        <v>4863</v>
      </c>
      <c r="C2021" s="18" t="s">
        <v>2307</v>
      </c>
      <c r="D2021" s="18" t="s">
        <v>2348</v>
      </c>
      <c r="E2021" s="18" t="s">
        <v>2565</v>
      </c>
      <c r="F2021" s="18">
        <v>7.57</v>
      </c>
      <c r="G2021" s="18" t="s">
        <v>2154</v>
      </c>
      <c r="H2021" s="18" t="s">
        <v>2160</v>
      </c>
    </row>
    <row r="2022" spans="1:8">
      <c r="A2022" s="19" t="s">
        <v>741</v>
      </c>
      <c r="B2022" s="19" t="s">
        <v>4864</v>
      </c>
      <c r="C2022" s="19" t="s">
        <v>2311</v>
      </c>
      <c r="D2022" s="19" t="s">
        <v>2951</v>
      </c>
      <c r="E2022" s="19" t="s">
        <v>2866</v>
      </c>
      <c r="F2022" s="19">
        <v>10.64</v>
      </c>
      <c r="G2022" s="19" t="s">
        <v>2154</v>
      </c>
      <c r="H2022" s="19" t="s">
        <v>2155</v>
      </c>
    </row>
    <row r="2023" spans="1:8">
      <c r="A2023" s="18" t="s">
        <v>1495</v>
      </c>
      <c r="B2023" s="18" t="s">
        <v>4865</v>
      </c>
      <c r="C2023" s="18" t="s">
        <v>2038</v>
      </c>
      <c r="D2023" s="18" t="s">
        <v>2684</v>
      </c>
      <c r="E2023" s="18" t="s">
        <v>3790</v>
      </c>
      <c r="F2023" s="18">
        <v>10.34</v>
      </c>
      <c r="G2023" s="18" t="s">
        <v>2154</v>
      </c>
      <c r="H2023" s="18" t="s">
        <v>2187</v>
      </c>
    </row>
    <row r="2024" spans="1:8">
      <c r="A2024" s="19" t="s">
        <v>1495</v>
      </c>
      <c r="B2024" s="19" t="s">
        <v>4866</v>
      </c>
      <c r="C2024" s="19" t="s">
        <v>2157</v>
      </c>
      <c r="D2024" s="19" t="s">
        <v>2594</v>
      </c>
      <c r="E2024" s="19" t="s">
        <v>3966</v>
      </c>
      <c r="F2024" s="19">
        <v>6.98</v>
      </c>
      <c r="G2024" s="19" t="s">
        <v>2154</v>
      </c>
      <c r="H2024" s="19" t="s">
        <v>2155</v>
      </c>
    </row>
    <row r="2025" spans="1:8">
      <c r="A2025" s="18" t="s">
        <v>1495</v>
      </c>
      <c r="B2025" s="18" t="s">
        <v>4867</v>
      </c>
      <c r="C2025" s="18" t="s">
        <v>2162</v>
      </c>
      <c r="D2025" s="18" t="s">
        <v>3077</v>
      </c>
      <c r="E2025" s="18" t="s">
        <v>3137</v>
      </c>
      <c r="F2025" s="18">
        <v>9.33</v>
      </c>
      <c r="G2025" s="18" t="s">
        <v>2154</v>
      </c>
      <c r="H2025" s="18" t="s">
        <v>2187</v>
      </c>
    </row>
    <row r="2026" spans="1:8">
      <c r="A2026" s="19" t="s">
        <v>1495</v>
      </c>
      <c r="B2026" s="19" t="s">
        <v>4868</v>
      </c>
      <c r="C2026" s="19" t="s">
        <v>1937</v>
      </c>
      <c r="D2026" s="19" t="s">
        <v>2696</v>
      </c>
      <c r="E2026" s="19" t="s">
        <v>2434</v>
      </c>
      <c r="F2026" s="19">
        <v>9.61</v>
      </c>
      <c r="G2026" s="19" t="s">
        <v>2154</v>
      </c>
      <c r="H2026" s="19" t="s">
        <v>2160</v>
      </c>
    </row>
    <row r="2027" spans="1:8">
      <c r="A2027" s="18" t="s">
        <v>1495</v>
      </c>
      <c r="B2027" s="18" t="s">
        <v>4869</v>
      </c>
      <c r="C2027" s="18" t="s">
        <v>2168</v>
      </c>
      <c r="D2027" s="18" t="s">
        <v>2370</v>
      </c>
      <c r="E2027" s="18" t="s">
        <v>3620</v>
      </c>
      <c r="F2027" s="18">
        <v>9.9700000000000006</v>
      </c>
      <c r="G2027" s="18" t="s">
        <v>2154</v>
      </c>
      <c r="H2027" s="18" t="s">
        <v>2160</v>
      </c>
    </row>
    <row r="2028" spans="1:8">
      <c r="A2028" s="19" t="s">
        <v>1495</v>
      </c>
      <c r="B2028" s="19" t="s">
        <v>4870</v>
      </c>
      <c r="C2028" s="19" t="s">
        <v>2173</v>
      </c>
      <c r="D2028" s="19" t="s">
        <v>3253</v>
      </c>
      <c r="E2028" s="19" t="s">
        <v>3245</v>
      </c>
      <c r="F2028" s="19">
        <v>9.7200000000000006</v>
      </c>
      <c r="G2028" s="19" t="s">
        <v>2154</v>
      </c>
      <c r="H2028" s="19" t="s">
        <v>2160</v>
      </c>
    </row>
    <row r="2029" spans="1:8">
      <c r="A2029" s="18" t="s">
        <v>1495</v>
      </c>
      <c r="B2029" s="18" t="s">
        <v>4871</v>
      </c>
      <c r="C2029" s="18" t="s">
        <v>2177</v>
      </c>
      <c r="D2029" s="18" t="s">
        <v>2600</v>
      </c>
      <c r="E2029" s="18" t="s">
        <v>2601</v>
      </c>
      <c r="F2029" s="18">
        <v>9.98</v>
      </c>
      <c r="G2029" s="18" t="s">
        <v>2154</v>
      </c>
      <c r="H2029" s="18" t="s">
        <v>2155</v>
      </c>
    </row>
    <row r="2030" spans="1:8">
      <c r="A2030" s="19" t="s">
        <v>1495</v>
      </c>
      <c r="B2030" s="19" t="s">
        <v>4872</v>
      </c>
      <c r="C2030" s="19" t="s">
        <v>1945</v>
      </c>
      <c r="D2030" s="19" t="s">
        <v>2524</v>
      </c>
      <c r="E2030" s="19" t="s">
        <v>2501</v>
      </c>
      <c r="F2030" s="19">
        <v>9.41</v>
      </c>
      <c r="G2030" s="19" t="s">
        <v>2154</v>
      </c>
      <c r="H2030" s="19" t="s">
        <v>2187</v>
      </c>
    </row>
    <row r="2031" spans="1:8">
      <c r="A2031" s="18" t="s">
        <v>1495</v>
      </c>
      <c r="B2031" s="18" t="s">
        <v>4873</v>
      </c>
      <c r="C2031" s="18" t="s">
        <v>2184</v>
      </c>
      <c r="D2031" s="18" t="s">
        <v>2246</v>
      </c>
      <c r="E2031" s="18" t="s">
        <v>2672</v>
      </c>
      <c r="F2031" s="18">
        <v>9.1300000000000008</v>
      </c>
      <c r="G2031" s="18" t="s">
        <v>2154</v>
      </c>
      <c r="H2031" s="18" t="s">
        <v>2155</v>
      </c>
    </row>
    <row r="2032" spans="1:8">
      <c r="A2032" s="19" t="s">
        <v>1495</v>
      </c>
      <c r="B2032" s="19" t="s">
        <v>4874</v>
      </c>
      <c r="C2032" s="19" t="s">
        <v>2189</v>
      </c>
      <c r="D2032" s="19" t="s">
        <v>2521</v>
      </c>
      <c r="E2032" s="19" t="s">
        <v>2522</v>
      </c>
      <c r="F2032" s="19">
        <v>10.57</v>
      </c>
      <c r="G2032" s="19" t="s">
        <v>2154</v>
      </c>
      <c r="H2032" s="19" t="s">
        <v>2187</v>
      </c>
    </row>
    <row r="2033" spans="1:8">
      <c r="A2033" s="18" t="s">
        <v>1495</v>
      </c>
      <c r="B2033" s="18" t="s">
        <v>4875</v>
      </c>
      <c r="C2033" s="18" t="s">
        <v>2193</v>
      </c>
      <c r="D2033" s="18" t="s">
        <v>2416</v>
      </c>
      <c r="E2033" s="18" t="s">
        <v>2663</v>
      </c>
      <c r="F2033" s="18">
        <v>8.1999999999999993</v>
      </c>
      <c r="G2033" s="18" t="s">
        <v>2154</v>
      </c>
      <c r="H2033" s="18" t="s">
        <v>2171</v>
      </c>
    </row>
    <row r="2034" spans="1:8">
      <c r="A2034" s="19" t="s">
        <v>1495</v>
      </c>
      <c r="B2034" s="19" t="s">
        <v>4876</v>
      </c>
      <c r="C2034" s="19" t="s">
        <v>2197</v>
      </c>
      <c r="D2034" s="19" t="s">
        <v>3183</v>
      </c>
      <c r="E2034" s="19" t="s">
        <v>3497</v>
      </c>
      <c r="F2034" s="19">
        <v>8.82</v>
      </c>
      <c r="G2034" s="19" t="s">
        <v>2154</v>
      </c>
      <c r="H2034" s="19" t="s">
        <v>2171</v>
      </c>
    </row>
    <row r="2035" spans="1:8">
      <c r="A2035" s="18" t="s">
        <v>1495</v>
      </c>
      <c r="B2035" s="18" t="s">
        <v>4877</v>
      </c>
      <c r="C2035" s="18" t="s">
        <v>1819</v>
      </c>
      <c r="D2035" s="18" t="s">
        <v>2849</v>
      </c>
      <c r="E2035" s="18" t="s">
        <v>2738</v>
      </c>
      <c r="F2035" s="18">
        <v>7.07</v>
      </c>
      <c r="G2035" s="18" t="s">
        <v>2154</v>
      </c>
      <c r="H2035" s="18" t="s">
        <v>2160</v>
      </c>
    </row>
    <row r="2036" spans="1:8">
      <c r="A2036" s="19" t="s">
        <v>1495</v>
      </c>
      <c r="B2036" s="19" t="s">
        <v>4878</v>
      </c>
      <c r="C2036" s="19" t="s">
        <v>2204</v>
      </c>
      <c r="D2036" s="19" t="s">
        <v>2830</v>
      </c>
      <c r="E2036" s="19" t="s">
        <v>2775</v>
      </c>
      <c r="F2036" s="19">
        <v>11.44</v>
      </c>
      <c r="G2036" s="19" t="s">
        <v>2154</v>
      </c>
      <c r="H2036" s="19" t="s">
        <v>2155</v>
      </c>
    </row>
    <row r="2037" spans="1:8">
      <c r="A2037" s="18" t="s">
        <v>1495</v>
      </c>
      <c r="B2037" s="18" t="s">
        <v>4879</v>
      </c>
      <c r="C2037" s="18" t="s">
        <v>1843</v>
      </c>
      <c r="D2037" s="18" t="s">
        <v>2428</v>
      </c>
      <c r="E2037" s="18" t="s">
        <v>2341</v>
      </c>
      <c r="F2037" s="18">
        <v>8.91</v>
      </c>
      <c r="G2037" s="18" t="s">
        <v>2154</v>
      </c>
      <c r="H2037" s="18" t="s">
        <v>2160</v>
      </c>
    </row>
    <row r="2038" spans="1:8">
      <c r="A2038" s="19" t="s">
        <v>1495</v>
      </c>
      <c r="B2038" s="19" t="s">
        <v>4880</v>
      </c>
      <c r="C2038" s="19" t="s">
        <v>2211</v>
      </c>
      <c r="D2038" s="19" t="s">
        <v>2814</v>
      </c>
      <c r="E2038" s="19" t="s">
        <v>3372</v>
      </c>
      <c r="F2038" s="19">
        <v>7.63</v>
      </c>
      <c r="G2038" s="19" t="s">
        <v>2154</v>
      </c>
      <c r="H2038" s="19" t="s">
        <v>2171</v>
      </c>
    </row>
    <row r="2039" spans="1:8">
      <c r="A2039" s="18" t="s">
        <v>1495</v>
      </c>
      <c r="B2039" s="18" t="s">
        <v>4881</v>
      </c>
      <c r="C2039" s="18" t="s">
        <v>2215</v>
      </c>
      <c r="D2039" s="18" t="s">
        <v>2308</v>
      </c>
      <c r="E2039" s="18" t="s">
        <v>3635</v>
      </c>
      <c r="F2039" s="18">
        <v>8.57</v>
      </c>
      <c r="G2039" s="18" t="s">
        <v>2154</v>
      </c>
      <c r="H2039" s="18" t="s">
        <v>2187</v>
      </c>
    </row>
    <row r="2040" spans="1:8">
      <c r="A2040" s="19" t="s">
        <v>1495</v>
      </c>
      <c r="B2040" s="19" t="s">
        <v>4882</v>
      </c>
      <c r="C2040" s="19" t="s">
        <v>2219</v>
      </c>
      <c r="D2040" s="19" t="s">
        <v>2584</v>
      </c>
      <c r="E2040" s="19" t="s">
        <v>3379</v>
      </c>
      <c r="F2040" s="19">
        <v>10.73</v>
      </c>
      <c r="G2040" s="19" t="s">
        <v>2154</v>
      </c>
      <c r="H2040" s="19" t="s">
        <v>2171</v>
      </c>
    </row>
    <row r="2041" spans="1:8">
      <c r="A2041" s="18" t="s">
        <v>1495</v>
      </c>
      <c r="B2041" s="18" t="s">
        <v>4883</v>
      </c>
      <c r="C2041" s="18" t="s">
        <v>2222</v>
      </c>
      <c r="D2041" s="18" t="s">
        <v>2431</v>
      </c>
      <c r="E2041" s="18" t="s">
        <v>3643</v>
      </c>
      <c r="F2041" s="18">
        <v>11.26</v>
      </c>
      <c r="G2041" s="18" t="s">
        <v>2154</v>
      </c>
      <c r="H2041" s="18" t="s">
        <v>2187</v>
      </c>
    </row>
    <row r="2042" spans="1:8">
      <c r="A2042" s="19" t="s">
        <v>1495</v>
      </c>
      <c r="B2042" s="19" t="s">
        <v>4884</v>
      </c>
      <c r="C2042" s="19" t="s">
        <v>2226</v>
      </c>
      <c r="D2042" s="19" t="s">
        <v>3085</v>
      </c>
      <c r="E2042" s="19" t="s">
        <v>3288</v>
      </c>
      <c r="F2042" s="19">
        <v>8.93</v>
      </c>
      <c r="G2042" s="19" t="s">
        <v>2154</v>
      </c>
      <c r="H2042" s="19" t="s">
        <v>2171</v>
      </c>
    </row>
    <row r="2043" spans="1:8">
      <c r="A2043" s="18" t="s">
        <v>1495</v>
      </c>
      <c r="B2043" s="18" t="s">
        <v>4885</v>
      </c>
      <c r="C2043" s="18" t="s">
        <v>2230</v>
      </c>
      <c r="D2043" s="18" t="s">
        <v>2323</v>
      </c>
      <c r="E2043" s="18" t="s">
        <v>3331</v>
      </c>
      <c r="F2043" s="18">
        <v>10.199999999999999</v>
      </c>
      <c r="G2043" s="18" t="s">
        <v>2154</v>
      </c>
      <c r="H2043" s="18" t="s">
        <v>2160</v>
      </c>
    </row>
    <row r="2044" spans="1:8">
      <c r="A2044" s="19" t="s">
        <v>1495</v>
      </c>
      <c r="B2044" s="19" t="s">
        <v>4886</v>
      </c>
      <c r="C2044" s="19" t="s">
        <v>2234</v>
      </c>
      <c r="D2044" s="19" t="s">
        <v>2257</v>
      </c>
      <c r="E2044" s="19" t="s">
        <v>2736</v>
      </c>
      <c r="F2044" s="19">
        <v>9.32</v>
      </c>
      <c r="G2044" s="19" t="s">
        <v>2154</v>
      </c>
      <c r="H2044" s="19" t="s">
        <v>2187</v>
      </c>
    </row>
    <row r="2045" spans="1:8">
      <c r="A2045" s="18" t="s">
        <v>1495</v>
      </c>
      <c r="B2045" s="18" t="s">
        <v>4887</v>
      </c>
      <c r="C2045" s="18" t="s">
        <v>2238</v>
      </c>
      <c r="D2045" s="18" t="s">
        <v>2408</v>
      </c>
      <c r="E2045" s="18" t="s">
        <v>2738</v>
      </c>
      <c r="F2045" s="18">
        <v>8.41</v>
      </c>
      <c r="G2045" s="18" t="s">
        <v>2154</v>
      </c>
      <c r="H2045" s="18" t="s">
        <v>2155</v>
      </c>
    </row>
    <row r="2046" spans="1:8">
      <c r="A2046" s="19" t="s">
        <v>1495</v>
      </c>
      <c r="B2046" s="19" t="s">
        <v>4888</v>
      </c>
      <c r="C2046" s="19" t="s">
        <v>2241</v>
      </c>
      <c r="D2046" s="19" t="s">
        <v>2488</v>
      </c>
      <c r="E2046" s="19" t="s">
        <v>3118</v>
      </c>
      <c r="F2046" s="19">
        <v>9.44</v>
      </c>
      <c r="G2046" s="19" t="s">
        <v>2154</v>
      </c>
      <c r="H2046" s="19" t="s">
        <v>2160</v>
      </c>
    </row>
    <row r="2047" spans="1:8">
      <c r="A2047" s="18" t="s">
        <v>1495</v>
      </c>
      <c r="B2047" s="18" t="s">
        <v>4889</v>
      </c>
      <c r="C2047" s="18" t="s">
        <v>2245</v>
      </c>
      <c r="D2047" s="18" t="s">
        <v>2198</v>
      </c>
      <c r="E2047" s="18" t="s">
        <v>2749</v>
      </c>
      <c r="F2047" s="18">
        <v>9.7100000000000009</v>
      </c>
      <c r="G2047" s="18" t="s">
        <v>2154</v>
      </c>
      <c r="H2047" s="18" t="s">
        <v>2187</v>
      </c>
    </row>
    <row r="2048" spans="1:8">
      <c r="A2048" s="19" t="s">
        <v>1495</v>
      </c>
      <c r="B2048" s="19" t="s">
        <v>4890</v>
      </c>
      <c r="C2048" s="19" t="s">
        <v>2249</v>
      </c>
      <c r="D2048" s="19" t="s">
        <v>2888</v>
      </c>
      <c r="E2048" s="19" t="s">
        <v>2438</v>
      </c>
      <c r="F2048" s="19">
        <v>9.76</v>
      </c>
      <c r="G2048" s="19" t="s">
        <v>2154</v>
      </c>
      <c r="H2048" s="19" t="s">
        <v>2187</v>
      </c>
    </row>
    <row r="2049" spans="1:8">
      <c r="A2049" s="18" t="s">
        <v>1495</v>
      </c>
      <c r="B2049" s="18" t="s">
        <v>4891</v>
      </c>
      <c r="C2049" s="18" t="s">
        <v>2252</v>
      </c>
      <c r="D2049" s="18" t="s">
        <v>2340</v>
      </c>
      <c r="E2049" s="18" t="s">
        <v>3081</v>
      </c>
      <c r="F2049" s="18">
        <v>10.3</v>
      </c>
      <c r="G2049" s="18" t="s">
        <v>2154</v>
      </c>
      <c r="H2049" s="18" t="s">
        <v>2171</v>
      </c>
    </row>
    <row r="2050" spans="1:8">
      <c r="A2050" s="19" t="s">
        <v>1495</v>
      </c>
      <c r="B2050" s="19" t="s">
        <v>4892</v>
      </c>
      <c r="C2050" s="19" t="s">
        <v>2376</v>
      </c>
      <c r="D2050" s="19" t="s">
        <v>2393</v>
      </c>
      <c r="E2050" s="19" t="s">
        <v>2551</v>
      </c>
      <c r="F2050" s="19">
        <v>8.74</v>
      </c>
      <c r="G2050" s="19" t="s">
        <v>2154</v>
      </c>
      <c r="H2050" s="19" t="s">
        <v>2160</v>
      </c>
    </row>
    <row r="2051" spans="1:8">
      <c r="A2051" s="18" t="s">
        <v>1495</v>
      </c>
      <c r="B2051" s="18" t="s">
        <v>4893</v>
      </c>
      <c r="C2051" s="18" t="s">
        <v>2260</v>
      </c>
      <c r="D2051" s="18" t="s">
        <v>2383</v>
      </c>
      <c r="E2051" s="18" t="s">
        <v>2489</v>
      </c>
      <c r="F2051" s="18">
        <v>9.1199999999999992</v>
      </c>
      <c r="G2051" s="18" t="s">
        <v>2154</v>
      </c>
      <c r="H2051" s="18" t="s">
        <v>2155</v>
      </c>
    </row>
    <row r="2052" spans="1:8">
      <c r="A2052" s="19" t="s">
        <v>1495</v>
      </c>
      <c r="B2052" s="19" t="s">
        <v>4894</v>
      </c>
      <c r="C2052" s="19" t="s">
        <v>2264</v>
      </c>
      <c r="D2052" s="19" t="s">
        <v>2373</v>
      </c>
      <c r="E2052" s="19" t="s">
        <v>3823</v>
      </c>
      <c r="F2052" s="19">
        <v>8.7899999999999991</v>
      </c>
      <c r="G2052" s="19" t="s">
        <v>2154</v>
      </c>
      <c r="H2052" s="19" t="s">
        <v>2171</v>
      </c>
    </row>
    <row r="2053" spans="1:8">
      <c r="A2053" s="18" t="s">
        <v>1495</v>
      </c>
      <c r="B2053" s="18" t="s">
        <v>4895</v>
      </c>
      <c r="C2053" s="18" t="s">
        <v>1948</v>
      </c>
      <c r="D2053" s="18" t="s">
        <v>2216</v>
      </c>
      <c r="E2053" s="18" t="s">
        <v>2745</v>
      </c>
      <c r="F2053" s="18">
        <v>10.69</v>
      </c>
      <c r="G2053" s="18" t="s">
        <v>2154</v>
      </c>
      <c r="H2053" s="18" t="s">
        <v>2187</v>
      </c>
    </row>
    <row r="2054" spans="1:8">
      <c r="A2054" s="19" t="s">
        <v>1495</v>
      </c>
      <c r="B2054" s="19" t="s">
        <v>4896</v>
      </c>
      <c r="C2054" s="19" t="s">
        <v>2269</v>
      </c>
      <c r="D2054" s="19" t="s">
        <v>2464</v>
      </c>
      <c r="E2054" s="19" t="s">
        <v>3241</v>
      </c>
      <c r="F2054" s="19">
        <v>9.85</v>
      </c>
      <c r="G2054" s="19" t="s">
        <v>2154</v>
      </c>
      <c r="H2054" s="19" t="s">
        <v>2155</v>
      </c>
    </row>
    <row r="2055" spans="1:8">
      <c r="A2055" s="18" t="s">
        <v>1495</v>
      </c>
      <c r="B2055" s="18" t="s">
        <v>4897</v>
      </c>
      <c r="C2055" s="18" t="s">
        <v>2273</v>
      </c>
      <c r="D2055" s="18" t="s">
        <v>2536</v>
      </c>
      <c r="E2055" s="18" t="s">
        <v>4898</v>
      </c>
      <c r="F2055" s="18">
        <v>10.1</v>
      </c>
      <c r="G2055" s="18" t="s">
        <v>2154</v>
      </c>
      <c r="H2055" s="18" t="s">
        <v>2155</v>
      </c>
    </row>
    <row r="2056" spans="1:8">
      <c r="A2056" s="19" t="s">
        <v>1495</v>
      </c>
      <c r="B2056" s="19" t="s">
        <v>4899</v>
      </c>
      <c r="C2056" s="19" t="s">
        <v>2277</v>
      </c>
      <c r="D2056" s="19" t="s">
        <v>2426</v>
      </c>
      <c r="E2056" s="19" t="s">
        <v>4900</v>
      </c>
      <c r="F2056" s="19">
        <v>6.89</v>
      </c>
      <c r="G2056" s="19" t="s">
        <v>2154</v>
      </c>
      <c r="H2056" s="19" t="s">
        <v>2171</v>
      </c>
    </row>
    <row r="2057" spans="1:8">
      <c r="A2057" s="18" t="s">
        <v>1495</v>
      </c>
      <c r="B2057" s="18" t="s">
        <v>4901</v>
      </c>
      <c r="C2057" s="18" t="s">
        <v>2281</v>
      </c>
      <c r="D2057" s="18" t="s">
        <v>2700</v>
      </c>
      <c r="E2057" s="18" t="s">
        <v>3393</v>
      </c>
      <c r="F2057" s="18">
        <v>10.94</v>
      </c>
      <c r="G2057" s="18" t="s">
        <v>2154</v>
      </c>
      <c r="H2057" s="18" t="s">
        <v>2160</v>
      </c>
    </row>
    <row r="2058" spans="1:8">
      <c r="A2058" s="19" t="s">
        <v>1495</v>
      </c>
      <c r="B2058" s="19" t="s">
        <v>4902</v>
      </c>
      <c r="C2058" s="19" t="s">
        <v>2396</v>
      </c>
      <c r="D2058" s="19" t="s">
        <v>2270</v>
      </c>
      <c r="E2058" s="19" t="s">
        <v>2499</v>
      </c>
      <c r="F2058" s="19">
        <v>8.91</v>
      </c>
      <c r="G2058" s="19" t="s">
        <v>2154</v>
      </c>
      <c r="H2058" s="19" t="s">
        <v>2187</v>
      </c>
    </row>
    <row r="2059" spans="1:8">
      <c r="A2059" s="18" t="s">
        <v>1495</v>
      </c>
      <c r="B2059" s="18" t="s">
        <v>4903</v>
      </c>
      <c r="C2059" s="18" t="s">
        <v>2289</v>
      </c>
      <c r="D2059" s="18" t="s">
        <v>3010</v>
      </c>
      <c r="E2059" s="18" t="s">
        <v>3011</v>
      </c>
      <c r="F2059" s="18">
        <v>8.7200000000000006</v>
      </c>
      <c r="G2059" s="18" t="s">
        <v>2154</v>
      </c>
      <c r="H2059" s="18" t="s">
        <v>2171</v>
      </c>
    </row>
    <row r="2060" spans="1:8">
      <c r="A2060" s="19" t="s">
        <v>1495</v>
      </c>
      <c r="B2060" s="19" t="s">
        <v>4904</v>
      </c>
      <c r="C2060" s="19" t="s">
        <v>2293</v>
      </c>
      <c r="D2060" s="19" t="s">
        <v>3278</v>
      </c>
      <c r="E2060" s="19" t="s">
        <v>2461</v>
      </c>
      <c r="F2060" s="19">
        <v>9.1199999999999992</v>
      </c>
      <c r="G2060" s="19" t="s">
        <v>2154</v>
      </c>
      <c r="H2060" s="19" t="s">
        <v>2160</v>
      </c>
    </row>
    <row r="2061" spans="1:8">
      <c r="A2061" s="18" t="s">
        <v>1495</v>
      </c>
      <c r="B2061" s="18" t="s">
        <v>4905</v>
      </c>
      <c r="C2061" s="18" t="s">
        <v>4906</v>
      </c>
      <c r="D2061" s="18" t="s">
        <v>2370</v>
      </c>
      <c r="E2061" s="18" t="s">
        <v>4907</v>
      </c>
      <c r="F2061" s="18">
        <v>11.04</v>
      </c>
      <c r="G2061" s="18" t="s">
        <v>2154</v>
      </c>
      <c r="H2061" s="18" t="s">
        <v>2155</v>
      </c>
    </row>
    <row r="2062" spans="1:8">
      <c r="A2062" s="19" t="s">
        <v>1495</v>
      </c>
      <c r="B2062" s="19" t="s">
        <v>4908</v>
      </c>
      <c r="C2062" s="19" t="s">
        <v>2300</v>
      </c>
      <c r="D2062" s="19" t="s">
        <v>2885</v>
      </c>
      <c r="E2062" s="19" t="s">
        <v>3103</v>
      </c>
      <c r="F2062" s="19">
        <v>8.23</v>
      </c>
      <c r="G2062" s="19" t="s">
        <v>2154</v>
      </c>
      <c r="H2062" s="19" t="s">
        <v>2160</v>
      </c>
    </row>
    <row r="2063" spans="1:8">
      <c r="A2063" s="18" t="s">
        <v>1495</v>
      </c>
      <c r="B2063" s="18" t="s">
        <v>4909</v>
      </c>
      <c r="C2063" s="18" t="s">
        <v>2144</v>
      </c>
      <c r="D2063" s="18" t="s">
        <v>2513</v>
      </c>
      <c r="E2063" s="18" t="s">
        <v>2514</v>
      </c>
      <c r="F2063" s="18">
        <v>7.08</v>
      </c>
      <c r="G2063" s="18" t="s">
        <v>2154</v>
      </c>
      <c r="H2063" s="18" t="s">
        <v>2171</v>
      </c>
    </row>
    <row r="2064" spans="1:8">
      <c r="A2064" s="19" t="s">
        <v>1495</v>
      </c>
      <c r="B2064" s="19" t="s">
        <v>4910</v>
      </c>
      <c r="C2064" s="19" t="s">
        <v>2307</v>
      </c>
      <c r="D2064" s="19" t="s">
        <v>2340</v>
      </c>
      <c r="E2064" s="19" t="s">
        <v>2429</v>
      </c>
      <c r="F2064" s="19">
        <v>8.51</v>
      </c>
      <c r="G2064" s="19" t="s">
        <v>2154</v>
      </c>
      <c r="H2064" s="19" t="s">
        <v>2171</v>
      </c>
    </row>
    <row r="2065" spans="1:8">
      <c r="A2065" s="18" t="s">
        <v>1495</v>
      </c>
      <c r="B2065" s="18" t="s">
        <v>4911</v>
      </c>
      <c r="C2065" s="18" t="s">
        <v>2311</v>
      </c>
      <c r="D2065" s="18" t="s">
        <v>3020</v>
      </c>
      <c r="E2065" s="18" t="s">
        <v>2617</v>
      </c>
      <c r="F2065" s="18">
        <v>7.8</v>
      </c>
      <c r="G2065" s="18" t="s">
        <v>2154</v>
      </c>
      <c r="H2065" s="18" t="s">
        <v>2155</v>
      </c>
    </row>
    <row r="2066" spans="1:8">
      <c r="A2066" s="19" t="s">
        <v>1142</v>
      </c>
      <c r="B2066" s="19" t="s">
        <v>4912</v>
      </c>
      <c r="C2066" s="19" t="s">
        <v>2038</v>
      </c>
      <c r="D2066" s="19" t="s">
        <v>2383</v>
      </c>
      <c r="E2066" s="19" t="s">
        <v>2511</v>
      </c>
      <c r="F2066" s="19">
        <v>7</v>
      </c>
      <c r="G2066" s="19" t="s">
        <v>2154</v>
      </c>
      <c r="H2066" s="19" t="s">
        <v>2160</v>
      </c>
    </row>
    <row r="2067" spans="1:8">
      <c r="A2067" s="18" t="s">
        <v>1142</v>
      </c>
      <c r="B2067" s="18" t="s">
        <v>4913</v>
      </c>
      <c r="C2067" s="18" t="s">
        <v>2157</v>
      </c>
      <c r="D2067" s="18" t="s">
        <v>2242</v>
      </c>
      <c r="E2067" s="18" t="s">
        <v>2565</v>
      </c>
      <c r="F2067" s="18">
        <v>8.69</v>
      </c>
      <c r="G2067" s="18" t="s">
        <v>2154</v>
      </c>
      <c r="H2067" s="18" t="s">
        <v>2171</v>
      </c>
    </row>
    <row r="2068" spans="1:8">
      <c r="A2068" s="19" t="s">
        <v>1142</v>
      </c>
      <c r="B2068" s="19" t="s">
        <v>4914</v>
      </c>
      <c r="C2068" s="19" t="s">
        <v>2162</v>
      </c>
      <c r="D2068" s="19" t="s">
        <v>2488</v>
      </c>
      <c r="E2068" s="19" t="s">
        <v>3118</v>
      </c>
      <c r="F2068" s="19">
        <v>9.39</v>
      </c>
      <c r="G2068" s="19" t="s">
        <v>2154</v>
      </c>
      <c r="H2068" s="19" t="s">
        <v>2155</v>
      </c>
    </row>
    <row r="2069" spans="1:8">
      <c r="A2069" s="18" t="s">
        <v>1142</v>
      </c>
      <c r="B2069" s="18" t="s">
        <v>4915</v>
      </c>
      <c r="C2069" s="18" t="s">
        <v>1937</v>
      </c>
      <c r="D2069" s="18" t="s">
        <v>2690</v>
      </c>
      <c r="E2069" s="18" t="s">
        <v>2691</v>
      </c>
      <c r="F2069" s="18">
        <v>6.73</v>
      </c>
      <c r="G2069" s="18" t="s">
        <v>2154</v>
      </c>
      <c r="H2069" s="18" t="s">
        <v>2155</v>
      </c>
    </row>
    <row r="2070" spans="1:8">
      <c r="A2070" s="19" t="s">
        <v>1142</v>
      </c>
      <c r="B2070" s="19" t="s">
        <v>4916</v>
      </c>
      <c r="C2070" s="19" t="s">
        <v>2168</v>
      </c>
      <c r="D2070" s="19" t="s">
        <v>2485</v>
      </c>
      <c r="E2070" s="19" t="s">
        <v>2653</v>
      </c>
      <c r="F2070" s="19">
        <v>7.61</v>
      </c>
      <c r="G2070" s="19" t="s">
        <v>2154</v>
      </c>
      <c r="H2070" s="19" t="s">
        <v>2160</v>
      </c>
    </row>
    <row r="2071" spans="1:8">
      <c r="A2071" s="18" t="s">
        <v>1142</v>
      </c>
      <c r="B2071" s="18" t="s">
        <v>4917</v>
      </c>
      <c r="C2071" s="18" t="s">
        <v>2173</v>
      </c>
      <c r="D2071" s="18" t="s">
        <v>2835</v>
      </c>
      <c r="E2071" s="18" t="s">
        <v>3169</v>
      </c>
      <c r="F2071" s="18">
        <v>9.01</v>
      </c>
      <c r="G2071" s="18" t="s">
        <v>2154</v>
      </c>
      <c r="H2071" s="18" t="s">
        <v>2155</v>
      </c>
    </row>
    <row r="2072" spans="1:8">
      <c r="A2072" s="19" t="s">
        <v>1142</v>
      </c>
      <c r="B2072" s="19" t="s">
        <v>4918</v>
      </c>
      <c r="C2072" s="19" t="s">
        <v>2177</v>
      </c>
      <c r="D2072" s="19" t="s">
        <v>2393</v>
      </c>
      <c r="E2072" s="19" t="s">
        <v>2946</v>
      </c>
      <c r="F2072" s="19">
        <v>10.09</v>
      </c>
      <c r="G2072" s="19" t="s">
        <v>2154</v>
      </c>
      <c r="H2072" s="19" t="s">
        <v>2155</v>
      </c>
    </row>
    <row r="2073" spans="1:8">
      <c r="A2073" s="18" t="s">
        <v>1142</v>
      </c>
      <c r="B2073" s="18" t="s">
        <v>4919</v>
      </c>
      <c r="C2073" s="18" t="s">
        <v>1945</v>
      </c>
      <c r="D2073" s="18" t="s">
        <v>2534</v>
      </c>
      <c r="E2073" s="18" t="s">
        <v>3960</v>
      </c>
      <c r="F2073" s="18">
        <v>6.88</v>
      </c>
      <c r="G2073" s="18" t="s">
        <v>2154</v>
      </c>
      <c r="H2073" s="18" t="s">
        <v>2187</v>
      </c>
    </row>
    <row r="2074" spans="1:8">
      <c r="A2074" s="19" t="s">
        <v>1142</v>
      </c>
      <c r="B2074" s="19" t="s">
        <v>4920</v>
      </c>
      <c r="C2074" s="19" t="s">
        <v>2184</v>
      </c>
      <c r="D2074" s="19" t="s">
        <v>3183</v>
      </c>
      <c r="E2074" s="19" t="s">
        <v>4921</v>
      </c>
      <c r="F2074" s="19">
        <v>6.67</v>
      </c>
      <c r="G2074" s="19" t="s">
        <v>2154</v>
      </c>
      <c r="H2074" s="19" t="s">
        <v>2187</v>
      </c>
    </row>
    <row r="2075" spans="1:8">
      <c r="A2075" s="18" t="s">
        <v>1142</v>
      </c>
      <c r="B2075" s="18" t="s">
        <v>4922</v>
      </c>
      <c r="C2075" s="18" t="s">
        <v>2189</v>
      </c>
      <c r="D2075" s="18" t="s">
        <v>3066</v>
      </c>
      <c r="E2075" s="18" t="s">
        <v>3067</v>
      </c>
      <c r="F2075" s="18">
        <v>8.82</v>
      </c>
      <c r="G2075" s="18" t="s">
        <v>2154</v>
      </c>
      <c r="H2075" s="18" t="s">
        <v>2187</v>
      </c>
    </row>
    <row r="2076" spans="1:8">
      <c r="A2076" s="19" t="s">
        <v>1142</v>
      </c>
      <c r="B2076" s="19" t="s">
        <v>4923</v>
      </c>
      <c r="C2076" s="19" t="s">
        <v>2193</v>
      </c>
      <c r="D2076" s="19" t="s">
        <v>2635</v>
      </c>
      <c r="E2076" s="19" t="s">
        <v>3169</v>
      </c>
      <c r="F2076" s="19">
        <v>10.45</v>
      </c>
      <c r="G2076" s="19" t="s">
        <v>2154</v>
      </c>
      <c r="H2076" s="19" t="s">
        <v>2155</v>
      </c>
    </row>
    <row r="2077" spans="1:8">
      <c r="A2077" s="18" t="s">
        <v>1142</v>
      </c>
      <c r="B2077" s="18" t="s">
        <v>4924</v>
      </c>
      <c r="C2077" s="18" t="s">
        <v>2197</v>
      </c>
      <c r="D2077" s="18" t="s">
        <v>2270</v>
      </c>
      <c r="E2077" s="18" t="s">
        <v>2271</v>
      </c>
      <c r="F2077" s="18">
        <v>9.09</v>
      </c>
      <c r="G2077" s="18" t="s">
        <v>2154</v>
      </c>
      <c r="H2077" s="18" t="s">
        <v>2155</v>
      </c>
    </row>
    <row r="2078" spans="1:8">
      <c r="A2078" s="19" t="s">
        <v>1142</v>
      </c>
      <c r="B2078" s="19" t="s">
        <v>4925</v>
      </c>
      <c r="C2078" s="19" t="s">
        <v>1819</v>
      </c>
      <c r="D2078" s="19" t="s">
        <v>2491</v>
      </c>
      <c r="E2078" s="19" t="s">
        <v>2224</v>
      </c>
      <c r="F2078" s="19">
        <v>10.72</v>
      </c>
      <c r="G2078" s="19" t="s">
        <v>2154</v>
      </c>
      <c r="H2078" s="19" t="s">
        <v>2187</v>
      </c>
    </row>
    <row r="2079" spans="1:8">
      <c r="A2079" s="18" t="s">
        <v>1142</v>
      </c>
      <c r="B2079" s="18" t="s">
        <v>4926</v>
      </c>
      <c r="C2079" s="18" t="s">
        <v>2204</v>
      </c>
      <c r="D2079" s="18" t="s">
        <v>2835</v>
      </c>
      <c r="E2079" s="18" t="s">
        <v>2636</v>
      </c>
      <c r="F2079" s="18">
        <v>8.3699999999999992</v>
      </c>
      <c r="G2079" s="18" t="s">
        <v>2154</v>
      </c>
      <c r="H2079" s="18" t="s">
        <v>2160</v>
      </c>
    </row>
    <row r="2080" spans="1:8">
      <c r="A2080" s="19" t="s">
        <v>1142</v>
      </c>
      <c r="B2080" s="19" t="s">
        <v>4927</v>
      </c>
      <c r="C2080" s="19" t="s">
        <v>1843</v>
      </c>
      <c r="D2080" s="19" t="s">
        <v>2185</v>
      </c>
      <c r="E2080" s="19" t="s">
        <v>2186</v>
      </c>
      <c r="F2080" s="19">
        <v>9.34</v>
      </c>
      <c r="G2080" s="19" t="s">
        <v>2154</v>
      </c>
      <c r="H2080" s="19" t="s">
        <v>2160</v>
      </c>
    </row>
    <row r="2081" spans="1:8">
      <c r="A2081" s="18" t="s">
        <v>1142</v>
      </c>
      <c r="B2081" s="18" t="s">
        <v>4928</v>
      </c>
      <c r="C2081" s="18" t="s">
        <v>2211</v>
      </c>
      <c r="D2081" s="18" t="s">
        <v>3306</v>
      </c>
      <c r="E2081" s="18" t="s">
        <v>2401</v>
      </c>
      <c r="F2081" s="18">
        <v>7.9</v>
      </c>
      <c r="G2081" s="18" t="s">
        <v>2154</v>
      </c>
      <c r="H2081" s="18" t="s">
        <v>2187</v>
      </c>
    </row>
    <row r="2082" spans="1:8">
      <c r="A2082" s="19" t="s">
        <v>1142</v>
      </c>
      <c r="B2082" s="19" t="s">
        <v>4929</v>
      </c>
      <c r="C2082" s="19" t="s">
        <v>2215</v>
      </c>
      <c r="D2082" s="19" t="s">
        <v>2205</v>
      </c>
      <c r="E2082" s="19" t="s">
        <v>3033</v>
      </c>
      <c r="F2082" s="19">
        <v>8.26</v>
      </c>
      <c r="G2082" s="19" t="s">
        <v>2154</v>
      </c>
      <c r="H2082" s="19" t="s">
        <v>2171</v>
      </c>
    </row>
    <row r="2083" spans="1:8">
      <c r="A2083" s="18" t="s">
        <v>1142</v>
      </c>
      <c r="B2083" s="18" t="s">
        <v>4930</v>
      </c>
      <c r="C2083" s="18" t="s">
        <v>2219</v>
      </c>
      <c r="D2083" s="18" t="s">
        <v>2696</v>
      </c>
      <c r="E2083" s="18" t="s">
        <v>3412</v>
      </c>
      <c r="F2083" s="18">
        <v>11.09</v>
      </c>
      <c r="G2083" s="18" t="s">
        <v>2154</v>
      </c>
      <c r="H2083" s="18" t="s">
        <v>2155</v>
      </c>
    </row>
    <row r="2084" spans="1:8">
      <c r="A2084" s="19" t="s">
        <v>1142</v>
      </c>
      <c r="B2084" s="19" t="s">
        <v>4931</v>
      </c>
      <c r="C2084" s="19" t="s">
        <v>2222</v>
      </c>
      <c r="D2084" s="19" t="s">
        <v>2801</v>
      </c>
      <c r="E2084" s="19" t="s">
        <v>4302</v>
      </c>
      <c r="F2084" s="19">
        <v>7.65</v>
      </c>
      <c r="G2084" s="19" t="s">
        <v>2154</v>
      </c>
      <c r="H2084" s="19" t="s">
        <v>2187</v>
      </c>
    </row>
    <row r="2085" spans="1:8">
      <c r="A2085" s="18" t="s">
        <v>1142</v>
      </c>
      <c r="B2085" s="18" t="s">
        <v>4932</v>
      </c>
      <c r="C2085" s="18" t="s">
        <v>2226</v>
      </c>
      <c r="D2085" s="18" t="s">
        <v>2383</v>
      </c>
      <c r="E2085" s="18" t="s">
        <v>2511</v>
      </c>
      <c r="F2085" s="18">
        <v>7.58</v>
      </c>
      <c r="G2085" s="18" t="s">
        <v>2154</v>
      </c>
      <c r="H2085" s="18" t="s">
        <v>2187</v>
      </c>
    </row>
    <row r="2086" spans="1:8">
      <c r="A2086" s="19" t="s">
        <v>1142</v>
      </c>
      <c r="B2086" s="19" t="s">
        <v>4933</v>
      </c>
      <c r="C2086" s="19" t="s">
        <v>2230</v>
      </c>
      <c r="D2086" s="19" t="s">
        <v>2948</v>
      </c>
      <c r="E2086" s="19" t="s">
        <v>4934</v>
      </c>
      <c r="F2086" s="19">
        <v>10.87</v>
      </c>
      <c r="G2086" s="19" t="s">
        <v>2154</v>
      </c>
      <c r="H2086" s="19" t="s">
        <v>2187</v>
      </c>
    </row>
    <row r="2087" spans="1:8">
      <c r="A2087" s="18" t="s">
        <v>1142</v>
      </c>
      <c r="B2087" s="18" t="s">
        <v>4935</v>
      </c>
      <c r="C2087" s="18" t="s">
        <v>2234</v>
      </c>
      <c r="D2087" s="18" t="s">
        <v>2274</v>
      </c>
      <c r="E2087" s="18" t="s">
        <v>3003</v>
      </c>
      <c r="F2087" s="18">
        <v>9.2100000000000009</v>
      </c>
      <c r="G2087" s="18" t="s">
        <v>2154</v>
      </c>
      <c r="H2087" s="18" t="s">
        <v>2155</v>
      </c>
    </row>
    <row r="2088" spans="1:8">
      <c r="A2088" s="19" t="s">
        <v>1142</v>
      </c>
      <c r="B2088" s="19" t="s">
        <v>4936</v>
      </c>
      <c r="C2088" s="19" t="s">
        <v>2238</v>
      </c>
      <c r="D2088" s="19" t="s">
        <v>2553</v>
      </c>
      <c r="E2088" s="19" t="s">
        <v>2775</v>
      </c>
      <c r="F2088" s="19">
        <v>10.89</v>
      </c>
      <c r="G2088" s="19" t="s">
        <v>2154</v>
      </c>
      <c r="H2088" s="19" t="s">
        <v>2160</v>
      </c>
    </row>
    <row r="2089" spans="1:8">
      <c r="A2089" s="18" t="s">
        <v>1142</v>
      </c>
      <c r="B2089" s="18" t="s">
        <v>4937</v>
      </c>
      <c r="C2089" s="18" t="s">
        <v>2241</v>
      </c>
      <c r="D2089" s="18" t="s">
        <v>2865</v>
      </c>
      <c r="E2089" s="18" t="s">
        <v>3027</v>
      </c>
      <c r="F2089" s="18">
        <v>9.18</v>
      </c>
      <c r="G2089" s="18" t="s">
        <v>2154</v>
      </c>
      <c r="H2089" s="18" t="s">
        <v>2155</v>
      </c>
    </row>
    <row r="2090" spans="1:8">
      <c r="A2090" s="19" t="s">
        <v>1142</v>
      </c>
      <c r="B2090" s="19" t="s">
        <v>4938</v>
      </c>
      <c r="C2090" s="19" t="s">
        <v>2245</v>
      </c>
      <c r="D2090" s="19" t="s">
        <v>2992</v>
      </c>
      <c r="E2090" s="19" t="s">
        <v>3364</v>
      </c>
      <c r="F2090" s="19">
        <v>6.9</v>
      </c>
      <c r="G2090" s="19" t="s">
        <v>2154</v>
      </c>
      <c r="H2090" s="19" t="s">
        <v>2171</v>
      </c>
    </row>
    <row r="2091" spans="1:8">
      <c r="A2091" s="18" t="s">
        <v>1142</v>
      </c>
      <c r="B2091" s="18" t="s">
        <v>4939</v>
      </c>
      <c r="C2091" s="18" t="s">
        <v>2249</v>
      </c>
      <c r="D2091" s="18" t="s">
        <v>2616</v>
      </c>
      <c r="E2091" s="18" t="s">
        <v>2617</v>
      </c>
      <c r="F2091" s="18">
        <v>6.61</v>
      </c>
      <c r="G2091" s="18" t="s">
        <v>2154</v>
      </c>
      <c r="H2091" s="18" t="s">
        <v>2160</v>
      </c>
    </row>
    <row r="2092" spans="1:8">
      <c r="A2092" s="19" t="s">
        <v>1142</v>
      </c>
      <c r="B2092" s="19" t="s">
        <v>4940</v>
      </c>
      <c r="C2092" s="19" t="s">
        <v>2252</v>
      </c>
      <c r="D2092" s="19" t="s">
        <v>2703</v>
      </c>
      <c r="E2092" s="19" t="s">
        <v>2704</v>
      </c>
      <c r="F2092" s="19">
        <v>7.76</v>
      </c>
      <c r="G2092" s="19" t="s">
        <v>2154</v>
      </c>
      <c r="H2092" s="19" t="s">
        <v>2155</v>
      </c>
    </row>
    <row r="2093" spans="1:8">
      <c r="A2093" s="18" t="s">
        <v>1142</v>
      </c>
      <c r="B2093" s="18" t="s">
        <v>4941</v>
      </c>
      <c r="C2093" s="18" t="s">
        <v>2376</v>
      </c>
      <c r="D2093" s="18" t="s">
        <v>3306</v>
      </c>
      <c r="E2093" s="18" t="s">
        <v>2847</v>
      </c>
      <c r="F2093" s="18">
        <v>8.4499999999999993</v>
      </c>
      <c r="G2093" s="18" t="s">
        <v>2154</v>
      </c>
      <c r="H2093" s="18" t="s">
        <v>2155</v>
      </c>
    </row>
    <row r="2094" spans="1:8">
      <c r="A2094" s="19" t="s">
        <v>1142</v>
      </c>
      <c r="B2094" s="19" t="s">
        <v>4942</v>
      </c>
      <c r="C2094" s="19" t="s">
        <v>2260</v>
      </c>
      <c r="D2094" s="19" t="s">
        <v>3077</v>
      </c>
      <c r="E2094" s="19" t="s">
        <v>3078</v>
      </c>
      <c r="F2094" s="19">
        <v>10.029999999999999</v>
      </c>
      <c r="G2094" s="19" t="s">
        <v>2154</v>
      </c>
      <c r="H2094" s="19" t="s">
        <v>2171</v>
      </c>
    </row>
    <row r="2095" spans="1:8">
      <c r="A2095" s="18" t="s">
        <v>1142</v>
      </c>
      <c r="B2095" s="18" t="s">
        <v>4943</v>
      </c>
      <c r="C2095" s="18" t="s">
        <v>2264</v>
      </c>
      <c r="D2095" s="18" t="s">
        <v>2431</v>
      </c>
      <c r="E2095" s="18" t="s">
        <v>4306</v>
      </c>
      <c r="F2095" s="18">
        <v>10.55</v>
      </c>
      <c r="G2095" s="18" t="s">
        <v>2154</v>
      </c>
      <c r="H2095" s="18" t="s">
        <v>2187</v>
      </c>
    </row>
    <row r="2096" spans="1:8">
      <c r="A2096" s="19" t="s">
        <v>1142</v>
      </c>
      <c r="B2096" s="19" t="s">
        <v>4944</v>
      </c>
      <c r="C2096" s="19" t="s">
        <v>1948</v>
      </c>
      <c r="D2096" s="19" t="s">
        <v>3299</v>
      </c>
      <c r="E2096" s="19" t="s">
        <v>4361</v>
      </c>
      <c r="F2096" s="19">
        <v>10.28</v>
      </c>
      <c r="G2096" s="19" t="s">
        <v>2154</v>
      </c>
      <c r="H2096" s="19" t="s">
        <v>2171</v>
      </c>
    </row>
    <row r="2097" spans="1:8">
      <c r="A2097" s="18" t="s">
        <v>1142</v>
      </c>
      <c r="B2097" s="18" t="s">
        <v>4945</v>
      </c>
      <c r="C2097" s="18" t="s">
        <v>2269</v>
      </c>
      <c r="D2097" s="18" t="s">
        <v>2662</v>
      </c>
      <c r="E2097" s="18" t="s">
        <v>3379</v>
      </c>
      <c r="F2097" s="18">
        <v>11.34</v>
      </c>
      <c r="G2097" s="18" t="s">
        <v>2154</v>
      </c>
      <c r="H2097" s="18" t="s">
        <v>2187</v>
      </c>
    </row>
    <row r="2098" spans="1:8">
      <c r="A2098" s="19" t="s">
        <v>1142</v>
      </c>
      <c r="B2098" s="19" t="s">
        <v>4946</v>
      </c>
      <c r="C2098" s="19" t="s">
        <v>2273</v>
      </c>
      <c r="D2098" s="19" t="s">
        <v>2545</v>
      </c>
      <c r="E2098" s="19" t="s">
        <v>2486</v>
      </c>
      <c r="F2098" s="19">
        <v>9.31</v>
      </c>
      <c r="G2098" s="19" t="s">
        <v>2154</v>
      </c>
      <c r="H2098" s="19" t="s">
        <v>2187</v>
      </c>
    </row>
    <row r="2099" spans="1:8">
      <c r="A2099" s="18" t="s">
        <v>1142</v>
      </c>
      <c r="B2099" s="18" t="s">
        <v>4947</v>
      </c>
      <c r="C2099" s="18" t="s">
        <v>2277</v>
      </c>
      <c r="D2099" s="18" t="s">
        <v>2789</v>
      </c>
      <c r="E2099" s="18" t="s">
        <v>2790</v>
      </c>
      <c r="F2099" s="18">
        <v>7.37</v>
      </c>
      <c r="G2099" s="18" t="s">
        <v>2154</v>
      </c>
      <c r="H2099" s="18" t="s">
        <v>2187</v>
      </c>
    </row>
    <row r="2100" spans="1:8">
      <c r="A2100" s="19" t="s">
        <v>1142</v>
      </c>
      <c r="B2100" s="19" t="s">
        <v>4948</v>
      </c>
      <c r="C2100" s="19" t="s">
        <v>2281</v>
      </c>
      <c r="D2100" s="19" t="s">
        <v>2227</v>
      </c>
      <c r="E2100" s="19" t="s">
        <v>2931</v>
      </c>
      <c r="F2100" s="19">
        <v>10.56</v>
      </c>
      <c r="G2100" s="19" t="s">
        <v>2154</v>
      </c>
      <c r="H2100" s="19" t="s">
        <v>2187</v>
      </c>
    </row>
    <row r="2101" spans="1:8">
      <c r="A2101" s="18" t="s">
        <v>1142</v>
      </c>
      <c r="B2101" s="18" t="s">
        <v>4949</v>
      </c>
      <c r="C2101" s="18" t="s">
        <v>2396</v>
      </c>
      <c r="D2101" s="18" t="s">
        <v>2158</v>
      </c>
      <c r="E2101" s="18" t="s">
        <v>2477</v>
      </c>
      <c r="F2101" s="18">
        <v>8.24</v>
      </c>
      <c r="G2101" s="18" t="s">
        <v>2154</v>
      </c>
      <c r="H2101" s="18" t="s">
        <v>2171</v>
      </c>
    </row>
    <row r="2102" spans="1:8">
      <c r="A2102" s="19" t="s">
        <v>1142</v>
      </c>
      <c r="B2102" s="19" t="s">
        <v>4950</v>
      </c>
      <c r="C2102" s="19" t="s">
        <v>2289</v>
      </c>
      <c r="D2102" s="19" t="s">
        <v>2208</v>
      </c>
      <c r="E2102" s="19" t="s">
        <v>2360</v>
      </c>
      <c r="F2102" s="19">
        <v>9.9</v>
      </c>
      <c r="G2102" s="19" t="s">
        <v>2154</v>
      </c>
      <c r="H2102" s="19" t="s">
        <v>2187</v>
      </c>
    </row>
    <row r="2103" spans="1:8">
      <c r="A2103" s="18" t="s">
        <v>1142</v>
      </c>
      <c r="B2103" s="18" t="s">
        <v>4951</v>
      </c>
      <c r="C2103" s="18" t="s">
        <v>2293</v>
      </c>
      <c r="D2103" s="18" t="s">
        <v>3089</v>
      </c>
      <c r="E2103" s="18" t="s">
        <v>2338</v>
      </c>
      <c r="F2103" s="18">
        <v>8.7200000000000006</v>
      </c>
      <c r="G2103" s="18" t="s">
        <v>2154</v>
      </c>
      <c r="H2103" s="18" t="s">
        <v>2160</v>
      </c>
    </row>
    <row r="2104" spans="1:8">
      <c r="A2104" s="19" t="s">
        <v>1142</v>
      </c>
      <c r="B2104" s="19" t="s">
        <v>4952</v>
      </c>
      <c r="C2104" s="19" t="s">
        <v>2296</v>
      </c>
      <c r="D2104" s="19" t="s">
        <v>2561</v>
      </c>
      <c r="E2104" s="19" t="s">
        <v>2483</v>
      </c>
      <c r="F2104" s="19">
        <v>6.54</v>
      </c>
      <c r="G2104" s="19" t="s">
        <v>2154</v>
      </c>
      <c r="H2104" s="19" t="s">
        <v>2160</v>
      </c>
    </row>
    <row r="2105" spans="1:8">
      <c r="A2105" s="18" t="s">
        <v>1142</v>
      </c>
      <c r="B2105" s="18" t="s">
        <v>4953</v>
      </c>
      <c r="C2105" s="18" t="s">
        <v>2300</v>
      </c>
      <c r="D2105" s="18" t="s">
        <v>2340</v>
      </c>
      <c r="E2105" s="18" t="s">
        <v>2391</v>
      </c>
      <c r="F2105" s="18">
        <v>7.98</v>
      </c>
      <c r="G2105" s="18" t="s">
        <v>2154</v>
      </c>
      <c r="H2105" s="18" t="s">
        <v>2171</v>
      </c>
    </row>
    <row r="2106" spans="1:8">
      <c r="A2106" s="19" t="s">
        <v>1142</v>
      </c>
      <c r="B2106" s="19" t="s">
        <v>4954</v>
      </c>
      <c r="C2106" s="19" t="s">
        <v>2144</v>
      </c>
      <c r="D2106" s="19" t="s">
        <v>2557</v>
      </c>
      <c r="E2106" s="19" t="s">
        <v>3218</v>
      </c>
      <c r="F2106" s="19">
        <v>9.19</v>
      </c>
      <c r="G2106" s="19" t="s">
        <v>2154</v>
      </c>
      <c r="H2106" s="19" t="s">
        <v>2187</v>
      </c>
    </row>
    <row r="2107" spans="1:8">
      <c r="A2107" s="18" t="s">
        <v>1142</v>
      </c>
      <c r="B2107" s="18" t="s">
        <v>4955</v>
      </c>
      <c r="C2107" s="18" t="s">
        <v>2307</v>
      </c>
      <c r="D2107" s="18" t="s">
        <v>2783</v>
      </c>
      <c r="E2107" s="18" t="s">
        <v>2315</v>
      </c>
      <c r="F2107" s="18">
        <v>8.06</v>
      </c>
      <c r="G2107" s="18" t="s">
        <v>2154</v>
      </c>
      <c r="H2107" s="18" t="s">
        <v>2187</v>
      </c>
    </row>
    <row r="2108" spans="1:8">
      <c r="A2108" s="19" t="s">
        <v>1142</v>
      </c>
      <c r="B2108" s="19" t="s">
        <v>4956</v>
      </c>
      <c r="C2108" s="19" t="s">
        <v>2311</v>
      </c>
      <c r="D2108" s="19" t="s">
        <v>2624</v>
      </c>
      <c r="E2108" s="19" t="s">
        <v>2384</v>
      </c>
      <c r="F2108" s="19">
        <v>7.62</v>
      </c>
      <c r="G2108" s="19" t="s">
        <v>2154</v>
      </c>
      <c r="H2108" s="19" t="s">
        <v>2187</v>
      </c>
    </row>
    <row r="2109" spans="1:8">
      <c r="A2109" s="18" t="s">
        <v>419</v>
      </c>
      <c r="B2109" s="18" t="s">
        <v>4957</v>
      </c>
      <c r="C2109" s="18" t="s">
        <v>2038</v>
      </c>
      <c r="D2109" s="18" t="s">
        <v>2274</v>
      </c>
      <c r="E2109" s="18" t="s">
        <v>2275</v>
      </c>
      <c r="F2109" s="18">
        <v>7.59</v>
      </c>
      <c r="G2109" s="18" t="s">
        <v>2154</v>
      </c>
      <c r="H2109" s="18" t="s">
        <v>2187</v>
      </c>
    </row>
    <row r="2110" spans="1:8">
      <c r="A2110" s="19" t="s">
        <v>419</v>
      </c>
      <c r="B2110" s="19" t="s">
        <v>4958</v>
      </c>
      <c r="C2110" s="19" t="s">
        <v>2157</v>
      </c>
      <c r="D2110" s="19" t="s">
        <v>2789</v>
      </c>
      <c r="E2110" s="19" t="s">
        <v>3741</v>
      </c>
      <c r="F2110" s="19">
        <v>8.7799999999999994</v>
      </c>
      <c r="G2110" s="19" t="s">
        <v>2154</v>
      </c>
      <c r="H2110" s="19" t="s">
        <v>2187</v>
      </c>
    </row>
    <row r="2111" spans="1:8">
      <c r="A2111" s="18" t="s">
        <v>419</v>
      </c>
      <c r="B2111" s="18" t="s">
        <v>4959</v>
      </c>
      <c r="C2111" s="18" t="s">
        <v>2162</v>
      </c>
      <c r="D2111" s="18" t="s">
        <v>2337</v>
      </c>
      <c r="E2111" s="18" t="s">
        <v>4115</v>
      </c>
      <c r="F2111" s="18">
        <v>11.21</v>
      </c>
      <c r="G2111" s="18" t="s">
        <v>2154</v>
      </c>
      <c r="H2111" s="18" t="s">
        <v>2160</v>
      </c>
    </row>
    <row r="2112" spans="1:8">
      <c r="A2112" s="19" t="s">
        <v>419</v>
      </c>
      <c r="B2112" s="19" t="s">
        <v>4960</v>
      </c>
      <c r="C2112" s="19" t="s">
        <v>1937</v>
      </c>
      <c r="D2112" s="19" t="s">
        <v>2337</v>
      </c>
      <c r="E2112" s="19" t="s">
        <v>3422</v>
      </c>
      <c r="F2112" s="19">
        <v>10.93</v>
      </c>
      <c r="G2112" s="19" t="s">
        <v>2154</v>
      </c>
      <c r="H2112" s="19" t="s">
        <v>2155</v>
      </c>
    </row>
    <row r="2113" spans="1:8">
      <c r="A2113" s="18" t="s">
        <v>419</v>
      </c>
      <c r="B2113" s="18" t="s">
        <v>4961</v>
      </c>
      <c r="C2113" s="18" t="s">
        <v>2168</v>
      </c>
      <c r="D2113" s="18" t="s">
        <v>2589</v>
      </c>
      <c r="E2113" s="18" t="s">
        <v>2622</v>
      </c>
      <c r="F2113" s="18">
        <v>7.04</v>
      </c>
      <c r="G2113" s="18" t="s">
        <v>2154</v>
      </c>
      <c r="H2113" s="18" t="s">
        <v>2171</v>
      </c>
    </row>
    <row r="2114" spans="1:8">
      <c r="A2114" s="19" t="s">
        <v>419</v>
      </c>
      <c r="B2114" s="19" t="s">
        <v>4962</v>
      </c>
      <c r="C2114" s="19" t="s">
        <v>2173</v>
      </c>
      <c r="D2114" s="19" t="s">
        <v>3077</v>
      </c>
      <c r="E2114" s="19" t="s">
        <v>3137</v>
      </c>
      <c r="F2114" s="19">
        <v>9.5500000000000007</v>
      </c>
      <c r="G2114" s="19" t="s">
        <v>2154</v>
      </c>
      <c r="H2114" s="19" t="s">
        <v>2160</v>
      </c>
    </row>
    <row r="2115" spans="1:8">
      <c r="A2115" s="18" t="s">
        <v>419</v>
      </c>
      <c r="B2115" s="18" t="s">
        <v>4963</v>
      </c>
      <c r="C2115" s="18" t="s">
        <v>2177</v>
      </c>
      <c r="D2115" s="18" t="s">
        <v>2201</v>
      </c>
      <c r="E2115" s="18" t="s">
        <v>2724</v>
      </c>
      <c r="F2115" s="18">
        <v>10.47</v>
      </c>
      <c r="G2115" s="18" t="s">
        <v>2154</v>
      </c>
      <c r="H2115" s="18" t="s">
        <v>2187</v>
      </c>
    </row>
    <row r="2116" spans="1:8">
      <c r="A2116" s="19" t="s">
        <v>419</v>
      </c>
      <c r="B2116" s="19" t="s">
        <v>4964</v>
      </c>
      <c r="C2116" s="19" t="s">
        <v>1945</v>
      </c>
      <c r="D2116" s="19" t="s">
        <v>3089</v>
      </c>
      <c r="E2116" s="19" t="s">
        <v>2338</v>
      </c>
      <c r="F2116" s="19">
        <v>8.9499999999999993</v>
      </c>
      <c r="G2116" s="19" t="s">
        <v>2154</v>
      </c>
      <c r="H2116" s="19" t="s">
        <v>2160</v>
      </c>
    </row>
    <row r="2117" spans="1:8">
      <c r="A2117" s="18" t="s">
        <v>419</v>
      </c>
      <c r="B2117" s="18" t="s">
        <v>4965</v>
      </c>
      <c r="C2117" s="18" t="s">
        <v>2184</v>
      </c>
      <c r="D2117" s="18" t="s">
        <v>2700</v>
      </c>
      <c r="E2117" s="18" t="s">
        <v>2897</v>
      </c>
      <c r="F2117" s="18">
        <v>9.75</v>
      </c>
      <c r="G2117" s="18" t="s">
        <v>2154</v>
      </c>
      <c r="H2117" s="18" t="s">
        <v>2171</v>
      </c>
    </row>
    <row r="2118" spans="1:8">
      <c r="A2118" s="19" t="s">
        <v>419</v>
      </c>
      <c r="B2118" s="19" t="s">
        <v>4966</v>
      </c>
      <c r="C2118" s="19" t="s">
        <v>2189</v>
      </c>
      <c r="D2118" s="19" t="s">
        <v>2992</v>
      </c>
      <c r="E2118" s="19" t="s">
        <v>3107</v>
      </c>
      <c r="F2118" s="19">
        <v>10.47</v>
      </c>
      <c r="G2118" s="19" t="s">
        <v>2154</v>
      </c>
      <c r="H2118" s="19" t="s">
        <v>2171</v>
      </c>
    </row>
    <row r="2119" spans="1:8">
      <c r="A2119" s="18" t="s">
        <v>419</v>
      </c>
      <c r="B2119" s="18" t="s">
        <v>4967</v>
      </c>
      <c r="C2119" s="18" t="s">
        <v>2193</v>
      </c>
      <c r="D2119" s="18" t="s">
        <v>2572</v>
      </c>
      <c r="E2119" s="18" t="s">
        <v>3279</v>
      </c>
      <c r="F2119" s="18">
        <v>10.14</v>
      </c>
      <c r="G2119" s="18" t="s">
        <v>2154</v>
      </c>
      <c r="H2119" s="18" t="s">
        <v>2187</v>
      </c>
    </row>
    <row r="2120" spans="1:8">
      <c r="A2120" s="19" t="s">
        <v>419</v>
      </c>
      <c r="B2120" s="19" t="s">
        <v>4968</v>
      </c>
      <c r="C2120" s="19" t="s">
        <v>2197</v>
      </c>
      <c r="D2120" s="19" t="s">
        <v>2473</v>
      </c>
      <c r="E2120" s="19" t="s">
        <v>3391</v>
      </c>
      <c r="F2120" s="19">
        <v>8</v>
      </c>
      <c r="G2120" s="19" t="s">
        <v>2154</v>
      </c>
      <c r="H2120" s="19" t="s">
        <v>2155</v>
      </c>
    </row>
    <row r="2121" spans="1:8">
      <c r="A2121" s="18" t="s">
        <v>419</v>
      </c>
      <c r="B2121" s="18" t="s">
        <v>4969</v>
      </c>
      <c r="C2121" s="18" t="s">
        <v>1819</v>
      </c>
      <c r="D2121" s="18" t="s">
        <v>3239</v>
      </c>
      <c r="E2121" s="18" t="s">
        <v>2736</v>
      </c>
      <c r="F2121" s="18">
        <v>10.31</v>
      </c>
      <c r="G2121" s="18" t="s">
        <v>2154</v>
      </c>
      <c r="H2121" s="18" t="s">
        <v>2160</v>
      </c>
    </row>
    <row r="2122" spans="1:8">
      <c r="A2122" s="19" t="s">
        <v>419</v>
      </c>
      <c r="B2122" s="19" t="s">
        <v>4970</v>
      </c>
      <c r="C2122" s="19" t="s">
        <v>2204</v>
      </c>
      <c r="D2122" s="19" t="s">
        <v>3180</v>
      </c>
      <c r="E2122" s="19" t="s">
        <v>4091</v>
      </c>
      <c r="F2122" s="19">
        <v>10.31</v>
      </c>
      <c r="G2122" s="19" t="s">
        <v>2154</v>
      </c>
      <c r="H2122" s="19" t="s">
        <v>2160</v>
      </c>
    </row>
    <row r="2123" spans="1:8">
      <c r="A2123" s="18" t="s">
        <v>419</v>
      </c>
      <c r="B2123" s="18" t="s">
        <v>4971</v>
      </c>
      <c r="C2123" s="18" t="s">
        <v>1843</v>
      </c>
      <c r="D2123" s="18" t="s">
        <v>2597</v>
      </c>
      <c r="E2123" s="18" t="s">
        <v>3006</v>
      </c>
      <c r="F2123" s="18">
        <v>7.19</v>
      </c>
      <c r="G2123" s="18" t="s">
        <v>2154</v>
      </c>
      <c r="H2123" s="18" t="s">
        <v>2160</v>
      </c>
    </row>
    <row r="2124" spans="1:8">
      <c r="A2124" s="19" t="s">
        <v>419</v>
      </c>
      <c r="B2124" s="19" t="s">
        <v>4972</v>
      </c>
      <c r="C2124" s="19" t="s">
        <v>2211</v>
      </c>
      <c r="D2124" s="19" t="s">
        <v>2696</v>
      </c>
      <c r="E2124" s="19" t="s">
        <v>2712</v>
      </c>
      <c r="F2124" s="19">
        <v>7.81</v>
      </c>
      <c r="G2124" s="19" t="s">
        <v>2154</v>
      </c>
      <c r="H2124" s="19" t="s">
        <v>2155</v>
      </c>
    </row>
    <row r="2125" spans="1:8">
      <c r="A2125" s="18" t="s">
        <v>419</v>
      </c>
      <c r="B2125" s="18" t="s">
        <v>4973</v>
      </c>
      <c r="C2125" s="18" t="s">
        <v>2215</v>
      </c>
      <c r="D2125" s="18" t="s">
        <v>2314</v>
      </c>
      <c r="E2125" s="18" t="s">
        <v>2315</v>
      </c>
      <c r="F2125" s="18">
        <v>9.85</v>
      </c>
      <c r="G2125" s="18" t="s">
        <v>2154</v>
      </c>
      <c r="H2125" s="18" t="s">
        <v>2187</v>
      </c>
    </row>
    <row r="2126" spans="1:8">
      <c r="A2126" s="19" t="s">
        <v>419</v>
      </c>
      <c r="B2126" s="19" t="s">
        <v>4974</v>
      </c>
      <c r="C2126" s="19" t="s">
        <v>3583</v>
      </c>
      <c r="D2126" s="19" t="s">
        <v>2729</v>
      </c>
      <c r="E2126" s="19" t="s">
        <v>4007</v>
      </c>
      <c r="F2126" s="19">
        <v>11.06</v>
      </c>
      <c r="G2126" s="19" t="s">
        <v>2154</v>
      </c>
      <c r="H2126" s="19" t="s">
        <v>2171</v>
      </c>
    </row>
    <row r="2127" spans="1:8">
      <c r="A2127" s="18" t="s">
        <v>419</v>
      </c>
      <c r="B2127" s="18" t="s">
        <v>4975</v>
      </c>
      <c r="C2127" s="18" t="s">
        <v>2222</v>
      </c>
      <c r="D2127" s="18" t="s">
        <v>2880</v>
      </c>
      <c r="E2127" s="18" t="s">
        <v>2576</v>
      </c>
      <c r="F2127" s="18">
        <v>8.7200000000000006</v>
      </c>
      <c r="G2127" s="18" t="s">
        <v>2154</v>
      </c>
      <c r="H2127" s="18" t="s">
        <v>2187</v>
      </c>
    </row>
    <row r="2128" spans="1:8">
      <c r="A2128" s="19" t="s">
        <v>419</v>
      </c>
      <c r="B2128" s="19" t="s">
        <v>4976</v>
      </c>
      <c r="C2128" s="19" t="s">
        <v>2226</v>
      </c>
      <c r="D2128" s="19" t="s">
        <v>2479</v>
      </c>
      <c r="E2128" s="19" t="s">
        <v>4977</v>
      </c>
      <c r="F2128" s="19">
        <v>6.64</v>
      </c>
      <c r="G2128" s="19" t="s">
        <v>2154</v>
      </c>
      <c r="H2128" s="19" t="s">
        <v>2187</v>
      </c>
    </row>
    <row r="2129" spans="1:8">
      <c r="A2129" s="18" t="s">
        <v>419</v>
      </c>
      <c r="B2129" s="18" t="s">
        <v>4978</v>
      </c>
      <c r="C2129" s="18" t="s">
        <v>2230</v>
      </c>
      <c r="D2129" s="18" t="s">
        <v>2235</v>
      </c>
      <c r="E2129" s="18" t="s">
        <v>3060</v>
      </c>
      <c r="F2129" s="18">
        <v>8.11</v>
      </c>
      <c r="G2129" s="18" t="s">
        <v>2154</v>
      </c>
      <c r="H2129" s="18" t="s">
        <v>2155</v>
      </c>
    </row>
    <row r="2130" spans="1:8">
      <c r="A2130" s="19" t="s">
        <v>419</v>
      </c>
      <c r="B2130" s="19" t="s">
        <v>4979</v>
      </c>
      <c r="C2130" s="19" t="s">
        <v>2234</v>
      </c>
      <c r="D2130" s="19" t="s">
        <v>2789</v>
      </c>
      <c r="E2130" s="19" t="s">
        <v>2790</v>
      </c>
      <c r="F2130" s="19">
        <v>7.29</v>
      </c>
      <c r="G2130" s="19" t="s">
        <v>2154</v>
      </c>
      <c r="H2130" s="19" t="s">
        <v>2160</v>
      </c>
    </row>
    <row r="2131" spans="1:8">
      <c r="A2131" s="18" t="s">
        <v>419</v>
      </c>
      <c r="B2131" s="18" t="s">
        <v>4980</v>
      </c>
      <c r="C2131" s="18" t="s">
        <v>2238</v>
      </c>
      <c r="D2131" s="18" t="s">
        <v>2513</v>
      </c>
      <c r="E2131" s="18" t="s">
        <v>2267</v>
      </c>
      <c r="F2131" s="18">
        <v>10.42</v>
      </c>
      <c r="G2131" s="18" t="s">
        <v>2154</v>
      </c>
      <c r="H2131" s="18" t="s">
        <v>2155</v>
      </c>
    </row>
    <row r="2132" spans="1:8">
      <c r="A2132" s="19" t="s">
        <v>419</v>
      </c>
      <c r="B2132" s="19" t="s">
        <v>4981</v>
      </c>
      <c r="C2132" s="19" t="s">
        <v>2241</v>
      </c>
      <c r="D2132" s="19" t="s">
        <v>3123</v>
      </c>
      <c r="E2132" s="19" t="s">
        <v>2745</v>
      </c>
      <c r="F2132" s="19">
        <v>9.9499999999999993</v>
      </c>
      <c r="G2132" s="19" t="s">
        <v>2154</v>
      </c>
      <c r="H2132" s="19" t="s">
        <v>2155</v>
      </c>
    </row>
    <row r="2133" spans="1:8">
      <c r="A2133" s="18" t="s">
        <v>419</v>
      </c>
      <c r="B2133" s="18" t="s">
        <v>4982</v>
      </c>
      <c r="C2133" s="18" t="s">
        <v>2245</v>
      </c>
      <c r="D2133" s="18" t="s">
        <v>2286</v>
      </c>
      <c r="E2133" s="18" t="s">
        <v>2287</v>
      </c>
      <c r="F2133" s="18">
        <v>11.29</v>
      </c>
      <c r="G2133" s="18" t="s">
        <v>2154</v>
      </c>
      <c r="H2133" s="18" t="s">
        <v>2187</v>
      </c>
    </row>
    <row r="2134" spans="1:8">
      <c r="A2134" s="19" t="s">
        <v>419</v>
      </c>
      <c r="B2134" s="19" t="s">
        <v>4983</v>
      </c>
      <c r="C2134" s="19" t="s">
        <v>2249</v>
      </c>
      <c r="D2134" s="19" t="s">
        <v>2479</v>
      </c>
      <c r="E2134" s="19" t="s">
        <v>2685</v>
      </c>
      <c r="F2134" s="19">
        <v>9.43</v>
      </c>
      <c r="G2134" s="19" t="s">
        <v>2154</v>
      </c>
      <c r="H2134" s="19" t="s">
        <v>2160</v>
      </c>
    </row>
    <row r="2135" spans="1:8">
      <c r="A2135" s="18" t="s">
        <v>419</v>
      </c>
      <c r="B2135" s="18" t="s">
        <v>4984</v>
      </c>
      <c r="C2135" s="18" t="s">
        <v>2252</v>
      </c>
      <c r="D2135" s="18" t="s">
        <v>2823</v>
      </c>
      <c r="E2135" s="18" t="s">
        <v>2824</v>
      </c>
      <c r="F2135" s="18">
        <v>11.25</v>
      </c>
      <c r="G2135" s="18" t="s">
        <v>2154</v>
      </c>
      <c r="H2135" s="18" t="s">
        <v>2160</v>
      </c>
    </row>
    <row r="2136" spans="1:8">
      <c r="A2136" s="19" t="s">
        <v>419</v>
      </c>
      <c r="B2136" s="19" t="s">
        <v>4985</v>
      </c>
      <c r="C2136" s="19" t="s">
        <v>2376</v>
      </c>
      <c r="D2136" s="19" t="s">
        <v>2274</v>
      </c>
      <c r="E2136" s="19" t="s">
        <v>2648</v>
      </c>
      <c r="F2136" s="19">
        <v>11.24</v>
      </c>
      <c r="G2136" s="19" t="s">
        <v>2154</v>
      </c>
      <c r="H2136" s="19" t="s">
        <v>2160</v>
      </c>
    </row>
    <row r="2137" spans="1:8">
      <c r="A2137" s="18" t="s">
        <v>419</v>
      </c>
      <c r="B2137" s="18" t="s">
        <v>4986</v>
      </c>
      <c r="C2137" s="18" t="s">
        <v>2260</v>
      </c>
      <c r="D2137" s="18" t="s">
        <v>2181</v>
      </c>
      <c r="E2137" s="18" t="s">
        <v>2633</v>
      </c>
      <c r="F2137" s="18">
        <v>8.43</v>
      </c>
      <c r="G2137" s="18" t="s">
        <v>2154</v>
      </c>
      <c r="H2137" s="18" t="s">
        <v>2171</v>
      </c>
    </row>
    <row r="2138" spans="1:8">
      <c r="A2138" s="19" t="s">
        <v>419</v>
      </c>
      <c r="B2138" s="19" t="s">
        <v>4987</v>
      </c>
      <c r="C2138" s="19" t="s">
        <v>2264</v>
      </c>
      <c r="D2138" s="19" t="s">
        <v>3597</v>
      </c>
      <c r="E2138" s="19" t="s">
        <v>4988</v>
      </c>
      <c r="F2138" s="19">
        <v>10.7</v>
      </c>
      <c r="G2138" s="19" t="s">
        <v>2154</v>
      </c>
      <c r="H2138" s="19" t="s">
        <v>2171</v>
      </c>
    </row>
    <row r="2139" spans="1:8">
      <c r="A2139" s="18" t="s">
        <v>419</v>
      </c>
      <c r="B2139" s="18" t="s">
        <v>4989</v>
      </c>
      <c r="C2139" s="18" t="s">
        <v>1948</v>
      </c>
      <c r="D2139" s="18" t="s">
        <v>3299</v>
      </c>
      <c r="E2139" s="18" t="s">
        <v>2570</v>
      </c>
      <c r="F2139" s="18">
        <v>9.0299999999999994</v>
      </c>
      <c r="G2139" s="18" t="s">
        <v>2154</v>
      </c>
      <c r="H2139" s="18" t="s">
        <v>2171</v>
      </c>
    </row>
    <row r="2140" spans="1:8">
      <c r="A2140" s="19" t="s">
        <v>419</v>
      </c>
      <c r="B2140" s="19" t="s">
        <v>4990</v>
      </c>
      <c r="C2140" s="19" t="s">
        <v>2269</v>
      </c>
      <c r="D2140" s="19" t="s">
        <v>2662</v>
      </c>
      <c r="E2140" s="19" t="s">
        <v>3379</v>
      </c>
      <c r="F2140" s="19">
        <v>11.21</v>
      </c>
      <c r="G2140" s="19" t="s">
        <v>2154</v>
      </c>
      <c r="H2140" s="19" t="s">
        <v>2160</v>
      </c>
    </row>
    <row r="2141" spans="1:8">
      <c r="A2141" s="18" t="s">
        <v>419</v>
      </c>
      <c r="B2141" s="18" t="s">
        <v>4991</v>
      </c>
      <c r="C2141" s="18" t="s">
        <v>2273</v>
      </c>
      <c r="D2141" s="18" t="s">
        <v>2274</v>
      </c>
      <c r="E2141" s="18" t="s">
        <v>2366</v>
      </c>
      <c r="F2141" s="18">
        <v>6.72</v>
      </c>
      <c r="G2141" s="18" t="s">
        <v>2154</v>
      </c>
      <c r="H2141" s="18" t="s">
        <v>2160</v>
      </c>
    </row>
    <row r="2142" spans="1:8">
      <c r="A2142" s="19" t="s">
        <v>419</v>
      </c>
      <c r="B2142" s="19" t="s">
        <v>4992</v>
      </c>
      <c r="C2142" s="19" t="s">
        <v>2277</v>
      </c>
      <c r="D2142" s="19" t="s">
        <v>2194</v>
      </c>
      <c r="E2142" s="19" t="s">
        <v>4993</v>
      </c>
      <c r="F2142" s="19">
        <v>11.5</v>
      </c>
      <c r="G2142" s="19" t="s">
        <v>2154</v>
      </c>
      <c r="H2142" s="19" t="s">
        <v>2155</v>
      </c>
    </row>
    <row r="2143" spans="1:8">
      <c r="A2143" s="18" t="s">
        <v>419</v>
      </c>
      <c r="B2143" s="18" t="s">
        <v>4994</v>
      </c>
      <c r="C2143" s="18" t="s">
        <v>2281</v>
      </c>
      <c r="D2143" s="18" t="s">
        <v>2789</v>
      </c>
      <c r="E2143" s="18" t="s">
        <v>3391</v>
      </c>
      <c r="F2143" s="18">
        <v>10.54</v>
      </c>
      <c r="G2143" s="18" t="s">
        <v>2154</v>
      </c>
      <c r="H2143" s="18" t="s">
        <v>2160</v>
      </c>
    </row>
    <row r="2144" spans="1:8">
      <c r="A2144" s="19" t="s">
        <v>419</v>
      </c>
      <c r="B2144" s="19" t="s">
        <v>4995</v>
      </c>
      <c r="C2144" s="19" t="s">
        <v>2396</v>
      </c>
      <c r="D2144" s="19" t="s">
        <v>2482</v>
      </c>
      <c r="E2144" s="19" t="s">
        <v>3920</v>
      </c>
      <c r="F2144" s="19">
        <v>8.6999999999999993</v>
      </c>
      <c r="G2144" s="19" t="s">
        <v>2154</v>
      </c>
      <c r="H2144" s="19" t="s">
        <v>2155</v>
      </c>
    </row>
    <row r="2145" spans="1:8">
      <c r="A2145" s="18" t="s">
        <v>419</v>
      </c>
      <c r="B2145" s="18" t="s">
        <v>4996</v>
      </c>
      <c r="C2145" s="18" t="s">
        <v>2289</v>
      </c>
      <c r="D2145" s="18" t="s">
        <v>2400</v>
      </c>
      <c r="E2145" s="18" t="s">
        <v>4108</v>
      </c>
      <c r="F2145" s="18">
        <v>7.33</v>
      </c>
      <c r="G2145" s="18" t="s">
        <v>2154</v>
      </c>
      <c r="H2145" s="18" t="s">
        <v>2160</v>
      </c>
    </row>
    <row r="2146" spans="1:8">
      <c r="A2146" s="19" t="s">
        <v>419</v>
      </c>
      <c r="B2146" s="19" t="s">
        <v>4997</v>
      </c>
      <c r="C2146" s="19" t="s">
        <v>2293</v>
      </c>
      <c r="D2146" s="19" t="s">
        <v>2557</v>
      </c>
      <c r="E2146" s="19" t="s">
        <v>2441</v>
      </c>
      <c r="F2146" s="19">
        <v>8.11</v>
      </c>
      <c r="G2146" s="19" t="s">
        <v>2154</v>
      </c>
      <c r="H2146" s="19" t="s">
        <v>2171</v>
      </c>
    </row>
    <row r="2147" spans="1:8">
      <c r="A2147" s="18" t="s">
        <v>419</v>
      </c>
      <c r="B2147" s="18" t="s">
        <v>4998</v>
      </c>
      <c r="C2147" s="18" t="s">
        <v>4906</v>
      </c>
      <c r="D2147" s="18" t="s">
        <v>2340</v>
      </c>
      <c r="E2147" s="18" t="s">
        <v>2391</v>
      </c>
      <c r="F2147" s="18">
        <v>7.58</v>
      </c>
      <c r="G2147" s="18" t="s">
        <v>2154</v>
      </c>
      <c r="H2147" s="18" t="s">
        <v>2155</v>
      </c>
    </row>
    <row r="2148" spans="1:8">
      <c r="A2148" s="19" t="s">
        <v>419</v>
      </c>
      <c r="B2148" s="19" t="s">
        <v>4999</v>
      </c>
      <c r="C2148" s="19" t="s">
        <v>2300</v>
      </c>
      <c r="D2148" s="19" t="s">
        <v>2575</v>
      </c>
      <c r="E2148" s="19" t="s">
        <v>3006</v>
      </c>
      <c r="F2148" s="19">
        <v>8.09</v>
      </c>
      <c r="G2148" s="19" t="s">
        <v>2154</v>
      </c>
      <c r="H2148" s="19" t="s">
        <v>2187</v>
      </c>
    </row>
    <row r="2149" spans="1:8">
      <c r="A2149" s="18" t="s">
        <v>419</v>
      </c>
      <c r="B2149" s="18" t="s">
        <v>5000</v>
      </c>
      <c r="C2149" s="18" t="s">
        <v>2144</v>
      </c>
      <c r="D2149" s="18" t="s">
        <v>3001</v>
      </c>
      <c r="E2149" s="18" t="s">
        <v>2858</v>
      </c>
      <c r="F2149" s="18">
        <v>8.0500000000000007</v>
      </c>
      <c r="G2149" s="18" t="s">
        <v>2154</v>
      </c>
      <c r="H2149" s="18" t="s">
        <v>2171</v>
      </c>
    </row>
    <row r="2150" spans="1:8">
      <c r="A2150" s="19" t="s">
        <v>419</v>
      </c>
      <c r="B2150" s="19" t="s">
        <v>5001</v>
      </c>
      <c r="C2150" s="19" t="s">
        <v>2307</v>
      </c>
      <c r="D2150" s="19" t="s">
        <v>2491</v>
      </c>
      <c r="E2150" s="19" t="s">
        <v>2224</v>
      </c>
      <c r="F2150" s="19">
        <v>10.97</v>
      </c>
      <c r="G2150" s="19" t="s">
        <v>2154</v>
      </c>
      <c r="H2150" s="19" t="s">
        <v>2187</v>
      </c>
    </row>
    <row r="2151" spans="1:8">
      <c r="A2151" s="18" t="s">
        <v>419</v>
      </c>
      <c r="B2151" s="18" t="s">
        <v>5002</v>
      </c>
      <c r="C2151" s="18" t="s">
        <v>2311</v>
      </c>
      <c r="D2151" s="18"/>
      <c r="E2151" s="18"/>
      <c r="F2151" s="18"/>
      <c r="G2151" s="18" t="s">
        <v>2163</v>
      </c>
      <c r="H2151" s="18" t="s">
        <v>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C3F6-AB99-440C-B629-7196A9490075}">
  <dimension ref="A1:R401"/>
  <sheetViews>
    <sheetView topLeftCell="B1" workbookViewId="0">
      <selection activeCell="B1" sqref="B1:B401"/>
    </sheetView>
  </sheetViews>
  <sheetFormatPr defaultRowHeight="15"/>
  <cols>
    <col min="1" max="1" width="12.42578125" style="6" customWidth="1"/>
    <col min="2" max="2" width="18.85546875" style="6" customWidth="1"/>
    <col min="3" max="3" width="17" style="6" customWidth="1"/>
    <col min="4" max="5" width="12.140625" style="6" customWidth="1"/>
    <col min="6" max="7" width="11.28515625" style="6" customWidth="1"/>
    <col min="8" max="8" width="9.42578125" style="6" customWidth="1"/>
    <col min="9" max="9" width="9.140625" style="6"/>
    <col min="10" max="10" width="7" style="6" customWidth="1"/>
    <col min="11" max="12" width="9.140625" style="6"/>
    <col min="13" max="13" width="12.140625" style="6" customWidth="1"/>
    <col min="14" max="14" width="11.28515625" style="42" customWidth="1"/>
    <col min="15" max="15" width="21.140625" style="6" customWidth="1"/>
    <col min="16" max="16" width="9.140625" style="6"/>
    <col min="18" max="18" width="21.140625" style="6" customWidth="1"/>
  </cols>
  <sheetData>
    <row r="1" spans="1:18" ht="56.25" customHeight="1">
      <c r="A1" s="10" t="s">
        <v>5003</v>
      </c>
      <c r="B1" s="10" t="s">
        <v>1</v>
      </c>
      <c r="C1" s="10" t="s">
        <v>5004</v>
      </c>
      <c r="D1" s="10" t="s">
        <v>3</v>
      </c>
      <c r="E1" s="10"/>
      <c r="F1" s="10" t="s">
        <v>5005</v>
      </c>
      <c r="G1" s="10"/>
      <c r="H1" s="10" t="s">
        <v>5006</v>
      </c>
      <c r="I1" s="10" t="s">
        <v>5007</v>
      </c>
      <c r="J1" s="10" t="s">
        <v>5008</v>
      </c>
      <c r="K1" s="10" t="s">
        <v>5009</v>
      </c>
      <c r="L1" s="10" t="s">
        <v>5010</v>
      </c>
      <c r="M1" s="10" t="s">
        <v>5011</v>
      </c>
      <c r="N1" s="39" t="s">
        <v>5012</v>
      </c>
      <c r="O1" s="10" t="s">
        <v>5</v>
      </c>
      <c r="P1" s="10" t="s">
        <v>5013</v>
      </c>
      <c r="R1" s="37"/>
    </row>
    <row r="2" spans="1:18">
      <c r="A2" s="19" t="s">
        <v>5014</v>
      </c>
      <c r="B2" s="19" t="s">
        <v>5015</v>
      </c>
      <c r="C2" s="19" t="s">
        <v>225</v>
      </c>
      <c r="D2" s="19" t="s">
        <v>89</v>
      </c>
      <c r="E2" s="19" t="str">
        <f>PROPER(D2)</f>
        <v>Data Science</v>
      </c>
      <c r="F2" s="19" t="s">
        <v>5016</v>
      </c>
      <c r="G2" s="19" t="str">
        <f>PROPER(F2)</f>
        <v>Job Portal</v>
      </c>
      <c r="H2" s="19">
        <v>3.8</v>
      </c>
      <c r="I2" s="19">
        <v>7.9</v>
      </c>
      <c r="J2" s="19">
        <v>5.8</v>
      </c>
      <c r="K2" s="19">
        <v>123018</v>
      </c>
      <c r="L2" s="19">
        <v>135000</v>
      </c>
      <c r="M2" s="19" t="s">
        <v>5017</v>
      </c>
      <c r="N2" s="40" t="s">
        <v>1068</v>
      </c>
      <c r="O2" s="19" t="s">
        <v>46</v>
      </c>
      <c r="P2" s="19">
        <v>4.7</v>
      </c>
      <c r="R2" s="34"/>
    </row>
    <row r="3" spans="1:18">
      <c r="A3" s="18" t="s">
        <v>5018</v>
      </c>
      <c r="B3" s="18" t="s">
        <v>306</v>
      </c>
      <c r="C3" s="18" t="s">
        <v>335</v>
      </c>
      <c r="D3" s="18" t="s">
        <v>89</v>
      </c>
      <c r="E3" s="19" t="str">
        <f t="shared" ref="E3:E66" si="0">PROPER(D3)</f>
        <v>Data Science</v>
      </c>
      <c r="F3" s="18" t="s">
        <v>5019</v>
      </c>
      <c r="G3" s="19" t="str">
        <f t="shared" ref="G3:G66" si="1">PROPER(F3)</f>
        <v>Linkedin</v>
      </c>
      <c r="H3" s="18">
        <v>3.1</v>
      </c>
      <c r="I3" s="18">
        <v>3.3</v>
      </c>
      <c r="J3" s="18">
        <v>3.2</v>
      </c>
      <c r="K3" s="18">
        <v>139712</v>
      </c>
      <c r="L3" s="18">
        <v>132960</v>
      </c>
      <c r="M3" s="18" t="s">
        <v>5020</v>
      </c>
      <c r="N3" s="41" t="s">
        <v>1886</v>
      </c>
      <c r="O3" s="18" t="s">
        <v>172</v>
      </c>
      <c r="P3" s="18">
        <v>5.7</v>
      </c>
      <c r="R3" s="34"/>
    </row>
    <row r="4" spans="1:18">
      <c r="A4" s="19" t="s">
        <v>5021</v>
      </c>
      <c r="B4" s="19" t="s">
        <v>5022</v>
      </c>
      <c r="C4" s="19" t="s">
        <v>138</v>
      </c>
      <c r="D4" s="19" t="s">
        <v>39</v>
      </c>
      <c r="E4" s="19" t="str">
        <f t="shared" si="0"/>
        <v>Engineering</v>
      </c>
      <c r="F4" s="19" t="s">
        <v>5023</v>
      </c>
      <c r="G4" s="19" t="str">
        <f t="shared" si="1"/>
        <v>Linkedin</v>
      </c>
      <c r="H4" s="19">
        <v>4.0999999999999996</v>
      </c>
      <c r="I4" s="19">
        <v>6.7</v>
      </c>
      <c r="J4" s="19">
        <v>5.4</v>
      </c>
      <c r="K4" s="19">
        <v>26013</v>
      </c>
      <c r="L4" s="19">
        <v>28384</v>
      </c>
      <c r="M4" s="19" t="s">
        <v>5017</v>
      </c>
      <c r="N4" s="40" t="s">
        <v>1819</v>
      </c>
      <c r="O4" s="19" t="s">
        <v>172</v>
      </c>
      <c r="P4" s="19">
        <v>14.5</v>
      </c>
      <c r="R4" s="34"/>
    </row>
    <row r="5" spans="1:18">
      <c r="A5" s="18" t="s">
        <v>5024</v>
      </c>
      <c r="B5" s="18" t="s">
        <v>545</v>
      </c>
      <c r="C5" s="18" t="s">
        <v>335</v>
      </c>
      <c r="D5" s="18" t="s">
        <v>84</v>
      </c>
      <c r="E5" s="19" t="str">
        <f t="shared" si="0"/>
        <v>Hr</v>
      </c>
      <c r="F5" s="18" t="s">
        <v>5025</v>
      </c>
      <c r="G5" s="19" t="str">
        <f t="shared" si="1"/>
        <v>Campus</v>
      </c>
      <c r="H5" s="18">
        <v>3.5</v>
      </c>
      <c r="I5" s="18">
        <v>8.8000000000000007</v>
      </c>
      <c r="J5" s="18">
        <v>6.2</v>
      </c>
      <c r="K5" s="18">
        <v>176914</v>
      </c>
      <c r="L5" s="18">
        <v>170600</v>
      </c>
      <c r="M5" s="18" t="s">
        <v>5017</v>
      </c>
      <c r="N5" s="41" t="s">
        <v>5026</v>
      </c>
      <c r="O5" s="18" t="s">
        <v>18</v>
      </c>
      <c r="P5" s="18">
        <v>11.7</v>
      </c>
      <c r="R5" s="34"/>
    </row>
    <row r="6" spans="1:18">
      <c r="A6" s="19" t="s">
        <v>5027</v>
      </c>
      <c r="B6" s="19" t="s">
        <v>428</v>
      </c>
      <c r="C6" s="19" t="s">
        <v>153</v>
      </c>
      <c r="D6" s="19" t="s">
        <v>16</v>
      </c>
      <c r="E6" s="19" t="str">
        <f t="shared" si="0"/>
        <v>Devops</v>
      </c>
      <c r="F6" s="19" t="s">
        <v>5019</v>
      </c>
      <c r="G6" s="19" t="str">
        <f t="shared" si="1"/>
        <v>Linkedin</v>
      </c>
      <c r="H6" s="19">
        <v>3.1</v>
      </c>
      <c r="I6" s="19">
        <v>7.9</v>
      </c>
      <c r="J6" s="19">
        <v>5.5</v>
      </c>
      <c r="K6" s="19">
        <v>155983</v>
      </c>
      <c r="L6" s="19">
        <v>164134</v>
      </c>
      <c r="M6" s="19" t="s">
        <v>5028</v>
      </c>
      <c r="N6" s="40" t="s">
        <v>5029</v>
      </c>
      <c r="O6" s="19" t="s">
        <v>70</v>
      </c>
      <c r="P6" s="19">
        <v>7</v>
      </c>
      <c r="R6" s="34"/>
    </row>
    <row r="7" spans="1:18">
      <c r="A7" s="18" t="s">
        <v>5030</v>
      </c>
      <c r="B7" s="18" t="s">
        <v>148</v>
      </c>
      <c r="C7" s="18" t="s">
        <v>225</v>
      </c>
      <c r="D7" s="18" t="s">
        <v>51</v>
      </c>
      <c r="E7" s="19" t="str">
        <f t="shared" si="0"/>
        <v>Sales</v>
      </c>
      <c r="F7" s="18" t="s">
        <v>5031</v>
      </c>
      <c r="G7" s="19" t="str">
        <f t="shared" si="1"/>
        <v>Walk-In</v>
      </c>
      <c r="H7" s="18">
        <v>4.3</v>
      </c>
      <c r="I7" s="18">
        <v>9.6</v>
      </c>
      <c r="J7" s="18">
        <v>6.9</v>
      </c>
      <c r="K7" s="18">
        <v>37894</v>
      </c>
      <c r="L7" s="18">
        <v>39365</v>
      </c>
      <c r="M7" s="18" t="s">
        <v>5020</v>
      </c>
      <c r="N7" s="41" t="s">
        <v>1042</v>
      </c>
      <c r="O7" s="18" t="s">
        <v>46</v>
      </c>
      <c r="P7" s="18">
        <v>4.3</v>
      </c>
      <c r="R7" s="34"/>
    </row>
    <row r="8" spans="1:18">
      <c r="A8" s="19" t="s">
        <v>5032</v>
      </c>
      <c r="B8" s="19" t="s">
        <v>5033</v>
      </c>
      <c r="C8" s="19" t="s">
        <v>335</v>
      </c>
      <c r="D8" s="19" t="s">
        <v>63</v>
      </c>
      <c r="E8" s="19" t="str">
        <f t="shared" si="0"/>
        <v>Product</v>
      </c>
      <c r="F8" s="19" t="s">
        <v>5019</v>
      </c>
      <c r="G8" s="19" t="str">
        <f t="shared" si="1"/>
        <v>Linkedin</v>
      </c>
      <c r="H8" s="19"/>
      <c r="I8" s="19">
        <v>8.5</v>
      </c>
      <c r="J8" s="19"/>
      <c r="K8" s="19">
        <v>164283</v>
      </c>
      <c r="L8" s="19">
        <v>170751</v>
      </c>
      <c r="M8" s="19" t="s">
        <v>5020</v>
      </c>
      <c r="N8" s="40" t="s">
        <v>1867</v>
      </c>
      <c r="O8" s="19" t="s">
        <v>114</v>
      </c>
      <c r="P8" s="19">
        <v>11</v>
      </c>
      <c r="R8" s="34"/>
    </row>
    <row r="9" spans="1:18">
      <c r="A9" s="18" t="s">
        <v>5034</v>
      </c>
      <c r="B9" s="18" t="s">
        <v>775</v>
      </c>
      <c r="C9" s="18" t="s">
        <v>98</v>
      </c>
      <c r="D9" s="18" t="s">
        <v>89</v>
      </c>
      <c r="E9" s="19" t="str">
        <f t="shared" si="0"/>
        <v>Data Science</v>
      </c>
      <c r="F9" s="18" t="s">
        <v>5016</v>
      </c>
      <c r="G9" s="19" t="str">
        <f t="shared" si="1"/>
        <v>Job Portal</v>
      </c>
      <c r="H9" s="18">
        <v>8.1</v>
      </c>
      <c r="I9" s="18">
        <v>4.2</v>
      </c>
      <c r="J9" s="18">
        <v>6.2</v>
      </c>
      <c r="K9" s="18">
        <v>86255</v>
      </c>
      <c r="L9" s="18"/>
      <c r="M9" s="18" t="s">
        <v>5035</v>
      </c>
      <c r="N9" s="41" t="s">
        <v>2211</v>
      </c>
      <c r="O9" s="18" t="s">
        <v>214</v>
      </c>
      <c r="P9" s="18">
        <v>13</v>
      </c>
      <c r="R9" s="34"/>
    </row>
    <row r="10" spans="1:18">
      <c r="A10" s="19" t="s">
        <v>5036</v>
      </c>
      <c r="B10" s="19" t="s">
        <v>5037</v>
      </c>
      <c r="C10" s="19" t="s">
        <v>138</v>
      </c>
      <c r="D10" s="19" t="s">
        <v>16</v>
      </c>
      <c r="E10" s="19" t="str">
        <f t="shared" si="0"/>
        <v>Devops</v>
      </c>
      <c r="F10" s="19" t="s">
        <v>5023</v>
      </c>
      <c r="G10" s="19" t="str">
        <f t="shared" si="1"/>
        <v>Linkedin</v>
      </c>
      <c r="H10" s="19">
        <v>4.3</v>
      </c>
      <c r="I10" s="19">
        <v>4.8</v>
      </c>
      <c r="J10" s="19">
        <v>4.5</v>
      </c>
      <c r="K10" s="19">
        <v>24144</v>
      </c>
      <c r="L10" s="19">
        <v>25381</v>
      </c>
      <c r="M10" s="19" t="s">
        <v>5020</v>
      </c>
      <c r="N10" s="40" t="s">
        <v>1892</v>
      </c>
      <c r="O10" s="19" t="s">
        <v>53</v>
      </c>
      <c r="P10" s="19">
        <v>8.8000000000000007</v>
      </c>
      <c r="R10" s="34"/>
    </row>
    <row r="11" spans="1:18">
      <c r="A11" s="18" t="s">
        <v>5038</v>
      </c>
      <c r="B11" s="18" t="s">
        <v>5039</v>
      </c>
      <c r="C11" s="18" t="s">
        <v>5040</v>
      </c>
      <c r="D11" s="18" t="s">
        <v>133</v>
      </c>
      <c r="E11" s="19" t="str">
        <f t="shared" si="0"/>
        <v>Qa</v>
      </c>
      <c r="F11" s="18" t="s">
        <v>5025</v>
      </c>
      <c r="G11" s="19" t="str">
        <f t="shared" si="1"/>
        <v>Campus</v>
      </c>
      <c r="H11" s="18">
        <v>7.5</v>
      </c>
      <c r="I11" s="18">
        <v>6.9</v>
      </c>
      <c r="J11" s="18">
        <v>7.2</v>
      </c>
      <c r="K11" s="18">
        <v>191563</v>
      </c>
      <c r="L11" s="18"/>
      <c r="M11" s="18" t="s">
        <v>5028</v>
      </c>
      <c r="N11" s="41" t="s">
        <v>5041</v>
      </c>
      <c r="O11" s="18" t="s">
        <v>214</v>
      </c>
      <c r="P11" s="18">
        <v>5.9</v>
      </c>
      <c r="R11" s="34"/>
    </row>
    <row r="12" spans="1:18">
      <c r="A12" s="19" t="s">
        <v>5042</v>
      </c>
      <c r="B12" s="19" t="s">
        <v>203</v>
      </c>
      <c r="C12" s="19" t="s">
        <v>225</v>
      </c>
      <c r="D12" s="19" t="s">
        <v>16</v>
      </c>
      <c r="E12" s="19" t="str">
        <f t="shared" si="0"/>
        <v>Devops</v>
      </c>
      <c r="F12" s="19" t="s">
        <v>5025</v>
      </c>
      <c r="G12" s="19" t="str">
        <f t="shared" si="1"/>
        <v>Campus</v>
      </c>
      <c r="H12" s="19">
        <v>7.4</v>
      </c>
      <c r="I12" s="19">
        <v>3.3</v>
      </c>
      <c r="J12" s="19">
        <v>5.3</v>
      </c>
      <c r="K12" s="19">
        <v>170124</v>
      </c>
      <c r="L12" s="19">
        <v>160467</v>
      </c>
      <c r="M12" s="19" t="s">
        <v>5020</v>
      </c>
      <c r="N12" s="40" t="s">
        <v>5043</v>
      </c>
      <c r="O12" s="19" t="s">
        <v>75</v>
      </c>
      <c r="P12" s="19">
        <v>9</v>
      </c>
      <c r="R12" s="34"/>
    </row>
    <row r="13" spans="1:18">
      <c r="A13" s="18" t="s">
        <v>5044</v>
      </c>
      <c r="B13" s="18" t="s">
        <v>203</v>
      </c>
      <c r="C13" s="18" t="s">
        <v>225</v>
      </c>
      <c r="D13" s="18" t="s">
        <v>133</v>
      </c>
      <c r="E13" s="19" t="str">
        <f t="shared" si="0"/>
        <v>Qa</v>
      </c>
      <c r="F13" s="18" t="s">
        <v>5023</v>
      </c>
      <c r="G13" s="19" t="str">
        <f t="shared" si="1"/>
        <v>Linkedin</v>
      </c>
      <c r="H13" s="18">
        <v>9.6</v>
      </c>
      <c r="I13" s="18">
        <v>9.1</v>
      </c>
      <c r="J13" s="18">
        <v>9.3000000000000007</v>
      </c>
      <c r="K13" s="18">
        <v>108417</v>
      </c>
      <c r="L13" s="18">
        <v>122402</v>
      </c>
      <c r="M13" s="18" t="s">
        <v>5045</v>
      </c>
      <c r="N13" s="41" t="s">
        <v>5046</v>
      </c>
      <c r="O13" s="18" t="s">
        <v>65</v>
      </c>
      <c r="P13" s="18">
        <v>6.5</v>
      </c>
      <c r="R13" s="34"/>
    </row>
    <row r="14" spans="1:18">
      <c r="A14" s="19" t="s">
        <v>5047</v>
      </c>
      <c r="B14" s="19" t="s">
        <v>5048</v>
      </c>
      <c r="C14" s="19" t="s">
        <v>105</v>
      </c>
      <c r="D14" s="19" t="s">
        <v>16</v>
      </c>
      <c r="E14" s="19" t="str">
        <f t="shared" si="0"/>
        <v>Devops</v>
      </c>
      <c r="F14" s="19" t="s">
        <v>5019</v>
      </c>
      <c r="G14" s="19" t="str">
        <f t="shared" si="1"/>
        <v>Linkedin</v>
      </c>
      <c r="H14" s="19">
        <v>8.8000000000000007</v>
      </c>
      <c r="I14" s="19">
        <v>8.6</v>
      </c>
      <c r="J14" s="19">
        <v>8.6999999999999993</v>
      </c>
      <c r="K14" s="19"/>
      <c r="L14" s="19">
        <v>166699</v>
      </c>
      <c r="M14" s="19" t="s">
        <v>5017</v>
      </c>
      <c r="N14" s="40" t="s">
        <v>5049</v>
      </c>
      <c r="O14" s="19" t="s">
        <v>46</v>
      </c>
      <c r="P14" s="19">
        <v>11.2</v>
      </c>
      <c r="R14" s="34"/>
    </row>
    <row r="15" spans="1:18">
      <c r="A15" s="18" t="s">
        <v>5050</v>
      </c>
      <c r="B15" s="18" t="s">
        <v>1386</v>
      </c>
      <c r="C15" s="18" t="s">
        <v>105</v>
      </c>
      <c r="D15" s="18" t="s">
        <v>63</v>
      </c>
      <c r="E15" s="19" t="str">
        <f t="shared" si="0"/>
        <v>Product</v>
      </c>
      <c r="F15" s="18" t="s">
        <v>5051</v>
      </c>
      <c r="G15" s="19" t="str">
        <f t="shared" si="1"/>
        <v>Naukri</v>
      </c>
      <c r="H15" s="18">
        <v>7</v>
      </c>
      <c r="I15" s="18">
        <v>8.8000000000000007</v>
      </c>
      <c r="J15" s="18">
        <v>7.9</v>
      </c>
      <c r="K15" s="18">
        <v>144314</v>
      </c>
      <c r="L15" s="18">
        <v>135340</v>
      </c>
      <c r="M15" s="18" t="s">
        <v>5035</v>
      </c>
      <c r="N15" s="41" t="s">
        <v>709</v>
      </c>
      <c r="O15" s="18" t="s">
        <v>32</v>
      </c>
      <c r="P15" s="18">
        <v>7.6</v>
      </c>
      <c r="R15" s="34"/>
    </row>
    <row r="16" spans="1:18">
      <c r="A16" s="19" t="s">
        <v>5052</v>
      </c>
      <c r="B16" s="19" t="s">
        <v>5053</v>
      </c>
      <c r="C16" s="19" t="s">
        <v>79</v>
      </c>
      <c r="D16" s="19" t="s">
        <v>16</v>
      </c>
      <c r="E16" s="19" t="str">
        <f t="shared" si="0"/>
        <v>Devops</v>
      </c>
      <c r="F16" s="19" t="s">
        <v>5019</v>
      </c>
      <c r="G16" s="19" t="str">
        <f t="shared" si="1"/>
        <v>Linkedin</v>
      </c>
      <c r="H16" s="19">
        <v>3.1</v>
      </c>
      <c r="I16" s="19">
        <v>8.5</v>
      </c>
      <c r="J16" s="19">
        <v>5.8</v>
      </c>
      <c r="K16" s="19"/>
      <c r="L16" s="19"/>
      <c r="M16" s="19" t="s">
        <v>5020</v>
      </c>
      <c r="N16" s="40" t="s">
        <v>5054</v>
      </c>
      <c r="O16" s="19" t="s">
        <v>172</v>
      </c>
      <c r="P16" s="19">
        <v>9.8000000000000007</v>
      </c>
      <c r="R16" s="34"/>
    </row>
    <row r="17" spans="1:18">
      <c r="A17" s="18" t="s">
        <v>5055</v>
      </c>
      <c r="B17" s="18" t="s">
        <v>1447</v>
      </c>
      <c r="C17" s="18" t="s">
        <v>105</v>
      </c>
      <c r="D17" s="18" t="s">
        <v>84</v>
      </c>
      <c r="E17" s="19" t="str">
        <f t="shared" si="0"/>
        <v>Hr</v>
      </c>
      <c r="F17" s="18" t="s">
        <v>5023</v>
      </c>
      <c r="G17" s="19" t="str">
        <f t="shared" si="1"/>
        <v>Linkedin</v>
      </c>
      <c r="H17" s="18">
        <v>9</v>
      </c>
      <c r="I17" s="18">
        <v>4.8</v>
      </c>
      <c r="J17" s="18">
        <v>6.9</v>
      </c>
      <c r="K17" s="18">
        <v>75018</v>
      </c>
      <c r="L17" s="18">
        <v>70245</v>
      </c>
      <c r="M17" s="18" t="s">
        <v>5020</v>
      </c>
      <c r="N17" s="41" t="s">
        <v>5056</v>
      </c>
      <c r="O17" s="18" t="s">
        <v>149</v>
      </c>
      <c r="P17" s="18">
        <v>4.9000000000000004</v>
      </c>
      <c r="R17" s="34"/>
    </row>
    <row r="18" spans="1:18">
      <c r="A18" s="19" t="s">
        <v>5057</v>
      </c>
      <c r="B18" s="19" t="s">
        <v>1188</v>
      </c>
      <c r="C18" s="19" t="s">
        <v>138</v>
      </c>
      <c r="D18" s="19" t="s">
        <v>24</v>
      </c>
      <c r="E18" s="19" t="str">
        <f t="shared" si="0"/>
        <v>Design</v>
      </c>
      <c r="F18" s="19" t="s">
        <v>5019</v>
      </c>
      <c r="G18" s="19" t="str">
        <f t="shared" si="1"/>
        <v>Linkedin</v>
      </c>
      <c r="H18" s="19">
        <v>4</v>
      </c>
      <c r="I18" s="19">
        <v>4</v>
      </c>
      <c r="J18" s="19">
        <v>4</v>
      </c>
      <c r="K18" s="19">
        <v>134338</v>
      </c>
      <c r="L18" s="19">
        <v>151435</v>
      </c>
      <c r="M18" s="19" t="s">
        <v>5020</v>
      </c>
      <c r="N18" s="40" t="s">
        <v>5058</v>
      </c>
      <c r="O18" s="19" t="s">
        <v>214</v>
      </c>
      <c r="P18" s="19">
        <v>10</v>
      </c>
      <c r="R18" s="34"/>
    </row>
    <row r="19" spans="1:18">
      <c r="A19" s="18" t="s">
        <v>5059</v>
      </c>
      <c r="B19" s="18" t="s">
        <v>171</v>
      </c>
      <c r="C19" s="18" t="s">
        <v>5040</v>
      </c>
      <c r="D19" s="18" t="s">
        <v>39</v>
      </c>
      <c r="E19" s="19" t="str">
        <f t="shared" si="0"/>
        <v>Engineering</v>
      </c>
      <c r="F19" s="18" t="s">
        <v>5060</v>
      </c>
      <c r="G19" s="19" t="str">
        <f t="shared" si="1"/>
        <v>Naukri</v>
      </c>
      <c r="H19" s="18">
        <v>8.8000000000000007</v>
      </c>
      <c r="I19" s="18">
        <v>6.4</v>
      </c>
      <c r="J19" s="18">
        <v>7.6</v>
      </c>
      <c r="K19" s="18">
        <v>75363</v>
      </c>
      <c r="L19" s="18"/>
      <c r="M19" s="18" t="s">
        <v>5017</v>
      </c>
      <c r="N19" s="41" t="s">
        <v>5061</v>
      </c>
      <c r="O19" s="18" t="s">
        <v>70</v>
      </c>
      <c r="P19" s="18">
        <v>8.1999999999999993</v>
      </c>
      <c r="R19" s="34"/>
    </row>
    <row r="20" spans="1:18">
      <c r="A20" s="19" t="s">
        <v>5062</v>
      </c>
      <c r="B20" s="19" t="s">
        <v>662</v>
      </c>
      <c r="C20" s="19" t="s">
        <v>335</v>
      </c>
      <c r="D20" s="19" t="s">
        <v>176</v>
      </c>
      <c r="E20" s="19" t="str">
        <f t="shared" si="0"/>
        <v>Finance</v>
      </c>
      <c r="F20" s="19" t="s">
        <v>5060</v>
      </c>
      <c r="G20" s="19" t="str">
        <f t="shared" si="1"/>
        <v>Naukri</v>
      </c>
      <c r="H20" s="19">
        <v>4.5</v>
      </c>
      <c r="I20" s="19">
        <v>4.4000000000000004</v>
      </c>
      <c r="J20" s="19">
        <v>4.5</v>
      </c>
      <c r="K20" s="19">
        <v>60126</v>
      </c>
      <c r="L20" s="19"/>
      <c r="M20" s="19" t="s">
        <v>5035</v>
      </c>
      <c r="N20" s="40" t="s">
        <v>5063</v>
      </c>
      <c r="O20" s="19" t="s">
        <v>26</v>
      </c>
      <c r="P20" s="19">
        <v>5</v>
      </c>
      <c r="R20" s="34"/>
    </row>
    <row r="21" spans="1:18">
      <c r="A21" s="18" t="s">
        <v>5064</v>
      </c>
      <c r="B21" s="18" t="s">
        <v>5065</v>
      </c>
      <c r="C21" s="18" t="s">
        <v>98</v>
      </c>
      <c r="D21" s="18" t="s">
        <v>63</v>
      </c>
      <c r="E21" s="19" t="str">
        <f t="shared" si="0"/>
        <v>Product</v>
      </c>
      <c r="F21" s="18" t="s">
        <v>5019</v>
      </c>
      <c r="G21" s="19" t="str">
        <f t="shared" si="1"/>
        <v>Linkedin</v>
      </c>
      <c r="H21" s="18">
        <v>5.5</v>
      </c>
      <c r="I21" s="18">
        <v>7.3</v>
      </c>
      <c r="J21" s="18">
        <v>6.4</v>
      </c>
      <c r="K21" s="18">
        <v>67215</v>
      </c>
      <c r="L21" s="18">
        <v>58147</v>
      </c>
      <c r="M21" s="18" t="s">
        <v>5035</v>
      </c>
      <c r="N21" s="41" t="s">
        <v>2002</v>
      </c>
      <c r="O21" s="18" t="s">
        <v>172</v>
      </c>
      <c r="P21" s="18">
        <v>0.9</v>
      </c>
      <c r="R21" s="34"/>
    </row>
    <row r="22" spans="1:18">
      <c r="A22" s="19" t="s">
        <v>5066</v>
      </c>
      <c r="B22" s="19" t="s">
        <v>528</v>
      </c>
      <c r="C22" s="19" t="s">
        <v>5040</v>
      </c>
      <c r="D22" s="19" t="s">
        <v>39</v>
      </c>
      <c r="E22" s="19" t="str">
        <f t="shared" si="0"/>
        <v>Engineering</v>
      </c>
      <c r="F22" s="19" t="s">
        <v>5031</v>
      </c>
      <c r="G22" s="19" t="str">
        <f t="shared" si="1"/>
        <v>Walk-In</v>
      </c>
      <c r="H22" s="19">
        <v>8.5</v>
      </c>
      <c r="I22" s="19">
        <v>7.6</v>
      </c>
      <c r="J22" s="19">
        <v>8.1</v>
      </c>
      <c r="K22" s="19">
        <v>113954</v>
      </c>
      <c r="L22" s="19"/>
      <c r="M22" s="19" t="s">
        <v>5035</v>
      </c>
      <c r="N22" s="40" t="s">
        <v>1737</v>
      </c>
      <c r="O22" s="19" t="s">
        <v>32</v>
      </c>
      <c r="P22" s="19">
        <v>11.7</v>
      </c>
      <c r="R22" s="34"/>
    </row>
    <row r="23" spans="1:18">
      <c r="A23" s="18" t="s">
        <v>5067</v>
      </c>
      <c r="B23" s="18" t="s">
        <v>1145</v>
      </c>
      <c r="C23" s="18" t="s">
        <v>105</v>
      </c>
      <c r="D23" s="18" t="s">
        <v>118</v>
      </c>
      <c r="E23" s="19" t="str">
        <f t="shared" si="0"/>
        <v>Marketing</v>
      </c>
      <c r="F23" s="18" t="s">
        <v>5016</v>
      </c>
      <c r="G23" s="19" t="str">
        <f t="shared" si="1"/>
        <v>Job Portal</v>
      </c>
      <c r="H23" s="18">
        <v>6.5</v>
      </c>
      <c r="I23" s="18">
        <v>9.1</v>
      </c>
      <c r="J23" s="18">
        <v>7.8</v>
      </c>
      <c r="K23" s="18">
        <v>183795</v>
      </c>
      <c r="L23" s="18">
        <v>208454</v>
      </c>
      <c r="M23" s="18" t="s">
        <v>5020</v>
      </c>
      <c r="N23" s="41" t="s">
        <v>2035</v>
      </c>
      <c r="O23" s="18" t="s">
        <v>70</v>
      </c>
      <c r="P23" s="18">
        <v>4.8</v>
      </c>
      <c r="R23" s="34"/>
    </row>
    <row r="24" spans="1:18">
      <c r="A24" s="19" t="s">
        <v>5068</v>
      </c>
      <c r="B24" s="19" t="s">
        <v>5069</v>
      </c>
      <c r="C24" s="19" t="s">
        <v>225</v>
      </c>
      <c r="D24" s="19" t="s">
        <v>51</v>
      </c>
      <c r="E24" s="19" t="str">
        <f t="shared" si="0"/>
        <v>Sales</v>
      </c>
      <c r="F24" s="19" t="s">
        <v>5051</v>
      </c>
      <c r="G24" s="19" t="str">
        <f t="shared" si="1"/>
        <v>Naukri</v>
      </c>
      <c r="H24" s="19">
        <v>5.5</v>
      </c>
      <c r="I24" s="19">
        <v>8.6</v>
      </c>
      <c r="J24" s="19">
        <v>7</v>
      </c>
      <c r="K24" s="19">
        <v>64504</v>
      </c>
      <c r="L24" s="19"/>
      <c r="M24" s="19" t="s">
        <v>5017</v>
      </c>
      <c r="N24" s="40" t="s">
        <v>5070</v>
      </c>
      <c r="O24" s="19" t="s">
        <v>53</v>
      </c>
      <c r="P24" s="19">
        <v>11.4</v>
      </c>
      <c r="R24" s="34"/>
    </row>
    <row r="25" spans="1:18">
      <c r="A25" s="18" t="s">
        <v>5071</v>
      </c>
      <c r="B25" s="18" t="s">
        <v>502</v>
      </c>
      <c r="C25" s="18" t="s">
        <v>225</v>
      </c>
      <c r="D25" s="18" t="s">
        <v>176</v>
      </c>
      <c r="E25" s="19" t="str">
        <f t="shared" si="0"/>
        <v>Finance</v>
      </c>
      <c r="F25" s="18" t="s">
        <v>5051</v>
      </c>
      <c r="G25" s="19" t="str">
        <f t="shared" si="1"/>
        <v>Naukri</v>
      </c>
      <c r="H25" s="18">
        <v>3.8</v>
      </c>
      <c r="I25" s="18">
        <v>5.5</v>
      </c>
      <c r="J25" s="18">
        <v>4.7</v>
      </c>
      <c r="K25" s="18">
        <v>196050</v>
      </c>
      <c r="L25" s="18">
        <v>225137</v>
      </c>
      <c r="M25" s="18" t="s">
        <v>5020</v>
      </c>
      <c r="N25" s="41" t="s">
        <v>5072</v>
      </c>
      <c r="O25" s="18" t="s">
        <v>75</v>
      </c>
      <c r="P25" s="18">
        <v>8.6999999999999993</v>
      </c>
      <c r="R25" s="34"/>
    </row>
    <row r="26" spans="1:18">
      <c r="A26" s="19" t="s">
        <v>5073</v>
      </c>
      <c r="B26" s="19" t="s">
        <v>1257</v>
      </c>
      <c r="C26" s="19" t="s">
        <v>105</v>
      </c>
      <c r="D26" s="19" t="s">
        <v>51</v>
      </c>
      <c r="E26" s="19" t="str">
        <f t="shared" si="0"/>
        <v>Sales</v>
      </c>
      <c r="F26" s="19" t="s">
        <v>5023</v>
      </c>
      <c r="G26" s="19" t="str">
        <f t="shared" si="1"/>
        <v>Linkedin</v>
      </c>
      <c r="H26" s="19">
        <v>6.7</v>
      </c>
      <c r="I26" s="19">
        <v>3.7</v>
      </c>
      <c r="J26" s="19">
        <v>5.2</v>
      </c>
      <c r="K26" s="19">
        <v>66622</v>
      </c>
      <c r="L26" s="19">
        <v>66872</v>
      </c>
      <c r="M26" s="19" t="s">
        <v>5035</v>
      </c>
      <c r="N26" s="40" t="s">
        <v>5074</v>
      </c>
      <c r="O26" s="19" t="s">
        <v>75</v>
      </c>
      <c r="P26" s="19">
        <v>5.0999999999999996</v>
      </c>
      <c r="R26" s="34"/>
    </row>
    <row r="27" spans="1:18">
      <c r="A27" s="18" t="s">
        <v>5075</v>
      </c>
      <c r="B27" s="18" t="s">
        <v>5076</v>
      </c>
      <c r="C27" s="18" t="s">
        <v>138</v>
      </c>
      <c r="D27" s="18" t="s">
        <v>118</v>
      </c>
      <c r="E27" s="19" t="str">
        <f t="shared" si="0"/>
        <v>Marketing</v>
      </c>
      <c r="F27" s="18" t="s">
        <v>5077</v>
      </c>
      <c r="G27" s="19" t="str">
        <f t="shared" si="1"/>
        <v>Referral</v>
      </c>
      <c r="H27" s="18">
        <v>3.1</v>
      </c>
      <c r="I27" s="18">
        <v>4.3</v>
      </c>
      <c r="J27" s="18">
        <v>3.7</v>
      </c>
      <c r="K27" s="18">
        <v>60845</v>
      </c>
      <c r="L27" s="18">
        <v>66284</v>
      </c>
      <c r="M27" s="18" t="s">
        <v>5045</v>
      </c>
      <c r="N27" s="41" t="s">
        <v>5078</v>
      </c>
      <c r="O27" s="18" t="s">
        <v>149</v>
      </c>
      <c r="P27" s="18">
        <v>5.9</v>
      </c>
      <c r="R27" s="34"/>
    </row>
    <row r="28" spans="1:18">
      <c r="A28" s="19" t="s">
        <v>5079</v>
      </c>
      <c r="B28" s="19" t="s">
        <v>5080</v>
      </c>
      <c r="C28" s="19" t="s">
        <v>153</v>
      </c>
      <c r="D28" s="19" t="s">
        <v>133</v>
      </c>
      <c r="E28" s="19" t="str">
        <f t="shared" si="0"/>
        <v>Qa</v>
      </c>
      <c r="F28" s="19" t="s">
        <v>5016</v>
      </c>
      <c r="G28" s="19" t="str">
        <f t="shared" si="1"/>
        <v>Job Portal</v>
      </c>
      <c r="H28" s="19">
        <v>3.4</v>
      </c>
      <c r="I28" s="19">
        <v>9</v>
      </c>
      <c r="J28" s="19">
        <v>6.2</v>
      </c>
      <c r="K28" s="19">
        <v>129397</v>
      </c>
      <c r="L28" s="19">
        <v>117989</v>
      </c>
      <c r="M28" s="19" t="s">
        <v>5020</v>
      </c>
      <c r="N28" s="40" t="s">
        <v>5081</v>
      </c>
      <c r="O28" s="19" t="s">
        <v>70</v>
      </c>
      <c r="P28" s="19">
        <v>11.7</v>
      </c>
      <c r="R28" s="34"/>
    </row>
    <row r="29" spans="1:18">
      <c r="A29" s="18" t="s">
        <v>5082</v>
      </c>
      <c r="B29" s="18" t="s">
        <v>1297</v>
      </c>
      <c r="C29" s="18" t="s">
        <v>335</v>
      </c>
      <c r="D29" s="18" t="s">
        <v>16</v>
      </c>
      <c r="E29" s="19" t="str">
        <f t="shared" si="0"/>
        <v>Devops</v>
      </c>
      <c r="F29" s="18" t="s">
        <v>5025</v>
      </c>
      <c r="G29" s="19" t="str">
        <f t="shared" si="1"/>
        <v>Campus</v>
      </c>
      <c r="H29" s="18">
        <v>4.2</v>
      </c>
      <c r="I29" s="18">
        <v>5.2</v>
      </c>
      <c r="J29" s="18">
        <v>4.7</v>
      </c>
      <c r="K29" s="18">
        <v>199530</v>
      </c>
      <c r="L29" s="18"/>
      <c r="M29" s="18" t="s">
        <v>5017</v>
      </c>
      <c r="N29" s="41" t="s">
        <v>5083</v>
      </c>
      <c r="O29" s="18" t="s">
        <v>75</v>
      </c>
      <c r="P29" s="18">
        <v>9.1999999999999993</v>
      </c>
      <c r="R29" s="34"/>
    </row>
    <row r="30" spans="1:18">
      <c r="A30" s="19" t="s">
        <v>5084</v>
      </c>
      <c r="B30" s="19" t="s">
        <v>5085</v>
      </c>
      <c r="C30" s="19" t="s">
        <v>138</v>
      </c>
      <c r="D30" s="19" t="s">
        <v>16</v>
      </c>
      <c r="E30" s="19" t="str">
        <f t="shared" si="0"/>
        <v>Devops</v>
      </c>
      <c r="F30" s="19" t="s">
        <v>5051</v>
      </c>
      <c r="G30" s="19" t="str">
        <f t="shared" si="1"/>
        <v>Naukri</v>
      </c>
      <c r="H30" s="19">
        <v>6.6</v>
      </c>
      <c r="I30" s="19">
        <v>4.2</v>
      </c>
      <c r="J30" s="19">
        <v>5.4</v>
      </c>
      <c r="K30" s="19">
        <v>169961</v>
      </c>
      <c r="L30" s="19">
        <v>185498</v>
      </c>
      <c r="M30" s="19" t="s">
        <v>5020</v>
      </c>
      <c r="N30" s="40" t="s">
        <v>2215</v>
      </c>
      <c r="O30" s="19" t="s">
        <v>149</v>
      </c>
      <c r="P30" s="19">
        <v>11.6</v>
      </c>
      <c r="R30" s="34"/>
    </row>
    <row r="31" spans="1:18">
      <c r="A31" s="18" t="s">
        <v>5086</v>
      </c>
      <c r="B31" s="18" t="s">
        <v>1460</v>
      </c>
      <c r="C31" s="18" t="s">
        <v>105</v>
      </c>
      <c r="D31" s="18" t="s">
        <v>51</v>
      </c>
      <c r="E31" s="19" t="str">
        <f t="shared" si="0"/>
        <v>Sales</v>
      </c>
      <c r="F31" s="18" t="s">
        <v>5016</v>
      </c>
      <c r="G31" s="19" t="str">
        <f t="shared" si="1"/>
        <v>Job Portal</v>
      </c>
      <c r="H31" s="18">
        <v>8.5</v>
      </c>
      <c r="I31" s="18">
        <v>5.5</v>
      </c>
      <c r="J31" s="18">
        <v>7</v>
      </c>
      <c r="K31" s="18">
        <v>131761</v>
      </c>
      <c r="L31" s="18">
        <v>125277</v>
      </c>
      <c r="M31" s="18" t="s">
        <v>5045</v>
      </c>
      <c r="N31" s="41" t="s">
        <v>5087</v>
      </c>
      <c r="O31" s="18" t="s">
        <v>172</v>
      </c>
      <c r="P31" s="18">
        <v>11.3</v>
      </c>
      <c r="R31" s="34"/>
    </row>
    <row r="32" spans="1:18">
      <c r="A32" s="19" t="s">
        <v>5088</v>
      </c>
      <c r="B32" s="19" t="s">
        <v>631</v>
      </c>
      <c r="C32" s="19" t="s">
        <v>153</v>
      </c>
      <c r="D32" s="19" t="s">
        <v>51</v>
      </c>
      <c r="E32" s="19" t="str">
        <f t="shared" si="0"/>
        <v>Sales</v>
      </c>
      <c r="F32" s="19" t="s">
        <v>5060</v>
      </c>
      <c r="G32" s="19" t="str">
        <f t="shared" si="1"/>
        <v>Naukri</v>
      </c>
      <c r="H32" s="19">
        <v>9.6999999999999993</v>
      </c>
      <c r="I32" s="19">
        <v>8.8000000000000007</v>
      </c>
      <c r="J32" s="19">
        <v>9.1999999999999993</v>
      </c>
      <c r="K32" s="19">
        <v>180507</v>
      </c>
      <c r="L32" s="19">
        <v>193212</v>
      </c>
      <c r="M32" s="19" t="s">
        <v>5020</v>
      </c>
      <c r="N32" s="40" t="s">
        <v>1430</v>
      </c>
      <c r="O32" s="19" t="s">
        <v>149</v>
      </c>
      <c r="P32" s="19">
        <v>6.8</v>
      </c>
      <c r="R32" s="34"/>
    </row>
    <row r="33" spans="1:18">
      <c r="A33" s="18" t="s">
        <v>5089</v>
      </c>
      <c r="B33" s="18" t="s">
        <v>628</v>
      </c>
      <c r="C33" s="18" t="s">
        <v>98</v>
      </c>
      <c r="D33" s="18" t="s">
        <v>89</v>
      </c>
      <c r="E33" s="19" t="str">
        <f t="shared" si="0"/>
        <v>Data Science</v>
      </c>
      <c r="F33" s="18" t="s">
        <v>5077</v>
      </c>
      <c r="G33" s="19" t="str">
        <f t="shared" si="1"/>
        <v>Referral</v>
      </c>
      <c r="H33" s="18">
        <v>3.8</v>
      </c>
      <c r="I33" s="18">
        <v>6.2</v>
      </c>
      <c r="J33" s="18">
        <v>5</v>
      </c>
      <c r="K33" s="18">
        <v>158520</v>
      </c>
      <c r="L33" s="18">
        <v>151325</v>
      </c>
      <c r="M33" s="18" t="s">
        <v>5017</v>
      </c>
      <c r="N33" s="41" t="s">
        <v>585</v>
      </c>
      <c r="O33" s="18" t="s">
        <v>75</v>
      </c>
      <c r="P33" s="18">
        <v>4.3</v>
      </c>
      <c r="R33" s="34"/>
    </row>
    <row r="34" spans="1:18">
      <c r="A34" s="19" t="s">
        <v>5090</v>
      </c>
      <c r="B34" s="19" t="s">
        <v>5091</v>
      </c>
      <c r="C34" s="19" t="s">
        <v>225</v>
      </c>
      <c r="D34" s="19" t="s">
        <v>24</v>
      </c>
      <c r="E34" s="19" t="str">
        <f t="shared" si="0"/>
        <v>Design</v>
      </c>
      <c r="F34" s="19" t="s">
        <v>5025</v>
      </c>
      <c r="G34" s="19" t="str">
        <f t="shared" si="1"/>
        <v>Campus</v>
      </c>
      <c r="H34" s="19">
        <v>9.8000000000000007</v>
      </c>
      <c r="I34" s="19">
        <v>8.5</v>
      </c>
      <c r="J34" s="19">
        <v>9.1999999999999993</v>
      </c>
      <c r="K34" s="19">
        <v>125983</v>
      </c>
      <c r="L34" s="19">
        <v>129695</v>
      </c>
      <c r="M34" s="19" t="s">
        <v>5045</v>
      </c>
      <c r="N34" s="40" t="s">
        <v>5092</v>
      </c>
      <c r="O34" s="19" t="s">
        <v>214</v>
      </c>
      <c r="P34" s="19">
        <v>6.3</v>
      </c>
      <c r="R34" s="34"/>
    </row>
    <row r="35" spans="1:18">
      <c r="A35" s="18" t="s">
        <v>5093</v>
      </c>
      <c r="B35" s="18" t="s">
        <v>655</v>
      </c>
      <c r="C35" s="18" t="s">
        <v>105</v>
      </c>
      <c r="D35" s="18" t="s">
        <v>51</v>
      </c>
      <c r="E35" s="19" t="str">
        <f t="shared" si="0"/>
        <v>Sales</v>
      </c>
      <c r="F35" s="18" t="s">
        <v>5019</v>
      </c>
      <c r="G35" s="19" t="str">
        <f t="shared" si="1"/>
        <v>Linkedin</v>
      </c>
      <c r="H35" s="18">
        <v>4.5</v>
      </c>
      <c r="I35" s="18"/>
      <c r="J35" s="18">
        <v>4.5</v>
      </c>
      <c r="K35" s="18">
        <v>103827</v>
      </c>
      <c r="L35" s="18">
        <v>117799</v>
      </c>
      <c r="M35" s="18" t="s">
        <v>5035</v>
      </c>
      <c r="N35" s="41" t="s">
        <v>1913</v>
      </c>
      <c r="O35" s="18" t="s">
        <v>149</v>
      </c>
      <c r="P35" s="18">
        <v>9.8000000000000007</v>
      </c>
      <c r="R35" s="34"/>
    </row>
    <row r="36" spans="1:18">
      <c r="A36" s="19" t="s">
        <v>5094</v>
      </c>
      <c r="B36" s="19" t="s">
        <v>5095</v>
      </c>
      <c r="C36" s="19" t="s">
        <v>90</v>
      </c>
      <c r="D36" s="19" t="s">
        <v>84</v>
      </c>
      <c r="E36" s="19" t="str">
        <f t="shared" si="0"/>
        <v>Hr</v>
      </c>
      <c r="F36" s="19" t="s">
        <v>5060</v>
      </c>
      <c r="G36" s="19" t="str">
        <f t="shared" si="1"/>
        <v>Naukri</v>
      </c>
      <c r="H36" s="19">
        <v>7.7</v>
      </c>
      <c r="I36" s="19">
        <v>5.9</v>
      </c>
      <c r="J36" s="19">
        <v>6.8</v>
      </c>
      <c r="K36" s="19">
        <v>131980</v>
      </c>
      <c r="L36" s="19"/>
      <c r="M36" s="19" t="s">
        <v>5028</v>
      </c>
      <c r="N36" s="40" t="s">
        <v>5096</v>
      </c>
      <c r="O36" s="19" t="s">
        <v>114</v>
      </c>
      <c r="P36" s="19">
        <v>13.5</v>
      </c>
      <c r="R36" s="34"/>
    </row>
    <row r="37" spans="1:18">
      <c r="A37" s="18" t="s">
        <v>5097</v>
      </c>
      <c r="B37" s="18" t="s">
        <v>886</v>
      </c>
      <c r="C37" s="18" t="s">
        <v>25</v>
      </c>
      <c r="D37" s="18" t="s">
        <v>118</v>
      </c>
      <c r="E37" s="19" t="str">
        <f t="shared" si="0"/>
        <v>Marketing</v>
      </c>
      <c r="F37" s="18" t="s">
        <v>5060</v>
      </c>
      <c r="G37" s="19" t="str">
        <f t="shared" si="1"/>
        <v>Naukri</v>
      </c>
      <c r="H37" s="18">
        <v>5.3</v>
      </c>
      <c r="I37" s="18">
        <v>9.5</v>
      </c>
      <c r="J37" s="18">
        <v>7.4</v>
      </c>
      <c r="K37" s="18">
        <v>83588</v>
      </c>
      <c r="L37" s="18">
        <v>91424</v>
      </c>
      <c r="M37" s="18" t="s">
        <v>5028</v>
      </c>
      <c r="N37" s="41" t="s">
        <v>5098</v>
      </c>
      <c r="O37" s="18" t="s">
        <v>149</v>
      </c>
      <c r="P37" s="18">
        <v>4.8</v>
      </c>
      <c r="R37" s="34"/>
    </row>
    <row r="38" spans="1:18">
      <c r="A38" s="19" t="s">
        <v>5099</v>
      </c>
      <c r="B38" s="19" t="s">
        <v>788</v>
      </c>
      <c r="C38" s="19" t="s">
        <v>138</v>
      </c>
      <c r="D38" s="19" t="s">
        <v>39</v>
      </c>
      <c r="E38" s="19" t="str">
        <f t="shared" si="0"/>
        <v>Engineering</v>
      </c>
      <c r="F38" s="19" t="s">
        <v>5019</v>
      </c>
      <c r="G38" s="19" t="str">
        <f t="shared" si="1"/>
        <v>Linkedin</v>
      </c>
      <c r="H38" s="19">
        <v>6.1</v>
      </c>
      <c r="I38" s="19">
        <v>6.2</v>
      </c>
      <c r="J38" s="19">
        <v>6.2</v>
      </c>
      <c r="K38" s="19">
        <v>139840</v>
      </c>
      <c r="L38" s="19">
        <v>125731</v>
      </c>
      <c r="M38" s="19" t="s">
        <v>5035</v>
      </c>
      <c r="N38" s="40" t="s">
        <v>2296</v>
      </c>
      <c r="O38" s="19" t="s">
        <v>18</v>
      </c>
      <c r="P38" s="19">
        <v>11.7</v>
      </c>
      <c r="R38" s="34"/>
    </row>
    <row r="39" spans="1:18">
      <c r="A39" s="18" t="s">
        <v>5100</v>
      </c>
      <c r="B39" s="18" t="s">
        <v>727</v>
      </c>
      <c r="C39" s="18" t="s">
        <v>25</v>
      </c>
      <c r="D39" s="18" t="s">
        <v>51</v>
      </c>
      <c r="E39" s="19" t="str">
        <f t="shared" si="0"/>
        <v>Sales</v>
      </c>
      <c r="F39" s="18" t="s">
        <v>5077</v>
      </c>
      <c r="G39" s="19" t="str">
        <f t="shared" si="1"/>
        <v>Referral</v>
      </c>
      <c r="H39" s="18">
        <v>7.9</v>
      </c>
      <c r="I39" s="18">
        <v>3.3</v>
      </c>
      <c r="J39" s="18">
        <v>5.6</v>
      </c>
      <c r="K39" s="18">
        <v>100081</v>
      </c>
      <c r="L39" s="18">
        <v>89054</v>
      </c>
      <c r="M39" s="18" t="s">
        <v>5045</v>
      </c>
      <c r="N39" s="41" t="s">
        <v>5101</v>
      </c>
      <c r="O39" s="18" t="s">
        <v>18</v>
      </c>
      <c r="P39" s="18">
        <v>3.9</v>
      </c>
      <c r="R39" s="34"/>
    </row>
    <row r="40" spans="1:18">
      <c r="A40" s="19" t="s">
        <v>5102</v>
      </c>
      <c r="B40" s="19" t="s">
        <v>5103</v>
      </c>
      <c r="C40" s="19" t="s">
        <v>98</v>
      </c>
      <c r="D40" s="19" t="s">
        <v>51</v>
      </c>
      <c r="E40" s="19" t="str">
        <f t="shared" si="0"/>
        <v>Sales</v>
      </c>
      <c r="F40" s="19" t="s">
        <v>5025</v>
      </c>
      <c r="G40" s="19" t="str">
        <f t="shared" si="1"/>
        <v>Campus</v>
      </c>
      <c r="H40" s="19">
        <v>5.7</v>
      </c>
      <c r="I40" s="19">
        <v>3.9</v>
      </c>
      <c r="J40" s="19">
        <v>4.8</v>
      </c>
      <c r="K40" s="19"/>
      <c r="L40" s="19"/>
      <c r="M40" s="19" t="s">
        <v>5045</v>
      </c>
      <c r="N40" s="40" t="s">
        <v>5104</v>
      </c>
      <c r="O40" s="19" t="s">
        <v>53</v>
      </c>
      <c r="P40" s="19">
        <v>0.7</v>
      </c>
      <c r="R40" s="34"/>
    </row>
    <row r="41" spans="1:18">
      <c r="A41" s="18" t="s">
        <v>5105</v>
      </c>
      <c r="B41" s="18" t="s">
        <v>78</v>
      </c>
      <c r="C41" s="18" t="s">
        <v>90</v>
      </c>
      <c r="D41" s="18" t="s">
        <v>89</v>
      </c>
      <c r="E41" s="19" t="str">
        <f t="shared" si="0"/>
        <v>Data Science</v>
      </c>
      <c r="F41" s="18" t="s">
        <v>5025</v>
      </c>
      <c r="G41" s="19" t="str">
        <f t="shared" si="1"/>
        <v>Campus</v>
      </c>
      <c r="H41" s="18">
        <v>7</v>
      </c>
      <c r="I41" s="18">
        <v>6.2</v>
      </c>
      <c r="J41" s="18">
        <v>6.6</v>
      </c>
      <c r="K41" s="18">
        <v>184893</v>
      </c>
      <c r="L41" s="18">
        <v>192973</v>
      </c>
      <c r="M41" s="18" t="s">
        <v>5020</v>
      </c>
      <c r="N41" s="41" t="s">
        <v>5106</v>
      </c>
      <c r="O41" s="18" t="s">
        <v>214</v>
      </c>
      <c r="P41" s="18">
        <v>9.1999999999999993</v>
      </c>
      <c r="R41" s="34"/>
    </row>
    <row r="42" spans="1:18">
      <c r="A42" s="19" t="s">
        <v>5107</v>
      </c>
      <c r="B42" s="19" t="s">
        <v>715</v>
      </c>
      <c r="C42" s="19" t="s">
        <v>5040</v>
      </c>
      <c r="D42" s="19" t="s">
        <v>176</v>
      </c>
      <c r="E42" s="19" t="str">
        <f t="shared" si="0"/>
        <v>Finance</v>
      </c>
      <c r="F42" s="19" t="s">
        <v>5023</v>
      </c>
      <c r="G42" s="19" t="str">
        <f t="shared" si="1"/>
        <v>Linkedin</v>
      </c>
      <c r="H42" s="19">
        <v>6.6</v>
      </c>
      <c r="I42" s="19">
        <v>7.9</v>
      </c>
      <c r="J42" s="19">
        <v>7.2</v>
      </c>
      <c r="K42" s="19">
        <v>94557</v>
      </c>
      <c r="L42" s="19"/>
      <c r="M42" s="19" t="s">
        <v>5035</v>
      </c>
      <c r="N42" s="40" t="s">
        <v>5108</v>
      </c>
      <c r="O42" s="19" t="s">
        <v>32</v>
      </c>
      <c r="P42" s="19">
        <v>0.6</v>
      </c>
      <c r="R42" s="34"/>
    </row>
    <row r="43" spans="1:18">
      <c r="A43" s="18" t="s">
        <v>5109</v>
      </c>
      <c r="B43" s="18" t="s">
        <v>5110</v>
      </c>
      <c r="C43" s="18" t="s">
        <v>153</v>
      </c>
      <c r="D43" s="18" t="s">
        <v>16</v>
      </c>
      <c r="E43" s="19" t="str">
        <f t="shared" si="0"/>
        <v>Devops</v>
      </c>
      <c r="F43" s="18" t="s">
        <v>5077</v>
      </c>
      <c r="G43" s="19" t="str">
        <f t="shared" si="1"/>
        <v>Referral</v>
      </c>
      <c r="H43" s="18">
        <v>5.0999999999999996</v>
      </c>
      <c r="I43" s="18">
        <v>3.6</v>
      </c>
      <c r="J43" s="18">
        <v>4.3</v>
      </c>
      <c r="K43" s="18">
        <v>145379</v>
      </c>
      <c r="L43" s="18">
        <v>144200</v>
      </c>
      <c r="M43" s="18" t="s">
        <v>5017</v>
      </c>
      <c r="N43" s="41" t="s">
        <v>5111</v>
      </c>
      <c r="O43" s="18" t="s">
        <v>18</v>
      </c>
      <c r="P43" s="18">
        <v>6.3</v>
      </c>
      <c r="R43" s="34"/>
    </row>
    <row r="44" spans="1:18">
      <c r="A44" s="19" t="s">
        <v>5112</v>
      </c>
      <c r="B44" s="19" t="s">
        <v>375</v>
      </c>
      <c r="C44" s="19" t="s">
        <v>138</v>
      </c>
      <c r="D44" s="19" t="s">
        <v>84</v>
      </c>
      <c r="E44" s="19" t="str">
        <f t="shared" si="0"/>
        <v>Hr</v>
      </c>
      <c r="F44" s="19" t="s">
        <v>5019</v>
      </c>
      <c r="G44" s="19" t="str">
        <f t="shared" si="1"/>
        <v>Linkedin</v>
      </c>
      <c r="H44" s="19">
        <v>4.5</v>
      </c>
      <c r="I44" s="19">
        <v>4.4000000000000004</v>
      </c>
      <c r="J44" s="19">
        <v>4.5</v>
      </c>
      <c r="K44" s="19">
        <v>155745</v>
      </c>
      <c r="L44" s="19"/>
      <c r="M44" s="19" t="s">
        <v>5028</v>
      </c>
      <c r="N44" s="40" t="s">
        <v>5113</v>
      </c>
      <c r="O44" s="19" t="s">
        <v>26</v>
      </c>
      <c r="P44" s="19">
        <v>9.5</v>
      </c>
      <c r="R44" s="34"/>
    </row>
    <row r="45" spans="1:18">
      <c r="A45" s="18" t="s">
        <v>5114</v>
      </c>
      <c r="B45" s="18" t="s">
        <v>5115</v>
      </c>
      <c r="C45" s="18" t="s">
        <v>105</v>
      </c>
      <c r="D45" s="18" t="s">
        <v>133</v>
      </c>
      <c r="E45" s="19" t="str">
        <f t="shared" si="0"/>
        <v>Qa</v>
      </c>
      <c r="F45" s="18" t="s">
        <v>5060</v>
      </c>
      <c r="G45" s="19" t="str">
        <f t="shared" si="1"/>
        <v>Naukri</v>
      </c>
      <c r="H45" s="18">
        <v>4.8</v>
      </c>
      <c r="I45" s="18">
        <v>6.1</v>
      </c>
      <c r="J45" s="18">
        <v>5.4</v>
      </c>
      <c r="K45" s="18">
        <v>195587</v>
      </c>
      <c r="L45" s="18"/>
      <c r="M45" s="18" t="s">
        <v>5045</v>
      </c>
      <c r="N45" s="41" t="s">
        <v>5116</v>
      </c>
      <c r="O45" s="18" t="s">
        <v>53</v>
      </c>
      <c r="P45" s="18">
        <v>8.6999999999999993</v>
      </c>
      <c r="R45" s="34"/>
    </row>
    <row r="46" spans="1:18">
      <c r="A46" s="19" t="s">
        <v>5117</v>
      </c>
      <c r="B46" s="19" t="s">
        <v>14</v>
      </c>
      <c r="C46" s="19" t="s">
        <v>79</v>
      </c>
      <c r="D46" s="19" t="s">
        <v>24</v>
      </c>
      <c r="E46" s="19" t="str">
        <f t="shared" si="0"/>
        <v>Design</v>
      </c>
      <c r="F46" s="19" t="s">
        <v>5016</v>
      </c>
      <c r="G46" s="19" t="str">
        <f t="shared" si="1"/>
        <v>Job Portal</v>
      </c>
      <c r="H46" s="19">
        <v>3.3</v>
      </c>
      <c r="I46" s="19">
        <v>6</v>
      </c>
      <c r="J46" s="19">
        <v>4.7</v>
      </c>
      <c r="K46" s="19">
        <v>172657</v>
      </c>
      <c r="L46" s="19">
        <v>163716</v>
      </c>
      <c r="M46" s="19" t="s">
        <v>5035</v>
      </c>
      <c r="N46" s="40" t="s">
        <v>5118</v>
      </c>
      <c r="O46" s="19" t="s">
        <v>18</v>
      </c>
      <c r="P46" s="19">
        <v>7.2</v>
      </c>
      <c r="R46" s="34"/>
    </row>
    <row r="47" spans="1:18">
      <c r="A47" s="18" t="s">
        <v>5119</v>
      </c>
      <c r="B47" s="18" t="s">
        <v>699</v>
      </c>
      <c r="C47" s="18" t="s">
        <v>90</v>
      </c>
      <c r="D47" s="18" t="s">
        <v>176</v>
      </c>
      <c r="E47" s="19" t="str">
        <f t="shared" si="0"/>
        <v>Finance</v>
      </c>
      <c r="F47" s="18" t="s">
        <v>5051</v>
      </c>
      <c r="G47" s="19" t="str">
        <f t="shared" si="1"/>
        <v>Naukri</v>
      </c>
      <c r="H47" s="18">
        <v>5.9</v>
      </c>
      <c r="I47" s="18"/>
      <c r="J47" s="18">
        <v>5.9</v>
      </c>
      <c r="K47" s="18">
        <v>61815</v>
      </c>
      <c r="L47" s="18">
        <v>66009</v>
      </c>
      <c r="M47" s="18" t="s">
        <v>5020</v>
      </c>
      <c r="N47" s="41" t="s">
        <v>1381</v>
      </c>
      <c r="O47" s="18" t="s">
        <v>172</v>
      </c>
      <c r="P47" s="18">
        <v>13.8</v>
      </c>
      <c r="R47" s="34"/>
    </row>
    <row r="48" spans="1:18">
      <c r="A48" s="19" t="s">
        <v>5120</v>
      </c>
      <c r="B48" s="19" t="s">
        <v>5121</v>
      </c>
      <c r="C48" s="19" t="s">
        <v>25</v>
      </c>
      <c r="D48" s="19" t="s">
        <v>39</v>
      </c>
      <c r="E48" s="19" t="str">
        <f t="shared" si="0"/>
        <v>Engineering</v>
      </c>
      <c r="F48" s="19" t="s">
        <v>5019</v>
      </c>
      <c r="G48" s="19" t="str">
        <f t="shared" si="1"/>
        <v>Linkedin</v>
      </c>
      <c r="H48" s="19">
        <v>3.1</v>
      </c>
      <c r="I48" s="19">
        <v>4.7</v>
      </c>
      <c r="J48" s="19">
        <v>3.9</v>
      </c>
      <c r="K48" s="19">
        <v>146052</v>
      </c>
      <c r="L48" s="19">
        <v>129873</v>
      </c>
      <c r="M48" s="19" t="s">
        <v>5028</v>
      </c>
      <c r="N48" s="40" t="s">
        <v>722</v>
      </c>
      <c r="O48" s="19" t="s">
        <v>70</v>
      </c>
      <c r="P48" s="19">
        <v>4.0999999999999996</v>
      </c>
      <c r="R48" s="34"/>
    </row>
    <row r="49" spans="1:18">
      <c r="A49" s="18" t="s">
        <v>5122</v>
      </c>
      <c r="B49" s="18" t="s">
        <v>5123</v>
      </c>
      <c r="C49" s="18" t="s">
        <v>105</v>
      </c>
      <c r="D49" s="18" t="s">
        <v>63</v>
      </c>
      <c r="E49" s="19" t="str">
        <f t="shared" si="0"/>
        <v>Product</v>
      </c>
      <c r="F49" s="18" t="s">
        <v>5051</v>
      </c>
      <c r="G49" s="19" t="str">
        <f t="shared" si="1"/>
        <v>Naukri</v>
      </c>
      <c r="H49" s="18">
        <v>4.8</v>
      </c>
      <c r="I49" s="18">
        <v>7.9</v>
      </c>
      <c r="J49" s="18">
        <v>6.3</v>
      </c>
      <c r="K49" s="18">
        <v>53469</v>
      </c>
      <c r="L49" s="18">
        <v>47821</v>
      </c>
      <c r="M49" s="18" t="s">
        <v>5020</v>
      </c>
      <c r="N49" s="41" t="s">
        <v>5124</v>
      </c>
      <c r="O49" s="18" t="s">
        <v>53</v>
      </c>
      <c r="P49" s="18">
        <v>4.2</v>
      </c>
      <c r="R49" s="34"/>
    </row>
    <row r="50" spans="1:18">
      <c r="A50" s="19" t="s">
        <v>5125</v>
      </c>
      <c r="B50" s="19" t="s">
        <v>5126</v>
      </c>
      <c r="C50" s="19" t="s">
        <v>105</v>
      </c>
      <c r="D50" s="19" t="s">
        <v>63</v>
      </c>
      <c r="E50" s="19" t="str">
        <f t="shared" si="0"/>
        <v>Product</v>
      </c>
      <c r="F50" s="19" t="s">
        <v>5051</v>
      </c>
      <c r="G50" s="19" t="str">
        <f t="shared" si="1"/>
        <v>Naukri</v>
      </c>
      <c r="H50" s="19">
        <v>4.3</v>
      </c>
      <c r="I50" s="19">
        <v>5.3</v>
      </c>
      <c r="J50" s="19">
        <v>4.8</v>
      </c>
      <c r="K50" s="19">
        <v>82666</v>
      </c>
      <c r="L50" s="19">
        <v>78032</v>
      </c>
      <c r="M50" s="19" t="s">
        <v>5045</v>
      </c>
      <c r="N50" s="40" t="s">
        <v>5127</v>
      </c>
      <c r="O50" s="19" t="s">
        <v>53</v>
      </c>
      <c r="P50" s="19">
        <v>6.5</v>
      </c>
      <c r="R50" s="34"/>
    </row>
    <row r="51" spans="1:18">
      <c r="A51" s="18" t="s">
        <v>5128</v>
      </c>
      <c r="B51" s="18" t="s">
        <v>5129</v>
      </c>
      <c r="C51" s="18" t="s">
        <v>225</v>
      </c>
      <c r="D51" s="18" t="s">
        <v>118</v>
      </c>
      <c r="E51" s="19" t="str">
        <f t="shared" si="0"/>
        <v>Marketing</v>
      </c>
      <c r="F51" s="18" t="s">
        <v>5031</v>
      </c>
      <c r="G51" s="19" t="str">
        <f t="shared" si="1"/>
        <v>Walk-In</v>
      </c>
      <c r="H51" s="18">
        <v>7.2</v>
      </c>
      <c r="I51" s="18">
        <v>5.9</v>
      </c>
      <c r="J51" s="18">
        <v>6.6</v>
      </c>
      <c r="K51" s="18">
        <v>112022</v>
      </c>
      <c r="L51" s="18">
        <v>111420</v>
      </c>
      <c r="M51" s="18" t="s">
        <v>5045</v>
      </c>
      <c r="N51" s="41" t="s">
        <v>5130</v>
      </c>
      <c r="O51" s="18" t="s">
        <v>26</v>
      </c>
      <c r="P51" s="18">
        <v>14.5</v>
      </c>
      <c r="R51" s="34"/>
    </row>
    <row r="52" spans="1:18">
      <c r="A52" s="19" t="s">
        <v>5131</v>
      </c>
      <c r="B52" s="19" t="s">
        <v>5132</v>
      </c>
      <c r="C52" s="19" t="s">
        <v>225</v>
      </c>
      <c r="D52" s="19" t="s">
        <v>89</v>
      </c>
      <c r="E52" s="19" t="str">
        <f t="shared" si="0"/>
        <v>Data Science</v>
      </c>
      <c r="F52" s="19" t="s">
        <v>5019</v>
      </c>
      <c r="G52" s="19" t="str">
        <f t="shared" si="1"/>
        <v>Linkedin</v>
      </c>
      <c r="H52" s="19">
        <v>5.0999999999999996</v>
      </c>
      <c r="I52" s="19">
        <v>6.6</v>
      </c>
      <c r="J52" s="19">
        <v>5.8</v>
      </c>
      <c r="K52" s="19">
        <v>190492</v>
      </c>
      <c r="L52" s="19">
        <v>194921</v>
      </c>
      <c r="M52" s="19" t="s">
        <v>5017</v>
      </c>
      <c r="N52" s="40" t="s">
        <v>1068</v>
      </c>
      <c r="O52" s="19" t="s">
        <v>26</v>
      </c>
      <c r="P52" s="19">
        <v>9.1999999999999993</v>
      </c>
      <c r="R52" s="34"/>
    </row>
    <row r="53" spans="1:18">
      <c r="A53" s="18" t="s">
        <v>5133</v>
      </c>
      <c r="B53" s="18" t="s">
        <v>5134</v>
      </c>
      <c r="C53" s="18" t="s">
        <v>105</v>
      </c>
      <c r="D53" s="18" t="s">
        <v>118</v>
      </c>
      <c r="E53" s="19" t="str">
        <f t="shared" si="0"/>
        <v>Marketing</v>
      </c>
      <c r="F53" s="18" t="s">
        <v>5051</v>
      </c>
      <c r="G53" s="19" t="str">
        <f t="shared" si="1"/>
        <v>Naukri</v>
      </c>
      <c r="H53" s="18">
        <v>3.9</v>
      </c>
      <c r="I53" s="18">
        <v>6.3</v>
      </c>
      <c r="J53" s="18">
        <v>5.0999999999999996</v>
      </c>
      <c r="K53" s="18">
        <v>30777</v>
      </c>
      <c r="L53" s="18">
        <v>26704</v>
      </c>
      <c r="M53" s="18" t="s">
        <v>5020</v>
      </c>
      <c r="N53" s="41" t="s">
        <v>1631</v>
      </c>
      <c r="O53" s="18" t="s">
        <v>172</v>
      </c>
      <c r="P53" s="18">
        <v>3.7</v>
      </c>
      <c r="R53" s="34"/>
    </row>
    <row r="54" spans="1:18">
      <c r="A54" s="19" t="s">
        <v>5135</v>
      </c>
      <c r="B54" s="19" t="s">
        <v>851</v>
      </c>
      <c r="C54" s="19" t="s">
        <v>105</v>
      </c>
      <c r="D54" s="19" t="s">
        <v>39</v>
      </c>
      <c r="E54" s="19" t="str">
        <f t="shared" si="0"/>
        <v>Engineering</v>
      </c>
      <c r="F54" s="19" t="s">
        <v>5023</v>
      </c>
      <c r="G54" s="19" t="str">
        <f t="shared" si="1"/>
        <v>Linkedin</v>
      </c>
      <c r="H54" s="19">
        <v>9.3000000000000007</v>
      </c>
      <c r="I54" s="19">
        <v>5.2</v>
      </c>
      <c r="J54" s="19">
        <v>7.2</v>
      </c>
      <c r="K54" s="19">
        <v>187040</v>
      </c>
      <c r="L54" s="19"/>
      <c r="M54" s="19" t="s">
        <v>5020</v>
      </c>
      <c r="N54" s="40" t="s">
        <v>5136</v>
      </c>
      <c r="O54" s="19" t="s">
        <v>32</v>
      </c>
      <c r="P54" s="19">
        <v>12.1</v>
      </c>
      <c r="R54" s="34"/>
    </row>
    <row r="55" spans="1:18">
      <c r="A55" s="18" t="s">
        <v>5137</v>
      </c>
      <c r="B55" s="18" t="s">
        <v>386</v>
      </c>
      <c r="C55" s="18" t="s">
        <v>79</v>
      </c>
      <c r="D55" s="18" t="s">
        <v>24</v>
      </c>
      <c r="E55" s="19" t="str">
        <f t="shared" si="0"/>
        <v>Design</v>
      </c>
      <c r="F55" s="18" t="s">
        <v>5025</v>
      </c>
      <c r="G55" s="19" t="str">
        <f t="shared" si="1"/>
        <v>Campus</v>
      </c>
      <c r="H55" s="18">
        <v>6.8</v>
      </c>
      <c r="I55" s="18">
        <v>3.5</v>
      </c>
      <c r="J55" s="18">
        <v>5.2</v>
      </c>
      <c r="K55" s="18">
        <v>144671</v>
      </c>
      <c r="L55" s="18">
        <v>150032</v>
      </c>
      <c r="M55" s="18" t="s">
        <v>5035</v>
      </c>
      <c r="N55" s="41" t="s">
        <v>5138</v>
      </c>
      <c r="O55" s="18" t="s">
        <v>70</v>
      </c>
      <c r="P55" s="18">
        <v>14.9</v>
      </c>
      <c r="R55" s="34"/>
    </row>
    <row r="56" spans="1:18">
      <c r="A56" s="19" t="s">
        <v>5139</v>
      </c>
      <c r="B56" s="19" t="s">
        <v>907</v>
      </c>
      <c r="C56" s="19" t="s">
        <v>335</v>
      </c>
      <c r="D56" s="19" t="s">
        <v>118</v>
      </c>
      <c r="E56" s="19" t="str">
        <f t="shared" si="0"/>
        <v>Marketing</v>
      </c>
      <c r="F56" s="19" t="s">
        <v>5060</v>
      </c>
      <c r="G56" s="19" t="str">
        <f t="shared" si="1"/>
        <v>Naukri</v>
      </c>
      <c r="H56" s="19">
        <v>8.5</v>
      </c>
      <c r="I56" s="19">
        <v>9.6</v>
      </c>
      <c r="J56" s="19">
        <v>9.1</v>
      </c>
      <c r="K56" s="19">
        <v>20578</v>
      </c>
      <c r="L56" s="19"/>
      <c r="M56" s="19" t="s">
        <v>5020</v>
      </c>
      <c r="N56" s="40" t="s">
        <v>5140</v>
      </c>
      <c r="O56" s="19" t="s">
        <v>32</v>
      </c>
      <c r="P56" s="19">
        <v>14.3</v>
      </c>
      <c r="R56" s="34"/>
    </row>
    <row r="57" spans="1:18">
      <c r="A57" s="18" t="s">
        <v>5141</v>
      </c>
      <c r="B57" s="18" t="s">
        <v>5142</v>
      </c>
      <c r="C57" s="18" t="s">
        <v>105</v>
      </c>
      <c r="D57" s="18" t="s">
        <v>63</v>
      </c>
      <c r="E57" s="19" t="str">
        <f t="shared" si="0"/>
        <v>Product</v>
      </c>
      <c r="F57" s="18" t="s">
        <v>5016</v>
      </c>
      <c r="G57" s="19" t="str">
        <f t="shared" si="1"/>
        <v>Job Portal</v>
      </c>
      <c r="H57" s="18">
        <v>3.1</v>
      </c>
      <c r="I57" s="18">
        <v>3.9</v>
      </c>
      <c r="J57" s="18">
        <v>3.5</v>
      </c>
      <c r="K57" s="18">
        <v>56944</v>
      </c>
      <c r="L57" s="18"/>
      <c r="M57" s="18" t="s">
        <v>5020</v>
      </c>
      <c r="N57" s="41" t="s">
        <v>5143</v>
      </c>
      <c r="O57" s="18" t="s">
        <v>46</v>
      </c>
      <c r="P57" s="18">
        <v>13.1</v>
      </c>
      <c r="R57" s="34"/>
    </row>
    <row r="58" spans="1:18">
      <c r="A58" s="19" t="s">
        <v>5144</v>
      </c>
      <c r="B58" s="19" t="s">
        <v>724</v>
      </c>
      <c r="C58" s="19" t="s">
        <v>5040</v>
      </c>
      <c r="D58" s="19" t="s">
        <v>51</v>
      </c>
      <c r="E58" s="19" t="str">
        <f t="shared" si="0"/>
        <v>Sales</v>
      </c>
      <c r="F58" s="19" t="s">
        <v>5077</v>
      </c>
      <c r="G58" s="19" t="str">
        <f t="shared" si="1"/>
        <v>Referral</v>
      </c>
      <c r="H58" s="19">
        <v>7.9</v>
      </c>
      <c r="I58" s="19">
        <v>4.8</v>
      </c>
      <c r="J58" s="19">
        <v>6.3</v>
      </c>
      <c r="K58" s="19">
        <v>107452</v>
      </c>
      <c r="L58" s="19"/>
      <c r="M58" s="19" t="s">
        <v>5035</v>
      </c>
      <c r="N58" s="40" t="s">
        <v>5145</v>
      </c>
      <c r="O58" s="19" t="s">
        <v>70</v>
      </c>
      <c r="P58" s="19">
        <v>13.5</v>
      </c>
      <c r="R58" s="34"/>
    </row>
    <row r="59" spans="1:18">
      <c r="A59" s="18" t="s">
        <v>5146</v>
      </c>
      <c r="B59" s="18" t="s">
        <v>37</v>
      </c>
      <c r="C59" s="18" t="s">
        <v>225</v>
      </c>
      <c r="D59" s="18" t="s">
        <v>51</v>
      </c>
      <c r="E59" s="19" t="str">
        <f t="shared" si="0"/>
        <v>Sales</v>
      </c>
      <c r="F59" s="18" t="s">
        <v>5060</v>
      </c>
      <c r="G59" s="19" t="str">
        <f t="shared" si="1"/>
        <v>Naukri</v>
      </c>
      <c r="H59" s="18">
        <v>9.3000000000000007</v>
      </c>
      <c r="I59" s="18">
        <v>7.9</v>
      </c>
      <c r="J59" s="18">
        <v>8.6</v>
      </c>
      <c r="K59" s="18">
        <v>35226</v>
      </c>
      <c r="L59" s="18">
        <v>31094</v>
      </c>
      <c r="M59" s="18" t="s">
        <v>5045</v>
      </c>
      <c r="N59" s="41" t="s">
        <v>5054</v>
      </c>
      <c r="O59" s="18" t="s">
        <v>214</v>
      </c>
      <c r="P59" s="18">
        <v>14</v>
      </c>
      <c r="R59" s="34"/>
    </row>
    <row r="60" spans="1:18">
      <c r="A60" s="19" t="s">
        <v>5147</v>
      </c>
      <c r="B60" s="19" t="s">
        <v>460</v>
      </c>
      <c r="C60" s="19" t="s">
        <v>335</v>
      </c>
      <c r="D60" s="19" t="s">
        <v>16</v>
      </c>
      <c r="E60" s="19" t="str">
        <f t="shared" si="0"/>
        <v>Devops</v>
      </c>
      <c r="F60" s="19" t="s">
        <v>5051</v>
      </c>
      <c r="G60" s="19" t="str">
        <f t="shared" si="1"/>
        <v>Naukri</v>
      </c>
      <c r="H60" s="19">
        <v>6.2</v>
      </c>
      <c r="I60" s="19">
        <v>4.8</v>
      </c>
      <c r="J60" s="19">
        <v>5.5</v>
      </c>
      <c r="K60" s="19">
        <v>105266</v>
      </c>
      <c r="L60" s="19">
        <v>102061</v>
      </c>
      <c r="M60" s="19" t="s">
        <v>5020</v>
      </c>
      <c r="N60" s="40" t="s">
        <v>5098</v>
      </c>
      <c r="O60" s="19" t="s">
        <v>75</v>
      </c>
      <c r="P60" s="19">
        <v>1.2</v>
      </c>
      <c r="R60" s="34"/>
    </row>
    <row r="61" spans="1:18">
      <c r="A61" s="18" t="s">
        <v>5148</v>
      </c>
      <c r="B61" s="18" t="s">
        <v>919</v>
      </c>
      <c r="C61" s="18" t="s">
        <v>79</v>
      </c>
      <c r="D61" s="18" t="s">
        <v>39</v>
      </c>
      <c r="E61" s="19" t="str">
        <f t="shared" si="0"/>
        <v>Engineering</v>
      </c>
      <c r="F61" s="18" t="s">
        <v>5031</v>
      </c>
      <c r="G61" s="19" t="str">
        <f t="shared" si="1"/>
        <v>Walk-In</v>
      </c>
      <c r="H61" s="18">
        <v>6.6</v>
      </c>
      <c r="I61" s="18">
        <v>9</v>
      </c>
      <c r="J61" s="18">
        <v>7.8</v>
      </c>
      <c r="K61" s="18">
        <v>48089</v>
      </c>
      <c r="L61" s="18"/>
      <c r="M61" s="18" t="s">
        <v>5020</v>
      </c>
      <c r="N61" s="41" t="s">
        <v>5149</v>
      </c>
      <c r="O61" s="18" t="s">
        <v>65</v>
      </c>
      <c r="P61" s="18">
        <v>12.6</v>
      </c>
      <c r="R61" s="34"/>
    </row>
    <row r="62" spans="1:18">
      <c r="A62" s="19" t="s">
        <v>5150</v>
      </c>
      <c r="B62" s="19" t="s">
        <v>398</v>
      </c>
      <c r="C62" s="19" t="s">
        <v>90</v>
      </c>
      <c r="D62" s="19" t="s">
        <v>89</v>
      </c>
      <c r="E62" s="19" t="str">
        <f t="shared" si="0"/>
        <v>Data Science</v>
      </c>
      <c r="F62" s="19" t="s">
        <v>5077</v>
      </c>
      <c r="G62" s="19" t="str">
        <f t="shared" si="1"/>
        <v>Referral</v>
      </c>
      <c r="H62" s="19">
        <v>8</v>
      </c>
      <c r="I62" s="19"/>
      <c r="J62" s="19">
        <v>8</v>
      </c>
      <c r="K62" s="19">
        <v>173697</v>
      </c>
      <c r="L62" s="19">
        <v>152999</v>
      </c>
      <c r="M62" s="19" t="s">
        <v>5017</v>
      </c>
      <c r="N62" s="40" t="s">
        <v>407</v>
      </c>
      <c r="O62" s="19" t="s">
        <v>114</v>
      </c>
      <c r="P62" s="19">
        <v>14.2</v>
      </c>
      <c r="R62" s="34"/>
    </row>
    <row r="63" spans="1:18">
      <c r="A63" s="18" t="s">
        <v>5151</v>
      </c>
      <c r="B63" s="18" t="s">
        <v>5152</v>
      </c>
      <c r="C63" s="18" t="s">
        <v>105</v>
      </c>
      <c r="D63" s="18" t="s">
        <v>176</v>
      </c>
      <c r="E63" s="19" t="str">
        <f t="shared" si="0"/>
        <v>Finance</v>
      </c>
      <c r="F63" s="18" t="s">
        <v>5025</v>
      </c>
      <c r="G63" s="19" t="str">
        <f t="shared" si="1"/>
        <v>Campus</v>
      </c>
      <c r="H63" s="18">
        <v>4.0999999999999996</v>
      </c>
      <c r="I63" s="18">
        <v>4.5999999999999996</v>
      </c>
      <c r="J63" s="18">
        <v>4.3</v>
      </c>
      <c r="K63" s="18">
        <v>178122</v>
      </c>
      <c r="L63" s="18"/>
      <c r="M63" s="18" t="s">
        <v>5017</v>
      </c>
      <c r="N63" s="41" t="s">
        <v>5153</v>
      </c>
      <c r="O63" s="18" t="s">
        <v>26</v>
      </c>
      <c r="P63" s="18">
        <v>3.6</v>
      </c>
      <c r="R63" s="34"/>
    </row>
    <row r="64" spans="1:18">
      <c r="A64" s="19" t="s">
        <v>5154</v>
      </c>
      <c r="B64" s="19" t="s">
        <v>5155</v>
      </c>
      <c r="C64" s="19" t="s">
        <v>98</v>
      </c>
      <c r="D64" s="19" t="s">
        <v>16</v>
      </c>
      <c r="E64" s="19" t="str">
        <f t="shared" si="0"/>
        <v>Devops</v>
      </c>
      <c r="F64" s="19" t="s">
        <v>5016</v>
      </c>
      <c r="G64" s="19" t="str">
        <f t="shared" si="1"/>
        <v>Job Portal</v>
      </c>
      <c r="H64" s="19">
        <v>5.9</v>
      </c>
      <c r="I64" s="19">
        <v>4.3</v>
      </c>
      <c r="J64" s="19">
        <v>5.0999999999999996</v>
      </c>
      <c r="K64" s="19">
        <v>69391</v>
      </c>
      <c r="L64" s="19"/>
      <c r="M64" s="19" t="s">
        <v>5028</v>
      </c>
      <c r="N64" s="40" t="s">
        <v>5156</v>
      </c>
      <c r="O64" s="19" t="s">
        <v>172</v>
      </c>
      <c r="P64" s="19">
        <v>9.4</v>
      </c>
      <c r="R64" s="34"/>
    </row>
    <row r="65" spans="1:18">
      <c r="A65" s="18" t="s">
        <v>5157</v>
      </c>
      <c r="B65" s="18" t="s">
        <v>1243</v>
      </c>
      <c r="C65" s="18" t="s">
        <v>138</v>
      </c>
      <c r="D65" s="18" t="s">
        <v>24</v>
      </c>
      <c r="E65" s="19" t="str">
        <f t="shared" si="0"/>
        <v>Design</v>
      </c>
      <c r="F65" s="18" t="s">
        <v>5023</v>
      </c>
      <c r="G65" s="19" t="str">
        <f t="shared" si="1"/>
        <v>Linkedin</v>
      </c>
      <c r="H65" s="18">
        <v>8</v>
      </c>
      <c r="I65" s="18">
        <v>9.3000000000000007</v>
      </c>
      <c r="J65" s="18">
        <v>8.6999999999999993</v>
      </c>
      <c r="K65" s="18">
        <v>27129</v>
      </c>
      <c r="L65" s="18">
        <v>26908</v>
      </c>
      <c r="M65" s="18" t="s">
        <v>5045</v>
      </c>
      <c r="N65" s="41" t="s">
        <v>1636</v>
      </c>
      <c r="O65" s="18" t="s">
        <v>46</v>
      </c>
      <c r="P65" s="18">
        <v>10.9</v>
      </c>
      <c r="R65" s="34"/>
    </row>
    <row r="66" spans="1:18">
      <c r="A66" s="19" t="s">
        <v>5158</v>
      </c>
      <c r="B66" s="19" t="s">
        <v>269</v>
      </c>
      <c r="C66" s="19" t="s">
        <v>138</v>
      </c>
      <c r="D66" s="19" t="s">
        <v>51</v>
      </c>
      <c r="E66" s="19" t="str">
        <f t="shared" si="0"/>
        <v>Sales</v>
      </c>
      <c r="F66" s="19" t="s">
        <v>5051</v>
      </c>
      <c r="G66" s="19" t="str">
        <f t="shared" si="1"/>
        <v>Naukri</v>
      </c>
      <c r="H66" s="19">
        <v>8.9</v>
      </c>
      <c r="I66" s="19">
        <v>9.5</v>
      </c>
      <c r="J66" s="19">
        <v>9.1999999999999993</v>
      </c>
      <c r="K66" s="19">
        <v>129107</v>
      </c>
      <c r="L66" s="19">
        <v>145758</v>
      </c>
      <c r="M66" s="19" t="s">
        <v>5035</v>
      </c>
      <c r="N66" s="40" t="s">
        <v>1684</v>
      </c>
      <c r="O66" s="19" t="s">
        <v>172</v>
      </c>
      <c r="P66" s="19">
        <v>1</v>
      </c>
      <c r="R66" s="34"/>
    </row>
    <row r="67" spans="1:18">
      <c r="A67" s="18" t="s">
        <v>5159</v>
      </c>
      <c r="B67" s="18" t="s">
        <v>798</v>
      </c>
      <c r="C67" s="18" t="s">
        <v>335</v>
      </c>
      <c r="D67" s="18" t="s">
        <v>133</v>
      </c>
      <c r="E67" s="19" t="str">
        <f t="shared" ref="E67:E130" si="2">PROPER(D67)</f>
        <v>Qa</v>
      </c>
      <c r="F67" s="18" t="s">
        <v>5023</v>
      </c>
      <c r="G67" s="19" t="str">
        <f t="shared" ref="G67:G130" si="3">PROPER(F67)</f>
        <v>Linkedin</v>
      </c>
      <c r="H67" s="18">
        <v>5.3</v>
      </c>
      <c r="I67" s="18">
        <v>6.3</v>
      </c>
      <c r="J67" s="18">
        <v>5.8</v>
      </c>
      <c r="K67" s="18">
        <v>119642</v>
      </c>
      <c r="L67" s="18">
        <v>117619</v>
      </c>
      <c r="M67" s="18" t="s">
        <v>5020</v>
      </c>
      <c r="N67" s="41" t="s">
        <v>309</v>
      </c>
      <c r="O67" s="18" t="s">
        <v>75</v>
      </c>
      <c r="P67" s="18">
        <v>1.6</v>
      </c>
      <c r="R67" s="34"/>
    </row>
    <row r="68" spans="1:18">
      <c r="A68" s="19" t="s">
        <v>5160</v>
      </c>
      <c r="B68" s="19" t="s">
        <v>1434</v>
      </c>
      <c r="C68" s="19" t="s">
        <v>105</v>
      </c>
      <c r="D68" s="19" t="s">
        <v>16</v>
      </c>
      <c r="E68" s="19" t="str">
        <f t="shared" si="2"/>
        <v>Devops</v>
      </c>
      <c r="F68" s="19" t="s">
        <v>5051</v>
      </c>
      <c r="G68" s="19" t="str">
        <f t="shared" si="3"/>
        <v>Naukri</v>
      </c>
      <c r="H68" s="19"/>
      <c r="I68" s="19">
        <v>4.5</v>
      </c>
      <c r="J68" s="19"/>
      <c r="K68" s="19">
        <v>133370</v>
      </c>
      <c r="L68" s="19">
        <v>120603</v>
      </c>
      <c r="M68" s="19" t="s">
        <v>5045</v>
      </c>
      <c r="N68" s="40" t="s">
        <v>2222</v>
      </c>
      <c r="O68" s="19" t="s">
        <v>18</v>
      </c>
      <c r="P68" s="19">
        <v>5.0999999999999996</v>
      </c>
      <c r="R68" s="34"/>
    </row>
    <row r="69" spans="1:18">
      <c r="A69" s="18" t="s">
        <v>5161</v>
      </c>
      <c r="B69" s="18" t="s">
        <v>5162</v>
      </c>
      <c r="C69" s="18" t="s">
        <v>79</v>
      </c>
      <c r="D69" s="18" t="s">
        <v>176</v>
      </c>
      <c r="E69" s="19" t="str">
        <f t="shared" si="2"/>
        <v>Finance</v>
      </c>
      <c r="F69" s="18" t="s">
        <v>5031</v>
      </c>
      <c r="G69" s="19" t="str">
        <f t="shared" si="3"/>
        <v>Walk-In</v>
      </c>
      <c r="H69" s="18">
        <v>6.8</v>
      </c>
      <c r="I69" s="18">
        <v>7.2</v>
      </c>
      <c r="J69" s="18">
        <v>7</v>
      </c>
      <c r="K69" s="18">
        <v>174045</v>
      </c>
      <c r="L69" s="18">
        <v>197218</v>
      </c>
      <c r="M69" s="18" t="s">
        <v>5020</v>
      </c>
      <c r="N69" s="41" t="s">
        <v>5163</v>
      </c>
      <c r="O69" s="18" t="s">
        <v>65</v>
      </c>
      <c r="P69" s="18">
        <v>1.2</v>
      </c>
      <c r="R69" s="34"/>
    </row>
    <row r="70" spans="1:18">
      <c r="A70" s="19" t="s">
        <v>5164</v>
      </c>
      <c r="B70" s="19" t="s">
        <v>5165</v>
      </c>
      <c r="C70" s="19" t="s">
        <v>98</v>
      </c>
      <c r="D70" s="19" t="s">
        <v>176</v>
      </c>
      <c r="E70" s="19" t="str">
        <f t="shared" si="2"/>
        <v>Finance</v>
      </c>
      <c r="F70" s="19" t="s">
        <v>5016</v>
      </c>
      <c r="G70" s="19" t="str">
        <f t="shared" si="3"/>
        <v>Job Portal</v>
      </c>
      <c r="H70" s="19">
        <v>8.8000000000000007</v>
      </c>
      <c r="I70" s="19">
        <v>5.0999999999999996</v>
      </c>
      <c r="J70" s="19">
        <v>7</v>
      </c>
      <c r="K70" s="19">
        <v>70392</v>
      </c>
      <c r="L70" s="19"/>
      <c r="M70" s="19" t="s">
        <v>5020</v>
      </c>
      <c r="N70" s="40" t="s">
        <v>5166</v>
      </c>
      <c r="O70" s="19" t="s">
        <v>18</v>
      </c>
      <c r="P70" s="19">
        <v>8.9</v>
      </c>
      <c r="R70" s="34"/>
    </row>
    <row r="71" spans="1:18">
      <c r="A71" s="18" t="s">
        <v>5167</v>
      </c>
      <c r="B71" s="18" t="s">
        <v>263</v>
      </c>
      <c r="C71" s="18" t="s">
        <v>105</v>
      </c>
      <c r="D71" s="18" t="s">
        <v>63</v>
      </c>
      <c r="E71" s="19" t="str">
        <f t="shared" si="2"/>
        <v>Product</v>
      </c>
      <c r="F71" s="18" t="s">
        <v>5019</v>
      </c>
      <c r="G71" s="19" t="str">
        <f t="shared" si="3"/>
        <v>Linkedin</v>
      </c>
      <c r="H71" s="18">
        <v>7.5</v>
      </c>
      <c r="I71" s="18">
        <v>7</v>
      </c>
      <c r="J71" s="18">
        <v>7.2</v>
      </c>
      <c r="K71" s="18">
        <v>123290</v>
      </c>
      <c r="L71" s="18"/>
      <c r="M71" s="18" t="s">
        <v>5020</v>
      </c>
      <c r="N71" s="41" t="s">
        <v>5168</v>
      </c>
      <c r="O71" s="18" t="s">
        <v>214</v>
      </c>
      <c r="P71" s="18">
        <v>7.7</v>
      </c>
      <c r="R71" s="34"/>
    </row>
    <row r="72" spans="1:18">
      <c r="A72" s="19" t="s">
        <v>5169</v>
      </c>
      <c r="B72" s="19" t="s">
        <v>1291</v>
      </c>
      <c r="C72" s="19" t="s">
        <v>90</v>
      </c>
      <c r="D72" s="19" t="s">
        <v>24</v>
      </c>
      <c r="E72" s="19" t="str">
        <f t="shared" si="2"/>
        <v>Design</v>
      </c>
      <c r="F72" s="19" t="s">
        <v>5025</v>
      </c>
      <c r="G72" s="19" t="str">
        <f t="shared" si="3"/>
        <v>Campus</v>
      </c>
      <c r="H72" s="19"/>
      <c r="I72" s="19">
        <v>4.5</v>
      </c>
      <c r="J72" s="19"/>
      <c r="K72" s="19">
        <v>56511</v>
      </c>
      <c r="L72" s="19">
        <v>63401</v>
      </c>
      <c r="M72" s="19" t="s">
        <v>5045</v>
      </c>
      <c r="N72" s="40" t="s">
        <v>1676</v>
      </c>
      <c r="O72" s="19" t="s">
        <v>53</v>
      </c>
      <c r="P72" s="19">
        <v>2.5</v>
      </c>
      <c r="R72" s="34"/>
    </row>
    <row r="73" spans="1:18">
      <c r="A73" s="18" t="s">
        <v>5170</v>
      </c>
      <c r="B73" s="18" t="s">
        <v>1023</v>
      </c>
      <c r="C73" s="18" t="s">
        <v>335</v>
      </c>
      <c r="D73" s="18" t="s">
        <v>176</v>
      </c>
      <c r="E73" s="19" t="str">
        <f t="shared" si="2"/>
        <v>Finance</v>
      </c>
      <c r="F73" s="18" t="s">
        <v>5016</v>
      </c>
      <c r="G73" s="19" t="str">
        <f t="shared" si="3"/>
        <v>Job Portal</v>
      </c>
      <c r="H73" s="18">
        <v>8.4</v>
      </c>
      <c r="I73" s="18">
        <v>7.9</v>
      </c>
      <c r="J73" s="18">
        <v>8.1999999999999993</v>
      </c>
      <c r="K73" s="18">
        <v>125829</v>
      </c>
      <c r="L73" s="18"/>
      <c r="M73" s="18" t="s">
        <v>5035</v>
      </c>
      <c r="N73" s="41" t="s">
        <v>5171</v>
      </c>
      <c r="O73" s="18" t="s">
        <v>53</v>
      </c>
      <c r="P73" s="18">
        <v>3.7</v>
      </c>
      <c r="R73" s="34"/>
    </row>
    <row r="74" spans="1:18">
      <c r="A74" s="19" t="s">
        <v>5172</v>
      </c>
      <c r="B74" s="19" t="s">
        <v>404</v>
      </c>
      <c r="C74" s="19" t="s">
        <v>5040</v>
      </c>
      <c r="D74" s="19" t="s">
        <v>176</v>
      </c>
      <c r="E74" s="19" t="str">
        <f t="shared" si="2"/>
        <v>Finance</v>
      </c>
      <c r="F74" s="19" t="s">
        <v>5016</v>
      </c>
      <c r="G74" s="19" t="str">
        <f t="shared" si="3"/>
        <v>Job Portal</v>
      </c>
      <c r="H74" s="19">
        <v>8.5</v>
      </c>
      <c r="I74" s="19">
        <v>5.0999999999999996</v>
      </c>
      <c r="J74" s="19">
        <v>6.8</v>
      </c>
      <c r="K74" s="19">
        <v>34216</v>
      </c>
      <c r="L74" s="19"/>
      <c r="M74" s="19" t="s">
        <v>5017</v>
      </c>
      <c r="N74" s="40" t="s">
        <v>1192</v>
      </c>
      <c r="O74" s="19" t="s">
        <v>70</v>
      </c>
      <c r="P74" s="19">
        <v>1.9</v>
      </c>
      <c r="R74" s="34"/>
    </row>
    <row r="75" spans="1:18">
      <c r="A75" s="18" t="s">
        <v>5173</v>
      </c>
      <c r="B75" s="18" t="s">
        <v>413</v>
      </c>
      <c r="C75" s="18" t="s">
        <v>138</v>
      </c>
      <c r="D75" s="18" t="s">
        <v>63</v>
      </c>
      <c r="E75" s="19" t="str">
        <f t="shared" si="2"/>
        <v>Product</v>
      </c>
      <c r="F75" s="18" t="s">
        <v>5016</v>
      </c>
      <c r="G75" s="19" t="str">
        <f t="shared" si="3"/>
        <v>Job Portal</v>
      </c>
      <c r="H75" s="18">
        <v>9.4</v>
      </c>
      <c r="I75" s="18">
        <v>3.1</v>
      </c>
      <c r="J75" s="18">
        <v>6.2</v>
      </c>
      <c r="K75" s="18">
        <v>141909</v>
      </c>
      <c r="L75" s="18">
        <v>150344</v>
      </c>
      <c r="M75" s="18" t="s">
        <v>5020</v>
      </c>
      <c r="N75" s="41" t="s">
        <v>5174</v>
      </c>
      <c r="O75" s="18" t="s">
        <v>46</v>
      </c>
      <c r="P75" s="18">
        <v>1.5</v>
      </c>
      <c r="R75" s="34"/>
    </row>
    <row r="76" spans="1:18">
      <c r="A76" s="19" t="s">
        <v>5175</v>
      </c>
      <c r="B76" s="19" t="s">
        <v>5176</v>
      </c>
      <c r="C76" s="19" t="s">
        <v>98</v>
      </c>
      <c r="D76" s="19" t="s">
        <v>133</v>
      </c>
      <c r="E76" s="19" t="str">
        <f t="shared" si="2"/>
        <v>Qa</v>
      </c>
      <c r="F76" s="19" t="s">
        <v>5025</v>
      </c>
      <c r="G76" s="19" t="str">
        <f t="shared" si="3"/>
        <v>Campus</v>
      </c>
      <c r="H76" s="19">
        <v>6.4</v>
      </c>
      <c r="I76" s="19">
        <v>8.1999999999999993</v>
      </c>
      <c r="J76" s="19">
        <v>7.3</v>
      </c>
      <c r="K76" s="19">
        <v>61665</v>
      </c>
      <c r="L76" s="19">
        <v>64147</v>
      </c>
      <c r="M76" s="19" t="s">
        <v>5017</v>
      </c>
      <c r="N76" s="40" t="s">
        <v>5177</v>
      </c>
      <c r="O76" s="19" t="s">
        <v>46</v>
      </c>
      <c r="P76" s="19">
        <v>4.9000000000000004</v>
      </c>
      <c r="R76" s="34"/>
    </row>
    <row r="77" spans="1:18">
      <c r="A77" s="18" t="s">
        <v>5178</v>
      </c>
      <c r="B77" s="18" t="s">
        <v>5179</v>
      </c>
      <c r="C77" s="18" t="s">
        <v>98</v>
      </c>
      <c r="D77" s="18" t="s">
        <v>89</v>
      </c>
      <c r="E77" s="19" t="str">
        <f t="shared" si="2"/>
        <v>Data Science</v>
      </c>
      <c r="F77" s="18" t="s">
        <v>5060</v>
      </c>
      <c r="G77" s="19" t="str">
        <f t="shared" si="3"/>
        <v>Naukri</v>
      </c>
      <c r="H77" s="18">
        <v>5.2</v>
      </c>
      <c r="I77" s="18">
        <v>4.2</v>
      </c>
      <c r="J77" s="18">
        <v>4.7</v>
      </c>
      <c r="K77" s="18">
        <v>141496</v>
      </c>
      <c r="L77" s="18"/>
      <c r="M77" s="18" t="s">
        <v>5017</v>
      </c>
      <c r="N77" s="41" t="s">
        <v>2064</v>
      </c>
      <c r="O77" s="18" t="s">
        <v>26</v>
      </c>
      <c r="P77" s="18">
        <v>2</v>
      </c>
      <c r="R77" s="34"/>
    </row>
    <row r="78" spans="1:18">
      <c r="A78" s="19" t="s">
        <v>5180</v>
      </c>
      <c r="B78" s="19" t="s">
        <v>512</v>
      </c>
      <c r="C78" s="19" t="s">
        <v>25</v>
      </c>
      <c r="D78" s="19" t="s">
        <v>89</v>
      </c>
      <c r="E78" s="19" t="str">
        <f t="shared" si="2"/>
        <v>Data Science</v>
      </c>
      <c r="F78" s="19" t="s">
        <v>5016</v>
      </c>
      <c r="G78" s="19" t="str">
        <f t="shared" si="3"/>
        <v>Job Portal</v>
      </c>
      <c r="H78" s="19">
        <v>3.5</v>
      </c>
      <c r="I78" s="19">
        <v>8.8000000000000007</v>
      </c>
      <c r="J78" s="19">
        <v>6.2</v>
      </c>
      <c r="K78" s="19">
        <v>35262</v>
      </c>
      <c r="L78" s="19">
        <v>32631</v>
      </c>
      <c r="M78" s="19" t="s">
        <v>5020</v>
      </c>
      <c r="N78" s="40" t="s">
        <v>5181</v>
      </c>
      <c r="O78" s="19" t="s">
        <v>114</v>
      </c>
      <c r="P78" s="19">
        <v>14.7</v>
      </c>
      <c r="R78" s="34"/>
    </row>
    <row r="79" spans="1:18">
      <c r="A79" s="18" t="s">
        <v>5182</v>
      </c>
      <c r="B79" s="18" t="s">
        <v>5183</v>
      </c>
      <c r="C79" s="18" t="s">
        <v>98</v>
      </c>
      <c r="D79" s="18" t="s">
        <v>84</v>
      </c>
      <c r="E79" s="19" t="str">
        <f t="shared" si="2"/>
        <v>Hr</v>
      </c>
      <c r="F79" s="18" t="s">
        <v>5031</v>
      </c>
      <c r="G79" s="19" t="str">
        <f t="shared" si="3"/>
        <v>Walk-In</v>
      </c>
      <c r="H79" s="18">
        <v>5.8</v>
      </c>
      <c r="I79" s="18">
        <v>8.6999999999999993</v>
      </c>
      <c r="J79" s="18">
        <v>7.2</v>
      </c>
      <c r="K79" s="18">
        <v>110287</v>
      </c>
      <c r="L79" s="18">
        <v>106409</v>
      </c>
      <c r="M79" s="18" t="s">
        <v>5035</v>
      </c>
      <c r="N79" s="41" t="s">
        <v>5184</v>
      </c>
      <c r="O79" s="18" t="s">
        <v>26</v>
      </c>
      <c r="P79" s="18">
        <v>8.6999999999999993</v>
      </c>
      <c r="R79" s="34"/>
    </row>
    <row r="80" spans="1:18">
      <c r="A80" s="19" t="s">
        <v>5185</v>
      </c>
      <c r="B80" s="19" t="s">
        <v>5186</v>
      </c>
      <c r="C80" s="19" t="s">
        <v>5040</v>
      </c>
      <c r="D80" s="19" t="s">
        <v>24</v>
      </c>
      <c r="E80" s="19" t="str">
        <f t="shared" si="2"/>
        <v>Design</v>
      </c>
      <c r="F80" s="19" t="s">
        <v>5025</v>
      </c>
      <c r="G80" s="19" t="str">
        <f t="shared" si="3"/>
        <v>Campus</v>
      </c>
      <c r="H80" s="19">
        <v>7.1</v>
      </c>
      <c r="I80" s="19">
        <v>7.2</v>
      </c>
      <c r="J80" s="19">
        <v>7.2</v>
      </c>
      <c r="K80" s="19">
        <v>143803</v>
      </c>
      <c r="L80" s="19">
        <v>164896</v>
      </c>
      <c r="M80" s="19" t="s">
        <v>5020</v>
      </c>
      <c r="N80" s="40" t="s">
        <v>585</v>
      </c>
      <c r="O80" s="19" t="s">
        <v>75</v>
      </c>
      <c r="P80" s="19">
        <v>6</v>
      </c>
      <c r="R80" s="34"/>
    </row>
    <row r="81" spans="1:18">
      <c r="A81" s="18" t="s">
        <v>5187</v>
      </c>
      <c r="B81" s="18" t="s">
        <v>344</v>
      </c>
      <c r="C81" s="18" t="s">
        <v>153</v>
      </c>
      <c r="D81" s="18" t="s">
        <v>84</v>
      </c>
      <c r="E81" s="19" t="str">
        <f t="shared" si="2"/>
        <v>Hr</v>
      </c>
      <c r="F81" s="18" t="s">
        <v>5025</v>
      </c>
      <c r="G81" s="19" t="str">
        <f t="shared" si="3"/>
        <v>Campus</v>
      </c>
      <c r="H81" s="18">
        <v>3.9</v>
      </c>
      <c r="I81" s="18">
        <v>6.2</v>
      </c>
      <c r="J81" s="18">
        <v>5</v>
      </c>
      <c r="K81" s="18"/>
      <c r="L81" s="18"/>
      <c r="M81" s="18" t="s">
        <v>5045</v>
      </c>
      <c r="N81" s="41" t="s">
        <v>523</v>
      </c>
      <c r="O81" s="18" t="s">
        <v>70</v>
      </c>
      <c r="P81" s="18">
        <v>5.3</v>
      </c>
      <c r="R81" s="34"/>
    </row>
    <row r="82" spans="1:18">
      <c r="A82" s="19" t="s">
        <v>5188</v>
      </c>
      <c r="B82" s="19" t="s">
        <v>137</v>
      </c>
      <c r="C82" s="19" t="s">
        <v>153</v>
      </c>
      <c r="D82" s="19" t="s">
        <v>89</v>
      </c>
      <c r="E82" s="19" t="str">
        <f t="shared" si="2"/>
        <v>Data Science</v>
      </c>
      <c r="F82" s="19" t="s">
        <v>5077</v>
      </c>
      <c r="G82" s="19" t="str">
        <f t="shared" si="3"/>
        <v>Referral</v>
      </c>
      <c r="H82" s="19">
        <v>7.4</v>
      </c>
      <c r="I82" s="19">
        <v>8.8000000000000007</v>
      </c>
      <c r="J82" s="19">
        <v>8.1</v>
      </c>
      <c r="K82" s="19">
        <v>97734</v>
      </c>
      <c r="L82" s="19">
        <v>92021</v>
      </c>
      <c r="M82" s="19" t="s">
        <v>5045</v>
      </c>
      <c r="N82" s="40" t="s">
        <v>5174</v>
      </c>
      <c r="O82" s="19" t="s">
        <v>214</v>
      </c>
      <c r="P82" s="19">
        <v>3.6</v>
      </c>
      <c r="R82" s="34"/>
    </row>
    <row r="83" spans="1:18">
      <c r="A83" s="18" t="s">
        <v>5189</v>
      </c>
      <c r="B83" s="18" t="s">
        <v>5190</v>
      </c>
      <c r="C83" s="18" t="s">
        <v>225</v>
      </c>
      <c r="D83" s="18" t="s">
        <v>118</v>
      </c>
      <c r="E83" s="19" t="str">
        <f t="shared" si="2"/>
        <v>Marketing</v>
      </c>
      <c r="F83" s="18" t="s">
        <v>5077</v>
      </c>
      <c r="G83" s="19" t="str">
        <f t="shared" si="3"/>
        <v>Referral</v>
      </c>
      <c r="H83" s="18">
        <v>7.5</v>
      </c>
      <c r="I83" s="18">
        <v>4</v>
      </c>
      <c r="J83" s="18">
        <v>5.8</v>
      </c>
      <c r="K83" s="18">
        <v>190672</v>
      </c>
      <c r="L83" s="18">
        <v>166185</v>
      </c>
      <c r="M83" s="18" t="s">
        <v>5045</v>
      </c>
      <c r="N83" s="41" t="s">
        <v>5191</v>
      </c>
      <c r="O83" s="18" t="s">
        <v>65</v>
      </c>
      <c r="P83" s="18">
        <v>9.9</v>
      </c>
      <c r="R83" s="34"/>
    </row>
    <row r="84" spans="1:18">
      <c r="A84" s="19" t="s">
        <v>5192</v>
      </c>
      <c r="B84" s="19" t="s">
        <v>613</v>
      </c>
      <c r="C84" s="19" t="s">
        <v>105</v>
      </c>
      <c r="D84" s="19" t="s">
        <v>16</v>
      </c>
      <c r="E84" s="19" t="str">
        <f t="shared" si="2"/>
        <v>Devops</v>
      </c>
      <c r="F84" s="19" t="s">
        <v>5060</v>
      </c>
      <c r="G84" s="19" t="str">
        <f t="shared" si="3"/>
        <v>Naukri</v>
      </c>
      <c r="H84" s="19">
        <v>5.6</v>
      </c>
      <c r="I84" s="19">
        <v>8</v>
      </c>
      <c r="J84" s="19">
        <v>6.8</v>
      </c>
      <c r="K84" s="19">
        <v>93200</v>
      </c>
      <c r="L84" s="19">
        <v>93867</v>
      </c>
      <c r="M84" s="19" t="s">
        <v>5045</v>
      </c>
      <c r="N84" s="40" t="s">
        <v>1424</v>
      </c>
      <c r="O84" s="19" t="s">
        <v>18</v>
      </c>
      <c r="P84" s="19">
        <v>11.2</v>
      </c>
      <c r="R84" s="34"/>
    </row>
    <row r="85" spans="1:18">
      <c r="A85" s="18" t="s">
        <v>5193</v>
      </c>
      <c r="B85" s="18" t="s">
        <v>655</v>
      </c>
      <c r="C85" s="18" t="s">
        <v>5040</v>
      </c>
      <c r="D85" s="18" t="s">
        <v>133</v>
      </c>
      <c r="E85" s="19" t="str">
        <f t="shared" si="2"/>
        <v>Qa</v>
      </c>
      <c r="F85" s="18" t="s">
        <v>5077</v>
      </c>
      <c r="G85" s="19" t="str">
        <f t="shared" si="3"/>
        <v>Referral</v>
      </c>
      <c r="H85" s="18">
        <v>6.9</v>
      </c>
      <c r="I85" s="18"/>
      <c r="J85" s="18">
        <v>6.9</v>
      </c>
      <c r="K85" s="18">
        <v>77608</v>
      </c>
      <c r="L85" s="18">
        <v>67908</v>
      </c>
      <c r="M85" s="18" t="s">
        <v>5045</v>
      </c>
      <c r="N85" s="41" t="s">
        <v>5194</v>
      </c>
      <c r="O85" s="18" t="s">
        <v>214</v>
      </c>
      <c r="P85" s="18">
        <v>6.8</v>
      </c>
      <c r="R85" s="34"/>
    </row>
    <row r="86" spans="1:18">
      <c r="A86" s="19" t="s">
        <v>5195</v>
      </c>
      <c r="B86" s="19" t="s">
        <v>5196</v>
      </c>
      <c r="C86" s="19" t="s">
        <v>225</v>
      </c>
      <c r="D86" s="19" t="s">
        <v>16</v>
      </c>
      <c r="E86" s="19" t="str">
        <f t="shared" si="2"/>
        <v>Devops</v>
      </c>
      <c r="F86" s="19" t="s">
        <v>5016</v>
      </c>
      <c r="G86" s="19" t="str">
        <f t="shared" si="3"/>
        <v>Job Portal</v>
      </c>
      <c r="H86" s="19">
        <v>4</v>
      </c>
      <c r="I86" s="19">
        <v>5.2</v>
      </c>
      <c r="J86" s="19">
        <v>4.5999999999999996</v>
      </c>
      <c r="K86" s="19">
        <v>47895</v>
      </c>
      <c r="L86" s="19"/>
      <c r="M86" s="19" t="s">
        <v>5045</v>
      </c>
      <c r="N86" s="40" t="s">
        <v>407</v>
      </c>
      <c r="O86" s="19" t="s">
        <v>75</v>
      </c>
      <c r="P86" s="19">
        <v>6.4</v>
      </c>
      <c r="R86" s="34"/>
    </row>
    <row r="87" spans="1:18">
      <c r="A87" s="18" t="s">
        <v>5197</v>
      </c>
      <c r="B87" s="18" t="s">
        <v>1103</v>
      </c>
      <c r="C87" s="18" t="s">
        <v>98</v>
      </c>
      <c r="D87" s="18" t="s">
        <v>16</v>
      </c>
      <c r="E87" s="19" t="str">
        <f t="shared" si="2"/>
        <v>Devops</v>
      </c>
      <c r="F87" s="18" t="s">
        <v>5016</v>
      </c>
      <c r="G87" s="19" t="str">
        <f t="shared" si="3"/>
        <v>Job Portal</v>
      </c>
      <c r="H87" s="18">
        <v>5.8</v>
      </c>
      <c r="I87" s="18">
        <v>7.8</v>
      </c>
      <c r="J87" s="18">
        <v>6.8</v>
      </c>
      <c r="K87" s="18">
        <v>193111</v>
      </c>
      <c r="L87" s="18">
        <v>205760</v>
      </c>
      <c r="M87" s="18" t="s">
        <v>5020</v>
      </c>
      <c r="N87" s="41" t="s">
        <v>5198</v>
      </c>
      <c r="O87" s="18" t="s">
        <v>65</v>
      </c>
      <c r="P87" s="18">
        <v>10.7</v>
      </c>
      <c r="R87" s="34"/>
    </row>
    <row r="88" spans="1:18">
      <c r="A88" s="19" t="s">
        <v>5199</v>
      </c>
      <c r="B88" s="19" t="s">
        <v>826</v>
      </c>
      <c r="C88" s="19" t="s">
        <v>225</v>
      </c>
      <c r="D88" s="19" t="s">
        <v>84</v>
      </c>
      <c r="E88" s="19" t="str">
        <f t="shared" si="2"/>
        <v>Hr</v>
      </c>
      <c r="F88" s="19" t="s">
        <v>5023</v>
      </c>
      <c r="G88" s="19" t="str">
        <f t="shared" si="3"/>
        <v>Linkedin</v>
      </c>
      <c r="H88" s="19">
        <v>8.1</v>
      </c>
      <c r="I88" s="19">
        <v>6.5</v>
      </c>
      <c r="J88" s="19">
        <v>7.3</v>
      </c>
      <c r="K88" s="19">
        <v>151012</v>
      </c>
      <c r="L88" s="19">
        <v>136761</v>
      </c>
      <c r="M88" s="19" t="s">
        <v>5035</v>
      </c>
      <c r="N88" s="40" t="s">
        <v>5081</v>
      </c>
      <c r="O88" s="19" t="s">
        <v>70</v>
      </c>
      <c r="P88" s="19">
        <v>7.5</v>
      </c>
      <c r="R88" s="34"/>
    </row>
    <row r="89" spans="1:18">
      <c r="A89" s="18" t="s">
        <v>5200</v>
      </c>
      <c r="B89" s="18" t="s">
        <v>5201</v>
      </c>
      <c r="C89" s="18" t="s">
        <v>153</v>
      </c>
      <c r="D89" s="18" t="s">
        <v>176</v>
      </c>
      <c r="E89" s="19" t="str">
        <f t="shared" si="2"/>
        <v>Finance</v>
      </c>
      <c r="F89" s="18" t="s">
        <v>5060</v>
      </c>
      <c r="G89" s="19" t="str">
        <f t="shared" si="3"/>
        <v>Naukri</v>
      </c>
      <c r="H89" s="18">
        <v>8.4</v>
      </c>
      <c r="I89" s="18">
        <v>3.7</v>
      </c>
      <c r="J89" s="18">
        <v>6.1</v>
      </c>
      <c r="K89" s="18">
        <v>155732</v>
      </c>
      <c r="L89" s="18">
        <v>152306</v>
      </c>
      <c r="M89" s="18" t="s">
        <v>5020</v>
      </c>
      <c r="N89" s="41" t="s">
        <v>5181</v>
      </c>
      <c r="O89" s="18" t="s">
        <v>75</v>
      </c>
      <c r="P89" s="18">
        <v>12.6</v>
      </c>
      <c r="R89" s="34"/>
    </row>
    <row r="90" spans="1:18">
      <c r="A90" s="19" t="s">
        <v>5202</v>
      </c>
      <c r="B90" s="19" t="s">
        <v>702</v>
      </c>
      <c r="C90" s="19" t="s">
        <v>98</v>
      </c>
      <c r="D90" s="19" t="s">
        <v>84</v>
      </c>
      <c r="E90" s="19" t="str">
        <f t="shared" si="2"/>
        <v>Hr</v>
      </c>
      <c r="F90" s="19" t="s">
        <v>5016</v>
      </c>
      <c r="G90" s="19" t="str">
        <f t="shared" si="3"/>
        <v>Job Portal</v>
      </c>
      <c r="H90" s="19">
        <v>8.8000000000000007</v>
      </c>
      <c r="I90" s="19">
        <v>7.1</v>
      </c>
      <c r="J90" s="19">
        <v>8</v>
      </c>
      <c r="K90" s="19">
        <v>144744</v>
      </c>
      <c r="L90" s="19"/>
      <c r="M90" s="19" t="s">
        <v>5028</v>
      </c>
      <c r="N90" s="40" t="s">
        <v>5203</v>
      </c>
      <c r="O90" s="19" t="s">
        <v>70</v>
      </c>
      <c r="P90" s="19">
        <v>12.8</v>
      </c>
      <c r="R90" s="34"/>
    </row>
    <row r="91" spans="1:18">
      <c r="A91" s="18" t="s">
        <v>5204</v>
      </c>
      <c r="B91" s="18" t="s">
        <v>5176</v>
      </c>
      <c r="C91" s="18" t="s">
        <v>225</v>
      </c>
      <c r="D91" s="18" t="s">
        <v>39</v>
      </c>
      <c r="E91" s="19" t="str">
        <f t="shared" si="2"/>
        <v>Engineering</v>
      </c>
      <c r="F91" s="18" t="s">
        <v>5023</v>
      </c>
      <c r="G91" s="19" t="str">
        <f t="shared" si="3"/>
        <v>Linkedin</v>
      </c>
      <c r="H91" s="18">
        <v>9.9</v>
      </c>
      <c r="I91" s="18">
        <v>8.5</v>
      </c>
      <c r="J91" s="18">
        <v>9.1999999999999993</v>
      </c>
      <c r="K91" s="18">
        <v>188620</v>
      </c>
      <c r="L91" s="18">
        <v>175386</v>
      </c>
      <c r="M91" s="18" t="s">
        <v>5020</v>
      </c>
      <c r="N91" s="41" t="s">
        <v>5205</v>
      </c>
      <c r="O91" s="18" t="s">
        <v>18</v>
      </c>
      <c r="P91" s="18">
        <v>12.8</v>
      </c>
      <c r="R91" s="34"/>
    </row>
    <row r="92" spans="1:18">
      <c r="A92" s="19" t="s">
        <v>5206</v>
      </c>
      <c r="B92" s="19" t="s">
        <v>961</v>
      </c>
      <c r="C92" s="19" t="s">
        <v>138</v>
      </c>
      <c r="D92" s="19" t="s">
        <v>51</v>
      </c>
      <c r="E92" s="19" t="str">
        <f t="shared" si="2"/>
        <v>Sales</v>
      </c>
      <c r="F92" s="19" t="s">
        <v>5025</v>
      </c>
      <c r="G92" s="19" t="str">
        <f t="shared" si="3"/>
        <v>Campus</v>
      </c>
      <c r="H92" s="19">
        <v>8.3000000000000007</v>
      </c>
      <c r="I92" s="19">
        <v>6.7</v>
      </c>
      <c r="J92" s="19">
        <v>7.5</v>
      </c>
      <c r="K92" s="19">
        <v>95485</v>
      </c>
      <c r="L92" s="19">
        <v>107800</v>
      </c>
      <c r="M92" s="19" t="s">
        <v>5020</v>
      </c>
      <c r="N92" s="40" t="s">
        <v>5026</v>
      </c>
      <c r="O92" s="19" t="s">
        <v>75</v>
      </c>
      <c r="P92" s="19">
        <v>2.1</v>
      </c>
      <c r="R92" s="34"/>
    </row>
    <row r="93" spans="1:18">
      <c r="A93" s="18" t="s">
        <v>5207</v>
      </c>
      <c r="B93" s="18" t="s">
        <v>1340</v>
      </c>
      <c r="C93" s="18" t="s">
        <v>98</v>
      </c>
      <c r="D93" s="18" t="s">
        <v>176</v>
      </c>
      <c r="E93" s="19" t="str">
        <f t="shared" si="2"/>
        <v>Finance</v>
      </c>
      <c r="F93" s="18" t="s">
        <v>5023</v>
      </c>
      <c r="G93" s="19" t="str">
        <f t="shared" si="3"/>
        <v>Linkedin</v>
      </c>
      <c r="H93" s="18">
        <v>5.0999999999999996</v>
      </c>
      <c r="I93" s="18">
        <v>3.1</v>
      </c>
      <c r="J93" s="18">
        <v>4.0999999999999996</v>
      </c>
      <c r="K93" s="18">
        <v>95659</v>
      </c>
      <c r="L93" s="18">
        <v>109976</v>
      </c>
      <c r="M93" s="18" t="s">
        <v>5020</v>
      </c>
      <c r="N93" s="41" t="s">
        <v>5184</v>
      </c>
      <c r="O93" s="18" t="s">
        <v>32</v>
      </c>
      <c r="P93" s="18">
        <v>4</v>
      </c>
      <c r="R93" s="34"/>
    </row>
    <row r="94" spans="1:18">
      <c r="A94" s="19" t="s">
        <v>5208</v>
      </c>
      <c r="B94" s="19" t="s">
        <v>1010</v>
      </c>
      <c r="C94" s="19" t="s">
        <v>25</v>
      </c>
      <c r="D94" s="19" t="s">
        <v>24</v>
      </c>
      <c r="E94" s="19" t="str">
        <f t="shared" si="2"/>
        <v>Design</v>
      </c>
      <c r="F94" s="19" t="s">
        <v>5025</v>
      </c>
      <c r="G94" s="19" t="str">
        <f t="shared" si="3"/>
        <v>Campus</v>
      </c>
      <c r="H94" s="19">
        <v>3.5</v>
      </c>
      <c r="I94" s="19">
        <v>6.8</v>
      </c>
      <c r="J94" s="19">
        <v>5.2</v>
      </c>
      <c r="K94" s="19">
        <v>79589</v>
      </c>
      <c r="L94" s="19">
        <v>70936</v>
      </c>
      <c r="M94" s="19" t="s">
        <v>5035</v>
      </c>
      <c r="N94" s="40" t="s">
        <v>1818</v>
      </c>
      <c r="O94" s="19" t="s">
        <v>75</v>
      </c>
      <c r="P94" s="19">
        <v>13</v>
      </c>
      <c r="R94" s="34"/>
    </row>
    <row r="95" spans="1:18">
      <c r="A95" s="18" t="s">
        <v>5209</v>
      </c>
      <c r="B95" s="18" t="s">
        <v>718</v>
      </c>
      <c r="C95" s="18" t="s">
        <v>153</v>
      </c>
      <c r="D95" s="18" t="s">
        <v>118</v>
      </c>
      <c r="E95" s="19" t="str">
        <f t="shared" si="2"/>
        <v>Marketing</v>
      </c>
      <c r="F95" s="18" t="s">
        <v>5019</v>
      </c>
      <c r="G95" s="19" t="str">
        <f t="shared" si="3"/>
        <v>Linkedin</v>
      </c>
      <c r="H95" s="18">
        <v>6.8</v>
      </c>
      <c r="I95" s="18">
        <v>5.9</v>
      </c>
      <c r="J95" s="18">
        <v>6.3</v>
      </c>
      <c r="K95" s="18">
        <v>147422</v>
      </c>
      <c r="L95" s="18">
        <v>151979</v>
      </c>
      <c r="M95" s="18" t="s">
        <v>5017</v>
      </c>
      <c r="N95" s="41" t="s">
        <v>5210</v>
      </c>
      <c r="O95" s="18" t="s">
        <v>75</v>
      </c>
      <c r="P95" s="18">
        <v>12.3</v>
      </c>
      <c r="R95" s="34"/>
    </row>
    <row r="96" spans="1:18">
      <c r="A96" s="19" t="s">
        <v>5211</v>
      </c>
      <c r="B96" s="19" t="s">
        <v>5212</v>
      </c>
      <c r="C96" s="19" t="s">
        <v>79</v>
      </c>
      <c r="D96" s="19" t="s">
        <v>63</v>
      </c>
      <c r="E96" s="19" t="str">
        <f t="shared" si="2"/>
        <v>Product</v>
      </c>
      <c r="F96" s="19" t="s">
        <v>5031</v>
      </c>
      <c r="G96" s="19" t="str">
        <f t="shared" si="3"/>
        <v>Walk-In</v>
      </c>
      <c r="H96" s="19">
        <v>8.1999999999999993</v>
      </c>
      <c r="I96" s="19">
        <v>8.1</v>
      </c>
      <c r="J96" s="19">
        <v>8.1</v>
      </c>
      <c r="K96" s="19">
        <v>135674</v>
      </c>
      <c r="L96" s="19">
        <v>115839</v>
      </c>
      <c r="M96" s="19" t="s">
        <v>5028</v>
      </c>
      <c r="N96" s="40" t="s">
        <v>315</v>
      </c>
      <c r="O96" s="19" t="s">
        <v>26</v>
      </c>
      <c r="P96" s="19">
        <v>8.9</v>
      </c>
      <c r="R96" s="34"/>
    </row>
    <row r="97" spans="1:18">
      <c r="A97" s="18" t="s">
        <v>5213</v>
      </c>
      <c r="B97" s="18" t="s">
        <v>5214</v>
      </c>
      <c r="C97" s="18" t="s">
        <v>335</v>
      </c>
      <c r="D97" s="18" t="s">
        <v>118</v>
      </c>
      <c r="E97" s="19" t="str">
        <f t="shared" si="2"/>
        <v>Marketing</v>
      </c>
      <c r="F97" s="18" t="s">
        <v>5051</v>
      </c>
      <c r="G97" s="19" t="str">
        <f t="shared" si="3"/>
        <v>Naukri</v>
      </c>
      <c r="H97" s="18">
        <v>6.7</v>
      </c>
      <c r="I97" s="18">
        <v>4.0999999999999996</v>
      </c>
      <c r="J97" s="18">
        <v>5.4</v>
      </c>
      <c r="K97" s="18">
        <v>190442</v>
      </c>
      <c r="L97" s="18">
        <v>165080</v>
      </c>
      <c r="M97" s="18" t="s">
        <v>5020</v>
      </c>
      <c r="N97" s="41" t="s">
        <v>5215</v>
      </c>
      <c r="O97" s="18" t="s">
        <v>18</v>
      </c>
      <c r="P97" s="18">
        <v>8.4</v>
      </c>
      <c r="R97" s="34"/>
    </row>
    <row r="98" spans="1:18">
      <c r="A98" s="19" t="s">
        <v>5216</v>
      </c>
      <c r="B98" s="19" t="s">
        <v>428</v>
      </c>
      <c r="C98" s="19" t="s">
        <v>153</v>
      </c>
      <c r="D98" s="19" t="s">
        <v>176</v>
      </c>
      <c r="E98" s="19" t="str">
        <f t="shared" si="2"/>
        <v>Finance</v>
      </c>
      <c r="F98" s="19" t="s">
        <v>5077</v>
      </c>
      <c r="G98" s="19" t="str">
        <f t="shared" si="3"/>
        <v>Referral</v>
      </c>
      <c r="H98" s="19">
        <v>9</v>
      </c>
      <c r="I98" s="19">
        <v>6.5</v>
      </c>
      <c r="J98" s="19">
        <v>7.8</v>
      </c>
      <c r="K98" s="19">
        <v>90894</v>
      </c>
      <c r="L98" s="19">
        <v>89108</v>
      </c>
      <c r="M98" s="19" t="s">
        <v>5028</v>
      </c>
      <c r="N98" s="40" t="s">
        <v>5217</v>
      </c>
      <c r="O98" s="19" t="s">
        <v>172</v>
      </c>
      <c r="P98" s="19">
        <v>12.5</v>
      </c>
      <c r="R98" s="34"/>
    </row>
    <row r="99" spans="1:18">
      <c r="A99" s="18" t="s">
        <v>5218</v>
      </c>
      <c r="B99" s="18" t="s">
        <v>5219</v>
      </c>
      <c r="C99" s="18" t="s">
        <v>225</v>
      </c>
      <c r="D99" s="18" t="s">
        <v>176</v>
      </c>
      <c r="E99" s="19" t="str">
        <f t="shared" si="2"/>
        <v>Finance</v>
      </c>
      <c r="F99" s="18" t="s">
        <v>5025</v>
      </c>
      <c r="G99" s="19" t="str">
        <f t="shared" si="3"/>
        <v>Campus</v>
      </c>
      <c r="H99" s="18">
        <v>8.6</v>
      </c>
      <c r="I99" s="18">
        <v>3.5</v>
      </c>
      <c r="J99" s="18">
        <v>6</v>
      </c>
      <c r="K99" s="18">
        <v>63434</v>
      </c>
      <c r="L99" s="18"/>
      <c r="M99" s="18" t="s">
        <v>5045</v>
      </c>
      <c r="N99" s="41" t="s">
        <v>5220</v>
      </c>
      <c r="O99" s="18" t="s">
        <v>32</v>
      </c>
      <c r="P99" s="18">
        <v>12.8</v>
      </c>
      <c r="R99" s="34"/>
    </row>
    <row r="100" spans="1:18">
      <c r="A100" s="19" t="s">
        <v>5221</v>
      </c>
      <c r="B100" s="19" t="s">
        <v>485</v>
      </c>
      <c r="C100" s="19" t="s">
        <v>225</v>
      </c>
      <c r="D100" s="19" t="s">
        <v>84</v>
      </c>
      <c r="E100" s="19" t="str">
        <f t="shared" si="2"/>
        <v>Hr</v>
      </c>
      <c r="F100" s="19" t="s">
        <v>5016</v>
      </c>
      <c r="G100" s="19" t="str">
        <f t="shared" si="3"/>
        <v>Job Portal</v>
      </c>
      <c r="H100" s="19">
        <v>4.5999999999999996</v>
      </c>
      <c r="I100" s="19">
        <v>6</v>
      </c>
      <c r="J100" s="19">
        <v>5.3</v>
      </c>
      <c r="K100" s="19">
        <v>189712</v>
      </c>
      <c r="L100" s="19">
        <v>205441</v>
      </c>
      <c r="M100" s="19" t="s">
        <v>5017</v>
      </c>
      <c r="N100" s="40" t="s">
        <v>5222</v>
      </c>
      <c r="O100" s="19" t="s">
        <v>18</v>
      </c>
      <c r="P100" s="19">
        <v>11.1</v>
      </c>
      <c r="R100" s="34"/>
    </row>
    <row r="101" spans="1:18">
      <c r="A101" s="18" t="s">
        <v>5223</v>
      </c>
      <c r="B101" s="18" t="s">
        <v>5224</v>
      </c>
      <c r="C101" s="18" t="s">
        <v>138</v>
      </c>
      <c r="D101" s="18" t="s">
        <v>51</v>
      </c>
      <c r="E101" s="19" t="str">
        <f t="shared" si="2"/>
        <v>Sales</v>
      </c>
      <c r="F101" s="18" t="s">
        <v>5051</v>
      </c>
      <c r="G101" s="19" t="str">
        <f t="shared" si="3"/>
        <v>Naukri</v>
      </c>
      <c r="H101" s="18">
        <v>9.4</v>
      </c>
      <c r="I101" s="18">
        <v>5.7</v>
      </c>
      <c r="J101" s="18">
        <v>7.6</v>
      </c>
      <c r="K101" s="18">
        <v>140917</v>
      </c>
      <c r="L101" s="18">
        <v>141399</v>
      </c>
      <c r="M101" s="18" t="s">
        <v>5045</v>
      </c>
      <c r="N101" s="41" t="s">
        <v>5225</v>
      </c>
      <c r="O101" s="18" t="s">
        <v>26</v>
      </c>
      <c r="P101" s="18">
        <v>11.6</v>
      </c>
      <c r="R101" s="34"/>
    </row>
    <row r="102" spans="1:18">
      <c r="A102" s="19" t="s">
        <v>5226</v>
      </c>
      <c r="B102" s="19" t="s">
        <v>964</v>
      </c>
      <c r="C102" s="19" t="s">
        <v>5040</v>
      </c>
      <c r="D102" s="19" t="s">
        <v>16</v>
      </c>
      <c r="E102" s="19" t="str">
        <f t="shared" si="2"/>
        <v>Devops</v>
      </c>
      <c r="F102" s="19" t="s">
        <v>5023</v>
      </c>
      <c r="G102" s="19" t="str">
        <f t="shared" si="3"/>
        <v>Linkedin</v>
      </c>
      <c r="H102" s="19">
        <v>9.1</v>
      </c>
      <c r="I102" s="19">
        <v>7.4</v>
      </c>
      <c r="J102" s="19">
        <v>8.1999999999999993</v>
      </c>
      <c r="K102" s="19">
        <v>60954</v>
      </c>
      <c r="L102" s="19">
        <v>68652</v>
      </c>
      <c r="M102" s="19" t="s">
        <v>5020</v>
      </c>
      <c r="N102" s="40" t="s">
        <v>5227</v>
      </c>
      <c r="O102" s="19" t="s">
        <v>214</v>
      </c>
      <c r="P102" s="19">
        <v>9.1999999999999993</v>
      </c>
      <c r="R102" s="34"/>
    </row>
    <row r="103" spans="1:18">
      <c r="A103" s="18" t="s">
        <v>5228</v>
      </c>
      <c r="B103" s="18" t="s">
        <v>932</v>
      </c>
      <c r="C103" s="18" t="s">
        <v>98</v>
      </c>
      <c r="D103" s="18" t="s">
        <v>89</v>
      </c>
      <c r="E103" s="19" t="str">
        <f t="shared" si="2"/>
        <v>Data Science</v>
      </c>
      <c r="F103" s="18" t="s">
        <v>5019</v>
      </c>
      <c r="G103" s="19" t="str">
        <f t="shared" si="3"/>
        <v>Linkedin</v>
      </c>
      <c r="H103" s="18">
        <v>7.1</v>
      </c>
      <c r="I103" s="18">
        <v>7.4</v>
      </c>
      <c r="J103" s="18">
        <v>7.2</v>
      </c>
      <c r="K103" s="18">
        <v>176308</v>
      </c>
      <c r="L103" s="18">
        <v>194286</v>
      </c>
      <c r="M103" s="18" t="s">
        <v>5035</v>
      </c>
      <c r="N103" s="41" t="s">
        <v>2050</v>
      </c>
      <c r="O103" s="18" t="s">
        <v>214</v>
      </c>
      <c r="P103" s="18">
        <v>4.7</v>
      </c>
      <c r="R103" s="34"/>
    </row>
    <row r="104" spans="1:18">
      <c r="A104" s="19" t="s">
        <v>5229</v>
      </c>
      <c r="B104" s="19" t="s">
        <v>5230</v>
      </c>
      <c r="C104" s="19" t="s">
        <v>5040</v>
      </c>
      <c r="D104" s="19" t="s">
        <v>118</v>
      </c>
      <c r="E104" s="19" t="str">
        <f t="shared" si="2"/>
        <v>Marketing</v>
      </c>
      <c r="F104" s="19" t="s">
        <v>5016</v>
      </c>
      <c r="G104" s="19" t="str">
        <f t="shared" si="3"/>
        <v>Job Portal</v>
      </c>
      <c r="H104" s="19">
        <v>6.9</v>
      </c>
      <c r="I104" s="19">
        <v>8.8000000000000007</v>
      </c>
      <c r="J104" s="19">
        <v>7.9</v>
      </c>
      <c r="K104" s="19">
        <v>171663</v>
      </c>
      <c r="L104" s="19">
        <v>147075</v>
      </c>
      <c r="M104" s="19" t="s">
        <v>5045</v>
      </c>
      <c r="N104" s="40" t="s">
        <v>5231</v>
      </c>
      <c r="O104" s="19" t="s">
        <v>75</v>
      </c>
      <c r="P104" s="19">
        <v>2</v>
      </c>
      <c r="R104" s="34"/>
    </row>
    <row r="105" spans="1:18">
      <c r="A105" s="18" t="s">
        <v>5232</v>
      </c>
      <c r="B105" s="18" t="s">
        <v>5233</v>
      </c>
      <c r="C105" s="18" t="s">
        <v>138</v>
      </c>
      <c r="D105" s="18" t="s">
        <v>24</v>
      </c>
      <c r="E105" s="19" t="str">
        <f t="shared" si="2"/>
        <v>Design</v>
      </c>
      <c r="F105" s="18" t="s">
        <v>5060</v>
      </c>
      <c r="G105" s="19" t="str">
        <f t="shared" si="3"/>
        <v>Naukri</v>
      </c>
      <c r="H105" s="18">
        <v>9.1</v>
      </c>
      <c r="I105" s="18">
        <v>6</v>
      </c>
      <c r="J105" s="18">
        <v>7.5</v>
      </c>
      <c r="K105" s="18">
        <v>101358</v>
      </c>
      <c r="L105" s="18">
        <v>116255</v>
      </c>
      <c r="M105" s="18" t="s">
        <v>5035</v>
      </c>
      <c r="N105" s="41" t="s">
        <v>5234</v>
      </c>
      <c r="O105" s="18" t="s">
        <v>172</v>
      </c>
      <c r="P105" s="18">
        <v>5.5</v>
      </c>
      <c r="R105" s="34"/>
    </row>
    <row r="106" spans="1:18">
      <c r="A106" s="19" t="s">
        <v>5235</v>
      </c>
      <c r="B106" s="19" t="s">
        <v>1123</v>
      </c>
      <c r="C106" s="19" t="s">
        <v>153</v>
      </c>
      <c r="D106" s="19" t="s">
        <v>89</v>
      </c>
      <c r="E106" s="19" t="str">
        <f t="shared" si="2"/>
        <v>Data Science</v>
      </c>
      <c r="F106" s="19" t="s">
        <v>5077</v>
      </c>
      <c r="G106" s="19" t="str">
        <f t="shared" si="3"/>
        <v>Referral</v>
      </c>
      <c r="H106" s="19">
        <v>9.1</v>
      </c>
      <c r="I106" s="19">
        <v>7.2</v>
      </c>
      <c r="J106" s="19">
        <v>8.1999999999999993</v>
      </c>
      <c r="K106" s="19">
        <v>36251</v>
      </c>
      <c r="L106" s="19">
        <v>39261</v>
      </c>
      <c r="M106" s="19" t="s">
        <v>5017</v>
      </c>
      <c r="N106" s="40" t="s">
        <v>1984</v>
      </c>
      <c r="O106" s="19" t="s">
        <v>214</v>
      </c>
      <c r="P106" s="19">
        <v>3.5</v>
      </c>
      <c r="R106" s="34"/>
    </row>
    <row r="107" spans="1:18">
      <c r="A107" s="18" t="s">
        <v>5236</v>
      </c>
      <c r="B107" s="18" t="s">
        <v>440</v>
      </c>
      <c r="C107" s="18" t="s">
        <v>25</v>
      </c>
      <c r="D107" s="18" t="s">
        <v>176</v>
      </c>
      <c r="E107" s="19" t="str">
        <f t="shared" si="2"/>
        <v>Finance</v>
      </c>
      <c r="F107" s="18" t="s">
        <v>5060</v>
      </c>
      <c r="G107" s="19" t="str">
        <f t="shared" si="3"/>
        <v>Naukri</v>
      </c>
      <c r="H107" s="18">
        <v>5.7</v>
      </c>
      <c r="I107" s="18">
        <v>5.9</v>
      </c>
      <c r="J107" s="18">
        <v>5.8</v>
      </c>
      <c r="K107" s="18">
        <v>197317</v>
      </c>
      <c r="L107" s="18">
        <v>199283</v>
      </c>
      <c r="M107" s="18" t="s">
        <v>5020</v>
      </c>
      <c r="N107" s="41" t="s">
        <v>2018</v>
      </c>
      <c r="O107" s="18" t="s">
        <v>214</v>
      </c>
      <c r="P107" s="18">
        <v>5.7</v>
      </c>
      <c r="R107" s="34"/>
    </row>
    <row r="108" spans="1:18">
      <c r="A108" s="19" t="s">
        <v>5237</v>
      </c>
      <c r="B108" s="19" t="s">
        <v>881</v>
      </c>
      <c r="C108" s="19" t="s">
        <v>25</v>
      </c>
      <c r="D108" s="19" t="s">
        <v>133</v>
      </c>
      <c r="E108" s="19" t="str">
        <f t="shared" si="2"/>
        <v>Qa</v>
      </c>
      <c r="F108" s="19" t="s">
        <v>5060</v>
      </c>
      <c r="G108" s="19" t="str">
        <f t="shared" si="3"/>
        <v>Naukri</v>
      </c>
      <c r="H108" s="19">
        <v>8.9</v>
      </c>
      <c r="I108" s="19">
        <v>8.6</v>
      </c>
      <c r="J108" s="19">
        <v>8.8000000000000007</v>
      </c>
      <c r="K108" s="19">
        <v>76892</v>
      </c>
      <c r="L108" s="19">
        <v>84314</v>
      </c>
      <c r="M108" s="19" t="s">
        <v>5017</v>
      </c>
      <c r="N108" s="40" t="s">
        <v>523</v>
      </c>
      <c r="O108" s="19" t="s">
        <v>26</v>
      </c>
      <c r="P108" s="19">
        <v>6.5</v>
      </c>
      <c r="R108" s="34"/>
    </row>
    <row r="109" spans="1:18">
      <c r="A109" s="18" t="s">
        <v>5238</v>
      </c>
      <c r="B109" s="18" t="s">
        <v>881</v>
      </c>
      <c r="C109" s="18" t="s">
        <v>90</v>
      </c>
      <c r="D109" s="18" t="s">
        <v>51</v>
      </c>
      <c r="E109" s="19" t="str">
        <f t="shared" si="2"/>
        <v>Sales</v>
      </c>
      <c r="F109" s="18" t="s">
        <v>5077</v>
      </c>
      <c r="G109" s="19" t="str">
        <f t="shared" si="3"/>
        <v>Referral</v>
      </c>
      <c r="H109" s="18">
        <v>5.9</v>
      </c>
      <c r="I109" s="18">
        <v>9.5</v>
      </c>
      <c r="J109" s="18">
        <v>7.7</v>
      </c>
      <c r="K109" s="18">
        <v>49261</v>
      </c>
      <c r="L109" s="18">
        <v>53520</v>
      </c>
      <c r="M109" s="18" t="s">
        <v>5028</v>
      </c>
      <c r="N109" s="41" t="s">
        <v>5239</v>
      </c>
      <c r="O109" s="18" t="s">
        <v>149</v>
      </c>
      <c r="P109" s="18">
        <v>3.6</v>
      </c>
      <c r="R109" s="34"/>
    </row>
    <row r="110" spans="1:18">
      <c r="A110" s="19" t="s">
        <v>5240</v>
      </c>
      <c r="B110" s="19" t="s">
        <v>5115</v>
      </c>
      <c r="C110" s="19" t="s">
        <v>335</v>
      </c>
      <c r="D110" s="19" t="s">
        <v>84</v>
      </c>
      <c r="E110" s="19" t="str">
        <f t="shared" si="2"/>
        <v>Hr</v>
      </c>
      <c r="F110" s="19" t="s">
        <v>5025</v>
      </c>
      <c r="G110" s="19" t="str">
        <f t="shared" si="3"/>
        <v>Campus</v>
      </c>
      <c r="H110" s="19">
        <v>5.9</v>
      </c>
      <c r="I110" s="19">
        <v>5.0999999999999996</v>
      </c>
      <c r="J110" s="19">
        <v>5.5</v>
      </c>
      <c r="K110" s="19">
        <v>95674</v>
      </c>
      <c r="L110" s="19">
        <v>83369</v>
      </c>
      <c r="M110" s="19" t="s">
        <v>5035</v>
      </c>
      <c r="N110" s="40" t="s">
        <v>1669</v>
      </c>
      <c r="O110" s="19" t="s">
        <v>26</v>
      </c>
      <c r="P110" s="19">
        <v>6.7</v>
      </c>
      <c r="R110" s="34"/>
    </row>
    <row r="111" spans="1:18">
      <c r="A111" s="18" t="s">
        <v>5241</v>
      </c>
      <c r="B111" s="18" t="s">
        <v>5242</v>
      </c>
      <c r="C111" s="18" t="s">
        <v>153</v>
      </c>
      <c r="D111" s="18" t="s">
        <v>51</v>
      </c>
      <c r="E111" s="19" t="str">
        <f t="shared" si="2"/>
        <v>Sales</v>
      </c>
      <c r="F111" s="18" t="s">
        <v>5060</v>
      </c>
      <c r="G111" s="19" t="str">
        <f t="shared" si="3"/>
        <v>Naukri</v>
      </c>
      <c r="H111" s="18">
        <v>5.6</v>
      </c>
      <c r="I111" s="18">
        <v>3.6</v>
      </c>
      <c r="J111" s="18">
        <v>4.5999999999999996</v>
      </c>
      <c r="K111" s="18">
        <v>74310</v>
      </c>
      <c r="L111" s="18">
        <v>81126</v>
      </c>
      <c r="M111" s="18" t="s">
        <v>5020</v>
      </c>
      <c r="N111" s="41" t="s">
        <v>5243</v>
      </c>
      <c r="O111" s="18" t="s">
        <v>70</v>
      </c>
      <c r="P111" s="18">
        <v>9.5</v>
      </c>
      <c r="R111" s="34"/>
    </row>
    <row r="112" spans="1:18">
      <c r="A112" s="19" t="s">
        <v>5244</v>
      </c>
      <c r="B112" s="19" t="s">
        <v>561</v>
      </c>
      <c r="C112" s="19" t="s">
        <v>225</v>
      </c>
      <c r="D112" s="19" t="s">
        <v>24</v>
      </c>
      <c r="E112" s="19" t="str">
        <f t="shared" si="2"/>
        <v>Design</v>
      </c>
      <c r="F112" s="19" t="s">
        <v>5016</v>
      </c>
      <c r="G112" s="19" t="str">
        <f t="shared" si="3"/>
        <v>Job Portal</v>
      </c>
      <c r="H112" s="19">
        <v>8.5</v>
      </c>
      <c r="I112" s="19">
        <v>3.2</v>
      </c>
      <c r="J112" s="19">
        <v>5.8</v>
      </c>
      <c r="K112" s="19">
        <v>143450</v>
      </c>
      <c r="L112" s="19">
        <v>121982</v>
      </c>
      <c r="M112" s="19" t="s">
        <v>5045</v>
      </c>
      <c r="N112" s="40" t="s">
        <v>5245</v>
      </c>
      <c r="O112" s="19" t="s">
        <v>70</v>
      </c>
      <c r="P112" s="19">
        <v>8.5</v>
      </c>
      <c r="R112" s="34"/>
    </row>
    <row r="113" spans="1:18">
      <c r="A113" s="18" t="s">
        <v>5246</v>
      </c>
      <c r="B113" s="18" t="s">
        <v>1308</v>
      </c>
      <c r="C113" s="18" t="s">
        <v>225</v>
      </c>
      <c r="D113" s="18" t="s">
        <v>24</v>
      </c>
      <c r="E113" s="19" t="str">
        <f t="shared" si="2"/>
        <v>Design</v>
      </c>
      <c r="F113" s="18" t="s">
        <v>5031</v>
      </c>
      <c r="G113" s="19" t="str">
        <f t="shared" si="3"/>
        <v>Walk-In</v>
      </c>
      <c r="H113" s="18">
        <v>7.6</v>
      </c>
      <c r="I113" s="18">
        <v>6.7</v>
      </c>
      <c r="J113" s="18">
        <v>7.2</v>
      </c>
      <c r="K113" s="18">
        <v>164077</v>
      </c>
      <c r="L113" s="18">
        <v>146851</v>
      </c>
      <c r="M113" s="18" t="s">
        <v>5035</v>
      </c>
      <c r="N113" s="41" t="s">
        <v>5247</v>
      </c>
      <c r="O113" s="18" t="s">
        <v>26</v>
      </c>
      <c r="P113" s="18">
        <v>11.7</v>
      </c>
      <c r="R113" s="34"/>
    </row>
    <row r="114" spans="1:18">
      <c r="A114" s="19" t="s">
        <v>5248</v>
      </c>
      <c r="B114" s="19" t="s">
        <v>5249</v>
      </c>
      <c r="C114" s="19" t="s">
        <v>98</v>
      </c>
      <c r="D114" s="19" t="s">
        <v>84</v>
      </c>
      <c r="E114" s="19" t="str">
        <f t="shared" si="2"/>
        <v>Hr</v>
      </c>
      <c r="F114" s="19" t="s">
        <v>5016</v>
      </c>
      <c r="G114" s="19" t="str">
        <f t="shared" si="3"/>
        <v>Job Portal</v>
      </c>
      <c r="H114" s="19">
        <v>5.0999999999999996</v>
      </c>
      <c r="I114" s="19">
        <v>3.4</v>
      </c>
      <c r="J114" s="19">
        <v>4.2</v>
      </c>
      <c r="K114" s="19">
        <v>111368</v>
      </c>
      <c r="L114" s="19">
        <v>101709</v>
      </c>
      <c r="M114" s="19" t="s">
        <v>5017</v>
      </c>
      <c r="N114" s="40" t="s">
        <v>360</v>
      </c>
      <c r="O114" s="19" t="s">
        <v>26</v>
      </c>
      <c r="P114" s="19">
        <v>10.9</v>
      </c>
      <c r="R114" s="34"/>
    </row>
    <row r="115" spans="1:18">
      <c r="A115" s="18" t="s">
        <v>5250</v>
      </c>
      <c r="B115" s="18" t="s">
        <v>22</v>
      </c>
      <c r="C115" s="18" t="s">
        <v>98</v>
      </c>
      <c r="D115" s="18" t="s">
        <v>16</v>
      </c>
      <c r="E115" s="19" t="str">
        <f t="shared" si="2"/>
        <v>Devops</v>
      </c>
      <c r="F115" s="18" t="s">
        <v>5051</v>
      </c>
      <c r="G115" s="19" t="str">
        <f t="shared" si="3"/>
        <v>Naukri</v>
      </c>
      <c r="H115" s="18">
        <v>3.2</v>
      </c>
      <c r="I115" s="18">
        <v>6</v>
      </c>
      <c r="J115" s="18">
        <v>4.5999999999999996</v>
      </c>
      <c r="K115" s="18">
        <v>114487</v>
      </c>
      <c r="L115" s="18">
        <v>124489</v>
      </c>
      <c r="M115" s="18" t="s">
        <v>5028</v>
      </c>
      <c r="N115" s="41" t="s">
        <v>5251</v>
      </c>
      <c r="O115" s="18" t="s">
        <v>214</v>
      </c>
      <c r="P115" s="18">
        <v>9.4</v>
      </c>
      <c r="R115" s="34"/>
    </row>
    <row r="116" spans="1:18">
      <c r="A116" s="19" t="s">
        <v>5252</v>
      </c>
      <c r="B116" s="19" t="s">
        <v>1320</v>
      </c>
      <c r="C116" s="19" t="s">
        <v>98</v>
      </c>
      <c r="D116" s="19" t="s">
        <v>133</v>
      </c>
      <c r="E116" s="19" t="str">
        <f t="shared" si="2"/>
        <v>Qa</v>
      </c>
      <c r="F116" s="19" t="s">
        <v>5077</v>
      </c>
      <c r="G116" s="19" t="str">
        <f t="shared" si="3"/>
        <v>Referral</v>
      </c>
      <c r="H116" s="19">
        <v>4.9000000000000004</v>
      </c>
      <c r="I116" s="19">
        <v>6.6</v>
      </c>
      <c r="J116" s="19">
        <v>5.8</v>
      </c>
      <c r="K116" s="19">
        <v>196368</v>
      </c>
      <c r="L116" s="19">
        <v>188403</v>
      </c>
      <c r="M116" s="19" t="s">
        <v>5028</v>
      </c>
      <c r="N116" s="40" t="s">
        <v>5101</v>
      </c>
      <c r="O116" s="19" t="s">
        <v>26</v>
      </c>
      <c r="P116" s="19">
        <v>11.3</v>
      </c>
      <c r="R116" s="34"/>
    </row>
    <row r="117" spans="1:18">
      <c r="A117" s="18" t="s">
        <v>5253</v>
      </c>
      <c r="B117" s="18" t="s">
        <v>5254</v>
      </c>
      <c r="C117" s="18" t="s">
        <v>25</v>
      </c>
      <c r="D117" s="18" t="s">
        <v>51</v>
      </c>
      <c r="E117" s="19" t="str">
        <f t="shared" si="2"/>
        <v>Sales</v>
      </c>
      <c r="F117" s="18" t="s">
        <v>5031</v>
      </c>
      <c r="G117" s="19" t="str">
        <f t="shared" si="3"/>
        <v>Walk-In</v>
      </c>
      <c r="H117" s="18">
        <v>7.8</v>
      </c>
      <c r="I117" s="18">
        <v>6</v>
      </c>
      <c r="J117" s="18">
        <v>6.9</v>
      </c>
      <c r="K117" s="18">
        <v>93388</v>
      </c>
      <c r="L117" s="18"/>
      <c r="M117" s="18" t="s">
        <v>5035</v>
      </c>
      <c r="N117" s="41" t="s">
        <v>1932</v>
      </c>
      <c r="O117" s="18" t="s">
        <v>114</v>
      </c>
      <c r="P117" s="18">
        <v>6</v>
      </c>
      <c r="R117" s="34"/>
    </row>
    <row r="118" spans="1:18">
      <c r="A118" s="19" t="s">
        <v>5255</v>
      </c>
      <c r="B118" s="19" t="s">
        <v>141</v>
      </c>
      <c r="C118" s="19" t="s">
        <v>90</v>
      </c>
      <c r="D118" s="19" t="s">
        <v>89</v>
      </c>
      <c r="E118" s="19" t="str">
        <f t="shared" si="2"/>
        <v>Data Science</v>
      </c>
      <c r="F118" s="19" t="s">
        <v>5019</v>
      </c>
      <c r="G118" s="19" t="str">
        <f t="shared" si="3"/>
        <v>Linkedin</v>
      </c>
      <c r="H118" s="19">
        <v>5.5</v>
      </c>
      <c r="I118" s="19">
        <v>9.5</v>
      </c>
      <c r="J118" s="19">
        <v>7.5</v>
      </c>
      <c r="K118" s="19">
        <v>169463</v>
      </c>
      <c r="L118" s="19">
        <v>157274</v>
      </c>
      <c r="M118" s="19" t="s">
        <v>5028</v>
      </c>
      <c r="N118" s="40" t="s">
        <v>5256</v>
      </c>
      <c r="O118" s="19" t="s">
        <v>75</v>
      </c>
      <c r="P118" s="19">
        <v>8.1999999999999993</v>
      </c>
      <c r="R118" s="34"/>
    </row>
    <row r="119" spans="1:18">
      <c r="A119" s="18" t="s">
        <v>5257</v>
      </c>
      <c r="B119" s="18" t="s">
        <v>1496</v>
      </c>
      <c r="C119" s="18" t="s">
        <v>79</v>
      </c>
      <c r="D119" s="18" t="s">
        <v>176</v>
      </c>
      <c r="E119" s="19" t="str">
        <f t="shared" si="2"/>
        <v>Finance</v>
      </c>
      <c r="F119" s="18" t="s">
        <v>5077</v>
      </c>
      <c r="G119" s="19" t="str">
        <f t="shared" si="3"/>
        <v>Referral</v>
      </c>
      <c r="H119" s="18">
        <v>6.1</v>
      </c>
      <c r="I119" s="18"/>
      <c r="J119" s="18">
        <v>6.1</v>
      </c>
      <c r="K119" s="18">
        <v>153319</v>
      </c>
      <c r="L119" s="18">
        <v>169720</v>
      </c>
      <c r="M119" s="18" t="s">
        <v>5035</v>
      </c>
      <c r="N119" s="41" t="s">
        <v>5258</v>
      </c>
      <c r="O119" s="18" t="s">
        <v>75</v>
      </c>
      <c r="P119" s="18">
        <v>4.5999999999999996</v>
      </c>
      <c r="R119" s="34"/>
    </row>
    <row r="120" spans="1:18">
      <c r="A120" s="19" t="s">
        <v>5259</v>
      </c>
      <c r="B120" s="19" t="s">
        <v>814</v>
      </c>
      <c r="C120" s="19" t="s">
        <v>25</v>
      </c>
      <c r="D120" s="19" t="s">
        <v>51</v>
      </c>
      <c r="E120" s="19" t="str">
        <f t="shared" si="2"/>
        <v>Sales</v>
      </c>
      <c r="F120" s="19" t="s">
        <v>5023</v>
      </c>
      <c r="G120" s="19" t="str">
        <f t="shared" si="3"/>
        <v>Linkedin</v>
      </c>
      <c r="H120" s="19">
        <v>9.6999999999999993</v>
      </c>
      <c r="I120" s="19">
        <v>3.6</v>
      </c>
      <c r="J120" s="19">
        <v>6.6</v>
      </c>
      <c r="K120" s="19">
        <v>50644</v>
      </c>
      <c r="L120" s="19">
        <v>51916</v>
      </c>
      <c r="M120" s="19" t="s">
        <v>5035</v>
      </c>
      <c r="N120" s="40" t="s">
        <v>2226</v>
      </c>
      <c r="O120" s="19" t="s">
        <v>53</v>
      </c>
      <c r="P120" s="19">
        <v>0.6</v>
      </c>
      <c r="R120" s="34"/>
    </row>
    <row r="121" spans="1:18">
      <c r="A121" s="18" t="s">
        <v>5260</v>
      </c>
      <c r="B121" s="18" t="s">
        <v>5261</v>
      </c>
      <c r="C121" s="18" t="s">
        <v>98</v>
      </c>
      <c r="D121" s="18" t="s">
        <v>51</v>
      </c>
      <c r="E121" s="19" t="str">
        <f t="shared" si="2"/>
        <v>Sales</v>
      </c>
      <c r="F121" s="18" t="s">
        <v>5051</v>
      </c>
      <c r="G121" s="19" t="str">
        <f t="shared" si="3"/>
        <v>Naukri</v>
      </c>
      <c r="H121" s="18">
        <v>4.4000000000000004</v>
      </c>
      <c r="I121" s="18">
        <v>5.7</v>
      </c>
      <c r="J121" s="18">
        <v>5.0999999999999996</v>
      </c>
      <c r="K121" s="18">
        <v>173222</v>
      </c>
      <c r="L121" s="18">
        <v>147477</v>
      </c>
      <c r="M121" s="18" t="s">
        <v>5028</v>
      </c>
      <c r="N121" s="41" t="s">
        <v>5262</v>
      </c>
      <c r="O121" s="18" t="s">
        <v>70</v>
      </c>
      <c r="P121" s="18">
        <v>6</v>
      </c>
      <c r="R121" s="34"/>
    </row>
    <row r="122" spans="1:18">
      <c r="A122" s="19" t="s">
        <v>5263</v>
      </c>
      <c r="B122" s="19" t="s">
        <v>165</v>
      </c>
      <c r="C122" s="19" t="s">
        <v>90</v>
      </c>
      <c r="D122" s="19" t="s">
        <v>133</v>
      </c>
      <c r="E122" s="19" t="str">
        <f t="shared" si="2"/>
        <v>Qa</v>
      </c>
      <c r="F122" s="19" t="s">
        <v>5025</v>
      </c>
      <c r="G122" s="19" t="str">
        <f t="shared" si="3"/>
        <v>Campus</v>
      </c>
      <c r="H122" s="19">
        <v>6.7</v>
      </c>
      <c r="I122" s="19">
        <v>3.4</v>
      </c>
      <c r="J122" s="19">
        <v>5</v>
      </c>
      <c r="K122" s="19">
        <v>23335</v>
      </c>
      <c r="L122" s="19">
        <v>23409</v>
      </c>
      <c r="M122" s="19" t="s">
        <v>5045</v>
      </c>
      <c r="N122" s="40" t="s">
        <v>5264</v>
      </c>
      <c r="O122" s="19" t="s">
        <v>214</v>
      </c>
      <c r="P122" s="19">
        <v>12.6</v>
      </c>
      <c r="R122" s="34"/>
    </row>
    <row r="123" spans="1:18">
      <c r="A123" s="18" t="s">
        <v>5265</v>
      </c>
      <c r="B123" s="18" t="s">
        <v>966</v>
      </c>
      <c r="C123" s="18" t="s">
        <v>335</v>
      </c>
      <c r="D123" s="18" t="s">
        <v>39</v>
      </c>
      <c r="E123" s="19" t="str">
        <f t="shared" si="2"/>
        <v>Engineering</v>
      </c>
      <c r="F123" s="18" t="s">
        <v>5016</v>
      </c>
      <c r="G123" s="19" t="str">
        <f t="shared" si="3"/>
        <v>Job Portal</v>
      </c>
      <c r="H123" s="18">
        <v>9.9</v>
      </c>
      <c r="I123" s="18">
        <v>6.9</v>
      </c>
      <c r="J123" s="18">
        <v>8.4</v>
      </c>
      <c r="K123" s="18">
        <v>125428</v>
      </c>
      <c r="L123" s="18">
        <v>112637</v>
      </c>
      <c r="M123" s="18" t="s">
        <v>5035</v>
      </c>
      <c r="N123" s="41" t="s">
        <v>5266</v>
      </c>
      <c r="O123" s="18" t="s">
        <v>172</v>
      </c>
      <c r="P123" s="18">
        <v>11.6</v>
      </c>
      <c r="R123" s="34"/>
    </row>
    <row r="124" spans="1:18">
      <c r="A124" s="19" t="s">
        <v>5267</v>
      </c>
      <c r="B124" s="19" t="s">
        <v>724</v>
      </c>
      <c r="C124" s="19" t="s">
        <v>25</v>
      </c>
      <c r="D124" s="19" t="s">
        <v>84</v>
      </c>
      <c r="E124" s="19" t="str">
        <f t="shared" si="2"/>
        <v>Hr</v>
      </c>
      <c r="F124" s="19" t="s">
        <v>5077</v>
      </c>
      <c r="G124" s="19" t="str">
        <f t="shared" si="3"/>
        <v>Referral</v>
      </c>
      <c r="H124" s="19">
        <v>3.8</v>
      </c>
      <c r="I124" s="19">
        <v>9.5</v>
      </c>
      <c r="J124" s="19">
        <v>6.7</v>
      </c>
      <c r="K124" s="19">
        <v>150962</v>
      </c>
      <c r="L124" s="19">
        <v>171826</v>
      </c>
      <c r="M124" s="19" t="s">
        <v>5028</v>
      </c>
      <c r="N124" s="40" t="s">
        <v>5268</v>
      </c>
      <c r="O124" s="19" t="s">
        <v>172</v>
      </c>
      <c r="P124" s="19">
        <v>1.3</v>
      </c>
      <c r="R124" s="34"/>
    </row>
    <row r="125" spans="1:18">
      <c r="A125" s="18" t="s">
        <v>5269</v>
      </c>
      <c r="B125" s="18" t="s">
        <v>263</v>
      </c>
      <c r="C125" s="18" t="s">
        <v>105</v>
      </c>
      <c r="D125" s="18" t="s">
        <v>118</v>
      </c>
      <c r="E125" s="19" t="str">
        <f t="shared" si="2"/>
        <v>Marketing</v>
      </c>
      <c r="F125" s="18" t="s">
        <v>5077</v>
      </c>
      <c r="G125" s="19" t="str">
        <f t="shared" si="3"/>
        <v>Referral</v>
      </c>
      <c r="H125" s="18">
        <v>4.9000000000000004</v>
      </c>
      <c r="I125" s="18">
        <v>9.1</v>
      </c>
      <c r="J125" s="18">
        <v>7</v>
      </c>
      <c r="K125" s="18">
        <v>65864</v>
      </c>
      <c r="L125" s="18">
        <v>56525</v>
      </c>
      <c r="M125" s="18" t="s">
        <v>5045</v>
      </c>
      <c r="N125" s="41" t="s">
        <v>5270</v>
      </c>
      <c r="O125" s="18" t="s">
        <v>172</v>
      </c>
      <c r="P125" s="18">
        <v>12.9</v>
      </c>
      <c r="R125" s="34"/>
    </row>
    <row r="126" spans="1:18">
      <c r="A126" s="19" t="s">
        <v>5271</v>
      </c>
      <c r="B126" s="19" t="s">
        <v>277</v>
      </c>
      <c r="C126" s="19" t="s">
        <v>153</v>
      </c>
      <c r="D126" s="19" t="s">
        <v>39</v>
      </c>
      <c r="E126" s="19" t="str">
        <f t="shared" si="2"/>
        <v>Engineering</v>
      </c>
      <c r="F126" s="19" t="s">
        <v>5060</v>
      </c>
      <c r="G126" s="19" t="str">
        <f t="shared" si="3"/>
        <v>Naukri</v>
      </c>
      <c r="H126" s="19">
        <v>7.9</v>
      </c>
      <c r="I126" s="19">
        <v>6.8</v>
      </c>
      <c r="J126" s="19">
        <v>7.3</v>
      </c>
      <c r="K126" s="19">
        <v>31856</v>
      </c>
      <c r="L126" s="19"/>
      <c r="M126" s="19" t="s">
        <v>5028</v>
      </c>
      <c r="N126" s="40" t="s">
        <v>5272</v>
      </c>
      <c r="O126" s="19" t="s">
        <v>53</v>
      </c>
      <c r="P126" s="19">
        <v>12.2</v>
      </c>
      <c r="R126" s="34"/>
    </row>
    <row r="127" spans="1:18">
      <c r="A127" s="18" t="s">
        <v>5273</v>
      </c>
      <c r="B127" s="18" t="s">
        <v>1134</v>
      </c>
      <c r="C127" s="18" t="s">
        <v>225</v>
      </c>
      <c r="D127" s="18" t="s">
        <v>89</v>
      </c>
      <c r="E127" s="19" t="str">
        <f t="shared" si="2"/>
        <v>Data Science</v>
      </c>
      <c r="F127" s="18" t="s">
        <v>5077</v>
      </c>
      <c r="G127" s="19" t="str">
        <f t="shared" si="3"/>
        <v>Referral</v>
      </c>
      <c r="H127" s="18">
        <v>8.6</v>
      </c>
      <c r="I127" s="18">
        <v>4.2</v>
      </c>
      <c r="J127" s="18">
        <v>6.4</v>
      </c>
      <c r="K127" s="18">
        <v>83009</v>
      </c>
      <c r="L127" s="18">
        <v>89979</v>
      </c>
      <c r="M127" s="18" t="s">
        <v>5020</v>
      </c>
      <c r="N127" s="41" t="s">
        <v>5274</v>
      </c>
      <c r="O127" s="18" t="s">
        <v>70</v>
      </c>
      <c r="P127" s="18">
        <v>1.3</v>
      </c>
      <c r="R127" s="34"/>
    </row>
    <row r="128" spans="1:18">
      <c r="A128" s="19" t="s">
        <v>5275</v>
      </c>
      <c r="B128" s="19" t="s">
        <v>5276</v>
      </c>
      <c r="C128" s="19" t="s">
        <v>90</v>
      </c>
      <c r="D128" s="19" t="s">
        <v>84</v>
      </c>
      <c r="E128" s="19" t="str">
        <f t="shared" si="2"/>
        <v>Hr</v>
      </c>
      <c r="F128" s="19" t="s">
        <v>5019</v>
      </c>
      <c r="G128" s="19" t="str">
        <f t="shared" si="3"/>
        <v>Linkedin</v>
      </c>
      <c r="H128" s="19">
        <v>9.4</v>
      </c>
      <c r="I128" s="19">
        <v>4.5999999999999996</v>
      </c>
      <c r="J128" s="19">
        <v>7</v>
      </c>
      <c r="K128" s="19">
        <v>113288</v>
      </c>
      <c r="L128" s="19">
        <v>125594</v>
      </c>
      <c r="M128" s="19" t="s">
        <v>5035</v>
      </c>
      <c r="N128" s="40" t="s">
        <v>5113</v>
      </c>
      <c r="O128" s="19" t="s">
        <v>70</v>
      </c>
      <c r="P128" s="19">
        <v>13.6</v>
      </c>
      <c r="R128" s="34"/>
    </row>
    <row r="129" spans="1:18">
      <c r="A129" s="18" t="s">
        <v>5277</v>
      </c>
      <c r="B129" s="18" t="s">
        <v>404</v>
      </c>
      <c r="C129" s="18" t="s">
        <v>98</v>
      </c>
      <c r="D129" s="18" t="s">
        <v>39</v>
      </c>
      <c r="E129" s="19" t="str">
        <f t="shared" si="2"/>
        <v>Engineering</v>
      </c>
      <c r="F129" s="18" t="s">
        <v>5025</v>
      </c>
      <c r="G129" s="19" t="str">
        <f t="shared" si="3"/>
        <v>Campus</v>
      </c>
      <c r="H129" s="18">
        <v>7</v>
      </c>
      <c r="I129" s="18">
        <v>4.3</v>
      </c>
      <c r="J129" s="18">
        <v>5.7</v>
      </c>
      <c r="K129" s="18">
        <v>106072</v>
      </c>
      <c r="L129" s="18">
        <v>96107</v>
      </c>
      <c r="M129" s="18" t="s">
        <v>5045</v>
      </c>
      <c r="N129" s="41" t="s">
        <v>5278</v>
      </c>
      <c r="O129" s="18" t="s">
        <v>46</v>
      </c>
      <c r="P129" s="18">
        <v>8.8000000000000007</v>
      </c>
      <c r="R129" s="34"/>
    </row>
    <row r="130" spans="1:18">
      <c r="A130" s="19" t="s">
        <v>5279</v>
      </c>
      <c r="B130" s="19" t="s">
        <v>5280</v>
      </c>
      <c r="C130" s="19" t="s">
        <v>25</v>
      </c>
      <c r="D130" s="19" t="s">
        <v>118</v>
      </c>
      <c r="E130" s="19" t="str">
        <f t="shared" si="2"/>
        <v>Marketing</v>
      </c>
      <c r="F130" s="19" t="s">
        <v>5051</v>
      </c>
      <c r="G130" s="19" t="str">
        <f t="shared" si="3"/>
        <v>Naukri</v>
      </c>
      <c r="H130" s="19">
        <v>9.1999999999999993</v>
      </c>
      <c r="I130" s="19">
        <v>6.1</v>
      </c>
      <c r="J130" s="19">
        <v>7.6</v>
      </c>
      <c r="K130" s="19">
        <v>184551</v>
      </c>
      <c r="L130" s="19">
        <v>169486</v>
      </c>
      <c r="M130" s="19" t="s">
        <v>5020</v>
      </c>
      <c r="N130" s="40" t="s">
        <v>1713</v>
      </c>
      <c r="O130" s="19" t="s">
        <v>46</v>
      </c>
      <c r="P130" s="19">
        <v>6.8</v>
      </c>
      <c r="R130" s="34"/>
    </row>
    <row r="131" spans="1:18">
      <c r="A131" s="18" t="s">
        <v>5281</v>
      </c>
      <c r="B131" s="18" t="s">
        <v>435</v>
      </c>
      <c r="C131" s="18" t="s">
        <v>25</v>
      </c>
      <c r="D131" s="18" t="s">
        <v>84</v>
      </c>
      <c r="E131" s="19" t="str">
        <f t="shared" ref="E131:E194" si="4">PROPER(D131)</f>
        <v>Hr</v>
      </c>
      <c r="F131" s="18" t="s">
        <v>5077</v>
      </c>
      <c r="G131" s="19" t="str">
        <f t="shared" ref="G131:G194" si="5">PROPER(F131)</f>
        <v>Referral</v>
      </c>
      <c r="H131" s="18">
        <v>3.4</v>
      </c>
      <c r="I131" s="18">
        <v>5</v>
      </c>
      <c r="J131" s="18">
        <v>4.2</v>
      </c>
      <c r="K131" s="18"/>
      <c r="L131" s="18"/>
      <c r="M131" s="18" t="s">
        <v>5035</v>
      </c>
      <c r="N131" s="41" t="s">
        <v>5282</v>
      </c>
      <c r="O131" s="18" t="s">
        <v>26</v>
      </c>
      <c r="P131" s="18">
        <v>8.3000000000000007</v>
      </c>
      <c r="R131" s="34"/>
    </row>
    <row r="132" spans="1:18">
      <c r="A132" s="19" t="s">
        <v>5283</v>
      </c>
      <c r="B132" s="19" t="s">
        <v>148</v>
      </c>
      <c r="C132" s="19" t="s">
        <v>79</v>
      </c>
      <c r="D132" s="19" t="s">
        <v>118</v>
      </c>
      <c r="E132" s="19" t="str">
        <f t="shared" si="4"/>
        <v>Marketing</v>
      </c>
      <c r="F132" s="19" t="s">
        <v>5051</v>
      </c>
      <c r="G132" s="19" t="str">
        <f t="shared" si="5"/>
        <v>Naukri</v>
      </c>
      <c r="H132" s="19">
        <v>4.5999999999999996</v>
      </c>
      <c r="I132" s="19">
        <v>7</v>
      </c>
      <c r="J132" s="19">
        <v>5.8</v>
      </c>
      <c r="K132" s="19">
        <v>116465</v>
      </c>
      <c r="L132" s="19">
        <v>107912</v>
      </c>
      <c r="M132" s="19" t="s">
        <v>5020</v>
      </c>
      <c r="N132" s="40" t="s">
        <v>5284</v>
      </c>
      <c r="O132" s="19" t="s">
        <v>149</v>
      </c>
      <c r="P132" s="19">
        <v>14.8</v>
      </c>
      <c r="R132" s="34"/>
    </row>
    <row r="133" spans="1:18">
      <c r="A133" s="18" t="s">
        <v>5285</v>
      </c>
      <c r="B133" s="18" t="s">
        <v>203</v>
      </c>
      <c r="C133" s="18" t="s">
        <v>105</v>
      </c>
      <c r="D133" s="18" t="s">
        <v>16</v>
      </c>
      <c r="E133" s="19" t="str">
        <f t="shared" si="4"/>
        <v>Devops</v>
      </c>
      <c r="F133" s="18" t="s">
        <v>5025</v>
      </c>
      <c r="G133" s="19" t="str">
        <f t="shared" si="5"/>
        <v>Campus</v>
      </c>
      <c r="H133" s="18">
        <v>8.8000000000000007</v>
      </c>
      <c r="I133" s="18">
        <v>7.1</v>
      </c>
      <c r="J133" s="18">
        <v>8</v>
      </c>
      <c r="K133" s="18">
        <v>45681</v>
      </c>
      <c r="L133" s="18">
        <v>45296</v>
      </c>
      <c r="M133" s="18" t="s">
        <v>5035</v>
      </c>
      <c r="N133" s="41" t="s">
        <v>5286</v>
      </c>
      <c r="O133" s="18" t="s">
        <v>214</v>
      </c>
      <c r="P133" s="18">
        <v>14</v>
      </c>
      <c r="R133" s="34"/>
    </row>
    <row r="134" spans="1:18">
      <c r="A134" s="19" t="s">
        <v>5287</v>
      </c>
      <c r="B134" s="19" t="s">
        <v>1041</v>
      </c>
      <c r="C134" s="19" t="s">
        <v>225</v>
      </c>
      <c r="D134" s="19" t="s">
        <v>16</v>
      </c>
      <c r="E134" s="19" t="str">
        <f t="shared" si="4"/>
        <v>Devops</v>
      </c>
      <c r="F134" s="19" t="s">
        <v>5025</v>
      </c>
      <c r="G134" s="19" t="str">
        <f t="shared" si="5"/>
        <v>Campus</v>
      </c>
      <c r="H134" s="19">
        <v>7.7</v>
      </c>
      <c r="I134" s="19">
        <v>3.2</v>
      </c>
      <c r="J134" s="19">
        <v>5.5</v>
      </c>
      <c r="K134" s="19">
        <v>125751</v>
      </c>
      <c r="L134" s="19"/>
      <c r="M134" s="19" t="s">
        <v>5045</v>
      </c>
      <c r="N134" s="40" t="s">
        <v>2018</v>
      </c>
      <c r="O134" s="19" t="s">
        <v>46</v>
      </c>
      <c r="P134" s="19">
        <v>7.2</v>
      </c>
      <c r="R134" s="34"/>
    </row>
    <row r="135" spans="1:18">
      <c r="A135" s="18" t="s">
        <v>5288</v>
      </c>
      <c r="B135" s="18" t="s">
        <v>1128</v>
      </c>
      <c r="C135" s="18" t="s">
        <v>98</v>
      </c>
      <c r="D135" s="18" t="s">
        <v>39</v>
      </c>
      <c r="E135" s="19" t="str">
        <f t="shared" si="4"/>
        <v>Engineering</v>
      </c>
      <c r="F135" s="18" t="s">
        <v>5060</v>
      </c>
      <c r="G135" s="19" t="str">
        <f t="shared" si="5"/>
        <v>Naukri</v>
      </c>
      <c r="H135" s="18">
        <v>5.6</v>
      </c>
      <c r="I135" s="18">
        <v>8.9</v>
      </c>
      <c r="J135" s="18">
        <v>7.2</v>
      </c>
      <c r="K135" s="18">
        <v>158305</v>
      </c>
      <c r="L135" s="18">
        <v>137677</v>
      </c>
      <c r="M135" s="18" t="s">
        <v>5028</v>
      </c>
      <c r="N135" s="41" t="s">
        <v>5289</v>
      </c>
      <c r="O135" s="18" t="s">
        <v>75</v>
      </c>
      <c r="P135" s="18">
        <v>14.3</v>
      </c>
      <c r="R135" s="34"/>
    </row>
    <row r="136" spans="1:18">
      <c r="A136" s="19" t="s">
        <v>5290</v>
      </c>
      <c r="B136" s="19" t="s">
        <v>196</v>
      </c>
      <c r="C136" s="19" t="s">
        <v>225</v>
      </c>
      <c r="D136" s="19" t="s">
        <v>63</v>
      </c>
      <c r="E136" s="19" t="str">
        <f t="shared" si="4"/>
        <v>Product</v>
      </c>
      <c r="F136" s="19" t="s">
        <v>5031</v>
      </c>
      <c r="G136" s="19" t="str">
        <f t="shared" si="5"/>
        <v>Walk-In</v>
      </c>
      <c r="H136" s="19">
        <v>3.9</v>
      </c>
      <c r="I136" s="19">
        <v>4.8</v>
      </c>
      <c r="J136" s="19">
        <v>4.3</v>
      </c>
      <c r="K136" s="19">
        <v>190181</v>
      </c>
      <c r="L136" s="19">
        <v>173360</v>
      </c>
      <c r="M136" s="19" t="s">
        <v>5017</v>
      </c>
      <c r="N136" s="40" t="s">
        <v>1683</v>
      </c>
      <c r="O136" s="19" t="s">
        <v>70</v>
      </c>
      <c r="P136" s="19">
        <v>5.9</v>
      </c>
      <c r="R136" s="34"/>
    </row>
    <row r="137" spans="1:18">
      <c r="A137" s="18" t="s">
        <v>5291</v>
      </c>
      <c r="B137" s="18" t="s">
        <v>5292</v>
      </c>
      <c r="C137" s="18" t="s">
        <v>138</v>
      </c>
      <c r="D137" s="18" t="s">
        <v>133</v>
      </c>
      <c r="E137" s="19" t="str">
        <f t="shared" si="4"/>
        <v>Qa</v>
      </c>
      <c r="F137" s="18" t="s">
        <v>5019</v>
      </c>
      <c r="G137" s="19" t="str">
        <f t="shared" si="5"/>
        <v>Linkedin</v>
      </c>
      <c r="H137" s="18">
        <v>7.2</v>
      </c>
      <c r="I137" s="18">
        <v>3.7</v>
      </c>
      <c r="J137" s="18">
        <v>5.5</v>
      </c>
      <c r="K137" s="18">
        <v>37281</v>
      </c>
      <c r="L137" s="18"/>
      <c r="M137" s="18" t="s">
        <v>5028</v>
      </c>
      <c r="N137" s="41" t="s">
        <v>5293</v>
      </c>
      <c r="O137" s="18" t="s">
        <v>214</v>
      </c>
      <c r="P137" s="18">
        <v>4.5</v>
      </c>
      <c r="R137" s="34"/>
    </row>
    <row r="138" spans="1:18">
      <c r="A138" s="19" t="s">
        <v>5294</v>
      </c>
      <c r="B138" s="19" t="s">
        <v>865</v>
      </c>
      <c r="C138" s="19" t="s">
        <v>105</v>
      </c>
      <c r="D138" s="19" t="s">
        <v>118</v>
      </c>
      <c r="E138" s="19" t="str">
        <f t="shared" si="4"/>
        <v>Marketing</v>
      </c>
      <c r="F138" s="19" t="s">
        <v>5023</v>
      </c>
      <c r="G138" s="19" t="str">
        <f t="shared" si="5"/>
        <v>Linkedin</v>
      </c>
      <c r="H138" s="19">
        <v>8.8000000000000007</v>
      </c>
      <c r="I138" s="19">
        <v>6.9</v>
      </c>
      <c r="J138" s="19">
        <v>7.9</v>
      </c>
      <c r="K138" s="19">
        <v>100742</v>
      </c>
      <c r="L138" s="19"/>
      <c r="M138" s="19" t="s">
        <v>5017</v>
      </c>
      <c r="N138" s="40" t="s">
        <v>5295</v>
      </c>
      <c r="O138" s="19" t="s">
        <v>214</v>
      </c>
      <c r="P138" s="19">
        <v>13</v>
      </c>
      <c r="R138" s="34"/>
    </row>
    <row r="139" spans="1:18">
      <c r="A139" s="18" t="s">
        <v>5296</v>
      </c>
      <c r="B139" s="18" t="s">
        <v>739</v>
      </c>
      <c r="C139" s="18" t="s">
        <v>5040</v>
      </c>
      <c r="D139" s="18" t="s">
        <v>176</v>
      </c>
      <c r="E139" s="19" t="str">
        <f t="shared" si="4"/>
        <v>Finance</v>
      </c>
      <c r="F139" s="18" t="s">
        <v>5051</v>
      </c>
      <c r="G139" s="19" t="str">
        <f t="shared" si="5"/>
        <v>Naukri</v>
      </c>
      <c r="H139" s="18">
        <v>8.6</v>
      </c>
      <c r="I139" s="18">
        <v>5.6</v>
      </c>
      <c r="J139" s="18">
        <v>7.1</v>
      </c>
      <c r="K139" s="18">
        <v>43288</v>
      </c>
      <c r="L139" s="18">
        <v>37830</v>
      </c>
      <c r="M139" s="18" t="s">
        <v>5020</v>
      </c>
      <c r="N139" s="41" t="s">
        <v>1589</v>
      </c>
      <c r="O139" s="18" t="s">
        <v>32</v>
      </c>
      <c r="P139" s="18">
        <v>14.1</v>
      </c>
      <c r="R139" s="34"/>
    </row>
    <row r="140" spans="1:18">
      <c r="A140" s="19" t="s">
        <v>5297</v>
      </c>
      <c r="B140" s="19" t="s">
        <v>1344</v>
      </c>
      <c r="C140" s="19" t="s">
        <v>105</v>
      </c>
      <c r="D140" s="19" t="s">
        <v>176</v>
      </c>
      <c r="E140" s="19" t="str">
        <f t="shared" si="4"/>
        <v>Finance</v>
      </c>
      <c r="F140" s="19" t="s">
        <v>5060</v>
      </c>
      <c r="G140" s="19" t="str">
        <f t="shared" si="5"/>
        <v>Naukri</v>
      </c>
      <c r="H140" s="19">
        <v>10</v>
      </c>
      <c r="I140" s="19">
        <v>8.4</v>
      </c>
      <c r="J140" s="19">
        <v>9.1999999999999993</v>
      </c>
      <c r="K140" s="19">
        <v>56276</v>
      </c>
      <c r="L140" s="19">
        <v>59525</v>
      </c>
      <c r="M140" s="19" t="s">
        <v>5017</v>
      </c>
      <c r="N140" s="40" t="s">
        <v>5174</v>
      </c>
      <c r="O140" s="19" t="s">
        <v>32</v>
      </c>
      <c r="P140" s="19">
        <v>1.6</v>
      </c>
      <c r="R140" s="34"/>
    </row>
    <row r="141" spans="1:18">
      <c r="A141" s="18" t="s">
        <v>5298</v>
      </c>
      <c r="B141" s="18" t="s">
        <v>5299</v>
      </c>
      <c r="C141" s="18" t="s">
        <v>79</v>
      </c>
      <c r="D141" s="18" t="s">
        <v>84</v>
      </c>
      <c r="E141" s="19" t="str">
        <f t="shared" si="4"/>
        <v>Hr</v>
      </c>
      <c r="F141" s="18" t="s">
        <v>5019</v>
      </c>
      <c r="G141" s="19" t="str">
        <f t="shared" si="5"/>
        <v>Linkedin</v>
      </c>
      <c r="H141" s="18">
        <v>9.3000000000000007</v>
      </c>
      <c r="I141" s="18">
        <v>7.2</v>
      </c>
      <c r="J141" s="18">
        <v>8.1999999999999993</v>
      </c>
      <c r="K141" s="18">
        <v>87811</v>
      </c>
      <c r="L141" s="18">
        <v>97621</v>
      </c>
      <c r="M141" s="18" t="s">
        <v>5035</v>
      </c>
      <c r="N141" s="41" t="s">
        <v>5300</v>
      </c>
      <c r="O141" s="18" t="s">
        <v>18</v>
      </c>
      <c r="P141" s="18">
        <v>10.6</v>
      </c>
      <c r="R141" s="34"/>
    </row>
    <row r="142" spans="1:18">
      <c r="A142" s="19" t="s">
        <v>5301</v>
      </c>
      <c r="B142" s="19" t="s">
        <v>5302</v>
      </c>
      <c r="C142" s="19" t="s">
        <v>79</v>
      </c>
      <c r="D142" s="19" t="s">
        <v>133</v>
      </c>
      <c r="E142" s="19" t="str">
        <f t="shared" si="4"/>
        <v>Qa</v>
      </c>
      <c r="F142" s="19" t="s">
        <v>5060</v>
      </c>
      <c r="G142" s="19" t="str">
        <f t="shared" si="5"/>
        <v>Naukri</v>
      </c>
      <c r="H142" s="19">
        <v>8.5</v>
      </c>
      <c r="I142" s="19">
        <v>9.1</v>
      </c>
      <c r="J142" s="19">
        <v>8.8000000000000007</v>
      </c>
      <c r="K142" s="19">
        <v>72810</v>
      </c>
      <c r="L142" s="19">
        <v>65414</v>
      </c>
      <c r="M142" s="19" t="s">
        <v>5045</v>
      </c>
      <c r="N142" s="40" t="s">
        <v>5303</v>
      </c>
      <c r="O142" s="19" t="s">
        <v>172</v>
      </c>
      <c r="P142" s="19">
        <v>9.1999999999999993</v>
      </c>
      <c r="R142" s="34"/>
    </row>
    <row r="143" spans="1:18">
      <c r="A143" s="18" t="s">
        <v>5304</v>
      </c>
      <c r="B143" s="18" t="s">
        <v>5305</v>
      </c>
      <c r="C143" s="18" t="s">
        <v>98</v>
      </c>
      <c r="D143" s="18" t="s">
        <v>89</v>
      </c>
      <c r="E143" s="19" t="str">
        <f t="shared" si="4"/>
        <v>Data Science</v>
      </c>
      <c r="F143" s="18" t="s">
        <v>5019</v>
      </c>
      <c r="G143" s="19" t="str">
        <f t="shared" si="5"/>
        <v>Linkedin</v>
      </c>
      <c r="H143" s="18">
        <v>6.4</v>
      </c>
      <c r="I143" s="18">
        <v>6.7</v>
      </c>
      <c r="J143" s="18">
        <v>6.6</v>
      </c>
      <c r="K143" s="18">
        <v>121538</v>
      </c>
      <c r="L143" s="18"/>
      <c r="M143" s="18" t="s">
        <v>5017</v>
      </c>
      <c r="N143" s="41" t="s">
        <v>2005</v>
      </c>
      <c r="O143" s="18" t="s">
        <v>53</v>
      </c>
      <c r="P143" s="18">
        <v>10.199999999999999</v>
      </c>
      <c r="R143" s="34"/>
    </row>
    <row r="144" spans="1:18">
      <c r="A144" s="19" t="s">
        <v>5306</v>
      </c>
      <c r="B144" s="19" t="s">
        <v>5307</v>
      </c>
      <c r="C144" s="19" t="s">
        <v>90</v>
      </c>
      <c r="D144" s="19" t="s">
        <v>89</v>
      </c>
      <c r="E144" s="19" t="str">
        <f t="shared" si="4"/>
        <v>Data Science</v>
      </c>
      <c r="F144" s="19" t="s">
        <v>5025</v>
      </c>
      <c r="G144" s="19" t="str">
        <f t="shared" si="5"/>
        <v>Campus</v>
      </c>
      <c r="H144" s="19">
        <v>9.3000000000000007</v>
      </c>
      <c r="I144" s="19">
        <v>8.1999999999999993</v>
      </c>
      <c r="J144" s="19">
        <v>8.8000000000000007</v>
      </c>
      <c r="K144" s="19">
        <v>87088</v>
      </c>
      <c r="L144" s="19"/>
      <c r="M144" s="19" t="s">
        <v>5035</v>
      </c>
      <c r="N144" s="40" t="s">
        <v>1272</v>
      </c>
      <c r="O144" s="19" t="s">
        <v>70</v>
      </c>
      <c r="P144" s="19">
        <v>4.5</v>
      </c>
      <c r="R144" s="34"/>
    </row>
    <row r="145" spans="1:18">
      <c r="A145" s="18" t="s">
        <v>5308</v>
      </c>
      <c r="B145" s="18" t="s">
        <v>1447</v>
      </c>
      <c r="C145" s="18" t="s">
        <v>90</v>
      </c>
      <c r="D145" s="18" t="s">
        <v>51</v>
      </c>
      <c r="E145" s="19" t="str">
        <f t="shared" si="4"/>
        <v>Sales</v>
      </c>
      <c r="F145" s="18" t="s">
        <v>5060</v>
      </c>
      <c r="G145" s="19" t="str">
        <f t="shared" si="5"/>
        <v>Naukri</v>
      </c>
      <c r="H145" s="18">
        <v>8.5</v>
      </c>
      <c r="I145" s="18">
        <v>6.5</v>
      </c>
      <c r="J145" s="18">
        <v>7.5</v>
      </c>
      <c r="K145" s="18">
        <v>168283</v>
      </c>
      <c r="L145" s="18">
        <v>151011</v>
      </c>
      <c r="M145" s="18" t="s">
        <v>5020</v>
      </c>
      <c r="N145" s="41" t="s">
        <v>5309</v>
      </c>
      <c r="O145" s="18" t="s">
        <v>149</v>
      </c>
      <c r="P145" s="18">
        <v>13.9</v>
      </c>
      <c r="R145" s="34"/>
    </row>
    <row r="146" spans="1:18">
      <c r="A146" s="19" t="s">
        <v>5310</v>
      </c>
      <c r="B146" s="19" t="s">
        <v>217</v>
      </c>
      <c r="C146" s="19" t="s">
        <v>5040</v>
      </c>
      <c r="D146" s="19" t="s">
        <v>176</v>
      </c>
      <c r="E146" s="19" t="str">
        <f t="shared" si="4"/>
        <v>Finance</v>
      </c>
      <c r="F146" s="19" t="s">
        <v>5016</v>
      </c>
      <c r="G146" s="19" t="str">
        <f t="shared" si="5"/>
        <v>Job Portal</v>
      </c>
      <c r="H146" s="19">
        <v>8.9</v>
      </c>
      <c r="I146" s="19">
        <v>8.1</v>
      </c>
      <c r="J146" s="19">
        <v>8.5</v>
      </c>
      <c r="K146" s="19">
        <v>96585</v>
      </c>
      <c r="L146" s="19">
        <v>109021</v>
      </c>
      <c r="M146" s="19" t="s">
        <v>5017</v>
      </c>
      <c r="N146" s="40" t="s">
        <v>5198</v>
      </c>
      <c r="O146" s="19" t="s">
        <v>65</v>
      </c>
      <c r="P146" s="19">
        <v>13</v>
      </c>
      <c r="R146" s="34"/>
    </row>
    <row r="147" spans="1:18">
      <c r="A147" s="18" t="s">
        <v>5311</v>
      </c>
      <c r="B147" s="18" t="s">
        <v>579</v>
      </c>
      <c r="C147" s="18" t="s">
        <v>335</v>
      </c>
      <c r="D147" s="18" t="s">
        <v>63</v>
      </c>
      <c r="E147" s="19" t="str">
        <f t="shared" si="4"/>
        <v>Product</v>
      </c>
      <c r="F147" s="18" t="s">
        <v>5060</v>
      </c>
      <c r="G147" s="19" t="str">
        <f t="shared" si="5"/>
        <v>Naukri</v>
      </c>
      <c r="H147" s="18">
        <v>7.2</v>
      </c>
      <c r="I147" s="18">
        <v>5.6</v>
      </c>
      <c r="J147" s="18">
        <v>6.4</v>
      </c>
      <c r="K147" s="18">
        <v>67947</v>
      </c>
      <c r="L147" s="18">
        <v>57764</v>
      </c>
      <c r="M147" s="18" t="s">
        <v>5045</v>
      </c>
      <c r="N147" s="41" t="s">
        <v>5312</v>
      </c>
      <c r="O147" s="18" t="s">
        <v>65</v>
      </c>
      <c r="P147" s="18">
        <v>9.1</v>
      </c>
      <c r="R147" s="34"/>
    </row>
    <row r="148" spans="1:18">
      <c r="A148" s="19" t="s">
        <v>5313</v>
      </c>
      <c r="B148" s="19" t="s">
        <v>5314</v>
      </c>
      <c r="C148" s="19" t="s">
        <v>153</v>
      </c>
      <c r="D148" s="19" t="s">
        <v>176</v>
      </c>
      <c r="E148" s="19" t="str">
        <f t="shared" si="4"/>
        <v>Finance</v>
      </c>
      <c r="F148" s="19" t="s">
        <v>5025</v>
      </c>
      <c r="G148" s="19" t="str">
        <f t="shared" si="5"/>
        <v>Campus</v>
      </c>
      <c r="H148" s="19">
        <v>4.5999999999999996</v>
      </c>
      <c r="I148" s="19">
        <v>9.6</v>
      </c>
      <c r="J148" s="19">
        <v>7.1</v>
      </c>
      <c r="K148" s="19">
        <v>25417</v>
      </c>
      <c r="L148" s="19"/>
      <c r="M148" s="19" t="s">
        <v>5028</v>
      </c>
      <c r="N148" s="40" t="s">
        <v>5315</v>
      </c>
      <c r="O148" s="19" t="s">
        <v>70</v>
      </c>
      <c r="P148" s="19">
        <v>2.1</v>
      </c>
      <c r="R148" s="34"/>
    </row>
    <row r="149" spans="1:18">
      <c r="A149" s="18" t="s">
        <v>5316</v>
      </c>
      <c r="B149" s="18" t="s">
        <v>5317</v>
      </c>
      <c r="C149" s="18" t="s">
        <v>79</v>
      </c>
      <c r="D149" s="18" t="s">
        <v>16</v>
      </c>
      <c r="E149" s="19" t="str">
        <f t="shared" si="4"/>
        <v>Devops</v>
      </c>
      <c r="F149" s="18" t="s">
        <v>5019</v>
      </c>
      <c r="G149" s="19" t="str">
        <f t="shared" si="5"/>
        <v>Linkedin</v>
      </c>
      <c r="H149" s="18">
        <v>8.6999999999999993</v>
      </c>
      <c r="I149" s="18">
        <v>7.4</v>
      </c>
      <c r="J149" s="18">
        <v>8.1</v>
      </c>
      <c r="K149" s="18">
        <v>81460</v>
      </c>
      <c r="L149" s="18">
        <v>73258</v>
      </c>
      <c r="M149" s="18" t="s">
        <v>5035</v>
      </c>
      <c r="N149" s="41" t="s">
        <v>5318</v>
      </c>
      <c r="O149" s="18" t="s">
        <v>18</v>
      </c>
      <c r="P149" s="18">
        <v>10.199999999999999</v>
      </c>
      <c r="R149" s="34"/>
    </row>
    <row r="150" spans="1:18">
      <c r="A150" s="19" t="s">
        <v>5319</v>
      </c>
      <c r="B150" s="19" t="s">
        <v>1587</v>
      </c>
      <c r="C150" s="19" t="s">
        <v>5040</v>
      </c>
      <c r="D150" s="19" t="s">
        <v>51</v>
      </c>
      <c r="E150" s="19" t="str">
        <f t="shared" si="4"/>
        <v>Sales</v>
      </c>
      <c r="F150" s="19" t="s">
        <v>5051</v>
      </c>
      <c r="G150" s="19" t="str">
        <f t="shared" si="5"/>
        <v>Naukri</v>
      </c>
      <c r="H150" s="19">
        <v>9.1999999999999993</v>
      </c>
      <c r="I150" s="19">
        <v>8.8000000000000007</v>
      </c>
      <c r="J150" s="19">
        <v>9</v>
      </c>
      <c r="K150" s="19">
        <v>151095</v>
      </c>
      <c r="L150" s="19">
        <v>171679</v>
      </c>
      <c r="M150" s="19" t="s">
        <v>5045</v>
      </c>
      <c r="N150" s="40" t="s">
        <v>5320</v>
      </c>
      <c r="O150" s="19" t="s">
        <v>75</v>
      </c>
      <c r="P150" s="19">
        <v>14.7</v>
      </c>
      <c r="R150" s="34"/>
    </row>
    <row r="151" spans="1:18">
      <c r="A151" s="18" t="s">
        <v>5321</v>
      </c>
      <c r="B151" s="18" t="s">
        <v>730</v>
      </c>
      <c r="C151" s="18" t="s">
        <v>5040</v>
      </c>
      <c r="D151" s="18" t="s">
        <v>39</v>
      </c>
      <c r="E151" s="19" t="str">
        <f t="shared" si="4"/>
        <v>Engineering</v>
      </c>
      <c r="F151" s="18" t="s">
        <v>5031</v>
      </c>
      <c r="G151" s="19" t="str">
        <f t="shared" si="5"/>
        <v>Walk-In</v>
      </c>
      <c r="H151" s="18">
        <v>3.5</v>
      </c>
      <c r="I151" s="18">
        <v>3.3</v>
      </c>
      <c r="J151" s="18">
        <v>3.4</v>
      </c>
      <c r="K151" s="18">
        <v>135933</v>
      </c>
      <c r="L151" s="18">
        <v>125384</v>
      </c>
      <c r="M151" s="18" t="s">
        <v>5020</v>
      </c>
      <c r="N151" s="41" t="s">
        <v>5322</v>
      </c>
      <c r="O151" s="18" t="s">
        <v>172</v>
      </c>
      <c r="P151" s="18">
        <v>7.9</v>
      </c>
      <c r="R151" s="34"/>
    </row>
    <row r="152" spans="1:18">
      <c r="A152" s="19" t="s">
        <v>5323</v>
      </c>
      <c r="B152" s="19" t="s">
        <v>440</v>
      </c>
      <c r="C152" s="19" t="s">
        <v>225</v>
      </c>
      <c r="D152" s="19" t="s">
        <v>133</v>
      </c>
      <c r="E152" s="19" t="str">
        <f t="shared" si="4"/>
        <v>Qa</v>
      </c>
      <c r="F152" s="19" t="s">
        <v>5023</v>
      </c>
      <c r="G152" s="19" t="str">
        <f t="shared" si="5"/>
        <v>Linkedin</v>
      </c>
      <c r="H152" s="19">
        <v>4.2</v>
      </c>
      <c r="I152" s="19">
        <v>5.5</v>
      </c>
      <c r="J152" s="19">
        <v>4.8</v>
      </c>
      <c r="K152" s="19">
        <v>174309</v>
      </c>
      <c r="L152" s="19">
        <v>191122</v>
      </c>
      <c r="M152" s="19" t="s">
        <v>5035</v>
      </c>
      <c r="N152" s="40" t="s">
        <v>5324</v>
      </c>
      <c r="O152" s="19" t="s">
        <v>18</v>
      </c>
      <c r="P152" s="19">
        <v>12.5</v>
      </c>
      <c r="R152" s="34"/>
    </row>
    <row r="153" spans="1:18">
      <c r="A153" s="18" t="s">
        <v>5325</v>
      </c>
      <c r="B153" s="18" t="s">
        <v>1518</v>
      </c>
      <c r="C153" s="18" t="s">
        <v>335</v>
      </c>
      <c r="D153" s="18" t="s">
        <v>24</v>
      </c>
      <c r="E153" s="19" t="str">
        <f t="shared" si="4"/>
        <v>Design</v>
      </c>
      <c r="F153" s="18" t="s">
        <v>5077</v>
      </c>
      <c r="G153" s="19" t="str">
        <f t="shared" si="5"/>
        <v>Referral</v>
      </c>
      <c r="H153" s="18">
        <v>8.1</v>
      </c>
      <c r="I153" s="18">
        <v>7.4</v>
      </c>
      <c r="J153" s="18">
        <v>7.8</v>
      </c>
      <c r="K153" s="18">
        <v>138371</v>
      </c>
      <c r="L153" s="18">
        <v>122000</v>
      </c>
      <c r="M153" s="18" t="s">
        <v>5028</v>
      </c>
      <c r="N153" s="41" t="s">
        <v>5326</v>
      </c>
      <c r="O153" s="18" t="s">
        <v>114</v>
      </c>
      <c r="P153" s="18">
        <v>8.8000000000000007</v>
      </c>
      <c r="R153" s="34"/>
    </row>
    <row r="154" spans="1:18">
      <c r="A154" s="19" t="s">
        <v>5327</v>
      </c>
      <c r="B154" s="19" t="s">
        <v>1153</v>
      </c>
      <c r="C154" s="19" t="s">
        <v>90</v>
      </c>
      <c r="D154" s="19" t="s">
        <v>39</v>
      </c>
      <c r="E154" s="19" t="str">
        <f t="shared" si="4"/>
        <v>Engineering</v>
      </c>
      <c r="F154" s="19" t="s">
        <v>5077</v>
      </c>
      <c r="G154" s="19" t="str">
        <f t="shared" si="5"/>
        <v>Referral</v>
      </c>
      <c r="H154" s="19">
        <v>7.3</v>
      </c>
      <c r="I154" s="19">
        <v>7.5</v>
      </c>
      <c r="J154" s="19">
        <v>7.4</v>
      </c>
      <c r="K154" s="19">
        <v>35759</v>
      </c>
      <c r="L154" s="19">
        <v>39699</v>
      </c>
      <c r="M154" s="19" t="s">
        <v>5028</v>
      </c>
      <c r="N154" s="40" t="s">
        <v>948</v>
      </c>
      <c r="O154" s="19" t="s">
        <v>32</v>
      </c>
      <c r="P154" s="19">
        <v>1.2</v>
      </c>
      <c r="R154" s="34"/>
    </row>
    <row r="155" spans="1:18">
      <c r="A155" s="18" t="s">
        <v>5328</v>
      </c>
      <c r="B155" s="18" t="s">
        <v>1391</v>
      </c>
      <c r="C155" s="18" t="s">
        <v>335</v>
      </c>
      <c r="D155" s="18" t="s">
        <v>39</v>
      </c>
      <c r="E155" s="19" t="str">
        <f t="shared" si="4"/>
        <v>Engineering</v>
      </c>
      <c r="F155" s="18" t="s">
        <v>5016</v>
      </c>
      <c r="G155" s="19" t="str">
        <f t="shared" si="5"/>
        <v>Job Portal</v>
      </c>
      <c r="H155" s="18">
        <v>8.1999999999999993</v>
      </c>
      <c r="I155" s="18">
        <v>6.2</v>
      </c>
      <c r="J155" s="18">
        <v>7.2</v>
      </c>
      <c r="K155" s="18">
        <v>190853</v>
      </c>
      <c r="L155" s="18">
        <v>203800</v>
      </c>
      <c r="M155" s="18" t="s">
        <v>5035</v>
      </c>
      <c r="N155" s="41" t="s">
        <v>5329</v>
      </c>
      <c r="O155" s="18" t="s">
        <v>32</v>
      </c>
      <c r="P155" s="18">
        <v>6.1</v>
      </c>
      <c r="R155" s="34"/>
    </row>
    <row r="156" spans="1:18">
      <c r="A156" s="19" t="s">
        <v>5330</v>
      </c>
      <c r="B156" s="19" t="s">
        <v>334</v>
      </c>
      <c r="C156" s="19" t="s">
        <v>5040</v>
      </c>
      <c r="D156" s="19" t="s">
        <v>16</v>
      </c>
      <c r="E156" s="19" t="str">
        <f t="shared" si="4"/>
        <v>Devops</v>
      </c>
      <c r="F156" s="19" t="s">
        <v>5031</v>
      </c>
      <c r="G156" s="19" t="str">
        <f t="shared" si="5"/>
        <v>Walk-In</v>
      </c>
      <c r="H156" s="19">
        <v>8.9</v>
      </c>
      <c r="I156" s="19">
        <v>8.9</v>
      </c>
      <c r="J156" s="19">
        <v>8.9</v>
      </c>
      <c r="K156" s="19">
        <v>57397</v>
      </c>
      <c r="L156" s="19"/>
      <c r="M156" s="19" t="s">
        <v>5020</v>
      </c>
      <c r="N156" s="40" t="s">
        <v>1683</v>
      </c>
      <c r="O156" s="19" t="s">
        <v>149</v>
      </c>
      <c r="P156" s="19">
        <v>11.1</v>
      </c>
      <c r="R156" s="34"/>
    </row>
    <row r="157" spans="1:18">
      <c r="A157" s="18" t="s">
        <v>5331</v>
      </c>
      <c r="B157" s="18" t="s">
        <v>5332</v>
      </c>
      <c r="C157" s="18" t="s">
        <v>25</v>
      </c>
      <c r="D157" s="18" t="s">
        <v>16</v>
      </c>
      <c r="E157" s="19" t="str">
        <f t="shared" si="4"/>
        <v>Devops</v>
      </c>
      <c r="F157" s="18" t="s">
        <v>5025</v>
      </c>
      <c r="G157" s="19" t="str">
        <f t="shared" si="5"/>
        <v>Campus</v>
      </c>
      <c r="H157" s="18">
        <v>7.6</v>
      </c>
      <c r="I157" s="18">
        <v>8.1999999999999993</v>
      </c>
      <c r="J157" s="18">
        <v>7.9</v>
      </c>
      <c r="K157" s="18"/>
      <c r="L157" s="18">
        <v>190417</v>
      </c>
      <c r="M157" s="18" t="s">
        <v>5028</v>
      </c>
      <c r="N157" s="41" t="s">
        <v>5333</v>
      </c>
      <c r="O157" s="18" t="s">
        <v>172</v>
      </c>
      <c r="P157" s="18">
        <v>9.1</v>
      </c>
      <c r="R157" s="34"/>
    </row>
    <row r="158" spans="1:18">
      <c r="A158" s="19" t="s">
        <v>5334</v>
      </c>
      <c r="B158" s="19" t="s">
        <v>175</v>
      </c>
      <c r="C158" s="19" t="s">
        <v>90</v>
      </c>
      <c r="D158" s="19" t="s">
        <v>16</v>
      </c>
      <c r="E158" s="19" t="str">
        <f t="shared" si="4"/>
        <v>Devops</v>
      </c>
      <c r="F158" s="19" t="s">
        <v>5031</v>
      </c>
      <c r="G158" s="19" t="str">
        <f t="shared" si="5"/>
        <v>Walk-In</v>
      </c>
      <c r="H158" s="19">
        <v>6.4</v>
      </c>
      <c r="I158" s="19">
        <v>3.7</v>
      </c>
      <c r="J158" s="19">
        <v>5.0999999999999996</v>
      </c>
      <c r="K158" s="19">
        <v>109108</v>
      </c>
      <c r="L158" s="19">
        <v>95940</v>
      </c>
      <c r="M158" s="19" t="s">
        <v>5045</v>
      </c>
      <c r="N158" s="40" t="s">
        <v>1703</v>
      </c>
      <c r="O158" s="19" t="s">
        <v>18</v>
      </c>
      <c r="P158" s="19">
        <v>12.5</v>
      </c>
      <c r="R158" s="34"/>
    </row>
    <row r="159" spans="1:18">
      <c r="A159" s="18" t="s">
        <v>5335</v>
      </c>
      <c r="B159" s="18" t="s">
        <v>476</v>
      </c>
      <c r="C159" s="18" t="s">
        <v>98</v>
      </c>
      <c r="D159" s="18" t="s">
        <v>39</v>
      </c>
      <c r="E159" s="19" t="str">
        <f t="shared" si="4"/>
        <v>Engineering</v>
      </c>
      <c r="F159" s="18" t="s">
        <v>5016</v>
      </c>
      <c r="G159" s="19" t="str">
        <f t="shared" si="5"/>
        <v>Job Portal</v>
      </c>
      <c r="H159" s="18">
        <v>4.5999999999999996</v>
      </c>
      <c r="I159" s="18">
        <v>4.4000000000000004</v>
      </c>
      <c r="J159" s="18">
        <v>4.5</v>
      </c>
      <c r="K159" s="18">
        <v>186548</v>
      </c>
      <c r="L159" s="18">
        <v>163103</v>
      </c>
      <c r="M159" s="18" t="s">
        <v>5035</v>
      </c>
      <c r="N159" s="41" t="s">
        <v>1889</v>
      </c>
      <c r="O159" s="18" t="s">
        <v>149</v>
      </c>
      <c r="P159" s="18">
        <v>13</v>
      </c>
      <c r="R159" s="34"/>
    </row>
    <row r="160" spans="1:18">
      <c r="A160" s="19" t="s">
        <v>5336</v>
      </c>
      <c r="B160" s="19" t="s">
        <v>300</v>
      </c>
      <c r="C160" s="19" t="s">
        <v>153</v>
      </c>
      <c r="D160" s="19" t="s">
        <v>16</v>
      </c>
      <c r="E160" s="19" t="str">
        <f t="shared" si="4"/>
        <v>Devops</v>
      </c>
      <c r="F160" s="19" t="s">
        <v>5077</v>
      </c>
      <c r="G160" s="19" t="str">
        <f t="shared" si="5"/>
        <v>Referral</v>
      </c>
      <c r="H160" s="19">
        <v>9.1999999999999993</v>
      </c>
      <c r="I160" s="19">
        <v>8.3000000000000007</v>
      </c>
      <c r="J160" s="19">
        <v>8.8000000000000007</v>
      </c>
      <c r="K160" s="19">
        <v>92818</v>
      </c>
      <c r="L160" s="19"/>
      <c r="M160" s="19" t="s">
        <v>5028</v>
      </c>
      <c r="N160" s="40" t="s">
        <v>1970</v>
      </c>
      <c r="O160" s="19" t="s">
        <v>75</v>
      </c>
      <c r="P160" s="19">
        <v>11.8</v>
      </c>
      <c r="R160" s="34"/>
    </row>
    <row r="161" spans="1:18">
      <c r="A161" s="18" t="s">
        <v>5337</v>
      </c>
      <c r="B161" s="18" t="s">
        <v>5338</v>
      </c>
      <c r="C161" s="18" t="s">
        <v>105</v>
      </c>
      <c r="D161" s="18" t="s">
        <v>133</v>
      </c>
      <c r="E161" s="19" t="str">
        <f t="shared" si="4"/>
        <v>Qa</v>
      </c>
      <c r="F161" s="18" t="s">
        <v>5077</v>
      </c>
      <c r="G161" s="19" t="str">
        <f t="shared" si="5"/>
        <v>Referral</v>
      </c>
      <c r="H161" s="18">
        <v>7.2</v>
      </c>
      <c r="I161" s="18">
        <v>3.7</v>
      </c>
      <c r="J161" s="18">
        <v>5.5</v>
      </c>
      <c r="K161" s="18">
        <v>38221</v>
      </c>
      <c r="L161" s="18"/>
      <c r="M161" s="18" t="s">
        <v>5017</v>
      </c>
      <c r="N161" s="41" t="s">
        <v>5339</v>
      </c>
      <c r="O161" s="18" t="s">
        <v>75</v>
      </c>
      <c r="P161" s="18">
        <v>1.3</v>
      </c>
      <c r="R161" s="34"/>
    </row>
    <row r="162" spans="1:18">
      <c r="A162" s="19" t="s">
        <v>5340</v>
      </c>
      <c r="B162" s="19" t="s">
        <v>5341</v>
      </c>
      <c r="C162" s="19" t="s">
        <v>25</v>
      </c>
      <c r="D162" s="19" t="s">
        <v>24</v>
      </c>
      <c r="E162" s="19" t="str">
        <f t="shared" si="4"/>
        <v>Design</v>
      </c>
      <c r="F162" s="19" t="s">
        <v>5023</v>
      </c>
      <c r="G162" s="19" t="str">
        <f t="shared" si="5"/>
        <v>Linkedin</v>
      </c>
      <c r="H162" s="19"/>
      <c r="I162" s="19">
        <v>6.9</v>
      </c>
      <c r="J162" s="19"/>
      <c r="K162" s="19">
        <v>68751</v>
      </c>
      <c r="L162" s="19"/>
      <c r="M162" s="19" t="s">
        <v>5017</v>
      </c>
      <c r="N162" s="40" t="s">
        <v>5342</v>
      </c>
      <c r="O162" s="19" t="s">
        <v>46</v>
      </c>
      <c r="P162" s="19">
        <v>10.7</v>
      </c>
      <c r="R162" s="34"/>
    </row>
    <row r="163" spans="1:18">
      <c r="A163" s="18" t="s">
        <v>5343</v>
      </c>
      <c r="B163" s="18" t="s">
        <v>5344</v>
      </c>
      <c r="C163" s="18" t="s">
        <v>138</v>
      </c>
      <c r="D163" s="18" t="s">
        <v>24</v>
      </c>
      <c r="E163" s="19" t="str">
        <f t="shared" si="4"/>
        <v>Design</v>
      </c>
      <c r="F163" s="18" t="s">
        <v>5023</v>
      </c>
      <c r="G163" s="19" t="str">
        <f t="shared" si="5"/>
        <v>Linkedin</v>
      </c>
      <c r="H163" s="18">
        <v>8.3000000000000007</v>
      </c>
      <c r="I163" s="18">
        <v>5</v>
      </c>
      <c r="J163" s="18">
        <v>6.7</v>
      </c>
      <c r="K163" s="18">
        <v>28172</v>
      </c>
      <c r="L163" s="18"/>
      <c r="M163" s="18" t="s">
        <v>5017</v>
      </c>
      <c r="N163" s="41" t="s">
        <v>5345</v>
      </c>
      <c r="O163" s="18" t="s">
        <v>70</v>
      </c>
      <c r="P163" s="18">
        <v>9.4</v>
      </c>
      <c r="R163" s="34"/>
    </row>
    <row r="164" spans="1:18">
      <c r="A164" s="19" t="s">
        <v>5346</v>
      </c>
      <c r="B164" s="19" t="s">
        <v>180</v>
      </c>
      <c r="C164" s="19" t="s">
        <v>138</v>
      </c>
      <c r="D164" s="19" t="s">
        <v>39</v>
      </c>
      <c r="E164" s="19" t="str">
        <f t="shared" si="4"/>
        <v>Engineering</v>
      </c>
      <c r="F164" s="19" t="s">
        <v>5060</v>
      </c>
      <c r="G164" s="19" t="str">
        <f t="shared" si="5"/>
        <v>Naukri</v>
      </c>
      <c r="H164" s="19">
        <v>7.2</v>
      </c>
      <c r="I164" s="19">
        <v>4.2</v>
      </c>
      <c r="J164" s="19">
        <v>5.7</v>
      </c>
      <c r="K164" s="19">
        <v>37684</v>
      </c>
      <c r="L164" s="19">
        <v>37221</v>
      </c>
      <c r="M164" s="19" t="s">
        <v>5035</v>
      </c>
      <c r="N164" s="40" t="s">
        <v>5347</v>
      </c>
      <c r="O164" s="19" t="s">
        <v>65</v>
      </c>
      <c r="P164" s="19">
        <v>4.9000000000000004</v>
      </c>
      <c r="R164" s="34"/>
    </row>
    <row r="165" spans="1:18">
      <c r="A165" s="18" t="s">
        <v>5348</v>
      </c>
      <c r="B165" s="18" t="s">
        <v>5091</v>
      </c>
      <c r="C165" s="18" t="s">
        <v>5040</v>
      </c>
      <c r="D165" s="18" t="s">
        <v>16</v>
      </c>
      <c r="E165" s="19" t="str">
        <f t="shared" si="4"/>
        <v>Devops</v>
      </c>
      <c r="F165" s="18" t="s">
        <v>5016</v>
      </c>
      <c r="G165" s="19" t="str">
        <f t="shared" si="5"/>
        <v>Job Portal</v>
      </c>
      <c r="H165" s="18">
        <v>10</v>
      </c>
      <c r="I165" s="18">
        <v>6.8</v>
      </c>
      <c r="J165" s="18">
        <v>8.4</v>
      </c>
      <c r="K165" s="18">
        <v>84702</v>
      </c>
      <c r="L165" s="18">
        <v>85009</v>
      </c>
      <c r="M165" s="18" t="s">
        <v>5035</v>
      </c>
      <c r="N165" s="41" t="s">
        <v>5078</v>
      </c>
      <c r="O165" s="18" t="s">
        <v>172</v>
      </c>
      <c r="P165" s="18">
        <v>10.199999999999999</v>
      </c>
      <c r="R165" s="34"/>
    </row>
    <row r="166" spans="1:18">
      <c r="A166" s="19" t="s">
        <v>5349</v>
      </c>
      <c r="B166" s="19" t="s">
        <v>1566</v>
      </c>
      <c r="C166" s="19" t="s">
        <v>335</v>
      </c>
      <c r="D166" s="19" t="s">
        <v>39</v>
      </c>
      <c r="E166" s="19" t="str">
        <f t="shared" si="4"/>
        <v>Engineering</v>
      </c>
      <c r="F166" s="19" t="s">
        <v>5060</v>
      </c>
      <c r="G166" s="19" t="str">
        <f t="shared" si="5"/>
        <v>Naukri</v>
      </c>
      <c r="H166" s="19">
        <v>6.5</v>
      </c>
      <c r="I166" s="19">
        <v>5.7</v>
      </c>
      <c r="J166" s="19">
        <v>6.1</v>
      </c>
      <c r="K166" s="19">
        <v>32365</v>
      </c>
      <c r="L166" s="19">
        <v>29977</v>
      </c>
      <c r="M166" s="19" t="s">
        <v>5045</v>
      </c>
      <c r="N166" s="40" t="s">
        <v>1731</v>
      </c>
      <c r="O166" s="19" t="s">
        <v>65</v>
      </c>
      <c r="P166" s="19">
        <v>5.7</v>
      </c>
      <c r="R166" s="34"/>
    </row>
    <row r="167" spans="1:18">
      <c r="A167" s="18" t="s">
        <v>5350</v>
      </c>
      <c r="B167" s="18" t="s">
        <v>904</v>
      </c>
      <c r="C167" s="18" t="s">
        <v>153</v>
      </c>
      <c r="D167" s="18" t="s">
        <v>24</v>
      </c>
      <c r="E167" s="19" t="str">
        <f t="shared" si="4"/>
        <v>Design</v>
      </c>
      <c r="F167" s="18" t="s">
        <v>5031</v>
      </c>
      <c r="G167" s="19" t="str">
        <f t="shared" si="5"/>
        <v>Walk-In</v>
      </c>
      <c r="H167" s="18">
        <v>8.6999999999999993</v>
      </c>
      <c r="I167" s="18">
        <v>8.1999999999999993</v>
      </c>
      <c r="J167" s="18">
        <v>8.4</v>
      </c>
      <c r="K167" s="18">
        <v>122697</v>
      </c>
      <c r="L167" s="18"/>
      <c r="M167" s="18" t="s">
        <v>5017</v>
      </c>
      <c r="N167" s="41" t="s">
        <v>1577</v>
      </c>
      <c r="O167" s="18" t="s">
        <v>75</v>
      </c>
      <c r="P167" s="18">
        <v>4.0999999999999996</v>
      </c>
      <c r="R167" s="34"/>
    </row>
    <row r="168" spans="1:18">
      <c r="A168" s="19" t="s">
        <v>5351</v>
      </c>
      <c r="B168" s="19" t="s">
        <v>306</v>
      </c>
      <c r="C168" s="19" t="s">
        <v>5040</v>
      </c>
      <c r="D168" s="19" t="s">
        <v>84</v>
      </c>
      <c r="E168" s="19" t="str">
        <f t="shared" si="4"/>
        <v>Hr</v>
      </c>
      <c r="F168" s="19" t="s">
        <v>5077</v>
      </c>
      <c r="G168" s="19" t="str">
        <f t="shared" si="5"/>
        <v>Referral</v>
      </c>
      <c r="H168" s="19">
        <v>4.5999999999999996</v>
      </c>
      <c r="I168" s="19">
        <v>6.6</v>
      </c>
      <c r="J168" s="19">
        <v>5.6</v>
      </c>
      <c r="K168" s="19">
        <v>120512</v>
      </c>
      <c r="L168" s="19">
        <v>103613</v>
      </c>
      <c r="M168" s="19" t="s">
        <v>5017</v>
      </c>
      <c r="N168" s="40" t="s">
        <v>5352</v>
      </c>
      <c r="O168" s="19" t="s">
        <v>172</v>
      </c>
      <c r="P168" s="19">
        <v>14</v>
      </c>
      <c r="R168" s="34"/>
    </row>
    <row r="169" spans="1:18">
      <c r="A169" s="18" t="s">
        <v>5353</v>
      </c>
      <c r="B169" s="18" t="s">
        <v>5354</v>
      </c>
      <c r="C169" s="18" t="s">
        <v>138</v>
      </c>
      <c r="D169" s="18" t="s">
        <v>39</v>
      </c>
      <c r="E169" s="19" t="str">
        <f t="shared" si="4"/>
        <v>Engineering</v>
      </c>
      <c r="F169" s="18" t="s">
        <v>5023</v>
      </c>
      <c r="G169" s="19" t="str">
        <f t="shared" si="5"/>
        <v>Linkedin</v>
      </c>
      <c r="H169" s="18">
        <v>4.7</v>
      </c>
      <c r="I169" s="18">
        <v>7.9</v>
      </c>
      <c r="J169" s="18">
        <v>6.3</v>
      </c>
      <c r="K169" s="18"/>
      <c r="L169" s="18"/>
      <c r="M169" s="18" t="s">
        <v>5017</v>
      </c>
      <c r="N169" s="41" t="s">
        <v>1789</v>
      </c>
      <c r="O169" s="18" t="s">
        <v>26</v>
      </c>
      <c r="P169" s="18">
        <v>8.1999999999999993</v>
      </c>
      <c r="R169" s="34"/>
    </row>
    <row r="170" spans="1:18">
      <c r="A170" s="19" t="s">
        <v>5355</v>
      </c>
      <c r="B170" s="19" t="s">
        <v>31</v>
      </c>
      <c r="C170" s="19" t="s">
        <v>105</v>
      </c>
      <c r="D170" s="19" t="s">
        <v>24</v>
      </c>
      <c r="E170" s="19" t="str">
        <f t="shared" si="4"/>
        <v>Design</v>
      </c>
      <c r="F170" s="19" t="s">
        <v>5016</v>
      </c>
      <c r="G170" s="19" t="str">
        <f t="shared" si="5"/>
        <v>Job Portal</v>
      </c>
      <c r="H170" s="19">
        <v>5.4</v>
      </c>
      <c r="I170" s="19">
        <v>9.3000000000000007</v>
      </c>
      <c r="J170" s="19">
        <v>7.4</v>
      </c>
      <c r="K170" s="19">
        <v>138859</v>
      </c>
      <c r="L170" s="19"/>
      <c r="M170" s="19" t="s">
        <v>5028</v>
      </c>
      <c r="N170" s="40" t="s">
        <v>5127</v>
      </c>
      <c r="O170" s="19" t="s">
        <v>53</v>
      </c>
      <c r="P170" s="19">
        <v>4</v>
      </c>
      <c r="R170" s="34"/>
    </row>
    <row r="171" spans="1:18">
      <c r="A171" s="18" t="s">
        <v>5356</v>
      </c>
      <c r="B171" s="18" t="s">
        <v>5357</v>
      </c>
      <c r="C171" s="18" t="s">
        <v>98</v>
      </c>
      <c r="D171" s="18" t="s">
        <v>51</v>
      </c>
      <c r="E171" s="19" t="str">
        <f t="shared" si="4"/>
        <v>Sales</v>
      </c>
      <c r="F171" s="18" t="s">
        <v>5019</v>
      </c>
      <c r="G171" s="19" t="str">
        <f t="shared" si="5"/>
        <v>Linkedin</v>
      </c>
      <c r="H171" s="18">
        <v>5.5</v>
      </c>
      <c r="I171" s="18">
        <v>6.8</v>
      </c>
      <c r="J171" s="18">
        <v>6.2</v>
      </c>
      <c r="K171" s="18">
        <v>183772</v>
      </c>
      <c r="L171" s="18"/>
      <c r="M171" s="18" t="s">
        <v>5020</v>
      </c>
      <c r="N171" s="41" t="s">
        <v>1435</v>
      </c>
      <c r="O171" s="18" t="s">
        <v>149</v>
      </c>
      <c r="P171" s="18">
        <v>4.5</v>
      </c>
      <c r="R171" s="34"/>
    </row>
    <row r="172" spans="1:18">
      <c r="A172" s="19" t="s">
        <v>5358</v>
      </c>
      <c r="B172" s="19" t="s">
        <v>1128</v>
      </c>
      <c r="C172" s="19" t="s">
        <v>138</v>
      </c>
      <c r="D172" s="19" t="s">
        <v>24</v>
      </c>
      <c r="E172" s="19" t="str">
        <f t="shared" si="4"/>
        <v>Design</v>
      </c>
      <c r="F172" s="19" t="s">
        <v>5016</v>
      </c>
      <c r="G172" s="19" t="str">
        <f t="shared" si="5"/>
        <v>Job Portal</v>
      </c>
      <c r="H172" s="19">
        <v>7.7</v>
      </c>
      <c r="I172" s="19">
        <v>4.9000000000000004</v>
      </c>
      <c r="J172" s="19">
        <v>6.3</v>
      </c>
      <c r="K172" s="19">
        <v>179364</v>
      </c>
      <c r="L172" s="19">
        <v>153566</v>
      </c>
      <c r="M172" s="19" t="s">
        <v>5035</v>
      </c>
      <c r="N172" s="40" t="s">
        <v>1764</v>
      </c>
      <c r="O172" s="19" t="s">
        <v>65</v>
      </c>
      <c r="P172" s="19">
        <v>4</v>
      </c>
      <c r="R172" s="34"/>
    </row>
    <row r="173" spans="1:18">
      <c r="A173" s="18" t="s">
        <v>5359</v>
      </c>
      <c r="B173" s="18" t="s">
        <v>5196</v>
      </c>
      <c r="C173" s="18" t="s">
        <v>153</v>
      </c>
      <c r="D173" s="18" t="s">
        <v>133</v>
      </c>
      <c r="E173" s="19" t="str">
        <f t="shared" si="4"/>
        <v>Qa</v>
      </c>
      <c r="F173" s="18" t="s">
        <v>5051</v>
      </c>
      <c r="G173" s="19" t="str">
        <f t="shared" si="5"/>
        <v>Naukri</v>
      </c>
      <c r="H173" s="18">
        <v>5.4</v>
      </c>
      <c r="I173" s="18">
        <v>6.6</v>
      </c>
      <c r="J173" s="18">
        <v>6</v>
      </c>
      <c r="K173" s="18">
        <v>133051</v>
      </c>
      <c r="L173" s="18">
        <v>144178</v>
      </c>
      <c r="M173" s="18" t="s">
        <v>5017</v>
      </c>
      <c r="N173" s="41" t="s">
        <v>5127</v>
      </c>
      <c r="O173" s="18" t="s">
        <v>26</v>
      </c>
      <c r="P173" s="18">
        <v>6.2</v>
      </c>
      <c r="R173" s="34"/>
    </row>
    <row r="174" spans="1:18">
      <c r="A174" s="19" t="s">
        <v>5360</v>
      </c>
      <c r="B174" s="19" t="s">
        <v>5361</v>
      </c>
      <c r="C174" s="19" t="s">
        <v>335</v>
      </c>
      <c r="D174" s="19" t="s">
        <v>39</v>
      </c>
      <c r="E174" s="19" t="str">
        <f t="shared" si="4"/>
        <v>Engineering</v>
      </c>
      <c r="F174" s="19" t="s">
        <v>5023</v>
      </c>
      <c r="G174" s="19" t="str">
        <f t="shared" si="5"/>
        <v>Linkedin</v>
      </c>
      <c r="H174" s="19">
        <v>6.1</v>
      </c>
      <c r="I174" s="19">
        <v>5.2</v>
      </c>
      <c r="J174" s="19">
        <v>5.7</v>
      </c>
      <c r="K174" s="19">
        <v>42371</v>
      </c>
      <c r="L174" s="19">
        <v>36700</v>
      </c>
      <c r="M174" s="19" t="s">
        <v>5017</v>
      </c>
      <c r="N174" s="40" t="s">
        <v>1920</v>
      </c>
      <c r="O174" s="19" t="s">
        <v>214</v>
      </c>
      <c r="P174" s="19">
        <v>14.5</v>
      </c>
      <c r="R174" s="34"/>
    </row>
    <row r="175" spans="1:18">
      <c r="A175" s="18" t="s">
        <v>5362</v>
      </c>
      <c r="B175" s="18" t="s">
        <v>1145</v>
      </c>
      <c r="C175" s="18" t="s">
        <v>225</v>
      </c>
      <c r="D175" s="18" t="s">
        <v>24</v>
      </c>
      <c r="E175" s="19" t="str">
        <f t="shared" si="4"/>
        <v>Design</v>
      </c>
      <c r="F175" s="18" t="s">
        <v>5031</v>
      </c>
      <c r="G175" s="19" t="str">
        <f t="shared" si="5"/>
        <v>Walk-In</v>
      </c>
      <c r="H175" s="18">
        <v>4.3</v>
      </c>
      <c r="I175" s="18">
        <v>8.6</v>
      </c>
      <c r="J175" s="18">
        <v>6.4</v>
      </c>
      <c r="K175" s="18">
        <v>54730</v>
      </c>
      <c r="L175" s="18">
        <v>56814</v>
      </c>
      <c r="M175" s="18" t="s">
        <v>5035</v>
      </c>
      <c r="N175" s="41" t="s">
        <v>5363</v>
      </c>
      <c r="O175" s="18" t="s">
        <v>46</v>
      </c>
      <c r="P175" s="18">
        <v>2.8</v>
      </c>
      <c r="R175" s="34"/>
    </row>
    <row r="176" spans="1:18">
      <c r="A176" s="19" t="s">
        <v>5364</v>
      </c>
      <c r="B176" s="19" t="s">
        <v>1125</v>
      </c>
      <c r="C176" s="19" t="s">
        <v>90</v>
      </c>
      <c r="D176" s="19" t="s">
        <v>133</v>
      </c>
      <c r="E176" s="19" t="str">
        <f t="shared" si="4"/>
        <v>Qa</v>
      </c>
      <c r="F176" s="19" t="s">
        <v>5019</v>
      </c>
      <c r="G176" s="19" t="str">
        <f t="shared" si="5"/>
        <v>Linkedin</v>
      </c>
      <c r="H176" s="19">
        <v>6.4</v>
      </c>
      <c r="I176" s="19">
        <v>8.1</v>
      </c>
      <c r="J176" s="19">
        <v>7.2</v>
      </c>
      <c r="K176" s="19">
        <v>194025</v>
      </c>
      <c r="L176" s="19">
        <v>216621</v>
      </c>
      <c r="M176" s="19" t="s">
        <v>5045</v>
      </c>
      <c r="N176" s="40" t="s">
        <v>869</v>
      </c>
      <c r="O176" s="19" t="s">
        <v>114</v>
      </c>
      <c r="P176" s="19">
        <v>9.1999999999999993</v>
      </c>
      <c r="R176" s="34"/>
    </row>
    <row r="177" spans="1:18">
      <c r="A177" s="18" t="s">
        <v>5365</v>
      </c>
      <c r="B177" s="18" t="s">
        <v>132</v>
      </c>
      <c r="C177" s="18" t="s">
        <v>25</v>
      </c>
      <c r="D177" s="18" t="s">
        <v>176</v>
      </c>
      <c r="E177" s="19" t="str">
        <f t="shared" si="4"/>
        <v>Finance</v>
      </c>
      <c r="F177" s="18" t="s">
        <v>5060</v>
      </c>
      <c r="G177" s="19" t="str">
        <f t="shared" si="5"/>
        <v>Naukri</v>
      </c>
      <c r="H177" s="18">
        <v>7.9</v>
      </c>
      <c r="I177" s="18">
        <v>5.7</v>
      </c>
      <c r="J177" s="18">
        <v>6.8</v>
      </c>
      <c r="K177" s="18">
        <v>97376</v>
      </c>
      <c r="L177" s="18">
        <v>91485</v>
      </c>
      <c r="M177" s="18" t="s">
        <v>5035</v>
      </c>
      <c r="N177" s="41" t="s">
        <v>1636</v>
      </c>
      <c r="O177" s="18" t="s">
        <v>172</v>
      </c>
      <c r="P177" s="18">
        <v>6.8</v>
      </c>
      <c r="R177" s="34"/>
    </row>
    <row r="178" spans="1:18">
      <c r="A178" s="19" t="s">
        <v>5366</v>
      </c>
      <c r="B178" s="19" t="s">
        <v>5317</v>
      </c>
      <c r="C178" s="19" t="s">
        <v>335</v>
      </c>
      <c r="D178" s="19" t="s">
        <v>176</v>
      </c>
      <c r="E178" s="19" t="str">
        <f t="shared" si="4"/>
        <v>Finance</v>
      </c>
      <c r="F178" s="19" t="s">
        <v>5051</v>
      </c>
      <c r="G178" s="19" t="str">
        <f t="shared" si="5"/>
        <v>Naukri</v>
      </c>
      <c r="H178" s="19">
        <v>6.4</v>
      </c>
      <c r="I178" s="19">
        <v>7.2</v>
      </c>
      <c r="J178" s="19">
        <v>6.8</v>
      </c>
      <c r="K178" s="19">
        <v>28026</v>
      </c>
      <c r="L178" s="19">
        <v>26088</v>
      </c>
      <c r="M178" s="19" t="s">
        <v>5017</v>
      </c>
      <c r="N178" s="40" t="s">
        <v>5367</v>
      </c>
      <c r="O178" s="19" t="s">
        <v>149</v>
      </c>
      <c r="P178" s="19">
        <v>14.9</v>
      </c>
      <c r="R178" s="34"/>
    </row>
    <row r="179" spans="1:18">
      <c r="A179" s="18" t="s">
        <v>5368</v>
      </c>
      <c r="B179" s="18" t="s">
        <v>5369</v>
      </c>
      <c r="C179" s="18" t="s">
        <v>5040</v>
      </c>
      <c r="D179" s="18" t="s">
        <v>118</v>
      </c>
      <c r="E179" s="19" t="str">
        <f t="shared" si="4"/>
        <v>Marketing</v>
      </c>
      <c r="F179" s="18" t="s">
        <v>5016</v>
      </c>
      <c r="G179" s="19" t="str">
        <f t="shared" si="5"/>
        <v>Job Portal</v>
      </c>
      <c r="H179" s="18">
        <v>4.7</v>
      </c>
      <c r="I179" s="18">
        <v>4.7</v>
      </c>
      <c r="J179" s="18">
        <v>4.7</v>
      </c>
      <c r="K179" s="18"/>
      <c r="L179" s="18"/>
      <c r="M179" s="18" t="s">
        <v>5045</v>
      </c>
      <c r="N179" s="41" t="s">
        <v>5370</v>
      </c>
      <c r="O179" s="18" t="s">
        <v>53</v>
      </c>
      <c r="P179" s="18">
        <v>11</v>
      </c>
      <c r="R179" s="34"/>
    </row>
    <row r="180" spans="1:18">
      <c r="A180" s="19" t="s">
        <v>5371</v>
      </c>
      <c r="B180" s="19" t="s">
        <v>1153</v>
      </c>
      <c r="C180" s="19" t="s">
        <v>335</v>
      </c>
      <c r="D180" s="19" t="s">
        <v>24</v>
      </c>
      <c r="E180" s="19" t="str">
        <f t="shared" si="4"/>
        <v>Design</v>
      </c>
      <c r="F180" s="19" t="s">
        <v>5016</v>
      </c>
      <c r="G180" s="19" t="str">
        <f t="shared" si="5"/>
        <v>Job Portal</v>
      </c>
      <c r="H180" s="19">
        <v>4.0999999999999996</v>
      </c>
      <c r="I180" s="19"/>
      <c r="J180" s="19">
        <v>4.0999999999999996</v>
      </c>
      <c r="K180" s="19">
        <v>56805</v>
      </c>
      <c r="L180" s="19">
        <v>48886</v>
      </c>
      <c r="M180" s="19" t="s">
        <v>5020</v>
      </c>
      <c r="N180" s="40" t="s">
        <v>1922</v>
      </c>
      <c r="O180" s="19" t="s">
        <v>46</v>
      </c>
      <c r="P180" s="19">
        <v>9.3000000000000007</v>
      </c>
      <c r="R180" s="34"/>
    </row>
    <row r="181" spans="1:18">
      <c r="A181" s="18" t="s">
        <v>5372</v>
      </c>
      <c r="B181" s="18" t="s">
        <v>5373</v>
      </c>
      <c r="C181" s="18" t="s">
        <v>79</v>
      </c>
      <c r="D181" s="18" t="s">
        <v>133</v>
      </c>
      <c r="E181" s="19" t="str">
        <f t="shared" si="4"/>
        <v>Qa</v>
      </c>
      <c r="F181" s="18" t="s">
        <v>5060</v>
      </c>
      <c r="G181" s="19" t="str">
        <f t="shared" si="5"/>
        <v>Naukri</v>
      </c>
      <c r="H181" s="18">
        <v>5.5</v>
      </c>
      <c r="I181" s="18">
        <v>5.5</v>
      </c>
      <c r="J181" s="18">
        <v>5.5</v>
      </c>
      <c r="K181" s="18">
        <v>28878</v>
      </c>
      <c r="L181" s="18"/>
      <c r="M181" s="18" t="s">
        <v>5028</v>
      </c>
      <c r="N181" s="41" t="s">
        <v>5374</v>
      </c>
      <c r="O181" s="18" t="s">
        <v>46</v>
      </c>
      <c r="P181" s="18">
        <v>14</v>
      </c>
      <c r="R181" s="34"/>
    </row>
    <row r="182" spans="1:18">
      <c r="A182" s="19" t="s">
        <v>5375</v>
      </c>
      <c r="B182" s="19" t="s">
        <v>650</v>
      </c>
      <c r="C182" s="19" t="s">
        <v>90</v>
      </c>
      <c r="D182" s="19" t="s">
        <v>63</v>
      </c>
      <c r="E182" s="19" t="str">
        <f t="shared" si="4"/>
        <v>Product</v>
      </c>
      <c r="F182" s="19" t="s">
        <v>5077</v>
      </c>
      <c r="G182" s="19" t="str">
        <f t="shared" si="5"/>
        <v>Referral</v>
      </c>
      <c r="H182" s="19">
        <v>5.9</v>
      </c>
      <c r="I182" s="19">
        <v>4.5999999999999996</v>
      </c>
      <c r="J182" s="19">
        <v>5.2</v>
      </c>
      <c r="K182" s="19"/>
      <c r="L182" s="19">
        <v>92756</v>
      </c>
      <c r="M182" s="19" t="s">
        <v>5017</v>
      </c>
      <c r="N182" s="40" t="s">
        <v>5333</v>
      </c>
      <c r="O182" s="19" t="s">
        <v>46</v>
      </c>
      <c r="P182" s="19">
        <v>1.8</v>
      </c>
      <c r="R182" s="34"/>
    </row>
    <row r="183" spans="1:18">
      <c r="A183" s="18" t="s">
        <v>5376</v>
      </c>
      <c r="B183" s="18" t="s">
        <v>1308</v>
      </c>
      <c r="C183" s="18" t="s">
        <v>153</v>
      </c>
      <c r="D183" s="18" t="s">
        <v>51</v>
      </c>
      <c r="E183" s="19" t="str">
        <f t="shared" si="4"/>
        <v>Sales</v>
      </c>
      <c r="F183" s="18" t="s">
        <v>5016</v>
      </c>
      <c r="G183" s="19" t="str">
        <f t="shared" si="5"/>
        <v>Job Portal</v>
      </c>
      <c r="H183" s="18">
        <v>4.4000000000000004</v>
      </c>
      <c r="I183" s="18">
        <v>7.1</v>
      </c>
      <c r="J183" s="18">
        <v>5.8</v>
      </c>
      <c r="K183" s="18">
        <v>66558</v>
      </c>
      <c r="L183" s="18">
        <v>67079</v>
      </c>
      <c r="M183" s="18" t="s">
        <v>5017</v>
      </c>
      <c r="N183" s="41" t="s">
        <v>2088</v>
      </c>
      <c r="O183" s="18" t="s">
        <v>75</v>
      </c>
      <c r="P183" s="18">
        <v>2.5</v>
      </c>
      <c r="R183" s="34"/>
    </row>
    <row r="184" spans="1:18">
      <c r="A184" s="19" t="s">
        <v>5377</v>
      </c>
      <c r="B184" s="19" t="s">
        <v>5314</v>
      </c>
      <c r="C184" s="19" t="s">
        <v>90</v>
      </c>
      <c r="D184" s="19" t="s">
        <v>84</v>
      </c>
      <c r="E184" s="19" t="str">
        <f t="shared" si="4"/>
        <v>Hr</v>
      </c>
      <c r="F184" s="19" t="s">
        <v>5060</v>
      </c>
      <c r="G184" s="19" t="str">
        <f t="shared" si="5"/>
        <v>Naukri</v>
      </c>
      <c r="H184" s="19">
        <v>9.5</v>
      </c>
      <c r="I184" s="19"/>
      <c r="J184" s="19">
        <v>9.5</v>
      </c>
      <c r="K184" s="19">
        <v>159697</v>
      </c>
      <c r="L184" s="19">
        <v>183242</v>
      </c>
      <c r="M184" s="19" t="s">
        <v>5045</v>
      </c>
      <c r="N184" s="40" t="s">
        <v>5378</v>
      </c>
      <c r="O184" s="19" t="s">
        <v>18</v>
      </c>
      <c r="P184" s="19">
        <v>3.7</v>
      </c>
      <c r="R184" s="34"/>
    </row>
    <row r="185" spans="1:18">
      <c r="A185" s="18" t="s">
        <v>5379</v>
      </c>
      <c r="B185" s="18" t="s">
        <v>1460</v>
      </c>
      <c r="C185" s="18" t="s">
        <v>335</v>
      </c>
      <c r="D185" s="18" t="s">
        <v>63</v>
      </c>
      <c r="E185" s="19" t="str">
        <f t="shared" si="4"/>
        <v>Product</v>
      </c>
      <c r="F185" s="18" t="s">
        <v>5051</v>
      </c>
      <c r="G185" s="19" t="str">
        <f t="shared" si="5"/>
        <v>Naukri</v>
      </c>
      <c r="H185" s="18">
        <v>3.2</v>
      </c>
      <c r="I185" s="18">
        <v>8.3000000000000007</v>
      </c>
      <c r="J185" s="18">
        <v>5.8</v>
      </c>
      <c r="K185" s="18">
        <v>186358</v>
      </c>
      <c r="L185" s="18"/>
      <c r="M185" s="18" t="s">
        <v>5035</v>
      </c>
      <c r="N185" s="41" t="s">
        <v>1874</v>
      </c>
      <c r="O185" s="18" t="s">
        <v>172</v>
      </c>
      <c r="P185" s="18">
        <v>12.2</v>
      </c>
      <c r="R185" s="34"/>
    </row>
    <row r="186" spans="1:18">
      <c r="A186" s="19" t="s">
        <v>5380</v>
      </c>
      <c r="B186" s="19" t="s">
        <v>5179</v>
      </c>
      <c r="C186" s="19" t="s">
        <v>25</v>
      </c>
      <c r="D186" s="19" t="s">
        <v>51</v>
      </c>
      <c r="E186" s="19" t="str">
        <f t="shared" si="4"/>
        <v>Sales</v>
      </c>
      <c r="F186" s="19" t="s">
        <v>5077</v>
      </c>
      <c r="G186" s="19" t="str">
        <f t="shared" si="5"/>
        <v>Referral</v>
      </c>
      <c r="H186" s="19">
        <v>7.1</v>
      </c>
      <c r="I186" s="19">
        <v>6.3</v>
      </c>
      <c r="J186" s="19">
        <v>6.7</v>
      </c>
      <c r="K186" s="19">
        <v>105022</v>
      </c>
      <c r="L186" s="19"/>
      <c r="M186" s="19" t="s">
        <v>5020</v>
      </c>
      <c r="N186" s="40" t="s">
        <v>773</v>
      </c>
      <c r="O186" s="19" t="s">
        <v>46</v>
      </c>
      <c r="P186" s="19">
        <v>7.8</v>
      </c>
      <c r="R186" s="34"/>
    </row>
    <row r="187" spans="1:18">
      <c r="A187" s="18" t="s">
        <v>5381</v>
      </c>
      <c r="B187" s="18" t="s">
        <v>5382</v>
      </c>
      <c r="C187" s="18" t="s">
        <v>98</v>
      </c>
      <c r="D187" s="18" t="s">
        <v>16</v>
      </c>
      <c r="E187" s="19" t="str">
        <f t="shared" si="4"/>
        <v>Devops</v>
      </c>
      <c r="F187" s="18" t="s">
        <v>5060</v>
      </c>
      <c r="G187" s="19" t="str">
        <f t="shared" si="5"/>
        <v>Naukri</v>
      </c>
      <c r="H187" s="18">
        <v>9.3000000000000007</v>
      </c>
      <c r="I187" s="18">
        <v>3.5</v>
      </c>
      <c r="J187" s="18">
        <v>6.4</v>
      </c>
      <c r="K187" s="18">
        <v>147764</v>
      </c>
      <c r="L187" s="18"/>
      <c r="M187" s="18" t="s">
        <v>5017</v>
      </c>
      <c r="N187" s="41" t="s">
        <v>889</v>
      </c>
      <c r="O187" s="18" t="s">
        <v>114</v>
      </c>
      <c r="P187" s="18">
        <v>11</v>
      </c>
      <c r="R187" s="34"/>
    </row>
    <row r="188" spans="1:18">
      <c r="A188" s="19" t="s">
        <v>5383</v>
      </c>
      <c r="B188" s="19" t="s">
        <v>187</v>
      </c>
      <c r="C188" s="19" t="s">
        <v>335</v>
      </c>
      <c r="D188" s="19" t="s">
        <v>51</v>
      </c>
      <c r="E188" s="19" t="str">
        <f t="shared" si="4"/>
        <v>Sales</v>
      </c>
      <c r="F188" s="19" t="s">
        <v>5060</v>
      </c>
      <c r="G188" s="19" t="str">
        <f t="shared" si="5"/>
        <v>Naukri</v>
      </c>
      <c r="H188" s="19">
        <v>3.5</v>
      </c>
      <c r="I188" s="19">
        <v>9.8000000000000007</v>
      </c>
      <c r="J188" s="19">
        <v>6.7</v>
      </c>
      <c r="K188" s="19">
        <v>156702</v>
      </c>
      <c r="L188" s="19">
        <v>156877</v>
      </c>
      <c r="M188" s="19" t="s">
        <v>5028</v>
      </c>
      <c r="N188" s="40" t="s">
        <v>1937</v>
      </c>
      <c r="O188" s="19" t="s">
        <v>32</v>
      </c>
      <c r="P188" s="19">
        <v>1.6</v>
      </c>
      <c r="R188" s="34"/>
    </row>
    <row r="189" spans="1:18">
      <c r="A189" s="18" t="s">
        <v>5384</v>
      </c>
      <c r="B189" s="18" t="s">
        <v>1351</v>
      </c>
      <c r="C189" s="18" t="s">
        <v>5040</v>
      </c>
      <c r="D189" s="18" t="s">
        <v>16</v>
      </c>
      <c r="E189" s="19" t="str">
        <f t="shared" si="4"/>
        <v>Devops</v>
      </c>
      <c r="F189" s="18" t="s">
        <v>5060</v>
      </c>
      <c r="G189" s="19" t="str">
        <f t="shared" si="5"/>
        <v>Naukri</v>
      </c>
      <c r="H189" s="18">
        <v>5.2</v>
      </c>
      <c r="I189" s="18">
        <v>7.5</v>
      </c>
      <c r="J189" s="18">
        <v>6.3</v>
      </c>
      <c r="K189" s="18">
        <v>162104</v>
      </c>
      <c r="L189" s="18"/>
      <c r="M189" s="18" t="s">
        <v>5045</v>
      </c>
      <c r="N189" s="41" t="s">
        <v>709</v>
      </c>
      <c r="O189" s="18" t="s">
        <v>149</v>
      </c>
      <c r="P189" s="18">
        <v>3.3</v>
      </c>
      <c r="R189" s="34"/>
    </row>
    <row r="190" spans="1:18">
      <c r="A190" s="19" t="s">
        <v>5385</v>
      </c>
      <c r="B190" s="19" t="s">
        <v>996</v>
      </c>
      <c r="C190" s="19" t="s">
        <v>98</v>
      </c>
      <c r="D190" s="19" t="s">
        <v>39</v>
      </c>
      <c r="E190" s="19" t="str">
        <f t="shared" si="4"/>
        <v>Engineering</v>
      </c>
      <c r="F190" s="19" t="s">
        <v>5025</v>
      </c>
      <c r="G190" s="19" t="str">
        <f t="shared" si="5"/>
        <v>Campus</v>
      </c>
      <c r="H190" s="19">
        <v>6.6</v>
      </c>
      <c r="I190" s="19">
        <v>8.9</v>
      </c>
      <c r="J190" s="19">
        <v>7.8</v>
      </c>
      <c r="K190" s="19">
        <v>183875</v>
      </c>
      <c r="L190" s="19">
        <v>197635</v>
      </c>
      <c r="M190" s="19" t="s">
        <v>5045</v>
      </c>
      <c r="N190" s="40" t="s">
        <v>1891</v>
      </c>
      <c r="O190" s="19" t="s">
        <v>75</v>
      </c>
      <c r="P190" s="19">
        <v>9.4</v>
      </c>
      <c r="R190" s="34"/>
    </row>
    <row r="191" spans="1:18">
      <c r="A191" s="18" t="s">
        <v>5386</v>
      </c>
      <c r="B191" s="18" t="s">
        <v>1386</v>
      </c>
      <c r="C191" s="18" t="s">
        <v>225</v>
      </c>
      <c r="D191" s="18" t="s">
        <v>63</v>
      </c>
      <c r="E191" s="19" t="str">
        <f t="shared" si="4"/>
        <v>Product</v>
      </c>
      <c r="F191" s="18" t="s">
        <v>5023</v>
      </c>
      <c r="G191" s="19" t="str">
        <f t="shared" si="5"/>
        <v>Linkedin</v>
      </c>
      <c r="H191" s="18">
        <v>8.6</v>
      </c>
      <c r="I191" s="18">
        <v>4.8</v>
      </c>
      <c r="J191" s="18">
        <v>6.7</v>
      </c>
      <c r="K191" s="18">
        <v>66349</v>
      </c>
      <c r="L191" s="18">
        <v>63129</v>
      </c>
      <c r="M191" s="18" t="s">
        <v>5020</v>
      </c>
      <c r="N191" s="41" t="s">
        <v>5387</v>
      </c>
      <c r="O191" s="18" t="s">
        <v>172</v>
      </c>
      <c r="P191" s="18">
        <v>1.7</v>
      </c>
      <c r="R191" s="34"/>
    </row>
    <row r="192" spans="1:18">
      <c r="A192" s="19" t="s">
        <v>5388</v>
      </c>
      <c r="B192" s="19" t="s">
        <v>122</v>
      </c>
      <c r="C192" s="19" t="s">
        <v>153</v>
      </c>
      <c r="D192" s="19" t="s">
        <v>16</v>
      </c>
      <c r="E192" s="19" t="str">
        <f t="shared" si="4"/>
        <v>Devops</v>
      </c>
      <c r="F192" s="19" t="s">
        <v>5051</v>
      </c>
      <c r="G192" s="19" t="str">
        <f t="shared" si="5"/>
        <v>Naukri</v>
      </c>
      <c r="H192" s="19">
        <v>7.4</v>
      </c>
      <c r="I192" s="19">
        <v>9.1999999999999993</v>
      </c>
      <c r="J192" s="19">
        <v>8.3000000000000007</v>
      </c>
      <c r="K192" s="19">
        <v>125280</v>
      </c>
      <c r="L192" s="19">
        <v>126503</v>
      </c>
      <c r="M192" s="19" t="s">
        <v>5035</v>
      </c>
      <c r="N192" s="40" t="s">
        <v>1636</v>
      </c>
      <c r="O192" s="19" t="s">
        <v>18</v>
      </c>
      <c r="P192" s="19">
        <v>12.1</v>
      </c>
      <c r="R192" s="34"/>
    </row>
    <row r="193" spans="1:18">
      <c r="A193" s="18" t="s">
        <v>5389</v>
      </c>
      <c r="B193" s="18" t="s">
        <v>662</v>
      </c>
      <c r="C193" s="18" t="s">
        <v>25</v>
      </c>
      <c r="D193" s="18" t="s">
        <v>39</v>
      </c>
      <c r="E193" s="19" t="str">
        <f t="shared" si="4"/>
        <v>Engineering</v>
      </c>
      <c r="F193" s="18" t="s">
        <v>5077</v>
      </c>
      <c r="G193" s="19" t="str">
        <f t="shared" si="5"/>
        <v>Referral</v>
      </c>
      <c r="H193" s="18">
        <v>4.7</v>
      </c>
      <c r="I193" s="18">
        <v>3.5</v>
      </c>
      <c r="J193" s="18">
        <v>4.0999999999999996</v>
      </c>
      <c r="K193" s="18">
        <v>138187</v>
      </c>
      <c r="L193" s="18">
        <v>124301</v>
      </c>
      <c r="M193" s="18" t="s">
        <v>5017</v>
      </c>
      <c r="N193" s="41" t="s">
        <v>1197</v>
      </c>
      <c r="O193" s="18" t="s">
        <v>65</v>
      </c>
      <c r="P193" s="18">
        <v>10.4</v>
      </c>
      <c r="R193" s="34"/>
    </row>
    <row r="194" spans="1:18">
      <c r="A194" s="19" t="s">
        <v>5390</v>
      </c>
      <c r="B194" s="19" t="s">
        <v>1347</v>
      </c>
      <c r="C194" s="19" t="s">
        <v>335</v>
      </c>
      <c r="D194" s="19" t="s">
        <v>133</v>
      </c>
      <c r="E194" s="19" t="str">
        <f t="shared" si="4"/>
        <v>Qa</v>
      </c>
      <c r="F194" s="19" t="s">
        <v>5060</v>
      </c>
      <c r="G194" s="19" t="str">
        <f t="shared" si="5"/>
        <v>Naukri</v>
      </c>
      <c r="H194" s="19">
        <v>7.6</v>
      </c>
      <c r="I194" s="19">
        <v>8.8000000000000007</v>
      </c>
      <c r="J194" s="19">
        <v>8.1999999999999993</v>
      </c>
      <c r="K194" s="19">
        <v>35593</v>
      </c>
      <c r="L194" s="19">
        <v>32545</v>
      </c>
      <c r="M194" s="19" t="s">
        <v>5035</v>
      </c>
      <c r="N194" s="40" t="s">
        <v>5391</v>
      </c>
      <c r="O194" s="19" t="s">
        <v>214</v>
      </c>
      <c r="P194" s="19">
        <v>1.3</v>
      </c>
      <c r="R194" s="34"/>
    </row>
    <row r="195" spans="1:18">
      <c r="A195" s="18" t="s">
        <v>5392</v>
      </c>
      <c r="B195" s="18" t="s">
        <v>5393</v>
      </c>
      <c r="C195" s="18" t="s">
        <v>90</v>
      </c>
      <c r="D195" s="18" t="s">
        <v>63</v>
      </c>
      <c r="E195" s="19" t="str">
        <f t="shared" ref="E195:E258" si="6">PROPER(D195)</f>
        <v>Product</v>
      </c>
      <c r="F195" s="18" t="s">
        <v>5051</v>
      </c>
      <c r="G195" s="19" t="str">
        <f t="shared" ref="G195:G258" si="7">PROPER(F195)</f>
        <v>Naukri</v>
      </c>
      <c r="H195" s="18">
        <v>9.6</v>
      </c>
      <c r="I195" s="18">
        <v>6.1</v>
      </c>
      <c r="J195" s="18">
        <v>7.8</v>
      </c>
      <c r="K195" s="18">
        <v>69626</v>
      </c>
      <c r="L195" s="18">
        <v>64903</v>
      </c>
      <c r="M195" s="18" t="s">
        <v>5017</v>
      </c>
      <c r="N195" s="41" t="s">
        <v>5352</v>
      </c>
      <c r="O195" s="18" t="s">
        <v>172</v>
      </c>
      <c r="P195" s="18">
        <v>15</v>
      </c>
      <c r="R195" s="34"/>
    </row>
    <row r="196" spans="1:18">
      <c r="A196" s="19" t="s">
        <v>5394</v>
      </c>
      <c r="B196" s="19" t="s">
        <v>5395</v>
      </c>
      <c r="C196" s="19" t="s">
        <v>79</v>
      </c>
      <c r="D196" s="19" t="s">
        <v>133</v>
      </c>
      <c r="E196" s="19" t="str">
        <f t="shared" si="6"/>
        <v>Qa</v>
      </c>
      <c r="F196" s="19" t="s">
        <v>5023</v>
      </c>
      <c r="G196" s="19" t="str">
        <f t="shared" si="7"/>
        <v>Linkedin</v>
      </c>
      <c r="H196" s="19">
        <v>9.9</v>
      </c>
      <c r="I196" s="19">
        <v>6.2</v>
      </c>
      <c r="J196" s="19">
        <v>8.1</v>
      </c>
      <c r="K196" s="19">
        <v>86397</v>
      </c>
      <c r="L196" s="19">
        <v>98279</v>
      </c>
      <c r="M196" s="19" t="s">
        <v>5017</v>
      </c>
      <c r="N196" s="40" t="s">
        <v>5396</v>
      </c>
      <c r="O196" s="19" t="s">
        <v>172</v>
      </c>
      <c r="P196" s="19">
        <v>6.6</v>
      </c>
      <c r="R196" s="34"/>
    </row>
    <row r="197" spans="1:18">
      <c r="A197" s="18" t="s">
        <v>5397</v>
      </c>
      <c r="B197" s="18" t="s">
        <v>5398</v>
      </c>
      <c r="C197" s="18" t="s">
        <v>138</v>
      </c>
      <c r="D197" s="18" t="s">
        <v>133</v>
      </c>
      <c r="E197" s="19" t="str">
        <f t="shared" si="6"/>
        <v>Qa</v>
      </c>
      <c r="F197" s="18" t="s">
        <v>5060</v>
      </c>
      <c r="G197" s="19" t="str">
        <f t="shared" si="7"/>
        <v>Naukri</v>
      </c>
      <c r="H197" s="18">
        <v>6.9</v>
      </c>
      <c r="I197" s="18">
        <v>3.5</v>
      </c>
      <c r="J197" s="18">
        <v>5.2</v>
      </c>
      <c r="K197" s="18">
        <v>59002</v>
      </c>
      <c r="L197" s="18"/>
      <c r="M197" s="18" t="s">
        <v>5020</v>
      </c>
      <c r="N197" s="41" t="s">
        <v>5399</v>
      </c>
      <c r="O197" s="18" t="s">
        <v>172</v>
      </c>
      <c r="P197" s="18">
        <v>4.9000000000000004</v>
      </c>
      <c r="R197" s="34"/>
    </row>
    <row r="198" spans="1:18">
      <c r="A198" s="19" t="s">
        <v>5400</v>
      </c>
      <c r="B198" s="19" t="s">
        <v>5401</v>
      </c>
      <c r="C198" s="19" t="s">
        <v>153</v>
      </c>
      <c r="D198" s="19" t="s">
        <v>16</v>
      </c>
      <c r="E198" s="19" t="str">
        <f t="shared" si="6"/>
        <v>Devops</v>
      </c>
      <c r="F198" s="19" t="s">
        <v>5016</v>
      </c>
      <c r="G198" s="19" t="str">
        <f t="shared" si="7"/>
        <v>Job Portal</v>
      </c>
      <c r="H198" s="19">
        <v>9.6</v>
      </c>
      <c r="I198" s="19">
        <v>7.9</v>
      </c>
      <c r="J198" s="19">
        <v>8.8000000000000007</v>
      </c>
      <c r="K198" s="19">
        <v>77128</v>
      </c>
      <c r="L198" s="19">
        <v>83897</v>
      </c>
      <c r="M198" s="19" t="s">
        <v>5020</v>
      </c>
      <c r="N198" s="40" t="s">
        <v>5402</v>
      </c>
      <c r="O198" s="19" t="s">
        <v>32</v>
      </c>
      <c r="P198" s="19">
        <v>0.7</v>
      </c>
      <c r="R198" s="34"/>
    </row>
    <row r="199" spans="1:18">
      <c r="A199" s="18" t="s">
        <v>5403</v>
      </c>
      <c r="B199" s="18" t="s">
        <v>5404</v>
      </c>
      <c r="C199" s="18" t="s">
        <v>79</v>
      </c>
      <c r="D199" s="18" t="s">
        <v>176</v>
      </c>
      <c r="E199" s="19" t="str">
        <f t="shared" si="6"/>
        <v>Finance</v>
      </c>
      <c r="F199" s="18" t="s">
        <v>5031</v>
      </c>
      <c r="G199" s="19" t="str">
        <f t="shared" si="7"/>
        <v>Walk-In</v>
      </c>
      <c r="H199" s="18">
        <v>6.6</v>
      </c>
      <c r="I199" s="18">
        <v>3.1</v>
      </c>
      <c r="J199" s="18">
        <v>4.8</v>
      </c>
      <c r="K199" s="18">
        <v>139359</v>
      </c>
      <c r="L199" s="18"/>
      <c r="M199" s="18" t="s">
        <v>5035</v>
      </c>
      <c r="N199" s="41" t="s">
        <v>5405</v>
      </c>
      <c r="O199" s="18" t="s">
        <v>214</v>
      </c>
      <c r="P199" s="18">
        <v>11.5</v>
      </c>
      <c r="R199" s="34"/>
    </row>
    <row r="200" spans="1:18">
      <c r="A200" s="19" t="s">
        <v>5406</v>
      </c>
      <c r="B200" s="19" t="s">
        <v>5299</v>
      </c>
      <c r="C200" s="19" t="s">
        <v>105</v>
      </c>
      <c r="D200" s="19" t="s">
        <v>39</v>
      </c>
      <c r="E200" s="19" t="str">
        <f t="shared" si="6"/>
        <v>Engineering</v>
      </c>
      <c r="F200" s="19" t="s">
        <v>5060</v>
      </c>
      <c r="G200" s="19" t="str">
        <f t="shared" si="7"/>
        <v>Naukri</v>
      </c>
      <c r="H200" s="19">
        <v>8.6</v>
      </c>
      <c r="I200" s="19">
        <v>8.1999999999999993</v>
      </c>
      <c r="J200" s="19">
        <v>8.4</v>
      </c>
      <c r="K200" s="19">
        <v>145177</v>
      </c>
      <c r="L200" s="19"/>
      <c r="M200" s="19" t="s">
        <v>5020</v>
      </c>
      <c r="N200" s="40" t="s">
        <v>1660</v>
      </c>
      <c r="O200" s="19" t="s">
        <v>214</v>
      </c>
      <c r="P200" s="19">
        <v>0.8</v>
      </c>
      <c r="R200" s="34"/>
    </row>
    <row r="201" spans="1:18">
      <c r="A201" s="18" t="s">
        <v>5407</v>
      </c>
      <c r="B201" s="18" t="s">
        <v>996</v>
      </c>
      <c r="C201" s="18" t="s">
        <v>98</v>
      </c>
      <c r="D201" s="18" t="s">
        <v>176</v>
      </c>
      <c r="E201" s="19" t="str">
        <f t="shared" si="6"/>
        <v>Finance</v>
      </c>
      <c r="F201" s="18" t="s">
        <v>5051</v>
      </c>
      <c r="G201" s="19" t="str">
        <f t="shared" si="7"/>
        <v>Naukri</v>
      </c>
      <c r="H201" s="18">
        <v>9.4</v>
      </c>
      <c r="I201" s="18">
        <v>9.5</v>
      </c>
      <c r="J201" s="18">
        <v>9.4</v>
      </c>
      <c r="K201" s="18">
        <v>41670</v>
      </c>
      <c r="L201" s="18">
        <v>36261</v>
      </c>
      <c r="M201" s="18" t="s">
        <v>5017</v>
      </c>
      <c r="N201" s="41" t="s">
        <v>1995</v>
      </c>
      <c r="O201" s="18" t="s">
        <v>214</v>
      </c>
      <c r="P201" s="18">
        <v>1.2</v>
      </c>
      <c r="R201" s="34"/>
    </row>
    <row r="202" spans="1:18">
      <c r="A202" s="19" t="s">
        <v>5408</v>
      </c>
      <c r="B202" s="19" t="s">
        <v>1396</v>
      </c>
      <c r="C202" s="19" t="s">
        <v>25</v>
      </c>
      <c r="D202" s="19" t="s">
        <v>84</v>
      </c>
      <c r="E202" s="19" t="str">
        <f t="shared" si="6"/>
        <v>Hr</v>
      </c>
      <c r="F202" s="19" t="s">
        <v>5031</v>
      </c>
      <c r="G202" s="19" t="str">
        <f t="shared" si="7"/>
        <v>Walk-In</v>
      </c>
      <c r="H202" s="19">
        <v>6</v>
      </c>
      <c r="I202" s="19">
        <v>4.4000000000000004</v>
      </c>
      <c r="J202" s="19">
        <v>5.2</v>
      </c>
      <c r="K202" s="19">
        <v>120201</v>
      </c>
      <c r="L202" s="19">
        <v>115429</v>
      </c>
      <c r="M202" s="19" t="s">
        <v>5028</v>
      </c>
      <c r="N202" s="40" t="s">
        <v>1805</v>
      </c>
      <c r="O202" s="19" t="s">
        <v>214</v>
      </c>
      <c r="P202" s="19">
        <v>9.4</v>
      </c>
      <c r="R202" s="34"/>
    </row>
    <row r="203" spans="1:18">
      <c r="A203" s="18" t="s">
        <v>5409</v>
      </c>
      <c r="B203" s="18" t="s">
        <v>865</v>
      </c>
      <c r="C203" s="18" t="s">
        <v>225</v>
      </c>
      <c r="D203" s="18" t="s">
        <v>133</v>
      </c>
      <c r="E203" s="19" t="str">
        <f t="shared" si="6"/>
        <v>Qa</v>
      </c>
      <c r="F203" s="18" t="s">
        <v>5031</v>
      </c>
      <c r="G203" s="19" t="str">
        <f t="shared" si="7"/>
        <v>Walk-In</v>
      </c>
      <c r="H203" s="18">
        <v>5.8</v>
      </c>
      <c r="I203" s="18">
        <v>6.9</v>
      </c>
      <c r="J203" s="18">
        <v>6.3</v>
      </c>
      <c r="K203" s="18">
        <v>36100</v>
      </c>
      <c r="L203" s="18">
        <v>37627</v>
      </c>
      <c r="M203" s="18" t="s">
        <v>5020</v>
      </c>
      <c r="N203" s="41" t="s">
        <v>5410</v>
      </c>
      <c r="O203" s="18" t="s">
        <v>32</v>
      </c>
      <c r="P203" s="18">
        <v>11.9</v>
      </c>
      <c r="R203" s="34"/>
    </row>
    <row r="204" spans="1:18">
      <c r="A204" s="19" t="s">
        <v>5411</v>
      </c>
      <c r="B204" s="19" t="s">
        <v>702</v>
      </c>
      <c r="C204" s="19" t="s">
        <v>98</v>
      </c>
      <c r="D204" s="19" t="s">
        <v>89</v>
      </c>
      <c r="E204" s="19" t="str">
        <f t="shared" si="6"/>
        <v>Data Science</v>
      </c>
      <c r="F204" s="19" t="s">
        <v>5016</v>
      </c>
      <c r="G204" s="19" t="str">
        <f t="shared" si="7"/>
        <v>Job Portal</v>
      </c>
      <c r="H204" s="19">
        <v>3.4</v>
      </c>
      <c r="I204" s="19">
        <v>3.8</v>
      </c>
      <c r="J204" s="19">
        <v>3.6</v>
      </c>
      <c r="K204" s="19">
        <v>65429</v>
      </c>
      <c r="L204" s="19">
        <v>72581</v>
      </c>
      <c r="M204" s="19" t="s">
        <v>5045</v>
      </c>
      <c r="N204" s="40" t="s">
        <v>1217</v>
      </c>
      <c r="O204" s="19" t="s">
        <v>214</v>
      </c>
      <c r="P204" s="19">
        <v>10.1</v>
      </c>
      <c r="R204" s="34"/>
    </row>
    <row r="205" spans="1:18">
      <c r="A205" s="18" t="s">
        <v>5412</v>
      </c>
      <c r="B205" s="18" t="s">
        <v>5413</v>
      </c>
      <c r="C205" s="18" t="s">
        <v>138</v>
      </c>
      <c r="D205" s="18" t="s">
        <v>63</v>
      </c>
      <c r="E205" s="19" t="str">
        <f t="shared" si="6"/>
        <v>Product</v>
      </c>
      <c r="F205" s="18" t="s">
        <v>5019</v>
      </c>
      <c r="G205" s="19" t="str">
        <f t="shared" si="7"/>
        <v>Linkedin</v>
      </c>
      <c r="H205" s="18">
        <v>3.7</v>
      </c>
      <c r="I205" s="18">
        <v>4.4000000000000004</v>
      </c>
      <c r="J205" s="18">
        <v>4.0999999999999996</v>
      </c>
      <c r="K205" s="18">
        <v>151768</v>
      </c>
      <c r="L205" s="18">
        <v>160253</v>
      </c>
      <c r="M205" s="18" t="s">
        <v>5028</v>
      </c>
      <c r="N205" s="41" t="s">
        <v>48</v>
      </c>
      <c r="O205" s="18" t="s">
        <v>65</v>
      </c>
      <c r="P205" s="18">
        <v>10</v>
      </c>
      <c r="R205" s="34"/>
    </row>
    <row r="206" spans="1:18">
      <c r="A206" s="19" t="s">
        <v>5414</v>
      </c>
      <c r="B206" s="19" t="s">
        <v>1086</v>
      </c>
      <c r="C206" s="19" t="s">
        <v>138</v>
      </c>
      <c r="D206" s="19" t="s">
        <v>84</v>
      </c>
      <c r="E206" s="19" t="str">
        <f t="shared" si="6"/>
        <v>Hr</v>
      </c>
      <c r="F206" s="19" t="s">
        <v>5051</v>
      </c>
      <c r="G206" s="19" t="str">
        <f t="shared" si="7"/>
        <v>Naukri</v>
      </c>
      <c r="H206" s="19">
        <v>8.6999999999999993</v>
      </c>
      <c r="I206" s="19">
        <v>7.3</v>
      </c>
      <c r="J206" s="19">
        <v>8</v>
      </c>
      <c r="K206" s="19">
        <v>83576</v>
      </c>
      <c r="L206" s="19"/>
      <c r="M206" s="19" t="s">
        <v>5020</v>
      </c>
      <c r="N206" s="40" t="s">
        <v>5324</v>
      </c>
      <c r="O206" s="19" t="s">
        <v>114</v>
      </c>
      <c r="P206" s="19">
        <v>14.7</v>
      </c>
      <c r="R206" s="34"/>
    </row>
    <row r="207" spans="1:18">
      <c r="A207" s="18" t="s">
        <v>5415</v>
      </c>
      <c r="B207" s="18" t="s">
        <v>1267</v>
      </c>
      <c r="C207" s="18" t="s">
        <v>153</v>
      </c>
      <c r="D207" s="18" t="s">
        <v>63</v>
      </c>
      <c r="E207" s="19" t="str">
        <f t="shared" si="6"/>
        <v>Product</v>
      </c>
      <c r="F207" s="18" t="s">
        <v>5019</v>
      </c>
      <c r="G207" s="19" t="str">
        <f t="shared" si="7"/>
        <v>Linkedin</v>
      </c>
      <c r="H207" s="18">
        <v>6.6</v>
      </c>
      <c r="I207" s="18">
        <v>9.5</v>
      </c>
      <c r="J207" s="18">
        <v>8.1</v>
      </c>
      <c r="K207" s="18">
        <v>130549</v>
      </c>
      <c r="L207" s="18">
        <v>112699</v>
      </c>
      <c r="M207" s="18" t="s">
        <v>5028</v>
      </c>
      <c r="N207" s="41" t="s">
        <v>5416</v>
      </c>
      <c r="O207" s="18" t="s">
        <v>75</v>
      </c>
      <c r="P207" s="18">
        <v>11.1</v>
      </c>
      <c r="R207" s="34"/>
    </row>
    <row r="208" spans="1:18">
      <c r="A208" s="19" t="s">
        <v>5417</v>
      </c>
      <c r="B208" s="19" t="s">
        <v>5418</v>
      </c>
      <c r="C208" s="19" t="s">
        <v>225</v>
      </c>
      <c r="D208" s="19" t="s">
        <v>39</v>
      </c>
      <c r="E208" s="19" t="str">
        <f t="shared" si="6"/>
        <v>Engineering</v>
      </c>
      <c r="F208" s="19" t="s">
        <v>5023</v>
      </c>
      <c r="G208" s="19" t="str">
        <f t="shared" si="7"/>
        <v>Linkedin</v>
      </c>
      <c r="H208" s="19">
        <v>9.1</v>
      </c>
      <c r="I208" s="19">
        <v>6</v>
      </c>
      <c r="J208" s="19">
        <v>7.5</v>
      </c>
      <c r="K208" s="19">
        <v>182779</v>
      </c>
      <c r="L208" s="19">
        <v>163621</v>
      </c>
      <c r="M208" s="19" t="s">
        <v>5028</v>
      </c>
      <c r="N208" s="40" t="s">
        <v>1938</v>
      </c>
      <c r="O208" s="19" t="s">
        <v>53</v>
      </c>
      <c r="P208" s="19">
        <v>3.4</v>
      </c>
      <c r="R208" s="34"/>
    </row>
    <row r="209" spans="1:18">
      <c r="A209" s="18" t="s">
        <v>5419</v>
      </c>
      <c r="B209" s="18" t="s">
        <v>862</v>
      </c>
      <c r="C209" s="18" t="s">
        <v>105</v>
      </c>
      <c r="D209" s="18" t="s">
        <v>176</v>
      </c>
      <c r="E209" s="19" t="str">
        <f t="shared" si="6"/>
        <v>Finance</v>
      </c>
      <c r="F209" s="18" t="s">
        <v>5031</v>
      </c>
      <c r="G209" s="19" t="str">
        <f t="shared" si="7"/>
        <v>Walk-In</v>
      </c>
      <c r="H209" s="18">
        <v>8</v>
      </c>
      <c r="I209" s="18">
        <v>8.6</v>
      </c>
      <c r="J209" s="18">
        <v>8.3000000000000007</v>
      </c>
      <c r="K209" s="18">
        <v>163521</v>
      </c>
      <c r="L209" s="18"/>
      <c r="M209" s="18" t="s">
        <v>5045</v>
      </c>
      <c r="N209" s="41" t="s">
        <v>5420</v>
      </c>
      <c r="O209" s="18" t="s">
        <v>53</v>
      </c>
      <c r="P209" s="18">
        <v>14.6</v>
      </c>
      <c r="R209" s="34"/>
    </row>
    <row r="210" spans="1:18">
      <c r="A210" s="19" t="s">
        <v>5421</v>
      </c>
      <c r="B210" s="19" t="s">
        <v>5422</v>
      </c>
      <c r="C210" s="19" t="s">
        <v>138</v>
      </c>
      <c r="D210" s="19" t="s">
        <v>118</v>
      </c>
      <c r="E210" s="19" t="str">
        <f t="shared" si="6"/>
        <v>Marketing</v>
      </c>
      <c r="F210" s="19" t="s">
        <v>5060</v>
      </c>
      <c r="G210" s="19" t="str">
        <f t="shared" si="7"/>
        <v>Naukri</v>
      </c>
      <c r="H210" s="19">
        <v>3.1</v>
      </c>
      <c r="I210" s="19">
        <v>7.7</v>
      </c>
      <c r="J210" s="19">
        <v>5.4</v>
      </c>
      <c r="K210" s="19"/>
      <c r="L210" s="19"/>
      <c r="M210" s="19" t="s">
        <v>5020</v>
      </c>
      <c r="N210" s="40" t="s">
        <v>5423</v>
      </c>
      <c r="O210" s="19" t="s">
        <v>46</v>
      </c>
      <c r="P210" s="19">
        <v>8</v>
      </c>
      <c r="R210" s="34"/>
    </row>
    <row r="211" spans="1:18">
      <c r="A211" s="18" t="s">
        <v>5424</v>
      </c>
      <c r="B211" s="18" t="s">
        <v>845</v>
      </c>
      <c r="C211" s="18" t="s">
        <v>153</v>
      </c>
      <c r="D211" s="18" t="s">
        <v>118</v>
      </c>
      <c r="E211" s="19" t="str">
        <f t="shared" si="6"/>
        <v>Marketing</v>
      </c>
      <c r="F211" s="18" t="s">
        <v>5016</v>
      </c>
      <c r="G211" s="19" t="str">
        <f t="shared" si="7"/>
        <v>Job Portal</v>
      </c>
      <c r="H211" s="18">
        <v>9</v>
      </c>
      <c r="I211" s="18">
        <v>3.4</v>
      </c>
      <c r="J211" s="18">
        <v>6.2</v>
      </c>
      <c r="K211" s="18">
        <v>189767</v>
      </c>
      <c r="L211" s="18">
        <v>189090</v>
      </c>
      <c r="M211" s="18" t="s">
        <v>5028</v>
      </c>
      <c r="N211" s="41" t="s">
        <v>5145</v>
      </c>
      <c r="O211" s="18" t="s">
        <v>70</v>
      </c>
      <c r="P211" s="18">
        <v>7</v>
      </c>
      <c r="R211" s="34"/>
    </row>
    <row r="212" spans="1:18">
      <c r="A212" s="19" t="s">
        <v>5425</v>
      </c>
      <c r="B212" s="19" t="s">
        <v>5426</v>
      </c>
      <c r="C212" s="19" t="s">
        <v>90</v>
      </c>
      <c r="D212" s="19" t="s">
        <v>51</v>
      </c>
      <c r="E212" s="19" t="str">
        <f t="shared" si="6"/>
        <v>Sales</v>
      </c>
      <c r="F212" s="19" t="s">
        <v>5025</v>
      </c>
      <c r="G212" s="19" t="str">
        <f t="shared" si="7"/>
        <v>Campus</v>
      </c>
      <c r="H212" s="19">
        <v>7.3</v>
      </c>
      <c r="I212" s="19">
        <v>3.2</v>
      </c>
      <c r="J212" s="19">
        <v>5.2</v>
      </c>
      <c r="K212" s="19">
        <v>68492</v>
      </c>
      <c r="L212" s="19">
        <v>61221</v>
      </c>
      <c r="M212" s="19" t="s">
        <v>5035</v>
      </c>
      <c r="N212" s="40" t="s">
        <v>5427</v>
      </c>
      <c r="O212" s="19" t="s">
        <v>46</v>
      </c>
      <c r="P212" s="19">
        <v>8.1999999999999993</v>
      </c>
      <c r="R212" s="34"/>
    </row>
    <row r="213" spans="1:18">
      <c r="A213" s="18" t="s">
        <v>5428</v>
      </c>
      <c r="B213" s="18" t="s">
        <v>5429</v>
      </c>
      <c r="C213" s="18" t="s">
        <v>335</v>
      </c>
      <c r="D213" s="18" t="s">
        <v>118</v>
      </c>
      <c r="E213" s="19" t="str">
        <f t="shared" si="6"/>
        <v>Marketing</v>
      </c>
      <c r="F213" s="18" t="s">
        <v>5060</v>
      </c>
      <c r="G213" s="19" t="str">
        <f t="shared" si="7"/>
        <v>Naukri</v>
      </c>
      <c r="H213" s="18">
        <v>9.1</v>
      </c>
      <c r="I213" s="18">
        <v>8.4</v>
      </c>
      <c r="J213" s="18">
        <v>8.8000000000000007</v>
      </c>
      <c r="K213" s="18">
        <v>189452</v>
      </c>
      <c r="L213" s="18">
        <v>163252</v>
      </c>
      <c r="M213" s="18" t="s">
        <v>5020</v>
      </c>
      <c r="N213" s="41" t="s">
        <v>5430</v>
      </c>
      <c r="O213" s="18" t="s">
        <v>32</v>
      </c>
      <c r="P213" s="18">
        <v>2.9</v>
      </c>
      <c r="R213" s="34"/>
    </row>
    <row r="214" spans="1:18">
      <c r="A214" s="19" t="s">
        <v>5431</v>
      </c>
      <c r="B214" s="19" t="s">
        <v>947</v>
      </c>
      <c r="C214" s="19" t="s">
        <v>225</v>
      </c>
      <c r="D214" s="19" t="s">
        <v>63</v>
      </c>
      <c r="E214" s="19" t="str">
        <f t="shared" si="6"/>
        <v>Product</v>
      </c>
      <c r="F214" s="19" t="s">
        <v>5025</v>
      </c>
      <c r="G214" s="19" t="str">
        <f t="shared" si="7"/>
        <v>Campus</v>
      </c>
      <c r="H214" s="19">
        <v>9.5</v>
      </c>
      <c r="I214" s="19">
        <v>7</v>
      </c>
      <c r="J214" s="19">
        <v>8.1999999999999993</v>
      </c>
      <c r="K214" s="19">
        <v>166025</v>
      </c>
      <c r="L214" s="19"/>
      <c r="M214" s="19" t="s">
        <v>5035</v>
      </c>
      <c r="N214" s="40" t="s">
        <v>5432</v>
      </c>
      <c r="O214" s="19" t="s">
        <v>214</v>
      </c>
      <c r="P214" s="19">
        <v>10</v>
      </c>
      <c r="R214" s="34"/>
    </row>
    <row r="215" spans="1:18">
      <c r="A215" s="18" t="s">
        <v>5433</v>
      </c>
      <c r="B215" s="18" t="s">
        <v>1308</v>
      </c>
      <c r="C215" s="18" t="s">
        <v>105</v>
      </c>
      <c r="D215" s="18" t="s">
        <v>16</v>
      </c>
      <c r="E215" s="19" t="str">
        <f t="shared" si="6"/>
        <v>Devops</v>
      </c>
      <c r="F215" s="18" t="s">
        <v>5031</v>
      </c>
      <c r="G215" s="19" t="str">
        <f t="shared" si="7"/>
        <v>Walk-In</v>
      </c>
      <c r="H215" s="18">
        <v>7.7</v>
      </c>
      <c r="I215" s="18">
        <v>6.5</v>
      </c>
      <c r="J215" s="18">
        <v>7.1</v>
      </c>
      <c r="K215" s="18">
        <v>162815</v>
      </c>
      <c r="L215" s="18">
        <v>143661</v>
      </c>
      <c r="M215" s="18" t="s">
        <v>5028</v>
      </c>
      <c r="N215" s="41" t="s">
        <v>5203</v>
      </c>
      <c r="O215" s="18" t="s">
        <v>114</v>
      </c>
      <c r="P215" s="18">
        <v>1.4</v>
      </c>
      <c r="R215" s="34"/>
    </row>
    <row r="216" spans="1:18">
      <c r="A216" s="19" t="s">
        <v>5434</v>
      </c>
      <c r="B216" s="19" t="s">
        <v>1123</v>
      </c>
      <c r="C216" s="19" t="s">
        <v>98</v>
      </c>
      <c r="D216" s="19" t="s">
        <v>133</v>
      </c>
      <c r="E216" s="19" t="str">
        <f t="shared" si="6"/>
        <v>Qa</v>
      </c>
      <c r="F216" s="19" t="s">
        <v>5016</v>
      </c>
      <c r="G216" s="19" t="str">
        <f t="shared" si="7"/>
        <v>Job Portal</v>
      </c>
      <c r="H216" s="19">
        <v>8.5</v>
      </c>
      <c r="I216" s="19">
        <v>9.1999999999999993</v>
      </c>
      <c r="J216" s="19">
        <v>8.8000000000000007</v>
      </c>
      <c r="K216" s="19">
        <v>187838</v>
      </c>
      <c r="L216" s="19">
        <v>176973</v>
      </c>
      <c r="M216" s="19" t="s">
        <v>5020</v>
      </c>
      <c r="N216" s="40" t="s">
        <v>5435</v>
      </c>
      <c r="O216" s="19" t="s">
        <v>70</v>
      </c>
      <c r="P216" s="19">
        <v>13.9</v>
      </c>
      <c r="R216" s="34"/>
    </row>
    <row r="217" spans="1:18">
      <c r="A217" s="18" t="s">
        <v>5436</v>
      </c>
      <c r="B217" s="18" t="s">
        <v>5437</v>
      </c>
      <c r="C217" s="18" t="s">
        <v>5040</v>
      </c>
      <c r="D217" s="18" t="s">
        <v>51</v>
      </c>
      <c r="E217" s="19" t="str">
        <f t="shared" si="6"/>
        <v>Sales</v>
      </c>
      <c r="F217" s="18" t="s">
        <v>5031</v>
      </c>
      <c r="G217" s="19" t="str">
        <f t="shared" si="7"/>
        <v>Walk-In</v>
      </c>
      <c r="H217" s="18">
        <v>3.7</v>
      </c>
      <c r="I217" s="18">
        <v>5</v>
      </c>
      <c r="J217" s="18">
        <v>4.3</v>
      </c>
      <c r="K217" s="18">
        <v>119294</v>
      </c>
      <c r="L217" s="18">
        <v>112096</v>
      </c>
      <c r="M217" s="18" t="s">
        <v>5045</v>
      </c>
      <c r="N217" s="41" t="s">
        <v>1801</v>
      </c>
      <c r="O217" s="18" t="s">
        <v>114</v>
      </c>
      <c r="P217" s="18">
        <v>13.3</v>
      </c>
      <c r="R217" s="34"/>
    </row>
    <row r="218" spans="1:18">
      <c r="A218" s="19" t="s">
        <v>5438</v>
      </c>
      <c r="B218" s="19" t="s">
        <v>253</v>
      </c>
      <c r="C218" s="19" t="s">
        <v>25</v>
      </c>
      <c r="D218" s="19" t="s">
        <v>63</v>
      </c>
      <c r="E218" s="19" t="str">
        <f t="shared" si="6"/>
        <v>Product</v>
      </c>
      <c r="F218" s="19" t="s">
        <v>5077</v>
      </c>
      <c r="G218" s="19" t="str">
        <f t="shared" si="7"/>
        <v>Referral</v>
      </c>
      <c r="H218" s="19">
        <v>3.1</v>
      </c>
      <c r="I218" s="19">
        <v>9.6999999999999993</v>
      </c>
      <c r="J218" s="19">
        <v>6.4</v>
      </c>
      <c r="K218" s="19">
        <v>36846</v>
      </c>
      <c r="L218" s="19">
        <v>40641</v>
      </c>
      <c r="M218" s="19" t="s">
        <v>5045</v>
      </c>
      <c r="N218" s="40" t="s">
        <v>5439</v>
      </c>
      <c r="O218" s="19" t="s">
        <v>70</v>
      </c>
      <c r="P218" s="19">
        <v>6.1</v>
      </c>
      <c r="R218" s="34"/>
    </row>
    <row r="219" spans="1:18">
      <c r="A219" s="18" t="s">
        <v>5440</v>
      </c>
      <c r="B219" s="18" t="s">
        <v>1482</v>
      </c>
      <c r="C219" s="18" t="s">
        <v>225</v>
      </c>
      <c r="D219" s="18" t="s">
        <v>39</v>
      </c>
      <c r="E219" s="19" t="str">
        <f t="shared" si="6"/>
        <v>Engineering</v>
      </c>
      <c r="F219" s="18" t="s">
        <v>5023</v>
      </c>
      <c r="G219" s="19" t="str">
        <f t="shared" si="7"/>
        <v>Linkedin</v>
      </c>
      <c r="H219" s="18">
        <v>3.6</v>
      </c>
      <c r="I219" s="18">
        <v>5.4</v>
      </c>
      <c r="J219" s="18">
        <v>4.5</v>
      </c>
      <c r="K219" s="18">
        <v>35014</v>
      </c>
      <c r="L219" s="18">
        <v>30159</v>
      </c>
      <c r="M219" s="18" t="s">
        <v>5020</v>
      </c>
      <c r="N219" s="41" t="s">
        <v>5441</v>
      </c>
      <c r="O219" s="18" t="s">
        <v>32</v>
      </c>
      <c r="P219" s="18">
        <v>4.4000000000000004</v>
      </c>
      <c r="R219" s="34"/>
    </row>
    <row r="220" spans="1:18">
      <c r="A220" s="19" t="s">
        <v>5442</v>
      </c>
      <c r="B220" s="19" t="s">
        <v>5443</v>
      </c>
      <c r="C220" s="19" t="s">
        <v>90</v>
      </c>
      <c r="D220" s="19" t="s">
        <v>133</v>
      </c>
      <c r="E220" s="19" t="str">
        <f t="shared" si="6"/>
        <v>Qa</v>
      </c>
      <c r="F220" s="19" t="s">
        <v>5023</v>
      </c>
      <c r="G220" s="19" t="str">
        <f t="shared" si="7"/>
        <v>Linkedin</v>
      </c>
      <c r="H220" s="19">
        <v>5.8</v>
      </c>
      <c r="I220" s="19">
        <v>3.2</v>
      </c>
      <c r="J220" s="19">
        <v>4.5</v>
      </c>
      <c r="K220" s="19">
        <v>188798</v>
      </c>
      <c r="L220" s="19">
        <v>197255</v>
      </c>
      <c r="M220" s="19" t="s">
        <v>5035</v>
      </c>
      <c r="N220" s="40" t="s">
        <v>796</v>
      </c>
      <c r="O220" s="19" t="s">
        <v>46</v>
      </c>
      <c r="P220" s="19">
        <v>3.1</v>
      </c>
      <c r="R220" s="34"/>
    </row>
    <row r="221" spans="1:18">
      <c r="A221" s="18" t="s">
        <v>5444</v>
      </c>
      <c r="B221" s="18" t="s">
        <v>699</v>
      </c>
      <c r="C221" s="18" t="s">
        <v>153</v>
      </c>
      <c r="D221" s="18" t="s">
        <v>39</v>
      </c>
      <c r="E221" s="19" t="str">
        <f t="shared" si="6"/>
        <v>Engineering</v>
      </c>
      <c r="F221" s="18" t="s">
        <v>5077</v>
      </c>
      <c r="G221" s="19" t="str">
        <f t="shared" si="7"/>
        <v>Referral</v>
      </c>
      <c r="H221" s="18">
        <v>4.4000000000000004</v>
      </c>
      <c r="I221" s="18">
        <v>3.5</v>
      </c>
      <c r="J221" s="18">
        <v>4</v>
      </c>
      <c r="K221" s="18">
        <v>26259</v>
      </c>
      <c r="L221" s="18">
        <v>24536</v>
      </c>
      <c r="M221" s="18" t="s">
        <v>5035</v>
      </c>
      <c r="N221" s="41" t="s">
        <v>1746</v>
      </c>
      <c r="O221" s="18" t="s">
        <v>65</v>
      </c>
      <c r="P221" s="18">
        <v>5.7</v>
      </c>
      <c r="R221" s="34"/>
    </row>
    <row r="222" spans="1:18">
      <c r="A222" s="19" t="s">
        <v>5445</v>
      </c>
      <c r="B222" s="19" t="s">
        <v>5446</v>
      </c>
      <c r="C222" s="19" t="s">
        <v>138</v>
      </c>
      <c r="D222" s="19" t="s">
        <v>51</v>
      </c>
      <c r="E222" s="19" t="str">
        <f t="shared" si="6"/>
        <v>Sales</v>
      </c>
      <c r="F222" s="19" t="s">
        <v>5023</v>
      </c>
      <c r="G222" s="19" t="str">
        <f t="shared" si="7"/>
        <v>Linkedin</v>
      </c>
      <c r="H222" s="19">
        <v>9.6</v>
      </c>
      <c r="I222" s="19">
        <v>8.1999999999999993</v>
      </c>
      <c r="J222" s="19">
        <v>8.9</v>
      </c>
      <c r="K222" s="19">
        <v>147437</v>
      </c>
      <c r="L222" s="19">
        <v>159246</v>
      </c>
      <c r="M222" s="19" t="s">
        <v>5045</v>
      </c>
      <c r="N222" s="40" t="s">
        <v>5092</v>
      </c>
      <c r="O222" s="19" t="s">
        <v>214</v>
      </c>
      <c r="P222" s="19">
        <v>10.3</v>
      </c>
      <c r="R222" s="34"/>
    </row>
    <row r="223" spans="1:18">
      <c r="A223" s="18" t="s">
        <v>5447</v>
      </c>
      <c r="B223" s="18" t="s">
        <v>702</v>
      </c>
      <c r="C223" s="18" t="s">
        <v>105</v>
      </c>
      <c r="D223" s="18" t="s">
        <v>84</v>
      </c>
      <c r="E223" s="19" t="str">
        <f t="shared" si="6"/>
        <v>Hr</v>
      </c>
      <c r="F223" s="18" t="s">
        <v>5019</v>
      </c>
      <c r="G223" s="19" t="str">
        <f t="shared" si="7"/>
        <v>Linkedin</v>
      </c>
      <c r="H223" s="18">
        <v>3.3</v>
      </c>
      <c r="I223" s="18">
        <v>4</v>
      </c>
      <c r="J223" s="18">
        <v>3.6</v>
      </c>
      <c r="K223" s="18">
        <v>57939</v>
      </c>
      <c r="L223" s="18"/>
      <c r="M223" s="18" t="s">
        <v>5017</v>
      </c>
      <c r="N223" s="41" t="s">
        <v>5448</v>
      </c>
      <c r="O223" s="18" t="s">
        <v>214</v>
      </c>
      <c r="P223" s="18">
        <v>1.6</v>
      </c>
      <c r="R223" s="34"/>
    </row>
    <row r="224" spans="1:18">
      <c r="A224" s="19" t="s">
        <v>5449</v>
      </c>
      <c r="B224" s="19" t="s">
        <v>5450</v>
      </c>
      <c r="C224" s="19" t="s">
        <v>98</v>
      </c>
      <c r="D224" s="19" t="s">
        <v>89</v>
      </c>
      <c r="E224" s="19" t="str">
        <f t="shared" si="6"/>
        <v>Data Science</v>
      </c>
      <c r="F224" s="19" t="s">
        <v>5016</v>
      </c>
      <c r="G224" s="19" t="str">
        <f t="shared" si="7"/>
        <v>Job Portal</v>
      </c>
      <c r="H224" s="19">
        <v>9</v>
      </c>
      <c r="I224" s="19">
        <v>4</v>
      </c>
      <c r="J224" s="19">
        <v>6.5</v>
      </c>
      <c r="K224" s="19">
        <v>36472</v>
      </c>
      <c r="L224" s="19"/>
      <c r="M224" s="19" t="s">
        <v>5045</v>
      </c>
      <c r="N224" s="40" t="s">
        <v>5451</v>
      </c>
      <c r="O224" s="19" t="s">
        <v>114</v>
      </c>
      <c r="P224" s="19">
        <v>11.7</v>
      </c>
      <c r="R224" s="34"/>
    </row>
    <row r="225" spans="1:18">
      <c r="A225" s="18" t="s">
        <v>5452</v>
      </c>
      <c r="B225" s="18" t="s">
        <v>628</v>
      </c>
      <c r="C225" s="18" t="s">
        <v>225</v>
      </c>
      <c r="D225" s="18" t="s">
        <v>118</v>
      </c>
      <c r="E225" s="19" t="str">
        <f t="shared" si="6"/>
        <v>Marketing</v>
      </c>
      <c r="F225" s="18" t="s">
        <v>5077</v>
      </c>
      <c r="G225" s="19" t="str">
        <f t="shared" si="7"/>
        <v>Referral</v>
      </c>
      <c r="H225" s="18">
        <v>3.1</v>
      </c>
      <c r="I225" s="18">
        <v>6.6</v>
      </c>
      <c r="J225" s="18">
        <v>4.8</v>
      </c>
      <c r="K225" s="18">
        <v>59904</v>
      </c>
      <c r="L225" s="18">
        <v>54026</v>
      </c>
      <c r="M225" s="18" t="s">
        <v>5020</v>
      </c>
      <c r="N225" s="41" t="s">
        <v>5453</v>
      </c>
      <c r="O225" s="18" t="s">
        <v>46</v>
      </c>
      <c r="P225" s="18">
        <v>4.3</v>
      </c>
      <c r="R225" s="34"/>
    </row>
    <row r="226" spans="1:18">
      <c r="A226" s="19" t="s">
        <v>5454</v>
      </c>
      <c r="B226" s="19" t="s">
        <v>601</v>
      </c>
      <c r="C226" s="19" t="s">
        <v>225</v>
      </c>
      <c r="D226" s="19" t="s">
        <v>118</v>
      </c>
      <c r="E226" s="19" t="str">
        <f t="shared" si="6"/>
        <v>Marketing</v>
      </c>
      <c r="F226" s="19" t="s">
        <v>5077</v>
      </c>
      <c r="G226" s="19" t="str">
        <f t="shared" si="7"/>
        <v>Referral</v>
      </c>
      <c r="H226" s="19">
        <v>3.9</v>
      </c>
      <c r="I226" s="19">
        <v>8.6</v>
      </c>
      <c r="J226" s="19">
        <v>6.2</v>
      </c>
      <c r="K226" s="19">
        <v>156756</v>
      </c>
      <c r="L226" s="19">
        <v>174794</v>
      </c>
      <c r="M226" s="19" t="s">
        <v>5020</v>
      </c>
      <c r="N226" s="40" t="s">
        <v>258</v>
      </c>
      <c r="O226" s="19" t="s">
        <v>75</v>
      </c>
      <c r="P226" s="19">
        <v>12.8</v>
      </c>
      <c r="R226" s="34"/>
    </row>
    <row r="227" spans="1:18">
      <c r="A227" s="18" t="s">
        <v>5455</v>
      </c>
      <c r="B227" s="18" t="s">
        <v>772</v>
      </c>
      <c r="C227" s="18" t="s">
        <v>138</v>
      </c>
      <c r="D227" s="18" t="s">
        <v>16</v>
      </c>
      <c r="E227" s="19" t="str">
        <f t="shared" si="6"/>
        <v>Devops</v>
      </c>
      <c r="F227" s="18" t="s">
        <v>5016</v>
      </c>
      <c r="G227" s="19" t="str">
        <f t="shared" si="7"/>
        <v>Job Portal</v>
      </c>
      <c r="H227" s="18">
        <v>4.5999999999999996</v>
      </c>
      <c r="I227" s="18">
        <v>8.8000000000000007</v>
      </c>
      <c r="J227" s="18">
        <v>6.7</v>
      </c>
      <c r="K227" s="18">
        <v>146574</v>
      </c>
      <c r="L227" s="18">
        <v>143449</v>
      </c>
      <c r="M227" s="18" t="s">
        <v>5045</v>
      </c>
      <c r="N227" s="41" t="s">
        <v>5456</v>
      </c>
      <c r="O227" s="18" t="s">
        <v>149</v>
      </c>
      <c r="P227" s="18">
        <v>9.3000000000000007</v>
      </c>
      <c r="R227" s="34"/>
    </row>
    <row r="228" spans="1:18">
      <c r="A228" s="19" t="s">
        <v>5457</v>
      </c>
      <c r="B228" s="19" t="s">
        <v>1108</v>
      </c>
      <c r="C228" s="19" t="s">
        <v>90</v>
      </c>
      <c r="D228" s="19" t="s">
        <v>16</v>
      </c>
      <c r="E228" s="19" t="str">
        <f t="shared" si="6"/>
        <v>Devops</v>
      </c>
      <c r="F228" s="19" t="s">
        <v>5019</v>
      </c>
      <c r="G228" s="19" t="str">
        <f t="shared" si="7"/>
        <v>Linkedin</v>
      </c>
      <c r="H228" s="19">
        <v>4.7</v>
      </c>
      <c r="I228" s="19">
        <v>6.5</v>
      </c>
      <c r="J228" s="19">
        <v>5.6</v>
      </c>
      <c r="K228" s="19">
        <v>134598</v>
      </c>
      <c r="L228" s="19">
        <v>133679</v>
      </c>
      <c r="M228" s="19" t="s">
        <v>5017</v>
      </c>
      <c r="N228" s="40" t="s">
        <v>2157</v>
      </c>
      <c r="O228" s="19" t="s">
        <v>214</v>
      </c>
      <c r="P228" s="19">
        <v>5.0999999999999996</v>
      </c>
      <c r="R228" s="34"/>
    </row>
    <row r="229" spans="1:18">
      <c r="A229" s="18" t="s">
        <v>5458</v>
      </c>
      <c r="B229" s="18" t="s">
        <v>5076</v>
      </c>
      <c r="C229" s="18" t="s">
        <v>225</v>
      </c>
      <c r="D229" s="18" t="s">
        <v>51</v>
      </c>
      <c r="E229" s="19" t="str">
        <f t="shared" si="6"/>
        <v>Sales</v>
      </c>
      <c r="F229" s="18" t="s">
        <v>5023</v>
      </c>
      <c r="G229" s="19" t="str">
        <f t="shared" si="7"/>
        <v>Linkedin</v>
      </c>
      <c r="H229" s="18">
        <v>5.8</v>
      </c>
      <c r="I229" s="18">
        <v>4.8</v>
      </c>
      <c r="J229" s="18">
        <v>5.3</v>
      </c>
      <c r="K229" s="18">
        <v>123503</v>
      </c>
      <c r="L229" s="18"/>
      <c r="M229" s="18" t="s">
        <v>5017</v>
      </c>
      <c r="N229" s="41" t="s">
        <v>5459</v>
      </c>
      <c r="O229" s="18" t="s">
        <v>114</v>
      </c>
      <c r="P229" s="18">
        <v>2</v>
      </c>
      <c r="R229" s="34"/>
    </row>
    <row r="230" spans="1:18">
      <c r="A230" s="19" t="s">
        <v>5460</v>
      </c>
      <c r="B230" s="19" t="s">
        <v>545</v>
      </c>
      <c r="C230" s="19" t="s">
        <v>79</v>
      </c>
      <c r="D230" s="19" t="s">
        <v>89</v>
      </c>
      <c r="E230" s="19" t="str">
        <f t="shared" si="6"/>
        <v>Data Science</v>
      </c>
      <c r="F230" s="19" t="s">
        <v>5077</v>
      </c>
      <c r="G230" s="19" t="str">
        <f t="shared" si="7"/>
        <v>Referral</v>
      </c>
      <c r="H230" s="19">
        <v>4</v>
      </c>
      <c r="I230" s="19">
        <v>10</v>
      </c>
      <c r="J230" s="19">
        <v>7</v>
      </c>
      <c r="K230" s="19">
        <v>66053</v>
      </c>
      <c r="L230" s="19">
        <v>70051</v>
      </c>
      <c r="M230" s="19" t="s">
        <v>5017</v>
      </c>
      <c r="N230" s="40" t="s">
        <v>2131</v>
      </c>
      <c r="O230" s="19" t="s">
        <v>46</v>
      </c>
      <c r="P230" s="19">
        <v>9.6999999999999993</v>
      </c>
      <c r="R230" s="34"/>
    </row>
    <row r="231" spans="1:18">
      <c r="A231" s="18" t="s">
        <v>5461</v>
      </c>
      <c r="B231" s="18" t="s">
        <v>5462</v>
      </c>
      <c r="C231" s="18" t="s">
        <v>79</v>
      </c>
      <c r="D231" s="18" t="s">
        <v>39</v>
      </c>
      <c r="E231" s="19" t="str">
        <f t="shared" si="6"/>
        <v>Engineering</v>
      </c>
      <c r="F231" s="18" t="s">
        <v>5016</v>
      </c>
      <c r="G231" s="19" t="str">
        <f t="shared" si="7"/>
        <v>Job Portal</v>
      </c>
      <c r="H231" s="18">
        <v>4.3</v>
      </c>
      <c r="I231" s="18">
        <v>3.3</v>
      </c>
      <c r="J231" s="18">
        <v>3.8</v>
      </c>
      <c r="K231" s="18">
        <v>29500</v>
      </c>
      <c r="L231" s="18">
        <v>25962</v>
      </c>
      <c r="M231" s="18" t="s">
        <v>5028</v>
      </c>
      <c r="N231" s="41" t="s">
        <v>5463</v>
      </c>
      <c r="O231" s="18" t="s">
        <v>149</v>
      </c>
      <c r="P231" s="18">
        <v>6.6</v>
      </c>
      <c r="R231" s="34"/>
    </row>
    <row r="232" spans="1:18">
      <c r="A232" s="19" t="s">
        <v>5464</v>
      </c>
      <c r="B232" s="19" t="s">
        <v>958</v>
      </c>
      <c r="C232" s="19" t="s">
        <v>105</v>
      </c>
      <c r="D232" s="19" t="s">
        <v>39</v>
      </c>
      <c r="E232" s="19" t="str">
        <f t="shared" si="6"/>
        <v>Engineering</v>
      </c>
      <c r="F232" s="19" t="s">
        <v>5031</v>
      </c>
      <c r="G232" s="19" t="str">
        <f t="shared" si="7"/>
        <v>Walk-In</v>
      </c>
      <c r="H232" s="19">
        <v>3.6</v>
      </c>
      <c r="I232" s="19">
        <v>6.4</v>
      </c>
      <c r="J232" s="19">
        <v>5</v>
      </c>
      <c r="K232" s="19">
        <v>83617</v>
      </c>
      <c r="L232" s="19">
        <v>85540</v>
      </c>
      <c r="M232" s="19" t="s">
        <v>5020</v>
      </c>
      <c r="N232" s="40" t="s">
        <v>988</v>
      </c>
      <c r="O232" s="19" t="s">
        <v>53</v>
      </c>
      <c r="P232" s="19">
        <v>7.2</v>
      </c>
      <c r="R232" s="34"/>
    </row>
    <row r="233" spans="1:18">
      <c r="A233" s="18" t="s">
        <v>5465</v>
      </c>
      <c r="B233" s="18" t="s">
        <v>545</v>
      </c>
      <c r="C233" s="18" t="s">
        <v>90</v>
      </c>
      <c r="D233" s="18" t="s">
        <v>39</v>
      </c>
      <c r="E233" s="19" t="str">
        <f t="shared" si="6"/>
        <v>Engineering</v>
      </c>
      <c r="F233" s="18" t="s">
        <v>5019</v>
      </c>
      <c r="G233" s="19" t="str">
        <f t="shared" si="7"/>
        <v>Linkedin</v>
      </c>
      <c r="H233" s="18">
        <v>3.3</v>
      </c>
      <c r="I233" s="18">
        <v>5.3</v>
      </c>
      <c r="J233" s="18">
        <v>4.3</v>
      </c>
      <c r="K233" s="18">
        <v>138417</v>
      </c>
      <c r="L233" s="18">
        <v>159136</v>
      </c>
      <c r="M233" s="18" t="s">
        <v>5017</v>
      </c>
      <c r="N233" s="41" t="s">
        <v>5466</v>
      </c>
      <c r="O233" s="18" t="s">
        <v>172</v>
      </c>
      <c r="P233" s="18">
        <v>3.5</v>
      </c>
      <c r="R233" s="34"/>
    </row>
    <row r="234" spans="1:18">
      <c r="A234" s="19" t="s">
        <v>5467</v>
      </c>
      <c r="B234" s="19" t="s">
        <v>457</v>
      </c>
      <c r="C234" s="19" t="s">
        <v>153</v>
      </c>
      <c r="D234" s="19" t="s">
        <v>118</v>
      </c>
      <c r="E234" s="19" t="str">
        <f t="shared" si="6"/>
        <v>Marketing</v>
      </c>
      <c r="F234" s="19" t="s">
        <v>5016</v>
      </c>
      <c r="G234" s="19" t="str">
        <f t="shared" si="7"/>
        <v>Job Portal</v>
      </c>
      <c r="H234" s="19">
        <v>8.1</v>
      </c>
      <c r="I234" s="19">
        <v>3.3</v>
      </c>
      <c r="J234" s="19">
        <v>5.7</v>
      </c>
      <c r="K234" s="19">
        <v>141978</v>
      </c>
      <c r="L234" s="19">
        <v>134367</v>
      </c>
      <c r="M234" s="19" t="s">
        <v>5035</v>
      </c>
      <c r="N234" s="40" t="s">
        <v>1741</v>
      </c>
      <c r="O234" s="19" t="s">
        <v>70</v>
      </c>
      <c r="P234" s="19">
        <v>12</v>
      </c>
      <c r="R234" s="34"/>
    </row>
    <row r="235" spans="1:18">
      <c r="A235" s="18" t="s">
        <v>5468</v>
      </c>
      <c r="B235" s="18" t="s">
        <v>5219</v>
      </c>
      <c r="C235" s="18" t="s">
        <v>138</v>
      </c>
      <c r="D235" s="18" t="s">
        <v>118</v>
      </c>
      <c r="E235" s="19" t="str">
        <f t="shared" si="6"/>
        <v>Marketing</v>
      </c>
      <c r="F235" s="18" t="s">
        <v>5031</v>
      </c>
      <c r="G235" s="19" t="str">
        <f t="shared" si="7"/>
        <v>Walk-In</v>
      </c>
      <c r="H235" s="18">
        <v>8.9</v>
      </c>
      <c r="I235" s="18">
        <v>7</v>
      </c>
      <c r="J235" s="18">
        <v>8</v>
      </c>
      <c r="K235" s="18">
        <v>51114</v>
      </c>
      <c r="L235" s="18"/>
      <c r="M235" s="18" t="s">
        <v>5028</v>
      </c>
      <c r="N235" s="41" t="s">
        <v>1732</v>
      </c>
      <c r="O235" s="18" t="s">
        <v>214</v>
      </c>
      <c r="P235" s="18">
        <v>2.1</v>
      </c>
      <c r="R235" s="34"/>
    </row>
    <row r="236" spans="1:18">
      <c r="A236" s="19" t="s">
        <v>5469</v>
      </c>
      <c r="B236" s="19" t="s">
        <v>5314</v>
      </c>
      <c r="C236" s="19" t="s">
        <v>25</v>
      </c>
      <c r="D236" s="19" t="s">
        <v>39</v>
      </c>
      <c r="E236" s="19" t="str">
        <f t="shared" si="6"/>
        <v>Engineering</v>
      </c>
      <c r="F236" s="19" t="s">
        <v>5051</v>
      </c>
      <c r="G236" s="19" t="str">
        <f t="shared" si="7"/>
        <v>Naukri</v>
      </c>
      <c r="H236" s="19">
        <v>3.8</v>
      </c>
      <c r="I236" s="19">
        <v>3</v>
      </c>
      <c r="J236" s="19">
        <v>3.4</v>
      </c>
      <c r="K236" s="19">
        <v>43370</v>
      </c>
      <c r="L236" s="19"/>
      <c r="M236" s="19" t="s">
        <v>5035</v>
      </c>
      <c r="N236" s="40" t="s">
        <v>5184</v>
      </c>
      <c r="O236" s="19" t="s">
        <v>46</v>
      </c>
      <c r="P236" s="19">
        <v>5.6</v>
      </c>
      <c r="R236" s="34"/>
    </row>
    <row r="237" spans="1:18">
      <c r="A237" s="18" t="s">
        <v>5470</v>
      </c>
      <c r="B237" s="18" t="s">
        <v>5471</v>
      </c>
      <c r="C237" s="18" t="s">
        <v>225</v>
      </c>
      <c r="D237" s="18" t="s">
        <v>63</v>
      </c>
      <c r="E237" s="19" t="str">
        <f t="shared" si="6"/>
        <v>Product</v>
      </c>
      <c r="F237" s="18" t="s">
        <v>5051</v>
      </c>
      <c r="G237" s="19" t="str">
        <f t="shared" si="7"/>
        <v>Naukri</v>
      </c>
      <c r="H237" s="18">
        <v>4.0999999999999996</v>
      </c>
      <c r="I237" s="18">
        <v>5.9</v>
      </c>
      <c r="J237" s="18">
        <v>5</v>
      </c>
      <c r="K237" s="18">
        <v>33187</v>
      </c>
      <c r="L237" s="18">
        <v>38037</v>
      </c>
      <c r="M237" s="18" t="s">
        <v>5020</v>
      </c>
      <c r="N237" s="41" t="s">
        <v>5472</v>
      </c>
      <c r="O237" s="18" t="s">
        <v>172</v>
      </c>
      <c r="P237" s="18">
        <v>13</v>
      </c>
      <c r="R237" s="34"/>
    </row>
    <row r="238" spans="1:18">
      <c r="A238" s="19" t="s">
        <v>5473</v>
      </c>
      <c r="B238" s="19" t="s">
        <v>1396</v>
      </c>
      <c r="C238" s="19" t="s">
        <v>5040</v>
      </c>
      <c r="D238" s="19" t="s">
        <v>84</v>
      </c>
      <c r="E238" s="19" t="str">
        <f t="shared" si="6"/>
        <v>Hr</v>
      </c>
      <c r="F238" s="19" t="s">
        <v>5077</v>
      </c>
      <c r="G238" s="19" t="str">
        <f t="shared" si="7"/>
        <v>Referral</v>
      </c>
      <c r="H238" s="19">
        <v>3.8</v>
      </c>
      <c r="I238" s="19">
        <v>3.1</v>
      </c>
      <c r="J238" s="19">
        <v>3.5</v>
      </c>
      <c r="K238" s="19">
        <v>41981</v>
      </c>
      <c r="L238" s="19"/>
      <c r="M238" s="19" t="s">
        <v>5017</v>
      </c>
      <c r="N238" s="40" t="s">
        <v>5474</v>
      </c>
      <c r="O238" s="19" t="s">
        <v>26</v>
      </c>
      <c r="P238" s="19">
        <v>13</v>
      </c>
      <c r="R238" s="34"/>
    </row>
    <row r="239" spans="1:18">
      <c r="A239" s="18" t="s">
        <v>5475</v>
      </c>
      <c r="B239" s="18" t="s">
        <v>5476</v>
      </c>
      <c r="C239" s="18" t="s">
        <v>105</v>
      </c>
      <c r="D239" s="18" t="s">
        <v>51</v>
      </c>
      <c r="E239" s="19" t="str">
        <f t="shared" si="6"/>
        <v>Sales</v>
      </c>
      <c r="F239" s="18" t="s">
        <v>5060</v>
      </c>
      <c r="G239" s="19" t="str">
        <f t="shared" si="7"/>
        <v>Naukri</v>
      </c>
      <c r="H239" s="18">
        <v>4.4000000000000004</v>
      </c>
      <c r="I239" s="18">
        <v>3.8</v>
      </c>
      <c r="J239" s="18">
        <v>4.0999999999999996</v>
      </c>
      <c r="K239" s="18">
        <v>164597</v>
      </c>
      <c r="L239" s="18">
        <v>143586</v>
      </c>
      <c r="M239" s="18" t="s">
        <v>5035</v>
      </c>
      <c r="N239" s="41" t="s">
        <v>5477</v>
      </c>
      <c r="O239" s="18" t="s">
        <v>149</v>
      </c>
      <c r="P239" s="18">
        <v>4.2</v>
      </c>
      <c r="R239" s="34"/>
    </row>
    <row r="240" spans="1:18">
      <c r="A240" s="19" t="s">
        <v>5478</v>
      </c>
      <c r="B240" s="19" t="s">
        <v>5479</v>
      </c>
      <c r="C240" s="19" t="s">
        <v>153</v>
      </c>
      <c r="D240" s="19" t="s">
        <v>118</v>
      </c>
      <c r="E240" s="19" t="str">
        <f t="shared" si="6"/>
        <v>Marketing</v>
      </c>
      <c r="F240" s="19" t="s">
        <v>5051</v>
      </c>
      <c r="G240" s="19" t="str">
        <f t="shared" si="7"/>
        <v>Naukri</v>
      </c>
      <c r="H240" s="19">
        <v>9.5</v>
      </c>
      <c r="I240" s="19">
        <v>9.8000000000000007</v>
      </c>
      <c r="J240" s="19">
        <v>9.6999999999999993</v>
      </c>
      <c r="K240" s="19"/>
      <c r="L240" s="19"/>
      <c r="M240" s="19" t="s">
        <v>5017</v>
      </c>
      <c r="N240" s="40" t="s">
        <v>1801</v>
      </c>
      <c r="O240" s="19" t="s">
        <v>26</v>
      </c>
      <c r="P240" s="19">
        <v>11.6</v>
      </c>
      <c r="R240" s="34"/>
    </row>
    <row r="241" spans="1:18">
      <c r="A241" s="18" t="s">
        <v>5480</v>
      </c>
      <c r="B241" s="18" t="s">
        <v>5481</v>
      </c>
      <c r="C241" s="18" t="s">
        <v>25</v>
      </c>
      <c r="D241" s="18" t="s">
        <v>133</v>
      </c>
      <c r="E241" s="19" t="str">
        <f t="shared" si="6"/>
        <v>Qa</v>
      </c>
      <c r="F241" s="18" t="s">
        <v>5077</v>
      </c>
      <c r="G241" s="19" t="str">
        <f t="shared" si="7"/>
        <v>Referral</v>
      </c>
      <c r="H241" s="18"/>
      <c r="I241" s="18">
        <v>6.9</v>
      </c>
      <c r="J241" s="18"/>
      <c r="K241" s="18">
        <v>127274</v>
      </c>
      <c r="L241" s="18"/>
      <c r="M241" s="18" t="s">
        <v>5045</v>
      </c>
      <c r="N241" s="41" t="s">
        <v>5466</v>
      </c>
      <c r="O241" s="18" t="s">
        <v>149</v>
      </c>
      <c r="P241" s="18">
        <v>9.5</v>
      </c>
      <c r="R241" s="34"/>
    </row>
    <row r="242" spans="1:18">
      <c r="A242" s="19" t="s">
        <v>5482</v>
      </c>
      <c r="B242" s="19" t="s">
        <v>1366</v>
      </c>
      <c r="C242" s="19" t="s">
        <v>98</v>
      </c>
      <c r="D242" s="19" t="s">
        <v>63</v>
      </c>
      <c r="E242" s="19" t="str">
        <f t="shared" si="6"/>
        <v>Product</v>
      </c>
      <c r="F242" s="19" t="s">
        <v>5051</v>
      </c>
      <c r="G242" s="19" t="str">
        <f t="shared" si="7"/>
        <v>Naukri</v>
      </c>
      <c r="H242" s="19">
        <v>9</v>
      </c>
      <c r="I242" s="19">
        <v>4.5999999999999996</v>
      </c>
      <c r="J242" s="19">
        <v>6.8</v>
      </c>
      <c r="K242" s="19">
        <v>192926</v>
      </c>
      <c r="L242" s="19"/>
      <c r="M242" s="19" t="s">
        <v>5045</v>
      </c>
      <c r="N242" s="40" t="s">
        <v>5483</v>
      </c>
      <c r="O242" s="19" t="s">
        <v>75</v>
      </c>
      <c r="P242" s="19">
        <v>1.4</v>
      </c>
      <c r="R242" s="34"/>
    </row>
    <row r="243" spans="1:18">
      <c r="A243" s="18" t="s">
        <v>5484</v>
      </c>
      <c r="B243" s="18" t="s">
        <v>5485</v>
      </c>
      <c r="C243" s="18" t="s">
        <v>79</v>
      </c>
      <c r="D243" s="18" t="s">
        <v>39</v>
      </c>
      <c r="E243" s="19" t="str">
        <f t="shared" si="6"/>
        <v>Engineering</v>
      </c>
      <c r="F243" s="18" t="s">
        <v>5060</v>
      </c>
      <c r="G243" s="19" t="str">
        <f t="shared" si="7"/>
        <v>Naukri</v>
      </c>
      <c r="H243" s="18">
        <v>5.7</v>
      </c>
      <c r="I243" s="18">
        <v>5.4</v>
      </c>
      <c r="J243" s="18">
        <v>5.6</v>
      </c>
      <c r="K243" s="18">
        <v>79025</v>
      </c>
      <c r="L243" s="18">
        <v>72832</v>
      </c>
      <c r="M243" s="18" t="s">
        <v>5045</v>
      </c>
      <c r="N243" s="41" t="s">
        <v>1971</v>
      </c>
      <c r="O243" s="18" t="s">
        <v>46</v>
      </c>
      <c r="P243" s="18">
        <v>14.6</v>
      </c>
      <c r="R243" s="34"/>
    </row>
    <row r="244" spans="1:18">
      <c r="A244" s="19" t="s">
        <v>5486</v>
      </c>
      <c r="B244" s="19" t="s">
        <v>5487</v>
      </c>
      <c r="C244" s="19" t="s">
        <v>90</v>
      </c>
      <c r="D244" s="19" t="s">
        <v>16</v>
      </c>
      <c r="E244" s="19" t="str">
        <f t="shared" si="6"/>
        <v>Devops</v>
      </c>
      <c r="F244" s="19" t="s">
        <v>5025</v>
      </c>
      <c r="G244" s="19" t="str">
        <f t="shared" si="7"/>
        <v>Campus</v>
      </c>
      <c r="H244" s="19">
        <v>7.8</v>
      </c>
      <c r="I244" s="19">
        <v>6.4</v>
      </c>
      <c r="J244" s="19">
        <v>7.1</v>
      </c>
      <c r="K244" s="19">
        <v>20383</v>
      </c>
      <c r="L244" s="19">
        <v>20256</v>
      </c>
      <c r="M244" s="19" t="s">
        <v>5035</v>
      </c>
      <c r="N244" s="40" t="s">
        <v>1683</v>
      </c>
      <c r="O244" s="19" t="s">
        <v>46</v>
      </c>
      <c r="P244" s="19">
        <v>11.2</v>
      </c>
      <c r="R244" s="34"/>
    </row>
    <row r="245" spans="1:18">
      <c r="A245" s="18" t="s">
        <v>5488</v>
      </c>
      <c r="B245" s="18" t="s">
        <v>1403</v>
      </c>
      <c r="C245" s="18" t="s">
        <v>105</v>
      </c>
      <c r="D245" s="18" t="s">
        <v>63</v>
      </c>
      <c r="E245" s="19" t="str">
        <f t="shared" si="6"/>
        <v>Product</v>
      </c>
      <c r="F245" s="18" t="s">
        <v>5031</v>
      </c>
      <c r="G245" s="19" t="str">
        <f t="shared" si="7"/>
        <v>Walk-In</v>
      </c>
      <c r="H245" s="18">
        <v>8.6</v>
      </c>
      <c r="I245" s="18">
        <v>5.8</v>
      </c>
      <c r="J245" s="18">
        <v>7.2</v>
      </c>
      <c r="K245" s="18">
        <v>54880</v>
      </c>
      <c r="L245" s="18">
        <v>50167</v>
      </c>
      <c r="M245" s="18" t="s">
        <v>5028</v>
      </c>
      <c r="N245" s="41" t="s">
        <v>2088</v>
      </c>
      <c r="O245" s="18" t="s">
        <v>46</v>
      </c>
      <c r="P245" s="18">
        <v>3.1</v>
      </c>
      <c r="R245" s="34"/>
    </row>
    <row r="246" spans="1:18">
      <c r="A246" s="19" t="s">
        <v>5489</v>
      </c>
      <c r="B246" s="19" t="s">
        <v>5395</v>
      </c>
      <c r="C246" s="19" t="s">
        <v>5040</v>
      </c>
      <c r="D246" s="19" t="s">
        <v>118</v>
      </c>
      <c r="E246" s="19" t="str">
        <f t="shared" si="6"/>
        <v>Marketing</v>
      </c>
      <c r="F246" s="19" t="s">
        <v>5060</v>
      </c>
      <c r="G246" s="19" t="str">
        <f t="shared" si="7"/>
        <v>Naukri</v>
      </c>
      <c r="H246" s="19">
        <v>6.4</v>
      </c>
      <c r="I246" s="19">
        <v>3.6</v>
      </c>
      <c r="J246" s="19">
        <v>5</v>
      </c>
      <c r="K246" s="19">
        <v>35031</v>
      </c>
      <c r="L246" s="19"/>
      <c r="M246" s="19" t="s">
        <v>5017</v>
      </c>
      <c r="N246" s="40" t="s">
        <v>5490</v>
      </c>
      <c r="O246" s="19" t="s">
        <v>46</v>
      </c>
      <c r="P246" s="19">
        <v>3.3</v>
      </c>
      <c r="R246" s="34"/>
    </row>
    <row r="247" spans="1:18">
      <c r="A247" s="18" t="s">
        <v>5491</v>
      </c>
      <c r="B247" s="18" t="s">
        <v>5492</v>
      </c>
      <c r="C247" s="18" t="s">
        <v>153</v>
      </c>
      <c r="D247" s="18" t="s">
        <v>84</v>
      </c>
      <c r="E247" s="19" t="str">
        <f t="shared" si="6"/>
        <v>Hr</v>
      </c>
      <c r="F247" s="18" t="s">
        <v>5077</v>
      </c>
      <c r="G247" s="19" t="str">
        <f t="shared" si="7"/>
        <v>Referral</v>
      </c>
      <c r="H247" s="18">
        <v>8.1999999999999993</v>
      </c>
      <c r="I247" s="18">
        <v>8.6</v>
      </c>
      <c r="J247" s="18">
        <v>8.4</v>
      </c>
      <c r="K247" s="18">
        <v>179640</v>
      </c>
      <c r="L247" s="18"/>
      <c r="M247" s="18" t="s">
        <v>5017</v>
      </c>
      <c r="N247" s="41" t="s">
        <v>5493</v>
      </c>
      <c r="O247" s="18" t="s">
        <v>53</v>
      </c>
      <c r="P247" s="18">
        <v>11.3</v>
      </c>
      <c r="R247" s="34"/>
    </row>
    <row r="248" spans="1:18">
      <c r="A248" s="19" t="s">
        <v>5494</v>
      </c>
      <c r="B248" s="19" t="s">
        <v>5179</v>
      </c>
      <c r="C248" s="19" t="s">
        <v>225</v>
      </c>
      <c r="D248" s="19" t="s">
        <v>39</v>
      </c>
      <c r="E248" s="19" t="str">
        <f t="shared" si="6"/>
        <v>Engineering</v>
      </c>
      <c r="F248" s="19" t="s">
        <v>5077</v>
      </c>
      <c r="G248" s="19" t="str">
        <f t="shared" si="7"/>
        <v>Referral</v>
      </c>
      <c r="H248" s="19">
        <v>6.3</v>
      </c>
      <c r="I248" s="19">
        <v>6.3</v>
      </c>
      <c r="J248" s="19">
        <v>6.3</v>
      </c>
      <c r="K248" s="19">
        <v>23356</v>
      </c>
      <c r="L248" s="19"/>
      <c r="M248" s="19" t="s">
        <v>5020</v>
      </c>
      <c r="N248" s="40" t="s">
        <v>1092</v>
      </c>
      <c r="O248" s="19" t="s">
        <v>149</v>
      </c>
      <c r="P248" s="19">
        <v>5.4</v>
      </c>
      <c r="R248" s="34"/>
    </row>
    <row r="249" spans="1:18">
      <c r="A249" s="18" t="s">
        <v>5495</v>
      </c>
      <c r="B249" s="18" t="s">
        <v>5496</v>
      </c>
      <c r="C249" s="18" t="s">
        <v>105</v>
      </c>
      <c r="D249" s="18" t="s">
        <v>118</v>
      </c>
      <c r="E249" s="19" t="str">
        <f t="shared" si="6"/>
        <v>Marketing</v>
      </c>
      <c r="F249" s="18" t="s">
        <v>5077</v>
      </c>
      <c r="G249" s="19" t="str">
        <f t="shared" si="7"/>
        <v>Referral</v>
      </c>
      <c r="H249" s="18">
        <v>8.1999999999999993</v>
      </c>
      <c r="I249" s="18">
        <v>4.5999999999999996</v>
      </c>
      <c r="J249" s="18">
        <v>6.4</v>
      </c>
      <c r="K249" s="18">
        <v>78520</v>
      </c>
      <c r="L249" s="18"/>
      <c r="M249" s="18" t="s">
        <v>5028</v>
      </c>
      <c r="N249" s="41" t="s">
        <v>5497</v>
      </c>
      <c r="O249" s="18" t="s">
        <v>75</v>
      </c>
      <c r="P249" s="18">
        <v>3.6</v>
      </c>
      <c r="R249" s="34"/>
    </row>
    <row r="250" spans="1:18">
      <c r="A250" s="19" t="s">
        <v>5498</v>
      </c>
      <c r="B250" s="19" t="s">
        <v>5499</v>
      </c>
      <c r="C250" s="19" t="s">
        <v>105</v>
      </c>
      <c r="D250" s="19" t="s">
        <v>51</v>
      </c>
      <c r="E250" s="19" t="str">
        <f t="shared" si="6"/>
        <v>Sales</v>
      </c>
      <c r="F250" s="19" t="s">
        <v>5019</v>
      </c>
      <c r="G250" s="19" t="str">
        <f t="shared" si="7"/>
        <v>Linkedin</v>
      </c>
      <c r="H250" s="19">
        <v>4</v>
      </c>
      <c r="I250" s="19">
        <v>6.8</v>
      </c>
      <c r="J250" s="19">
        <v>5.4</v>
      </c>
      <c r="K250" s="19">
        <v>46571</v>
      </c>
      <c r="L250" s="19">
        <v>47962</v>
      </c>
      <c r="M250" s="19" t="s">
        <v>5028</v>
      </c>
      <c r="N250" s="40" t="s">
        <v>5500</v>
      </c>
      <c r="O250" s="19" t="s">
        <v>214</v>
      </c>
      <c r="P250" s="19">
        <v>13.9</v>
      </c>
      <c r="R250" s="34"/>
    </row>
    <row r="251" spans="1:18">
      <c r="A251" s="18" t="s">
        <v>5501</v>
      </c>
      <c r="B251" s="18" t="s">
        <v>5502</v>
      </c>
      <c r="C251" s="18" t="s">
        <v>225</v>
      </c>
      <c r="D251" s="18" t="s">
        <v>24</v>
      </c>
      <c r="E251" s="19" t="str">
        <f t="shared" si="6"/>
        <v>Design</v>
      </c>
      <c r="F251" s="18" t="s">
        <v>5016</v>
      </c>
      <c r="G251" s="19" t="str">
        <f t="shared" si="7"/>
        <v>Job Portal</v>
      </c>
      <c r="H251" s="18">
        <v>5.9</v>
      </c>
      <c r="I251" s="18">
        <v>8.6</v>
      </c>
      <c r="J251" s="18">
        <v>7.2</v>
      </c>
      <c r="K251" s="18">
        <v>174791</v>
      </c>
      <c r="L251" s="18">
        <v>182606</v>
      </c>
      <c r="M251" s="18" t="s">
        <v>5028</v>
      </c>
      <c r="N251" s="41" t="s">
        <v>5503</v>
      </c>
      <c r="O251" s="18" t="s">
        <v>114</v>
      </c>
      <c r="P251" s="18">
        <v>13.5</v>
      </c>
      <c r="R251" s="34"/>
    </row>
    <row r="252" spans="1:18">
      <c r="A252" s="19" t="s">
        <v>5504</v>
      </c>
      <c r="B252" s="19" t="s">
        <v>848</v>
      </c>
      <c r="C252" s="19" t="s">
        <v>98</v>
      </c>
      <c r="D252" s="19" t="s">
        <v>118</v>
      </c>
      <c r="E252" s="19" t="str">
        <f t="shared" si="6"/>
        <v>Marketing</v>
      </c>
      <c r="F252" s="19" t="s">
        <v>5016</v>
      </c>
      <c r="G252" s="19" t="str">
        <f t="shared" si="7"/>
        <v>Job Portal</v>
      </c>
      <c r="H252" s="19">
        <v>3.8</v>
      </c>
      <c r="I252" s="19">
        <v>7.2</v>
      </c>
      <c r="J252" s="19">
        <v>5.5</v>
      </c>
      <c r="K252" s="19">
        <v>94204</v>
      </c>
      <c r="L252" s="19">
        <v>105775</v>
      </c>
      <c r="M252" s="19" t="s">
        <v>5028</v>
      </c>
      <c r="N252" s="40" t="s">
        <v>1824</v>
      </c>
      <c r="O252" s="19" t="s">
        <v>214</v>
      </c>
      <c r="P252" s="19">
        <v>7.7</v>
      </c>
      <c r="R252" s="34"/>
    </row>
    <row r="253" spans="1:18">
      <c r="A253" s="18" t="s">
        <v>5505</v>
      </c>
      <c r="B253" s="18" t="s">
        <v>5307</v>
      </c>
      <c r="C253" s="18" t="s">
        <v>105</v>
      </c>
      <c r="D253" s="18" t="s">
        <v>133</v>
      </c>
      <c r="E253" s="19" t="str">
        <f t="shared" si="6"/>
        <v>Qa</v>
      </c>
      <c r="F253" s="18" t="s">
        <v>5051</v>
      </c>
      <c r="G253" s="19" t="str">
        <f t="shared" si="7"/>
        <v>Naukri</v>
      </c>
      <c r="H253" s="18">
        <v>7.1</v>
      </c>
      <c r="I253" s="18">
        <v>8.1</v>
      </c>
      <c r="J253" s="18">
        <v>7.6</v>
      </c>
      <c r="K253" s="18">
        <v>91867</v>
      </c>
      <c r="L253" s="18">
        <v>90363</v>
      </c>
      <c r="M253" s="18" t="s">
        <v>5035</v>
      </c>
      <c r="N253" s="41" t="s">
        <v>5506</v>
      </c>
      <c r="O253" s="18" t="s">
        <v>172</v>
      </c>
      <c r="P253" s="18">
        <v>2.2000000000000002</v>
      </c>
      <c r="R253" s="34"/>
    </row>
    <row r="254" spans="1:18">
      <c r="A254" s="19" t="s">
        <v>5507</v>
      </c>
      <c r="B254" s="19" t="s">
        <v>1328</v>
      </c>
      <c r="C254" s="19" t="s">
        <v>79</v>
      </c>
      <c r="D254" s="19" t="s">
        <v>133</v>
      </c>
      <c r="E254" s="19" t="str">
        <f t="shared" si="6"/>
        <v>Qa</v>
      </c>
      <c r="F254" s="19" t="s">
        <v>5016</v>
      </c>
      <c r="G254" s="19" t="str">
        <f t="shared" si="7"/>
        <v>Job Portal</v>
      </c>
      <c r="H254" s="19">
        <v>7.9</v>
      </c>
      <c r="I254" s="19">
        <v>9.8000000000000007</v>
      </c>
      <c r="J254" s="19">
        <v>8.9</v>
      </c>
      <c r="K254" s="19">
        <v>35845</v>
      </c>
      <c r="L254" s="19">
        <v>34522</v>
      </c>
      <c r="M254" s="19" t="s">
        <v>5045</v>
      </c>
      <c r="N254" s="40" t="s">
        <v>1718</v>
      </c>
      <c r="O254" s="19" t="s">
        <v>70</v>
      </c>
      <c r="P254" s="19">
        <v>5.6</v>
      </c>
      <c r="R254" s="34"/>
    </row>
    <row r="255" spans="1:18">
      <c r="A255" s="18" t="s">
        <v>5508</v>
      </c>
      <c r="B255" s="18" t="s">
        <v>5509</v>
      </c>
      <c r="C255" s="18" t="s">
        <v>225</v>
      </c>
      <c r="D255" s="18" t="s">
        <v>63</v>
      </c>
      <c r="E255" s="19" t="str">
        <f t="shared" si="6"/>
        <v>Product</v>
      </c>
      <c r="F255" s="18" t="s">
        <v>5077</v>
      </c>
      <c r="G255" s="19" t="str">
        <f t="shared" si="7"/>
        <v>Referral</v>
      </c>
      <c r="H255" s="18">
        <v>9.8000000000000007</v>
      </c>
      <c r="I255" s="18">
        <v>6.5</v>
      </c>
      <c r="J255" s="18">
        <v>8.1999999999999993</v>
      </c>
      <c r="K255" s="18">
        <v>25244</v>
      </c>
      <c r="L255" s="18">
        <v>26091</v>
      </c>
      <c r="M255" s="18" t="s">
        <v>5020</v>
      </c>
      <c r="N255" s="41" t="s">
        <v>5510</v>
      </c>
      <c r="O255" s="18" t="s">
        <v>114</v>
      </c>
      <c r="P255" s="18">
        <v>13.1</v>
      </c>
      <c r="R255" s="34"/>
    </row>
    <row r="256" spans="1:18">
      <c r="A256" s="19" t="s">
        <v>5511</v>
      </c>
      <c r="B256" s="19" t="s">
        <v>5512</v>
      </c>
      <c r="C256" s="19" t="s">
        <v>153</v>
      </c>
      <c r="D256" s="19" t="s">
        <v>133</v>
      </c>
      <c r="E256" s="19" t="str">
        <f t="shared" si="6"/>
        <v>Qa</v>
      </c>
      <c r="F256" s="19" t="s">
        <v>5060</v>
      </c>
      <c r="G256" s="19" t="str">
        <f t="shared" si="7"/>
        <v>Naukri</v>
      </c>
      <c r="H256" s="19">
        <v>8.3000000000000007</v>
      </c>
      <c r="I256" s="19">
        <v>5.2</v>
      </c>
      <c r="J256" s="19">
        <v>6.8</v>
      </c>
      <c r="K256" s="19">
        <v>99842</v>
      </c>
      <c r="L256" s="19">
        <v>97557</v>
      </c>
      <c r="M256" s="19" t="s">
        <v>5035</v>
      </c>
      <c r="N256" s="40" t="s">
        <v>5149</v>
      </c>
      <c r="O256" s="19" t="s">
        <v>53</v>
      </c>
      <c r="P256" s="19">
        <v>2.2999999999999998</v>
      </c>
      <c r="R256" s="34"/>
    </row>
    <row r="257" spans="1:18">
      <c r="A257" s="18" t="s">
        <v>5513</v>
      </c>
      <c r="B257" s="18" t="s">
        <v>5514</v>
      </c>
      <c r="C257" s="18" t="s">
        <v>79</v>
      </c>
      <c r="D257" s="18" t="s">
        <v>63</v>
      </c>
      <c r="E257" s="19" t="str">
        <f t="shared" si="6"/>
        <v>Product</v>
      </c>
      <c r="F257" s="18" t="s">
        <v>5060</v>
      </c>
      <c r="G257" s="19" t="str">
        <f t="shared" si="7"/>
        <v>Naukri</v>
      </c>
      <c r="H257" s="18">
        <v>4.0999999999999996</v>
      </c>
      <c r="I257" s="18">
        <v>8.3000000000000007</v>
      </c>
      <c r="J257" s="18">
        <v>6.2</v>
      </c>
      <c r="K257" s="18">
        <v>138064</v>
      </c>
      <c r="L257" s="18"/>
      <c r="M257" s="18" t="s">
        <v>5020</v>
      </c>
      <c r="N257" s="41" t="s">
        <v>792</v>
      </c>
      <c r="O257" s="18" t="s">
        <v>114</v>
      </c>
      <c r="P257" s="18">
        <v>3.2</v>
      </c>
      <c r="R257" s="34"/>
    </row>
    <row r="258" spans="1:18">
      <c r="A258" s="19" t="s">
        <v>5515</v>
      </c>
      <c r="B258" s="19" t="s">
        <v>5123</v>
      </c>
      <c r="C258" s="19" t="s">
        <v>335</v>
      </c>
      <c r="D258" s="19" t="s">
        <v>24</v>
      </c>
      <c r="E258" s="19" t="str">
        <f t="shared" si="6"/>
        <v>Design</v>
      </c>
      <c r="F258" s="19" t="s">
        <v>5051</v>
      </c>
      <c r="G258" s="19" t="str">
        <f t="shared" si="7"/>
        <v>Naukri</v>
      </c>
      <c r="H258" s="19">
        <v>9.8000000000000007</v>
      </c>
      <c r="I258" s="19">
        <v>7.4</v>
      </c>
      <c r="J258" s="19">
        <v>8.6</v>
      </c>
      <c r="K258" s="19">
        <v>100014</v>
      </c>
      <c r="L258" s="19">
        <v>104835</v>
      </c>
      <c r="M258" s="19" t="s">
        <v>5020</v>
      </c>
      <c r="N258" s="40" t="s">
        <v>5339</v>
      </c>
      <c r="O258" s="19" t="s">
        <v>32</v>
      </c>
      <c r="P258" s="19">
        <v>14.4</v>
      </c>
      <c r="R258" s="34"/>
    </row>
    <row r="259" spans="1:18">
      <c r="A259" s="18" t="s">
        <v>5516</v>
      </c>
      <c r="B259" s="18" t="s">
        <v>5280</v>
      </c>
      <c r="C259" s="18" t="s">
        <v>138</v>
      </c>
      <c r="D259" s="18" t="s">
        <v>16</v>
      </c>
      <c r="E259" s="19" t="str">
        <f t="shared" ref="E259:E322" si="8">PROPER(D259)</f>
        <v>Devops</v>
      </c>
      <c r="F259" s="18" t="s">
        <v>5016</v>
      </c>
      <c r="G259" s="19" t="str">
        <f t="shared" ref="G259:G322" si="9">PROPER(F259)</f>
        <v>Job Portal</v>
      </c>
      <c r="H259" s="18">
        <v>5.5</v>
      </c>
      <c r="I259" s="18">
        <v>4.2</v>
      </c>
      <c r="J259" s="18">
        <v>4.8</v>
      </c>
      <c r="K259" s="18">
        <v>167702</v>
      </c>
      <c r="L259" s="18">
        <v>145736</v>
      </c>
      <c r="M259" s="18" t="s">
        <v>5028</v>
      </c>
      <c r="N259" s="41" t="s">
        <v>5517</v>
      </c>
      <c r="O259" s="18" t="s">
        <v>65</v>
      </c>
      <c r="P259" s="18">
        <v>7.9</v>
      </c>
      <c r="R259" s="34"/>
    </row>
    <row r="260" spans="1:18">
      <c r="A260" s="19" t="s">
        <v>5518</v>
      </c>
      <c r="B260" s="19" t="s">
        <v>637</v>
      </c>
      <c r="C260" s="19" t="s">
        <v>153</v>
      </c>
      <c r="D260" s="19" t="s">
        <v>16</v>
      </c>
      <c r="E260" s="19" t="str">
        <f t="shared" si="8"/>
        <v>Devops</v>
      </c>
      <c r="F260" s="19" t="s">
        <v>5077</v>
      </c>
      <c r="G260" s="19" t="str">
        <f t="shared" si="9"/>
        <v>Referral</v>
      </c>
      <c r="H260" s="19">
        <v>6.4</v>
      </c>
      <c r="I260" s="19"/>
      <c r="J260" s="19">
        <v>6.4</v>
      </c>
      <c r="K260" s="19">
        <v>85696</v>
      </c>
      <c r="L260" s="19">
        <v>87016</v>
      </c>
      <c r="M260" s="19" t="s">
        <v>5017</v>
      </c>
      <c r="N260" s="40" t="s">
        <v>5519</v>
      </c>
      <c r="O260" s="19" t="s">
        <v>53</v>
      </c>
      <c r="P260" s="19">
        <v>13.7</v>
      </c>
      <c r="R260" s="34"/>
    </row>
    <row r="261" spans="1:18">
      <c r="A261" s="18" t="s">
        <v>5520</v>
      </c>
      <c r="B261" s="18" t="s">
        <v>5521</v>
      </c>
      <c r="C261" s="18" t="s">
        <v>79</v>
      </c>
      <c r="D261" s="18" t="s">
        <v>24</v>
      </c>
      <c r="E261" s="19" t="str">
        <f t="shared" si="8"/>
        <v>Design</v>
      </c>
      <c r="F261" s="18" t="s">
        <v>5016</v>
      </c>
      <c r="G261" s="19" t="str">
        <f t="shared" si="9"/>
        <v>Job Portal</v>
      </c>
      <c r="H261" s="18">
        <v>6.5</v>
      </c>
      <c r="I261" s="18">
        <v>9.5</v>
      </c>
      <c r="J261" s="18">
        <v>8</v>
      </c>
      <c r="K261" s="18">
        <v>171223</v>
      </c>
      <c r="L261" s="18">
        <v>175221</v>
      </c>
      <c r="M261" s="18" t="s">
        <v>5035</v>
      </c>
      <c r="N261" s="41" t="s">
        <v>2168</v>
      </c>
      <c r="O261" s="18" t="s">
        <v>114</v>
      </c>
      <c r="P261" s="18">
        <v>10</v>
      </c>
      <c r="R261" s="34"/>
    </row>
    <row r="262" spans="1:18">
      <c r="A262" s="19" t="s">
        <v>5522</v>
      </c>
      <c r="B262" s="19" t="s">
        <v>5523</v>
      </c>
      <c r="C262" s="19" t="s">
        <v>98</v>
      </c>
      <c r="D262" s="19" t="s">
        <v>89</v>
      </c>
      <c r="E262" s="19" t="str">
        <f t="shared" si="8"/>
        <v>Data Science</v>
      </c>
      <c r="F262" s="19" t="s">
        <v>5025</v>
      </c>
      <c r="G262" s="19" t="str">
        <f t="shared" si="9"/>
        <v>Campus</v>
      </c>
      <c r="H262" s="19">
        <v>7.7</v>
      </c>
      <c r="I262" s="19">
        <v>6.2</v>
      </c>
      <c r="J262" s="19">
        <v>7</v>
      </c>
      <c r="K262" s="19">
        <v>171890</v>
      </c>
      <c r="L262" s="19">
        <v>157220</v>
      </c>
      <c r="M262" s="19" t="s">
        <v>5035</v>
      </c>
      <c r="N262" s="40" t="s">
        <v>5524</v>
      </c>
      <c r="O262" s="19" t="s">
        <v>26</v>
      </c>
      <c r="P262" s="19">
        <v>9.6</v>
      </c>
      <c r="R262" s="34"/>
    </row>
    <row r="263" spans="1:18">
      <c r="A263" s="18" t="s">
        <v>5525</v>
      </c>
      <c r="B263" s="18" t="s">
        <v>129</v>
      </c>
      <c r="C263" s="18" t="s">
        <v>138</v>
      </c>
      <c r="D263" s="18" t="s">
        <v>84</v>
      </c>
      <c r="E263" s="19" t="str">
        <f t="shared" si="8"/>
        <v>Hr</v>
      </c>
      <c r="F263" s="18" t="s">
        <v>5023</v>
      </c>
      <c r="G263" s="19" t="str">
        <f t="shared" si="9"/>
        <v>Linkedin</v>
      </c>
      <c r="H263" s="18">
        <v>7.2</v>
      </c>
      <c r="I263" s="18">
        <v>8.8000000000000007</v>
      </c>
      <c r="J263" s="18">
        <v>8</v>
      </c>
      <c r="K263" s="18">
        <v>90737</v>
      </c>
      <c r="L263" s="18">
        <v>79047</v>
      </c>
      <c r="M263" s="18" t="s">
        <v>5017</v>
      </c>
      <c r="N263" s="41" t="s">
        <v>5526</v>
      </c>
      <c r="O263" s="18" t="s">
        <v>18</v>
      </c>
      <c r="P263" s="18">
        <v>9.6999999999999993</v>
      </c>
      <c r="R263" s="34"/>
    </row>
    <row r="264" spans="1:18">
      <c r="A264" s="19" t="s">
        <v>5527</v>
      </c>
      <c r="B264" s="19" t="s">
        <v>598</v>
      </c>
      <c r="C264" s="19" t="s">
        <v>25</v>
      </c>
      <c r="D264" s="19" t="s">
        <v>89</v>
      </c>
      <c r="E264" s="19" t="str">
        <f t="shared" si="8"/>
        <v>Data Science</v>
      </c>
      <c r="F264" s="19" t="s">
        <v>5060</v>
      </c>
      <c r="G264" s="19" t="str">
        <f t="shared" si="9"/>
        <v>Naukri</v>
      </c>
      <c r="H264" s="19">
        <v>6.4</v>
      </c>
      <c r="I264" s="19">
        <v>3.1</v>
      </c>
      <c r="J264" s="19">
        <v>4.8</v>
      </c>
      <c r="K264" s="19">
        <v>94487</v>
      </c>
      <c r="L264" s="19"/>
      <c r="M264" s="19" t="s">
        <v>5028</v>
      </c>
      <c r="N264" s="40" t="s">
        <v>5528</v>
      </c>
      <c r="O264" s="19" t="s">
        <v>32</v>
      </c>
      <c r="P264" s="19">
        <v>10.7</v>
      </c>
      <c r="R264" s="34"/>
    </row>
    <row r="265" spans="1:18">
      <c r="A265" s="18" t="s">
        <v>5529</v>
      </c>
      <c r="B265" s="18" t="s">
        <v>5530</v>
      </c>
      <c r="C265" s="18" t="s">
        <v>98</v>
      </c>
      <c r="D265" s="18" t="s">
        <v>133</v>
      </c>
      <c r="E265" s="19" t="str">
        <f t="shared" si="8"/>
        <v>Qa</v>
      </c>
      <c r="F265" s="18" t="s">
        <v>5060</v>
      </c>
      <c r="G265" s="19" t="str">
        <f t="shared" si="9"/>
        <v>Naukri</v>
      </c>
      <c r="H265" s="18">
        <v>6.5</v>
      </c>
      <c r="I265" s="18">
        <v>3.1</v>
      </c>
      <c r="J265" s="18">
        <v>4.8</v>
      </c>
      <c r="K265" s="18">
        <v>60748</v>
      </c>
      <c r="L265" s="18">
        <v>61321</v>
      </c>
      <c r="M265" s="18" t="s">
        <v>5028</v>
      </c>
      <c r="N265" s="41" t="s">
        <v>5531</v>
      </c>
      <c r="O265" s="18" t="s">
        <v>53</v>
      </c>
      <c r="P265" s="18">
        <v>8.4</v>
      </c>
      <c r="R265" s="34"/>
    </row>
    <row r="266" spans="1:18">
      <c r="A266" s="19" t="s">
        <v>5532</v>
      </c>
      <c r="B266" s="19" t="s">
        <v>5533</v>
      </c>
      <c r="C266" s="19" t="s">
        <v>98</v>
      </c>
      <c r="D266" s="19" t="s">
        <v>51</v>
      </c>
      <c r="E266" s="19" t="str">
        <f t="shared" si="8"/>
        <v>Sales</v>
      </c>
      <c r="F266" s="19" t="s">
        <v>5051</v>
      </c>
      <c r="G266" s="19" t="str">
        <f t="shared" si="9"/>
        <v>Naukri</v>
      </c>
      <c r="H266" s="19">
        <v>6.2</v>
      </c>
      <c r="I266" s="19">
        <v>3.4</v>
      </c>
      <c r="J266" s="19">
        <v>4.8</v>
      </c>
      <c r="K266" s="19">
        <v>64263</v>
      </c>
      <c r="L266" s="19"/>
      <c r="M266" s="19" t="s">
        <v>5020</v>
      </c>
      <c r="N266" s="40" t="s">
        <v>1889</v>
      </c>
      <c r="O266" s="19" t="s">
        <v>114</v>
      </c>
      <c r="P266" s="19">
        <v>14.2</v>
      </c>
      <c r="R266" s="34"/>
    </row>
    <row r="267" spans="1:18">
      <c r="A267" s="18" t="s">
        <v>5534</v>
      </c>
      <c r="B267" s="18" t="s">
        <v>137</v>
      </c>
      <c r="C267" s="18" t="s">
        <v>98</v>
      </c>
      <c r="D267" s="18" t="s">
        <v>39</v>
      </c>
      <c r="E267" s="19" t="str">
        <f t="shared" si="8"/>
        <v>Engineering</v>
      </c>
      <c r="F267" s="18" t="s">
        <v>5025</v>
      </c>
      <c r="G267" s="19" t="str">
        <f t="shared" si="9"/>
        <v>Campus</v>
      </c>
      <c r="H267" s="18">
        <v>6.3</v>
      </c>
      <c r="I267" s="18">
        <v>4.9000000000000004</v>
      </c>
      <c r="J267" s="18">
        <v>5.6</v>
      </c>
      <c r="K267" s="18">
        <v>154866</v>
      </c>
      <c r="L267" s="18">
        <v>143623</v>
      </c>
      <c r="M267" s="18" t="s">
        <v>5020</v>
      </c>
      <c r="N267" s="41" t="s">
        <v>577</v>
      </c>
      <c r="O267" s="18" t="s">
        <v>65</v>
      </c>
      <c r="P267" s="18">
        <v>7.4</v>
      </c>
      <c r="R267" s="34"/>
    </row>
    <row r="268" spans="1:18">
      <c r="A268" s="19" t="s">
        <v>5535</v>
      </c>
      <c r="B268" s="19" t="s">
        <v>1376</v>
      </c>
      <c r="C268" s="19" t="s">
        <v>79</v>
      </c>
      <c r="D268" s="19" t="s">
        <v>84</v>
      </c>
      <c r="E268" s="19" t="str">
        <f t="shared" si="8"/>
        <v>Hr</v>
      </c>
      <c r="F268" s="19" t="s">
        <v>5051</v>
      </c>
      <c r="G268" s="19" t="str">
        <f t="shared" si="9"/>
        <v>Naukri</v>
      </c>
      <c r="H268" s="19">
        <v>7.8</v>
      </c>
      <c r="I268" s="19">
        <v>5</v>
      </c>
      <c r="J268" s="19">
        <v>6.4</v>
      </c>
      <c r="K268" s="19">
        <v>95243</v>
      </c>
      <c r="L268" s="19"/>
      <c r="M268" s="19" t="s">
        <v>5017</v>
      </c>
      <c r="N268" s="40" t="s">
        <v>2238</v>
      </c>
      <c r="O268" s="19" t="s">
        <v>53</v>
      </c>
      <c r="P268" s="19">
        <v>3.1</v>
      </c>
      <c r="R268" s="34"/>
    </row>
    <row r="269" spans="1:18">
      <c r="A269" s="18" t="s">
        <v>5536</v>
      </c>
      <c r="B269" s="18" t="s">
        <v>5422</v>
      </c>
      <c r="C269" s="18" t="s">
        <v>153</v>
      </c>
      <c r="D269" s="18" t="s">
        <v>84</v>
      </c>
      <c r="E269" s="19" t="str">
        <f t="shared" si="8"/>
        <v>Hr</v>
      </c>
      <c r="F269" s="18" t="s">
        <v>5077</v>
      </c>
      <c r="G269" s="19" t="str">
        <f t="shared" si="9"/>
        <v>Referral</v>
      </c>
      <c r="H269" s="18">
        <v>5.5</v>
      </c>
      <c r="I269" s="18">
        <v>4.5999999999999996</v>
      </c>
      <c r="J269" s="18">
        <v>5</v>
      </c>
      <c r="K269" s="18">
        <v>25414</v>
      </c>
      <c r="L269" s="18">
        <v>26573</v>
      </c>
      <c r="M269" s="18" t="s">
        <v>5035</v>
      </c>
      <c r="N269" s="41" t="s">
        <v>5537</v>
      </c>
      <c r="O269" s="18" t="s">
        <v>53</v>
      </c>
      <c r="P269" s="18">
        <v>3.3</v>
      </c>
      <c r="R269" s="34"/>
    </row>
    <row r="270" spans="1:18">
      <c r="A270" s="19" t="s">
        <v>5538</v>
      </c>
      <c r="B270" s="19" t="s">
        <v>5539</v>
      </c>
      <c r="C270" s="19" t="s">
        <v>138</v>
      </c>
      <c r="D270" s="19" t="s">
        <v>133</v>
      </c>
      <c r="E270" s="19" t="str">
        <f t="shared" si="8"/>
        <v>Qa</v>
      </c>
      <c r="F270" s="19" t="s">
        <v>5031</v>
      </c>
      <c r="G270" s="19" t="str">
        <f t="shared" si="9"/>
        <v>Walk-In</v>
      </c>
      <c r="H270" s="19">
        <v>4</v>
      </c>
      <c r="I270" s="19">
        <v>9.1</v>
      </c>
      <c r="J270" s="19">
        <v>6.5</v>
      </c>
      <c r="K270" s="19">
        <v>67321</v>
      </c>
      <c r="L270" s="19">
        <v>58329</v>
      </c>
      <c r="M270" s="19" t="s">
        <v>5028</v>
      </c>
      <c r="N270" s="40" t="s">
        <v>5540</v>
      </c>
      <c r="O270" s="19" t="s">
        <v>18</v>
      </c>
      <c r="P270" s="19">
        <v>0.9</v>
      </c>
      <c r="R270" s="34"/>
    </row>
    <row r="271" spans="1:18">
      <c r="A271" s="18" t="s">
        <v>5541</v>
      </c>
      <c r="B271" s="18" t="s">
        <v>435</v>
      </c>
      <c r="C271" s="18" t="s">
        <v>335</v>
      </c>
      <c r="D271" s="18" t="s">
        <v>84</v>
      </c>
      <c r="E271" s="19" t="str">
        <f t="shared" si="8"/>
        <v>Hr</v>
      </c>
      <c r="F271" s="18" t="s">
        <v>5023</v>
      </c>
      <c r="G271" s="19" t="str">
        <f t="shared" si="9"/>
        <v>Linkedin</v>
      </c>
      <c r="H271" s="18">
        <v>6.3</v>
      </c>
      <c r="I271" s="18">
        <v>6.9</v>
      </c>
      <c r="J271" s="18">
        <v>6.6</v>
      </c>
      <c r="K271" s="18"/>
      <c r="L271" s="18">
        <v>30405</v>
      </c>
      <c r="M271" s="18" t="s">
        <v>5017</v>
      </c>
      <c r="N271" s="41" t="s">
        <v>1837</v>
      </c>
      <c r="O271" s="18" t="s">
        <v>46</v>
      </c>
      <c r="P271" s="18">
        <v>6.6</v>
      </c>
      <c r="R271" s="34"/>
    </row>
    <row r="272" spans="1:18">
      <c r="A272" s="19" t="s">
        <v>5542</v>
      </c>
      <c r="B272" s="19" t="s">
        <v>413</v>
      </c>
      <c r="C272" s="19" t="s">
        <v>5040</v>
      </c>
      <c r="D272" s="19" t="s">
        <v>89</v>
      </c>
      <c r="E272" s="19" t="str">
        <f t="shared" si="8"/>
        <v>Data Science</v>
      </c>
      <c r="F272" s="19" t="s">
        <v>5077</v>
      </c>
      <c r="G272" s="19" t="str">
        <f t="shared" si="9"/>
        <v>Referral</v>
      </c>
      <c r="H272" s="19">
        <v>4.9000000000000004</v>
      </c>
      <c r="I272" s="19">
        <v>8.1999999999999993</v>
      </c>
      <c r="J272" s="19">
        <v>6.5</v>
      </c>
      <c r="K272" s="19">
        <v>138695</v>
      </c>
      <c r="L272" s="19">
        <v>119584</v>
      </c>
      <c r="M272" s="19" t="s">
        <v>5028</v>
      </c>
      <c r="N272" s="40" t="s">
        <v>577</v>
      </c>
      <c r="O272" s="19" t="s">
        <v>75</v>
      </c>
      <c r="P272" s="19">
        <v>3.4</v>
      </c>
      <c r="R272" s="34"/>
    </row>
    <row r="273" spans="1:18">
      <c r="A273" s="18" t="s">
        <v>5543</v>
      </c>
      <c r="B273" s="18" t="s">
        <v>485</v>
      </c>
      <c r="C273" s="18" t="s">
        <v>138</v>
      </c>
      <c r="D273" s="18" t="s">
        <v>89</v>
      </c>
      <c r="E273" s="19" t="str">
        <f t="shared" si="8"/>
        <v>Data Science</v>
      </c>
      <c r="F273" s="18" t="s">
        <v>5051</v>
      </c>
      <c r="G273" s="19" t="str">
        <f t="shared" si="9"/>
        <v>Naukri</v>
      </c>
      <c r="H273" s="18">
        <v>8.1999999999999993</v>
      </c>
      <c r="I273" s="18">
        <v>6</v>
      </c>
      <c r="J273" s="18">
        <v>7.1</v>
      </c>
      <c r="K273" s="18">
        <v>83164</v>
      </c>
      <c r="L273" s="18">
        <v>74589</v>
      </c>
      <c r="M273" s="18" t="s">
        <v>5017</v>
      </c>
      <c r="N273" s="41" t="s">
        <v>2144</v>
      </c>
      <c r="O273" s="18" t="s">
        <v>46</v>
      </c>
      <c r="P273" s="18">
        <v>1.7</v>
      </c>
      <c r="R273" s="34"/>
    </row>
    <row r="274" spans="1:18">
      <c r="A274" s="19" t="s">
        <v>5544</v>
      </c>
      <c r="B274" s="19" t="s">
        <v>5545</v>
      </c>
      <c r="C274" s="19" t="s">
        <v>225</v>
      </c>
      <c r="D274" s="19" t="s">
        <v>176</v>
      </c>
      <c r="E274" s="19" t="str">
        <f t="shared" si="8"/>
        <v>Finance</v>
      </c>
      <c r="F274" s="19" t="s">
        <v>5051</v>
      </c>
      <c r="G274" s="19" t="str">
        <f t="shared" si="9"/>
        <v>Naukri</v>
      </c>
      <c r="H274" s="19">
        <v>8.1</v>
      </c>
      <c r="I274" s="19">
        <v>9.1</v>
      </c>
      <c r="J274" s="19">
        <v>8.6</v>
      </c>
      <c r="K274" s="19">
        <v>89241</v>
      </c>
      <c r="L274" s="19">
        <v>81722</v>
      </c>
      <c r="M274" s="19" t="s">
        <v>5035</v>
      </c>
      <c r="N274" s="40" t="s">
        <v>1619</v>
      </c>
      <c r="O274" s="19" t="s">
        <v>149</v>
      </c>
      <c r="P274" s="19">
        <v>8.3000000000000007</v>
      </c>
      <c r="R274" s="34"/>
    </row>
    <row r="275" spans="1:18">
      <c r="A275" s="18" t="s">
        <v>5546</v>
      </c>
      <c r="B275" s="18" t="s">
        <v>341</v>
      </c>
      <c r="C275" s="18" t="s">
        <v>25</v>
      </c>
      <c r="D275" s="18" t="s">
        <v>176</v>
      </c>
      <c r="E275" s="19" t="str">
        <f t="shared" si="8"/>
        <v>Finance</v>
      </c>
      <c r="F275" s="18" t="s">
        <v>5031</v>
      </c>
      <c r="G275" s="19" t="str">
        <f t="shared" si="9"/>
        <v>Walk-In</v>
      </c>
      <c r="H275" s="18">
        <v>8</v>
      </c>
      <c r="I275" s="18">
        <v>9.3000000000000007</v>
      </c>
      <c r="J275" s="18">
        <v>8.6999999999999993</v>
      </c>
      <c r="K275" s="18">
        <v>129943</v>
      </c>
      <c r="L275" s="18">
        <v>126265</v>
      </c>
      <c r="M275" s="18" t="s">
        <v>5017</v>
      </c>
      <c r="N275" s="41" t="s">
        <v>5547</v>
      </c>
      <c r="O275" s="18" t="s">
        <v>26</v>
      </c>
      <c r="P275" s="18">
        <v>14.4</v>
      </c>
      <c r="R275" s="34"/>
    </row>
    <row r="276" spans="1:18">
      <c r="A276" s="19" t="s">
        <v>5548</v>
      </c>
      <c r="B276" s="19" t="s">
        <v>5549</v>
      </c>
      <c r="C276" s="19" t="s">
        <v>105</v>
      </c>
      <c r="D276" s="19" t="s">
        <v>24</v>
      </c>
      <c r="E276" s="19" t="str">
        <f t="shared" si="8"/>
        <v>Design</v>
      </c>
      <c r="F276" s="19" t="s">
        <v>5060</v>
      </c>
      <c r="G276" s="19" t="str">
        <f t="shared" si="9"/>
        <v>Naukri</v>
      </c>
      <c r="H276" s="19">
        <v>7.1</v>
      </c>
      <c r="I276" s="19">
        <v>3.7</v>
      </c>
      <c r="J276" s="19">
        <v>5.4</v>
      </c>
      <c r="K276" s="19">
        <v>193830</v>
      </c>
      <c r="L276" s="19"/>
      <c r="M276" s="19" t="s">
        <v>5017</v>
      </c>
      <c r="N276" s="40" t="s">
        <v>5140</v>
      </c>
      <c r="O276" s="19" t="s">
        <v>32</v>
      </c>
      <c r="P276" s="19">
        <v>11.7</v>
      </c>
      <c r="R276" s="34"/>
    </row>
    <row r="277" spans="1:18">
      <c r="A277" s="18" t="s">
        <v>5550</v>
      </c>
      <c r="B277" s="18" t="s">
        <v>5551</v>
      </c>
      <c r="C277" s="18" t="s">
        <v>79</v>
      </c>
      <c r="D277" s="18" t="s">
        <v>84</v>
      </c>
      <c r="E277" s="19" t="str">
        <f t="shared" si="8"/>
        <v>Hr</v>
      </c>
      <c r="F277" s="18" t="s">
        <v>5016</v>
      </c>
      <c r="G277" s="19" t="str">
        <f t="shared" si="9"/>
        <v>Job Portal</v>
      </c>
      <c r="H277" s="18">
        <v>9</v>
      </c>
      <c r="I277" s="18">
        <v>4.8</v>
      </c>
      <c r="J277" s="18">
        <v>6.9</v>
      </c>
      <c r="K277" s="18">
        <v>137183</v>
      </c>
      <c r="L277" s="18"/>
      <c r="M277" s="18" t="s">
        <v>5035</v>
      </c>
      <c r="N277" s="41" t="s">
        <v>5552</v>
      </c>
      <c r="O277" s="18" t="s">
        <v>26</v>
      </c>
      <c r="P277" s="18">
        <v>7.5</v>
      </c>
      <c r="R277" s="34"/>
    </row>
    <row r="278" spans="1:18">
      <c r="A278" s="19" t="s">
        <v>5553</v>
      </c>
      <c r="B278" s="19" t="s">
        <v>1259</v>
      </c>
      <c r="C278" s="19" t="s">
        <v>25</v>
      </c>
      <c r="D278" s="19" t="s">
        <v>24</v>
      </c>
      <c r="E278" s="19" t="str">
        <f t="shared" si="8"/>
        <v>Design</v>
      </c>
      <c r="F278" s="19" t="s">
        <v>5019</v>
      </c>
      <c r="G278" s="19" t="str">
        <f t="shared" si="9"/>
        <v>Linkedin</v>
      </c>
      <c r="H278" s="19">
        <v>7.7</v>
      </c>
      <c r="I278" s="19">
        <v>6</v>
      </c>
      <c r="J278" s="19">
        <v>6.8</v>
      </c>
      <c r="K278" s="19">
        <v>171116</v>
      </c>
      <c r="L278" s="19">
        <v>171509</v>
      </c>
      <c r="M278" s="19" t="s">
        <v>5045</v>
      </c>
      <c r="N278" s="40" t="s">
        <v>796</v>
      </c>
      <c r="O278" s="19" t="s">
        <v>65</v>
      </c>
      <c r="P278" s="19">
        <v>15</v>
      </c>
      <c r="R278" s="34"/>
    </row>
    <row r="279" spans="1:18">
      <c r="A279" s="18" t="s">
        <v>5554</v>
      </c>
      <c r="B279" s="18" t="s">
        <v>1175</v>
      </c>
      <c r="C279" s="18" t="s">
        <v>105</v>
      </c>
      <c r="D279" s="18" t="s">
        <v>176</v>
      </c>
      <c r="E279" s="19" t="str">
        <f t="shared" si="8"/>
        <v>Finance</v>
      </c>
      <c r="F279" s="18" t="s">
        <v>5051</v>
      </c>
      <c r="G279" s="19" t="str">
        <f t="shared" si="9"/>
        <v>Naukri</v>
      </c>
      <c r="H279" s="18">
        <v>8.3000000000000007</v>
      </c>
      <c r="I279" s="18">
        <v>3.4</v>
      </c>
      <c r="J279" s="18">
        <v>5.9</v>
      </c>
      <c r="K279" s="18">
        <v>39946</v>
      </c>
      <c r="L279" s="18"/>
      <c r="M279" s="18" t="s">
        <v>5020</v>
      </c>
      <c r="N279" s="41" t="s">
        <v>1337</v>
      </c>
      <c r="O279" s="18" t="s">
        <v>32</v>
      </c>
      <c r="P279" s="18">
        <v>9.8000000000000007</v>
      </c>
      <c r="R279" s="34"/>
    </row>
    <row r="280" spans="1:18">
      <c r="A280" s="19" t="s">
        <v>5555</v>
      </c>
      <c r="B280" s="19" t="s">
        <v>1183</v>
      </c>
      <c r="C280" s="19" t="s">
        <v>225</v>
      </c>
      <c r="D280" s="19" t="s">
        <v>24</v>
      </c>
      <c r="E280" s="19" t="str">
        <f t="shared" si="8"/>
        <v>Design</v>
      </c>
      <c r="F280" s="19" t="s">
        <v>5025</v>
      </c>
      <c r="G280" s="19" t="str">
        <f t="shared" si="9"/>
        <v>Campus</v>
      </c>
      <c r="H280" s="19">
        <v>8.9</v>
      </c>
      <c r="I280" s="19">
        <v>5.8</v>
      </c>
      <c r="J280" s="19">
        <v>7.3</v>
      </c>
      <c r="K280" s="19">
        <v>44097</v>
      </c>
      <c r="L280" s="19">
        <v>49526</v>
      </c>
      <c r="M280" s="19" t="s">
        <v>5020</v>
      </c>
      <c r="N280" s="40" t="s">
        <v>5396</v>
      </c>
      <c r="O280" s="19" t="s">
        <v>32</v>
      </c>
      <c r="P280" s="19">
        <v>11.9</v>
      </c>
      <c r="R280" s="34"/>
    </row>
    <row r="281" spans="1:18">
      <c r="A281" s="18" t="s">
        <v>5556</v>
      </c>
      <c r="B281" s="18" t="s">
        <v>5549</v>
      </c>
      <c r="C281" s="18" t="s">
        <v>79</v>
      </c>
      <c r="D281" s="18" t="s">
        <v>118</v>
      </c>
      <c r="E281" s="19" t="str">
        <f t="shared" si="8"/>
        <v>Marketing</v>
      </c>
      <c r="F281" s="18" t="s">
        <v>5016</v>
      </c>
      <c r="G281" s="19" t="str">
        <f t="shared" si="9"/>
        <v>Job Portal</v>
      </c>
      <c r="H281" s="18">
        <v>7.8</v>
      </c>
      <c r="I281" s="18">
        <v>5.8</v>
      </c>
      <c r="J281" s="18">
        <v>6.8</v>
      </c>
      <c r="K281" s="18">
        <v>181711</v>
      </c>
      <c r="L281" s="18">
        <v>205471</v>
      </c>
      <c r="M281" s="18" t="s">
        <v>5020</v>
      </c>
      <c r="N281" s="41" t="s">
        <v>5531</v>
      </c>
      <c r="O281" s="18" t="s">
        <v>53</v>
      </c>
      <c r="P281" s="18">
        <v>5.7</v>
      </c>
      <c r="R281" s="34"/>
    </row>
    <row r="282" spans="1:18">
      <c r="A282" s="19" t="s">
        <v>5557</v>
      </c>
      <c r="B282" s="19" t="s">
        <v>323</v>
      </c>
      <c r="C282" s="19" t="s">
        <v>79</v>
      </c>
      <c r="D282" s="19" t="s">
        <v>39</v>
      </c>
      <c r="E282" s="19" t="str">
        <f t="shared" si="8"/>
        <v>Engineering</v>
      </c>
      <c r="F282" s="19" t="s">
        <v>5019</v>
      </c>
      <c r="G282" s="19" t="str">
        <f t="shared" si="9"/>
        <v>Linkedin</v>
      </c>
      <c r="H282" s="19">
        <v>6.6</v>
      </c>
      <c r="I282" s="19">
        <v>7.6</v>
      </c>
      <c r="J282" s="19">
        <v>7.1</v>
      </c>
      <c r="K282" s="19">
        <v>185381</v>
      </c>
      <c r="L282" s="19">
        <v>174168</v>
      </c>
      <c r="M282" s="19" t="s">
        <v>5020</v>
      </c>
      <c r="N282" s="40" t="s">
        <v>5309</v>
      </c>
      <c r="O282" s="19" t="s">
        <v>149</v>
      </c>
      <c r="P282" s="19">
        <v>7.1</v>
      </c>
      <c r="R282" s="34"/>
    </row>
    <row r="283" spans="1:18">
      <c r="A283" s="18" t="s">
        <v>5558</v>
      </c>
      <c r="B283" s="18" t="s">
        <v>5559</v>
      </c>
      <c r="C283" s="18" t="s">
        <v>5040</v>
      </c>
      <c r="D283" s="18" t="s">
        <v>24</v>
      </c>
      <c r="E283" s="19" t="str">
        <f t="shared" si="8"/>
        <v>Design</v>
      </c>
      <c r="F283" s="18" t="s">
        <v>5031</v>
      </c>
      <c r="G283" s="19" t="str">
        <f t="shared" si="9"/>
        <v>Walk-In</v>
      </c>
      <c r="H283" s="18">
        <v>6</v>
      </c>
      <c r="I283" s="18">
        <v>8.1</v>
      </c>
      <c r="J283" s="18">
        <v>7</v>
      </c>
      <c r="K283" s="18">
        <v>54183</v>
      </c>
      <c r="L283" s="18">
        <v>50590</v>
      </c>
      <c r="M283" s="18" t="s">
        <v>5035</v>
      </c>
      <c r="N283" s="41" t="s">
        <v>5560</v>
      </c>
      <c r="O283" s="18" t="s">
        <v>75</v>
      </c>
      <c r="P283" s="18">
        <v>8.3000000000000007</v>
      </c>
      <c r="R283" s="34"/>
    </row>
    <row r="284" spans="1:18">
      <c r="A284" s="19" t="s">
        <v>5561</v>
      </c>
      <c r="B284" s="19" t="s">
        <v>5562</v>
      </c>
      <c r="C284" s="19" t="s">
        <v>335</v>
      </c>
      <c r="D284" s="19" t="s">
        <v>16</v>
      </c>
      <c r="E284" s="19" t="str">
        <f t="shared" si="8"/>
        <v>Devops</v>
      </c>
      <c r="F284" s="19" t="s">
        <v>5060</v>
      </c>
      <c r="G284" s="19" t="str">
        <f t="shared" si="9"/>
        <v>Naukri</v>
      </c>
      <c r="H284" s="19">
        <v>9.5</v>
      </c>
      <c r="I284" s="19">
        <v>3.5</v>
      </c>
      <c r="J284" s="19">
        <v>6.5</v>
      </c>
      <c r="K284" s="19">
        <v>141548</v>
      </c>
      <c r="L284" s="19">
        <v>122047</v>
      </c>
      <c r="M284" s="19" t="s">
        <v>5045</v>
      </c>
      <c r="N284" s="40" t="s">
        <v>676</v>
      </c>
      <c r="O284" s="19" t="s">
        <v>214</v>
      </c>
      <c r="P284" s="19">
        <v>4.0999999999999996</v>
      </c>
      <c r="R284" s="34"/>
    </row>
    <row r="285" spans="1:18">
      <c r="A285" s="18" t="s">
        <v>5563</v>
      </c>
      <c r="B285" s="18" t="s">
        <v>482</v>
      </c>
      <c r="C285" s="18" t="s">
        <v>138</v>
      </c>
      <c r="D285" s="18" t="s">
        <v>89</v>
      </c>
      <c r="E285" s="19" t="str">
        <f t="shared" si="8"/>
        <v>Data Science</v>
      </c>
      <c r="F285" s="18" t="s">
        <v>5060</v>
      </c>
      <c r="G285" s="19" t="str">
        <f t="shared" si="9"/>
        <v>Naukri</v>
      </c>
      <c r="H285" s="18">
        <v>5.2</v>
      </c>
      <c r="I285" s="18">
        <v>4.5</v>
      </c>
      <c r="J285" s="18">
        <v>4.8</v>
      </c>
      <c r="K285" s="18">
        <v>79436</v>
      </c>
      <c r="L285" s="18">
        <v>70245</v>
      </c>
      <c r="M285" s="18" t="s">
        <v>5017</v>
      </c>
      <c r="N285" s="41" t="s">
        <v>5564</v>
      </c>
      <c r="O285" s="18" t="s">
        <v>172</v>
      </c>
      <c r="P285" s="18">
        <v>9.6</v>
      </c>
      <c r="R285" s="34"/>
    </row>
    <row r="286" spans="1:18">
      <c r="A286" s="19" t="s">
        <v>5565</v>
      </c>
      <c r="B286" s="19" t="s">
        <v>1366</v>
      </c>
      <c r="C286" s="19" t="s">
        <v>98</v>
      </c>
      <c r="D286" s="19" t="s">
        <v>63</v>
      </c>
      <c r="E286" s="19" t="str">
        <f t="shared" si="8"/>
        <v>Product</v>
      </c>
      <c r="F286" s="19" t="s">
        <v>5023</v>
      </c>
      <c r="G286" s="19" t="str">
        <f t="shared" si="9"/>
        <v>Linkedin</v>
      </c>
      <c r="H286" s="19">
        <v>6.3</v>
      </c>
      <c r="I286" s="19">
        <v>6.2</v>
      </c>
      <c r="J286" s="19">
        <v>6.2</v>
      </c>
      <c r="K286" s="19">
        <v>132104</v>
      </c>
      <c r="L286" s="19">
        <v>148960</v>
      </c>
      <c r="M286" s="19" t="s">
        <v>5028</v>
      </c>
      <c r="N286" s="40" t="s">
        <v>1894</v>
      </c>
      <c r="O286" s="19" t="s">
        <v>172</v>
      </c>
      <c r="P286" s="19">
        <v>8.1</v>
      </c>
      <c r="R286" s="34"/>
    </row>
    <row r="287" spans="1:18">
      <c r="A287" s="18" t="s">
        <v>5566</v>
      </c>
      <c r="B287" s="18" t="s">
        <v>5567</v>
      </c>
      <c r="C287" s="18" t="s">
        <v>98</v>
      </c>
      <c r="D287" s="18" t="s">
        <v>51</v>
      </c>
      <c r="E287" s="19" t="str">
        <f t="shared" si="8"/>
        <v>Sales</v>
      </c>
      <c r="F287" s="18" t="s">
        <v>5019</v>
      </c>
      <c r="G287" s="19" t="str">
        <f t="shared" si="9"/>
        <v>Linkedin</v>
      </c>
      <c r="H287" s="18">
        <v>9.9</v>
      </c>
      <c r="I287" s="18">
        <v>5.5</v>
      </c>
      <c r="J287" s="18">
        <v>7.7</v>
      </c>
      <c r="K287" s="18">
        <v>77263</v>
      </c>
      <c r="L287" s="18">
        <v>81595</v>
      </c>
      <c r="M287" s="18" t="s">
        <v>5045</v>
      </c>
      <c r="N287" s="41" t="s">
        <v>1965</v>
      </c>
      <c r="O287" s="18" t="s">
        <v>75</v>
      </c>
      <c r="P287" s="18">
        <v>2.6</v>
      </c>
      <c r="R287" s="34"/>
    </row>
    <row r="288" spans="1:18">
      <c r="A288" s="19" t="s">
        <v>5568</v>
      </c>
      <c r="B288" s="19" t="s">
        <v>5344</v>
      </c>
      <c r="C288" s="19" t="s">
        <v>25</v>
      </c>
      <c r="D288" s="19" t="s">
        <v>118</v>
      </c>
      <c r="E288" s="19" t="str">
        <f t="shared" si="8"/>
        <v>Marketing</v>
      </c>
      <c r="F288" s="19" t="s">
        <v>5023</v>
      </c>
      <c r="G288" s="19" t="str">
        <f t="shared" si="9"/>
        <v>Linkedin</v>
      </c>
      <c r="H288" s="19">
        <v>4.7</v>
      </c>
      <c r="I288" s="19">
        <v>9.1999999999999993</v>
      </c>
      <c r="J288" s="19">
        <v>6.9</v>
      </c>
      <c r="K288" s="19">
        <v>125763</v>
      </c>
      <c r="L288" s="19">
        <v>140837</v>
      </c>
      <c r="M288" s="19" t="s">
        <v>5045</v>
      </c>
      <c r="N288" s="40" t="s">
        <v>1011</v>
      </c>
      <c r="O288" s="19" t="s">
        <v>70</v>
      </c>
      <c r="P288" s="19">
        <v>8.4</v>
      </c>
      <c r="R288" s="34"/>
    </row>
    <row r="289" spans="1:18">
      <c r="A289" s="18" t="s">
        <v>5569</v>
      </c>
      <c r="B289" s="18" t="s">
        <v>1188</v>
      </c>
      <c r="C289" s="18" t="s">
        <v>153</v>
      </c>
      <c r="D289" s="18" t="s">
        <v>89</v>
      </c>
      <c r="E289" s="19" t="str">
        <f t="shared" si="8"/>
        <v>Data Science</v>
      </c>
      <c r="F289" s="18" t="s">
        <v>5019</v>
      </c>
      <c r="G289" s="19" t="str">
        <f t="shared" si="9"/>
        <v>Linkedin</v>
      </c>
      <c r="H289" s="18">
        <v>3.8</v>
      </c>
      <c r="I289" s="18">
        <v>5.8</v>
      </c>
      <c r="J289" s="18">
        <v>4.8</v>
      </c>
      <c r="K289" s="18">
        <v>171503</v>
      </c>
      <c r="L289" s="18">
        <v>192081</v>
      </c>
      <c r="M289" s="18" t="s">
        <v>5045</v>
      </c>
      <c r="N289" s="41" t="s">
        <v>1238</v>
      </c>
      <c r="O289" s="18" t="s">
        <v>65</v>
      </c>
      <c r="P289" s="18">
        <v>6.1</v>
      </c>
      <c r="R289" s="34"/>
    </row>
    <row r="290" spans="1:18">
      <c r="A290" s="19" t="s">
        <v>5570</v>
      </c>
      <c r="B290" s="19" t="s">
        <v>823</v>
      </c>
      <c r="C290" s="19" t="s">
        <v>98</v>
      </c>
      <c r="D290" s="19" t="s">
        <v>89</v>
      </c>
      <c r="E290" s="19" t="str">
        <f t="shared" si="8"/>
        <v>Data Science</v>
      </c>
      <c r="F290" s="19" t="s">
        <v>5016</v>
      </c>
      <c r="G290" s="19" t="str">
        <f t="shared" si="9"/>
        <v>Job Portal</v>
      </c>
      <c r="H290" s="19">
        <v>6.9</v>
      </c>
      <c r="I290" s="19">
        <v>8.6999999999999993</v>
      </c>
      <c r="J290" s="19">
        <v>7.8</v>
      </c>
      <c r="K290" s="19">
        <v>50624</v>
      </c>
      <c r="L290" s="19">
        <v>54243</v>
      </c>
      <c r="M290" s="19" t="s">
        <v>5017</v>
      </c>
      <c r="N290" s="40" t="s">
        <v>5571</v>
      </c>
      <c r="O290" s="19" t="s">
        <v>18</v>
      </c>
      <c r="P290" s="19">
        <v>12.4</v>
      </c>
      <c r="R290" s="34"/>
    </row>
    <row r="291" spans="1:18">
      <c r="A291" s="18" t="s">
        <v>5572</v>
      </c>
      <c r="B291" s="18" t="s">
        <v>5573</v>
      </c>
      <c r="C291" s="18" t="s">
        <v>5040</v>
      </c>
      <c r="D291" s="18" t="s">
        <v>176</v>
      </c>
      <c r="E291" s="19" t="str">
        <f t="shared" si="8"/>
        <v>Finance</v>
      </c>
      <c r="F291" s="18" t="s">
        <v>5031</v>
      </c>
      <c r="G291" s="19" t="str">
        <f t="shared" si="9"/>
        <v>Walk-In</v>
      </c>
      <c r="H291" s="18">
        <v>9.8000000000000007</v>
      </c>
      <c r="I291" s="18">
        <v>9.1</v>
      </c>
      <c r="J291" s="18">
        <v>9.4</v>
      </c>
      <c r="K291" s="18">
        <v>197122</v>
      </c>
      <c r="L291" s="18"/>
      <c r="M291" s="18" t="s">
        <v>5020</v>
      </c>
      <c r="N291" s="41" t="s">
        <v>5574</v>
      </c>
      <c r="O291" s="18" t="s">
        <v>46</v>
      </c>
      <c r="P291" s="18">
        <v>3.8</v>
      </c>
      <c r="R291" s="34"/>
    </row>
    <row r="292" spans="1:18">
      <c r="A292" s="19" t="s">
        <v>5575</v>
      </c>
      <c r="B292" s="19" t="s">
        <v>5576</v>
      </c>
      <c r="C292" s="19" t="s">
        <v>225</v>
      </c>
      <c r="D292" s="19" t="s">
        <v>16</v>
      </c>
      <c r="E292" s="19" t="str">
        <f t="shared" si="8"/>
        <v>Devops</v>
      </c>
      <c r="F292" s="19" t="s">
        <v>5051</v>
      </c>
      <c r="G292" s="19" t="str">
        <f t="shared" si="9"/>
        <v>Naukri</v>
      </c>
      <c r="H292" s="19">
        <v>5.3</v>
      </c>
      <c r="I292" s="19">
        <v>9.6999999999999993</v>
      </c>
      <c r="J292" s="19">
        <v>7.5</v>
      </c>
      <c r="K292" s="19">
        <v>115759</v>
      </c>
      <c r="L292" s="19">
        <v>107138</v>
      </c>
      <c r="M292" s="19" t="s">
        <v>5017</v>
      </c>
      <c r="N292" s="40" t="s">
        <v>5577</v>
      </c>
      <c r="O292" s="19" t="s">
        <v>75</v>
      </c>
      <c r="P292" s="19">
        <v>5</v>
      </c>
      <c r="R292" s="34"/>
    </row>
    <row r="293" spans="1:18">
      <c r="A293" s="18" t="s">
        <v>5578</v>
      </c>
      <c r="B293" s="18" t="s">
        <v>372</v>
      </c>
      <c r="C293" s="18" t="s">
        <v>225</v>
      </c>
      <c r="D293" s="18" t="s">
        <v>133</v>
      </c>
      <c r="E293" s="19" t="str">
        <f t="shared" si="8"/>
        <v>Qa</v>
      </c>
      <c r="F293" s="18" t="s">
        <v>5023</v>
      </c>
      <c r="G293" s="19" t="str">
        <f t="shared" si="9"/>
        <v>Linkedin</v>
      </c>
      <c r="H293" s="18">
        <v>3.6</v>
      </c>
      <c r="I293" s="18">
        <v>8</v>
      </c>
      <c r="J293" s="18">
        <v>5.8</v>
      </c>
      <c r="K293" s="18">
        <v>155244</v>
      </c>
      <c r="L293" s="18">
        <v>145363</v>
      </c>
      <c r="M293" s="18" t="s">
        <v>5020</v>
      </c>
      <c r="N293" s="41" t="s">
        <v>1970</v>
      </c>
      <c r="O293" s="18" t="s">
        <v>26</v>
      </c>
      <c r="P293" s="18">
        <v>1.3</v>
      </c>
      <c r="R293" s="34"/>
    </row>
    <row r="294" spans="1:18">
      <c r="A294" s="19" t="s">
        <v>5579</v>
      </c>
      <c r="B294" s="19" t="s">
        <v>5233</v>
      </c>
      <c r="C294" s="19" t="s">
        <v>79</v>
      </c>
      <c r="D294" s="19" t="s">
        <v>63</v>
      </c>
      <c r="E294" s="19" t="str">
        <f t="shared" si="8"/>
        <v>Product</v>
      </c>
      <c r="F294" s="19" t="s">
        <v>5060</v>
      </c>
      <c r="G294" s="19" t="str">
        <f t="shared" si="9"/>
        <v>Naukri</v>
      </c>
      <c r="H294" s="19">
        <v>3.9</v>
      </c>
      <c r="I294" s="19">
        <v>9.4</v>
      </c>
      <c r="J294" s="19">
        <v>6.7</v>
      </c>
      <c r="K294" s="19">
        <v>96624</v>
      </c>
      <c r="L294" s="19">
        <v>93570</v>
      </c>
      <c r="M294" s="19" t="s">
        <v>5017</v>
      </c>
      <c r="N294" s="40" t="s">
        <v>2018</v>
      </c>
      <c r="O294" s="19" t="s">
        <v>114</v>
      </c>
      <c r="P294" s="19">
        <v>0.9</v>
      </c>
      <c r="R294" s="34"/>
    </row>
    <row r="295" spans="1:18">
      <c r="A295" s="18" t="s">
        <v>5580</v>
      </c>
      <c r="B295" s="18" t="s">
        <v>798</v>
      </c>
      <c r="C295" s="18" t="s">
        <v>25</v>
      </c>
      <c r="D295" s="18" t="s">
        <v>118</v>
      </c>
      <c r="E295" s="19" t="str">
        <f t="shared" si="8"/>
        <v>Marketing</v>
      </c>
      <c r="F295" s="18" t="s">
        <v>5019</v>
      </c>
      <c r="G295" s="19" t="str">
        <f t="shared" si="9"/>
        <v>Linkedin</v>
      </c>
      <c r="H295" s="18">
        <v>8.1</v>
      </c>
      <c r="I295" s="18">
        <v>3.7</v>
      </c>
      <c r="J295" s="18">
        <v>5.9</v>
      </c>
      <c r="K295" s="18">
        <v>109621</v>
      </c>
      <c r="L295" s="18">
        <v>109848</v>
      </c>
      <c r="M295" s="18" t="s">
        <v>5020</v>
      </c>
      <c r="N295" s="41" t="s">
        <v>5547</v>
      </c>
      <c r="O295" s="18" t="s">
        <v>70</v>
      </c>
      <c r="P295" s="18">
        <v>4.5</v>
      </c>
      <c r="R295" s="34"/>
    </row>
    <row r="296" spans="1:18">
      <c r="A296" s="19" t="s">
        <v>5581</v>
      </c>
      <c r="B296" s="19" t="s">
        <v>1323</v>
      </c>
      <c r="C296" s="19" t="s">
        <v>335</v>
      </c>
      <c r="D296" s="19" t="s">
        <v>39</v>
      </c>
      <c r="E296" s="19" t="str">
        <f t="shared" si="8"/>
        <v>Engineering</v>
      </c>
      <c r="F296" s="19" t="s">
        <v>5060</v>
      </c>
      <c r="G296" s="19" t="str">
        <f t="shared" si="9"/>
        <v>Naukri</v>
      </c>
      <c r="H296" s="19">
        <v>4</v>
      </c>
      <c r="I296" s="19">
        <v>7.2</v>
      </c>
      <c r="J296" s="19">
        <v>5.6</v>
      </c>
      <c r="K296" s="19">
        <v>159474</v>
      </c>
      <c r="L296" s="19">
        <v>180080</v>
      </c>
      <c r="M296" s="19" t="s">
        <v>5035</v>
      </c>
      <c r="N296" s="40" t="s">
        <v>2037</v>
      </c>
      <c r="O296" s="19" t="s">
        <v>65</v>
      </c>
      <c r="P296" s="19">
        <v>5.0999999999999996</v>
      </c>
      <c r="R296" s="34"/>
    </row>
    <row r="297" spans="1:18">
      <c r="A297" s="18" t="s">
        <v>5582</v>
      </c>
      <c r="B297" s="18" t="s">
        <v>631</v>
      </c>
      <c r="C297" s="18" t="s">
        <v>79</v>
      </c>
      <c r="D297" s="18" t="s">
        <v>133</v>
      </c>
      <c r="E297" s="19" t="str">
        <f t="shared" si="8"/>
        <v>Qa</v>
      </c>
      <c r="F297" s="18" t="s">
        <v>5031</v>
      </c>
      <c r="G297" s="19" t="str">
        <f t="shared" si="9"/>
        <v>Walk-In</v>
      </c>
      <c r="H297" s="18">
        <v>3.3</v>
      </c>
      <c r="I297" s="18">
        <v>6.9</v>
      </c>
      <c r="J297" s="18">
        <v>5.0999999999999996</v>
      </c>
      <c r="K297" s="18">
        <v>156595</v>
      </c>
      <c r="L297" s="18">
        <v>166550</v>
      </c>
      <c r="M297" s="18" t="s">
        <v>5045</v>
      </c>
      <c r="N297" s="41" t="s">
        <v>5474</v>
      </c>
      <c r="O297" s="18" t="s">
        <v>172</v>
      </c>
      <c r="P297" s="18">
        <v>6.8</v>
      </c>
      <c r="R297" s="34"/>
    </row>
    <row r="298" spans="1:18">
      <c r="A298" s="19" t="s">
        <v>5583</v>
      </c>
      <c r="B298" s="19" t="s">
        <v>5261</v>
      </c>
      <c r="C298" s="19" t="s">
        <v>153</v>
      </c>
      <c r="D298" s="19" t="s">
        <v>133</v>
      </c>
      <c r="E298" s="19" t="str">
        <f t="shared" si="8"/>
        <v>Qa</v>
      </c>
      <c r="F298" s="19" t="s">
        <v>5077</v>
      </c>
      <c r="G298" s="19" t="str">
        <f t="shared" si="9"/>
        <v>Referral</v>
      </c>
      <c r="H298" s="19">
        <v>8</v>
      </c>
      <c r="I298" s="19">
        <v>5.2</v>
      </c>
      <c r="J298" s="19">
        <v>6.6</v>
      </c>
      <c r="K298" s="19">
        <v>93040</v>
      </c>
      <c r="L298" s="19">
        <v>93409</v>
      </c>
      <c r="M298" s="19" t="s">
        <v>5045</v>
      </c>
      <c r="N298" s="40" t="s">
        <v>1837</v>
      </c>
      <c r="O298" s="19" t="s">
        <v>32</v>
      </c>
      <c r="P298" s="19">
        <v>9</v>
      </c>
      <c r="R298" s="34"/>
    </row>
    <row r="299" spans="1:18">
      <c r="A299" s="18" t="s">
        <v>5584</v>
      </c>
      <c r="B299" s="18" t="s">
        <v>1051</v>
      </c>
      <c r="C299" s="18" t="s">
        <v>153</v>
      </c>
      <c r="D299" s="18" t="s">
        <v>39</v>
      </c>
      <c r="E299" s="19" t="str">
        <f t="shared" si="8"/>
        <v>Engineering</v>
      </c>
      <c r="F299" s="18" t="s">
        <v>5051</v>
      </c>
      <c r="G299" s="19" t="str">
        <f t="shared" si="9"/>
        <v>Naukri</v>
      </c>
      <c r="H299" s="18">
        <v>4.8</v>
      </c>
      <c r="I299" s="18">
        <v>5.2</v>
      </c>
      <c r="J299" s="18">
        <v>5</v>
      </c>
      <c r="K299" s="18">
        <v>66731</v>
      </c>
      <c r="L299" s="18"/>
      <c r="M299" s="18" t="s">
        <v>5035</v>
      </c>
      <c r="N299" s="41" t="s">
        <v>1892</v>
      </c>
      <c r="O299" s="18" t="s">
        <v>32</v>
      </c>
      <c r="P299" s="18">
        <v>5.2</v>
      </c>
      <c r="R299" s="34"/>
    </row>
    <row r="300" spans="1:18">
      <c r="A300" s="19" t="s">
        <v>5585</v>
      </c>
      <c r="B300" s="19" t="s">
        <v>420</v>
      </c>
      <c r="C300" s="19" t="s">
        <v>335</v>
      </c>
      <c r="D300" s="19" t="s">
        <v>63</v>
      </c>
      <c r="E300" s="19" t="str">
        <f t="shared" si="8"/>
        <v>Product</v>
      </c>
      <c r="F300" s="19" t="s">
        <v>5051</v>
      </c>
      <c r="G300" s="19" t="str">
        <f t="shared" si="9"/>
        <v>Naukri</v>
      </c>
      <c r="H300" s="19">
        <v>8.9</v>
      </c>
      <c r="I300" s="19">
        <v>9.8000000000000007</v>
      </c>
      <c r="J300" s="19">
        <v>9.4</v>
      </c>
      <c r="K300" s="19">
        <v>63519</v>
      </c>
      <c r="L300" s="19">
        <v>56728</v>
      </c>
      <c r="M300" s="19" t="s">
        <v>5017</v>
      </c>
      <c r="N300" s="40" t="s">
        <v>5106</v>
      </c>
      <c r="O300" s="19" t="s">
        <v>18</v>
      </c>
      <c r="P300" s="19">
        <v>8.6999999999999993</v>
      </c>
      <c r="R300" s="34"/>
    </row>
    <row r="301" spans="1:18">
      <c r="A301" s="18" t="s">
        <v>5586</v>
      </c>
      <c r="B301" s="18" t="s">
        <v>5587</v>
      </c>
      <c r="C301" s="18" t="s">
        <v>335</v>
      </c>
      <c r="D301" s="18" t="s">
        <v>39</v>
      </c>
      <c r="E301" s="19" t="str">
        <f t="shared" si="8"/>
        <v>Engineering</v>
      </c>
      <c r="F301" s="18" t="s">
        <v>5031</v>
      </c>
      <c r="G301" s="19" t="str">
        <f t="shared" si="9"/>
        <v>Walk-In</v>
      </c>
      <c r="H301" s="18">
        <v>9.6999999999999993</v>
      </c>
      <c r="I301" s="18">
        <v>6.5</v>
      </c>
      <c r="J301" s="18">
        <v>8.1</v>
      </c>
      <c r="K301" s="18">
        <v>88380</v>
      </c>
      <c r="L301" s="18">
        <v>75211</v>
      </c>
      <c r="M301" s="18" t="s">
        <v>5045</v>
      </c>
      <c r="N301" s="41" t="s">
        <v>474</v>
      </c>
      <c r="O301" s="18" t="s">
        <v>172</v>
      </c>
      <c r="P301" s="18">
        <v>0.9</v>
      </c>
      <c r="R301" s="34"/>
    </row>
    <row r="302" spans="1:18">
      <c r="A302" s="19" t="s">
        <v>5588</v>
      </c>
      <c r="B302" s="19" t="s">
        <v>5589</v>
      </c>
      <c r="C302" s="19" t="s">
        <v>105</v>
      </c>
      <c r="D302" s="19" t="s">
        <v>24</v>
      </c>
      <c r="E302" s="19" t="str">
        <f t="shared" si="8"/>
        <v>Design</v>
      </c>
      <c r="F302" s="19" t="s">
        <v>5051</v>
      </c>
      <c r="G302" s="19" t="str">
        <f t="shared" si="9"/>
        <v>Naukri</v>
      </c>
      <c r="H302" s="19">
        <v>3.6</v>
      </c>
      <c r="I302" s="19">
        <v>8</v>
      </c>
      <c r="J302" s="19">
        <v>5.8</v>
      </c>
      <c r="K302" s="19"/>
      <c r="L302" s="19">
        <v>116805</v>
      </c>
      <c r="M302" s="19" t="s">
        <v>5045</v>
      </c>
      <c r="N302" s="40" t="s">
        <v>5590</v>
      </c>
      <c r="O302" s="19" t="s">
        <v>172</v>
      </c>
      <c r="P302" s="19">
        <v>4.8</v>
      </c>
      <c r="R302" s="34"/>
    </row>
    <row r="303" spans="1:18">
      <c r="A303" s="18" t="s">
        <v>5591</v>
      </c>
      <c r="B303" s="18" t="s">
        <v>1175</v>
      </c>
      <c r="C303" s="18" t="s">
        <v>90</v>
      </c>
      <c r="D303" s="18" t="s">
        <v>176</v>
      </c>
      <c r="E303" s="19" t="str">
        <f t="shared" si="8"/>
        <v>Finance</v>
      </c>
      <c r="F303" s="18" t="s">
        <v>5060</v>
      </c>
      <c r="G303" s="19" t="str">
        <f t="shared" si="9"/>
        <v>Naukri</v>
      </c>
      <c r="H303" s="18">
        <v>9.1</v>
      </c>
      <c r="I303" s="18">
        <v>8.6999999999999993</v>
      </c>
      <c r="J303" s="18">
        <v>8.9</v>
      </c>
      <c r="K303" s="18">
        <v>74146</v>
      </c>
      <c r="L303" s="18">
        <v>71583</v>
      </c>
      <c r="M303" s="18" t="s">
        <v>5020</v>
      </c>
      <c r="N303" s="41" t="s">
        <v>1192</v>
      </c>
      <c r="O303" s="18" t="s">
        <v>53</v>
      </c>
      <c r="P303" s="18">
        <v>1.5</v>
      </c>
      <c r="R303" s="34"/>
    </row>
    <row r="304" spans="1:18">
      <c r="A304" s="19" t="s">
        <v>5592</v>
      </c>
      <c r="B304" s="19" t="s">
        <v>650</v>
      </c>
      <c r="C304" s="19" t="s">
        <v>90</v>
      </c>
      <c r="D304" s="19" t="s">
        <v>176</v>
      </c>
      <c r="E304" s="19" t="str">
        <f t="shared" si="8"/>
        <v>Finance</v>
      </c>
      <c r="F304" s="19" t="s">
        <v>5051</v>
      </c>
      <c r="G304" s="19" t="str">
        <f t="shared" si="9"/>
        <v>Naukri</v>
      </c>
      <c r="H304" s="19">
        <v>3.4</v>
      </c>
      <c r="I304" s="19">
        <v>4.0999999999999996</v>
      </c>
      <c r="J304" s="19">
        <v>3.8</v>
      </c>
      <c r="K304" s="19">
        <v>48001</v>
      </c>
      <c r="L304" s="19">
        <v>52180</v>
      </c>
      <c r="M304" s="19" t="s">
        <v>5028</v>
      </c>
      <c r="N304" s="40" t="s">
        <v>86</v>
      </c>
      <c r="O304" s="19" t="s">
        <v>149</v>
      </c>
      <c r="P304" s="19">
        <v>8.4</v>
      </c>
      <c r="R304" s="34"/>
    </row>
    <row r="305" spans="1:18">
      <c r="A305" s="18" t="s">
        <v>5593</v>
      </c>
      <c r="B305" s="18" t="s">
        <v>5594</v>
      </c>
      <c r="C305" s="18" t="s">
        <v>79</v>
      </c>
      <c r="D305" s="18" t="s">
        <v>89</v>
      </c>
      <c r="E305" s="19" t="str">
        <f t="shared" si="8"/>
        <v>Data Science</v>
      </c>
      <c r="F305" s="18" t="s">
        <v>5077</v>
      </c>
      <c r="G305" s="19" t="str">
        <f t="shared" si="9"/>
        <v>Referral</v>
      </c>
      <c r="H305" s="18">
        <v>8.6</v>
      </c>
      <c r="I305" s="18">
        <v>7.2</v>
      </c>
      <c r="J305" s="18">
        <v>7.9</v>
      </c>
      <c r="K305" s="18">
        <v>193574</v>
      </c>
      <c r="L305" s="18">
        <v>191313</v>
      </c>
      <c r="M305" s="18" t="s">
        <v>5045</v>
      </c>
      <c r="N305" s="41" t="s">
        <v>5595</v>
      </c>
      <c r="O305" s="18" t="s">
        <v>53</v>
      </c>
      <c r="P305" s="18">
        <v>6.8</v>
      </c>
      <c r="R305" s="34"/>
    </row>
    <row r="306" spans="1:18">
      <c r="A306" s="19" t="s">
        <v>5596</v>
      </c>
      <c r="B306" s="19" t="s">
        <v>5305</v>
      </c>
      <c r="C306" s="19" t="s">
        <v>90</v>
      </c>
      <c r="D306" s="19" t="s">
        <v>39</v>
      </c>
      <c r="E306" s="19" t="str">
        <f t="shared" si="8"/>
        <v>Engineering</v>
      </c>
      <c r="F306" s="19" t="s">
        <v>5016</v>
      </c>
      <c r="G306" s="19" t="str">
        <f t="shared" si="9"/>
        <v>Job Portal</v>
      </c>
      <c r="H306" s="19">
        <v>3.2</v>
      </c>
      <c r="I306" s="19">
        <v>8.4</v>
      </c>
      <c r="J306" s="19">
        <v>5.8</v>
      </c>
      <c r="K306" s="19">
        <v>129624</v>
      </c>
      <c r="L306" s="19"/>
      <c r="M306" s="19" t="s">
        <v>5020</v>
      </c>
      <c r="N306" s="40" t="s">
        <v>5597</v>
      </c>
      <c r="O306" s="19" t="s">
        <v>214</v>
      </c>
      <c r="P306" s="19">
        <v>6.1</v>
      </c>
      <c r="R306" s="34"/>
    </row>
    <row r="307" spans="1:18">
      <c r="A307" s="18" t="s">
        <v>5598</v>
      </c>
      <c r="B307" s="18" t="s">
        <v>5201</v>
      </c>
      <c r="C307" s="18" t="s">
        <v>335</v>
      </c>
      <c r="D307" s="18" t="s">
        <v>89</v>
      </c>
      <c r="E307" s="19" t="str">
        <f t="shared" si="8"/>
        <v>Data Science</v>
      </c>
      <c r="F307" s="18" t="s">
        <v>5019</v>
      </c>
      <c r="G307" s="19" t="str">
        <f t="shared" si="9"/>
        <v>Linkedin</v>
      </c>
      <c r="H307" s="18">
        <v>6.6</v>
      </c>
      <c r="I307" s="18">
        <v>4.8</v>
      </c>
      <c r="J307" s="18">
        <v>5.7</v>
      </c>
      <c r="K307" s="18">
        <v>77481</v>
      </c>
      <c r="L307" s="18"/>
      <c r="M307" s="18" t="s">
        <v>5035</v>
      </c>
      <c r="N307" s="41" t="s">
        <v>1217</v>
      </c>
      <c r="O307" s="18" t="s">
        <v>53</v>
      </c>
      <c r="P307" s="18">
        <v>4.7</v>
      </c>
      <c r="R307" s="34"/>
    </row>
    <row r="308" spans="1:18">
      <c r="A308" s="19" t="s">
        <v>5599</v>
      </c>
      <c r="B308" s="19" t="s">
        <v>5280</v>
      </c>
      <c r="C308" s="19" t="s">
        <v>153</v>
      </c>
      <c r="D308" s="19" t="s">
        <v>16</v>
      </c>
      <c r="E308" s="19" t="str">
        <f t="shared" si="8"/>
        <v>Devops</v>
      </c>
      <c r="F308" s="19" t="s">
        <v>5031</v>
      </c>
      <c r="G308" s="19" t="str">
        <f t="shared" si="9"/>
        <v>Walk-In</v>
      </c>
      <c r="H308" s="19">
        <v>9.5</v>
      </c>
      <c r="I308" s="19">
        <v>9.1999999999999993</v>
      </c>
      <c r="J308" s="19">
        <v>9.3000000000000007</v>
      </c>
      <c r="K308" s="19">
        <v>155428</v>
      </c>
      <c r="L308" s="19">
        <v>139010</v>
      </c>
      <c r="M308" s="19" t="s">
        <v>5017</v>
      </c>
      <c r="N308" s="40" t="s">
        <v>438</v>
      </c>
      <c r="O308" s="19" t="s">
        <v>18</v>
      </c>
      <c r="P308" s="19">
        <v>12.9</v>
      </c>
      <c r="R308" s="34"/>
    </row>
    <row r="309" spans="1:18">
      <c r="A309" s="18" t="s">
        <v>5600</v>
      </c>
      <c r="B309" s="18" t="s">
        <v>235</v>
      </c>
      <c r="C309" s="18" t="s">
        <v>335</v>
      </c>
      <c r="D309" s="18" t="s">
        <v>39</v>
      </c>
      <c r="E309" s="19" t="str">
        <f t="shared" si="8"/>
        <v>Engineering</v>
      </c>
      <c r="F309" s="18" t="s">
        <v>5031</v>
      </c>
      <c r="G309" s="19" t="str">
        <f t="shared" si="9"/>
        <v>Walk-In</v>
      </c>
      <c r="H309" s="18">
        <v>8.6</v>
      </c>
      <c r="I309" s="18">
        <v>4.5999999999999996</v>
      </c>
      <c r="J309" s="18">
        <v>6.6</v>
      </c>
      <c r="K309" s="18">
        <v>34022</v>
      </c>
      <c r="L309" s="18">
        <v>36059</v>
      </c>
      <c r="M309" s="18" t="s">
        <v>5045</v>
      </c>
      <c r="N309" s="41" t="s">
        <v>5601</v>
      </c>
      <c r="O309" s="18" t="s">
        <v>149</v>
      </c>
      <c r="P309" s="18">
        <v>10.6</v>
      </c>
      <c r="R309" s="34"/>
    </row>
    <row r="310" spans="1:18">
      <c r="A310" s="19" t="s">
        <v>5602</v>
      </c>
      <c r="B310" s="19" t="s">
        <v>5103</v>
      </c>
      <c r="C310" s="19" t="s">
        <v>105</v>
      </c>
      <c r="D310" s="19" t="s">
        <v>39</v>
      </c>
      <c r="E310" s="19" t="str">
        <f t="shared" si="8"/>
        <v>Engineering</v>
      </c>
      <c r="F310" s="19" t="s">
        <v>5077</v>
      </c>
      <c r="G310" s="19" t="str">
        <f t="shared" si="9"/>
        <v>Referral</v>
      </c>
      <c r="H310" s="19">
        <v>3.9</v>
      </c>
      <c r="I310" s="19">
        <v>9.1</v>
      </c>
      <c r="J310" s="19">
        <v>6.5</v>
      </c>
      <c r="K310" s="19">
        <v>150694</v>
      </c>
      <c r="L310" s="19"/>
      <c r="M310" s="19" t="s">
        <v>5035</v>
      </c>
      <c r="N310" s="40" t="s">
        <v>614</v>
      </c>
      <c r="O310" s="19" t="s">
        <v>172</v>
      </c>
      <c r="P310" s="19">
        <v>1.6</v>
      </c>
      <c r="R310" s="34"/>
    </row>
    <row r="311" spans="1:18">
      <c r="A311" s="18" t="s">
        <v>5603</v>
      </c>
      <c r="B311" s="18" t="s">
        <v>5604</v>
      </c>
      <c r="C311" s="18" t="s">
        <v>5040</v>
      </c>
      <c r="D311" s="18" t="s">
        <v>89</v>
      </c>
      <c r="E311" s="19" t="str">
        <f t="shared" si="8"/>
        <v>Data Science</v>
      </c>
      <c r="F311" s="18" t="s">
        <v>5019</v>
      </c>
      <c r="G311" s="19" t="str">
        <f t="shared" si="9"/>
        <v>Linkedin</v>
      </c>
      <c r="H311" s="18">
        <v>7.1</v>
      </c>
      <c r="I311" s="18">
        <v>4.5</v>
      </c>
      <c r="J311" s="18">
        <v>5.8</v>
      </c>
      <c r="K311" s="18">
        <v>28408</v>
      </c>
      <c r="L311" s="18">
        <v>24686</v>
      </c>
      <c r="M311" s="18" t="s">
        <v>5028</v>
      </c>
      <c r="N311" s="41" t="s">
        <v>1718</v>
      </c>
      <c r="O311" s="18" t="s">
        <v>65</v>
      </c>
      <c r="P311" s="18">
        <v>1.7</v>
      </c>
      <c r="R311" s="34"/>
    </row>
    <row r="312" spans="1:18">
      <c r="A312" s="19" t="s">
        <v>5605</v>
      </c>
      <c r="B312" s="19" t="s">
        <v>5276</v>
      </c>
      <c r="C312" s="19" t="s">
        <v>79</v>
      </c>
      <c r="D312" s="19" t="s">
        <v>16</v>
      </c>
      <c r="E312" s="19" t="str">
        <f t="shared" si="8"/>
        <v>Devops</v>
      </c>
      <c r="F312" s="19" t="s">
        <v>5019</v>
      </c>
      <c r="G312" s="19" t="str">
        <f t="shared" si="9"/>
        <v>Linkedin</v>
      </c>
      <c r="H312" s="19">
        <v>8.8000000000000007</v>
      </c>
      <c r="I312" s="19">
        <v>6.9</v>
      </c>
      <c r="J312" s="19">
        <v>7.9</v>
      </c>
      <c r="K312" s="19">
        <v>93262</v>
      </c>
      <c r="L312" s="19">
        <v>99761</v>
      </c>
      <c r="M312" s="19" t="s">
        <v>5020</v>
      </c>
      <c r="N312" s="40" t="s">
        <v>5606</v>
      </c>
      <c r="O312" s="19" t="s">
        <v>172</v>
      </c>
      <c r="P312" s="19">
        <v>4.4000000000000004</v>
      </c>
      <c r="R312" s="34"/>
    </row>
    <row r="313" spans="1:18">
      <c r="A313" s="18" t="s">
        <v>5607</v>
      </c>
      <c r="B313" s="18" t="s">
        <v>171</v>
      </c>
      <c r="C313" s="18" t="s">
        <v>25</v>
      </c>
      <c r="D313" s="18" t="s">
        <v>16</v>
      </c>
      <c r="E313" s="19" t="str">
        <f t="shared" si="8"/>
        <v>Devops</v>
      </c>
      <c r="F313" s="18" t="s">
        <v>5025</v>
      </c>
      <c r="G313" s="19" t="str">
        <f t="shared" si="9"/>
        <v>Campus</v>
      </c>
      <c r="H313" s="18">
        <v>5.6</v>
      </c>
      <c r="I313" s="18">
        <v>3.1</v>
      </c>
      <c r="J313" s="18">
        <v>4.3</v>
      </c>
      <c r="K313" s="18">
        <v>196162</v>
      </c>
      <c r="L313" s="18">
        <v>212259</v>
      </c>
      <c r="M313" s="18" t="s">
        <v>5045</v>
      </c>
      <c r="N313" s="41" t="s">
        <v>5608</v>
      </c>
      <c r="O313" s="18" t="s">
        <v>65</v>
      </c>
      <c r="P313" s="18">
        <v>6.8</v>
      </c>
      <c r="R313" s="34"/>
    </row>
    <row r="314" spans="1:18">
      <c r="A314" s="19" t="s">
        <v>5609</v>
      </c>
      <c r="B314" s="19" t="s">
        <v>851</v>
      </c>
      <c r="C314" s="19" t="s">
        <v>98</v>
      </c>
      <c r="D314" s="19" t="s">
        <v>118</v>
      </c>
      <c r="E314" s="19" t="str">
        <f t="shared" si="8"/>
        <v>Marketing</v>
      </c>
      <c r="F314" s="19" t="s">
        <v>5019</v>
      </c>
      <c r="G314" s="19" t="str">
        <f t="shared" si="9"/>
        <v>Linkedin</v>
      </c>
      <c r="H314" s="19">
        <v>5</v>
      </c>
      <c r="I314" s="19">
        <v>4.0999999999999996</v>
      </c>
      <c r="J314" s="19">
        <v>4.5</v>
      </c>
      <c r="K314" s="19">
        <v>55934</v>
      </c>
      <c r="L314" s="19">
        <v>57190</v>
      </c>
      <c r="M314" s="19" t="s">
        <v>5045</v>
      </c>
      <c r="N314" s="40" t="s">
        <v>5610</v>
      </c>
      <c r="O314" s="19" t="s">
        <v>114</v>
      </c>
      <c r="P314" s="19">
        <v>4.5</v>
      </c>
      <c r="R314" s="34"/>
    </row>
    <row r="315" spans="1:18">
      <c r="A315" s="18" t="s">
        <v>5611</v>
      </c>
      <c r="B315" s="18" t="s">
        <v>5612</v>
      </c>
      <c r="C315" s="18" t="s">
        <v>153</v>
      </c>
      <c r="D315" s="18" t="s">
        <v>84</v>
      </c>
      <c r="E315" s="19" t="str">
        <f t="shared" si="8"/>
        <v>Hr</v>
      </c>
      <c r="F315" s="18" t="s">
        <v>5019</v>
      </c>
      <c r="G315" s="19" t="str">
        <f t="shared" si="9"/>
        <v>Linkedin</v>
      </c>
      <c r="H315" s="18">
        <v>7</v>
      </c>
      <c r="I315" s="18">
        <v>9.4</v>
      </c>
      <c r="J315" s="18">
        <v>8.1999999999999993</v>
      </c>
      <c r="K315" s="18">
        <v>66016</v>
      </c>
      <c r="L315" s="18"/>
      <c r="M315" s="18" t="s">
        <v>5035</v>
      </c>
      <c r="N315" s="41" t="s">
        <v>2277</v>
      </c>
      <c r="O315" s="18" t="s">
        <v>75</v>
      </c>
      <c r="P315" s="18">
        <v>8.5</v>
      </c>
      <c r="R315" s="34"/>
    </row>
    <row r="316" spans="1:18">
      <c r="A316" s="19" t="s">
        <v>5613</v>
      </c>
      <c r="B316" s="19" t="s">
        <v>1293</v>
      </c>
      <c r="C316" s="19" t="s">
        <v>98</v>
      </c>
      <c r="D316" s="19" t="s">
        <v>51</v>
      </c>
      <c r="E316" s="19" t="str">
        <f t="shared" si="8"/>
        <v>Sales</v>
      </c>
      <c r="F316" s="19" t="s">
        <v>5025</v>
      </c>
      <c r="G316" s="19" t="str">
        <f t="shared" si="9"/>
        <v>Campus</v>
      </c>
      <c r="H316" s="19">
        <v>4.3</v>
      </c>
      <c r="I316" s="19">
        <v>8.3000000000000007</v>
      </c>
      <c r="J316" s="19">
        <v>6.3</v>
      </c>
      <c r="K316" s="19">
        <v>80456</v>
      </c>
      <c r="L316" s="19">
        <v>77006</v>
      </c>
      <c r="M316" s="19" t="s">
        <v>5028</v>
      </c>
      <c r="N316" s="40" t="s">
        <v>5614</v>
      </c>
      <c r="O316" s="19" t="s">
        <v>18</v>
      </c>
      <c r="P316" s="19">
        <v>10.3</v>
      </c>
      <c r="R316" s="34"/>
    </row>
    <row r="317" spans="1:18">
      <c r="A317" s="18" t="s">
        <v>5615</v>
      </c>
      <c r="B317" s="18" t="s">
        <v>5053</v>
      </c>
      <c r="C317" s="18" t="s">
        <v>79</v>
      </c>
      <c r="D317" s="18" t="s">
        <v>89</v>
      </c>
      <c r="E317" s="19" t="str">
        <f t="shared" si="8"/>
        <v>Data Science</v>
      </c>
      <c r="F317" s="18" t="s">
        <v>5016</v>
      </c>
      <c r="G317" s="19" t="str">
        <f t="shared" si="9"/>
        <v>Job Portal</v>
      </c>
      <c r="H317" s="18">
        <v>4.8</v>
      </c>
      <c r="I317" s="18">
        <v>4.9000000000000004</v>
      </c>
      <c r="J317" s="18">
        <v>4.8</v>
      </c>
      <c r="K317" s="18">
        <v>63501</v>
      </c>
      <c r="L317" s="18">
        <v>69537</v>
      </c>
      <c r="M317" s="18" t="s">
        <v>5035</v>
      </c>
      <c r="N317" s="41" t="s">
        <v>2307</v>
      </c>
      <c r="O317" s="18" t="s">
        <v>70</v>
      </c>
      <c r="P317" s="18">
        <v>13.7</v>
      </c>
      <c r="R317" s="34"/>
    </row>
    <row r="318" spans="1:18">
      <c r="A318" s="19" t="s">
        <v>5616</v>
      </c>
      <c r="B318" s="19" t="s">
        <v>551</v>
      </c>
      <c r="C318" s="19" t="s">
        <v>98</v>
      </c>
      <c r="D318" s="19" t="s">
        <v>39</v>
      </c>
      <c r="E318" s="19" t="str">
        <f t="shared" si="8"/>
        <v>Engineering</v>
      </c>
      <c r="F318" s="19" t="s">
        <v>5051</v>
      </c>
      <c r="G318" s="19" t="str">
        <f t="shared" si="9"/>
        <v>Naukri</v>
      </c>
      <c r="H318" s="19">
        <v>6.3</v>
      </c>
      <c r="I318" s="19">
        <v>9.1999999999999993</v>
      </c>
      <c r="J318" s="19">
        <v>7.8</v>
      </c>
      <c r="K318" s="19">
        <v>88004</v>
      </c>
      <c r="L318" s="19">
        <v>99946</v>
      </c>
      <c r="M318" s="19" t="s">
        <v>5017</v>
      </c>
      <c r="N318" s="40" t="s">
        <v>5617</v>
      </c>
      <c r="O318" s="19" t="s">
        <v>32</v>
      </c>
      <c r="P318" s="19">
        <v>6.6</v>
      </c>
      <c r="R318" s="34"/>
    </row>
    <row r="319" spans="1:18">
      <c r="A319" s="18" t="s">
        <v>5618</v>
      </c>
      <c r="B319" s="18" t="s">
        <v>1376</v>
      </c>
      <c r="C319" s="18" t="s">
        <v>105</v>
      </c>
      <c r="D319" s="18" t="s">
        <v>39</v>
      </c>
      <c r="E319" s="19" t="str">
        <f t="shared" si="8"/>
        <v>Engineering</v>
      </c>
      <c r="F319" s="18" t="s">
        <v>5031</v>
      </c>
      <c r="G319" s="19" t="str">
        <f t="shared" si="9"/>
        <v>Walk-In</v>
      </c>
      <c r="H319" s="18">
        <v>3.3</v>
      </c>
      <c r="I319" s="18"/>
      <c r="J319" s="18">
        <v>3.3</v>
      </c>
      <c r="K319" s="18">
        <v>40945</v>
      </c>
      <c r="L319" s="18"/>
      <c r="M319" s="18" t="s">
        <v>5020</v>
      </c>
      <c r="N319" s="41" t="s">
        <v>5619</v>
      </c>
      <c r="O319" s="18" t="s">
        <v>70</v>
      </c>
      <c r="P319" s="18">
        <v>10.1</v>
      </c>
      <c r="R319" s="34"/>
    </row>
    <row r="320" spans="1:18">
      <c r="A320" s="19" t="s">
        <v>5620</v>
      </c>
      <c r="B320" s="19" t="s">
        <v>769</v>
      </c>
      <c r="C320" s="19" t="s">
        <v>25</v>
      </c>
      <c r="D320" s="19" t="s">
        <v>39</v>
      </c>
      <c r="E320" s="19" t="str">
        <f t="shared" si="8"/>
        <v>Engineering</v>
      </c>
      <c r="F320" s="19" t="s">
        <v>5023</v>
      </c>
      <c r="G320" s="19" t="str">
        <f t="shared" si="9"/>
        <v>Linkedin</v>
      </c>
      <c r="H320" s="19">
        <v>6.6</v>
      </c>
      <c r="I320" s="19">
        <v>4.2</v>
      </c>
      <c r="J320" s="19">
        <v>5.4</v>
      </c>
      <c r="K320" s="19">
        <v>179888</v>
      </c>
      <c r="L320" s="19">
        <v>196221</v>
      </c>
      <c r="M320" s="19" t="s">
        <v>5017</v>
      </c>
      <c r="N320" s="40" t="s">
        <v>5621</v>
      </c>
      <c r="O320" s="19" t="s">
        <v>65</v>
      </c>
      <c r="P320" s="19">
        <v>10.199999999999999</v>
      </c>
      <c r="R320" s="34"/>
    </row>
    <row r="321" spans="1:18">
      <c r="A321" s="18" t="s">
        <v>5622</v>
      </c>
      <c r="B321" s="18" t="s">
        <v>5155</v>
      </c>
      <c r="C321" s="18" t="s">
        <v>225</v>
      </c>
      <c r="D321" s="18" t="s">
        <v>176</v>
      </c>
      <c r="E321" s="19" t="str">
        <f t="shared" si="8"/>
        <v>Finance</v>
      </c>
      <c r="F321" s="18" t="s">
        <v>5016</v>
      </c>
      <c r="G321" s="19" t="str">
        <f t="shared" si="9"/>
        <v>Job Portal</v>
      </c>
      <c r="H321" s="18">
        <v>7.9</v>
      </c>
      <c r="I321" s="18">
        <v>8</v>
      </c>
      <c r="J321" s="18">
        <v>8</v>
      </c>
      <c r="K321" s="18">
        <v>31938</v>
      </c>
      <c r="L321" s="18"/>
      <c r="M321" s="18" t="s">
        <v>5017</v>
      </c>
      <c r="N321" s="41" t="s">
        <v>5289</v>
      </c>
      <c r="O321" s="18" t="s">
        <v>214</v>
      </c>
      <c r="P321" s="18">
        <v>11.3</v>
      </c>
      <c r="R321" s="34"/>
    </row>
    <row r="322" spans="1:18">
      <c r="A322" s="19" t="s">
        <v>5623</v>
      </c>
      <c r="B322" s="19" t="s">
        <v>5624</v>
      </c>
      <c r="C322" s="19" t="s">
        <v>25</v>
      </c>
      <c r="D322" s="19" t="s">
        <v>89</v>
      </c>
      <c r="E322" s="19" t="str">
        <f t="shared" si="8"/>
        <v>Data Science</v>
      </c>
      <c r="F322" s="19" t="s">
        <v>5023</v>
      </c>
      <c r="G322" s="19" t="str">
        <f t="shared" si="9"/>
        <v>Linkedin</v>
      </c>
      <c r="H322" s="19">
        <v>7.8</v>
      </c>
      <c r="I322" s="19">
        <v>9.4</v>
      </c>
      <c r="J322" s="19">
        <v>8.6</v>
      </c>
      <c r="K322" s="19">
        <v>124570</v>
      </c>
      <c r="L322" s="19">
        <v>141046</v>
      </c>
      <c r="M322" s="19" t="s">
        <v>5035</v>
      </c>
      <c r="N322" s="40" t="s">
        <v>2300</v>
      </c>
      <c r="O322" s="19" t="s">
        <v>26</v>
      </c>
      <c r="P322" s="19">
        <v>3.7</v>
      </c>
      <c r="R322" s="34"/>
    </row>
    <row r="323" spans="1:18">
      <c r="A323" s="18" t="s">
        <v>5625</v>
      </c>
      <c r="B323" s="18" t="s">
        <v>548</v>
      </c>
      <c r="C323" s="18" t="s">
        <v>98</v>
      </c>
      <c r="D323" s="18" t="s">
        <v>84</v>
      </c>
      <c r="E323" s="19" t="str">
        <f t="shared" ref="E323:E386" si="10">PROPER(D323)</f>
        <v>Hr</v>
      </c>
      <c r="F323" s="18" t="s">
        <v>5016</v>
      </c>
      <c r="G323" s="19" t="str">
        <f t="shared" ref="G323:G386" si="11">PROPER(F323)</f>
        <v>Job Portal</v>
      </c>
      <c r="H323" s="18">
        <v>8.6999999999999993</v>
      </c>
      <c r="I323" s="18">
        <v>4.4000000000000004</v>
      </c>
      <c r="J323" s="18">
        <v>6.5</v>
      </c>
      <c r="K323" s="18"/>
      <c r="L323" s="18">
        <v>198221</v>
      </c>
      <c r="M323" s="18" t="s">
        <v>5020</v>
      </c>
      <c r="N323" s="41" t="s">
        <v>1961</v>
      </c>
      <c r="O323" s="18" t="s">
        <v>53</v>
      </c>
      <c r="P323" s="18">
        <v>5.4</v>
      </c>
      <c r="R323" s="34"/>
    </row>
    <row r="324" spans="1:18">
      <c r="A324" s="19" t="s">
        <v>5626</v>
      </c>
      <c r="B324" s="19" t="s">
        <v>919</v>
      </c>
      <c r="C324" s="19" t="s">
        <v>335</v>
      </c>
      <c r="D324" s="19" t="s">
        <v>89</v>
      </c>
      <c r="E324" s="19" t="str">
        <f t="shared" si="10"/>
        <v>Data Science</v>
      </c>
      <c r="F324" s="19" t="s">
        <v>5016</v>
      </c>
      <c r="G324" s="19" t="str">
        <f t="shared" si="11"/>
        <v>Job Portal</v>
      </c>
      <c r="H324" s="19">
        <v>10</v>
      </c>
      <c r="I324" s="19">
        <v>9.9</v>
      </c>
      <c r="J324" s="19">
        <v>9.9</v>
      </c>
      <c r="K324" s="19">
        <v>104587</v>
      </c>
      <c r="L324" s="19"/>
      <c r="M324" s="19" t="s">
        <v>5045</v>
      </c>
      <c r="N324" s="40" t="s">
        <v>5153</v>
      </c>
      <c r="O324" s="19" t="s">
        <v>75</v>
      </c>
      <c r="P324" s="19">
        <v>9.5</v>
      </c>
      <c r="R324" s="34"/>
    </row>
    <row r="325" spans="1:18">
      <c r="A325" s="18" t="s">
        <v>5627</v>
      </c>
      <c r="B325" s="18" t="s">
        <v>5628</v>
      </c>
      <c r="C325" s="18" t="s">
        <v>5040</v>
      </c>
      <c r="D325" s="18" t="s">
        <v>176</v>
      </c>
      <c r="E325" s="19" t="str">
        <f t="shared" si="10"/>
        <v>Finance</v>
      </c>
      <c r="F325" s="18" t="s">
        <v>5031</v>
      </c>
      <c r="G325" s="19" t="str">
        <f t="shared" si="11"/>
        <v>Walk-In</v>
      </c>
      <c r="H325" s="18">
        <v>4.8</v>
      </c>
      <c r="I325" s="18">
        <v>5.7</v>
      </c>
      <c r="J325" s="18">
        <v>5.2</v>
      </c>
      <c r="K325" s="18">
        <v>42359</v>
      </c>
      <c r="L325" s="18">
        <v>37560</v>
      </c>
      <c r="M325" s="18" t="s">
        <v>5028</v>
      </c>
      <c r="N325" s="41" t="s">
        <v>1881</v>
      </c>
      <c r="O325" s="18" t="s">
        <v>70</v>
      </c>
      <c r="P325" s="18">
        <v>6</v>
      </c>
      <c r="R325" s="34"/>
    </row>
    <row r="326" spans="1:18">
      <c r="A326" s="19" t="s">
        <v>5629</v>
      </c>
      <c r="B326" s="19" t="s">
        <v>241</v>
      </c>
      <c r="C326" s="19" t="s">
        <v>79</v>
      </c>
      <c r="D326" s="19" t="s">
        <v>84</v>
      </c>
      <c r="E326" s="19" t="str">
        <f t="shared" si="10"/>
        <v>Hr</v>
      </c>
      <c r="F326" s="19" t="s">
        <v>5031</v>
      </c>
      <c r="G326" s="19" t="str">
        <f t="shared" si="11"/>
        <v>Walk-In</v>
      </c>
      <c r="H326" s="19">
        <v>6.6</v>
      </c>
      <c r="I326" s="19">
        <v>5.9</v>
      </c>
      <c r="J326" s="19">
        <v>6.2</v>
      </c>
      <c r="K326" s="19">
        <v>193937</v>
      </c>
      <c r="L326" s="19">
        <v>181741</v>
      </c>
      <c r="M326" s="19" t="s">
        <v>5020</v>
      </c>
      <c r="N326" s="40" t="s">
        <v>5239</v>
      </c>
      <c r="O326" s="19" t="s">
        <v>172</v>
      </c>
      <c r="P326" s="19">
        <v>1.8</v>
      </c>
      <c r="R326" s="34"/>
    </row>
    <row r="327" spans="1:18">
      <c r="A327" s="18" t="s">
        <v>5630</v>
      </c>
      <c r="B327" s="18" t="s">
        <v>104</v>
      </c>
      <c r="C327" s="18" t="s">
        <v>153</v>
      </c>
      <c r="D327" s="18" t="s">
        <v>84</v>
      </c>
      <c r="E327" s="19" t="str">
        <f t="shared" si="10"/>
        <v>Hr</v>
      </c>
      <c r="F327" s="18" t="s">
        <v>5077</v>
      </c>
      <c r="G327" s="19" t="str">
        <f t="shared" si="11"/>
        <v>Referral</v>
      </c>
      <c r="H327" s="18">
        <v>8.1999999999999993</v>
      </c>
      <c r="I327" s="18"/>
      <c r="J327" s="18">
        <v>8.1999999999999993</v>
      </c>
      <c r="K327" s="18">
        <v>160484</v>
      </c>
      <c r="L327" s="18">
        <v>150027</v>
      </c>
      <c r="M327" s="18" t="s">
        <v>5045</v>
      </c>
      <c r="N327" s="41" t="s">
        <v>1511</v>
      </c>
      <c r="O327" s="18" t="s">
        <v>46</v>
      </c>
      <c r="P327" s="18">
        <v>4.2</v>
      </c>
      <c r="R327" s="34"/>
    </row>
    <row r="328" spans="1:18">
      <c r="A328" s="19" t="s">
        <v>5631</v>
      </c>
      <c r="B328" s="19" t="s">
        <v>5632</v>
      </c>
      <c r="C328" s="19" t="s">
        <v>153</v>
      </c>
      <c r="D328" s="19" t="s">
        <v>84</v>
      </c>
      <c r="E328" s="19" t="str">
        <f t="shared" si="10"/>
        <v>Hr</v>
      </c>
      <c r="F328" s="19" t="s">
        <v>5051</v>
      </c>
      <c r="G328" s="19" t="str">
        <f t="shared" si="11"/>
        <v>Naukri</v>
      </c>
      <c r="H328" s="19">
        <v>9.6999999999999993</v>
      </c>
      <c r="I328" s="19">
        <v>9.1999999999999993</v>
      </c>
      <c r="J328" s="19">
        <v>9.4</v>
      </c>
      <c r="K328" s="19">
        <v>159428</v>
      </c>
      <c r="L328" s="19">
        <v>163730</v>
      </c>
      <c r="M328" s="19" t="s">
        <v>5028</v>
      </c>
      <c r="N328" s="40" t="s">
        <v>5124</v>
      </c>
      <c r="O328" s="19" t="s">
        <v>46</v>
      </c>
      <c r="P328" s="19">
        <v>8.3000000000000007</v>
      </c>
      <c r="R328" s="34"/>
    </row>
    <row r="329" spans="1:18">
      <c r="A329" s="18" t="s">
        <v>5633</v>
      </c>
      <c r="B329" s="18" t="s">
        <v>269</v>
      </c>
      <c r="C329" s="18" t="s">
        <v>335</v>
      </c>
      <c r="D329" s="18" t="s">
        <v>63</v>
      </c>
      <c r="E329" s="19" t="str">
        <f t="shared" si="10"/>
        <v>Product</v>
      </c>
      <c r="F329" s="18" t="s">
        <v>5025</v>
      </c>
      <c r="G329" s="19" t="str">
        <f t="shared" si="11"/>
        <v>Campus</v>
      </c>
      <c r="H329" s="18">
        <v>4.8</v>
      </c>
      <c r="I329" s="18">
        <v>6.1</v>
      </c>
      <c r="J329" s="18">
        <v>5.4</v>
      </c>
      <c r="K329" s="18">
        <v>38796</v>
      </c>
      <c r="L329" s="18">
        <v>42361</v>
      </c>
      <c r="M329" s="18" t="s">
        <v>5045</v>
      </c>
      <c r="N329" s="41" t="s">
        <v>1948</v>
      </c>
      <c r="O329" s="18" t="s">
        <v>114</v>
      </c>
      <c r="P329" s="18">
        <v>11.5</v>
      </c>
      <c r="R329" s="34"/>
    </row>
    <row r="330" spans="1:18">
      <c r="A330" s="19" t="s">
        <v>5634</v>
      </c>
      <c r="B330" s="19" t="s">
        <v>699</v>
      </c>
      <c r="C330" s="19" t="s">
        <v>335</v>
      </c>
      <c r="D330" s="19" t="s">
        <v>84</v>
      </c>
      <c r="E330" s="19" t="str">
        <f t="shared" si="10"/>
        <v>Hr</v>
      </c>
      <c r="F330" s="19" t="s">
        <v>5016</v>
      </c>
      <c r="G330" s="19" t="str">
        <f t="shared" si="11"/>
        <v>Job Portal</v>
      </c>
      <c r="H330" s="19">
        <v>3.8</v>
      </c>
      <c r="I330" s="19">
        <v>9.9</v>
      </c>
      <c r="J330" s="19">
        <v>6.8</v>
      </c>
      <c r="K330" s="19">
        <v>100488</v>
      </c>
      <c r="L330" s="19">
        <v>113755</v>
      </c>
      <c r="M330" s="19" t="s">
        <v>5045</v>
      </c>
      <c r="N330" s="40" t="s">
        <v>5635</v>
      </c>
      <c r="O330" s="19" t="s">
        <v>149</v>
      </c>
      <c r="P330" s="19">
        <v>2.2999999999999998</v>
      </c>
      <c r="R330" s="34"/>
    </row>
    <row r="331" spans="1:18">
      <c r="A331" s="18" t="s">
        <v>5636</v>
      </c>
      <c r="B331" s="18" t="s">
        <v>331</v>
      </c>
      <c r="C331" s="18" t="s">
        <v>5040</v>
      </c>
      <c r="D331" s="18" t="s">
        <v>39</v>
      </c>
      <c r="E331" s="19" t="str">
        <f t="shared" si="10"/>
        <v>Engineering</v>
      </c>
      <c r="F331" s="18" t="s">
        <v>5060</v>
      </c>
      <c r="G331" s="19" t="str">
        <f t="shared" si="11"/>
        <v>Naukri</v>
      </c>
      <c r="H331" s="18">
        <v>4.7</v>
      </c>
      <c r="I331" s="18">
        <v>6.6</v>
      </c>
      <c r="J331" s="18">
        <v>5.7</v>
      </c>
      <c r="K331" s="18">
        <v>143066</v>
      </c>
      <c r="L331" s="18">
        <v>135836</v>
      </c>
      <c r="M331" s="18" t="s">
        <v>5017</v>
      </c>
      <c r="N331" s="41" t="s">
        <v>5181</v>
      </c>
      <c r="O331" s="18" t="s">
        <v>149</v>
      </c>
      <c r="P331" s="18">
        <v>6.9</v>
      </c>
      <c r="R331" s="34"/>
    </row>
    <row r="332" spans="1:18">
      <c r="A332" s="19" t="s">
        <v>5637</v>
      </c>
      <c r="B332" s="19" t="s">
        <v>440</v>
      </c>
      <c r="C332" s="19" t="s">
        <v>98</v>
      </c>
      <c r="D332" s="19" t="s">
        <v>39</v>
      </c>
      <c r="E332" s="19" t="str">
        <f t="shared" si="10"/>
        <v>Engineering</v>
      </c>
      <c r="F332" s="19" t="s">
        <v>5016</v>
      </c>
      <c r="G332" s="19" t="str">
        <f t="shared" si="11"/>
        <v>Job Portal</v>
      </c>
      <c r="H332" s="19">
        <v>4.8</v>
      </c>
      <c r="I332" s="19">
        <v>9.4</v>
      </c>
      <c r="J332" s="19">
        <v>7.1</v>
      </c>
      <c r="K332" s="19">
        <v>117292</v>
      </c>
      <c r="L332" s="19">
        <v>102647</v>
      </c>
      <c r="M332" s="19" t="s">
        <v>5045</v>
      </c>
      <c r="N332" s="40" t="s">
        <v>5194</v>
      </c>
      <c r="O332" s="19" t="s">
        <v>149</v>
      </c>
      <c r="P332" s="19">
        <v>2.7</v>
      </c>
      <c r="R332" s="34"/>
    </row>
    <row r="333" spans="1:18">
      <c r="A333" s="18" t="s">
        <v>5638</v>
      </c>
      <c r="B333" s="18" t="s">
        <v>692</v>
      </c>
      <c r="C333" s="18" t="s">
        <v>25</v>
      </c>
      <c r="D333" s="18" t="s">
        <v>89</v>
      </c>
      <c r="E333" s="19" t="str">
        <f t="shared" si="10"/>
        <v>Data Science</v>
      </c>
      <c r="F333" s="18" t="s">
        <v>5077</v>
      </c>
      <c r="G333" s="19" t="str">
        <f t="shared" si="11"/>
        <v>Referral</v>
      </c>
      <c r="H333" s="18">
        <v>6.2</v>
      </c>
      <c r="I333" s="18">
        <v>5.4</v>
      </c>
      <c r="J333" s="18">
        <v>5.8</v>
      </c>
      <c r="K333" s="18"/>
      <c r="L333" s="18">
        <v>62517</v>
      </c>
      <c r="M333" s="18" t="s">
        <v>5020</v>
      </c>
      <c r="N333" s="41" t="s">
        <v>5639</v>
      </c>
      <c r="O333" s="18" t="s">
        <v>70</v>
      </c>
      <c r="P333" s="18">
        <v>1.5</v>
      </c>
      <c r="R333" s="34"/>
    </row>
    <row r="334" spans="1:18">
      <c r="A334" s="19" t="s">
        <v>5640</v>
      </c>
      <c r="B334" s="19" t="s">
        <v>573</v>
      </c>
      <c r="C334" s="19" t="s">
        <v>105</v>
      </c>
      <c r="D334" s="19" t="s">
        <v>84</v>
      </c>
      <c r="E334" s="19" t="str">
        <f t="shared" si="10"/>
        <v>Hr</v>
      </c>
      <c r="F334" s="19" t="s">
        <v>5031</v>
      </c>
      <c r="G334" s="19" t="str">
        <f t="shared" si="11"/>
        <v>Walk-In</v>
      </c>
      <c r="H334" s="19">
        <v>8</v>
      </c>
      <c r="I334" s="19">
        <v>7</v>
      </c>
      <c r="J334" s="19">
        <v>7.5</v>
      </c>
      <c r="K334" s="19">
        <v>148973</v>
      </c>
      <c r="L334" s="19">
        <v>170060</v>
      </c>
      <c r="M334" s="19" t="s">
        <v>5045</v>
      </c>
      <c r="N334" s="40" t="s">
        <v>5641</v>
      </c>
      <c r="O334" s="19" t="s">
        <v>149</v>
      </c>
      <c r="P334" s="19">
        <v>12.4</v>
      </c>
      <c r="R334" s="34"/>
    </row>
    <row r="335" spans="1:18">
      <c r="A335" s="18" t="s">
        <v>5642</v>
      </c>
      <c r="B335" s="18" t="s">
        <v>1017</v>
      </c>
      <c r="C335" s="18" t="s">
        <v>5040</v>
      </c>
      <c r="D335" s="18" t="s">
        <v>89</v>
      </c>
      <c r="E335" s="19" t="str">
        <f t="shared" si="10"/>
        <v>Data Science</v>
      </c>
      <c r="F335" s="18" t="s">
        <v>5023</v>
      </c>
      <c r="G335" s="19" t="str">
        <f t="shared" si="11"/>
        <v>Linkedin</v>
      </c>
      <c r="H335" s="18">
        <v>3.2</v>
      </c>
      <c r="I335" s="18">
        <v>9</v>
      </c>
      <c r="J335" s="18">
        <v>6.1</v>
      </c>
      <c r="K335" s="18">
        <v>108904</v>
      </c>
      <c r="L335" s="18">
        <v>93925</v>
      </c>
      <c r="M335" s="18" t="s">
        <v>5028</v>
      </c>
      <c r="N335" s="41" t="s">
        <v>1970</v>
      </c>
      <c r="O335" s="18" t="s">
        <v>46</v>
      </c>
      <c r="P335" s="18">
        <v>10.4</v>
      </c>
      <c r="R335" s="34"/>
    </row>
    <row r="336" spans="1:18">
      <c r="A336" s="19" t="s">
        <v>5643</v>
      </c>
      <c r="B336" s="19" t="s">
        <v>5644</v>
      </c>
      <c r="C336" s="19" t="s">
        <v>79</v>
      </c>
      <c r="D336" s="19" t="s">
        <v>84</v>
      </c>
      <c r="E336" s="19" t="str">
        <f t="shared" si="10"/>
        <v>Hr</v>
      </c>
      <c r="F336" s="19" t="s">
        <v>5025</v>
      </c>
      <c r="G336" s="19" t="str">
        <f t="shared" si="11"/>
        <v>Campus</v>
      </c>
      <c r="H336" s="19">
        <v>7.9</v>
      </c>
      <c r="I336" s="19">
        <v>9.1999999999999993</v>
      </c>
      <c r="J336" s="19">
        <v>8.6</v>
      </c>
      <c r="K336" s="19">
        <v>39463</v>
      </c>
      <c r="L336" s="19">
        <v>38324</v>
      </c>
      <c r="M336" s="19" t="s">
        <v>5035</v>
      </c>
      <c r="N336" s="40" t="s">
        <v>852</v>
      </c>
      <c r="O336" s="19" t="s">
        <v>26</v>
      </c>
      <c r="P336" s="19">
        <v>7.9</v>
      </c>
      <c r="R336" s="34"/>
    </row>
    <row r="337" spans="1:18">
      <c r="A337" s="18" t="s">
        <v>5645</v>
      </c>
      <c r="B337" s="18" t="s">
        <v>5646</v>
      </c>
      <c r="C337" s="18" t="s">
        <v>153</v>
      </c>
      <c r="D337" s="18" t="s">
        <v>51</v>
      </c>
      <c r="E337" s="19" t="str">
        <f t="shared" si="10"/>
        <v>Sales</v>
      </c>
      <c r="F337" s="18" t="s">
        <v>5016</v>
      </c>
      <c r="G337" s="19" t="str">
        <f t="shared" si="11"/>
        <v>Job Portal</v>
      </c>
      <c r="H337" s="18">
        <v>6.4</v>
      </c>
      <c r="I337" s="18">
        <v>9.5</v>
      </c>
      <c r="J337" s="18">
        <v>8</v>
      </c>
      <c r="K337" s="18">
        <v>94010</v>
      </c>
      <c r="L337" s="18">
        <v>100423</v>
      </c>
      <c r="M337" s="18" t="s">
        <v>5035</v>
      </c>
      <c r="N337" s="41" t="s">
        <v>1880</v>
      </c>
      <c r="O337" s="18" t="s">
        <v>32</v>
      </c>
      <c r="P337" s="18">
        <v>13.8</v>
      </c>
      <c r="R337" s="34"/>
    </row>
    <row r="338" spans="1:18">
      <c r="A338" s="19" t="s">
        <v>5647</v>
      </c>
      <c r="B338" s="19" t="s">
        <v>1096</v>
      </c>
      <c r="C338" s="19" t="s">
        <v>25</v>
      </c>
      <c r="D338" s="19" t="s">
        <v>84</v>
      </c>
      <c r="E338" s="19" t="str">
        <f t="shared" si="10"/>
        <v>Hr</v>
      </c>
      <c r="F338" s="19" t="s">
        <v>5016</v>
      </c>
      <c r="G338" s="19" t="str">
        <f t="shared" si="11"/>
        <v>Job Portal</v>
      </c>
      <c r="H338" s="19">
        <v>6.9</v>
      </c>
      <c r="I338" s="19">
        <v>3.1</v>
      </c>
      <c r="J338" s="19">
        <v>5</v>
      </c>
      <c r="K338" s="19">
        <v>169387</v>
      </c>
      <c r="L338" s="19">
        <v>160811</v>
      </c>
      <c r="M338" s="19" t="s">
        <v>5045</v>
      </c>
      <c r="N338" s="40" t="s">
        <v>2131</v>
      </c>
      <c r="O338" s="19" t="s">
        <v>70</v>
      </c>
      <c r="P338" s="19">
        <v>0.6</v>
      </c>
      <c r="R338" s="34"/>
    </row>
    <row r="339" spans="1:18">
      <c r="A339" s="18" t="s">
        <v>5648</v>
      </c>
      <c r="B339" s="18" t="s">
        <v>5649</v>
      </c>
      <c r="C339" s="18" t="s">
        <v>335</v>
      </c>
      <c r="D339" s="18" t="s">
        <v>63</v>
      </c>
      <c r="E339" s="19" t="str">
        <f t="shared" si="10"/>
        <v>Product</v>
      </c>
      <c r="F339" s="18" t="s">
        <v>5025</v>
      </c>
      <c r="G339" s="19" t="str">
        <f t="shared" si="11"/>
        <v>Campus</v>
      </c>
      <c r="H339" s="18">
        <v>9.1</v>
      </c>
      <c r="I339" s="18">
        <v>5.0999999999999996</v>
      </c>
      <c r="J339" s="18">
        <v>7.1</v>
      </c>
      <c r="K339" s="18">
        <v>51603</v>
      </c>
      <c r="L339" s="18">
        <v>46843</v>
      </c>
      <c r="M339" s="18" t="s">
        <v>5028</v>
      </c>
      <c r="N339" s="41" t="s">
        <v>5650</v>
      </c>
      <c r="O339" s="18" t="s">
        <v>114</v>
      </c>
      <c r="P339" s="18">
        <v>1.4</v>
      </c>
      <c r="R339" s="34"/>
    </row>
    <row r="340" spans="1:18">
      <c r="A340" s="19" t="s">
        <v>5651</v>
      </c>
      <c r="B340" s="19" t="s">
        <v>1491</v>
      </c>
      <c r="C340" s="19" t="s">
        <v>153</v>
      </c>
      <c r="D340" s="19" t="s">
        <v>63</v>
      </c>
      <c r="E340" s="19" t="str">
        <f t="shared" si="10"/>
        <v>Product</v>
      </c>
      <c r="F340" s="19" t="s">
        <v>5077</v>
      </c>
      <c r="G340" s="19" t="str">
        <f t="shared" si="11"/>
        <v>Referral</v>
      </c>
      <c r="H340" s="19">
        <v>9.1</v>
      </c>
      <c r="I340" s="19">
        <v>8.5</v>
      </c>
      <c r="J340" s="19">
        <v>8.8000000000000007</v>
      </c>
      <c r="K340" s="19">
        <v>162935</v>
      </c>
      <c r="L340" s="19">
        <v>176131</v>
      </c>
      <c r="M340" s="19" t="s">
        <v>5017</v>
      </c>
      <c r="N340" s="40" t="s">
        <v>1811</v>
      </c>
      <c r="O340" s="19" t="s">
        <v>149</v>
      </c>
      <c r="P340" s="19">
        <v>8.1999999999999993</v>
      </c>
      <c r="R340" s="34"/>
    </row>
    <row r="341" spans="1:18">
      <c r="A341" s="18" t="s">
        <v>5652</v>
      </c>
      <c r="B341" s="18" t="s">
        <v>5653</v>
      </c>
      <c r="C341" s="18" t="s">
        <v>138</v>
      </c>
      <c r="D341" s="18" t="s">
        <v>133</v>
      </c>
      <c r="E341" s="19" t="str">
        <f t="shared" si="10"/>
        <v>Qa</v>
      </c>
      <c r="F341" s="18" t="s">
        <v>5077</v>
      </c>
      <c r="G341" s="19" t="str">
        <f t="shared" si="11"/>
        <v>Referral</v>
      </c>
      <c r="H341" s="18">
        <v>3.1</v>
      </c>
      <c r="I341" s="18">
        <v>8.8000000000000007</v>
      </c>
      <c r="J341" s="18">
        <v>6</v>
      </c>
      <c r="K341" s="18">
        <v>77179</v>
      </c>
      <c r="L341" s="18">
        <v>78185</v>
      </c>
      <c r="M341" s="18" t="s">
        <v>5020</v>
      </c>
      <c r="N341" s="41" t="s">
        <v>5284</v>
      </c>
      <c r="O341" s="18" t="s">
        <v>18</v>
      </c>
      <c r="P341" s="18">
        <v>0.6</v>
      </c>
      <c r="R341" s="34"/>
    </row>
    <row r="342" spans="1:18">
      <c r="A342" s="19" t="s">
        <v>5654</v>
      </c>
      <c r="B342" s="19" t="s">
        <v>389</v>
      </c>
      <c r="C342" s="19" t="s">
        <v>98</v>
      </c>
      <c r="D342" s="19" t="s">
        <v>39</v>
      </c>
      <c r="E342" s="19" t="str">
        <f t="shared" si="10"/>
        <v>Engineering</v>
      </c>
      <c r="F342" s="19" t="s">
        <v>5025</v>
      </c>
      <c r="G342" s="19" t="str">
        <f t="shared" si="11"/>
        <v>Campus</v>
      </c>
      <c r="H342" s="19">
        <v>9.5</v>
      </c>
      <c r="I342" s="19">
        <v>4.7</v>
      </c>
      <c r="J342" s="19">
        <v>7.1</v>
      </c>
      <c r="K342" s="19"/>
      <c r="L342" s="19">
        <v>170284</v>
      </c>
      <c r="M342" s="19" t="s">
        <v>5020</v>
      </c>
      <c r="N342" s="40" t="s">
        <v>1891</v>
      </c>
      <c r="O342" s="19" t="s">
        <v>18</v>
      </c>
      <c r="P342" s="19">
        <v>8.3000000000000007</v>
      </c>
      <c r="R342" s="34"/>
    </row>
    <row r="343" spans="1:18">
      <c r="A343" s="18" t="s">
        <v>5655</v>
      </c>
      <c r="B343" s="18" t="s">
        <v>5450</v>
      </c>
      <c r="C343" s="18" t="s">
        <v>225</v>
      </c>
      <c r="D343" s="18" t="s">
        <v>16</v>
      </c>
      <c r="E343" s="19" t="str">
        <f t="shared" si="10"/>
        <v>Devops</v>
      </c>
      <c r="F343" s="18" t="s">
        <v>5025</v>
      </c>
      <c r="G343" s="19" t="str">
        <f t="shared" si="11"/>
        <v>Campus</v>
      </c>
      <c r="H343" s="18">
        <v>9</v>
      </c>
      <c r="I343" s="18">
        <v>3.3</v>
      </c>
      <c r="J343" s="18">
        <v>6.2</v>
      </c>
      <c r="K343" s="18">
        <v>132915</v>
      </c>
      <c r="L343" s="18"/>
      <c r="M343" s="18" t="s">
        <v>5020</v>
      </c>
      <c r="N343" s="41" t="s">
        <v>5656</v>
      </c>
      <c r="O343" s="18" t="s">
        <v>46</v>
      </c>
      <c r="P343" s="18">
        <v>10.8</v>
      </c>
      <c r="R343" s="34"/>
    </row>
    <row r="344" spans="1:18">
      <c r="A344" s="19" t="s">
        <v>5657</v>
      </c>
      <c r="B344" s="19" t="s">
        <v>479</v>
      </c>
      <c r="C344" s="19" t="s">
        <v>225</v>
      </c>
      <c r="D344" s="19" t="s">
        <v>63</v>
      </c>
      <c r="E344" s="19" t="str">
        <f t="shared" si="10"/>
        <v>Product</v>
      </c>
      <c r="F344" s="19" t="s">
        <v>5051</v>
      </c>
      <c r="G344" s="19" t="str">
        <f t="shared" si="11"/>
        <v>Naukri</v>
      </c>
      <c r="H344" s="19">
        <v>7.4</v>
      </c>
      <c r="I344" s="19">
        <v>3</v>
      </c>
      <c r="J344" s="19">
        <v>5.2</v>
      </c>
      <c r="K344" s="19">
        <v>86779</v>
      </c>
      <c r="L344" s="19">
        <v>86412</v>
      </c>
      <c r="M344" s="19" t="s">
        <v>5017</v>
      </c>
      <c r="N344" s="40" t="s">
        <v>5203</v>
      </c>
      <c r="O344" s="19" t="s">
        <v>65</v>
      </c>
      <c r="P344" s="19">
        <v>3.2</v>
      </c>
      <c r="R344" s="34"/>
    </row>
    <row r="345" spans="1:18">
      <c r="A345" s="18" t="s">
        <v>5658</v>
      </c>
      <c r="B345" s="18" t="s">
        <v>5487</v>
      </c>
      <c r="C345" s="18" t="s">
        <v>225</v>
      </c>
      <c r="D345" s="18" t="s">
        <v>133</v>
      </c>
      <c r="E345" s="19" t="str">
        <f t="shared" si="10"/>
        <v>Qa</v>
      </c>
      <c r="F345" s="18" t="s">
        <v>5031</v>
      </c>
      <c r="G345" s="19" t="str">
        <f t="shared" si="11"/>
        <v>Walk-In</v>
      </c>
      <c r="H345" s="18">
        <v>9.8000000000000007</v>
      </c>
      <c r="I345" s="18">
        <v>4</v>
      </c>
      <c r="J345" s="18">
        <v>6.9</v>
      </c>
      <c r="K345" s="18"/>
      <c r="L345" s="18"/>
      <c r="M345" s="18" t="s">
        <v>5035</v>
      </c>
      <c r="N345" s="41" t="s">
        <v>2012</v>
      </c>
      <c r="O345" s="18" t="s">
        <v>53</v>
      </c>
      <c r="P345" s="18">
        <v>1.4</v>
      </c>
      <c r="R345" s="34"/>
    </row>
    <row r="346" spans="1:18">
      <c r="A346" s="19" t="s">
        <v>5659</v>
      </c>
      <c r="B346" s="19" t="s">
        <v>1546</v>
      </c>
      <c r="C346" s="19" t="s">
        <v>335</v>
      </c>
      <c r="D346" s="19" t="s">
        <v>16</v>
      </c>
      <c r="E346" s="19" t="str">
        <f t="shared" si="10"/>
        <v>Devops</v>
      </c>
      <c r="F346" s="19" t="s">
        <v>5051</v>
      </c>
      <c r="G346" s="19" t="str">
        <f t="shared" si="11"/>
        <v>Naukri</v>
      </c>
      <c r="H346" s="19">
        <v>7</v>
      </c>
      <c r="I346" s="19">
        <v>9.5</v>
      </c>
      <c r="J346" s="19">
        <v>8.1999999999999993</v>
      </c>
      <c r="K346" s="19">
        <v>117244</v>
      </c>
      <c r="L346" s="19">
        <v>129110</v>
      </c>
      <c r="M346" s="19" t="s">
        <v>5020</v>
      </c>
      <c r="N346" s="40" t="s">
        <v>5639</v>
      </c>
      <c r="O346" s="19" t="s">
        <v>70</v>
      </c>
      <c r="P346" s="19">
        <v>7.7</v>
      </c>
      <c r="R346" s="34"/>
    </row>
    <row r="347" spans="1:18">
      <c r="A347" s="18" t="s">
        <v>5660</v>
      </c>
      <c r="B347" s="18" t="s">
        <v>277</v>
      </c>
      <c r="C347" s="18" t="s">
        <v>90</v>
      </c>
      <c r="D347" s="18" t="s">
        <v>63</v>
      </c>
      <c r="E347" s="19" t="str">
        <f t="shared" si="10"/>
        <v>Product</v>
      </c>
      <c r="F347" s="18" t="s">
        <v>5051</v>
      </c>
      <c r="G347" s="19" t="str">
        <f t="shared" si="11"/>
        <v>Naukri</v>
      </c>
      <c r="H347" s="18">
        <v>3.7</v>
      </c>
      <c r="I347" s="18">
        <v>3.6</v>
      </c>
      <c r="J347" s="18">
        <v>3.7</v>
      </c>
      <c r="K347" s="18">
        <v>168120</v>
      </c>
      <c r="L347" s="18">
        <v>154183</v>
      </c>
      <c r="M347" s="18" t="s">
        <v>5035</v>
      </c>
      <c r="N347" s="41" t="s">
        <v>5374</v>
      </c>
      <c r="O347" s="18" t="s">
        <v>26</v>
      </c>
      <c r="P347" s="18">
        <v>5.3</v>
      </c>
      <c r="R347" s="34"/>
    </row>
    <row r="348" spans="1:18">
      <c r="A348" s="19" t="s">
        <v>5661</v>
      </c>
      <c r="B348" s="19" t="s">
        <v>1543</v>
      </c>
      <c r="C348" s="19" t="s">
        <v>153</v>
      </c>
      <c r="D348" s="19" t="s">
        <v>176</v>
      </c>
      <c r="E348" s="19" t="str">
        <f t="shared" si="10"/>
        <v>Finance</v>
      </c>
      <c r="F348" s="19" t="s">
        <v>5051</v>
      </c>
      <c r="G348" s="19" t="str">
        <f t="shared" si="11"/>
        <v>Naukri</v>
      </c>
      <c r="H348" s="19">
        <v>9.5</v>
      </c>
      <c r="I348" s="19">
        <v>7.5</v>
      </c>
      <c r="J348" s="19">
        <v>8.5</v>
      </c>
      <c r="K348" s="19">
        <v>171320</v>
      </c>
      <c r="L348" s="19">
        <v>177438</v>
      </c>
      <c r="M348" s="19" t="s">
        <v>5017</v>
      </c>
      <c r="N348" s="40" t="s">
        <v>5662</v>
      </c>
      <c r="O348" s="19" t="s">
        <v>46</v>
      </c>
      <c r="P348" s="19">
        <v>2.2999999999999998</v>
      </c>
      <c r="R348" s="34"/>
    </row>
    <row r="349" spans="1:18">
      <c r="A349" s="18" t="s">
        <v>5663</v>
      </c>
      <c r="B349" s="18" t="s">
        <v>5664</v>
      </c>
      <c r="C349" s="18" t="s">
        <v>5040</v>
      </c>
      <c r="D349" s="18" t="s">
        <v>133</v>
      </c>
      <c r="E349" s="19" t="str">
        <f t="shared" si="10"/>
        <v>Qa</v>
      </c>
      <c r="F349" s="18" t="s">
        <v>5060</v>
      </c>
      <c r="G349" s="19" t="str">
        <f t="shared" si="11"/>
        <v>Naukri</v>
      </c>
      <c r="H349" s="18">
        <v>3.2</v>
      </c>
      <c r="I349" s="18">
        <v>8.6999999999999993</v>
      </c>
      <c r="J349" s="18">
        <v>5.9</v>
      </c>
      <c r="K349" s="18">
        <v>154513</v>
      </c>
      <c r="L349" s="18">
        <v>136089</v>
      </c>
      <c r="M349" s="18" t="s">
        <v>5017</v>
      </c>
      <c r="N349" s="41" t="s">
        <v>5665</v>
      </c>
      <c r="O349" s="18" t="s">
        <v>149</v>
      </c>
      <c r="P349" s="18">
        <v>11.1</v>
      </c>
      <c r="R349" s="34"/>
    </row>
    <row r="350" spans="1:18">
      <c r="A350" s="19" t="s">
        <v>5666</v>
      </c>
      <c r="B350" s="19" t="s">
        <v>5667</v>
      </c>
      <c r="C350" s="19" t="s">
        <v>79</v>
      </c>
      <c r="D350" s="19" t="s">
        <v>133</v>
      </c>
      <c r="E350" s="19" t="str">
        <f t="shared" si="10"/>
        <v>Qa</v>
      </c>
      <c r="F350" s="19" t="s">
        <v>5016</v>
      </c>
      <c r="G350" s="19" t="str">
        <f t="shared" si="11"/>
        <v>Job Portal</v>
      </c>
      <c r="H350" s="19">
        <v>9.5</v>
      </c>
      <c r="I350" s="19">
        <v>9.6999999999999993</v>
      </c>
      <c r="J350" s="19">
        <v>9.6</v>
      </c>
      <c r="K350" s="19">
        <v>141368</v>
      </c>
      <c r="L350" s="19">
        <v>143905</v>
      </c>
      <c r="M350" s="19" t="s">
        <v>5035</v>
      </c>
      <c r="N350" s="40" t="s">
        <v>258</v>
      </c>
      <c r="O350" s="19" t="s">
        <v>18</v>
      </c>
      <c r="P350" s="19">
        <v>4.3</v>
      </c>
      <c r="R350" s="34"/>
    </row>
    <row r="351" spans="1:18">
      <c r="A351" s="18" t="s">
        <v>5668</v>
      </c>
      <c r="B351" s="18" t="s">
        <v>5123</v>
      </c>
      <c r="C351" s="18" t="s">
        <v>79</v>
      </c>
      <c r="D351" s="18" t="s">
        <v>118</v>
      </c>
      <c r="E351" s="19" t="str">
        <f t="shared" si="10"/>
        <v>Marketing</v>
      </c>
      <c r="F351" s="18" t="s">
        <v>5025</v>
      </c>
      <c r="G351" s="19" t="str">
        <f t="shared" si="11"/>
        <v>Campus</v>
      </c>
      <c r="H351" s="18">
        <v>7.9</v>
      </c>
      <c r="I351" s="18">
        <v>8.4</v>
      </c>
      <c r="J351" s="18">
        <v>8.1999999999999993</v>
      </c>
      <c r="K351" s="18">
        <v>46116</v>
      </c>
      <c r="L351" s="18">
        <v>46989</v>
      </c>
      <c r="M351" s="18" t="s">
        <v>5035</v>
      </c>
      <c r="N351" s="41" t="s">
        <v>2193</v>
      </c>
      <c r="O351" s="18" t="s">
        <v>214</v>
      </c>
      <c r="P351" s="18">
        <v>2.4</v>
      </c>
      <c r="R351" s="34"/>
    </row>
    <row r="352" spans="1:18">
      <c r="A352" s="19" t="s">
        <v>5669</v>
      </c>
      <c r="B352" s="19" t="s">
        <v>5354</v>
      </c>
      <c r="C352" s="19" t="s">
        <v>79</v>
      </c>
      <c r="D352" s="19" t="s">
        <v>24</v>
      </c>
      <c r="E352" s="19" t="str">
        <f t="shared" si="10"/>
        <v>Design</v>
      </c>
      <c r="F352" s="19" t="s">
        <v>5023</v>
      </c>
      <c r="G352" s="19" t="str">
        <f t="shared" si="11"/>
        <v>Linkedin</v>
      </c>
      <c r="H352" s="19">
        <v>7.8</v>
      </c>
      <c r="I352" s="19">
        <v>8</v>
      </c>
      <c r="J352" s="19">
        <v>7.9</v>
      </c>
      <c r="K352" s="19">
        <v>178463</v>
      </c>
      <c r="L352" s="19">
        <v>202348</v>
      </c>
      <c r="M352" s="19" t="s">
        <v>5020</v>
      </c>
      <c r="N352" s="40" t="s">
        <v>5136</v>
      </c>
      <c r="O352" s="19" t="s">
        <v>214</v>
      </c>
      <c r="P352" s="19">
        <v>12.4</v>
      </c>
      <c r="R352" s="34"/>
    </row>
    <row r="353" spans="1:18">
      <c r="A353" s="18" t="s">
        <v>5670</v>
      </c>
      <c r="B353" s="18" t="s">
        <v>383</v>
      </c>
      <c r="C353" s="18" t="s">
        <v>225</v>
      </c>
      <c r="D353" s="18" t="s">
        <v>39</v>
      </c>
      <c r="E353" s="19" t="str">
        <f t="shared" si="10"/>
        <v>Engineering</v>
      </c>
      <c r="F353" s="18" t="s">
        <v>5051</v>
      </c>
      <c r="G353" s="19" t="str">
        <f t="shared" si="11"/>
        <v>Naukri</v>
      </c>
      <c r="H353" s="18">
        <v>5.4</v>
      </c>
      <c r="I353" s="18">
        <v>3.9</v>
      </c>
      <c r="J353" s="18">
        <v>4.7</v>
      </c>
      <c r="K353" s="18">
        <v>163609</v>
      </c>
      <c r="L353" s="18"/>
      <c r="M353" s="18" t="s">
        <v>5035</v>
      </c>
      <c r="N353" s="41" t="s">
        <v>5671</v>
      </c>
      <c r="O353" s="18" t="s">
        <v>32</v>
      </c>
      <c r="P353" s="18">
        <v>9</v>
      </c>
      <c r="R353" s="34"/>
    </row>
    <row r="354" spans="1:18">
      <c r="A354" s="19" t="s">
        <v>5672</v>
      </c>
      <c r="B354" s="19" t="s">
        <v>5673</v>
      </c>
      <c r="C354" s="19" t="s">
        <v>79</v>
      </c>
      <c r="D354" s="19" t="s">
        <v>51</v>
      </c>
      <c r="E354" s="19" t="str">
        <f t="shared" si="10"/>
        <v>Sales</v>
      </c>
      <c r="F354" s="19" t="s">
        <v>5023</v>
      </c>
      <c r="G354" s="19" t="str">
        <f t="shared" si="11"/>
        <v>Linkedin</v>
      </c>
      <c r="H354" s="19">
        <v>6.6</v>
      </c>
      <c r="I354" s="19">
        <v>8.9</v>
      </c>
      <c r="J354" s="19">
        <v>7.8</v>
      </c>
      <c r="K354" s="19">
        <v>168943</v>
      </c>
      <c r="L354" s="19">
        <v>191341</v>
      </c>
      <c r="M354" s="19" t="s">
        <v>5020</v>
      </c>
      <c r="N354" s="40" t="s">
        <v>1938</v>
      </c>
      <c r="O354" s="19" t="s">
        <v>32</v>
      </c>
      <c r="P354" s="19">
        <v>14.3</v>
      </c>
      <c r="R354" s="34"/>
    </row>
    <row r="355" spans="1:18">
      <c r="A355" s="18" t="s">
        <v>5674</v>
      </c>
      <c r="B355" s="18" t="s">
        <v>932</v>
      </c>
      <c r="C355" s="18" t="s">
        <v>5040</v>
      </c>
      <c r="D355" s="18" t="s">
        <v>24</v>
      </c>
      <c r="E355" s="19" t="str">
        <f t="shared" si="10"/>
        <v>Design</v>
      </c>
      <c r="F355" s="18" t="s">
        <v>5016</v>
      </c>
      <c r="G355" s="19" t="str">
        <f t="shared" si="11"/>
        <v>Job Portal</v>
      </c>
      <c r="H355" s="18">
        <v>3.1</v>
      </c>
      <c r="I355" s="18">
        <v>3.6</v>
      </c>
      <c r="J355" s="18">
        <v>3.4</v>
      </c>
      <c r="K355" s="18">
        <v>175520</v>
      </c>
      <c r="L355" s="18">
        <v>176566</v>
      </c>
      <c r="M355" s="18" t="s">
        <v>5017</v>
      </c>
      <c r="N355" s="41" t="s">
        <v>1881</v>
      </c>
      <c r="O355" s="18" t="s">
        <v>32</v>
      </c>
      <c r="P355" s="18">
        <v>1.4</v>
      </c>
      <c r="R355" s="34"/>
    </row>
    <row r="356" spans="1:18">
      <c r="A356" s="19" t="s">
        <v>5675</v>
      </c>
      <c r="B356" s="19" t="s">
        <v>5676</v>
      </c>
      <c r="C356" s="19" t="s">
        <v>153</v>
      </c>
      <c r="D356" s="19" t="s">
        <v>24</v>
      </c>
      <c r="E356" s="19" t="str">
        <f t="shared" si="10"/>
        <v>Design</v>
      </c>
      <c r="F356" s="19" t="s">
        <v>5016</v>
      </c>
      <c r="G356" s="19" t="str">
        <f t="shared" si="11"/>
        <v>Job Portal</v>
      </c>
      <c r="H356" s="19">
        <v>7.4</v>
      </c>
      <c r="I356" s="19"/>
      <c r="J356" s="19">
        <v>7.4</v>
      </c>
      <c r="K356" s="19">
        <v>22366</v>
      </c>
      <c r="L356" s="19">
        <v>23338</v>
      </c>
      <c r="M356" s="19" t="s">
        <v>5028</v>
      </c>
      <c r="N356" s="40" t="s">
        <v>5677</v>
      </c>
      <c r="O356" s="19" t="s">
        <v>70</v>
      </c>
      <c r="P356" s="19">
        <v>10.7</v>
      </c>
      <c r="R356" s="34"/>
    </row>
    <row r="357" spans="1:18">
      <c r="A357" s="18" t="s">
        <v>5678</v>
      </c>
      <c r="B357" s="18" t="s">
        <v>5679</v>
      </c>
      <c r="C357" s="18" t="s">
        <v>79</v>
      </c>
      <c r="D357" s="18" t="s">
        <v>24</v>
      </c>
      <c r="E357" s="19" t="str">
        <f t="shared" si="10"/>
        <v>Design</v>
      </c>
      <c r="F357" s="18" t="s">
        <v>5023</v>
      </c>
      <c r="G357" s="19" t="str">
        <f t="shared" si="11"/>
        <v>Linkedin</v>
      </c>
      <c r="H357" s="18">
        <v>8.4</v>
      </c>
      <c r="I357" s="18">
        <v>8.9</v>
      </c>
      <c r="J357" s="18">
        <v>8.6999999999999993</v>
      </c>
      <c r="K357" s="18">
        <v>46205</v>
      </c>
      <c r="L357" s="18"/>
      <c r="M357" s="18" t="s">
        <v>5045</v>
      </c>
      <c r="N357" s="41" t="s">
        <v>5396</v>
      </c>
      <c r="O357" s="18" t="s">
        <v>114</v>
      </c>
      <c r="P357" s="18">
        <v>1.9</v>
      </c>
      <c r="R357" s="34"/>
    </row>
    <row r="358" spans="1:18">
      <c r="A358" s="19" t="s">
        <v>5680</v>
      </c>
      <c r="B358" s="19" t="s">
        <v>1386</v>
      </c>
      <c r="C358" s="19" t="s">
        <v>138</v>
      </c>
      <c r="D358" s="19" t="s">
        <v>89</v>
      </c>
      <c r="E358" s="19" t="str">
        <f t="shared" si="10"/>
        <v>Data Science</v>
      </c>
      <c r="F358" s="19" t="s">
        <v>5025</v>
      </c>
      <c r="G358" s="19" t="str">
        <f t="shared" si="11"/>
        <v>Campus</v>
      </c>
      <c r="H358" s="19">
        <v>8.6999999999999993</v>
      </c>
      <c r="I358" s="19"/>
      <c r="J358" s="19">
        <v>8.6999999999999993</v>
      </c>
      <c r="K358" s="19">
        <v>134633</v>
      </c>
      <c r="L358" s="19">
        <v>132763</v>
      </c>
      <c r="M358" s="19" t="s">
        <v>5028</v>
      </c>
      <c r="N358" s="40" t="s">
        <v>2307</v>
      </c>
      <c r="O358" s="19" t="s">
        <v>149</v>
      </c>
      <c r="P358" s="19">
        <v>3.5</v>
      </c>
      <c r="R358" s="34"/>
    </row>
    <row r="359" spans="1:18">
      <c r="A359" s="18" t="s">
        <v>5681</v>
      </c>
      <c r="B359" s="18" t="s">
        <v>5429</v>
      </c>
      <c r="C359" s="18" t="s">
        <v>79</v>
      </c>
      <c r="D359" s="18" t="s">
        <v>176</v>
      </c>
      <c r="E359" s="19" t="str">
        <f t="shared" si="10"/>
        <v>Finance</v>
      </c>
      <c r="F359" s="18" t="s">
        <v>5031</v>
      </c>
      <c r="G359" s="19" t="str">
        <f t="shared" si="11"/>
        <v>Walk-In</v>
      </c>
      <c r="H359" s="18">
        <v>3.3</v>
      </c>
      <c r="I359" s="18">
        <v>4.8</v>
      </c>
      <c r="J359" s="18">
        <v>4</v>
      </c>
      <c r="K359" s="18">
        <v>130585</v>
      </c>
      <c r="L359" s="18"/>
      <c r="M359" s="18" t="s">
        <v>5035</v>
      </c>
      <c r="N359" s="41" t="s">
        <v>1801</v>
      </c>
      <c r="O359" s="18" t="s">
        <v>75</v>
      </c>
      <c r="P359" s="18">
        <v>1.3</v>
      </c>
      <c r="R359" s="34"/>
    </row>
    <row r="360" spans="1:18">
      <c r="A360" s="19" t="s">
        <v>5682</v>
      </c>
      <c r="B360" s="19" t="s">
        <v>5076</v>
      </c>
      <c r="C360" s="19" t="s">
        <v>138</v>
      </c>
      <c r="D360" s="19" t="s">
        <v>118</v>
      </c>
      <c r="E360" s="19" t="str">
        <f t="shared" si="10"/>
        <v>Marketing</v>
      </c>
      <c r="F360" s="19" t="s">
        <v>5031</v>
      </c>
      <c r="G360" s="19" t="str">
        <f t="shared" si="11"/>
        <v>Walk-In</v>
      </c>
      <c r="H360" s="19">
        <v>8.6999999999999993</v>
      </c>
      <c r="I360" s="19">
        <v>7.9</v>
      </c>
      <c r="J360" s="19">
        <v>8.3000000000000007</v>
      </c>
      <c r="K360" s="19">
        <v>159727</v>
      </c>
      <c r="L360" s="19">
        <v>180960</v>
      </c>
      <c r="M360" s="19" t="s">
        <v>5017</v>
      </c>
      <c r="N360" s="40" t="s">
        <v>716</v>
      </c>
      <c r="O360" s="19" t="s">
        <v>46</v>
      </c>
      <c r="P360" s="19">
        <v>15</v>
      </c>
      <c r="R360" s="34"/>
    </row>
    <row r="361" spans="1:18">
      <c r="A361" s="18" t="s">
        <v>5683</v>
      </c>
      <c r="B361" s="18" t="s">
        <v>5361</v>
      </c>
      <c r="C361" s="18" t="s">
        <v>153</v>
      </c>
      <c r="D361" s="18" t="s">
        <v>39</v>
      </c>
      <c r="E361" s="19" t="str">
        <f t="shared" si="10"/>
        <v>Engineering</v>
      </c>
      <c r="F361" s="18" t="s">
        <v>5031</v>
      </c>
      <c r="G361" s="19" t="str">
        <f t="shared" si="11"/>
        <v>Walk-In</v>
      </c>
      <c r="H361" s="18">
        <v>5.6</v>
      </c>
      <c r="I361" s="18">
        <v>3.6</v>
      </c>
      <c r="J361" s="18">
        <v>4.5999999999999996</v>
      </c>
      <c r="K361" s="18">
        <v>155796</v>
      </c>
      <c r="L361" s="18"/>
      <c r="M361" s="18" t="s">
        <v>5020</v>
      </c>
      <c r="N361" s="41" t="s">
        <v>1068</v>
      </c>
      <c r="O361" s="18" t="s">
        <v>46</v>
      </c>
      <c r="P361" s="18">
        <v>8.8000000000000007</v>
      </c>
      <c r="R361" s="34"/>
    </row>
    <row r="362" spans="1:18">
      <c r="A362" s="19" t="s">
        <v>5684</v>
      </c>
      <c r="B362" s="19" t="s">
        <v>935</v>
      </c>
      <c r="C362" s="19" t="s">
        <v>225</v>
      </c>
      <c r="D362" s="19" t="s">
        <v>63</v>
      </c>
      <c r="E362" s="19" t="str">
        <f t="shared" si="10"/>
        <v>Product</v>
      </c>
      <c r="F362" s="19" t="s">
        <v>5077</v>
      </c>
      <c r="G362" s="19" t="str">
        <f t="shared" si="11"/>
        <v>Referral</v>
      </c>
      <c r="H362" s="19">
        <v>6.6</v>
      </c>
      <c r="I362" s="19">
        <v>7.4</v>
      </c>
      <c r="J362" s="19">
        <v>7</v>
      </c>
      <c r="K362" s="19">
        <v>80310</v>
      </c>
      <c r="L362" s="19">
        <v>79323</v>
      </c>
      <c r="M362" s="19" t="s">
        <v>5017</v>
      </c>
      <c r="N362" s="40" t="s">
        <v>5685</v>
      </c>
      <c r="O362" s="19" t="s">
        <v>214</v>
      </c>
      <c r="P362" s="19">
        <v>14.3</v>
      </c>
      <c r="R362" s="34"/>
    </row>
    <row r="363" spans="1:18">
      <c r="A363" s="18" t="s">
        <v>5686</v>
      </c>
      <c r="B363" s="18" t="s">
        <v>5687</v>
      </c>
      <c r="C363" s="18" t="s">
        <v>25</v>
      </c>
      <c r="D363" s="18" t="s">
        <v>89</v>
      </c>
      <c r="E363" s="19" t="str">
        <f t="shared" si="10"/>
        <v>Data Science</v>
      </c>
      <c r="F363" s="18" t="s">
        <v>5019</v>
      </c>
      <c r="G363" s="19" t="str">
        <f t="shared" si="11"/>
        <v>Linkedin</v>
      </c>
      <c r="H363" s="18">
        <v>7.3</v>
      </c>
      <c r="I363" s="18">
        <v>7.5</v>
      </c>
      <c r="J363" s="18">
        <v>7.4</v>
      </c>
      <c r="K363" s="18">
        <v>24184</v>
      </c>
      <c r="L363" s="18">
        <v>26870</v>
      </c>
      <c r="M363" s="18" t="s">
        <v>5045</v>
      </c>
      <c r="N363" s="41" t="s">
        <v>1753</v>
      </c>
      <c r="O363" s="18" t="s">
        <v>32</v>
      </c>
      <c r="P363" s="18">
        <v>10.3</v>
      </c>
      <c r="R363" s="34"/>
    </row>
    <row r="364" spans="1:18">
      <c r="A364" s="19" t="s">
        <v>5688</v>
      </c>
      <c r="B364" s="19" t="s">
        <v>1320</v>
      </c>
      <c r="C364" s="19" t="s">
        <v>335</v>
      </c>
      <c r="D364" s="19" t="s">
        <v>176</v>
      </c>
      <c r="E364" s="19" t="str">
        <f t="shared" si="10"/>
        <v>Finance</v>
      </c>
      <c r="F364" s="19" t="s">
        <v>5077</v>
      </c>
      <c r="G364" s="19" t="str">
        <f t="shared" si="11"/>
        <v>Referral</v>
      </c>
      <c r="H364" s="19">
        <v>9.4</v>
      </c>
      <c r="I364" s="19"/>
      <c r="J364" s="19">
        <v>9.4</v>
      </c>
      <c r="K364" s="19">
        <v>149799</v>
      </c>
      <c r="L364" s="19">
        <v>164924</v>
      </c>
      <c r="M364" s="19" t="s">
        <v>5035</v>
      </c>
      <c r="N364" s="40" t="s">
        <v>1703</v>
      </c>
      <c r="O364" s="19" t="s">
        <v>172</v>
      </c>
      <c r="P364" s="19">
        <v>2.9</v>
      </c>
      <c r="R364" s="34"/>
    </row>
    <row r="365" spans="1:18">
      <c r="A365" s="18" t="s">
        <v>5689</v>
      </c>
      <c r="B365" s="18" t="s">
        <v>996</v>
      </c>
      <c r="C365" s="18" t="s">
        <v>105</v>
      </c>
      <c r="D365" s="18" t="s">
        <v>63</v>
      </c>
      <c r="E365" s="19" t="str">
        <f t="shared" si="10"/>
        <v>Product</v>
      </c>
      <c r="F365" s="18" t="s">
        <v>5023</v>
      </c>
      <c r="G365" s="19" t="str">
        <f t="shared" si="11"/>
        <v>Linkedin</v>
      </c>
      <c r="H365" s="18">
        <v>9.9</v>
      </c>
      <c r="I365" s="18">
        <v>6</v>
      </c>
      <c r="J365" s="18">
        <v>8</v>
      </c>
      <c r="K365" s="18">
        <v>180727</v>
      </c>
      <c r="L365" s="18">
        <v>202301</v>
      </c>
      <c r="M365" s="18" t="s">
        <v>5017</v>
      </c>
      <c r="N365" s="41" t="s">
        <v>5690</v>
      </c>
      <c r="O365" s="18" t="s">
        <v>149</v>
      </c>
      <c r="P365" s="18">
        <v>13.4</v>
      </c>
      <c r="R365" s="34"/>
    </row>
    <row r="366" spans="1:18">
      <c r="A366" s="19" t="s">
        <v>5691</v>
      </c>
      <c r="B366" s="19" t="s">
        <v>658</v>
      </c>
      <c r="C366" s="19" t="s">
        <v>79</v>
      </c>
      <c r="D366" s="19" t="s">
        <v>63</v>
      </c>
      <c r="E366" s="19" t="str">
        <f t="shared" si="10"/>
        <v>Product</v>
      </c>
      <c r="F366" s="19" t="s">
        <v>5025</v>
      </c>
      <c r="G366" s="19" t="str">
        <f t="shared" si="11"/>
        <v>Campus</v>
      </c>
      <c r="H366" s="19">
        <v>7.1</v>
      </c>
      <c r="I366" s="19">
        <v>3.6</v>
      </c>
      <c r="J366" s="19">
        <v>5.3</v>
      </c>
      <c r="K366" s="19">
        <v>91358</v>
      </c>
      <c r="L366" s="19"/>
      <c r="M366" s="19" t="s">
        <v>5045</v>
      </c>
      <c r="N366" s="40" t="s">
        <v>5517</v>
      </c>
      <c r="O366" s="19" t="s">
        <v>32</v>
      </c>
      <c r="P366" s="19">
        <v>5.8</v>
      </c>
      <c r="R366" s="34"/>
    </row>
    <row r="367" spans="1:18">
      <c r="A367" s="18" t="s">
        <v>5692</v>
      </c>
      <c r="B367" s="18" t="s">
        <v>5693</v>
      </c>
      <c r="C367" s="18" t="s">
        <v>105</v>
      </c>
      <c r="D367" s="18" t="s">
        <v>63</v>
      </c>
      <c r="E367" s="19" t="str">
        <f t="shared" si="10"/>
        <v>Product</v>
      </c>
      <c r="F367" s="18" t="s">
        <v>5051</v>
      </c>
      <c r="G367" s="19" t="str">
        <f t="shared" si="11"/>
        <v>Naukri</v>
      </c>
      <c r="H367" s="18">
        <v>5.7</v>
      </c>
      <c r="I367" s="18">
        <v>6.1</v>
      </c>
      <c r="J367" s="18">
        <v>5.9</v>
      </c>
      <c r="K367" s="18">
        <v>57918</v>
      </c>
      <c r="L367" s="18">
        <v>66244</v>
      </c>
      <c r="M367" s="18" t="s">
        <v>5028</v>
      </c>
      <c r="N367" s="41" t="s">
        <v>1637</v>
      </c>
      <c r="O367" s="18" t="s">
        <v>46</v>
      </c>
      <c r="P367" s="18">
        <v>10.4</v>
      </c>
      <c r="R367" s="34"/>
    </row>
    <row r="368" spans="1:18">
      <c r="A368" s="19" t="s">
        <v>5694</v>
      </c>
      <c r="B368" s="19" t="s">
        <v>1591</v>
      </c>
      <c r="C368" s="19" t="s">
        <v>138</v>
      </c>
      <c r="D368" s="19" t="s">
        <v>84</v>
      </c>
      <c r="E368" s="19" t="str">
        <f t="shared" si="10"/>
        <v>Hr</v>
      </c>
      <c r="F368" s="19" t="s">
        <v>5060</v>
      </c>
      <c r="G368" s="19" t="str">
        <f t="shared" si="11"/>
        <v>Naukri</v>
      </c>
      <c r="H368" s="19">
        <v>3.7</v>
      </c>
      <c r="I368" s="19">
        <v>8.6999999999999993</v>
      </c>
      <c r="J368" s="19">
        <v>6.2</v>
      </c>
      <c r="K368" s="19"/>
      <c r="L368" s="19">
        <v>172341</v>
      </c>
      <c r="M368" s="19" t="s">
        <v>5045</v>
      </c>
      <c r="N368" s="40" t="s">
        <v>5430</v>
      </c>
      <c r="O368" s="19" t="s">
        <v>214</v>
      </c>
      <c r="P368" s="19">
        <v>6.3</v>
      </c>
      <c r="R368" s="34"/>
    </row>
    <row r="369" spans="1:18">
      <c r="A369" s="18" t="s">
        <v>5695</v>
      </c>
      <c r="B369" s="18" t="s">
        <v>317</v>
      </c>
      <c r="C369" s="18" t="s">
        <v>25</v>
      </c>
      <c r="D369" s="18" t="s">
        <v>24</v>
      </c>
      <c r="E369" s="19" t="str">
        <f t="shared" si="10"/>
        <v>Design</v>
      </c>
      <c r="F369" s="18" t="s">
        <v>5031</v>
      </c>
      <c r="G369" s="19" t="str">
        <f t="shared" si="11"/>
        <v>Walk-In</v>
      </c>
      <c r="H369" s="18">
        <v>3.8</v>
      </c>
      <c r="I369" s="18">
        <v>3.4</v>
      </c>
      <c r="J369" s="18">
        <v>3.6</v>
      </c>
      <c r="K369" s="18">
        <v>122664</v>
      </c>
      <c r="L369" s="18">
        <v>125269</v>
      </c>
      <c r="M369" s="18" t="s">
        <v>5028</v>
      </c>
      <c r="N369" s="41" t="s">
        <v>5696</v>
      </c>
      <c r="O369" s="18" t="s">
        <v>65</v>
      </c>
      <c r="P369" s="18">
        <v>13.3</v>
      </c>
      <c r="R369" s="34"/>
    </row>
    <row r="370" spans="1:18">
      <c r="A370" s="19" t="s">
        <v>5697</v>
      </c>
      <c r="B370" s="19" t="s">
        <v>935</v>
      </c>
      <c r="C370" s="19" t="s">
        <v>25</v>
      </c>
      <c r="D370" s="19" t="s">
        <v>16</v>
      </c>
      <c r="E370" s="19" t="str">
        <f t="shared" si="10"/>
        <v>Devops</v>
      </c>
      <c r="F370" s="19" t="s">
        <v>5025</v>
      </c>
      <c r="G370" s="19" t="str">
        <f t="shared" si="11"/>
        <v>Campus</v>
      </c>
      <c r="H370" s="19">
        <v>4.4000000000000004</v>
      </c>
      <c r="I370" s="19">
        <v>4.2</v>
      </c>
      <c r="J370" s="19">
        <v>4.3</v>
      </c>
      <c r="K370" s="19">
        <v>183537</v>
      </c>
      <c r="L370" s="19"/>
      <c r="M370" s="19" t="s">
        <v>5045</v>
      </c>
      <c r="N370" s="40" t="s">
        <v>2000</v>
      </c>
      <c r="O370" s="19" t="s">
        <v>46</v>
      </c>
      <c r="P370" s="19">
        <v>8.1</v>
      </c>
      <c r="R370" s="34"/>
    </row>
    <row r="371" spans="1:18">
      <c r="A371" s="18" t="s">
        <v>5698</v>
      </c>
      <c r="B371" s="18" t="s">
        <v>383</v>
      </c>
      <c r="C371" s="18" t="s">
        <v>98</v>
      </c>
      <c r="D371" s="18" t="s">
        <v>84</v>
      </c>
      <c r="E371" s="19" t="str">
        <f t="shared" si="10"/>
        <v>Hr</v>
      </c>
      <c r="F371" s="18" t="s">
        <v>5016</v>
      </c>
      <c r="G371" s="19" t="str">
        <f t="shared" si="11"/>
        <v>Job Portal</v>
      </c>
      <c r="H371" s="18">
        <v>8.1999999999999993</v>
      </c>
      <c r="I371" s="18">
        <v>4.7</v>
      </c>
      <c r="J371" s="18">
        <v>6.4</v>
      </c>
      <c r="K371" s="18">
        <v>153098</v>
      </c>
      <c r="L371" s="18"/>
      <c r="M371" s="18" t="s">
        <v>5020</v>
      </c>
      <c r="N371" s="41" t="s">
        <v>5699</v>
      </c>
      <c r="O371" s="18" t="s">
        <v>114</v>
      </c>
      <c r="P371" s="18">
        <v>14.2</v>
      </c>
      <c r="R371" s="34"/>
    </row>
    <row r="372" spans="1:18">
      <c r="A372" s="19" t="s">
        <v>5700</v>
      </c>
      <c r="B372" s="19" t="s">
        <v>692</v>
      </c>
      <c r="C372" s="19" t="s">
        <v>138</v>
      </c>
      <c r="D372" s="19" t="s">
        <v>89</v>
      </c>
      <c r="E372" s="19" t="str">
        <f t="shared" si="10"/>
        <v>Data Science</v>
      </c>
      <c r="F372" s="19" t="s">
        <v>5016</v>
      </c>
      <c r="G372" s="19" t="str">
        <f t="shared" si="11"/>
        <v>Job Portal</v>
      </c>
      <c r="H372" s="19">
        <v>5.3</v>
      </c>
      <c r="I372" s="19">
        <v>9.5</v>
      </c>
      <c r="J372" s="19">
        <v>7.4</v>
      </c>
      <c r="K372" s="19">
        <v>171128</v>
      </c>
      <c r="L372" s="19">
        <v>150583</v>
      </c>
      <c r="M372" s="19" t="s">
        <v>5017</v>
      </c>
      <c r="N372" s="40" t="s">
        <v>5671</v>
      </c>
      <c r="O372" s="19" t="s">
        <v>65</v>
      </c>
      <c r="P372" s="19">
        <v>11</v>
      </c>
      <c r="R372" s="34"/>
    </row>
    <row r="373" spans="1:18">
      <c r="A373" s="18" t="s">
        <v>5701</v>
      </c>
      <c r="B373" s="18" t="s">
        <v>1041</v>
      </c>
      <c r="C373" s="18" t="s">
        <v>25</v>
      </c>
      <c r="D373" s="18" t="s">
        <v>133</v>
      </c>
      <c r="E373" s="19" t="str">
        <f t="shared" si="10"/>
        <v>Qa</v>
      </c>
      <c r="F373" s="18" t="s">
        <v>5016</v>
      </c>
      <c r="G373" s="19" t="str">
        <f t="shared" si="11"/>
        <v>Job Portal</v>
      </c>
      <c r="H373" s="18">
        <v>6.9</v>
      </c>
      <c r="I373" s="18">
        <v>5.6</v>
      </c>
      <c r="J373" s="18">
        <v>6.2</v>
      </c>
      <c r="K373" s="18">
        <v>193797</v>
      </c>
      <c r="L373" s="18">
        <v>186294</v>
      </c>
      <c r="M373" s="18" t="s">
        <v>5045</v>
      </c>
      <c r="N373" s="41" t="s">
        <v>5149</v>
      </c>
      <c r="O373" s="18" t="s">
        <v>75</v>
      </c>
      <c r="P373" s="18">
        <v>6.7</v>
      </c>
      <c r="R373" s="34"/>
    </row>
    <row r="374" spans="1:18">
      <c r="A374" s="19" t="s">
        <v>5702</v>
      </c>
      <c r="B374" s="19" t="s">
        <v>5703</v>
      </c>
      <c r="C374" s="19" t="s">
        <v>335</v>
      </c>
      <c r="D374" s="19" t="s">
        <v>16</v>
      </c>
      <c r="E374" s="19" t="str">
        <f t="shared" si="10"/>
        <v>Devops</v>
      </c>
      <c r="F374" s="19" t="s">
        <v>5016</v>
      </c>
      <c r="G374" s="19" t="str">
        <f t="shared" si="11"/>
        <v>Job Portal</v>
      </c>
      <c r="H374" s="19">
        <v>8.5</v>
      </c>
      <c r="I374" s="19">
        <v>4</v>
      </c>
      <c r="J374" s="19">
        <v>6.2</v>
      </c>
      <c r="K374" s="19">
        <v>37728</v>
      </c>
      <c r="L374" s="19">
        <v>39170</v>
      </c>
      <c r="M374" s="19" t="s">
        <v>5020</v>
      </c>
      <c r="N374" s="40" t="s">
        <v>669</v>
      </c>
      <c r="O374" s="19" t="s">
        <v>149</v>
      </c>
      <c r="P374" s="19">
        <v>6.4</v>
      </c>
      <c r="R374" s="34"/>
    </row>
    <row r="375" spans="1:18">
      <c r="A375" s="18" t="s">
        <v>5704</v>
      </c>
      <c r="B375" s="18" t="s">
        <v>854</v>
      </c>
      <c r="C375" s="18" t="s">
        <v>25</v>
      </c>
      <c r="D375" s="18" t="s">
        <v>84</v>
      </c>
      <c r="E375" s="19" t="str">
        <f t="shared" si="10"/>
        <v>Hr</v>
      </c>
      <c r="F375" s="18" t="s">
        <v>5025</v>
      </c>
      <c r="G375" s="19" t="str">
        <f t="shared" si="11"/>
        <v>Campus</v>
      </c>
      <c r="H375" s="18">
        <v>3.4</v>
      </c>
      <c r="I375" s="18">
        <v>8.4</v>
      </c>
      <c r="J375" s="18">
        <v>5.9</v>
      </c>
      <c r="K375" s="18">
        <v>27970</v>
      </c>
      <c r="L375" s="18">
        <v>25107</v>
      </c>
      <c r="M375" s="18" t="s">
        <v>5045</v>
      </c>
      <c r="N375" s="41" t="s">
        <v>5087</v>
      </c>
      <c r="O375" s="18" t="s">
        <v>32</v>
      </c>
      <c r="P375" s="18">
        <v>3.3</v>
      </c>
      <c r="R375" s="34"/>
    </row>
    <row r="376" spans="1:18">
      <c r="A376" s="19" t="s">
        <v>5705</v>
      </c>
      <c r="B376" s="19" t="s">
        <v>269</v>
      </c>
      <c r="C376" s="19" t="s">
        <v>90</v>
      </c>
      <c r="D376" s="19" t="s">
        <v>63</v>
      </c>
      <c r="E376" s="19" t="str">
        <f t="shared" si="10"/>
        <v>Product</v>
      </c>
      <c r="F376" s="19" t="s">
        <v>5060</v>
      </c>
      <c r="G376" s="19" t="str">
        <f t="shared" si="11"/>
        <v>Naukri</v>
      </c>
      <c r="H376" s="19">
        <v>5.9</v>
      </c>
      <c r="I376" s="19">
        <v>8.1999999999999993</v>
      </c>
      <c r="J376" s="19">
        <v>7</v>
      </c>
      <c r="K376" s="19">
        <v>192224</v>
      </c>
      <c r="L376" s="19">
        <v>187419</v>
      </c>
      <c r="M376" s="19" t="s">
        <v>5020</v>
      </c>
      <c r="N376" s="40" t="s">
        <v>5441</v>
      </c>
      <c r="O376" s="19" t="s">
        <v>70</v>
      </c>
      <c r="P376" s="19">
        <v>6.2</v>
      </c>
      <c r="R376" s="34"/>
    </row>
    <row r="377" spans="1:18">
      <c r="A377" s="18" t="s">
        <v>5706</v>
      </c>
      <c r="B377" s="18" t="s">
        <v>479</v>
      </c>
      <c r="C377" s="18" t="s">
        <v>335</v>
      </c>
      <c r="D377" s="18" t="s">
        <v>63</v>
      </c>
      <c r="E377" s="19" t="str">
        <f t="shared" si="10"/>
        <v>Product</v>
      </c>
      <c r="F377" s="18" t="s">
        <v>5016</v>
      </c>
      <c r="G377" s="19" t="str">
        <f t="shared" si="11"/>
        <v>Job Portal</v>
      </c>
      <c r="H377" s="18">
        <v>5.4</v>
      </c>
      <c r="I377" s="18">
        <v>4.9000000000000004</v>
      </c>
      <c r="J377" s="18">
        <v>5.2</v>
      </c>
      <c r="K377" s="18">
        <v>67260</v>
      </c>
      <c r="L377" s="18">
        <v>66360</v>
      </c>
      <c r="M377" s="18" t="s">
        <v>5017</v>
      </c>
      <c r="N377" s="41" t="s">
        <v>5707</v>
      </c>
      <c r="O377" s="18" t="s">
        <v>46</v>
      </c>
      <c r="P377" s="18">
        <v>13.7</v>
      </c>
      <c r="R377" s="34"/>
    </row>
    <row r="378" spans="1:18">
      <c r="A378" s="19" t="s">
        <v>5708</v>
      </c>
      <c r="B378" s="19" t="s">
        <v>5709</v>
      </c>
      <c r="C378" s="19" t="s">
        <v>90</v>
      </c>
      <c r="D378" s="19" t="s">
        <v>39</v>
      </c>
      <c r="E378" s="19" t="str">
        <f t="shared" si="10"/>
        <v>Engineering</v>
      </c>
      <c r="F378" s="19" t="s">
        <v>5031</v>
      </c>
      <c r="G378" s="19" t="str">
        <f t="shared" si="11"/>
        <v>Walk-In</v>
      </c>
      <c r="H378" s="19">
        <v>6.3</v>
      </c>
      <c r="I378" s="19">
        <v>9.6999999999999993</v>
      </c>
      <c r="J378" s="19">
        <v>8</v>
      </c>
      <c r="K378" s="19">
        <v>63966</v>
      </c>
      <c r="L378" s="19">
        <v>68976</v>
      </c>
      <c r="M378" s="19" t="s">
        <v>5045</v>
      </c>
      <c r="N378" s="40" t="s">
        <v>1207</v>
      </c>
      <c r="O378" s="19" t="s">
        <v>149</v>
      </c>
      <c r="P378" s="19">
        <v>9.6999999999999993</v>
      </c>
      <c r="R378" s="34"/>
    </row>
    <row r="379" spans="1:18">
      <c r="A379" s="18" t="s">
        <v>5710</v>
      </c>
      <c r="B379" s="18" t="s">
        <v>613</v>
      </c>
      <c r="C379" s="18" t="s">
        <v>25</v>
      </c>
      <c r="D379" s="18" t="s">
        <v>84</v>
      </c>
      <c r="E379" s="19" t="str">
        <f t="shared" si="10"/>
        <v>Hr</v>
      </c>
      <c r="F379" s="18" t="s">
        <v>5019</v>
      </c>
      <c r="G379" s="19" t="str">
        <f t="shared" si="11"/>
        <v>Linkedin</v>
      </c>
      <c r="H379" s="18">
        <v>8.8000000000000007</v>
      </c>
      <c r="I379" s="18">
        <v>8.8000000000000007</v>
      </c>
      <c r="J379" s="18">
        <v>8.8000000000000007</v>
      </c>
      <c r="K379" s="18">
        <v>27250</v>
      </c>
      <c r="L379" s="18">
        <v>23871</v>
      </c>
      <c r="M379" s="18" t="s">
        <v>5028</v>
      </c>
      <c r="N379" s="41" t="s">
        <v>2042</v>
      </c>
      <c r="O379" s="18" t="s">
        <v>114</v>
      </c>
      <c r="P379" s="18">
        <v>10.3</v>
      </c>
      <c r="R379" s="34"/>
    </row>
    <row r="380" spans="1:18">
      <c r="A380" s="19" t="s">
        <v>5711</v>
      </c>
      <c r="B380" s="19" t="s">
        <v>5523</v>
      </c>
      <c r="C380" s="19" t="s">
        <v>153</v>
      </c>
      <c r="D380" s="19" t="s">
        <v>63</v>
      </c>
      <c r="E380" s="19" t="str">
        <f t="shared" si="10"/>
        <v>Product</v>
      </c>
      <c r="F380" s="19" t="s">
        <v>5031</v>
      </c>
      <c r="G380" s="19" t="str">
        <f t="shared" si="11"/>
        <v>Walk-In</v>
      </c>
      <c r="H380" s="19">
        <v>7</v>
      </c>
      <c r="I380" s="19">
        <v>8.9</v>
      </c>
      <c r="J380" s="19">
        <v>8</v>
      </c>
      <c r="K380" s="19">
        <v>22422</v>
      </c>
      <c r="L380" s="19">
        <v>25181</v>
      </c>
      <c r="M380" s="19" t="s">
        <v>5045</v>
      </c>
      <c r="N380" s="40" t="s">
        <v>270</v>
      </c>
      <c r="O380" s="19" t="s">
        <v>114</v>
      </c>
      <c r="P380" s="19">
        <v>6.1</v>
      </c>
      <c r="R380" s="34"/>
    </row>
    <row r="381" spans="1:18">
      <c r="A381" s="18" t="s">
        <v>5712</v>
      </c>
      <c r="B381" s="18" t="s">
        <v>5422</v>
      </c>
      <c r="C381" s="18" t="s">
        <v>225</v>
      </c>
      <c r="D381" s="18" t="s">
        <v>39</v>
      </c>
      <c r="E381" s="19" t="str">
        <f t="shared" si="10"/>
        <v>Engineering</v>
      </c>
      <c r="F381" s="18" t="s">
        <v>5016</v>
      </c>
      <c r="G381" s="19" t="str">
        <f t="shared" si="11"/>
        <v>Job Portal</v>
      </c>
      <c r="H381" s="18">
        <v>3.7</v>
      </c>
      <c r="I381" s="18">
        <v>5.8</v>
      </c>
      <c r="J381" s="18">
        <v>4.8</v>
      </c>
      <c r="K381" s="18">
        <v>134467</v>
      </c>
      <c r="L381" s="18">
        <v>118238</v>
      </c>
      <c r="M381" s="18" t="s">
        <v>5020</v>
      </c>
      <c r="N381" s="41" t="s">
        <v>5713</v>
      </c>
      <c r="O381" s="18" t="s">
        <v>149</v>
      </c>
      <c r="P381" s="18">
        <v>5.3</v>
      </c>
      <c r="R381" s="34"/>
    </row>
    <row r="382" spans="1:18">
      <c r="A382" s="19" t="s">
        <v>5714</v>
      </c>
      <c r="B382" s="19" t="s">
        <v>561</v>
      </c>
      <c r="C382" s="19" t="s">
        <v>25</v>
      </c>
      <c r="D382" s="19" t="s">
        <v>133</v>
      </c>
      <c r="E382" s="19" t="str">
        <f t="shared" si="10"/>
        <v>Qa</v>
      </c>
      <c r="F382" s="19" t="s">
        <v>5019</v>
      </c>
      <c r="G382" s="19" t="str">
        <f t="shared" si="11"/>
        <v>Linkedin</v>
      </c>
      <c r="H382" s="19">
        <v>6.6</v>
      </c>
      <c r="I382" s="19"/>
      <c r="J382" s="19">
        <v>6.6</v>
      </c>
      <c r="K382" s="19">
        <v>121143</v>
      </c>
      <c r="L382" s="19"/>
      <c r="M382" s="19" t="s">
        <v>5045</v>
      </c>
      <c r="N382" s="40" t="s">
        <v>480</v>
      </c>
      <c r="O382" s="19" t="s">
        <v>32</v>
      </c>
      <c r="P382" s="19">
        <v>8.9</v>
      </c>
      <c r="R382" s="34"/>
    </row>
    <row r="383" spans="1:18">
      <c r="A383" s="18" t="s">
        <v>5715</v>
      </c>
      <c r="B383" s="18" t="s">
        <v>1057</v>
      </c>
      <c r="C383" s="18" t="s">
        <v>5040</v>
      </c>
      <c r="D383" s="18" t="s">
        <v>63</v>
      </c>
      <c r="E383" s="19" t="str">
        <f t="shared" si="10"/>
        <v>Product</v>
      </c>
      <c r="F383" s="18" t="s">
        <v>5019</v>
      </c>
      <c r="G383" s="19" t="str">
        <f t="shared" si="11"/>
        <v>Linkedin</v>
      </c>
      <c r="H383" s="18">
        <v>8.3000000000000007</v>
      </c>
      <c r="I383" s="18">
        <v>6.2</v>
      </c>
      <c r="J383" s="18">
        <v>7.2</v>
      </c>
      <c r="K383" s="18">
        <v>168827</v>
      </c>
      <c r="L383" s="18">
        <v>173809</v>
      </c>
      <c r="M383" s="18" t="s">
        <v>5035</v>
      </c>
      <c r="N383" s="41" t="s">
        <v>5716</v>
      </c>
      <c r="O383" s="18" t="s">
        <v>65</v>
      </c>
      <c r="P383" s="18">
        <v>10.5</v>
      </c>
      <c r="R383" s="34"/>
    </row>
    <row r="384" spans="1:18">
      <c r="A384" s="19" t="s">
        <v>5717</v>
      </c>
      <c r="B384" s="19" t="s">
        <v>5718</v>
      </c>
      <c r="C384" s="19" t="s">
        <v>225</v>
      </c>
      <c r="D384" s="19" t="s">
        <v>24</v>
      </c>
      <c r="E384" s="19" t="str">
        <f t="shared" si="10"/>
        <v>Design</v>
      </c>
      <c r="F384" s="19" t="s">
        <v>5019</v>
      </c>
      <c r="G384" s="19" t="str">
        <f t="shared" si="11"/>
        <v>Linkedin</v>
      </c>
      <c r="H384" s="19">
        <v>8.1</v>
      </c>
      <c r="I384" s="19">
        <v>4.4000000000000004</v>
      </c>
      <c r="J384" s="19">
        <v>6.2</v>
      </c>
      <c r="K384" s="19">
        <v>31193</v>
      </c>
      <c r="L384" s="19"/>
      <c r="M384" s="19" t="s">
        <v>5028</v>
      </c>
      <c r="N384" s="40" t="s">
        <v>5289</v>
      </c>
      <c r="O384" s="19" t="s">
        <v>70</v>
      </c>
      <c r="P384" s="19">
        <v>6.2</v>
      </c>
      <c r="R384" s="34"/>
    </row>
    <row r="385" spans="1:18">
      <c r="A385" s="18" t="s">
        <v>5719</v>
      </c>
      <c r="B385" s="18" t="s">
        <v>404</v>
      </c>
      <c r="C385" s="18" t="s">
        <v>98</v>
      </c>
      <c r="D385" s="18" t="s">
        <v>176</v>
      </c>
      <c r="E385" s="19" t="str">
        <f t="shared" si="10"/>
        <v>Finance</v>
      </c>
      <c r="F385" s="18" t="s">
        <v>5077</v>
      </c>
      <c r="G385" s="19" t="str">
        <f t="shared" si="11"/>
        <v>Referral</v>
      </c>
      <c r="H385" s="18">
        <v>5.6</v>
      </c>
      <c r="I385" s="18">
        <v>6</v>
      </c>
      <c r="J385" s="18">
        <v>5.8</v>
      </c>
      <c r="K385" s="18">
        <v>98220</v>
      </c>
      <c r="L385" s="18"/>
      <c r="M385" s="18" t="s">
        <v>5020</v>
      </c>
      <c r="N385" s="41" t="s">
        <v>5210</v>
      </c>
      <c r="O385" s="18" t="s">
        <v>114</v>
      </c>
      <c r="P385" s="18">
        <v>13.8</v>
      </c>
      <c r="R385" s="34"/>
    </row>
    <row r="386" spans="1:18">
      <c r="A386" s="19" t="s">
        <v>5720</v>
      </c>
      <c r="B386" s="19" t="s">
        <v>5721</v>
      </c>
      <c r="C386" s="19" t="s">
        <v>105</v>
      </c>
      <c r="D386" s="19" t="s">
        <v>118</v>
      </c>
      <c r="E386" s="19" t="str">
        <f t="shared" si="10"/>
        <v>Marketing</v>
      </c>
      <c r="F386" s="19" t="s">
        <v>5023</v>
      </c>
      <c r="G386" s="19" t="str">
        <f t="shared" si="11"/>
        <v>Linkedin</v>
      </c>
      <c r="H386" s="19">
        <v>3.6</v>
      </c>
      <c r="I386" s="19">
        <v>4.4000000000000004</v>
      </c>
      <c r="J386" s="19">
        <v>4</v>
      </c>
      <c r="K386" s="19">
        <v>186678</v>
      </c>
      <c r="L386" s="19">
        <v>190032</v>
      </c>
      <c r="M386" s="19" t="s">
        <v>5017</v>
      </c>
      <c r="N386" s="40" t="s">
        <v>5222</v>
      </c>
      <c r="O386" s="19" t="s">
        <v>114</v>
      </c>
      <c r="P386" s="19">
        <v>9.6</v>
      </c>
      <c r="R386" s="34"/>
    </row>
    <row r="387" spans="1:18">
      <c r="A387" s="18" t="s">
        <v>5722</v>
      </c>
      <c r="B387" s="18" t="s">
        <v>798</v>
      </c>
      <c r="C387" s="18" t="s">
        <v>98</v>
      </c>
      <c r="D387" s="18" t="s">
        <v>39</v>
      </c>
      <c r="E387" s="19" t="str">
        <f t="shared" ref="E387:E401" si="12">PROPER(D387)</f>
        <v>Engineering</v>
      </c>
      <c r="F387" s="18" t="s">
        <v>5019</v>
      </c>
      <c r="G387" s="19" t="str">
        <f t="shared" ref="G387:G401" si="13">PROPER(F387)</f>
        <v>Linkedin</v>
      </c>
      <c r="H387" s="18">
        <v>5.3</v>
      </c>
      <c r="I387" s="18"/>
      <c r="J387" s="18">
        <v>5.3</v>
      </c>
      <c r="K387" s="18">
        <v>146992</v>
      </c>
      <c r="L387" s="18"/>
      <c r="M387" s="18" t="s">
        <v>5020</v>
      </c>
      <c r="N387" s="41" t="s">
        <v>1764</v>
      </c>
      <c r="O387" s="18" t="s">
        <v>70</v>
      </c>
      <c r="P387" s="18">
        <v>9.3000000000000007</v>
      </c>
      <c r="R387" s="34"/>
    </row>
    <row r="388" spans="1:18">
      <c r="A388" s="19" t="s">
        <v>5723</v>
      </c>
      <c r="B388" s="19" t="s">
        <v>5693</v>
      </c>
      <c r="C388" s="19" t="s">
        <v>153</v>
      </c>
      <c r="D388" s="19" t="s">
        <v>133</v>
      </c>
      <c r="E388" s="19" t="str">
        <f t="shared" si="12"/>
        <v>Qa</v>
      </c>
      <c r="F388" s="19" t="s">
        <v>5025</v>
      </c>
      <c r="G388" s="19" t="str">
        <f t="shared" si="13"/>
        <v>Campus</v>
      </c>
      <c r="H388" s="19">
        <v>4.4000000000000004</v>
      </c>
      <c r="I388" s="19">
        <v>6.1</v>
      </c>
      <c r="J388" s="19">
        <v>5.2</v>
      </c>
      <c r="K388" s="19">
        <v>159394</v>
      </c>
      <c r="L388" s="19"/>
      <c r="M388" s="19" t="s">
        <v>5017</v>
      </c>
      <c r="N388" s="40" t="s">
        <v>1737</v>
      </c>
      <c r="O388" s="19" t="s">
        <v>75</v>
      </c>
      <c r="P388" s="19">
        <v>9.4</v>
      </c>
      <c r="R388" s="34"/>
    </row>
    <row r="389" spans="1:18">
      <c r="A389" s="18" t="s">
        <v>5724</v>
      </c>
      <c r="B389" s="18" t="s">
        <v>5725</v>
      </c>
      <c r="C389" s="18" t="s">
        <v>25</v>
      </c>
      <c r="D389" s="18" t="s">
        <v>39</v>
      </c>
      <c r="E389" s="19" t="str">
        <f t="shared" si="12"/>
        <v>Engineering</v>
      </c>
      <c r="F389" s="18" t="s">
        <v>5023</v>
      </c>
      <c r="G389" s="19" t="str">
        <f t="shared" si="13"/>
        <v>Linkedin</v>
      </c>
      <c r="H389" s="18">
        <v>6.7</v>
      </c>
      <c r="I389" s="18">
        <v>3.9</v>
      </c>
      <c r="J389" s="18">
        <v>5.3</v>
      </c>
      <c r="K389" s="18">
        <v>140048</v>
      </c>
      <c r="L389" s="18">
        <v>120437</v>
      </c>
      <c r="M389" s="18" t="s">
        <v>5017</v>
      </c>
      <c r="N389" s="41" t="s">
        <v>5156</v>
      </c>
      <c r="O389" s="18" t="s">
        <v>18</v>
      </c>
      <c r="P389" s="18">
        <v>5</v>
      </c>
      <c r="R389" s="34"/>
    </row>
    <row r="390" spans="1:18">
      <c r="A390" s="19" t="s">
        <v>5726</v>
      </c>
      <c r="B390" s="19" t="s">
        <v>468</v>
      </c>
      <c r="C390" s="19" t="s">
        <v>90</v>
      </c>
      <c r="D390" s="19" t="s">
        <v>39</v>
      </c>
      <c r="E390" s="19" t="str">
        <f t="shared" si="12"/>
        <v>Engineering</v>
      </c>
      <c r="F390" s="19" t="s">
        <v>5060</v>
      </c>
      <c r="G390" s="19" t="str">
        <f t="shared" si="13"/>
        <v>Naukri</v>
      </c>
      <c r="H390" s="19">
        <v>7.1</v>
      </c>
      <c r="I390" s="19">
        <v>3.2</v>
      </c>
      <c r="J390" s="19">
        <v>5.2</v>
      </c>
      <c r="K390" s="19">
        <v>157818</v>
      </c>
      <c r="L390" s="19">
        <v>152403</v>
      </c>
      <c r="M390" s="19" t="s">
        <v>5028</v>
      </c>
      <c r="N390" s="40" t="s">
        <v>1988</v>
      </c>
      <c r="O390" s="19" t="s">
        <v>18</v>
      </c>
      <c r="P390" s="19">
        <v>7.2</v>
      </c>
      <c r="R390" s="34"/>
    </row>
    <row r="391" spans="1:18">
      <c r="A391" s="18" t="s">
        <v>5727</v>
      </c>
      <c r="B391" s="18" t="s">
        <v>5728</v>
      </c>
      <c r="C391" s="18" t="s">
        <v>105</v>
      </c>
      <c r="D391" s="18" t="s">
        <v>89</v>
      </c>
      <c r="E391" s="19" t="str">
        <f t="shared" si="12"/>
        <v>Data Science</v>
      </c>
      <c r="F391" s="18" t="s">
        <v>5016</v>
      </c>
      <c r="G391" s="19" t="str">
        <f t="shared" si="13"/>
        <v>Job Portal</v>
      </c>
      <c r="H391" s="18">
        <v>7.6</v>
      </c>
      <c r="I391" s="18">
        <v>3.5</v>
      </c>
      <c r="J391" s="18">
        <v>5.5</v>
      </c>
      <c r="K391" s="18">
        <v>146183</v>
      </c>
      <c r="L391" s="18"/>
      <c r="M391" s="18" t="s">
        <v>5017</v>
      </c>
      <c r="N391" s="41" t="s">
        <v>5352</v>
      </c>
      <c r="O391" s="18" t="s">
        <v>32</v>
      </c>
      <c r="P391" s="18">
        <v>12.7</v>
      </c>
      <c r="R391" s="34"/>
    </row>
    <row r="392" spans="1:18">
      <c r="A392" s="19" t="s">
        <v>5729</v>
      </c>
      <c r="B392" s="19" t="s">
        <v>5179</v>
      </c>
      <c r="C392" s="19" t="s">
        <v>25</v>
      </c>
      <c r="D392" s="19" t="s">
        <v>133</v>
      </c>
      <c r="E392" s="19" t="str">
        <f t="shared" si="12"/>
        <v>Qa</v>
      </c>
      <c r="F392" s="19" t="s">
        <v>5019</v>
      </c>
      <c r="G392" s="19" t="str">
        <f t="shared" si="13"/>
        <v>Linkedin</v>
      </c>
      <c r="H392" s="19">
        <v>7.7</v>
      </c>
      <c r="I392" s="19">
        <v>7.8</v>
      </c>
      <c r="J392" s="19">
        <v>7.8</v>
      </c>
      <c r="K392" s="19">
        <v>58349</v>
      </c>
      <c r="L392" s="19"/>
      <c r="M392" s="19" t="s">
        <v>5020</v>
      </c>
      <c r="N392" s="40" t="s">
        <v>5730</v>
      </c>
      <c r="O392" s="19" t="s">
        <v>18</v>
      </c>
      <c r="P392" s="19">
        <v>7.7</v>
      </c>
      <c r="R392" s="34"/>
    </row>
    <row r="393" spans="1:18">
      <c r="A393" s="18" t="s">
        <v>5731</v>
      </c>
      <c r="B393" s="18" t="s">
        <v>37</v>
      </c>
      <c r="C393" s="18" t="s">
        <v>335</v>
      </c>
      <c r="D393" s="18" t="s">
        <v>39</v>
      </c>
      <c r="E393" s="19" t="str">
        <f t="shared" si="12"/>
        <v>Engineering</v>
      </c>
      <c r="F393" s="18" t="s">
        <v>5051</v>
      </c>
      <c r="G393" s="19" t="str">
        <f t="shared" si="13"/>
        <v>Naukri</v>
      </c>
      <c r="H393" s="18">
        <v>9.9</v>
      </c>
      <c r="I393" s="18">
        <v>3.2</v>
      </c>
      <c r="J393" s="18">
        <v>6.6</v>
      </c>
      <c r="K393" s="18">
        <v>150420</v>
      </c>
      <c r="L393" s="18"/>
      <c r="M393" s="18" t="s">
        <v>5035</v>
      </c>
      <c r="N393" s="41" t="s">
        <v>5732</v>
      </c>
      <c r="O393" s="18" t="s">
        <v>18</v>
      </c>
      <c r="P393" s="18">
        <v>2.6</v>
      </c>
      <c r="R393" s="34"/>
    </row>
    <row r="394" spans="1:18">
      <c r="A394" s="19" t="s">
        <v>5733</v>
      </c>
      <c r="B394" s="19" t="s">
        <v>171</v>
      </c>
      <c r="C394" s="19" t="s">
        <v>79</v>
      </c>
      <c r="D394" s="19" t="s">
        <v>63</v>
      </c>
      <c r="E394" s="19" t="str">
        <f t="shared" si="12"/>
        <v>Product</v>
      </c>
      <c r="F394" s="19" t="s">
        <v>5077</v>
      </c>
      <c r="G394" s="19" t="str">
        <f t="shared" si="13"/>
        <v>Referral</v>
      </c>
      <c r="H394" s="19">
        <v>9.6</v>
      </c>
      <c r="I394" s="19">
        <v>9.8000000000000007</v>
      </c>
      <c r="J394" s="19">
        <v>9.6999999999999993</v>
      </c>
      <c r="K394" s="19">
        <v>37946</v>
      </c>
      <c r="L394" s="19"/>
      <c r="M394" s="19" t="s">
        <v>5045</v>
      </c>
      <c r="N394" s="40" t="s">
        <v>1435</v>
      </c>
      <c r="O394" s="19" t="s">
        <v>46</v>
      </c>
      <c r="P394" s="19">
        <v>8.6</v>
      </c>
      <c r="R394" s="34"/>
    </row>
    <row r="395" spans="1:18">
      <c r="A395" s="18" t="s">
        <v>5734</v>
      </c>
      <c r="B395" s="18" t="s">
        <v>5382</v>
      </c>
      <c r="C395" s="18" t="s">
        <v>90</v>
      </c>
      <c r="D395" s="18" t="s">
        <v>63</v>
      </c>
      <c r="E395" s="19" t="str">
        <f t="shared" si="12"/>
        <v>Product</v>
      </c>
      <c r="F395" s="18" t="s">
        <v>5025</v>
      </c>
      <c r="G395" s="19" t="str">
        <f t="shared" si="13"/>
        <v>Campus</v>
      </c>
      <c r="H395" s="18">
        <v>6.5</v>
      </c>
      <c r="I395" s="18">
        <v>6.2</v>
      </c>
      <c r="J395" s="18">
        <v>6.3</v>
      </c>
      <c r="K395" s="18">
        <v>54932</v>
      </c>
      <c r="L395" s="18">
        <v>57921</v>
      </c>
      <c r="M395" s="18" t="s">
        <v>5017</v>
      </c>
      <c r="N395" s="41" t="s">
        <v>5735</v>
      </c>
      <c r="O395" s="18" t="s">
        <v>18</v>
      </c>
      <c r="P395" s="18">
        <v>14.1</v>
      </c>
      <c r="R395" s="34"/>
    </row>
    <row r="396" spans="1:18">
      <c r="A396" s="19" t="s">
        <v>5736</v>
      </c>
      <c r="B396" s="19" t="s">
        <v>628</v>
      </c>
      <c r="C396" s="19" t="s">
        <v>5040</v>
      </c>
      <c r="D396" s="19" t="s">
        <v>16</v>
      </c>
      <c r="E396" s="19" t="str">
        <f t="shared" si="12"/>
        <v>Devops</v>
      </c>
      <c r="F396" s="19" t="s">
        <v>5025</v>
      </c>
      <c r="G396" s="19" t="str">
        <f t="shared" si="13"/>
        <v>Campus</v>
      </c>
      <c r="H396" s="19">
        <v>3.2</v>
      </c>
      <c r="I396" s="19">
        <v>6.3</v>
      </c>
      <c r="J396" s="19">
        <v>4.8</v>
      </c>
      <c r="K396" s="19">
        <v>63211</v>
      </c>
      <c r="L396" s="19">
        <v>62319</v>
      </c>
      <c r="M396" s="19" t="s">
        <v>5045</v>
      </c>
      <c r="N396" s="40" t="s">
        <v>5571</v>
      </c>
      <c r="O396" s="19" t="s">
        <v>18</v>
      </c>
      <c r="P396" s="19">
        <v>12.8</v>
      </c>
      <c r="R396" s="34"/>
    </row>
    <row r="397" spans="1:18">
      <c r="A397" s="18" t="s">
        <v>5737</v>
      </c>
      <c r="B397" s="18" t="s">
        <v>93</v>
      </c>
      <c r="C397" s="18" t="s">
        <v>79</v>
      </c>
      <c r="D397" s="18" t="s">
        <v>176</v>
      </c>
      <c r="E397" s="19" t="str">
        <f t="shared" si="12"/>
        <v>Finance</v>
      </c>
      <c r="F397" s="18" t="s">
        <v>5077</v>
      </c>
      <c r="G397" s="19" t="str">
        <f t="shared" si="13"/>
        <v>Referral</v>
      </c>
      <c r="H397" s="18">
        <v>6.2</v>
      </c>
      <c r="I397" s="18">
        <v>9.3000000000000007</v>
      </c>
      <c r="J397" s="18">
        <v>7.8</v>
      </c>
      <c r="K397" s="18">
        <v>156175</v>
      </c>
      <c r="L397" s="18">
        <v>144636</v>
      </c>
      <c r="M397" s="18" t="s">
        <v>5028</v>
      </c>
      <c r="N397" s="41" t="s">
        <v>5738</v>
      </c>
      <c r="O397" s="18" t="s">
        <v>53</v>
      </c>
      <c r="P397" s="18">
        <v>9.6999999999999993</v>
      </c>
      <c r="R397" s="34"/>
    </row>
    <row r="398" spans="1:18">
      <c r="A398" s="19" t="s">
        <v>5739</v>
      </c>
      <c r="B398" s="19" t="s">
        <v>681</v>
      </c>
      <c r="C398" s="19" t="s">
        <v>153</v>
      </c>
      <c r="D398" s="19" t="s">
        <v>133</v>
      </c>
      <c r="E398" s="19" t="str">
        <f t="shared" si="12"/>
        <v>Qa</v>
      </c>
      <c r="F398" s="19" t="s">
        <v>5019</v>
      </c>
      <c r="G398" s="19" t="str">
        <f t="shared" si="13"/>
        <v>Linkedin</v>
      </c>
      <c r="H398" s="19">
        <v>4.5999999999999996</v>
      </c>
      <c r="I398" s="19">
        <v>5.4</v>
      </c>
      <c r="J398" s="19">
        <v>5</v>
      </c>
      <c r="K398" s="19">
        <v>70670</v>
      </c>
      <c r="L398" s="19">
        <v>77920</v>
      </c>
      <c r="M398" s="19" t="s">
        <v>5028</v>
      </c>
      <c r="N398" s="40" t="s">
        <v>1718</v>
      </c>
      <c r="O398" s="19" t="s">
        <v>46</v>
      </c>
      <c r="P398" s="19">
        <v>4.3</v>
      </c>
      <c r="R398" s="34"/>
    </row>
    <row r="399" spans="1:18">
      <c r="A399" s="18" t="s">
        <v>5740</v>
      </c>
      <c r="B399" s="18" t="s">
        <v>684</v>
      </c>
      <c r="C399" s="18" t="s">
        <v>79</v>
      </c>
      <c r="D399" s="18" t="s">
        <v>133</v>
      </c>
      <c r="E399" s="19" t="str">
        <f t="shared" si="12"/>
        <v>Qa</v>
      </c>
      <c r="F399" s="18" t="s">
        <v>5023</v>
      </c>
      <c r="G399" s="19" t="str">
        <f t="shared" si="13"/>
        <v>Linkedin</v>
      </c>
      <c r="H399" s="18">
        <v>9.4</v>
      </c>
      <c r="I399" s="18"/>
      <c r="J399" s="18">
        <v>9.4</v>
      </c>
      <c r="K399" s="18">
        <v>148789</v>
      </c>
      <c r="L399" s="18">
        <v>158377</v>
      </c>
      <c r="M399" s="18" t="s">
        <v>5035</v>
      </c>
      <c r="N399" s="41" t="s">
        <v>1988</v>
      </c>
      <c r="O399" s="18" t="s">
        <v>149</v>
      </c>
      <c r="P399" s="18">
        <v>10.1</v>
      </c>
      <c r="R399" s="34"/>
    </row>
    <row r="400" spans="1:18">
      <c r="A400" s="19" t="s">
        <v>5741</v>
      </c>
      <c r="B400" s="19" t="s">
        <v>5742</v>
      </c>
      <c r="C400" s="19" t="s">
        <v>25</v>
      </c>
      <c r="D400" s="19" t="s">
        <v>84</v>
      </c>
      <c r="E400" s="19" t="str">
        <f t="shared" si="12"/>
        <v>Hr</v>
      </c>
      <c r="F400" s="19" t="s">
        <v>5023</v>
      </c>
      <c r="G400" s="19" t="str">
        <f t="shared" si="13"/>
        <v>Linkedin</v>
      </c>
      <c r="H400" s="19">
        <v>9.6999999999999993</v>
      </c>
      <c r="I400" s="19">
        <v>7.9</v>
      </c>
      <c r="J400" s="19">
        <v>8.8000000000000007</v>
      </c>
      <c r="K400" s="19">
        <v>52648</v>
      </c>
      <c r="L400" s="19"/>
      <c r="M400" s="19" t="s">
        <v>5028</v>
      </c>
      <c r="N400" s="40" t="s">
        <v>86</v>
      </c>
      <c r="O400" s="19" t="s">
        <v>65</v>
      </c>
      <c r="P400" s="19">
        <v>14.7</v>
      </c>
      <c r="R400" s="34"/>
    </row>
    <row r="401" spans="1:18">
      <c r="A401" s="18" t="s">
        <v>5743</v>
      </c>
      <c r="B401" s="18" t="s">
        <v>5744</v>
      </c>
      <c r="C401" s="18" t="s">
        <v>5040</v>
      </c>
      <c r="D401" s="18" t="s">
        <v>118</v>
      </c>
      <c r="E401" s="19" t="str">
        <f t="shared" si="12"/>
        <v>Marketing</v>
      </c>
      <c r="F401" s="18" t="s">
        <v>5016</v>
      </c>
      <c r="G401" s="19" t="str">
        <f t="shared" si="13"/>
        <v>Job Portal</v>
      </c>
      <c r="H401" s="18">
        <v>7.8</v>
      </c>
      <c r="I401" s="18">
        <v>8.3000000000000007</v>
      </c>
      <c r="J401" s="18">
        <v>8.1</v>
      </c>
      <c r="K401" s="18">
        <v>136163</v>
      </c>
      <c r="L401" s="18"/>
      <c r="M401" s="18" t="s">
        <v>5017</v>
      </c>
      <c r="N401" s="41" t="s">
        <v>927</v>
      </c>
      <c r="O401" s="18" t="s">
        <v>18</v>
      </c>
      <c r="P401" s="18">
        <v>3.9</v>
      </c>
      <c r="R401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811-3E1B-450F-A4DB-17D88CE8E6AE}">
  <dimension ref="A1:M75"/>
  <sheetViews>
    <sheetView workbookViewId="0">
      <selection activeCell="A3" sqref="A3:A75"/>
    </sheetView>
  </sheetViews>
  <sheetFormatPr defaultRowHeight="15"/>
  <cols>
    <col min="1" max="1" width="9.140625" style="6"/>
    <col min="2" max="2" width="5.140625" bestFit="1" customWidth="1"/>
    <col min="3" max="3" width="20.85546875" style="6" bestFit="1" customWidth="1"/>
    <col min="4" max="4" width="17.5703125" style="6" customWidth="1"/>
    <col min="5" max="13" width="9.140625" style="6"/>
  </cols>
  <sheetData>
    <row r="1" spans="1:13" ht="16.5">
      <c r="A1" s="20" t="s">
        <v>5745</v>
      </c>
    </row>
    <row r="3" spans="1:13" ht="48">
      <c r="A3" s="10" t="s">
        <v>5746</v>
      </c>
      <c r="B3" s="10" t="s">
        <v>5747</v>
      </c>
      <c r="C3" s="10" t="s">
        <v>5</v>
      </c>
      <c r="D3" s="10" t="s">
        <v>5748</v>
      </c>
      <c r="E3" s="10" t="s">
        <v>5749</v>
      </c>
      <c r="F3" s="10" t="s">
        <v>5750</v>
      </c>
      <c r="G3" s="10" t="s">
        <v>5751</v>
      </c>
      <c r="H3" s="10" t="s">
        <v>5752</v>
      </c>
      <c r="I3" s="10" t="s">
        <v>5753</v>
      </c>
      <c r="J3" s="10" t="s">
        <v>5754</v>
      </c>
      <c r="K3" s="10" t="s">
        <v>5755</v>
      </c>
      <c r="L3" s="10" t="s">
        <v>5756</v>
      </c>
      <c r="M3" s="10" t="s">
        <v>5757</v>
      </c>
    </row>
    <row r="4" spans="1:13">
      <c r="A4" s="19" t="s">
        <v>5758</v>
      </c>
      <c r="B4" s="12">
        <v>2022</v>
      </c>
      <c r="C4" s="19" t="s">
        <v>32</v>
      </c>
      <c r="D4" s="19">
        <v>249</v>
      </c>
      <c r="E4" s="19">
        <v>233</v>
      </c>
      <c r="F4" s="19">
        <v>16</v>
      </c>
      <c r="G4" s="19">
        <v>6.43</v>
      </c>
      <c r="H4" s="19">
        <v>40</v>
      </c>
      <c r="I4" s="19">
        <v>3.11</v>
      </c>
      <c r="J4" s="19">
        <v>10192.5</v>
      </c>
      <c r="K4" s="19">
        <v>21457.42</v>
      </c>
      <c r="L4" s="19">
        <v>61353</v>
      </c>
      <c r="M4" s="19">
        <v>6.72</v>
      </c>
    </row>
    <row r="5" spans="1:13">
      <c r="A5" s="18" t="s">
        <v>5758</v>
      </c>
      <c r="B5" s="14">
        <v>2022</v>
      </c>
      <c r="C5" s="18" t="s">
        <v>172</v>
      </c>
      <c r="D5" s="18">
        <v>83</v>
      </c>
      <c r="E5" s="18">
        <v>63</v>
      </c>
      <c r="F5" s="18">
        <v>20</v>
      </c>
      <c r="G5" s="18">
        <v>24.1</v>
      </c>
      <c r="H5" s="18">
        <v>15</v>
      </c>
      <c r="I5" s="18">
        <v>3.67</v>
      </c>
      <c r="J5" s="18">
        <v>4423</v>
      </c>
      <c r="K5" s="18">
        <v>4529.78</v>
      </c>
      <c r="L5" s="18">
        <v>44142</v>
      </c>
      <c r="M5" s="18">
        <v>7.41</v>
      </c>
    </row>
    <row r="6" spans="1:13">
      <c r="A6" s="19" t="s">
        <v>5758</v>
      </c>
      <c r="B6" s="12">
        <v>2022</v>
      </c>
      <c r="C6" s="19" t="s">
        <v>18</v>
      </c>
      <c r="D6" s="19">
        <v>192</v>
      </c>
      <c r="E6" s="19">
        <v>176</v>
      </c>
      <c r="F6" s="19">
        <v>16</v>
      </c>
      <c r="G6" s="19">
        <v>8.33</v>
      </c>
      <c r="H6" s="19">
        <v>21</v>
      </c>
      <c r="I6" s="19">
        <v>3.59</v>
      </c>
      <c r="J6" s="19">
        <v>4247.7</v>
      </c>
      <c r="K6" s="19">
        <v>7652.85</v>
      </c>
      <c r="L6" s="19">
        <v>83712</v>
      </c>
      <c r="M6" s="19">
        <v>5.84</v>
      </c>
    </row>
    <row r="7" spans="1:13">
      <c r="A7" s="18" t="s">
        <v>5758</v>
      </c>
      <c r="B7" s="14">
        <v>2022</v>
      </c>
      <c r="C7" s="18" t="s">
        <v>214</v>
      </c>
      <c r="D7" s="18">
        <v>232</v>
      </c>
      <c r="E7" s="18">
        <v>229</v>
      </c>
      <c r="F7" s="18">
        <v>3</v>
      </c>
      <c r="G7" s="18">
        <v>1.29</v>
      </c>
      <c r="H7" s="18">
        <v>27</v>
      </c>
      <c r="I7" s="18">
        <v>3.94</v>
      </c>
      <c r="J7" s="18">
        <v>8246.6</v>
      </c>
      <c r="K7" s="18">
        <v>16759.419999999998</v>
      </c>
      <c r="L7" s="18">
        <v>68983</v>
      </c>
      <c r="M7" s="18">
        <v>7.6</v>
      </c>
    </row>
    <row r="8" spans="1:13">
      <c r="A8" s="19" t="s">
        <v>5758</v>
      </c>
      <c r="B8" s="12">
        <v>2022</v>
      </c>
      <c r="C8" s="19" t="s">
        <v>26</v>
      </c>
      <c r="D8" s="29">
        <v>115</v>
      </c>
      <c r="E8" s="19">
        <v>101</v>
      </c>
      <c r="F8" s="19">
        <v>14</v>
      </c>
      <c r="G8" s="19">
        <v>12.17</v>
      </c>
      <c r="H8" s="19">
        <v>9</v>
      </c>
      <c r="I8" s="19">
        <v>3.99</v>
      </c>
      <c r="J8" s="19">
        <v>5634.8</v>
      </c>
      <c r="K8" s="19">
        <v>3750.14</v>
      </c>
      <c r="L8" s="19">
        <v>62396</v>
      </c>
      <c r="M8" s="19">
        <v>7.24</v>
      </c>
    </row>
    <row r="9" spans="1:13">
      <c r="A9" s="18" t="s">
        <v>5758</v>
      </c>
      <c r="B9" s="14">
        <v>2022</v>
      </c>
      <c r="C9" s="18" t="s">
        <v>70</v>
      </c>
      <c r="D9" s="18">
        <v>116</v>
      </c>
      <c r="E9" s="18">
        <v>111</v>
      </c>
      <c r="F9" s="18">
        <v>5</v>
      </c>
      <c r="G9" s="18">
        <v>4.3099999999999996</v>
      </c>
      <c r="H9" s="18">
        <v>36</v>
      </c>
      <c r="I9" s="18">
        <v>4.62</v>
      </c>
      <c r="J9" s="18">
        <v>10783.2</v>
      </c>
      <c r="K9" s="18">
        <v>21845.3</v>
      </c>
      <c r="L9" s="18">
        <v>117012</v>
      </c>
      <c r="M9" s="18">
        <v>8.1999999999999993</v>
      </c>
    </row>
    <row r="10" spans="1:13">
      <c r="A10" s="19" t="s">
        <v>5759</v>
      </c>
      <c r="B10" s="12">
        <v>2022</v>
      </c>
      <c r="C10" s="19" t="s">
        <v>46</v>
      </c>
      <c r="D10" s="19">
        <v>99</v>
      </c>
      <c r="E10" s="19">
        <v>93</v>
      </c>
      <c r="F10" s="19">
        <v>6</v>
      </c>
      <c r="G10" s="19">
        <v>6.06</v>
      </c>
      <c r="H10" s="19">
        <v>31</v>
      </c>
      <c r="I10" s="19">
        <v>4.63</v>
      </c>
      <c r="J10" s="19">
        <v>12970.4</v>
      </c>
      <c r="K10" s="19">
        <v>17454.599999999999</v>
      </c>
      <c r="L10" s="19">
        <v>114211</v>
      </c>
      <c r="M10" s="19">
        <v>5.61</v>
      </c>
    </row>
    <row r="11" spans="1:13">
      <c r="A11" s="18" t="s">
        <v>5759</v>
      </c>
      <c r="B11" s="14">
        <v>2022</v>
      </c>
      <c r="C11" s="18" t="s">
        <v>172</v>
      </c>
      <c r="D11" s="18">
        <v>290</v>
      </c>
      <c r="E11" s="18">
        <v>278</v>
      </c>
      <c r="F11" s="18">
        <v>12</v>
      </c>
      <c r="G11" s="18">
        <v>4.1399999999999997</v>
      </c>
      <c r="H11" s="18">
        <v>36</v>
      </c>
      <c r="I11" s="18">
        <v>3.98</v>
      </c>
      <c r="J11" s="18">
        <v>7389.1</v>
      </c>
      <c r="K11" s="18">
        <v>16217.95</v>
      </c>
      <c r="L11" s="18">
        <v>63493</v>
      </c>
      <c r="M11" s="18">
        <v>7.43</v>
      </c>
    </row>
    <row r="12" spans="1:13">
      <c r="A12" s="19" t="s">
        <v>5759</v>
      </c>
      <c r="B12" s="12">
        <v>2022</v>
      </c>
      <c r="C12" s="19" t="s">
        <v>26</v>
      </c>
      <c r="D12" s="19">
        <v>157</v>
      </c>
      <c r="E12" s="19">
        <v>143</v>
      </c>
      <c r="F12" s="19">
        <v>14</v>
      </c>
      <c r="G12" s="19">
        <v>8.92</v>
      </c>
      <c r="H12" s="19">
        <v>34</v>
      </c>
      <c r="I12" s="19">
        <v>4.62</v>
      </c>
      <c r="J12" s="19">
        <v>7544.8</v>
      </c>
      <c r="K12" s="19">
        <v>15525.89</v>
      </c>
      <c r="L12" s="19">
        <v>53608</v>
      </c>
      <c r="M12" s="19">
        <v>6.01</v>
      </c>
    </row>
    <row r="13" spans="1:13">
      <c r="A13" s="18" t="s">
        <v>5759</v>
      </c>
      <c r="B13" s="14">
        <v>2022</v>
      </c>
      <c r="C13" s="18" t="s">
        <v>53</v>
      </c>
      <c r="D13" s="18">
        <v>74</v>
      </c>
      <c r="E13" s="18">
        <v>69</v>
      </c>
      <c r="F13" s="18">
        <v>5</v>
      </c>
      <c r="G13" s="18">
        <v>6.76</v>
      </c>
      <c r="H13" s="18">
        <v>15</v>
      </c>
      <c r="I13" s="18">
        <v>3.5</v>
      </c>
      <c r="J13" s="18">
        <v>9302.4</v>
      </c>
      <c r="K13" s="18">
        <v>6177.5</v>
      </c>
      <c r="L13" s="18">
        <v>109789</v>
      </c>
      <c r="M13" s="18">
        <v>7.19</v>
      </c>
    </row>
    <row r="14" spans="1:13">
      <c r="A14" s="19" t="s">
        <v>5759</v>
      </c>
      <c r="B14" s="12">
        <v>2022</v>
      </c>
      <c r="C14" s="19" t="s">
        <v>18</v>
      </c>
      <c r="D14" s="19">
        <v>197</v>
      </c>
      <c r="E14" s="19">
        <v>179</v>
      </c>
      <c r="F14" s="19">
        <v>18</v>
      </c>
      <c r="G14" s="19">
        <v>9.14</v>
      </c>
      <c r="H14" s="19">
        <v>24</v>
      </c>
      <c r="I14" s="19">
        <v>4.62</v>
      </c>
      <c r="J14" s="19">
        <v>10961.5</v>
      </c>
      <c r="K14" s="19">
        <v>7701.38</v>
      </c>
      <c r="L14" s="19">
        <v>92663</v>
      </c>
      <c r="M14" s="19">
        <v>5.73</v>
      </c>
    </row>
    <row r="15" spans="1:13">
      <c r="A15" s="18" t="s">
        <v>5759</v>
      </c>
      <c r="B15" s="14">
        <v>2022</v>
      </c>
      <c r="C15" s="18" t="s">
        <v>149</v>
      </c>
      <c r="D15" s="18">
        <v>202</v>
      </c>
      <c r="E15" s="18">
        <v>187</v>
      </c>
      <c r="F15" s="18">
        <v>15</v>
      </c>
      <c r="G15" s="18">
        <v>7.43</v>
      </c>
      <c r="H15" s="18">
        <v>37</v>
      </c>
      <c r="I15" s="18">
        <v>3.37</v>
      </c>
      <c r="J15" s="18">
        <v>4062.8</v>
      </c>
      <c r="K15" s="18">
        <v>8060.16</v>
      </c>
      <c r="L15" s="18">
        <v>115046</v>
      </c>
      <c r="M15" s="18">
        <v>8.26</v>
      </c>
    </row>
    <row r="16" spans="1:13">
      <c r="A16" s="19" t="s">
        <v>5760</v>
      </c>
      <c r="B16" s="12">
        <v>2022</v>
      </c>
      <c r="C16" s="19" t="s">
        <v>114</v>
      </c>
      <c r="D16" s="19">
        <v>174</v>
      </c>
      <c r="E16" s="19">
        <v>169</v>
      </c>
      <c r="F16" s="19">
        <v>5</v>
      </c>
      <c r="G16" s="19">
        <v>2.87</v>
      </c>
      <c r="H16" s="19">
        <v>6</v>
      </c>
      <c r="I16" s="19">
        <v>3.67</v>
      </c>
      <c r="J16" s="19">
        <v>7444.2</v>
      </c>
      <c r="K16" s="19">
        <v>18231.73</v>
      </c>
      <c r="L16" s="19">
        <v>51773</v>
      </c>
      <c r="M16" s="19">
        <v>7.92</v>
      </c>
    </row>
    <row r="17" spans="1:13">
      <c r="A17" s="18" t="s">
        <v>5760</v>
      </c>
      <c r="B17" s="14">
        <v>2022</v>
      </c>
      <c r="C17" s="18" t="s">
        <v>65</v>
      </c>
      <c r="D17" s="18">
        <v>180</v>
      </c>
      <c r="E17" s="18">
        <v>178</v>
      </c>
      <c r="F17" s="18">
        <v>2</v>
      </c>
      <c r="G17" s="18">
        <v>1.1100000000000001</v>
      </c>
      <c r="H17" s="18">
        <v>22</v>
      </c>
      <c r="I17" s="18">
        <v>3.8</v>
      </c>
      <c r="J17" s="18">
        <v>14913.6</v>
      </c>
      <c r="K17" s="18">
        <v>12000.63</v>
      </c>
      <c r="L17" s="18">
        <v>76713</v>
      </c>
      <c r="M17" s="18">
        <v>8.86</v>
      </c>
    </row>
    <row r="18" spans="1:13">
      <c r="A18" s="19" t="s">
        <v>5760</v>
      </c>
      <c r="B18" s="12">
        <v>2022</v>
      </c>
      <c r="C18" s="19" t="s">
        <v>26</v>
      </c>
      <c r="D18" s="19">
        <v>82</v>
      </c>
      <c r="E18" s="19">
        <v>72</v>
      </c>
      <c r="F18" s="19">
        <v>10</v>
      </c>
      <c r="G18" s="19">
        <v>12.2</v>
      </c>
      <c r="H18" s="19">
        <v>17</v>
      </c>
      <c r="I18" s="19">
        <v>4.26</v>
      </c>
      <c r="J18" s="19">
        <v>11824.9</v>
      </c>
      <c r="K18" s="19">
        <v>27741.82</v>
      </c>
      <c r="L18" s="19">
        <v>116605</v>
      </c>
      <c r="M18" s="19">
        <v>8.1</v>
      </c>
    </row>
    <row r="19" spans="1:13">
      <c r="A19" s="18" t="s">
        <v>5760</v>
      </c>
      <c r="B19" s="14">
        <v>2022</v>
      </c>
      <c r="C19" s="18" t="s">
        <v>46</v>
      </c>
      <c r="D19" s="18">
        <v>233</v>
      </c>
      <c r="E19" s="18">
        <v>228</v>
      </c>
      <c r="F19" s="18">
        <v>5</v>
      </c>
      <c r="G19" s="18">
        <v>2.15</v>
      </c>
      <c r="H19" s="18">
        <v>11</v>
      </c>
      <c r="I19" s="18">
        <v>3.77</v>
      </c>
      <c r="J19" s="18">
        <v>6471.1</v>
      </c>
      <c r="K19" s="18">
        <v>8290.14</v>
      </c>
      <c r="L19" s="18">
        <v>98285</v>
      </c>
      <c r="M19" s="18">
        <v>8.44</v>
      </c>
    </row>
    <row r="20" spans="1:13">
      <c r="A20" s="19" t="s">
        <v>5760</v>
      </c>
      <c r="B20" s="12">
        <v>2022</v>
      </c>
      <c r="C20" s="19" t="s">
        <v>70</v>
      </c>
      <c r="D20" s="19">
        <v>266</v>
      </c>
      <c r="E20" s="19">
        <v>250</v>
      </c>
      <c r="F20" s="19">
        <v>16</v>
      </c>
      <c r="G20" s="19">
        <v>6.02</v>
      </c>
      <c r="H20" s="19">
        <v>9</v>
      </c>
      <c r="I20" s="19">
        <v>3.91</v>
      </c>
      <c r="J20" s="19">
        <v>2916.6</v>
      </c>
      <c r="K20" s="19">
        <v>3023.97</v>
      </c>
      <c r="L20" s="19">
        <v>112108</v>
      </c>
      <c r="M20" s="19">
        <v>7.05</v>
      </c>
    </row>
    <row r="21" spans="1:13">
      <c r="A21" s="18" t="s">
        <v>5760</v>
      </c>
      <c r="B21" s="14">
        <v>2022</v>
      </c>
      <c r="C21" s="18" t="s">
        <v>172</v>
      </c>
      <c r="D21" s="18">
        <v>169</v>
      </c>
      <c r="E21" s="18">
        <v>164</v>
      </c>
      <c r="F21" s="18">
        <v>5</v>
      </c>
      <c r="G21" s="18">
        <v>2.96</v>
      </c>
      <c r="H21" s="18">
        <v>29</v>
      </c>
      <c r="I21" s="18">
        <v>3.36</v>
      </c>
      <c r="J21" s="18">
        <v>10942.5</v>
      </c>
      <c r="K21" s="18">
        <v>18940.599999999999</v>
      </c>
      <c r="L21" s="18">
        <v>51861</v>
      </c>
      <c r="M21" s="18">
        <v>5.68</v>
      </c>
    </row>
    <row r="22" spans="1:13">
      <c r="A22" s="19" t="s">
        <v>5761</v>
      </c>
      <c r="B22" s="12">
        <v>2022</v>
      </c>
      <c r="C22" s="19" t="s">
        <v>18</v>
      </c>
      <c r="D22" s="19">
        <v>78</v>
      </c>
      <c r="E22" s="19">
        <v>74</v>
      </c>
      <c r="F22" s="19">
        <v>4</v>
      </c>
      <c r="G22" s="19">
        <v>5.13</v>
      </c>
      <c r="H22" s="19">
        <v>38</v>
      </c>
      <c r="I22" s="19">
        <v>4.34</v>
      </c>
      <c r="J22" s="19">
        <v>2851.4</v>
      </c>
      <c r="K22" s="19">
        <v>2365.17</v>
      </c>
      <c r="L22" s="19">
        <v>54593</v>
      </c>
      <c r="M22" s="19">
        <v>8</v>
      </c>
    </row>
    <row r="23" spans="1:13">
      <c r="A23" s="18" t="s">
        <v>5761</v>
      </c>
      <c r="B23" s="14">
        <v>2022</v>
      </c>
      <c r="C23" s="18" t="s">
        <v>70</v>
      </c>
      <c r="D23" s="18">
        <v>247</v>
      </c>
      <c r="E23" s="18">
        <v>237</v>
      </c>
      <c r="F23" s="18">
        <v>10</v>
      </c>
      <c r="G23" s="18">
        <v>4.05</v>
      </c>
      <c r="H23" s="18">
        <v>7</v>
      </c>
      <c r="I23" s="18">
        <v>4.51</v>
      </c>
      <c r="J23" s="18">
        <v>7638.1</v>
      </c>
      <c r="K23" s="18">
        <v>14718.26</v>
      </c>
      <c r="L23" s="18">
        <v>38863</v>
      </c>
      <c r="M23" s="18">
        <v>7.29</v>
      </c>
    </row>
    <row r="24" spans="1:13">
      <c r="A24" s="19" t="s">
        <v>5761</v>
      </c>
      <c r="B24" s="12">
        <v>2022</v>
      </c>
      <c r="C24" s="19" t="s">
        <v>214</v>
      </c>
      <c r="D24" s="19">
        <v>281</v>
      </c>
      <c r="E24" s="19">
        <v>272</v>
      </c>
      <c r="F24" s="19">
        <v>9</v>
      </c>
      <c r="G24" s="19">
        <v>3.2</v>
      </c>
      <c r="H24" s="19">
        <v>26</v>
      </c>
      <c r="I24" s="19">
        <v>4.1900000000000004</v>
      </c>
      <c r="J24" s="19">
        <v>13668.3</v>
      </c>
      <c r="K24" s="19">
        <v>21655.55</v>
      </c>
      <c r="L24" s="19">
        <v>83159</v>
      </c>
      <c r="M24" s="19">
        <v>6.49</v>
      </c>
    </row>
    <row r="25" spans="1:13">
      <c r="A25" s="18" t="s">
        <v>5761</v>
      </c>
      <c r="B25" s="14">
        <v>2022</v>
      </c>
      <c r="C25" s="18" t="s">
        <v>114</v>
      </c>
      <c r="D25" s="18">
        <v>213</v>
      </c>
      <c r="E25" s="18">
        <v>205</v>
      </c>
      <c r="F25" s="18">
        <v>8</v>
      </c>
      <c r="G25" s="18">
        <v>3.76</v>
      </c>
      <c r="H25" s="18">
        <v>28</v>
      </c>
      <c r="I25" s="18">
        <v>4.16</v>
      </c>
      <c r="J25" s="18">
        <v>2790.1</v>
      </c>
      <c r="K25" s="18">
        <v>6569.07</v>
      </c>
      <c r="L25" s="18">
        <v>100715</v>
      </c>
      <c r="M25" s="18">
        <v>8.2799999999999994</v>
      </c>
    </row>
    <row r="26" spans="1:13">
      <c r="A26" s="19" t="s">
        <v>5761</v>
      </c>
      <c r="B26" s="12">
        <v>2022</v>
      </c>
      <c r="C26" s="19" t="s">
        <v>46</v>
      </c>
      <c r="D26" s="19">
        <v>248</v>
      </c>
      <c r="E26" s="19">
        <v>229</v>
      </c>
      <c r="F26" s="19">
        <v>19</v>
      </c>
      <c r="G26" s="19">
        <v>7.66</v>
      </c>
      <c r="H26" s="19">
        <v>23</v>
      </c>
      <c r="I26" s="19">
        <v>3.29</v>
      </c>
      <c r="J26" s="19">
        <v>2018.5</v>
      </c>
      <c r="K26" s="19">
        <v>3475.78</v>
      </c>
      <c r="L26" s="19">
        <v>65804</v>
      </c>
      <c r="M26" s="19">
        <v>6.38</v>
      </c>
    </row>
    <row r="27" spans="1:13">
      <c r="A27" s="18" t="s">
        <v>5761</v>
      </c>
      <c r="B27" s="14">
        <v>2022</v>
      </c>
      <c r="C27" s="18" t="s">
        <v>65</v>
      </c>
      <c r="D27" s="18">
        <v>207</v>
      </c>
      <c r="E27" s="18">
        <v>200</v>
      </c>
      <c r="F27" s="18">
        <v>7</v>
      </c>
      <c r="G27" s="18">
        <v>3.38</v>
      </c>
      <c r="H27" s="18">
        <v>37</v>
      </c>
      <c r="I27" s="18">
        <v>3.89</v>
      </c>
      <c r="J27" s="18">
        <v>14038.7</v>
      </c>
      <c r="K27" s="18">
        <v>25823.68</v>
      </c>
      <c r="L27" s="18">
        <v>71846</v>
      </c>
      <c r="M27" s="18">
        <v>6.61</v>
      </c>
    </row>
    <row r="28" spans="1:13">
      <c r="A28" s="19" t="s">
        <v>5758</v>
      </c>
      <c r="B28" s="12">
        <v>2023</v>
      </c>
      <c r="C28" s="19" t="s">
        <v>114</v>
      </c>
      <c r="D28" s="19">
        <v>298</v>
      </c>
      <c r="E28" s="19">
        <v>286</v>
      </c>
      <c r="F28" s="19">
        <v>12</v>
      </c>
      <c r="G28" s="19">
        <v>4.03</v>
      </c>
      <c r="H28" s="19">
        <v>18</v>
      </c>
      <c r="I28" s="19">
        <v>4.3600000000000003</v>
      </c>
      <c r="J28" s="19">
        <v>12734.4</v>
      </c>
      <c r="K28" s="19">
        <v>23493.62</v>
      </c>
      <c r="L28" s="19">
        <v>104389</v>
      </c>
      <c r="M28" s="19">
        <v>8.9499999999999993</v>
      </c>
    </row>
    <row r="29" spans="1:13">
      <c r="A29" s="18" t="s">
        <v>5758</v>
      </c>
      <c r="B29" s="14">
        <v>2023</v>
      </c>
      <c r="C29" s="18" t="s">
        <v>18</v>
      </c>
      <c r="D29" s="18">
        <v>253</v>
      </c>
      <c r="E29" s="18">
        <v>245</v>
      </c>
      <c r="F29" s="18">
        <v>8</v>
      </c>
      <c r="G29" s="18">
        <v>3.16</v>
      </c>
      <c r="H29" s="18">
        <v>17</v>
      </c>
      <c r="I29" s="18">
        <v>3.88</v>
      </c>
      <c r="J29" s="18">
        <v>4445.3</v>
      </c>
      <c r="K29" s="18">
        <v>3762.49</v>
      </c>
      <c r="L29" s="18">
        <v>68597</v>
      </c>
      <c r="M29" s="18">
        <v>6.56</v>
      </c>
    </row>
    <row r="30" spans="1:13">
      <c r="A30" s="19" t="s">
        <v>5758</v>
      </c>
      <c r="B30" s="12">
        <v>2023</v>
      </c>
      <c r="C30" s="19" t="s">
        <v>32</v>
      </c>
      <c r="D30" s="19">
        <v>63</v>
      </c>
      <c r="E30" s="19">
        <v>45</v>
      </c>
      <c r="F30" s="19">
        <v>18</v>
      </c>
      <c r="G30" s="19">
        <v>28.57</v>
      </c>
      <c r="H30" s="19">
        <v>11</v>
      </c>
      <c r="I30" s="19">
        <v>4.08</v>
      </c>
      <c r="J30" s="19">
        <v>5889.9</v>
      </c>
      <c r="K30" s="19">
        <v>6320.45</v>
      </c>
      <c r="L30" s="19">
        <v>83498</v>
      </c>
      <c r="M30" s="19">
        <v>5.71</v>
      </c>
    </row>
    <row r="31" spans="1:13">
      <c r="A31" s="18" t="s">
        <v>5758</v>
      </c>
      <c r="B31" s="14">
        <v>2023</v>
      </c>
      <c r="C31" s="18" t="s">
        <v>46</v>
      </c>
      <c r="D31" s="18">
        <v>297</v>
      </c>
      <c r="E31" s="18">
        <v>291</v>
      </c>
      <c r="F31" s="18">
        <v>6</v>
      </c>
      <c r="G31" s="18">
        <v>2.02</v>
      </c>
      <c r="H31" s="18">
        <v>6</v>
      </c>
      <c r="I31" s="18">
        <v>3.94</v>
      </c>
      <c r="J31" s="18">
        <v>3826.2</v>
      </c>
      <c r="K31" s="18">
        <v>5491.12</v>
      </c>
      <c r="L31" s="18">
        <v>65306</v>
      </c>
      <c r="M31" s="18">
        <v>7.54</v>
      </c>
    </row>
    <row r="32" spans="1:13">
      <c r="A32" s="19" t="s">
        <v>5758</v>
      </c>
      <c r="B32" s="12">
        <v>2023</v>
      </c>
      <c r="C32" s="19" t="s">
        <v>172</v>
      </c>
      <c r="D32" s="19">
        <v>196</v>
      </c>
      <c r="E32" s="19">
        <v>190</v>
      </c>
      <c r="F32" s="19">
        <v>6</v>
      </c>
      <c r="G32" s="19">
        <v>3.06</v>
      </c>
      <c r="H32" s="19">
        <v>10</v>
      </c>
      <c r="I32" s="19">
        <v>3.57</v>
      </c>
      <c r="J32" s="19">
        <v>14861.7</v>
      </c>
      <c r="K32" s="19">
        <v>22495.93</v>
      </c>
      <c r="L32" s="19">
        <v>104456</v>
      </c>
      <c r="M32" s="19">
        <v>6.4</v>
      </c>
    </row>
    <row r="33" spans="1:13">
      <c r="A33" s="18" t="s">
        <v>5758</v>
      </c>
      <c r="B33" s="14">
        <v>2023</v>
      </c>
      <c r="C33" s="18" t="s">
        <v>70</v>
      </c>
      <c r="D33" s="18">
        <v>120</v>
      </c>
      <c r="E33" s="18">
        <v>102</v>
      </c>
      <c r="F33" s="18">
        <v>18</v>
      </c>
      <c r="G33" s="18">
        <v>15</v>
      </c>
      <c r="H33" s="18">
        <v>15</v>
      </c>
      <c r="I33" s="18">
        <v>4.01</v>
      </c>
      <c r="J33" s="18">
        <v>7631.8</v>
      </c>
      <c r="K33" s="18">
        <v>16113.24</v>
      </c>
      <c r="L33" s="18">
        <v>36071</v>
      </c>
      <c r="M33" s="18">
        <v>8.8699999999999992</v>
      </c>
    </row>
    <row r="34" spans="1:13">
      <c r="A34" s="19" t="s">
        <v>5759</v>
      </c>
      <c r="B34" s="12">
        <v>2023</v>
      </c>
      <c r="C34" s="19" t="s">
        <v>70</v>
      </c>
      <c r="D34" s="19">
        <v>80</v>
      </c>
      <c r="E34" s="19">
        <v>60</v>
      </c>
      <c r="F34" s="19">
        <v>20</v>
      </c>
      <c r="G34" s="19">
        <v>25</v>
      </c>
      <c r="H34" s="19">
        <v>8</v>
      </c>
      <c r="I34" s="19">
        <v>3.68</v>
      </c>
      <c r="J34" s="19">
        <v>14862.2</v>
      </c>
      <c r="K34" s="19">
        <v>20114.41</v>
      </c>
      <c r="L34" s="19">
        <v>98991</v>
      </c>
      <c r="M34" s="19">
        <v>6.03</v>
      </c>
    </row>
    <row r="35" spans="1:13">
      <c r="A35" s="18" t="s">
        <v>5759</v>
      </c>
      <c r="B35" s="14">
        <v>2023</v>
      </c>
      <c r="C35" s="18" t="s">
        <v>32</v>
      </c>
      <c r="D35" s="18">
        <v>66</v>
      </c>
      <c r="E35" s="18">
        <v>60</v>
      </c>
      <c r="F35" s="18">
        <v>6</v>
      </c>
      <c r="G35" s="18">
        <v>9.09</v>
      </c>
      <c r="H35" s="18">
        <v>14</v>
      </c>
      <c r="I35" s="18">
        <v>3.63</v>
      </c>
      <c r="J35" s="18">
        <v>3996.5</v>
      </c>
      <c r="K35" s="18">
        <v>4319.6499999999996</v>
      </c>
      <c r="L35" s="18">
        <v>74194</v>
      </c>
      <c r="M35" s="18">
        <v>8.3000000000000007</v>
      </c>
    </row>
    <row r="36" spans="1:13">
      <c r="A36" s="19" t="s">
        <v>5759</v>
      </c>
      <c r="B36" s="12">
        <v>2023</v>
      </c>
      <c r="C36" s="19" t="s">
        <v>114</v>
      </c>
      <c r="D36" s="19">
        <v>264</v>
      </c>
      <c r="E36" s="19">
        <v>258</v>
      </c>
      <c r="F36" s="19">
        <v>6</v>
      </c>
      <c r="G36" s="19">
        <v>2.27</v>
      </c>
      <c r="H36" s="19">
        <v>7</v>
      </c>
      <c r="I36" s="19">
        <v>3.76</v>
      </c>
      <c r="J36" s="19">
        <v>14005.4</v>
      </c>
      <c r="K36" s="19">
        <v>14296.6</v>
      </c>
      <c r="L36" s="19">
        <v>112971</v>
      </c>
      <c r="M36" s="19">
        <v>8.59</v>
      </c>
    </row>
    <row r="37" spans="1:13">
      <c r="A37" s="18" t="s">
        <v>5759</v>
      </c>
      <c r="B37" s="14">
        <v>2023</v>
      </c>
      <c r="C37" s="18" t="s">
        <v>214</v>
      </c>
      <c r="D37" s="18">
        <v>288</v>
      </c>
      <c r="E37" s="18">
        <v>273</v>
      </c>
      <c r="F37" s="18">
        <v>15</v>
      </c>
      <c r="G37" s="18">
        <v>5.21</v>
      </c>
      <c r="H37" s="18">
        <v>36</v>
      </c>
      <c r="I37" s="18">
        <v>3.1</v>
      </c>
      <c r="J37" s="18">
        <v>4465.3999999999996</v>
      </c>
      <c r="K37" s="18">
        <v>10906.68</v>
      </c>
      <c r="L37" s="18">
        <v>72387</v>
      </c>
      <c r="M37" s="18">
        <v>5.73</v>
      </c>
    </row>
    <row r="38" spans="1:13">
      <c r="A38" s="19" t="s">
        <v>5759</v>
      </c>
      <c r="B38" s="12">
        <v>2023</v>
      </c>
      <c r="C38" s="19" t="s">
        <v>26</v>
      </c>
      <c r="D38" s="19">
        <v>63</v>
      </c>
      <c r="E38" s="19">
        <v>43</v>
      </c>
      <c r="F38" s="19">
        <v>20</v>
      </c>
      <c r="G38" s="19">
        <v>31.75</v>
      </c>
      <c r="H38" s="19">
        <v>28</v>
      </c>
      <c r="I38" s="19">
        <v>4.75</v>
      </c>
      <c r="J38" s="19">
        <v>13430.9</v>
      </c>
      <c r="K38" s="19">
        <v>19705.259999999998</v>
      </c>
      <c r="L38" s="19">
        <v>117547</v>
      </c>
      <c r="M38" s="19">
        <v>6.32</v>
      </c>
    </row>
    <row r="39" spans="1:13">
      <c r="A39" s="18" t="s">
        <v>5759</v>
      </c>
      <c r="B39" s="14">
        <v>2023</v>
      </c>
      <c r="C39" s="18" t="s">
        <v>65</v>
      </c>
      <c r="D39" s="18">
        <v>179</v>
      </c>
      <c r="E39" s="18">
        <v>161</v>
      </c>
      <c r="F39" s="18">
        <v>18</v>
      </c>
      <c r="G39" s="18">
        <v>10.06</v>
      </c>
      <c r="H39" s="18">
        <v>13</v>
      </c>
      <c r="I39" s="18">
        <v>4.7699999999999996</v>
      </c>
      <c r="J39" s="18">
        <v>12077.9</v>
      </c>
      <c r="K39" s="18">
        <v>16984.16</v>
      </c>
      <c r="L39" s="18">
        <v>56667</v>
      </c>
      <c r="M39" s="18">
        <v>6.22</v>
      </c>
    </row>
    <row r="40" spans="1:13">
      <c r="A40" s="19" t="s">
        <v>5760</v>
      </c>
      <c r="B40" s="12">
        <v>2023</v>
      </c>
      <c r="C40" s="19" t="s">
        <v>172</v>
      </c>
      <c r="D40" s="19">
        <v>288</v>
      </c>
      <c r="E40" s="19">
        <v>274</v>
      </c>
      <c r="F40" s="19">
        <v>14</v>
      </c>
      <c r="G40" s="19">
        <v>4.8600000000000003</v>
      </c>
      <c r="H40" s="19">
        <v>11</v>
      </c>
      <c r="I40" s="19">
        <v>4.24</v>
      </c>
      <c r="J40" s="19">
        <v>11331.9</v>
      </c>
      <c r="K40" s="19">
        <v>16373.11</v>
      </c>
      <c r="L40" s="19">
        <v>104747</v>
      </c>
      <c r="M40" s="19">
        <v>5.78</v>
      </c>
    </row>
    <row r="41" spans="1:13">
      <c r="A41" s="18" t="s">
        <v>5760</v>
      </c>
      <c r="B41" s="14">
        <v>2023</v>
      </c>
      <c r="C41" s="18" t="s">
        <v>46</v>
      </c>
      <c r="D41" s="18">
        <v>193</v>
      </c>
      <c r="E41" s="18">
        <v>176</v>
      </c>
      <c r="F41" s="18">
        <v>17</v>
      </c>
      <c r="G41" s="18">
        <v>8.81</v>
      </c>
      <c r="H41" s="18">
        <v>26</v>
      </c>
      <c r="I41" s="18">
        <v>4.6500000000000004</v>
      </c>
      <c r="J41" s="18">
        <v>8563.5</v>
      </c>
      <c r="K41" s="18">
        <v>5796.08</v>
      </c>
      <c r="L41" s="18">
        <v>81738</v>
      </c>
      <c r="M41" s="18">
        <v>8.26</v>
      </c>
    </row>
    <row r="42" spans="1:13">
      <c r="A42" s="19" t="s">
        <v>5760</v>
      </c>
      <c r="B42" s="12">
        <v>2023</v>
      </c>
      <c r="C42" s="19" t="s">
        <v>214</v>
      </c>
      <c r="D42" s="19">
        <v>185</v>
      </c>
      <c r="E42" s="19">
        <v>170</v>
      </c>
      <c r="F42" s="19">
        <v>15</v>
      </c>
      <c r="G42" s="19">
        <v>8.11</v>
      </c>
      <c r="H42" s="19">
        <v>13</v>
      </c>
      <c r="I42" s="19">
        <v>3.42</v>
      </c>
      <c r="J42" s="19">
        <v>4670</v>
      </c>
      <c r="K42" s="19">
        <v>7176.36</v>
      </c>
      <c r="L42" s="19">
        <v>39848</v>
      </c>
      <c r="M42" s="19">
        <v>7.77</v>
      </c>
    </row>
    <row r="43" spans="1:13">
      <c r="A43" s="18" t="s">
        <v>5760</v>
      </c>
      <c r="B43" s="14">
        <v>2023</v>
      </c>
      <c r="C43" s="18" t="s">
        <v>32</v>
      </c>
      <c r="D43" s="18">
        <v>67</v>
      </c>
      <c r="E43" s="18">
        <v>47</v>
      </c>
      <c r="F43" s="18">
        <v>20</v>
      </c>
      <c r="G43" s="18">
        <v>29.85</v>
      </c>
      <c r="H43" s="18">
        <v>28</v>
      </c>
      <c r="I43" s="18">
        <v>3.86</v>
      </c>
      <c r="J43" s="18">
        <v>6481</v>
      </c>
      <c r="K43" s="18">
        <v>8455.02</v>
      </c>
      <c r="L43" s="18">
        <v>105467</v>
      </c>
      <c r="M43" s="18">
        <v>6.12</v>
      </c>
    </row>
    <row r="44" spans="1:13">
      <c r="A44" s="19" t="s">
        <v>5760</v>
      </c>
      <c r="B44" s="12">
        <v>2023</v>
      </c>
      <c r="C44" s="19" t="s">
        <v>53</v>
      </c>
      <c r="D44" s="19">
        <v>77</v>
      </c>
      <c r="E44" s="19">
        <v>75</v>
      </c>
      <c r="F44" s="19">
        <v>2</v>
      </c>
      <c r="G44" s="19">
        <v>2.6</v>
      </c>
      <c r="H44" s="19">
        <v>8</v>
      </c>
      <c r="I44" s="19">
        <v>4.49</v>
      </c>
      <c r="J44" s="19">
        <v>5358.7</v>
      </c>
      <c r="K44" s="19">
        <v>7900.63</v>
      </c>
      <c r="L44" s="19">
        <v>101686</v>
      </c>
      <c r="M44" s="19">
        <v>8.26</v>
      </c>
    </row>
    <row r="45" spans="1:13">
      <c r="A45" s="18" t="s">
        <v>5760</v>
      </c>
      <c r="B45" s="14">
        <v>2023</v>
      </c>
      <c r="C45" s="18" t="s">
        <v>18</v>
      </c>
      <c r="D45" s="18">
        <v>243</v>
      </c>
      <c r="E45" s="18">
        <v>232</v>
      </c>
      <c r="F45" s="18">
        <v>11</v>
      </c>
      <c r="G45" s="18">
        <v>4.53</v>
      </c>
      <c r="H45" s="18">
        <v>7</v>
      </c>
      <c r="I45" s="18">
        <v>3.78</v>
      </c>
      <c r="J45" s="18">
        <v>6270.7</v>
      </c>
      <c r="K45" s="18">
        <v>8569.7199999999993</v>
      </c>
      <c r="L45" s="18">
        <v>63833</v>
      </c>
      <c r="M45" s="18">
        <v>7.57</v>
      </c>
    </row>
    <row r="46" spans="1:13">
      <c r="A46" s="19" t="s">
        <v>5761</v>
      </c>
      <c r="B46" s="12">
        <v>2023</v>
      </c>
      <c r="C46" s="19" t="s">
        <v>26</v>
      </c>
      <c r="D46" s="19">
        <v>287</v>
      </c>
      <c r="E46" s="19">
        <v>276</v>
      </c>
      <c r="F46" s="19">
        <v>11</v>
      </c>
      <c r="G46" s="19">
        <v>3.83</v>
      </c>
      <c r="H46" s="19">
        <v>32</v>
      </c>
      <c r="I46" s="19">
        <v>4.5199999999999996</v>
      </c>
      <c r="J46" s="19">
        <v>9657.9</v>
      </c>
      <c r="K46" s="19">
        <v>5873.44</v>
      </c>
      <c r="L46" s="19">
        <v>102174</v>
      </c>
      <c r="M46" s="19">
        <v>7.11</v>
      </c>
    </row>
    <row r="47" spans="1:13">
      <c r="A47" s="18" t="s">
        <v>5761</v>
      </c>
      <c r="B47" s="14">
        <v>2023</v>
      </c>
      <c r="C47" s="18" t="s">
        <v>149</v>
      </c>
      <c r="D47" s="18">
        <v>125</v>
      </c>
      <c r="E47" s="18">
        <v>118</v>
      </c>
      <c r="F47" s="18">
        <v>7</v>
      </c>
      <c r="G47" s="18">
        <v>5.6</v>
      </c>
      <c r="H47" s="18">
        <v>18</v>
      </c>
      <c r="I47" s="18">
        <v>3.85</v>
      </c>
      <c r="J47" s="18">
        <v>14542.7</v>
      </c>
      <c r="K47" s="18">
        <v>12916.71</v>
      </c>
      <c r="L47" s="18">
        <v>118759</v>
      </c>
      <c r="M47" s="18">
        <v>6.98</v>
      </c>
    </row>
    <row r="48" spans="1:13">
      <c r="A48" s="19" t="s">
        <v>5761</v>
      </c>
      <c r="B48" s="12">
        <v>2023</v>
      </c>
      <c r="C48" s="19" t="s">
        <v>214</v>
      </c>
      <c r="D48" s="19">
        <v>280</v>
      </c>
      <c r="E48" s="19">
        <v>271</v>
      </c>
      <c r="F48" s="19">
        <v>9</v>
      </c>
      <c r="G48" s="19">
        <v>3.21</v>
      </c>
      <c r="H48" s="19">
        <v>12</v>
      </c>
      <c r="I48" s="19">
        <v>4.3</v>
      </c>
      <c r="J48" s="19">
        <v>13665.1</v>
      </c>
      <c r="K48" s="19">
        <v>19724.41</v>
      </c>
      <c r="L48" s="19">
        <v>119959</v>
      </c>
      <c r="M48" s="19">
        <v>8.9</v>
      </c>
    </row>
    <row r="49" spans="1:13">
      <c r="A49" s="18" t="s">
        <v>5761</v>
      </c>
      <c r="B49" s="14">
        <v>2023</v>
      </c>
      <c r="C49" s="18" t="s">
        <v>46</v>
      </c>
      <c r="D49" s="18">
        <v>150</v>
      </c>
      <c r="E49" s="18">
        <v>148</v>
      </c>
      <c r="F49" s="18">
        <v>2</v>
      </c>
      <c r="G49" s="18">
        <v>1.33</v>
      </c>
      <c r="H49" s="18">
        <v>28</v>
      </c>
      <c r="I49" s="18">
        <v>4.59</v>
      </c>
      <c r="J49" s="18">
        <v>13751.1</v>
      </c>
      <c r="K49" s="18">
        <v>26172.84</v>
      </c>
      <c r="L49" s="18">
        <v>118457</v>
      </c>
      <c r="M49" s="18">
        <v>8.99</v>
      </c>
    </row>
    <row r="50" spans="1:13">
      <c r="A50" s="19" t="s">
        <v>5761</v>
      </c>
      <c r="B50" s="12">
        <v>2023</v>
      </c>
      <c r="C50" s="19" t="s">
        <v>18</v>
      </c>
      <c r="D50" s="19">
        <v>82</v>
      </c>
      <c r="E50" s="19">
        <v>68</v>
      </c>
      <c r="F50" s="19">
        <v>14</v>
      </c>
      <c r="G50" s="19">
        <v>17.07</v>
      </c>
      <c r="H50" s="19">
        <v>29</v>
      </c>
      <c r="I50" s="19">
        <v>4.0599999999999996</v>
      </c>
      <c r="J50" s="19">
        <v>13630.9</v>
      </c>
      <c r="K50" s="19">
        <v>17385.490000000002</v>
      </c>
      <c r="L50" s="19">
        <v>39437</v>
      </c>
      <c r="M50" s="19">
        <v>5.83</v>
      </c>
    </row>
    <row r="51" spans="1:13">
      <c r="A51" s="18" t="s">
        <v>5761</v>
      </c>
      <c r="B51" s="14">
        <v>2023</v>
      </c>
      <c r="C51" s="18" t="s">
        <v>114</v>
      </c>
      <c r="D51" s="18">
        <v>109</v>
      </c>
      <c r="E51" s="18">
        <v>98</v>
      </c>
      <c r="F51" s="18">
        <v>11</v>
      </c>
      <c r="G51" s="18">
        <v>10.09</v>
      </c>
      <c r="H51" s="18">
        <v>14</v>
      </c>
      <c r="I51" s="18">
        <v>4.5599999999999996</v>
      </c>
      <c r="J51" s="18">
        <v>5269.1</v>
      </c>
      <c r="K51" s="18">
        <v>8003.13</v>
      </c>
      <c r="L51" s="18">
        <v>77441</v>
      </c>
      <c r="M51" s="18">
        <v>6.3</v>
      </c>
    </row>
    <row r="52" spans="1:13">
      <c r="A52" s="19" t="s">
        <v>5758</v>
      </c>
      <c r="B52" s="12">
        <v>2024</v>
      </c>
      <c r="C52" s="19" t="s">
        <v>70</v>
      </c>
      <c r="D52" s="19">
        <v>78</v>
      </c>
      <c r="E52" s="19">
        <v>74</v>
      </c>
      <c r="F52" s="19">
        <v>4</v>
      </c>
      <c r="G52" s="19">
        <v>5.13</v>
      </c>
      <c r="H52" s="19">
        <v>40</v>
      </c>
      <c r="I52" s="19">
        <v>3.03</v>
      </c>
      <c r="J52" s="19">
        <v>3555.8</v>
      </c>
      <c r="K52" s="19">
        <v>4555.87</v>
      </c>
      <c r="L52" s="19">
        <v>79261</v>
      </c>
      <c r="M52" s="19">
        <v>6.65</v>
      </c>
    </row>
    <row r="53" spans="1:13">
      <c r="A53" s="18" t="s">
        <v>5758</v>
      </c>
      <c r="B53" s="14">
        <v>2024</v>
      </c>
      <c r="C53" s="18" t="s">
        <v>65</v>
      </c>
      <c r="D53" s="18">
        <v>143</v>
      </c>
      <c r="E53" s="18">
        <v>123</v>
      </c>
      <c r="F53" s="18">
        <v>20</v>
      </c>
      <c r="G53" s="18">
        <v>13.99</v>
      </c>
      <c r="H53" s="18">
        <v>9</v>
      </c>
      <c r="I53" s="18">
        <v>3.35</v>
      </c>
      <c r="J53" s="18">
        <v>6538.9</v>
      </c>
      <c r="K53" s="18">
        <v>9868.1299999999992</v>
      </c>
      <c r="L53" s="18">
        <v>92255</v>
      </c>
      <c r="M53" s="18">
        <v>6.37</v>
      </c>
    </row>
    <row r="54" spans="1:13">
      <c r="A54" s="19" t="s">
        <v>5758</v>
      </c>
      <c r="B54" s="12">
        <v>2024</v>
      </c>
      <c r="C54" s="19" t="s">
        <v>114</v>
      </c>
      <c r="D54" s="19">
        <v>282</v>
      </c>
      <c r="E54" s="19">
        <v>271</v>
      </c>
      <c r="F54" s="19">
        <v>11</v>
      </c>
      <c r="G54" s="19">
        <v>3.9</v>
      </c>
      <c r="H54" s="19">
        <v>33</v>
      </c>
      <c r="I54" s="19">
        <v>3.94</v>
      </c>
      <c r="J54" s="19">
        <v>8802.5</v>
      </c>
      <c r="K54" s="19">
        <v>16726.669999999998</v>
      </c>
      <c r="L54" s="19">
        <v>111608</v>
      </c>
      <c r="M54" s="19">
        <v>6.54</v>
      </c>
    </row>
    <row r="55" spans="1:13">
      <c r="A55" s="18" t="s">
        <v>5758</v>
      </c>
      <c r="B55" s="14">
        <v>2024</v>
      </c>
      <c r="C55" s="18" t="s">
        <v>18</v>
      </c>
      <c r="D55" s="18">
        <v>225</v>
      </c>
      <c r="E55" s="18">
        <v>220</v>
      </c>
      <c r="F55" s="18">
        <v>5</v>
      </c>
      <c r="G55" s="18">
        <v>2.2200000000000002</v>
      </c>
      <c r="H55" s="18">
        <v>38</v>
      </c>
      <c r="I55" s="18">
        <v>3.9</v>
      </c>
      <c r="J55" s="18">
        <v>3466.5</v>
      </c>
      <c r="K55" s="18">
        <v>3234.69</v>
      </c>
      <c r="L55" s="18">
        <v>83285</v>
      </c>
      <c r="M55" s="18">
        <v>8.26</v>
      </c>
    </row>
    <row r="56" spans="1:13">
      <c r="A56" s="19" t="s">
        <v>5758</v>
      </c>
      <c r="B56" s="12">
        <v>2024</v>
      </c>
      <c r="C56" s="19" t="s">
        <v>46</v>
      </c>
      <c r="D56" s="19">
        <v>88</v>
      </c>
      <c r="E56" s="19">
        <v>80</v>
      </c>
      <c r="F56" s="19">
        <v>8</v>
      </c>
      <c r="G56" s="19">
        <v>9.09</v>
      </c>
      <c r="H56" s="19">
        <v>13</v>
      </c>
      <c r="I56" s="19">
        <v>4</v>
      </c>
      <c r="J56" s="19">
        <v>4050.8</v>
      </c>
      <c r="K56" s="19">
        <v>8201.1200000000008</v>
      </c>
      <c r="L56" s="19">
        <v>87596</v>
      </c>
      <c r="M56" s="19">
        <v>7.96</v>
      </c>
    </row>
    <row r="57" spans="1:13">
      <c r="A57" s="18" t="s">
        <v>5758</v>
      </c>
      <c r="B57" s="14">
        <v>2024</v>
      </c>
      <c r="C57" s="18" t="s">
        <v>75</v>
      </c>
      <c r="D57" s="18">
        <v>265</v>
      </c>
      <c r="E57" s="18">
        <v>249</v>
      </c>
      <c r="F57" s="18">
        <v>16</v>
      </c>
      <c r="G57" s="18">
        <v>6.04</v>
      </c>
      <c r="H57" s="18">
        <v>25</v>
      </c>
      <c r="I57" s="18">
        <v>3.55</v>
      </c>
      <c r="J57" s="18">
        <v>12094.7</v>
      </c>
      <c r="K57" s="18">
        <v>27377.06</v>
      </c>
      <c r="L57" s="18">
        <v>75143</v>
      </c>
      <c r="M57" s="18">
        <v>6.8</v>
      </c>
    </row>
    <row r="58" spans="1:13">
      <c r="A58" s="19" t="s">
        <v>5759</v>
      </c>
      <c r="B58" s="12">
        <v>2024</v>
      </c>
      <c r="C58" s="19" t="s">
        <v>53</v>
      </c>
      <c r="D58" s="19">
        <v>126</v>
      </c>
      <c r="E58" s="19">
        <v>109</v>
      </c>
      <c r="F58" s="19">
        <v>17</v>
      </c>
      <c r="G58" s="19">
        <v>13.49</v>
      </c>
      <c r="H58" s="19">
        <v>25</v>
      </c>
      <c r="I58" s="19">
        <v>3.63</v>
      </c>
      <c r="J58" s="19">
        <v>4377.6000000000004</v>
      </c>
      <c r="K58" s="19">
        <v>10770.37</v>
      </c>
      <c r="L58" s="19">
        <v>113282</v>
      </c>
      <c r="M58" s="19">
        <v>6.97</v>
      </c>
    </row>
    <row r="59" spans="1:13">
      <c r="A59" s="18" t="s">
        <v>5759</v>
      </c>
      <c r="B59" s="14">
        <v>2024</v>
      </c>
      <c r="C59" s="18" t="s">
        <v>75</v>
      </c>
      <c r="D59" s="18">
        <v>263</v>
      </c>
      <c r="E59" s="18">
        <v>260</v>
      </c>
      <c r="F59" s="18">
        <v>3</v>
      </c>
      <c r="G59" s="18">
        <v>1.1399999999999999</v>
      </c>
      <c r="H59" s="18">
        <v>35</v>
      </c>
      <c r="I59" s="18">
        <v>3.06</v>
      </c>
      <c r="J59" s="18">
        <v>13046.8</v>
      </c>
      <c r="K59" s="18">
        <v>25436.03</v>
      </c>
      <c r="L59" s="18">
        <v>60447</v>
      </c>
      <c r="M59" s="18">
        <v>7.65</v>
      </c>
    </row>
    <row r="60" spans="1:13">
      <c r="A60" s="19" t="s">
        <v>5759</v>
      </c>
      <c r="B60" s="12">
        <v>2024</v>
      </c>
      <c r="C60" s="19" t="s">
        <v>32</v>
      </c>
      <c r="D60" s="19">
        <v>80</v>
      </c>
      <c r="E60" s="19">
        <v>70</v>
      </c>
      <c r="F60" s="19">
        <v>10</v>
      </c>
      <c r="G60" s="19">
        <v>12.5</v>
      </c>
      <c r="H60" s="19">
        <v>11</v>
      </c>
      <c r="I60" s="19">
        <v>3.02</v>
      </c>
      <c r="J60" s="19">
        <v>8106.5</v>
      </c>
      <c r="K60" s="19">
        <v>5642.98</v>
      </c>
      <c r="L60" s="19">
        <v>104558</v>
      </c>
      <c r="M60" s="19">
        <v>7.11</v>
      </c>
    </row>
    <row r="61" spans="1:13">
      <c r="A61" s="18" t="s">
        <v>5759</v>
      </c>
      <c r="B61" s="14">
        <v>2024</v>
      </c>
      <c r="C61" s="18" t="s">
        <v>26</v>
      </c>
      <c r="D61" s="18">
        <v>194</v>
      </c>
      <c r="E61" s="18">
        <v>179</v>
      </c>
      <c r="F61" s="18">
        <v>15</v>
      </c>
      <c r="G61" s="18">
        <v>7.73</v>
      </c>
      <c r="H61" s="18">
        <v>36</v>
      </c>
      <c r="I61" s="18">
        <v>4.3499999999999996</v>
      </c>
      <c r="J61" s="18">
        <v>11615.4</v>
      </c>
      <c r="K61" s="18">
        <v>21801.29</v>
      </c>
      <c r="L61" s="18">
        <v>112794</v>
      </c>
      <c r="M61" s="18">
        <v>5.5</v>
      </c>
    </row>
    <row r="62" spans="1:13">
      <c r="A62" s="19" t="s">
        <v>5759</v>
      </c>
      <c r="B62" s="12">
        <v>2024</v>
      </c>
      <c r="C62" s="19" t="s">
        <v>46</v>
      </c>
      <c r="D62" s="19">
        <v>263</v>
      </c>
      <c r="E62" s="19">
        <v>251</v>
      </c>
      <c r="F62" s="19">
        <v>12</v>
      </c>
      <c r="G62" s="19">
        <v>4.5599999999999996</v>
      </c>
      <c r="H62" s="19">
        <v>24</v>
      </c>
      <c r="I62" s="19">
        <v>3.62</v>
      </c>
      <c r="J62" s="19">
        <v>9885.9</v>
      </c>
      <c r="K62" s="19">
        <v>7704.92</v>
      </c>
      <c r="L62" s="19">
        <v>108231</v>
      </c>
      <c r="M62" s="19">
        <v>6.31</v>
      </c>
    </row>
    <row r="63" spans="1:13">
      <c r="A63" s="18" t="s">
        <v>5759</v>
      </c>
      <c r="B63" s="14">
        <v>2024</v>
      </c>
      <c r="C63" s="18" t="s">
        <v>214</v>
      </c>
      <c r="D63" s="18">
        <v>104</v>
      </c>
      <c r="E63" s="18">
        <v>88</v>
      </c>
      <c r="F63" s="18">
        <v>16</v>
      </c>
      <c r="G63" s="18">
        <v>15.38</v>
      </c>
      <c r="H63" s="18">
        <v>18</v>
      </c>
      <c r="I63" s="18">
        <v>3.3</v>
      </c>
      <c r="J63" s="18">
        <v>7154.4</v>
      </c>
      <c r="K63" s="18">
        <v>16586.79</v>
      </c>
      <c r="L63" s="18">
        <v>83917</v>
      </c>
      <c r="M63" s="18">
        <v>6.71</v>
      </c>
    </row>
    <row r="64" spans="1:13">
      <c r="A64" s="19" t="s">
        <v>5760</v>
      </c>
      <c r="B64" s="12">
        <v>2024</v>
      </c>
      <c r="C64" s="19" t="s">
        <v>214</v>
      </c>
      <c r="D64" s="19">
        <v>293</v>
      </c>
      <c r="E64" s="19">
        <v>276</v>
      </c>
      <c r="F64" s="19">
        <v>17</v>
      </c>
      <c r="G64" s="19">
        <v>5.8</v>
      </c>
      <c r="H64" s="19">
        <v>12</v>
      </c>
      <c r="I64" s="19">
        <v>3.29</v>
      </c>
      <c r="J64" s="19">
        <v>4067.1</v>
      </c>
      <c r="K64" s="19">
        <v>9418.1299999999992</v>
      </c>
      <c r="L64" s="19">
        <v>61730</v>
      </c>
      <c r="M64" s="19">
        <v>5.76</v>
      </c>
    </row>
    <row r="65" spans="1:13">
      <c r="A65" s="18" t="s">
        <v>5760</v>
      </c>
      <c r="B65" s="14">
        <v>2024</v>
      </c>
      <c r="C65" s="18" t="s">
        <v>70</v>
      </c>
      <c r="D65" s="18">
        <v>216</v>
      </c>
      <c r="E65" s="18">
        <v>207</v>
      </c>
      <c r="F65" s="18">
        <v>9</v>
      </c>
      <c r="G65" s="18">
        <v>4.17</v>
      </c>
      <c r="H65" s="18">
        <v>31</v>
      </c>
      <c r="I65" s="18">
        <v>4.08</v>
      </c>
      <c r="J65" s="18">
        <v>14018.8</v>
      </c>
      <c r="K65" s="18">
        <v>8313.4500000000007</v>
      </c>
      <c r="L65" s="18">
        <v>84282</v>
      </c>
      <c r="M65" s="18">
        <v>8.2200000000000006</v>
      </c>
    </row>
    <row r="66" spans="1:13">
      <c r="A66" s="19" t="s">
        <v>5760</v>
      </c>
      <c r="B66" s="12">
        <v>2024</v>
      </c>
      <c r="C66" s="19" t="s">
        <v>75</v>
      </c>
      <c r="D66" s="19">
        <v>138</v>
      </c>
      <c r="E66" s="19">
        <v>120</v>
      </c>
      <c r="F66" s="19">
        <v>18</v>
      </c>
      <c r="G66" s="19">
        <v>13.04</v>
      </c>
      <c r="H66" s="19">
        <v>28</v>
      </c>
      <c r="I66" s="19">
        <v>3.42</v>
      </c>
      <c r="J66" s="19">
        <v>6055.7</v>
      </c>
      <c r="K66" s="19">
        <v>14351.99</v>
      </c>
      <c r="L66" s="19">
        <v>46426</v>
      </c>
      <c r="M66" s="19">
        <v>7.2</v>
      </c>
    </row>
    <row r="67" spans="1:13">
      <c r="A67" s="18" t="s">
        <v>5760</v>
      </c>
      <c r="B67" s="14">
        <v>2024</v>
      </c>
      <c r="C67" s="18" t="s">
        <v>65</v>
      </c>
      <c r="D67" s="18">
        <v>54</v>
      </c>
      <c r="E67" s="18">
        <v>36</v>
      </c>
      <c r="F67" s="18">
        <v>18</v>
      </c>
      <c r="G67" s="18">
        <v>33.33</v>
      </c>
      <c r="H67" s="18">
        <v>27</v>
      </c>
      <c r="I67" s="18">
        <v>3.42</v>
      </c>
      <c r="J67" s="18">
        <v>14940.2</v>
      </c>
      <c r="K67" s="18">
        <v>28574.61</v>
      </c>
      <c r="L67" s="18">
        <v>75134</v>
      </c>
      <c r="M67" s="18">
        <v>8.7899999999999991</v>
      </c>
    </row>
    <row r="68" spans="1:13">
      <c r="A68" s="19" t="s">
        <v>5760</v>
      </c>
      <c r="B68" s="12">
        <v>2024</v>
      </c>
      <c r="C68" s="19" t="s">
        <v>114</v>
      </c>
      <c r="D68" s="19">
        <v>219</v>
      </c>
      <c r="E68" s="19">
        <v>209</v>
      </c>
      <c r="F68" s="19">
        <v>10</v>
      </c>
      <c r="G68" s="19">
        <v>4.57</v>
      </c>
      <c r="H68" s="19">
        <v>7</v>
      </c>
      <c r="I68" s="19">
        <v>3.14</v>
      </c>
      <c r="J68" s="19">
        <v>14870.5</v>
      </c>
      <c r="K68" s="19">
        <v>22129.51</v>
      </c>
      <c r="L68" s="19">
        <v>82127</v>
      </c>
      <c r="M68" s="19">
        <v>6.87</v>
      </c>
    </row>
    <row r="69" spans="1:13">
      <c r="A69" s="18" t="s">
        <v>5760</v>
      </c>
      <c r="B69" s="14">
        <v>2024</v>
      </c>
      <c r="C69" s="18" t="s">
        <v>46</v>
      </c>
      <c r="D69" s="18">
        <v>177</v>
      </c>
      <c r="E69" s="18">
        <v>158</v>
      </c>
      <c r="F69" s="18">
        <v>19</v>
      </c>
      <c r="G69" s="18">
        <v>10.73</v>
      </c>
      <c r="H69" s="18">
        <v>13</v>
      </c>
      <c r="I69" s="18">
        <v>3.77</v>
      </c>
      <c r="J69" s="18">
        <v>4894.1000000000004</v>
      </c>
      <c r="K69" s="18">
        <v>7245.93</v>
      </c>
      <c r="L69" s="18">
        <v>86731</v>
      </c>
      <c r="M69" s="18">
        <v>6.42</v>
      </c>
    </row>
    <row r="70" spans="1:13">
      <c r="A70" s="19" t="s">
        <v>5761</v>
      </c>
      <c r="B70" s="12">
        <v>2024</v>
      </c>
      <c r="C70" s="19" t="s">
        <v>172</v>
      </c>
      <c r="D70" s="19">
        <v>282</v>
      </c>
      <c r="E70" s="19">
        <v>280</v>
      </c>
      <c r="F70" s="19">
        <v>2</v>
      </c>
      <c r="G70" s="19">
        <v>0.71</v>
      </c>
      <c r="H70" s="19">
        <v>23</v>
      </c>
      <c r="I70" s="19">
        <v>4.2</v>
      </c>
      <c r="J70" s="19">
        <v>12098.4</v>
      </c>
      <c r="K70" s="19">
        <v>20787.95</v>
      </c>
      <c r="L70" s="19">
        <v>118857</v>
      </c>
      <c r="M70" s="19">
        <v>6.65</v>
      </c>
    </row>
    <row r="71" spans="1:13">
      <c r="A71" s="18" t="s">
        <v>5761</v>
      </c>
      <c r="B71" s="14">
        <v>2024</v>
      </c>
      <c r="C71" s="18" t="s">
        <v>26</v>
      </c>
      <c r="D71" s="18">
        <v>254</v>
      </c>
      <c r="E71" s="18">
        <v>242</v>
      </c>
      <c r="F71" s="18">
        <v>12</v>
      </c>
      <c r="G71" s="18">
        <v>4.72</v>
      </c>
      <c r="H71" s="18">
        <v>11</v>
      </c>
      <c r="I71" s="18">
        <v>3.6</v>
      </c>
      <c r="J71" s="18">
        <v>5551.7</v>
      </c>
      <c r="K71" s="18">
        <v>2917.55</v>
      </c>
      <c r="L71" s="18">
        <v>99715</v>
      </c>
      <c r="M71" s="18">
        <v>6.35</v>
      </c>
    </row>
    <row r="72" spans="1:13">
      <c r="A72" s="19" t="s">
        <v>5761</v>
      </c>
      <c r="B72" s="12">
        <v>2024</v>
      </c>
      <c r="C72" s="19" t="s">
        <v>53</v>
      </c>
      <c r="D72" s="19">
        <v>134</v>
      </c>
      <c r="E72" s="19">
        <v>119</v>
      </c>
      <c r="F72" s="19">
        <v>15</v>
      </c>
      <c r="G72" s="19">
        <v>11.19</v>
      </c>
      <c r="H72" s="19">
        <v>15</v>
      </c>
      <c r="I72" s="19">
        <v>3.83</v>
      </c>
      <c r="J72" s="19">
        <v>2138.6</v>
      </c>
      <c r="K72" s="19">
        <v>2717.07</v>
      </c>
      <c r="L72" s="19">
        <v>36508</v>
      </c>
      <c r="M72" s="19">
        <v>6.77</v>
      </c>
    </row>
    <row r="73" spans="1:13">
      <c r="A73" s="18" t="s">
        <v>5761</v>
      </c>
      <c r="B73" s="14">
        <v>2024</v>
      </c>
      <c r="C73" s="18" t="s">
        <v>149</v>
      </c>
      <c r="D73" s="18">
        <v>64</v>
      </c>
      <c r="E73" s="18">
        <v>59</v>
      </c>
      <c r="F73" s="18">
        <v>5</v>
      </c>
      <c r="G73" s="18">
        <v>7.81</v>
      </c>
      <c r="H73" s="18">
        <v>36</v>
      </c>
      <c r="I73" s="18">
        <v>4.45</v>
      </c>
      <c r="J73" s="18">
        <v>14653.2</v>
      </c>
      <c r="K73" s="18">
        <v>25499.53</v>
      </c>
      <c r="L73" s="18">
        <v>65883</v>
      </c>
      <c r="M73" s="18">
        <v>7.04</v>
      </c>
    </row>
    <row r="74" spans="1:13">
      <c r="A74" s="19" t="s">
        <v>5761</v>
      </c>
      <c r="B74" s="12">
        <v>2024</v>
      </c>
      <c r="C74" s="19" t="s">
        <v>46</v>
      </c>
      <c r="D74" s="19">
        <v>192</v>
      </c>
      <c r="E74" s="19">
        <v>187</v>
      </c>
      <c r="F74" s="19">
        <v>5</v>
      </c>
      <c r="G74" s="19">
        <v>2.6</v>
      </c>
      <c r="H74" s="19">
        <v>34</v>
      </c>
      <c r="I74" s="19">
        <v>3.87</v>
      </c>
      <c r="J74" s="19">
        <v>11699.4</v>
      </c>
      <c r="K74" s="19">
        <v>5992</v>
      </c>
      <c r="L74" s="19">
        <v>87292</v>
      </c>
      <c r="M74" s="19">
        <v>7.34</v>
      </c>
    </row>
    <row r="75" spans="1:13">
      <c r="A75" s="18" t="s">
        <v>5761</v>
      </c>
      <c r="B75" s="14">
        <v>2024</v>
      </c>
      <c r="C75" s="18" t="s">
        <v>75</v>
      </c>
      <c r="D75" s="18">
        <v>171</v>
      </c>
      <c r="E75" s="18">
        <v>151</v>
      </c>
      <c r="F75" s="18">
        <v>20</v>
      </c>
      <c r="G75" s="18">
        <v>11.7</v>
      </c>
      <c r="H75" s="18">
        <v>33</v>
      </c>
      <c r="I75" s="18">
        <v>3.65</v>
      </c>
      <c r="J75" s="18">
        <v>4758.8</v>
      </c>
      <c r="K75" s="18">
        <v>9837.24</v>
      </c>
      <c r="L75" s="18">
        <v>96140</v>
      </c>
      <c r="M75" s="18">
        <v>6.77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D9F7-598E-47DD-86B0-3DCB87A11FC6}">
  <sheetPr>
    <tabColor rgb="FF002060"/>
  </sheetPr>
  <dimension ref="A1:CG2151"/>
  <sheetViews>
    <sheetView tabSelected="1" workbookViewId="0">
      <selection activeCell="E4" sqref="E4"/>
    </sheetView>
  </sheetViews>
  <sheetFormatPr defaultRowHeight="15"/>
  <cols>
    <col min="1" max="1" width="12.7109375" style="6" customWidth="1"/>
    <col min="2" max="2" width="82.7109375" style="21" customWidth="1"/>
    <col min="3" max="3" width="20.28515625" style="6" customWidth="1"/>
    <col min="4" max="4" width="17.7109375" style="6" customWidth="1"/>
    <col min="6" max="6" width="12.85546875" style="55" customWidth="1"/>
    <col min="7" max="7" width="30.7109375" style="54" customWidth="1"/>
    <col min="9" max="9" width="8.28515625" customWidth="1"/>
    <col min="10" max="10" width="13" customWidth="1"/>
    <col min="11" max="11" width="24.5703125" style="54" customWidth="1"/>
    <col min="15" max="15" width="23.42578125" style="54" customWidth="1"/>
    <col min="17" max="17" width="7.140625" customWidth="1"/>
    <col min="18" max="18" width="15.7109375" style="56" customWidth="1"/>
    <col min="21" max="21" width="18.7109375" style="56" customWidth="1"/>
    <col min="23" max="23" width="10" customWidth="1"/>
    <col min="24" max="24" width="19.85546875" style="54" customWidth="1"/>
    <col min="27" max="27" width="15.28515625" style="54" customWidth="1"/>
    <col min="28" max="28" width="6" style="6" customWidth="1"/>
    <col min="29" max="29" width="12" bestFit="1" customWidth="1"/>
    <col min="30" max="30" width="22" style="54" customWidth="1"/>
    <col min="32" max="32" width="19.85546875" customWidth="1"/>
    <col min="33" max="33" width="12" bestFit="1" customWidth="1"/>
    <col min="34" max="34" width="20.85546875" bestFit="1" customWidth="1"/>
    <col min="35" max="35" width="44.140625" style="54" customWidth="1"/>
    <col min="37" max="37" width="21.7109375" bestFit="1" customWidth="1"/>
    <col min="38" max="38" width="20.5703125" customWidth="1"/>
    <col min="40" max="40" width="9.5703125" bestFit="1" customWidth="1"/>
    <col min="41" max="41" width="21" style="54" customWidth="1"/>
    <col min="43" max="43" width="21.7109375" bestFit="1" customWidth="1"/>
    <col min="44" max="44" width="20" style="54" customWidth="1"/>
    <col min="45" max="45" width="4.140625" customWidth="1"/>
    <col min="46" max="46" width="24.5703125" bestFit="1" customWidth="1"/>
    <col min="47" max="47" width="16.5703125" style="54" customWidth="1"/>
    <col min="48" max="48" width="4.5703125" customWidth="1"/>
    <col min="49" max="49" width="19.42578125" customWidth="1"/>
    <col min="50" max="50" width="6" customWidth="1"/>
    <col min="51" max="51" width="15.5703125" style="43" customWidth="1"/>
    <col min="52" max="52" width="14.7109375" customWidth="1"/>
    <col min="53" max="53" width="15.5703125" style="54" customWidth="1"/>
    <col min="54" max="54" width="3.5703125" customWidth="1"/>
    <col min="55" max="55" width="10.85546875" bestFit="1" customWidth="1"/>
    <col min="56" max="56" width="10.85546875" customWidth="1"/>
    <col min="57" max="57" width="13" style="35" bestFit="1" customWidth="1"/>
    <col min="58" max="58" width="19" style="54" customWidth="1"/>
    <col min="59" max="59" width="4.5703125" style="54" customWidth="1"/>
    <col min="60" max="60" width="10.85546875" bestFit="1" customWidth="1"/>
    <col min="61" max="61" width="19.42578125" customWidth="1"/>
    <col min="62" max="62" width="19.42578125" style="54" customWidth="1"/>
    <col min="63" max="63" width="5.85546875" style="54" customWidth="1"/>
    <col min="64" max="67" width="19.42578125" style="54" customWidth="1"/>
    <col min="68" max="68" width="18" customWidth="1"/>
    <col min="69" max="69" width="12.5703125" customWidth="1"/>
    <col min="70" max="70" width="13" customWidth="1"/>
    <col min="71" max="71" width="12.42578125" customWidth="1"/>
    <col min="72" max="72" width="20.7109375" style="54" customWidth="1"/>
    <col min="74" max="74" width="10.28515625" customWidth="1"/>
    <col min="75" max="75" width="21.7109375" bestFit="1" customWidth="1"/>
    <col min="76" max="76" width="24.5703125" bestFit="1" customWidth="1"/>
    <col min="77" max="77" width="9.5703125" customWidth="1"/>
    <col min="78" max="78" width="17.5703125" style="54" customWidth="1"/>
    <col min="79" max="79" width="12" bestFit="1" customWidth="1"/>
    <col min="80" max="80" width="21.5703125" bestFit="1" customWidth="1"/>
    <col min="81" max="81" width="21.7109375" bestFit="1" customWidth="1"/>
    <col min="82" max="82" width="17.85546875" bestFit="1" customWidth="1"/>
    <col min="83" max="83" width="17" style="54" customWidth="1"/>
    <col min="85" max="85" width="18.5703125" style="54" customWidth="1"/>
  </cols>
  <sheetData>
    <row r="1" spans="1:85" ht="110.25" customHeight="1">
      <c r="B1" s="85" t="s">
        <v>5762</v>
      </c>
      <c r="F1" s="1" t="s">
        <v>10</v>
      </c>
      <c r="G1" s="33" t="s">
        <v>5763</v>
      </c>
      <c r="I1" s="10" t="s">
        <v>1599</v>
      </c>
      <c r="J1" s="10" t="s">
        <v>1600</v>
      </c>
      <c r="K1" s="32" t="s">
        <v>5764</v>
      </c>
      <c r="M1" s="10" t="s">
        <v>5010</v>
      </c>
      <c r="N1" s="10" t="s">
        <v>5009</v>
      </c>
      <c r="O1" s="32" t="s">
        <v>5765</v>
      </c>
      <c r="Q1" s="10" t="s">
        <v>2150</v>
      </c>
      <c r="R1" s="32" t="s">
        <v>5766</v>
      </c>
      <c r="T1" s="10" t="s">
        <v>5751</v>
      </c>
      <c r="U1" s="32" t="s">
        <v>5767</v>
      </c>
      <c r="W1" s="10" t="s">
        <v>0</v>
      </c>
      <c r="X1" s="32" t="s">
        <v>5768</v>
      </c>
      <c r="Z1" s="1" t="s">
        <v>0</v>
      </c>
      <c r="AA1" s="32" t="s">
        <v>5769</v>
      </c>
      <c r="AB1" s="37"/>
      <c r="AC1" s="1" t="s">
        <v>3</v>
      </c>
      <c r="AD1" s="32" t="s">
        <v>5770</v>
      </c>
      <c r="AF1" s="1" t="s">
        <v>1</v>
      </c>
      <c r="AG1" s="1" t="s">
        <v>3</v>
      </c>
      <c r="AH1" s="1" t="s">
        <v>5</v>
      </c>
      <c r="AI1" s="32" t="s">
        <v>5771</v>
      </c>
      <c r="AK1" s="1" t="s">
        <v>1</v>
      </c>
      <c r="AL1" s="32" t="s">
        <v>5772</v>
      </c>
      <c r="AN1" s="10" t="s">
        <v>5005</v>
      </c>
      <c r="AO1" s="32" t="s">
        <v>5773</v>
      </c>
      <c r="AQ1" s="1" t="s">
        <v>1</v>
      </c>
      <c r="AR1" s="32" t="s">
        <v>5774</v>
      </c>
      <c r="AT1" s="10" t="s">
        <v>1596</v>
      </c>
      <c r="AU1" s="32" t="s">
        <v>5775</v>
      </c>
      <c r="AV1" s="53"/>
      <c r="AW1" s="32" t="s">
        <v>5776</v>
      </c>
      <c r="AX1" s="37"/>
      <c r="AY1" s="39" t="s">
        <v>5012</v>
      </c>
      <c r="AZ1" s="58" t="s">
        <v>5777</v>
      </c>
      <c r="BA1" s="32" t="s">
        <v>5778</v>
      </c>
      <c r="BC1" s="11" t="s">
        <v>1602</v>
      </c>
      <c r="BD1" s="11" t="s">
        <v>5779</v>
      </c>
      <c r="BE1" s="10" t="s">
        <v>1604</v>
      </c>
      <c r="BF1" s="32" t="s">
        <v>5780</v>
      </c>
      <c r="BH1" s="1" t="s">
        <v>8</v>
      </c>
      <c r="BI1" s="58" t="s">
        <v>5781</v>
      </c>
      <c r="BJ1" s="49" t="s">
        <v>5782</v>
      </c>
      <c r="BK1" s="36"/>
      <c r="BL1" s="49" t="s">
        <v>5783</v>
      </c>
      <c r="BM1" s="58" t="s">
        <v>5777</v>
      </c>
      <c r="BN1" s="99" t="s">
        <v>5781</v>
      </c>
      <c r="BO1" s="50" t="s">
        <v>5784</v>
      </c>
      <c r="BP1" s="1" t="s">
        <v>0</v>
      </c>
      <c r="BQ1" s="1" t="s">
        <v>3</v>
      </c>
      <c r="BR1" s="10" t="s">
        <v>0</v>
      </c>
      <c r="BS1" s="10" t="s">
        <v>2146</v>
      </c>
      <c r="BT1" s="32" t="s">
        <v>5785</v>
      </c>
      <c r="BV1" s="1" t="s">
        <v>0</v>
      </c>
      <c r="BW1" s="1" t="s">
        <v>1</v>
      </c>
      <c r="BX1" s="10" t="s">
        <v>1596</v>
      </c>
      <c r="BY1" s="10" t="s">
        <v>1607</v>
      </c>
      <c r="BZ1" s="32" t="s">
        <v>5786</v>
      </c>
      <c r="CB1" s="10" t="s">
        <v>5787</v>
      </c>
      <c r="CC1" s="1" t="s">
        <v>5788</v>
      </c>
      <c r="CD1" s="1" t="s">
        <v>4</v>
      </c>
      <c r="CE1" s="32" t="s">
        <v>5789</v>
      </c>
      <c r="CG1" s="32" t="s">
        <v>5790</v>
      </c>
    </row>
    <row r="2" spans="1:85">
      <c r="B2" s="100"/>
      <c r="F2" s="3">
        <v>4.5</v>
      </c>
      <c r="G2" s="52" t="str" cm="1">
        <f t="array" ref="G2">_xlfn.IFS(F2&gt;=4.5,"Excellent",AND(F2&gt;=3.5,F2&lt;=4.4),"Good",F2&lt;3.5,"Needs Improvement")</f>
        <v>Excellent</v>
      </c>
      <c r="I2" s="12">
        <v>172.82</v>
      </c>
      <c r="J2" s="12">
        <v>149.22</v>
      </c>
      <c r="K2" s="54" t="str">
        <f>IF(J2&gt;I2,"Over Budget","Within Budget")</f>
        <v>Within Budget</v>
      </c>
      <c r="M2" s="19">
        <v>135000</v>
      </c>
      <c r="N2" s="19">
        <v>123018</v>
      </c>
      <c r="O2" s="54" t="str">
        <f>IF(M2&lt;&gt;N2,"Yes","No")</f>
        <v>Yes</v>
      </c>
      <c r="Q2" s="19">
        <v>6.9</v>
      </c>
      <c r="R2" s="56" t="str">
        <f>IF(ISBLANK(Q2),"No","Yes")</f>
        <v>Yes</v>
      </c>
      <c r="T2" s="19">
        <v>6.43</v>
      </c>
      <c r="U2" s="57" t="str">
        <f>IF(T2&gt;10,"High Attrition","No")</f>
        <v>No</v>
      </c>
      <c r="W2" s="19" t="s">
        <v>303</v>
      </c>
      <c r="X2" s="54" t="str">
        <f>VLOOKUP(W2,Employees!$A$1:$B$601,2,FALSE)</f>
        <v>Bikash Biswal</v>
      </c>
      <c r="Z2" s="3" t="s">
        <v>13</v>
      </c>
      <c r="AA2" s="54" t="str">
        <f>RIGHT(Z2,4)</f>
        <v>0001</v>
      </c>
      <c r="AC2" s="3" t="s">
        <v>16</v>
      </c>
      <c r="AD2" s="54" t="str">
        <f>PROPER(AC2)</f>
        <v>Devops</v>
      </c>
      <c r="AF2" s="3" t="s">
        <v>14</v>
      </c>
      <c r="AG2" s="3" t="s">
        <v>16</v>
      </c>
      <c r="AH2" s="3" t="s">
        <v>18</v>
      </c>
      <c r="AI2" s="54" t="str">
        <f>_xlfn.CONCAT(AF2,"|",AG2,"|",AH2)</f>
        <v>Priyanka Jena|DevOps|CoastalDev Studio</v>
      </c>
      <c r="AK2" s="3" t="s">
        <v>14</v>
      </c>
      <c r="AL2" s="38" t="str">
        <f>LEFT(AK2,1)&amp;"."&amp;MID(AK2,FIND(" ",AK2)+1,1)&amp;"."</f>
        <v>P.J.</v>
      </c>
      <c r="AN2" s="19" t="s">
        <v>5016</v>
      </c>
      <c r="AO2" s="54" t="b">
        <f>IF(UPPER(AN2)="linkedin","Linkedln",IF(UPPER(AN2)="naukri","Naukri"))</f>
        <v>0</v>
      </c>
      <c r="AQ2" s="3" t="s">
        <v>14</v>
      </c>
      <c r="AR2" s="52" t="str">
        <f>IF(ISNUMBER(SEARCH("Mishra",AQ2)),"Mishra","NO")</f>
        <v>NO</v>
      </c>
      <c r="AT2" s="12" t="s">
        <v>1609</v>
      </c>
      <c r="AU2" s="54">
        <f>LEN(AT2)</f>
        <v>22</v>
      </c>
      <c r="AW2" s="54"/>
      <c r="AX2" s="54"/>
      <c r="AY2" s="40" t="s">
        <v>1068</v>
      </c>
      <c r="AZ2" s="44">
        <f>DATE(RIGHT(AY2,4),MID(AY2,4,2),LEFT(AY2,2))</f>
        <v>45390</v>
      </c>
      <c r="BA2" s="54" t="str">
        <f>MONTH(AZ2)&amp;"-"&amp;YEAR(AZ2)</f>
        <v>4-2024</v>
      </c>
      <c r="BC2" s="13" t="s">
        <v>1613</v>
      </c>
      <c r="BD2" s="13">
        <f>DATE(RIGHT(BC2,4),MID(BC2,4,2),LEFT(BC2,2))</f>
        <v>44885</v>
      </c>
      <c r="BE2" s="45" t="s">
        <v>1614</v>
      </c>
      <c r="BF2" s="54" t="str">
        <f ca="1">IF(AND(BD2&lt;TODAY(),BE2&lt;&gt;"Completed"),"Overdue","On Track")</f>
        <v>Overdue</v>
      </c>
      <c r="BH2" s="3"/>
      <c r="BM2" s="59">
        <f>DATE(RIGHT(AY2,4),MID(AY2,4,2),LEFT(AY2,2))</f>
        <v>45390</v>
      </c>
      <c r="BN2"/>
      <c r="BO2" s="54">
        <f>ABS(BN2-BM2)</f>
        <v>45390</v>
      </c>
      <c r="BP2" s="3" t="s">
        <v>13</v>
      </c>
      <c r="BQ2" s="3" t="s">
        <v>16</v>
      </c>
      <c r="BR2" s="19" t="s">
        <v>303</v>
      </c>
      <c r="BS2" s="19" t="s">
        <v>2152</v>
      </c>
      <c r="BT2" s="54" t="str">
        <f>VLOOKUP(BR2,$BP$2:$BQ$601,2,FALSE)</f>
        <v>Marketing</v>
      </c>
      <c r="BV2" s="3" t="s">
        <v>13</v>
      </c>
      <c r="BW2" s="3" t="s">
        <v>14</v>
      </c>
      <c r="BX2" s="12" t="s">
        <v>1609</v>
      </c>
      <c r="BY2" s="12" t="s">
        <v>1398</v>
      </c>
      <c r="BZ2" s="54" t="str">
        <f>VLOOKUP(BY2,$BV$2:$BW$601,2,FALSE)</f>
        <v>Barsha Pattnaik</v>
      </c>
      <c r="CB2" s="19" t="s">
        <v>5015</v>
      </c>
      <c r="CC2" s="3" t="s">
        <v>14</v>
      </c>
      <c r="CD2" s="3" t="s">
        <v>17</v>
      </c>
      <c r="CE2" s="54" t="str" cm="1">
        <f t="array" ref="CE2:CE401">_xlfn.XLOOKUP(CB2:CB401,CC2:CC601,CD2:CD601,"Not Found",0)</f>
        <v>Not Found</v>
      </c>
      <c r="CF2" t="s">
        <v>5791</v>
      </c>
      <c r="CG2" s="54" t="str">
        <f>IFERROR(_xlfn.XLOOKUP(Hiring!A2,Hiring!A2:A401,Hiring!B2:B401,,0),"Not Found")</f>
        <v>Abhishek Ratha</v>
      </c>
    </row>
    <row r="3" spans="1:85">
      <c r="A3" s="101" t="s">
        <v>5792</v>
      </c>
      <c r="B3" s="102"/>
      <c r="C3" s="26" t="s">
        <v>3</v>
      </c>
      <c r="D3" s="25" t="s">
        <v>5793</v>
      </c>
      <c r="F3" s="4">
        <v>1.5</v>
      </c>
      <c r="G3" s="52" t="str" cm="1">
        <f t="array" ref="G3">_xlfn.IFS(F3&gt;=4.5,"Excellent",AND(F3&gt;=3.5,F3&lt;=4.4),"Good",F3&lt;3.5,"Needs Improvement")</f>
        <v>Needs Improvement</v>
      </c>
      <c r="I3" s="14">
        <v>123.83</v>
      </c>
      <c r="J3" s="14">
        <v>158.34</v>
      </c>
      <c r="K3" s="54" t="str">
        <f t="shared" ref="K3:K66" si="0">IF(J3&gt;I3,"Over Budget","Within Budget")</f>
        <v>Over Budget</v>
      </c>
      <c r="M3" s="18">
        <v>132960</v>
      </c>
      <c r="N3" s="18">
        <v>139712</v>
      </c>
      <c r="O3" s="54" t="str">
        <f t="shared" ref="O3:O66" si="1">IF(M3&lt;&gt;N3,"Yes","No")</f>
        <v>Yes</v>
      </c>
      <c r="Q3" s="18">
        <v>7.78</v>
      </c>
      <c r="R3" s="56" t="str">
        <f t="shared" ref="R3:R66" si="2">IF(ISBLANK(Q3),"No","Yes")</f>
        <v>Yes</v>
      </c>
      <c r="T3" s="18">
        <v>24.1</v>
      </c>
      <c r="U3" s="57" t="str">
        <f t="shared" ref="U3:U66" si="3">IF(T3&gt;10,"High Attrition","No")</f>
        <v>High Attrition</v>
      </c>
      <c r="W3" s="18" t="s">
        <v>303</v>
      </c>
      <c r="X3" s="54" t="str">
        <f>VLOOKUP(W3,Employees!$A$1:$B$601,2,FALSE)</f>
        <v>Bikash Biswal</v>
      </c>
      <c r="Z3" s="4" t="s">
        <v>21</v>
      </c>
      <c r="AA3" s="54" t="str">
        <f t="shared" ref="AA3:AA66" si="4">RIGHT(Z3,4)</f>
        <v>0002</v>
      </c>
      <c r="AC3" s="4" t="s">
        <v>24</v>
      </c>
      <c r="AD3" s="54" t="str">
        <f t="shared" ref="AD3:AD66" si="5">PROPER(AC3)</f>
        <v>Design</v>
      </c>
      <c r="AF3" s="4" t="s">
        <v>22</v>
      </c>
      <c r="AG3" s="4" t="s">
        <v>24</v>
      </c>
      <c r="AH3" s="4" t="s">
        <v>26</v>
      </c>
      <c r="AI3" s="54" t="str">
        <f t="shared" ref="AI3:AI66" si="6">_xlfn.CONCAT(AF3,"|",AG3,"|",AH3)</f>
        <v>Ranjit Samal|Design|InfySoft Bhubaneswar</v>
      </c>
      <c r="AK3" s="4" t="s">
        <v>22</v>
      </c>
      <c r="AL3" s="38" t="str">
        <f t="shared" ref="AL3:AL66" si="7">LEFT(AK3,1)&amp;"."&amp;MID(AK3,FIND(" ",AK3)+1,1)&amp;"."</f>
        <v>R.S.</v>
      </c>
      <c r="AN3" s="18" t="s">
        <v>5019</v>
      </c>
      <c r="AO3" s="54" t="str">
        <f t="shared" ref="AO3:AO66" si="8">IF(UPPER(AN3)="linkedin","Linkedln",IF(UPPER(AN3)="naukri","Naukri"))</f>
        <v>Linkedln</v>
      </c>
      <c r="AQ3" s="4" t="s">
        <v>22</v>
      </c>
      <c r="AR3" s="52" t="str">
        <f t="shared" ref="AR3:AR66" si="9">IF(ISNUMBER(SEARCH("Mishra",AQ3)),"Mishra","NO")</f>
        <v>NO</v>
      </c>
      <c r="AT3" s="14" t="s">
        <v>1609</v>
      </c>
      <c r="AU3" s="54">
        <f t="shared" ref="AU3:AU66" si="10">LEN(AT3)</f>
        <v>22</v>
      </c>
      <c r="AW3" s="54">
        <f ca="1">DATEDIF(BI3,TODAY(),"Y")</f>
        <v>4</v>
      </c>
      <c r="AX3" s="54"/>
      <c r="AY3" s="41" t="s">
        <v>1886</v>
      </c>
      <c r="AZ3" s="44">
        <f t="shared" ref="AZ3:AZ66" si="11">DATE(RIGHT(AY3,4),MID(AY3,4,2),LEFT(AY3,2))</f>
        <v>45439</v>
      </c>
      <c r="BA3" s="54" t="str">
        <f t="shared" ref="BA3:BA66" si="12">MONTH(AZ3)&amp;"-"&amp;YEAR(AZ3)</f>
        <v>5-2024</v>
      </c>
      <c r="BC3" s="15" t="s">
        <v>1619</v>
      </c>
      <c r="BD3" s="13">
        <f t="shared" ref="BD3:BD66" si="13">DATE(RIGHT(BC3,4),MID(BC3,4,2),LEFT(BC3,2))</f>
        <v>45410</v>
      </c>
      <c r="BE3" s="46" t="s">
        <v>1614</v>
      </c>
      <c r="BF3" s="54" t="str">
        <f t="shared" ref="BF3:BF66" ca="1" si="14">IF(AND(BD3&lt;TODAY(),BE3&lt;&gt;"Completed"),"Overdue","On Track")</f>
        <v>Overdue</v>
      </c>
      <c r="BH3" s="4" t="s">
        <v>28</v>
      </c>
      <c r="BI3" s="51">
        <f>IF(LEN(LEFT(BH3,FIND("-",BH3)-1))=4,DATE(LEFT(BH3,4),MID(BH3,6,2),RIGHT(BH3,2)),DATE(RIGHT(BH3,4),MID(BH3,4,2),LEFT(BH3,2)))</f>
        <v>44625</v>
      </c>
      <c r="BJ3" s="38">
        <f ca="1">NETWORKDAYS(BI3,TODAY())</f>
        <v>1160</v>
      </c>
      <c r="BK3" s="38"/>
      <c r="BL3" s="38" t="str">
        <f>IF(MONTH(BI3)&lt;=3,"Q1","No")</f>
        <v>Q1</v>
      </c>
      <c r="BM3" s="59">
        <f t="shared" ref="BM3:BM66" si="15">DATE(RIGHT(AY3,4),MID(AY3,4,2),LEFT(AY3,2))</f>
        <v>45439</v>
      </c>
      <c r="BN3" s="51">
        <f>IF(LEN(LEFT(BH3,FIND("-",BH3)-1))=4,DATE(LEFT(BH3,4),MID(BH3,6,2),RIGHT(BH3,2)),DATE(RIGHT(BH3,4),MID(BH3,4,2),LEFT(BH3,2)))</f>
        <v>44625</v>
      </c>
      <c r="BO3" s="54">
        <f t="shared" ref="BO3:BO66" si="16">ABS(BN3-BM3)</f>
        <v>814</v>
      </c>
      <c r="BP3" s="4" t="s">
        <v>21</v>
      </c>
      <c r="BQ3" s="4" t="s">
        <v>24</v>
      </c>
      <c r="BR3" s="18" t="s">
        <v>303</v>
      </c>
      <c r="BS3" s="18" t="s">
        <v>2156</v>
      </c>
      <c r="BT3" s="54" t="str">
        <f t="shared" ref="BT3:BT66" si="17">VLOOKUP(BR3,$BP$2:$BQ$601,2,FALSE)</f>
        <v>Marketing</v>
      </c>
      <c r="BV3" s="4" t="s">
        <v>21</v>
      </c>
      <c r="BW3" s="4" t="s">
        <v>22</v>
      </c>
      <c r="BX3" s="14" t="s">
        <v>1609</v>
      </c>
      <c r="BY3" s="14" t="s">
        <v>1438</v>
      </c>
      <c r="BZ3" s="54" t="str">
        <f t="shared" ref="BZ3:BZ66" si="18">VLOOKUP(BY3,$BV$2:$BW$601,2,FALSE)</f>
        <v>Ipsita Biswal</v>
      </c>
      <c r="CB3" s="18" t="s">
        <v>306</v>
      </c>
      <c r="CC3" s="4" t="s">
        <v>22</v>
      </c>
      <c r="CD3" s="4" t="s">
        <v>25</v>
      </c>
      <c r="CE3" s="54" t="str">
        <v>Account Manager</v>
      </c>
      <c r="CG3" s="54" t="str">
        <f>IFERROR(_xlfn.XLOOKUP(Hiring!A3,Hiring!A3:A402,Hiring!B3:B402,,0),"Not Found")</f>
        <v>Bikash Behura</v>
      </c>
    </row>
    <row r="4" spans="1:85" ht="26.25" customHeight="1">
      <c r="A4" s="30" t="s">
        <v>5758</v>
      </c>
      <c r="B4" s="86" t="s">
        <v>5794</v>
      </c>
      <c r="C4" s="88" t="s">
        <v>39</v>
      </c>
      <c r="D4" s="89">
        <f>SUMIFS(Employees!I:I,Employees!D:D,C4)</f>
        <v>7253668</v>
      </c>
      <c r="F4" s="3">
        <v>3.4</v>
      </c>
      <c r="G4" s="52" t="str" cm="1">
        <f t="array" ref="G4">_xlfn.IFS(F4&gt;=4.5,"Excellent",AND(F4&gt;=3.5,F4&lt;=4.4),"Good",F4&lt;3.5,"Needs Improvement")</f>
        <v>Needs Improvement</v>
      </c>
      <c r="I4" s="12">
        <v>110.56</v>
      </c>
      <c r="J4" s="12">
        <v>114.91</v>
      </c>
      <c r="K4" s="54" t="str">
        <f t="shared" si="0"/>
        <v>Over Budget</v>
      </c>
      <c r="M4" s="19">
        <v>28384</v>
      </c>
      <c r="N4" s="19">
        <v>26013</v>
      </c>
      <c r="O4" s="54" t="str">
        <f t="shared" si="1"/>
        <v>Yes</v>
      </c>
      <c r="Q4" s="19"/>
      <c r="R4" s="56" t="str">
        <f t="shared" si="2"/>
        <v>No</v>
      </c>
      <c r="T4" s="19">
        <v>8.33</v>
      </c>
      <c r="U4" s="57" t="str">
        <f t="shared" si="3"/>
        <v>No</v>
      </c>
      <c r="W4" s="19" t="s">
        <v>303</v>
      </c>
      <c r="X4" s="54" t="str">
        <f>VLOOKUP(W4,Employees!$A$1:$B$601,2,FALSE)</f>
        <v>Bikash Biswal</v>
      </c>
      <c r="Z4" s="3" t="s">
        <v>30</v>
      </c>
      <c r="AA4" s="54" t="str">
        <f t="shared" si="4"/>
        <v>0003</v>
      </c>
      <c r="AC4" s="3" t="s">
        <v>16</v>
      </c>
      <c r="AD4" s="54" t="str">
        <f t="shared" si="5"/>
        <v>Devops</v>
      </c>
      <c r="AF4" s="3" t="s">
        <v>31</v>
      </c>
      <c r="AG4" s="3" t="s">
        <v>16</v>
      </c>
      <c r="AH4" s="3" t="s">
        <v>32</v>
      </c>
      <c r="AI4" s="54" t="str">
        <f t="shared" si="6"/>
        <v>Subhasree Dhal|DevOps|NilGiri Digitals</v>
      </c>
      <c r="AK4" s="3" t="s">
        <v>31</v>
      </c>
      <c r="AL4" s="38" t="str">
        <f t="shared" si="7"/>
        <v>S.D.</v>
      </c>
      <c r="AN4" s="19" t="s">
        <v>5023</v>
      </c>
      <c r="AO4" s="54" t="str">
        <f t="shared" si="8"/>
        <v>Linkedln</v>
      </c>
      <c r="AQ4" s="3" t="s">
        <v>31</v>
      </c>
      <c r="AR4" s="52" t="str">
        <f t="shared" si="9"/>
        <v>NO</v>
      </c>
      <c r="AT4" s="12" t="s">
        <v>1621</v>
      </c>
      <c r="AU4" s="54">
        <f t="shared" si="10"/>
        <v>24</v>
      </c>
      <c r="AW4" s="54">
        <f ca="1">DATEDIF(BI4,TODAY(),"Y")</f>
        <v>5</v>
      </c>
      <c r="AX4" s="54"/>
      <c r="AY4" s="40" t="s">
        <v>1819</v>
      </c>
      <c r="AZ4" s="44">
        <f t="shared" si="11"/>
        <v>45553</v>
      </c>
      <c r="BA4" s="54" t="str">
        <f t="shared" si="12"/>
        <v>9-2024</v>
      </c>
      <c r="BC4" s="13" t="s">
        <v>1624</v>
      </c>
      <c r="BD4" s="13">
        <f t="shared" si="13"/>
        <v>44694</v>
      </c>
      <c r="BE4" s="45" t="s">
        <v>1625</v>
      </c>
      <c r="BF4" s="54" t="str">
        <f t="shared" ca="1" si="14"/>
        <v>Overdue</v>
      </c>
      <c r="BH4" s="3" t="s">
        <v>34</v>
      </c>
      <c r="BI4" s="51">
        <f t="shared" ref="BI4:BI67" si="19">IF(LEN(LEFT(BH4,FIND("-",BH4)-1))=4,DATE(LEFT(BH4,4),MID(BH4,6,2),RIGHT(BH4,2)),DATE(RIGHT(BH4,4),MID(BH4,4,2),LEFT(BH4,2)))</f>
        <v>44262</v>
      </c>
      <c r="BJ4" s="38">
        <f t="shared" ref="BJ4:BJ67" ca="1" si="20">NETWORKDAYS(BI4,TODAY())</f>
        <v>1420</v>
      </c>
      <c r="BK4" s="38"/>
      <c r="BL4" s="38" t="str">
        <f t="shared" ref="BL4:BL67" si="21">IF(MONTH(BI4)&lt;=3,"Q1","No")</f>
        <v>Q1</v>
      </c>
      <c r="BM4" s="59">
        <f t="shared" si="15"/>
        <v>45553</v>
      </c>
      <c r="BN4" s="51">
        <f t="shared" ref="BN4:BN67" si="22">IF(LEN(LEFT(BH4,FIND("-",BH4)-1))=4,DATE(LEFT(BH4,4),MID(BH4,6,2),RIGHT(BH4,2)),DATE(RIGHT(BH4,4),MID(BH4,4,2),LEFT(BH4,2)))</f>
        <v>44262</v>
      </c>
      <c r="BO4" s="54">
        <f t="shared" si="16"/>
        <v>1291</v>
      </c>
      <c r="BP4" s="3" t="s">
        <v>30</v>
      </c>
      <c r="BQ4" s="3" t="s">
        <v>16</v>
      </c>
      <c r="BR4" s="19" t="s">
        <v>303</v>
      </c>
      <c r="BS4" s="19" t="s">
        <v>2161</v>
      </c>
      <c r="BT4" s="54" t="str">
        <f t="shared" si="17"/>
        <v>Marketing</v>
      </c>
      <c r="BV4" s="3" t="s">
        <v>30</v>
      </c>
      <c r="BW4" s="3" t="s">
        <v>31</v>
      </c>
      <c r="BX4" s="12" t="s">
        <v>1621</v>
      </c>
      <c r="BY4" s="12" t="s">
        <v>462</v>
      </c>
      <c r="BZ4" s="54" t="str">
        <f t="shared" si="18"/>
        <v>Nirmal Choudhury</v>
      </c>
      <c r="CB4" s="19" t="s">
        <v>5022</v>
      </c>
      <c r="CC4" s="3" t="s">
        <v>31</v>
      </c>
      <c r="CD4" s="3" t="s">
        <v>17</v>
      </c>
      <c r="CE4" s="54" t="str">
        <v>Not Found</v>
      </c>
      <c r="CG4" s="54" t="str">
        <f>IFERROR(_xlfn.XLOOKUP(Hiring!A4,Hiring!A4:A403,Hiring!B4:B403,,0),"Not Found")</f>
        <v>Ankita Behura</v>
      </c>
    </row>
    <row r="5" spans="1:85" ht="23.25" customHeight="1">
      <c r="A5" s="31" t="s">
        <v>5759</v>
      </c>
      <c r="B5" s="87" t="s">
        <v>5795</v>
      </c>
      <c r="C5" s="90">
        <f>COUNTIF(Employees!L:L,"&gt;4.0")</f>
        <v>160</v>
      </c>
      <c r="F5" s="4">
        <v>2.7</v>
      </c>
      <c r="G5" s="52" t="str" cm="1">
        <f t="array" ref="G5">_xlfn.IFS(F5&gt;=4.5,"Excellent",AND(F5&gt;=3.5,F5&lt;=4.4),"Good",F5&lt;3.5,"Needs Improvement")</f>
        <v>Needs Improvement</v>
      </c>
      <c r="I5" s="14">
        <v>167.36</v>
      </c>
      <c r="J5" s="14">
        <v>156.31</v>
      </c>
      <c r="K5" s="54" t="str">
        <f t="shared" si="0"/>
        <v>Within Budget</v>
      </c>
      <c r="M5" s="18">
        <v>170600</v>
      </c>
      <c r="N5" s="18">
        <v>176914</v>
      </c>
      <c r="O5" s="54" t="str">
        <f t="shared" si="1"/>
        <v>Yes</v>
      </c>
      <c r="Q5" s="18">
        <v>9.99</v>
      </c>
      <c r="R5" s="56" t="str">
        <f t="shared" si="2"/>
        <v>Yes</v>
      </c>
      <c r="T5" s="18">
        <v>1.29</v>
      </c>
      <c r="U5" s="57" t="str">
        <f t="shared" si="3"/>
        <v>No</v>
      </c>
      <c r="W5" s="18" t="s">
        <v>303</v>
      </c>
      <c r="X5" s="54" t="str">
        <f>VLOOKUP(W5,Employees!$A$1:$B$601,2,FALSE)</f>
        <v>Bikash Biswal</v>
      </c>
      <c r="Z5" s="4" t="s">
        <v>36</v>
      </c>
      <c r="AA5" s="54" t="str">
        <f t="shared" si="4"/>
        <v>0004</v>
      </c>
      <c r="AC5" s="4" t="s">
        <v>39</v>
      </c>
      <c r="AD5" s="54" t="str">
        <f t="shared" si="5"/>
        <v>Engineering</v>
      </c>
      <c r="AF5" s="4" t="s">
        <v>37</v>
      </c>
      <c r="AG5" s="4" t="s">
        <v>39</v>
      </c>
      <c r="AH5" s="4" t="s">
        <v>18</v>
      </c>
      <c r="AI5" s="54" t="str">
        <f t="shared" si="6"/>
        <v>Bikash Jena|Engineering|CoastalDev Studio</v>
      </c>
      <c r="AK5" s="4" t="s">
        <v>37</v>
      </c>
      <c r="AL5" s="38" t="str">
        <f t="shared" si="7"/>
        <v>B.J.</v>
      </c>
      <c r="AN5" s="18" t="s">
        <v>5025</v>
      </c>
      <c r="AO5" s="54" t="b">
        <f t="shared" si="8"/>
        <v>0</v>
      </c>
      <c r="AQ5" s="4" t="s">
        <v>37</v>
      </c>
      <c r="AR5" s="52" t="str">
        <f t="shared" si="9"/>
        <v>NO</v>
      </c>
      <c r="AT5" s="14" t="s">
        <v>1627</v>
      </c>
      <c r="AU5" s="54">
        <f t="shared" si="10"/>
        <v>11</v>
      </c>
      <c r="AW5" s="54">
        <f ca="1">DATEDIF(BI5,TODAY(),"Y")</f>
        <v>5</v>
      </c>
      <c r="AX5" s="54"/>
      <c r="AY5" s="41" t="s">
        <v>5026</v>
      </c>
      <c r="AZ5" s="44">
        <f t="shared" si="11"/>
        <v>45271</v>
      </c>
      <c r="BA5" s="54" t="str">
        <f t="shared" si="12"/>
        <v>12-2023</v>
      </c>
      <c r="BC5" s="15" t="s">
        <v>1631</v>
      </c>
      <c r="BD5" s="13">
        <f t="shared" si="13"/>
        <v>45599</v>
      </c>
      <c r="BE5" s="46" t="s">
        <v>1632</v>
      </c>
      <c r="BF5" s="54" t="str">
        <f t="shared" ca="1" si="14"/>
        <v>Overdue</v>
      </c>
      <c r="BH5" s="4" t="s">
        <v>41</v>
      </c>
      <c r="BI5" s="51">
        <f t="shared" si="19"/>
        <v>44276</v>
      </c>
      <c r="BJ5" s="38">
        <f t="shared" ca="1" si="20"/>
        <v>1410</v>
      </c>
      <c r="BK5" s="38"/>
      <c r="BL5" s="38" t="str">
        <f t="shared" si="21"/>
        <v>Q1</v>
      </c>
      <c r="BM5" s="59">
        <f t="shared" si="15"/>
        <v>45271</v>
      </c>
      <c r="BN5" s="51">
        <f t="shared" si="22"/>
        <v>44276</v>
      </c>
      <c r="BO5" s="54">
        <f t="shared" si="16"/>
        <v>995</v>
      </c>
      <c r="BP5" s="4" t="s">
        <v>36</v>
      </c>
      <c r="BQ5" s="4" t="s">
        <v>39</v>
      </c>
      <c r="BR5" s="18" t="s">
        <v>303</v>
      </c>
      <c r="BS5" s="18" t="s">
        <v>2164</v>
      </c>
      <c r="BT5" s="54" t="str">
        <f t="shared" si="17"/>
        <v>Marketing</v>
      </c>
      <c r="BV5" s="4" t="s">
        <v>36</v>
      </c>
      <c r="BW5" s="4" t="s">
        <v>37</v>
      </c>
      <c r="BX5" s="14" t="s">
        <v>1627</v>
      </c>
      <c r="BY5" s="14" t="s">
        <v>1446</v>
      </c>
      <c r="BZ5" s="54" t="str">
        <f t="shared" si="18"/>
        <v>Ankita Choudhury</v>
      </c>
      <c r="CB5" s="18" t="s">
        <v>545</v>
      </c>
      <c r="CC5" s="4" t="s">
        <v>37</v>
      </c>
      <c r="CD5" s="4" t="s">
        <v>40</v>
      </c>
      <c r="CE5" s="54" t="str">
        <v>CFO</v>
      </c>
      <c r="CG5" s="54" t="str">
        <f>IFERROR(_xlfn.XLOOKUP(Hiring!A5,Hiring!A5:A404,Hiring!B5:B404,,0),"Not Found")</f>
        <v>Sudhansu Prusty</v>
      </c>
    </row>
    <row r="6" spans="1:85" ht="29.25" customHeight="1">
      <c r="A6" s="30" t="s">
        <v>5760</v>
      </c>
      <c r="B6" s="86" t="s">
        <v>5796</v>
      </c>
      <c r="C6" s="91">
        <f>AVERAGEIFS(Hiring!J:J,Hiring!G:G,"Linkedin")</f>
        <v>6.4920454545454529</v>
      </c>
      <c r="F6" s="3">
        <v>4.9000000000000004</v>
      </c>
      <c r="G6" s="52" t="str" cm="1">
        <f t="array" ref="G6">_xlfn.IFS(F6&gt;=4.5,"Excellent",AND(F6&gt;=3.5,F6&lt;=4.4),"Good",F6&lt;3.5,"Needs Improvement")</f>
        <v>Excellent</v>
      </c>
      <c r="I6" s="12">
        <v>111.58</v>
      </c>
      <c r="J6" s="12">
        <v>82.9</v>
      </c>
      <c r="K6" s="54" t="str">
        <f t="shared" si="0"/>
        <v>Within Budget</v>
      </c>
      <c r="M6" s="19">
        <v>164134</v>
      </c>
      <c r="N6" s="19">
        <v>155983</v>
      </c>
      <c r="O6" s="54" t="str">
        <f t="shared" si="1"/>
        <v>Yes</v>
      </c>
      <c r="Q6" s="19">
        <v>10.75</v>
      </c>
      <c r="R6" s="56" t="str">
        <f t="shared" si="2"/>
        <v>Yes</v>
      </c>
      <c r="T6" s="19">
        <v>12.17</v>
      </c>
      <c r="U6" s="57" t="str">
        <f t="shared" si="3"/>
        <v>High Attrition</v>
      </c>
      <c r="W6" s="19" t="s">
        <v>303</v>
      </c>
      <c r="X6" s="54" t="str">
        <f>VLOOKUP(W6,Employees!$A$1:$B$601,2,FALSE)</f>
        <v>Bikash Biswal</v>
      </c>
      <c r="Z6" s="3" t="s">
        <v>43</v>
      </c>
      <c r="AA6" s="54" t="str">
        <f t="shared" si="4"/>
        <v>0005</v>
      </c>
      <c r="AC6" s="3" t="s">
        <v>24</v>
      </c>
      <c r="AD6" s="54" t="str">
        <f t="shared" si="5"/>
        <v>Design</v>
      </c>
      <c r="AF6" s="3" t="s">
        <v>44</v>
      </c>
      <c r="AG6" s="3" t="s">
        <v>24</v>
      </c>
      <c r="AH6" s="3" t="s">
        <v>46</v>
      </c>
      <c r="AI6" s="54" t="str">
        <f t="shared" si="6"/>
        <v>Bikash Nanda|Design|SambalpurNet</v>
      </c>
      <c r="AK6" s="3" t="s">
        <v>44</v>
      </c>
      <c r="AL6" s="38" t="str">
        <f t="shared" si="7"/>
        <v>B.N.</v>
      </c>
      <c r="AN6" s="19" t="s">
        <v>5019</v>
      </c>
      <c r="AO6" s="54" t="str">
        <f t="shared" si="8"/>
        <v>Linkedln</v>
      </c>
      <c r="AQ6" s="3" t="s">
        <v>44</v>
      </c>
      <c r="AR6" s="52" t="str">
        <f t="shared" si="9"/>
        <v>NO</v>
      </c>
      <c r="AT6" s="12" t="s">
        <v>1627</v>
      </c>
      <c r="AU6" s="54">
        <f t="shared" si="10"/>
        <v>11</v>
      </c>
      <c r="AW6" s="54">
        <f ca="1">DATEDIF(BI6,TODAY(),"Y")</f>
        <v>3</v>
      </c>
      <c r="AX6" s="54"/>
      <c r="AY6" s="40" t="s">
        <v>5029</v>
      </c>
      <c r="AZ6" s="44">
        <f t="shared" si="11"/>
        <v>45639</v>
      </c>
      <c r="BA6" s="54" t="str">
        <f t="shared" si="12"/>
        <v>12-2024</v>
      </c>
      <c r="BC6" s="13" t="s">
        <v>1636</v>
      </c>
      <c r="BD6" s="13">
        <f t="shared" si="13"/>
        <v>45127</v>
      </c>
      <c r="BE6" s="45" t="s">
        <v>1638</v>
      </c>
      <c r="BF6" s="54" t="str">
        <f t="shared" ca="1" si="14"/>
        <v>On Track</v>
      </c>
      <c r="BH6" s="3" t="s">
        <v>48</v>
      </c>
      <c r="BI6" s="51">
        <f t="shared" si="19"/>
        <v>45128</v>
      </c>
      <c r="BJ6" s="38">
        <f t="shared" ca="1" si="20"/>
        <v>801</v>
      </c>
      <c r="BK6" s="38"/>
      <c r="BL6" s="38" t="str">
        <f t="shared" si="21"/>
        <v>No</v>
      </c>
      <c r="BM6" s="59">
        <f t="shared" si="15"/>
        <v>45639</v>
      </c>
      <c r="BN6" s="51">
        <f t="shared" si="22"/>
        <v>45128</v>
      </c>
      <c r="BO6" s="54">
        <f t="shared" si="16"/>
        <v>511</v>
      </c>
      <c r="BP6" s="3" t="s">
        <v>43</v>
      </c>
      <c r="BQ6" s="3" t="s">
        <v>24</v>
      </c>
      <c r="BR6" s="19" t="s">
        <v>303</v>
      </c>
      <c r="BS6" s="19" t="s">
        <v>2167</v>
      </c>
      <c r="BT6" s="54" t="str">
        <f t="shared" si="17"/>
        <v>Marketing</v>
      </c>
      <c r="BV6" s="3" t="s">
        <v>43</v>
      </c>
      <c r="BW6" s="3" t="s">
        <v>44</v>
      </c>
      <c r="BX6" s="12" t="s">
        <v>1627</v>
      </c>
      <c r="BY6" s="12" t="s">
        <v>683</v>
      </c>
      <c r="BZ6" s="54" t="str">
        <f t="shared" si="18"/>
        <v>Chinmaya Behura</v>
      </c>
      <c r="CB6" s="19" t="s">
        <v>428</v>
      </c>
      <c r="CC6" s="3" t="s">
        <v>44</v>
      </c>
      <c r="CD6" s="3" t="s">
        <v>45</v>
      </c>
      <c r="CE6" s="54" t="str">
        <v>Digital Marketer</v>
      </c>
      <c r="CG6" s="54" t="str">
        <f>IFERROR(_xlfn.XLOOKUP(Hiring!A6,Hiring!A6:A405,Hiring!B6:B405,,0),"Not Found")</f>
        <v>Puspita Pattnaik</v>
      </c>
    </row>
    <row r="7" spans="1:85" ht="24" customHeight="1">
      <c r="A7" s="31" t="s">
        <v>5761</v>
      </c>
      <c r="B7" s="87" t="s">
        <v>5797</v>
      </c>
      <c r="C7" s="28" t="s">
        <v>5</v>
      </c>
      <c r="D7" s="27" t="s">
        <v>5798</v>
      </c>
      <c r="F7" s="4">
        <v>2.9</v>
      </c>
      <c r="G7" s="52" t="str" cm="1">
        <f t="array" ref="G7">_xlfn.IFS(F7&gt;=4.5,"Excellent",AND(F7&gt;=3.5,F7&lt;=4.4),"Good",F7&lt;3.5,"Needs Improvement")</f>
        <v>Needs Improvement</v>
      </c>
      <c r="I7" s="14">
        <v>167.64</v>
      </c>
      <c r="J7" s="14">
        <v>168.44</v>
      </c>
      <c r="K7" s="54" t="str">
        <f t="shared" si="0"/>
        <v>Over Budget</v>
      </c>
      <c r="M7" s="18">
        <v>39365</v>
      </c>
      <c r="N7" s="18">
        <v>37894</v>
      </c>
      <c r="O7" s="54" t="str">
        <f t="shared" si="1"/>
        <v>Yes</v>
      </c>
      <c r="Q7" s="18">
        <v>7.23</v>
      </c>
      <c r="R7" s="56" t="str">
        <f t="shared" si="2"/>
        <v>Yes</v>
      </c>
      <c r="T7" s="18">
        <v>4.3099999999999996</v>
      </c>
      <c r="U7" s="57" t="str">
        <f t="shared" si="3"/>
        <v>No</v>
      </c>
      <c r="W7" s="18" t="s">
        <v>303</v>
      </c>
      <c r="X7" s="54" t="str">
        <f>VLOOKUP(W7,Employees!$A$1:$B$601,2,FALSE)</f>
        <v>Bikash Biswal</v>
      </c>
      <c r="Z7" s="4" t="s">
        <v>49</v>
      </c>
      <c r="AA7" s="54" t="str">
        <f t="shared" si="4"/>
        <v>0006</v>
      </c>
      <c r="AC7" s="4" t="s">
        <v>51</v>
      </c>
      <c r="AD7" s="54" t="str">
        <f t="shared" si="5"/>
        <v>Sales</v>
      </c>
      <c r="AF7" s="4" t="s">
        <v>50</v>
      </c>
      <c r="AG7" s="4" t="s">
        <v>51</v>
      </c>
      <c r="AH7" s="4" t="s">
        <v>53</v>
      </c>
      <c r="AI7" s="54" t="str">
        <f t="shared" si="6"/>
        <v>Tapas Sahu|Sales|BlueLotus IT</v>
      </c>
      <c r="AK7" s="4" t="s">
        <v>50</v>
      </c>
      <c r="AL7" s="38" t="str">
        <f t="shared" si="7"/>
        <v>T.S.</v>
      </c>
      <c r="AN7" s="18" t="s">
        <v>5031</v>
      </c>
      <c r="AO7" s="54" t="b">
        <f t="shared" si="8"/>
        <v>0</v>
      </c>
      <c r="AQ7" s="4" t="s">
        <v>50</v>
      </c>
      <c r="AR7" s="52" t="str">
        <f t="shared" si="9"/>
        <v>NO</v>
      </c>
      <c r="AT7" s="14" t="s">
        <v>1640</v>
      </c>
      <c r="AU7" s="54">
        <f t="shared" si="10"/>
        <v>17</v>
      </c>
      <c r="AW7" s="54">
        <f ca="1">DATEDIF(BI7,TODAY(),"Y")</f>
        <v>4</v>
      </c>
      <c r="AX7" s="54"/>
      <c r="AY7" s="41" t="s">
        <v>1042</v>
      </c>
      <c r="AZ7" s="44">
        <f t="shared" si="11"/>
        <v>45044</v>
      </c>
      <c r="BA7" s="54" t="str">
        <f t="shared" si="12"/>
        <v>4-2023</v>
      </c>
      <c r="BC7" s="15" t="s">
        <v>1644</v>
      </c>
      <c r="BD7" s="13">
        <f t="shared" si="13"/>
        <v>44475</v>
      </c>
      <c r="BE7" s="46" t="s">
        <v>1632</v>
      </c>
      <c r="BF7" s="54" t="str">
        <f t="shared" ca="1" si="14"/>
        <v>Overdue</v>
      </c>
      <c r="BH7" s="4" t="s">
        <v>54</v>
      </c>
      <c r="BI7" s="51">
        <f t="shared" si="19"/>
        <v>44773</v>
      </c>
      <c r="BJ7" s="38">
        <f t="shared" ca="1" si="20"/>
        <v>1055</v>
      </c>
      <c r="BK7" s="38"/>
      <c r="BL7" s="38" t="str">
        <f t="shared" si="21"/>
        <v>No</v>
      </c>
      <c r="BM7" s="59">
        <f t="shared" si="15"/>
        <v>45044</v>
      </c>
      <c r="BN7" s="51">
        <f t="shared" si="22"/>
        <v>44773</v>
      </c>
      <c r="BO7" s="54">
        <f t="shared" si="16"/>
        <v>271</v>
      </c>
      <c r="BP7" s="4" t="s">
        <v>49</v>
      </c>
      <c r="BQ7" s="4" t="s">
        <v>51</v>
      </c>
      <c r="BR7" s="18" t="s">
        <v>303</v>
      </c>
      <c r="BS7" s="18" t="s">
        <v>2172</v>
      </c>
      <c r="BT7" s="54" t="str">
        <f t="shared" si="17"/>
        <v>Marketing</v>
      </c>
      <c r="BV7" s="4" t="s">
        <v>49</v>
      </c>
      <c r="BW7" s="4" t="s">
        <v>50</v>
      </c>
      <c r="BX7" s="14" t="s">
        <v>1640</v>
      </c>
      <c r="BY7" s="14" t="s">
        <v>538</v>
      </c>
      <c r="BZ7" s="54" t="str">
        <f t="shared" si="18"/>
        <v>Tapas Behura</v>
      </c>
      <c r="CB7" s="18" t="s">
        <v>148</v>
      </c>
      <c r="CC7" s="4" t="s">
        <v>50</v>
      </c>
      <c r="CD7" s="4" t="s">
        <v>52</v>
      </c>
      <c r="CE7" s="54" t="str">
        <v>Product Owner</v>
      </c>
      <c r="CG7" s="54" t="str">
        <f>IFERROR(_xlfn.XLOOKUP(Hiring!A7,Hiring!A7:A406,Hiring!B7:B406,,0),"Not Found")</f>
        <v>Soumya Senapati</v>
      </c>
    </row>
    <row r="8" spans="1:85" ht="24" customHeight="1">
      <c r="A8" s="22"/>
      <c r="B8" s="23"/>
      <c r="C8" s="92" t="s">
        <v>26</v>
      </c>
      <c r="D8" s="93">
        <f>SUMIFS(KPL_Summary!J4:J75,KPL_Summary!C4:C75,'All answers'!C8)</f>
        <v>65260.4</v>
      </c>
      <c r="F8" s="3">
        <v>0</v>
      </c>
      <c r="G8" s="52" t="str" cm="1">
        <f t="array" ref="G8">_xlfn.IFS(F8&gt;=4.5,"Excellent",AND(F8&gt;=3.5,F8&lt;=4.4),"Good",F8&lt;3.5,"Needs Improvement")</f>
        <v>Needs Improvement</v>
      </c>
      <c r="I8" s="12">
        <v>78.19</v>
      </c>
      <c r="J8" s="12">
        <v>69.7</v>
      </c>
      <c r="K8" s="54" t="str">
        <f t="shared" si="0"/>
        <v>Within Budget</v>
      </c>
      <c r="M8" s="19">
        <v>170751</v>
      </c>
      <c r="N8" s="19">
        <v>164283</v>
      </c>
      <c r="O8" s="54" t="str">
        <f t="shared" si="1"/>
        <v>Yes</v>
      </c>
      <c r="Q8" s="19">
        <v>11.44</v>
      </c>
      <c r="R8" s="56" t="str">
        <f t="shared" si="2"/>
        <v>Yes</v>
      </c>
      <c r="T8" s="19">
        <v>6.06</v>
      </c>
      <c r="U8" s="57" t="str">
        <f t="shared" si="3"/>
        <v>No</v>
      </c>
      <c r="W8" s="19" t="s">
        <v>303</v>
      </c>
      <c r="X8" s="54" t="str">
        <f>VLOOKUP(W8,Employees!$A$1:$B$601,2,FALSE)</f>
        <v>Bikash Biswal</v>
      </c>
      <c r="Z8" s="3" t="s">
        <v>55</v>
      </c>
      <c r="AA8" s="54" t="str">
        <f t="shared" si="4"/>
        <v>0007</v>
      </c>
      <c r="AC8" s="3" t="s">
        <v>16</v>
      </c>
      <c r="AD8" s="54" t="str">
        <f t="shared" si="5"/>
        <v>Devops</v>
      </c>
      <c r="AF8" s="3" t="s">
        <v>56</v>
      </c>
      <c r="AG8" s="3" t="s">
        <v>16</v>
      </c>
      <c r="AH8" s="3" t="s">
        <v>46</v>
      </c>
      <c r="AI8" s="54" t="str">
        <f t="shared" si="6"/>
        <v>Jyotirmayee Ratha|DevOps|SambalpurNet</v>
      </c>
      <c r="AK8" s="3" t="s">
        <v>56</v>
      </c>
      <c r="AL8" s="38" t="str">
        <f t="shared" si="7"/>
        <v>J.R.</v>
      </c>
      <c r="AN8" s="19" t="s">
        <v>5019</v>
      </c>
      <c r="AO8" s="54" t="str">
        <f t="shared" si="8"/>
        <v>Linkedln</v>
      </c>
      <c r="AQ8" s="3" t="s">
        <v>56</v>
      </c>
      <c r="AR8" s="52" t="str">
        <f t="shared" si="9"/>
        <v>NO</v>
      </c>
      <c r="AT8" s="12" t="s">
        <v>1646</v>
      </c>
      <c r="AU8" s="54">
        <f t="shared" si="10"/>
        <v>16</v>
      </c>
      <c r="AW8" s="54">
        <f ca="1">DATEDIF(BI8,TODAY(),"Y")</f>
        <v>7</v>
      </c>
      <c r="AX8" s="54"/>
      <c r="AY8" s="40" t="s">
        <v>1867</v>
      </c>
      <c r="AZ8" s="44">
        <f t="shared" si="11"/>
        <v>44958</v>
      </c>
      <c r="BA8" s="54" t="str">
        <f t="shared" si="12"/>
        <v>2-2023</v>
      </c>
      <c r="BC8" s="13" t="s">
        <v>1648</v>
      </c>
      <c r="BD8" s="13">
        <f t="shared" si="13"/>
        <v>44510</v>
      </c>
      <c r="BE8" s="45" t="s">
        <v>1625</v>
      </c>
      <c r="BF8" s="54" t="str">
        <f t="shared" ca="1" si="14"/>
        <v>Overdue</v>
      </c>
      <c r="BH8" s="3" t="s">
        <v>59</v>
      </c>
      <c r="BI8" s="51">
        <f t="shared" si="19"/>
        <v>43462</v>
      </c>
      <c r="BJ8" s="38">
        <f t="shared" ca="1" si="20"/>
        <v>1991</v>
      </c>
      <c r="BK8" s="38"/>
      <c r="BL8" s="38" t="str">
        <f t="shared" si="21"/>
        <v>No</v>
      </c>
      <c r="BM8" s="59">
        <f t="shared" si="15"/>
        <v>44958</v>
      </c>
      <c r="BN8" s="51">
        <f t="shared" si="22"/>
        <v>43462</v>
      </c>
      <c r="BO8" s="54">
        <f t="shared" si="16"/>
        <v>1496</v>
      </c>
      <c r="BP8" s="3" t="s">
        <v>55</v>
      </c>
      <c r="BQ8" s="3" t="s">
        <v>16</v>
      </c>
      <c r="BR8" s="19" t="s">
        <v>303</v>
      </c>
      <c r="BS8" s="19" t="s">
        <v>2176</v>
      </c>
      <c r="BT8" s="54" t="str">
        <f t="shared" si="17"/>
        <v>Marketing</v>
      </c>
      <c r="BV8" s="3" t="s">
        <v>55</v>
      </c>
      <c r="BW8" s="3" t="s">
        <v>56</v>
      </c>
      <c r="BX8" s="12" t="s">
        <v>1646</v>
      </c>
      <c r="BY8" s="12" t="s">
        <v>382</v>
      </c>
      <c r="BZ8" s="54" t="str">
        <f t="shared" si="18"/>
        <v>Barsha Mahapatra</v>
      </c>
      <c r="CB8" s="19" t="s">
        <v>5033</v>
      </c>
      <c r="CC8" s="3" t="s">
        <v>56</v>
      </c>
      <c r="CD8" s="3" t="s">
        <v>17</v>
      </c>
      <c r="CE8" s="54" t="str">
        <v>Not Found</v>
      </c>
      <c r="CG8" s="54" t="str">
        <f>IFERROR(_xlfn.XLOOKUP(Hiring!A8,Hiring!A8:A407,Hiring!B8:B407,,0),"Not Found")</f>
        <v>Satyajit Padhi</v>
      </c>
    </row>
    <row r="9" spans="1:85" ht="30" customHeight="1">
      <c r="A9" s="30" t="s">
        <v>5799</v>
      </c>
      <c r="B9" s="86" t="s">
        <v>5800</v>
      </c>
      <c r="C9" s="94">
        <f>SUMIFS(Employees!I:I,Employees!E:E,"Data Science",Employees!H:H,"Bhubaneswar",Employees!I:I,"&gt;50000")</f>
        <v>3776916</v>
      </c>
      <c r="F9" s="4">
        <v>2.2999999999999998</v>
      </c>
      <c r="G9" s="52" t="str" cm="1">
        <f t="array" ref="G9">_xlfn.IFS(F9&gt;=4.5,"Excellent",AND(F9&gt;=3.5,F9&lt;=4.4),"Good",F9&lt;3.5,"Needs Improvement")</f>
        <v>Needs Improvement</v>
      </c>
      <c r="I9" s="14">
        <v>101.73</v>
      </c>
      <c r="J9" s="14">
        <v>115.49</v>
      </c>
      <c r="K9" s="54" t="str">
        <f t="shared" si="0"/>
        <v>Over Budget</v>
      </c>
      <c r="M9" s="18"/>
      <c r="N9" s="18">
        <v>86255</v>
      </c>
      <c r="O9" s="54" t="str">
        <f t="shared" si="1"/>
        <v>Yes</v>
      </c>
      <c r="Q9" s="18">
        <v>6.6</v>
      </c>
      <c r="R9" s="56" t="str">
        <f t="shared" si="2"/>
        <v>Yes</v>
      </c>
      <c r="T9" s="18">
        <v>4.1399999999999997</v>
      </c>
      <c r="U9" s="57" t="str">
        <f t="shared" si="3"/>
        <v>No</v>
      </c>
      <c r="W9" s="18" t="s">
        <v>303</v>
      </c>
      <c r="X9" s="54" t="str">
        <f>VLOOKUP(W9,Employees!$A$1:$B$601,2,FALSE)</f>
        <v>Bikash Biswal</v>
      </c>
      <c r="Z9" s="4" t="s">
        <v>60</v>
      </c>
      <c r="AA9" s="54" t="str">
        <f t="shared" si="4"/>
        <v>0008</v>
      </c>
      <c r="AC9" s="4" t="s">
        <v>63</v>
      </c>
      <c r="AD9" s="54" t="str">
        <f t="shared" si="5"/>
        <v>Product</v>
      </c>
      <c r="AF9" s="4" t="s">
        <v>61</v>
      </c>
      <c r="AG9" s="4" t="s">
        <v>63</v>
      </c>
      <c r="AH9" s="4" t="s">
        <v>65</v>
      </c>
      <c r="AI9" s="54" t="str">
        <f t="shared" si="6"/>
        <v>Tanmay Nanda|Product|TributeAI</v>
      </c>
      <c r="AK9" s="4" t="s">
        <v>61</v>
      </c>
      <c r="AL9" s="38" t="str">
        <f t="shared" si="7"/>
        <v>T.N.</v>
      </c>
      <c r="AN9" s="18" t="s">
        <v>5016</v>
      </c>
      <c r="AO9" s="54" t="b">
        <f t="shared" si="8"/>
        <v>0</v>
      </c>
      <c r="AQ9" s="4" t="s">
        <v>61</v>
      </c>
      <c r="AR9" s="52" t="str">
        <f t="shared" si="9"/>
        <v>NO</v>
      </c>
      <c r="AT9" s="14" t="s">
        <v>1640</v>
      </c>
      <c r="AU9" s="54">
        <f t="shared" si="10"/>
        <v>17</v>
      </c>
      <c r="AW9" s="54">
        <f ca="1">DATEDIF(BI9,TODAY(),"Y")</f>
        <v>3</v>
      </c>
      <c r="AX9" s="54"/>
      <c r="AY9" s="41" t="s">
        <v>2211</v>
      </c>
      <c r="AZ9" s="44">
        <f t="shared" si="11"/>
        <v>45558</v>
      </c>
      <c r="BA9" s="54" t="str">
        <f t="shared" si="12"/>
        <v>9-2024</v>
      </c>
      <c r="BC9" s="15" t="s">
        <v>1068</v>
      </c>
      <c r="BD9" s="13">
        <f t="shared" si="13"/>
        <v>45390</v>
      </c>
      <c r="BE9" s="46" t="s">
        <v>1625</v>
      </c>
      <c r="BF9" s="54" t="str">
        <f t="shared" ca="1" si="14"/>
        <v>Overdue</v>
      </c>
      <c r="BH9" s="4" t="s">
        <v>66</v>
      </c>
      <c r="BI9" s="51">
        <f t="shared" si="19"/>
        <v>44957</v>
      </c>
      <c r="BJ9" s="38">
        <f t="shared" ca="1" si="20"/>
        <v>924</v>
      </c>
      <c r="BK9" s="38"/>
      <c r="BL9" s="38" t="str">
        <f t="shared" si="21"/>
        <v>Q1</v>
      </c>
      <c r="BM9" s="59">
        <f t="shared" si="15"/>
        <v>45558</v>
      </c>
      <c r="BN9" s="51">
        <f t="shared" si="22"/>
        <v>44957</v>
      </c>
      <c r="BO9" s="54">
        <f t="shared" si="16"/>
        <v>601</v>
      </c>
      <c r="BP9" s="4" t="s">
        <v>60</v>
      </c>
      <c r="BQ9" s="4" t="s">
        <v>63</v>
      </c>
      <c r="BR9" s="18" t="s">
        <v>303</v>
      </c>
      <c r="BS9" s="18" t="s">
        <v>2180</v>
      </c>
      <c r="BT9" s="54" t="str">
        <f t="shared" si="17"/>
        <v>Marketing</v>
      </c>
      <c r="BV9" s="4" t="s">
        <v>60</v>
      </c>
      <c r="BW9" s="4" t="s">
        <v>61</v>
      </c>
      <c r="BX9" s="14" t="s">
        <v>1640</v>
      </c>
      <c r="BY9" s="14" t="s">
        <v>755</v>
      </c>
      <c r="BZ9" s="54" t="str">
        <f t="shared" si="18"/>
        <v>Tapas Parida</v>
      </c>
      <c r="CB9" s="18" t="s">
        <v>775</v>
      </c>
      <c r="CC9" s="4" t="s">
        <v>61</v>
      </c>
      <c r="CD9" s="4" t="s">
        <v>64</v>
      </c>
      <c r="CE9" s="54" t="str">
        <v>BI Developer</v>
      </c>
      <c r="CG9" s="54" t="str">
        <f>IFERROR(_xlfn.XLOOKUP(Hiring!A9,Hiring!A9:A408,Hiring!B9:B408,,0),"Not Found")</f>
        <v>Sudhansu Biswal</v>
      </c>
    </row>
    <row r="10" spans="1:85" ht="30.75" customHeight="1">
      <c r="A10" s="31" t="s">
        <v>5801</v>
      </c>
      <c r="B10" s="87" t="s">
        <v>5802</v>
      </c>
      <c r="C10" s="90">
        <f>COUNTIFS(Employees!M:M,"Active",Employees!L:L,"&gt;=4.5")</f>
        <v>70</v>
      </c>
      <c r="F10" s="3">
        <v>3.2</v>
      </c>
      <c r="G10" s="52" t="str" cm="1">
        <f t="array" ref="G10">_xlfn.IFS(F10&gt;=4.5,"Excellent",AND(F10&gt;=3.5,F10&lt;=4.4),"Good",F10&lt;3.5,"Needs Improvement")</f>
        <v>Needs Improvement</v>
      </c>
      <c r="I10" s="12">
        <v>96.83</v>
      </c>
      <c r="J10" s="12">
        <v>89.11</v>
      </c>
      <c r="K10" s="54" t="str">
        <f t="shared" si="0"/>
        <v>Within Budget</v>
      </c>
      <c r="M10" s="19">
        <v>25381</v>
      </c>
      <c r="N10" s="19">
        <v>24144</v>
      </c>
      <c r="O10" s="54" t="str">
        <f t="shared" si="1"/>
        <v>Yes</v>
      </c>
      <c r="Q10" s="19">
        <v>9.8699999999999992</v>
      </c>
      <c r="R10" s="56" t="str">
        <f t="shared" si="2"/>
        <v>Yes</v>
      </c>
      <c r="T10" s="19">
        <v>8.92</v>
      </c>
      <c r="U10" s="57" t="str">
        <f t="shared" si="3"/>
        <v>No</v>
      </c>
      <c r="W10" s="19" t="s">
        <v>303</v>
      </c>
      <c r="X10" s="54" t="str">
        <f>VLOOKUP(W10,Employees!$A$1:$B$601,2,FALSE)</f>
        <v>Bikash Biswal</v>
      </c>
      <c r="Z10" s="3" t="s">
        <v>67</v>
      </c>
      <c r="AA10" s="54" t="str">
        <f t="shared" si="4"/>
        <v>0009</v>
      </c>
      <c r="AC10" s="3" t="s">
        <v>51</v>
      </c>
      <c r="AD10" s="54" t="str">
        <f t="shared" si="5"/>
        <v>Sales</v>
      </c>
      <c r="AF10" s="3" t="s">
        <v>68</v>
      </c>
      <c r="AG10" s="3" t="s">
        <v>51</v>
      </c>
      <c r="AH10" s="3" t="s">
        <v>70</v>
      </c>
      <c r="AI10" s="54" t="str">
        <f t="shared" si="6"/>
        <v>Bikash Routray|Sales|OdishaCode Labs</v>
      </c>
      <c r="AK10" s="3" t="s">
        <v>68</v>
      </c>
      <c r="AL10" s="38" t="str">
        <f t="shared" si="7"/>
        <v>B.R.</v>
      </c>
      <c r="AN10" s="19" t="s">
        <v>5023</v>
      </c>
      <c r="AO10" s="54" t="str">
        <f t="shared" si="8"/>
        <v>Linkedln</v>
      </c>
      <c r="AQ10" s="3" t="s">
        <v>68</v>
      </c>
      <c r="AR10" s="52" t="str">
        <f t="shared" si="9"/>
        <v>NO</v>
      </c>
      <c r="AT10" s="12" t="s">
        <v>1653</v>
      </c>
      <c r="AU10" s="54">
        <f t="shared" si="10"/>
        <v>19</v>
      </c>
      <c r="AW10" s="54">
        <f ca="1">DATEDIF(BI10,TODAY(),"Y")</f>
        <v>7</v>
      </c>
      <c r="AX10" s="54"/>
      <c r="AY10" s="40" t="s">
        <v>1892</v>
      </c>
      <c r="AZ10" s="44">
        <f t="shared" si="11"/>
        <v>45064</v>
      </c>
      <c r="BA10" s="54" t="str">
        <f t="shared" si="12"/>
        <v>5-2023</v>
      </c>
      <c r="BC10" s="13" t="s">
        <v>1655</v>
      </c>
      <c r="BD10" s="13">
        <f t="shared" si="13"/>
        <v>44944</v>
      </c>
      <c r="BE10" s="45" t="s">
        <v>1656</v>
      </c>
      <c r="BF10" s="54" t="str">
        <f t="shared" ca="1" si="14"/>
        <v>Overdue</v>
      </c>
      <c r="BH10" s="3" t="s">
        <v>71</v>
      </c>
      <c r="BI10" s="51">
        <f t="shared" si="19"/>
        <v>43418</v>
      </c>
      <c r="BJ10" s="38">
        <f t="shared" ca="1" si="20"/>
        <v>2023</v>
      </c>
      <c r="BK10" s="38"/>
      <c r="BL10" s="38" t="str">
        <f t="shared" si="21"/>
        <v>No</v>
      </c>
      <c r="BM10" s="59">
        <f t="shared" si="15"/>
        <v>45064</v>
      </c>
      <c r="BN10" s="51">
        <f t="shared" si="22"/>
        <v>43418</v>
      </c>
      <c r="BO10" s="54">
        <f t="shared" si="16"/>
        <v>1646</v>
      </c>
      <c r="BP10" s="3" t="s">
        <v>67</v>
      </c>
      <c r="BQ10" s="3" t="s">
        <v>51</v>
      </c>
      <c r="BR10" s="19" t="s">
        <v>303</v>
      </c>
      <c r="BS10" s="19" t="s">
        <v>2183</v>
      </c>
      <c r="BT10" s="54" t="str">
        <f t="shared" si="17"/>
        <v>Marketing</v>
      </c>
      <c r="BV10" s="3" t="s">
        <v>67</v>
      </c>
      <c r="BW10" s="3" t="s">
        <v>68</v>
      </c>
      <c r="BX10" s="12" t="s">
        <v>1653</v>
      </c>
      <c r="BY10" s="12" t="s">
        <v>1182</v>
      </c>
      <c r="BZ10" s="54" t="str">
        <f t="shared" si="18"/>
        <v>Alka Prusty</v>
      </c>
      <c r="CB10" s="19" t="s">
        <v>5037</v>
      </c>
      <c r="CC10" s="3" t="s">
        <v>68</v>
      </c>
      <c r="CD10" s="3" t="s">
        <v>69</v>
      </c>
      <c r="CE10" s="54" t="str">
        <v>Not Found</v>
      </c>
      <c r="CG10" s="54" t="str">
        <f>IFERROR(_xlfn.XLOOKUP(Hiring!A10,Hiring!A10:A409,Hiring!B10:B409,,0),"Not Found")</f>
        <v>Smita Sahu</v>
      </c>
    </row>
    <row r="11" spans="1:85" ht="23.25" customHeight="1">
      <c r="A11" s="30" t="s">
        <v>5803</v>
      </c>
      <c r="B11" s="86" t="s">
        <v>5804</v>
      </c>
      <c r="C11" s="95" t="str">
        <f>INDEX(Projects!B2:B201,MATCH(MAX(Projects!F2:F201),Projects!F2:F201,0))</f>
        <v>Analytics Dashboard</v>
      </c>
      <c r="F11" s="4">
        <v>0</v>
      </c>
      <c r="G11" s="52" t="str" cm="1">
        <f t="array" ref="G11">_xlfn.IFS(F11&gt;=4.5,"Excellent",AND(F11&gt;=3.5,F11&lt;=4.4),"Good",F11&lt;3.5,"Needs Improvement")</f>
        <v>Needs Improvement</v>
      </c>
      <c r="I11" s="14">
        <v>63.75</v>
      </c>
      <c r="J11" s="14">
        <v>59.08</v>
      </c>
      <c r="K11" s="54" t="str">
        <f t="shared" si="0"/>
        <v>Within Budget</v>
      </c>
      <c r="M11" s="18"/>
      <c r="N11" s="18">
        <v>191563</v>
      </c>
      <c r="O11" s="54" t="str">
        <f t="shared" si="1"/>
        <v>Yes</v>
      </c>
      <c r="Q11" s="18">
        <v>6.69</v>
      </c>
      <c r="R11" s="56" t="str">
        <f t="shared" si="2"/>
        <v>Yes</v>
      </c>
      <c r="T11" s="18">
        <v>6.76</v>
      </c>
      <c r="U11" s="57" t="str">
        <f t="shared" si="3"/>
        <v>No</v>
      </c>
      <c r="W11" s="18" t="s">
        <v>303</v>
      </c>
      <c r="X11" s="54" t="str">
        <f>VLOOKUP(W11,Employees!$A$1:$B$601,2,FALSE)</f>
        <v>Bikash Biswal</v>
      </c>
      <c r="Z11" s="4" t="s">
        <v>72</v>
      </c>
      <c r="AA11" s="54" t="str">
        <f t="shared" si="4"/>
        <v>0010</v>
      </c>
      <c r="AC11" s="4" t="s">
        <v>24</v>
      </c>
      <c r="AD11" s="54" t="str">
        <f t="shared" si="5"/>
        <v>Design</v>
      </c>
      <c r="AF11" s="4" t="s">
        <v>73</v>
      </c>
      <c r="AG11" s="4" t="s">
        <v>24</v>
      </c>
      <c r="AH11" s="4" t="s">
        <v>75</v>
      </c>
      <c r="AI11" s="54" t="str">
        <f t="shared" si="6"/>
        <v>Sudhansu Dhal|Design|KalingaTech Pvt Ltd</v>
      </c>
      <c r="AK11" s="4" t="s">
        <v>73</v>
      </c>
      <c r="AL11" s="38" t="str">
        <f t="shared" si="7"/>
        <v>S.D.</v>
      </c>
      <c r="AN11" s="18" t="s">
        <v>5025</v>
      </c>
      <c r="AO11" s="54" t="b">
        <f t="shared" si="8"/>
        <v>0</v>
      </c>
      <c r="AQ11" s="4" t="s">
        <v>73</v>
      </c>
      <c r="AR11" s="52" t="str">
        <f t="shared" si="9"/>
        <v>NO</v>
      </c>
      <c r="AT11" s="14" t="s">
        <v>1609</v>
      </c>
      <c r="AU11" s="54">
        <f t="shared" si="10"/>
        <v>22</v>
      </c>
      <c r="AW11" s="54">
        <f ca="1">DATEDIF(BI11,TODAY(),"Y")</f>
        <v>4</v>
      </c>
      <c r="AX11" s="54"/>
      <c r="AY11" s="41" t="s">
        <v>5041</v>
      </c>
      <c r="AZ11" s="44">
        <f t="shared" si="11"/>
        <v>45532</v>
      </c>
      <c r="BA11" s="54" t="str">
        <f t="shared" si="12"/>
        <v>8-2024</v>
      </c>
      <c r="BC11" s="15" t="s">
        <v>1661</v>
      </c>
      <c r="BD11" s="13">
        <f t="shared" si="13"/>
        <v>45632</v>
      </c>
      <c r="BE11" s="46" t="s">
        <v>1625</v>
      </c>
      <c r="BF11" s="54" t="str">
        <f t="shared" ca="1" si="14"/>
        <v>Overdue</v>
      </c>
      <c r="BH11" s="4" t="s">
        <v>76</v>
      </c>
      <c r="BI11" s="51">
        <f t="shared" si="19"/>
        <v>44613</v>
      </c>
      <c r="BJ11" s="38">
        <f t="shared" ca="1" si="20"/>
        <v>1170</v>
      </c>
      <c r="BK11" s="38"/>
      <c r="BL11" s="38" t="str">
        <f t="shared" si="21"/>
        <v>Q1</v>
      </c>
      <c r="BM11" s="59">
        <f t="shared" si="15"/>
        <v>45532</v>
      </c>
      <c r="BN11" s="51">
        <f t="shared" si="22"/>
        <v>44613</v>
      </c>
      <c r="BO11" s="54">
        <f t="shared" si="16"/>
        <v>919</v>
      </c>
      <c r="BP11" s="4" t="s">
        <v>72</v>
      </c>
      <c r="BQ11" s="4" t="s">
        <v>24</v>
      </c>
      <c r="BR11" s="18" t="s">
        <v>303</v>
      </c>
      <c r="BS11" s="18" t="s">
        <v>2188</v>
      </c>
      <c r="BT11" s="54" t="str">
        <f t="shared" si="17"/>
        <v>Marketing</v>
      </c>
      <c r="BV11" s="4" t="s">
        <v>72</v>
      </c>
      <c r="BW11" s="4" t="s">
        <v>73</v>
      </c>
      <c r="BX11" s="14" t="s">
        <v>1609</v>
      </c>
      <c r="BY11" s="14" t="s">
        <v>1398</v>
      </c>
      <c r="BZ11" s="54" t="str">
        <f t="shared" si="18"/>
        <v>Barsha Pattnaik</v>
      </c>
      <c r="CB11" s="18" t="s">
        <v>5039</v>
      </c>
      <c r="CC11" s="4" t="s">
        <v>73</v>
      </c>
      <c r="CD11" s="4" t="s">
        <v>74</v>
      </c>
      <c r="CE11" s="54" t="str">
        <v>Not Found</v>
      </c>
      <c r="CG11" s="54" t="str">
        <f>IFERROR(_xlfn.XLOOKUP(Hiring!A11,Hiring!A11:A410,Hiring!B11:B410,,0),"Not Found")</f>
        <v>Nirmal Ratha</v>
      </c>
    </row>
    <row r="12" spans="1:85" ht="31.5" customHeight="1">
      <c r="A12" s="31" t="s">
        <v>5805</v>
      </c>
      <c r="B12" s="87" t="s">
        <v>5806</v>
      </c>
      <c r="C12" s="96">
        <f>AVERAGEIF(Attendance!F:F,"&gt;9")</f>
        <v>10.241798418972332</v>
      </c>
      <c r="F12" s="3">
        <v>4.7</v>
      </c>
      <c r="G12" s="52" t="str" cm="1">
        <f t="array" ref="G12">_xlfn.IFS(F12&gt;=4.5,"Excellent",AND(F12&gt;=3.5,F12&lt;=4.4),"Good",F12&lt;3.5,"Needs Improvement")</f>
        <v>Excellent</v>
      </c>
      <c r="I12" s="12">
        <v>16.57</v>
      </c>
      <c r="J12" s="12">
        <v>20.440000000000001</v>
      </c>
      <c r="K12" s="54" t="str">
        <f t="shared" si="0"/>
        <v>Over Budget</v>
      </c>
      <c r="M12" s="19">
        <v>160467</v>
      </c>
      <c r="N12" s="19">
        <v>170124</v>
      </c>
      <c r="O12" s="54" t="str">
        <f t="shared" si="1"/>
        <v>Yes</v>
      </c>
      <c r="Q12" s="19">
        <v>9.3800000000000008</v>
      </c>
      <c r="R12" s="56" t="str">
        <f t="shared" si="2"/>
        <v>Yes</v>
      </c>
      <c r="T12" s="19">
        <v>9.14</v>
      </c>
      <c r="U12" s="57" t="str">
        <f t="shared" si="3"/>
        <v>No</v>
      </c>
      <c r="W12" s="19" t="s">
        <v>303</v>
      </c>
      <c r="X12" s="54" t="str">
        <f>VLOOKUP(W12,Employees!$A$1:$B$601,2,FALSE)</f>
        <v>Bikash Biswal</v>
      </c>
      <c r="Z12" s="3" t="s">
        <v>77</v>
      </c>
      <c r="AA12" s="54" t="str">
        <f t="shared" si="4"/>
        <v>0011</v>
      </c>
      <c r="AC12" s="3" t="s">
        <v>39</v>
      </c>
      <c r="AD12" s="54" t="str">
        <f t="shared" si="5"/>
        <v>Engineering</v>
      </c>
      <c r="AF12" s="3" t="s">
        <v>78</v>
      </c>
      <c r="AG12" s="3" t="s">
        <v>39</v>
      </c>
      <c r="AH12" s="3" t="s">
        <v>32</v>
      </c>
      <c r="AI12" s="54" t="str">
        <f t="shared" si="6"/>
        <v>Lipsa Prusty|Engineering|NilGiri Digitals</v>
      </c>
      <c r="AK12" s="3" t="s">
        <v>78</v>
      </c>
      <c r="AL12" s="38" t="str">
        <f t="shared" si="7"/>
        <v>L.P.</v>
      </c>
      <c r="AN12" s="19" t="s">
        <v>5025</v>
      </c>
      <c r="AO12" s="54" t="b">
        <f t="shared" si="8"/>
        <v>0</v>
      </c>
      <c r="AQ12" s="3" t="s">
        <v>78</v>
      </c>
      <c r="AR12" s="52" t="str">
        <f t="shared" si="9"/>
        <v>NO</v>
      </c>
      <c r="AT12" s="12" t="s">
        <v>1663</v>
      </c>
      <c r="AU12" s="54">
        <f t="shared" si="10"/>
        <v>18</v>
      </c>
      <c r="AW12" s="54">
        <f ca="1">DATEDIF(BI12,TODAY(),"Y")</f>
        <v>6</v>
      </c>
      <c r="AX12" s="54"/>
      <c r="AY12" s="40" t="s">
        <v>5043</v>
      </c>
      <c r="AZ12" s="44">
        <f t="shared" si="11"/>
        <v>45578</v>
      </c>
      <c r="BA12" s="54" t="str">
        <f t="shared" si="12"/>
        <v>10-2024</v>
      </c>
      <c r="BC12" s="13" t="s">
        <v>1666</v>
      </c>
      <c r="BD12" s="13">
        <f t="shared" si="13"/>
        <v>45146</v>
      </c>
      <c r="BE12" s="45" t="s">
        <v>1632</v>
      </c>
      <c r="BF12" s="54" t="str">
        <f t="shared" ca="1" si="14"/>
        <v>Overdue</v>
      </c>
      <c r="BH12" s="3" t="s">
        <v>80</v>
      </c>
      <c r="BI12" s="51">
        <f t="shared" si="19"/>
        <v>43912</v>
      </c>
      <c r="BJ12" s="38">
        <f t="shared" ca="1" si="20"/>
        <v>1670</v>
      </c>
      <c r="BK12" s="38"/>
      <c r="BL12" s="38" t="str">
        <f t="shared" si="21"/>
        <v>Q1</v>
      </c>
      <c r="BM12" s="59">
        <f t="shared" si="15"/>
        <v>45578</v>
      </c>
      <c r="BN12" s="51">
        <f t="shared" si="22"/>
        <v>43912</v>
      </c>
      <c r="BO12" s="54">
        <f t="shared" si="16"/>
        <v>1666</v>
      </c>
      <c r="BP12" s="3" t="s">
        <v>77</v>
      </c>
      <c r="BQ12" s="3" t="s">
        <v>39</v>
      </c>
      <c r="BR12" s="19" t="s">
        <v>303</v>
      </c>
      <c r="BS12" s="19" t="s">
        <v>2192</v>
      </c>
      <c r="BT12" s="54" t="str">
        <f t="shared" si="17"/>
        <v>Marketing</v>
      </c>
      <c r="BV12" s="3" t="s">
        <v>77</v>
      </c>
      <c r="BW12" s="3" t="s">
        <v>78</v>
      </c>
      <c r="BX12" s="12" t="s">
        <v>1663</v>
      </c>
      <c r="BY12" s="12" t="s">
        <v>885</v>
      </c>
      <c r="BZ12" s="54" t="str">
        <f t="shared" si="18"/>
        <v>Rajan Routray</v>
      </c>
      <c r="CB12" s="19" t="s">
        <v>203</v>
      </c>
      <c r="CC12" s="3" t="s">
        <v>78</v>
      </c>
      <c r="CD12" s="3" t="s">
        <v>79</v>
      </c>
      <c r="CE12" s="54" t="str">
        <v>HR Manager</v>
      </c>
      <c r="CG12" s="54" t="str">
        <f>IFERROR(_xlfn.XLOOKUP(Hiring!A12,Hiring!A12:A411,Hiring!B12:B411,,0),"Not Found")</f>
        <v>Nirmal Padhi</v>
      </c>
    </row>
    <row r="13" spans="1:85">
      <c r="B13" s="100"/>
      <c r="F13" s="4">
        <v>2.6</v>
      </c>
      <c r="G13" s="52" t="str" cm="1">
        <f t="array" ref="G13">_xlfn.IFS(F13&gt;=4.5,"Excellent",AND(F13&gt;=3.5,F13&lt;=4.4),"Good",F13&lt;3.5,"Needs Improvement")</f>
        <v>Needs Improvement</v>
      </c>
      <c r="I13" s="14">
        <v>10.59</v>
      </c>
      <c r="J13" s="14">
        <v>10.16</v>
      </c>
      <c r="K13" s="54" t="str">
        <f t="shared" si="0"/>
        <v>Within Budget</v>
      </c>
      <c r="M13" s="18">
        <v>122402</v>
      </c>
      <c r="N13" s="18">
        <v>108417</v>
      </c>
      <c r="O13" s="54" t="str">
        <f t="shared" si="1"/>
        <v>Yes</v>
      </c>
      <c r="Q13" s="18">
        <v>10.029999999999999</v>
      </c>
      <c r="R13" s="56" t="str">
        <f t="shared" si="2"/>
        <v>Yes</v>
      </c>
      <c r="T13" s="18">
        <v>7.43</v>
      </c>
      <c r="U13" s="57" t="str">
        <f t="shared" si="3"/>
        <v>No</v>
      </c>
      <c r="W13" s="18" t="s">
        <v>303</v>
      </c>
      <c r="X13" s="54" t="str">
        <f>VLOOKUP(W13,Employees!$A$1:$B$601,2,FALSE)</f>
        <v>Bikash Biswal</v>
      </c>
      <c r="Z13" s="4" t="s">
        <v>81</v>
      </c>
      <c r="AA13" s="54" t="str">
        <f t="shared" si="4"/>
        <v>0012</v>
      </c>
      <c r="AC13" s="4" t="s">
        <v>84</v>
      </c>
      <c r="AD13" s="54" t="str">
        <f t="shared" si="5"/>
        <v>Hr</v>
      </c>
      <c r="AF13" s="4" t="s">
        <v>82</v>
      </c>
      <c r="AG13" s="4" t="s">
        <v>84</v>
      </c>
      <c r="AH13" s="4" t="s">
        <v>65</v>
      </c>
      <c r="AI13" s="54" t="str">
        <f t="shared" si="6"/>
        <v>Puspita Mahapatra|HR|TributeAI</v>
      </c>
      <c r="AK13" s="4" t="s">
        <v>82</v>
      </c>
      <c r="AL13" s="38" t="str">
        <f t="shared" si="7"/>
        <v>P.M.</v>
      </c>
      <c r="AN13" s="18" t="s">
        <v>5023</v>
      </c>
      <c r="AO13" s="54" t="str">
        <f t="shared" si="8"/>
        <v>Linkedln</v>
      </c>
      <c r="AQ13" s="4" t="s">
        <v>82</v>
      </c>
      <c r="AR13" s="52" t="str">
        <f t="shared" si="9"/>
        <v>NO</v>
      </c>
      <c r="AT13" s="14" t="s">
        <v>1640</v>
      </c>
      <c r="AU13" s="54">
        <f t="shared" si="10"/>
        <v>17</v>
      </c>
      <c r="AW13" s="54">
        <f ca="1">DATEDIF(BI13,TODAY(),"Y")</f>
        <v>2</v>
      </c>
      <c r="AX13" s="54"/>
      <c r="AY13" s="41" t="s">
        <v>5046</v>
      </c>
      <c r="AZ13" s="44">
        <f t="shared" si="11"/>
        <v>45585</v>
      </c>
      <c r="BA13" s="54" t="str">
        <f t="shared" si="12"/>
        <v>10-2024</v>
      </c>
      <c r="BC13" s="15" t="s">
        <v>1670</v>
      </c>
      <c r="BD13" s="13">
        <f t="shared" si="13"/>
        <v>45093</v>
      </c>
      <c r="BE13" s="46" t="s">
        <v>1614</v>
      </c>
      <c r="BF13" s="54" t="str">
        <f t="shared" ca="1" si="14"/>
        <v>Overdue</v>
      </c>
      <c r="BH13" s="4" t="s">
        <v>86</v>
      </c>
      <c r="BI13" s="51">
        <f t="shared" si="19"/>
        <v>45172</v>
      </c>
      <c r="BJ13" s="38">
        <f t="shared" ca="1" si="20"/>
        <v>770</v>
      </c>
      <c r="BK13" s="38"/>
      <c r="BL13" s="38" t="str">
        <f t="shared" si="21"/>
        <v>No</v>
      </c>
      <c r="BM13" s="59">
        <f t="shared" si="15"/>
        <v>45585</v>
      </c>
      <c r="BN13" s="51">
        <f t="shared" si="22"/>
        <v>45172</v>
      </c>
      <c r="BO13" s="54">
        <f t="shared" si="16"/>
        <v>413</v>
      </c>
      <c r="BP13" s="4" t="s">
        <v>81</v>
      </c>
      <c r="BQ13" s="4" t="s">
        <v>84</v>
      </c>
      <c r="BR13" s="18" t="s">
        <v>303</v>
      </c>
      <c r="BS13" s="18" t="s">
        <v>2196</v>
      </c>
      <c r="BT13" s="54" t="str">
        <f t="shared" si="17"/>
        <v>Marketing</v>
      </c>
      <c r="BV13" s="4" t="s">
        <v>81</v>
      </c>
      <c r="BW13" s="4" t="s">
        <v>82</v>
      </c>
      <c r="BX13" s="14" t="s">
        <v>1640</v>
      </c>
      <c r="BY13" s="14" t="s">
        <v>1032</v>
      </c>
      <c r="BZ13" s="54" t="str">
        <f t="shared" si="18"/>
        <v>Alka Sahoo</v>
      </c>
      <c r="CB13" s="18" t="s">
        <v>203</v>
      </c>
      <c r="CC13" s="4" t="s">
        <v>82</v>
      </c>
      <c r="CD13" s="4" t="s">
        <v>85</v>
      </c>
      <c r="CE13" s="54" t="str">
        <v>HR Manager</v>
      </c>
      <c r="CG13" s="54" t="str">
        <f>IFERROR(_xlfn.XLOOKUP(Hiring!A13,Hiring!A13:A412,Hiring!B13:B412,,0),"Not Found")</f>
        <v>Nirmal Padhi</v>
      </c>
    </row>
    <row r="14" spans="1:85">
      <c r="A14" s="103" t="s">
        <v>5807</v>
      </c>
      <c r="B14" s="104"/>
      <c r="F14" s="3">
        <v>4.5999999999999996</v>
      </c>
      <c r="G14" s="52" t="str" cm="1">
        <f t="array" ref="G14">_xlfn.IFS(F14&gt;=4.5,"Excellent",AND(F14&gt;=3.5,F14&lt;=4.4),"Good",F14&lt;3.5,"Needs Improvement")</f>
        <v>Excellent</v>
      </c>
      <c r="I14" s="12">
        <v>9.07</v>
      </c>
      <c r="J14" s="12">
        <v>10.119999999999999</v>
      </c>
      <c r="K14" s="54" t="str">
        <f t="shared" si="0"/>
        <v>Over Budget</v>
      </c>
      <c r="M14" s="19">
        <v>166699</v>
      </c>
      <c r="N14" s="19"/>
      <c r="O14" s="54" t="str">
        <f t="shared" si="1"/>
        <v>Yes</v>
      </c>
      <c r="Q14" s="19">
        <v>9.92</v>
      </c>
      <c r="R14" s="56" t="str">
        <f t="shared" si="2"/>
        <v>Yes</v>
      </c>
      <c r="T14" s="19">
        <v>2.87</v>
      </c>
      <c r="U14" s="57" t="str">
        <f t="shared" si="3"/>
        <v>No</v>
      </c>
      <c r="W14" s="19" t="s">
        <v>303</v>
      </c>
      <c r="X14" s="54" t="str">
        <f>VLOOKUP(W14,Employees!$A$1:$B$601,2,FALSE)</f>
        <v>Bikash Biswal</v>
      </c>
      <c r="Z14" s="3" t="s">
        <v>87</v>
      </c>
      <c r="AA14" s="54" t="str">
        <f t="shared" si="4"/>
        <v>0013</v>
      </c>
      <c r="AC14" s="3" t="s">
        <v>89</v>
      </c>
      <c r="AD14" s="54" t="str">
        <f t="shared" si="5"/>
        <v>Data Science</v>
      </c>
      <c r="AF14" s="3" t="s">
        <v>88</v>
      </c>
      <c r="AG14" s="3" t="s">
        <v>89</v>
      </c>
      <c r="AH14" s="3" t="s">
        <v>32</v>
      </c>
      <c r="AI14" s="54" t="str">
        <f t="shared" si="6"/>
        <v>Nirmal Samal|Data Science|NilGiri Digitals</v>
      </c>
      <c r="AK14" s="3" t="s">
        <v>88</v>
      </c>
      <c r="AL14" s="38" t="str">
        <f t="shared" si="7"/>
        <v>N.S.</v>
      </c>
      <c r="AN14" s="19" t="s">
        <v>5019</v>
      </c>
      <c r="AO14" s="54" t="str">
        <f t="shared" si="8"/>
        <v>Linkedln</v>
      </c>
      <c r="AQ14" s="3" t="s">
        <v>88</v>
      </c>
      <c r="AR14" s="52" t="str">
        <f t="shared" si="9"/>
        <v>NO</v>
      </c>
      <c r="AT14" s="12" t="s">
        <v>1672</v>
      </c>
      <c r="AU14" s="54">
        <f t="shared" si="10"/>
        <v>19</v>
      </c>
      <c r="AW14" s="54">
        <f ca="1">DATEDIF(BI14,TODAY(),"Y")</f>
        <v>4</v>
      </c>
      <c r="AX14" s="54"/>
      <c r="AY14" s="40" t="s">
        <v>5049</v>
      </c>
      <c r="AZ14" s="44">
        <f t="shared" si="11"/>
        <v>45120</v>
      </c>
      <c r="BA14" s="54" t="str">
        <f t="shared" si="12"/>
        <v>7-2023</v>
      </c>
      <c r="BC14" s="13" t="s">
        <v>1673</v>
      </c>
      <c r="BD14" s="13">
        <f t="shared" si="13"/>
        <v>45006</v>
      </c>
      <c r="BE14" s="45" t="s">
        <v>1656</v>
      </c>
      <c r="BF14" s="54" t="str">
        <f t="shared" ca="1" si="14"/>
        <v>Overdue</v>
      </c>
      <c r="BH14" s="3" t="s">
        <v>91</v>
      </c>
      <c r="BI14" s="51">
        <f t="shared" si="19"/>
        <v>44774</v>
      </c>
      <c r="BJ14" s="38">
        <f t="shared" ca="1" si="20"/>
        <v>1055</v>
      </c>
      <c r="BK14" s="38"/>
      <c r="BL14" s="38" t="str">
        <f t="shared" si="21"/>
        <v>No</v>
      </c>
      <c r="BM14" s="59">
        <f t="shared" si="15"/>
        <v>45120</v>
      </c>
      <c r="BN14" s="51">
        <f t="shared" si="22"/>
        <v>44774</v>
      </c>
      <c r="BO14" s="54">
        <f t="shared" si="16"/>
        <v>346</v>
      </c>
      <c r="BP14" s="3" t="s">
        <v>87</v>
      </c>
      <c r="BQ14" s="3" t="s">
        <v>89</v>
      </c>
      <c r="BR14" s="19" t="s">
        <v>303</v>
      </c>
      <c r="BS14" s="19" t="s">
        <v>2200</v>
      </c>
      <c r="BT14" s="54" t="str">
        <f t="shared" si="17"/>
        <v>Marketing</v>
      </c>
      <c r="BV14" s="3" t="s">
        <v>87</v>
      </c>
      <c r="BW14" s="3" t="s">
        <v>88</v>
      </c>
      <c r="BX14" s="12" t="s">
        <v>1672</v>
      </c>
      <c r="BY14" s="12" t="s">
        <v>353</v>
      </c>
      <c r="BZ14" s="54" t="str">
        <f t="shared" si="18"/>
        <v>Abhishek Parida</v>
      </c>
      <c r="CB14" s="19" t="s">
        <v>5048</v>
      </c>
      <c r="CC14" s="3" t="s">
        <v>88</v>
      </c>
      <c r="CD14" s="3" t="s">
        <v>90</v>
      </c>
      <c r="CE14" s="54" t="str">
        <v>Not Found</v>
      </c>
      <c r="CG14" s="54" t="str">
        <f>IFERROR(_xlfn.XLOOKUP(Hiring!A14,Hiring!A14:A413,Hiring!B14:B413,,0),"Not Found")</f>
        <v>Tapas Dhal</v>
      </c>
    </row>
    <row r="15" spans="1:85" ht="30.75">
      <c r="A15" s="22" t="s">
        <v>5808</v>
      </c>
      <c r="B15" s="97" t="s">
        <v>5809</v>
      </c>
      <c r="C15" s="6" t="s">
        <v>5810</v>
      </c>
      <c r="F15" s="4">
        <v>3.5</v>
      </c>
      <c r="G15" s="52" t="str" cm="1">
        <f t="array" ref="G15">_xlfn.IFS(F15&gt;=4.5,"Excellent",AND(F15&gt;=3.5,F15&lt;=4.4),"Good",F15&lt;3.5,"Needs Improvement")</f>
        <v>Good</v>
      </c>
      <c r="I15" s="14">
        <v>139.63999999999999</v>
      </c>
      <c r="J15" s="14">
        <v>171.38</v>
      </c>
      <c r="K15" s="54" t="str">
        <f t="shared" si="0"/>
        <v>Over Budget</v>
      </c>
      <c r="M15" s="18">
        <v>135340</v>
      </c>
      <c r="N15" s="18">
        <v>144314</v>
      </c>
      <c r="O15" s="54" t="str">
        <f t="shared" si="1"/>
        <v>Yes</v>
      </c>
      <c r="Q15" s="18">
        <v>11.21</v>
      </c>
      <c r="R15" s="56" t="str">
        <f t="shared" si="2"/>
        <v>Yes</v>
      </c>
      <c r="T15" s="18">
        <v>1.1100000000000001</v>
      </c>
      <c r="U15" s="57" t="str">
        <f t="shared" si="3"/>
        <v>No</v>
      </c>
      <c r="W15" s="18" t="s">
        <v>303</v>
      </c>
      <c r="X15" s="54" t="str">
        <f>VLOOKUP(W15,Employees!$A$1:$B$601,2,FALSE)</f>
        <v>Bikash Biswal</v>
      </c>
      <c r="Z15" s="4" t="s">
        <v>92</v>
      </c>
      <c r="AA15" s="54" t="str">
        <f t="shared" si="4"/>
        <v>0014</v>
      </c>
      <c r="AC15" s="4" t="s">
        <v>24</v>
      </c>
      <c r="AD15" s="54" t="str">
        <f t="shared" si="5"/>
        <v>Design</v>
      </c>
      <c r="AF15" s="4" t="s">
        <v>93</v>
      </c>
      <c r="AG15" s="4" t="s">
        <v>24</v>
      </c>
      <c r="AH15" s="4" t="s">
        <v>32</v>
      </c>
      <c r="AI15" s="54" t="str">
        <f t="shared" si="6"/>
        <v>Chinmaya Ratha|Design|NilGiri Digitals</v>
      </c>
      <c r="AK15" s="4" t="s">
        <v>93</v>
      </c>
      <c r="AL15" s="38" t="str">
        <f t="shared" si="7"/>
        <v>C.R.</v>
      </c>
      <c r="AN15" s="18" t="s">
        <v>5051</v>
      </c>
      <c r="AO15" s="54" t="str">
        <f t="shared" si="8"/>
        <v>Naukri</v>
      </c>
      <c r="AQ15" s="4" t="s">
        <v>93</v>
      </c>
      <c r="AR15" s="52" t="str">
        <f t="shared" si="9"/>
        <v>NO</v>
      </c>
      <c r="AT15" s="14" t="s">
        <v>1653</v>
      </c>
      <c r="AU15" s="54">
        <f t="shared" si="10"/>
        <v>19</v>
      </c>
      <c r="AW15" s="54">
        <f ca="1">DATEDIF(BI15,TODAY(),"Y")</f>
        <v>6</v>
      </c>
      <c r="AX15" s="54"/>
      <c r="AY15" s="41" t="s">
        <v>709</v>
      </c>
      <c r="AZ15" s="44">
        <f t="shared" si="11"/>
        <v>45171</v>
      </c>
      <c r="BA15" s="54" t="str">
        <f t="shared" si="12"/>
        <v>9-2023</v>
      </c>
      <c r="BC15" s="15" t="s">
        <v>1677</v>
      </c>
      <c r="BD15" s="13">
        <f t="shared" si="13"/>
        <v>45280</v>
      </c>
      <c r="BE15" s="46" t="s">
        <v>1656</v>
      </c>
      <c r="BF15" s="54" t="str">
        <f t="shared" ca="1" si="14"/>
        <v>Overdue</v>
      </c>
      <c r="BH15" s="4" t="s">
        <v>95</v>
      </c>
      <c r="BI15" s="51">
        <f t="shared" si="19"/>
        <v>43856</v>
      </c>
      <c r="BJ15" s="38">
        <f t="shared" ca="1" si="20"/>
        <v>1710</v>
      </c>
      <c r="BK15" s="38"/>
      <c r="BL15" s="38" t="str">
        <f t="shared" si="21"/>
        <v>Q1</v>
      </c>
      <c r="BM15" s="59">
        <f t="shared" si="15"/>
        <v>45171</v>
      </c>
      <c r="BN15" s="51">
        <f t="shared" si="22"/>
        <v>43856</v>
      </c>
      <c r="BO15" s="54">
        <f t="shared" si="16"/>
        <v>1315</v>
      </c>
      <c r="BP15" s="4" t="s">
        <v>92</v>
      </c>
      <c r="BQ15" s="4" t="s">
        <v>24</v>
      </c>
      <c r="BR15" s="18" t="s">
        <v>303</v>
      </c>
      <c r="BS15" s="18" t="s">
        <v>2203</v>
      </c>
      <c r="BT15" s="54" t="str">
        <f t="shared" si="17"/>
        <v>Marketing</v>
      </c>
      <c r="BV15" s="4" t="s">
        <v>92</v>
      </c>
      <c r="BW15" s="4" t="s">
        <v>93</v>
      </c>
      <c r="BX15" s="14" t="s">
        <v>1653</v>
      </c>
      <c r="BY15" s="14" t="s">
        <v>1078</v>
      </c>
      <c r="BZ15" s="54" t="str">
        <f t="shared" si="18"/>
        <v>Amlan Sahu</v>
      </c>
      <c r="CB15" s="18" t="s">
        <v>1386</v>
      </c>
      <c r="CC15" s="4" t="s">
        <v>93</v>
      </c>
      <c r="CD15" s="4" t="s">
        <v>94</v>
      </c>
      <c r="CE15" s="54" t="str">
        <v>Junior Developer</v>
      </c>
      <c r="CG15" s="54" t="str">
        <f>IFERROR(_xlfn.XLOOKUP(Hiring!A15,Hiring!A15:A414,Hiring!B15:B414,,0),"Not Found")</f>
        <v>Abhishek Prusty</v>
      </c>
    </row>
    <row r="16" spans="1:85" ht="30.75">
      <c r="A16" s="22" t="s">
        <v>5811</v>
      </c>
      <c r="B16" s="97" t="s">
        <v>5812</v>
      </c>
      <c r="C16" s="6" t="s">
        <v>5810</v>
      </c>
      <c r="F16" s="3">
        <v>1.7</v>
      </c>
      <c r="G16" s="52" t="str" cm="1">
        <f t="array" ref="G16">_xlfn.IFS(F16&gt;=4.5,"Excellent",AND(F16&gt;=3.5,F16&lt;=4.4),"Good",F16&lt;3.5,"Needs Improvement")</f>
        <v>Needs Improvement</v>
      </c>
      <c r="I16" s="12">
        <v>57.32</v>
      </c>
      <c r="J16" s="12">
        <v>74.5</v>
      </c>
      <c r="K16" s="54" t="str">
        <f t="shared" si="0"/>
        <v>Over Budget</v>
      </c>
      <c r="M16" s="19">
        <v>0</v>
      </c>
      <c r="N16" s="19">
        <v>0</v>
      </c>
      <c r="O16" s="54" t="str">
        <f t="shared" si="1"/>
        <v>No</v>
      </c>
      <c r="Q16" s="19">
        <v>10.73</v>
      </c>
      <c r="R16" s="56" t="str">
        <f t="shared" si="2"/>
        <v>Yes</v>
      </c>
      <c r="T16" s="19">
        <v>12.2</v>
      </c>
      <c r="U16" s="57" t="str">
        <f t="shared" si="3"/>
        <v>High Attrition</v>
      </c>
      <c r="W16" s="19" t="s">
        <v>303</v>
      </c>
      <c r="X16" s="54" t="str">
        <f>VLOOKUP(W16,Employees!$A$1:$B$601,2,FALSE)</f>
        <v>Bikash Biswal</v>
      </c>
      <c r="Z16" s="3" t="s">
        <v>96</v>
      </c>
      <c r="AA16" s="54" t="str">
        <f t="shared" si="4"/>
        <v>0015</v>
      </c>
      <c r="AC16" s="3" t="s">
        <v>16</v>
      </c>
      <c r="AD16" s="54" t="str">
        <f t="shared" si="5"/>
        <v>Devops</v>
      </c>
      <c r="AF16" s="3" t="s">
        <v>97</v>
      </c>
      <c r="AG16" s="3" t="s">
        <v>16</v>
      </c>
      <c r="AH16" s="3" t="s">
        <v>46</v>
      </c>
      <c r="AI16" s="54" t="str">
        <f t="shared" si="6"/>
        <v>Tanmay Jena|DevOps|SambalpurNet</v>
      </c>
      <c r="AK16" s="3" t="s">
        <v>97</v>
      </c>
      <c r="AL16" s="38" t="str">
        <f t="shared" si="7"/>
        <v>T.J.</v>
      </c>
      <c r="AN16" s="19" t="s">
        <v>5019</v>
      </c>
      <c r="AO16" s="54" t="str">
        <f t="shared" si="8"/>
        <v>Linkedln</v>
      </c>
      <c r="AQ16" s="3" t="s">
        <v>97</v>
      </c>
      <c r="AR16" s="52" t="str">
        <f t="shared" si="9"/>
        <v>NO</v>
      </c>
      <c r="AT16" s="12" t="s">
        <v>1663</v>
      </c>
      <c r="AU16" s="54">
        <f t="shared" si="10"/>
        <v>18</v>
      </c>
      <c r="AW16" s="54">
        <f ca="1">DATEDIF(BI16,TODAY(),"Y")</f>
        <v>6</v>
      </c>
      <c r="AX16" s="54"/>
      <c r="AY16" s="40" t="s">
        <v>5054</v>
      </c>
      <c r="AZ16" s="44">
        <f t="shared" si="11"/>
        <v>44998</v>
      </c>
      <c r="BA16" s="54" t="str">
        <f t="shared" si="12"/>
        <v>3-2023</v>
      </c>
      <c r="BC16" s="13" t="s">
        <v>1680</v>
      </c>
      <c r="BD16" s="13">
        <f t="shared" si="13"/>
        <v>45122</v>
      </c>
      <c r="BE16" s="45" t="s">
        <v>1656</v>
      </c>
      <c r="BF16" s="54" t="str">
        <f t="shared" ca="1" si="14"/>
        <v>Overdue</v>
      </c>
      <c r="BH16" s="3" t="s">
        <v>99</v>
      </c>
      <c r="BI16" s="51">
        <f t="shared" si="19"/>
        <v>43779</v>
      </c>
      <c r="BJ16" s="38">
        <f t="shared" ca="1" si="20"/>
        <v>1765</v>
      </c>
      <c r="BK16" s="38"/>
      <c r="BL16" s="38" t="str">
        <f t="shared" si="21"/>
        <v>No</v>
      </c>
      <c r="BM16" s="59">
        <f t="shared" si="15"/>
        <v>44998</v>
      </c>
      <c r="BN16" s="51">
        <f t="shared" si="22"/>
        <v>43779</v>
      </c>
      <c r="BO16" s="54">
        <f t="shared" si="16"/>
        <v>1219</v>
      </c>
      <c r="BP16" s="3" t="s">
        <v>96</v>
      </c>
      <c r="BQ16" s="3" t="s">
        <v>16</v>
      </c>
      <c r="BR16" s="19" t="s">
        <v>303</v>
      </c>
      <c r="BS16" s="19" t="s">
        <v>2207</v>
      </c>
      <c r="BT16" s="54" t="str">
        <f t="shared" si="17"/>
        <v>Marketing</v>
      </c>
      <c r="BV16" s="3" t="s">
        <v>96</v>
      </c>
      <c r="BW16" s="3" t="s">
        <v>97</v>
      </c>
      <c r="BX16" s="12" t="s">
        <v>1663</v>
      </c>
      <c r="BY16" s="12" t="s">
        <v>1463</v>
      </c>
      <c r="BZ16" s="54" t="str">
        <f t="shared" si="18"/>
        <v>Barsha Routray</v>
      </c>
      <c r="CB16" s="19" t="s">
        <v>5053</v>
      </c>
      <c r="CC16" s="3" t="s">
        <v>97</v>
      </c>
      <c r="CD16" s="3" t="s">
        <v>98</v>
      </c>
      <c r="CE16" s="54" t="str">
        <v>Not Found</v>
      </c>
      <c r="CG16" s="54" t="str">
        <f>IFERROR(_xlfn.XLOOKUP(Hiring!A16,Hiring!A16:A415,Hiring!B16:B415,,0),"Not Found")</f>
        <v>Smita Prusty</v>
      </c>
    </row>
    <row r="17" spans="1:85" ht="30.75">
      <c r="A17" s="22" t="s">
        <v>5813</v>
      </c>
      <c r="B17" s="97" t="s">
        <v>5814</v>
      </c>
      <c r="C17" s="6" t="s">
        <v>5810</v>
      </c>
      <c r="F17" s="4">
        <v>4.0999999999999996</v>
      </c>
      <c r="G17" s="52" t="str" cm="1">
        <f t="array" ref="G17">_xlfn.IFS(F17&gt;=4.5,"Excellent",AND(F17&gt;=3.5,F17&lt;=4.4),"Good",F17&lt;3.5,"Needs Improvement")</f>
        <v>Good</v>
      </c>
      <c r="I17" s="14">
        <v>190.76</v>
      </c>
      <c r="J17" s="14">
        <v>200.88</v>
      </c>
      <c r="K17" s="54" t="str">
        <f t="shared" si="0"/>
        <v>Over Budget</v>
      </c>
      <c r="M17" s="18">
        <v>70245</v>
      </c>
      <c r="N17" s="18">
        <v>75018</v>
      </c>
      <c r="O17" s="54" t="str">
        <f t="shared" si="1"/>
        <v>Yes</v>
      </c>
      <c r="Q17" s="18">
        <v>10.16</v>
      </c>
      <c r="R17" s="56" t="str">
        <f t="shared" si="2"/>
        <v>Yes</v>
      </c>
      <c r="T17" s="18">
        <v>2.15</v>
      </c>
      <c r="U17" s="57" t="str">
        <f t="shared" si="3"/>
        <v>No</v>
      </c>
      <c r="W17" s="18" t="s">
        <v>303</v>
      </c>
      <c r="X17" s="54" t="str">
        <f>VLOOKUP(W17,Employees!$A$1:$B$601,2,FALSE)</f>
        <v>Bikash Biswal</v>
      </c>
      <c r="Z17" s="4" t="s">
        <v>100</v>
      </c>
      <c r="AA17" s="54" t="str">
        <f t="shared" si="4"/>
        <v>0016</v>
      </c>
      <c r="AC17" s="4" t="s">
        <v>63</v>
      </c>
      <c r="AD17" s="54" t="str">
        <f t="shared" si="5"/>
        <v>Product</v>
      </c>
      <c r="AF17" s="4" t="s">
        <v>101</v>
      </c>
      <c r="AG17" s="4" t="s">
        <v>63</v>
      </c>
      <c r="AH17" s="4" t="s">
        <v>18</v>
      </c>
      <c r="AI17" s="54" t="str">
        <f t="shared" si="6"/>
        <v>Sudhansu Behura|Product|CoastalDev Studio</v>
      </c>
      <c r="AK17" s="4" t="s">
        <v>101</v>
      </c>
      <c r="AL17" s="38" t="str">
        <f t="shared" si="7"/>
        <v>S.B.</v>
      </c>
      <c r="AN17" s="18" t="s">
        <v>5023</v>
      </c>
      <c r="AO17" s="54" t="str">
        <f t="shared" si="8"/>
        <v>Linkedln</v>
      </c>
      <c r="AQ17" s="4" t="s">
        <v>101</v>
      </c>
      <c r="AR17" s="52" t="str">
        <f t="shared" si="9"/>
        <v>NO</v>
      </c>
      <c r="AT17" s="14" t="s">
        <v>1653</v>
      </c>
      <c r="AU17" s="54">
        <f t="shared" si="10"/>
        <v>19</v>
      </c>
      <c r="AW17" s="54">
        <f ca="1">DATEDIF(BI17,TODAY(),"Y")</f>
        <v>5</v>
      </c>
      <c r="AX17" s="54"/>
      <c r="AY17" s="41" t="s">
        <v>5056</v>
      </c>
      <c r="AZ17" s="44">
        <f t="shared" si="11"/>
        <v>45268</v>
      </c>
      <c r="BA17" s="54" t="str">
        <f t="shared" si="12"/>
        <v>12-2023</v>
      </c>
      <c r="BC17" s="15" t="s">
        <v>1684</v>
      </c>
      <c r="BD17" s="13">
        <f t="shared" si="13"/>
        <v>45054</v>
      </c>
      <c r="BE17" s="46" t="s">
        <v>1625</v>
      </c>
      <c r="BF17" s="54" t="str">
        <f t="shared" ca="1" si="14"/>
        <v>Overdue</v>
      </c>
      <c r="BH17" s="4" t="s">
        <v>102</v>
      </c>
      <c r="BI17" s="51">
        <f t="shared" si="19"/>
        <v>44322</v>
      </c>
      <c r="BJ17" s="38">
        <f t="shared" ca="1" si="20"/>
        <v>1377</v>
      </c>
      <c r="BK17" s="38"/>
      <c r="BL17" s="38" t="str">
        <f t="shared" si="21"/>
        <v>No</v>
      </c>
      <c r="BM17" s="59">
        <f t="shared" si="15"/>
        <v>45268</v>
      </c>
      <c r="BN17" s="51">
        <f t="shared" si="22"/>
        <v>44322</v>
      </c>
      <c r="BO17" s="54">
        <f t="shared" si="16"/>
        <v>946</v>
      </c>
      <c r="BP17" s="4" t="s">
        <v>100</v>
      </c>
      <c r="BQ17" s="4" t="s">
        <v>63</v>
      </c>
      <c r="BR17" s="18" t="s">
        <v>303</v>
      </c>
      <c r="BS17" s="18" t="s">
        <v>2210</v>
      </c>
      <c r="BT17" s="54" t="str">
        <f t="shared" si="17"/>
        <v>Marketing</v>
      </c>
      <c r="BV17" s="4" t="s">
        <v>100</v>
      </c>
      <c r="BW17" s="4" t="s">
        <v>101</v>
      </c>
      <c r="BX17" s="14" t="s">
        <v>1653</v>
      </c>
      <c r="BY17" s="14" t="s">
        <v>422</v>
      </c>
      <c r="BZ17" s="54" t="str">
        <f t="shared" si="18"/>
        <v>Tanmay Prusty</v>
      </c>
      <c r="CB17" s="18" t="s">
        <v>1447</v>
      </c>
      <c r="CC17" s="4" t="s">
        <v>101</v>
      </c>
      <c r="CD17" s="4" t="s">
        <v>64</v>
      </c>
      <c r="CE17" s="54" t="str">
        <v>Finance Analyst</v>
      </c>
      <c r="CG17" s="54" t="str">
        <f>IFERROR(_xlfn.XLOOKUP(Hiring!A17,Hiring!A17:A416,Hiring!B17:B416,,0),"Not Found")</f>
        <v>Ankita Choudhury</v>
      </c>
    </row>
    <row r="18" spans="1:85">
      <c r="A18" s="22" t="s">
        <v>5815</v>
      </c>
      <c r="B18" s="97" t="s">
        <v>5816</v>
      </c>
      <c r="C18" s="6" t="s">
        <v>5810</v>
      </c>
      <c r="F18" s="3">
        <v>4.8</v>
      </c>
      <c r="G18" s="52" t="str" cm="1">
        <f t="array" ref="G18">_xlfn.IFS(F18&gt;=4.5,"Excellent",AND(F18&gt;=3.5,F18&lt;=4.4),"Good",F18&lt;3.5,"Needs Improvement")</f>
        <v>Excellent</v>
      </c>
      <c r="I18" s="12">
        <v>61.25</v>
      </c>
      <c r="J18" s="12">
        <v>53.5</v>
      </c>
      <c r="K18" s="54" t="str">
        <f t="shared" si="0"/>
        <v>Within Budget</v>
      </c>
      <c r="M18" s="19">
        <v>151435</v>
      </c>
      <c r="N18" s="19">
        <v>134338</v>
      </c>
      <c r="O18" s="54" t="str">
        <f t="shared" si="1"/>
        <v>Yes</v>
      </c>
      <c r="Q18" s="19">
        <v>8.2799999999999994</v>
      </c>
      <c r="R18" s="56" t="str">
        <f t="shared" si="2"/>
        <v>Yes</v>
      </c>
      <c r="T18" s="19">
        <v>6.02</v>
      </c>
      <c r="U18" s="57" t="str">
        <f t="shared" si="3"/>
        <v>No</v>
      </c>
      <c r="W18" s="19" t="s">
        <v>303</v>
      </c>
      <c r="X18" s="54" t="str">
        <f>VLOOKUP(W18,Employees!$A$1:$B$601,2,FALSE)</f>
        <v>Bikash Biswal</v>
      </c>
      <c r="Z18" s="3" t="s">
        <v>103</v>
      </c>
      <c r="AA18" s="54" t="str">
        <f t="shared" si="4"/>
        <v>0017</v>
      </c>
      <c r="AC18" s="3" t="s">
        <v>51</v>
      </c>
      <c r="AD18" s="54" t="str">
        <f t="shared" si="5"/>
        <v>Sales</v>
      </c>
      <c r="AF18" s="3" t="s">
        <v>104</v>
      </c>
      <c r="AG18" s="3" t="s">
        <v>51</v>
      </c>
      <c r="AH18" s="3" t="s">
        <v>18</v>
      </c>
      <c r="AI18" s="54" t="str">
        <f t="shared" si="6"/>
        <v>Sangita Padhi|Sales|CoastalDev Studio</v>
      </c>
      <c r="AK18" s="3" t="s">
        <v>104</v>
      </c>
      <c r="AL18" s="38" t="str">
        <f t="shared" si="7"/>
        <v>S.P.</v>
      </c>
      <c r="AN18" s="19" t="s">
        <v>5019</v>
      </c>
      <c r="AO18" s="54" t="str">
        <f t="shared" si="8"/>
        <v>Linkedln</v>
      </c>
      <c r="AQ18" s="3" t="s">
        <v>104</v>
      </c>
      <c r="AR18" s="52" t="str">
        <f t="shared" si="9"/>
        <v>NO</v>
      </c>
      <c r="AT18" s="12" t="s">
        <v>1627</v>
      </c>
      <c r="AU18" s="54">
        <f t="shared" si="10"/>
        <v>11</v>
      </c>
      <c r="AW18" s="54">
        <f ca="1">DATEDIF(BI18,TODAY(),"Y")</f>
        <v>2</v>
      </c>
      <c r="AX18" s="54"/>
      <c r="AY18" s="40" t="s">
        <v>5058</v>
      </c>
      <c r="AZ18" s="44">
        <f t="shared" si="11"/>
        <v>45165</v>
      </c>
      <c r="BA18" s="54" t="str">
        <f t="shared" si="12"/>
        <v>8-2023</v>
      </c>
      <c r="BC18" s="13" t="s">
        <v>1466</v>
      </c>
      <c r="BD18" s="13">
        <f t="shared" si="13"/>
        <v>44395</v>
      </c>
      <c r="BE18" s="45" t="s">
        <v>1614</v>
      </c>
      <c r="BF18" s="54" t="str">
        <f t="shared" ca="1" si="14"/>
        <v>Overdue</v>
      </c>
      <c r="BH18" s="3" t="s">
        <v>106</v>
      </c>
      <c r="BI18" s="51">
        <f t="shared" si="19"/>
        <v>45238</v>
      </c>
      <c r="BJ18" s="38">
        <f t="shared" ca="1" si="20"/>
        <v>723</v>
      </c>
      <c r="BK18" s="38"/>
      <c r="BL18" s="38" t="str">
        <f t="shared" si="21"/>
        <v>No</v>
      </c>
      <c r="BM18" s="59">
        <f t="shared" si="15"/>
        <v>45165</v>
      </c>
      <c r="BN18" s="51">
        <f t="shared" si="22"/>
        <v>45238</v>
      </c>
      <c r="BO18" s="54">
        <f t="shared" si="16"/>
        <v>73</v>
      </c>
      <c r="BP18" s="3" t="s">
        <v>103</v>
      </c>
      <c r="BQ18" s="3" t="s">
        <v>51</v>
      </c>
      <c r="BR18" s="19" t="s">
        <v>303</v>
      </c>
      <c r="BS18" s="19" t="s">
        <v>2214</v>
      </c>
      <c r="BT18" s="54" t="str">
        <f t="shared" si="17"/>
        <v>Marketing</v>
      </c>
      <c r="BV18" s="3" t="s">
        <v>103</v>
      </c>
      <c r="BW18" s="3" t="s">
        <v>104</v>
      </c>
      <c r="BX18" s="12" t="s">
        <v>1627</v>
      </c>
      <c r="BY18" s="12" t="s">
        <v>1467</v>
      </c>
      <c r="BZ18" s="54" t="str">
        <f t="shared" si="18"/>
        <v>Tanmay Senapati</v>
      </c>
      <c r="CB18" s="19" t="s">
        <v>1188</v>
      </c>
      <c r="CC18" s="3" t="s">
        <v>104</v>
      </c>
      <c r="CD18" s="3" t="s">
        <v>105</v>
      </c>
      <c r="CE18" s="54" t="str">
        <v>UI Designer</v>
      </c>
      <c r="CG18" s="54" t="str">
        <f>IFERROR(_xlfn.XLOOKUP(Hiring!A18,Hiring!A18:A417,Hiring!B18:B417,,0),"Not Found")</f>
        <v>Sudhansu Sahu</v>
      </c>
    </row>
    <row r="19" spans="1:85">
      <c r="A19" s="22" t="s">
        <v>5817</v>
      </c>
      <c r="B19" s="97" t="s">
        <v>5818</v>
      </c>
      <c r="C19" s="6" t="s">
        <v>5810</v>
      </c>
      <c r="F19" s="4">
        <v>1.8</v>
      </c>
      <c r="G19" s="52" t="str" cm="1">
        <f t="array" ref="G19">_xlfn.IFS(F19&gt;=4.5,"Excellent",AND(F19&gt;=3.5,F19&lt;=4.4),"Good",F19&lt;3.5,"Needs Improvement")</f>
        <v>Needs Improvement</v>
      </c>
      <c r="I19" s="14">
        <v>149.91</v>
      </c>
      <c r="J19" s="14">
        <v>115.82</v>
      </c>
      <c r="K19" s="54" t="str">
        <f t="shared" si="0"/>
        <v>Within Budget</v>
      </c>
      <c r="M19" s="18"/>
      <c r="N19" s="18">
        <v>75363</v>
      </c>
      <c r="O19" s="54" t="str">
        <f t="shared" si="1"/>
        <v>Yes</v>
      </c>
      <c r="Q19" s="18"/>
      <c r="R19" s="56" t="str">
        <f t="shared" si="2"/>
        <v>No</v>
      </c>
      <c r="T19" s="18">
        <v>2.96</v>
      </c>
      <c r="U19" s="57" t="str">
        <f t="shared" si="3"/>
        <v>No</v>
      </c>
      <c r="W19" s="18" t="s">
        <v>303</v>
      </c>
      <c r="X19" s="54" t="str">
        <f>VLOOKUP(W19,Employees!$A$1:$B$601,2,FALSE)</f>
        <v>Bikash Biswal</v>
      </c>
      <c r="Z19" s="4" t="s">
        <v>107</v>
      </c>
      <c r="AA19" s="54" t="str">
        <f t="shared" si="4"/>
        <v>0018</v>
      </c>
      <c r="AC19" s="4" t="s">
        <v>39</v>
      </c>
      <c r="AD19" s="54" t="str">
        <f t="shared" si="5"/>
        <v>Engineering</v>
      </c>
      <c r="AF19" s="4" t="s">
        <v>108</v>
      </c>
      <c r="AG19" s="4" t="s">
        <v>39</v>
      </c>
      <c r="AH19" s="4" t="s">
        <v>53</v>
      </c>
      <c r="AI19" s="54" t="str">
        <f t="shared" si="6"/>
        <v>Barsha Prusty|Engineering|BlueLotus IT</v>
      </c>
      <c r="AK19" s="4" t="s">
        <v>108</v>
      </c>
      <c r="AL19" s="38" t="str">
        <f t="shared" si="7"/>
        <v>B.P.</v>
      </c>
      <c r="AN19" s="18" t="s">
        <v>5060</v>
      </c>
      <c r="AO19" s="54" t="str">
        <f t="shared" si="8"/>
        <v>Naukri</v>
      </c>
      <c r="AQ19" s="4" t="s">
        <v>108</v>
      </c>
      <c r="AR19" s="52" t="str">
        <f t="shared" si="9"/>
        <v>NO</v>
      </c>
      <c r="AT19" s="14" t="s">
        <v>1627</v>
      </c>
      <c r="AU19" s="54">
        <f t="shared" si="10"/>
        <v>11</v>
      </c>
      <c r="AW19" s="54">
        <f ca="1">DATEDIF(BI19,TODAY(),"Y")</f>
        <v>4</v>
      </c>
      <c r="AX19" s="54"/>
      <c r="AY19" s="41" t="s">
        <v>5061</v>
      </c>
      <c r="AZ19" s="44">
        <f t="shared" si="11"/>
        <v>45228</v>
      </c>
      <c r="BA19" s="54" t="str">
        <f t="shared" si="12"/>
        <v>10-2023</v>
      </c>
      <c r="BC19" s="15" t="s">
        <v>1691</v>
      </c>
      <c r="BD19" s="13">
        <f t="shared" si="13"/>
        <v>45534</v>
      </c>
      <c r="BE19" s="46" t="s">
        <v>1614</v>
      </c>
      <c r="BF19" s="54" t="str">
        <f t="shared" ca="1" si="14"/>
        <v>Overdue</v>
      </c>
      <c r="BH19" s="4" t="s">
        <v>110</v>
      </c>
      <c r="BI19" s="51">
        <f t="shared" si="19"/>
        <v>44428</v>
      </c>
      <c r="BJ19" s="38">
        <f t="shared" ca="1" si="20"/>
        <v>1301</v>
      </c>
      <c r="BK19" s="38"/>
      <c r="BL19" s="38" t="str">
        <f t="shared" si="21"/>
        <v>No</v>
      </c>
      <c r="BM19" s="59">
        <f t="shared" si="15"/>
        <v>45228</v>
      </c>
      <c r="BN19" s="51">
        <f t="shared" si="22"/>
        <v>44428</v>
      </c>
      <c r="BO19" s="54">
        <f t="shared" si="16"/>
        <v>800</v>
      </c>
      <c r="BP19" s="4" t="s">
        <v>107</v>
      </c>
      <c r="BQ19" s="4" t="s">
        <v>39</v>
      </c>
      <c r="BR19" s="18" t="s">
        <v>303</v>
      </c>
      <c r="BS19" s="18" t="s">
        <v>2218</v>
      </c>
      <c r="BT19" s="54" t="str">
        <f t="shared" si="17"/>
        <v>Marketing</v>
      </c>
      <c r="BV19" s="4" t="s">
        <v>107</v>
      </c>
      <c r="BW19" s="4" t="s">
        <v>108</v>
      </c>
      <c r="BX19" s="14" t="s">
        <v>1627</v>
      </c>
      <c r="BY19" s="14" t="s">
        <v>563</v>
      </c>
      <c r="BZ19" s="54" t="str">
        <f t="shared" si="18"/>
        <v>Lipsa Pattnaik</v>
      </c>
      <c r="CB19" s="18" t="s">
        <v>171</v>
      </c>
      <c r="CC19" s="4" t="s">
        <v>108</v>
      </c>
      <c r="CD19" s="4" t="s">
        <v>109</v>
      </c>
      <c r="CE19" s="54" t="str">
        <v>Data Analyst</v>
      </c>
      <c r="CG19" s="54" t="str">
        <f>IFERROR(_xlfn.XLOOKUP(Hiring!A19,Hiring!A19:A418,Hiring!B19:B418,,0),"Not Found")</f>
        <v>Tanmay Padhi</v>
      </c>
    </row>
    <row r="20" spans="1:85" ht="30.75">
      <c r="A20" s="22" t="s">
        <v>5819</v>
      </c>
      <c r="B20" s="97" t="s">
        <v>5820</v>
      </c>
      <c r="C20" s="6" t="s">
        <v>5810</v>
      </c>
      <c r="F20" s="3">
        <v>3</v>
      </c>
      <c r="G20" s="52" t="str" cm="1">
        <f t="array" ref="G20">_xlfn.IFS(F20&gt;=4.5,"Excellent",AND(F20&gt;=3.5,F20&lt;=4.4),"Good",F20&lt;3.5,"Needs Improvement")</f>
        <v>Needs Improvement</v>
      </c>
      <c r="I20" s="12">
        <v>131.08000000000001</v>
      </c>
      <c r="J20" s="12">
        <v>114.66</v>
      </c>
      <c r="K20" s="54" t="str">
        <f t="shared" si="0"/>
        <v>Within Budget</v>
      </c>
      <c r="M20" s="19"/>
      <c r="N20" s="19">
        <v>60126</v>
      </c>
      <c r="O20" s="54" t="str">
        <f t="shared" si="1"/>
        <v>Yes</v>
      </c>
      <c r="Q20" s="19">
        <v>11.18</v>
      </c>
      <c r="R20" s="56" t="str">
        <f t="shared" si="2"/>
        <v>Yes</v>
      </c>
      <c r="T20" s="19">
        <v>5.13</v>
      </c>
      <c r="U20" s="57" t="str">
        <f t="shared" si="3"/>
        <v>No</v>
      </c>
      <c r="W20" s="19" t="s">
        <v>303</v>
      </c>
      <c r="X20" s="54" t="str">
        <f>VLOOKUP(W20,Employees!$A$1:$B$601,2,FALSE)</f>
        <v>Bikash Biswal</v>
      </c>
      <c r="Z20" s="3" t="s">
        <v>111</v>
      </c>
      <c r="AA20" s="54" t="str">
        <f t="shared" si="4"/>
        <v>0019</v>
      </c>
      <c r="AC20" s="3" t="s">
        <v>89</v>
      </c>
      <c r="AD20" s="54" t="str">
        <f t="shared" si="5"/>
        <v>Data Science</v>
      </c>
      <c r="AF20" s="3" t="s">
        <v>112</v>
      </c>
      <c r="AG20" s="3" t="s">
        <v>89</v>
      </c>
      <c r="AH20" s="3" t="s">
        <v>114</v>
      </c>
      <c r="AI20" s="54" t="str">
        <f t="shared" si="6"/>
        <v>Lipsa Behura|Data Science|UtkalSoft Technologies</v>
      </c>
      <c r="AK20" s="3" t="s">
        <v>112</v>
      </c>
      <c r="AL20" s="38" t="str">
        <f t="shared" si="7"/>
        <v>L.B.</v>
      </c>
      <c r="AN20" s="19" t="s">
        <v>5060</v>
      </c>
      <c r="AO20" s="54" t="str">
        <f t="shared" si="8"/>
        <v>Naukri</v>
      </c>
      <c r="AQ20" s="3" t="s">
        <v>112</v>
      </c>
      <c r="AR20" s="52" t="str">
        <f t="shared" si="9"/>
        <v>NO</v>
      </c>
      <c r="AT20" s="12" t="s">
        <v>1693</v>
      </c>
      <c r="AU20" s="54">
        <f t="shared" si="10"/>
        <v>17</v>
      </c>
      <c r="AW20" s="54">
        <f ca="1">DATEDIF(BI20,TODAY(),"Y")</f>
        <v>6</v>
      </c>
      <c r="AX20" s="54"/>
      <c r="AY20" s="40" t="s">
        <v>5063</v>
      </c>
      <c r="AZ20" s="44">
        <f t="shared" si="11"/>
        <v>45420</v>
      </c>
      <c r="BA20" s="54" t="str">
        <f t="shared" si="12"/>
        <v>5-2024</v>
      </c>
      <c r="BC20" s="13" t="s">
        <v>1694</v>
      </c>
      <c r="BD20" s="13">
        <f t="shared" si="13"/>
        <v>44733</v>
      </c>
      <c r="BE20" s="45" t="s">
        <v>1632</v>
      </c>
      <c r="BF20" s="54" t="str">
        <f t="shared" ca="1" si="14"/>
        <v>Overdue</v>
      </c>
      <c r="BH20" s="3" t="s">
        <v>115</v>
      </c>
      <c r="BI20" s="51">
        <f t="shared" si="19"/>
        <v>43881</v>
      </c>
      <c r="BJ20" s="38">
        <f t="shared" ca="1" si="20"/>
        <v>1692</v>
      </c>
      <c r="BK20" s="38"/>
      <c r="BL20" s="38" t="str">
        <f t="shared" si="21"/>
        <v>Q1</v>
      </c>
      <c r="BM20" s="59">
        <f t="shared" si="15"/>
        <v>45420</v>
      </c>
      <c r="BN20" s="51">
        <f t="shared" si="22"/>
        <v>43881</v>
      </c>
      <c r="BO20" s="54">
        <f t="shared" si="16"/>
        <v>1539</v>
      </c>
      <c r="BP20" s="3" t="s">
        <v>111</v>
      </c>
      <c r="BQ20" s="3" t="s">
        <v>89</v>
      </c>
      <c r="BR20" s="19" t="s">
        <v>303</v>
      </c>
      <c r="BS20" s="19" t="s">
        <v>2221</v>
      </c>
      <c r="BT20" s="54" t="str">
        <f t="shared" si="17"/>
        <v>Marketing</v>
      </c>
      <c r="BV20" s="3" t="s">
        <v>111</v>
      </c>
      <c r="BW20" s="3" t="s">
        <v>112</v>
      </c>
      <c r="BX20" s="12" t="s">
        <v>1693</v>
      </c>
      <c r="BY20" s="12" t="s">
        <v>861</v>
      </c>
      <c r="BZ20" s="54" t="str">
        <f t="shared" si="18"/>
        <v>Smita Mohapatra</v>
      </c>
      <c r="CB20" s="19" t="s">
        <v>662</v>
      </c>
      <c r="CC20" s="3" t="s">
        <v>112</v>
      </c>
      <c r="CD20" s="3" t="s">
        <v>113</v>
      </c>
      <c r="CE20" s="54" t="str">
        <v>Brand Manager</v>
      </c>
      <c r="CG20" s="54" t="str">
        <f>IFERROR(_xlfn.XLOOKUP(Hiring!A20,Hiring!A20:A419,Hiring!B20:B419,,0),"Not Found")</f>
        <v>Chinmaya Mishra</v>
      </c>
    </row>
    <row r="21" spans="1:85">
      <c r="B21" s="100"/>
      <c r="F21" s="4">
        <v>4.3</v>
      </c>
      <c r="G21" s="52" t="str" cm="1">
        <f t="array" ref="G21">_xlfn.IFS(F21&gt;=4.5,"Excellent",AND(F21&gt;=3.5,F21&lt;=4.4),"Good",F21&lt;3.5,"Needs Improvement")</f>
        <v>Good</v>
      </c>
      <c r="I21" s="14">
        <v>124.11</v>
      </c>
      <c r="J21" s="14">
        <v>89.15</v>
      </c>
      <c r="K21" s="54" t="str">
        <f t="shared" si="0"/>
        <v>Within Budget</v>
      </c>
      <c r="M21" s="18">
        <v>58147</v>
      </c>
      <c r="N21" s="18">
        <v>67215</v>
      </c>
      <c r="O21" s="54" t="str">
        <f t="shared" si="1"/>
        <v>Yes</v>
      </c>
      <c r="Q21" s="18">
        <v>7.89</v>
      </c>
      <c r="R21" s="56" t="str">
        <f t="shared" si="2"/>
        <v>Yes</v>
      </c>
      <c r="T21" s="18">
        <v>4.05</v>
      </c>
      <c r="U21" s="57" t="str">
        <f t="shared" si="3"/>
        <v>No</v>
      </c>
      <c r="W21" s="18" t="s">
        <v>303</v>
      </c>
      <c r="X21" s="54" t="str">
        <f>VLOOKUP(W21,Employees!$A$1:$B$601,2,FALSE)</f>
        <v>Bikash Biswal</v>
      </c>
      <c r="Z21" s="4" t="s">
        <v>116</v>
      </c>
      <c r="AA21" s="54" t="str">
        <f t="shared" si="4"/>
        <v>0020</v>
      </c>
      <c r="AC21" s="4" t="s">
        <v>118</v>
      </c>
      <c r="AD21" s="54" t="str">
        <f t="shared" si="5"/>
        <v>Marketing</v>
      </c>
      <c r="AF21" s="4" t="s">
        <v>117</v>
      </c>
      <c r="AG21" s="4" t="s">
        <v>118</v>
      </c>
      <c r="AH21" s="4" t="s">
        <v>32</v>
      </c>
      <c r="AI21" s="54" t="str">
        <f t="shared" si="6"/>
        <v>Namita Sahu|Marketing|NilGiri Digitals</v>
      </c>
      <c r="AK21" s="4" t="s">
        <v>117</v>
      </c>
      <c r="AL21" s="38" t="str">
        <f t="shared" si="7"/>
        <v>N.S.</v>
      </c>
      <c r="AN21" s="18" t="s">
        <v>5019</v>
      </c>
      <c r="AO21" s="54" t="str">
        <f t="shared" si="8"/>
        <v>Linkedln</v>
      </c>
      <c r="AQ21" s="4" t="s">
        <v>117</v>
      </c>
      <c r="AR21" s="52" t="str">
        <f t="shared" si="9"/>
        <v>NO</v>
      </c>
      <c r="AT21" s="14" t="s">
        <v>1627</v>
      </c>
      <c r="AU21" s="54">
        <f t="shared" si="10"/>
        <v>11</v>
      </c>
      <c r="AW21" s="54">
        <f ca="1">DATEDIF(BI21,TODAY(),"Y")</f>
        <v>6</v>
      </c>
      <c r="AX21" s="54"/>
      <c r="AY21" s="41" t="s">
        <v>2002</v>
      </c>
      <c r="AZ21" s="44">
        <f t="shared" si="11"/>
        <v>45180</v>
      </c>
      <c r="BA21" s="54" t="str">
        <f t="shared" si="12"/>
        <v>9-2023</v>
      </c>
      <c r="BC21" s="15" t="s">
        <v>1697</v>
      </c>
      <c r="BD21" s="13">
        <f t="shared" si="13"/>
        <v>44583</v>
      </c>
      <c r="BE21" s="46" t="s">
        <v>1632</v>
      </c>
      <c r="BF21" s="54" t="str">
        <f t="shared" ca="1" si="14"/>
        <v>Overdue</v>
      </c>
      <c r="BH21" s="4" t="s">
        <v>120</v>
      </c>
      <c r="BI21" s="51">
        <f t="shared" si="19"/>
        <v>43747</v>
      </c>
      <c r="BJ21" s="38">
        <f t="shared" ca="1" si="20"/>
        <v>1788</v>
      </c>
      <c r="BK21" s="38"/>
      <c r="BL21" s="38" t="str">
        <f t="shared" si="21"/>
        <v>No</v>
      </c>
      <c r="BM21" s="59">
        <f t="shared" si="15"/>
        <v>45180</v>
      </c>
      <c r="BN21" s="51">
        <f t="shared" si="22"/>
        <v>43747</v>
      </c>
      <c r="BO21" s="54">
        <f t="shared" si="16"/>
        <v>1433</v>
      </c>
      <c r="BP21" s="4" t="s">
        <v>116</v>
      </c>
      <c r="BQ21" s="4" t="s">
        <v>118</v>
      </c>
      <c r="BR21" s="18" t="s">
        <v>303</v>
      </c>
      <c r="BS21" s="18" t="s">
        <v>2225</v>
      </c>
      <c r="BT21" s="54" t="str">
        <f t="shared" si="17"/>
        <v>Marketing</v>
      </c>
      <c r="BV21" s="4" t="s">
        <v>116</v>
      </c>
      <c r="BW21" s="4" t="s">
        <v>117</v>
      </c>
      <c r="BX21" s="14" t="s">
        <v>1627</v>
      </c>
      <c r="BY21" s="14" t="s">
        <v>1529</v>
      </c>
      <c r="BZ21" s="54" t="str">
        <f t="shared" si="18"/>
        <v>Satyajit Tripathy</v>
      </c>
      <c r="CB21" s="18" t="s">
        <v>5065</v>
      </c>
      <c r="CC21" s="4" t="s">
        <v>117</v>
      </c>
      <c r="CD21" s="4" t="s">
        <v>119</v>
      </c>
      <c r="CE21" s="54" t="str">
        <v>Not Found</v>
      </c>
      <c r="CG21" s="54" t="str">
        <f>IFERROR(_xlfn.XLOOKUP(Hiring!A21,Hiring!A21:A420,Hiring!B21:B420,,0),"Not Found")</f>
        <v>Dibya Routray</v>
      </c>
    </row>
    <row r="22" spans="1:85">
      <c r="A22" s="101" t="s">
        <v>5821</v>
      </c>
      <c r="B22" s="102"/>
      <c r="F22" s="3">
        <v>4.4000000000000004</v>
      </c>
      <c r="G22" s="52" t="str" cm="1">
        <f t="array" ref="G22">_xlfn.IFS(F22&gt;=4.5,"Excellent",AND(F22&gt;=3.5,F22&lt;=4.4),"Good",F22&lt;3.5,"Needs Improvement")</f>
        <v>Good</v>
      </c>
      <c r="I22" s="12">
        <v>45.9</v>
      </c>
      <c r="J22" s="12">
        <v>43.67</v>
      </c>
      <c r="K22" s="54" t="str">
        <f t="shared" si="0"/>
        <v>Within Budget</v>
      </c>
      <c r="M22" s="19"/>
      <c r="N22" s="19">
        <v>113954</v>
      </c>
      <c r="O22" s="54" t="str">
        <f t="shared" si="1"/>
        <v>Yes</v>
      </c>
      <c r="Q22" s="19">
        <v>10.33</v>
      </c>
      <c r="R22" s="56" t="str">
        <f t="shared" si="2"/>
        <v>Yes</v>
      </c>
      <c r="T22" s="19">
        <v>3.2</v>
      </c>
      <c r="U22" s="57" t="str">
        <f t="shared" si="3"/>
        <v>No</v>
      </c>
      <c r="W22" s="19" t="s">
        <v>303</v>
      </c>
      <c r="X22" s="54" t="str">
        <f>VLOOKUP(W22,Employees!$A$1:$B$601,2,FALSE)</f>
        <v>Bikash Biswal</v>
      </c>
      <c r="Z22" s="3" t="s">
        <v>121</v>
      </c>
      <c r="AA22" s="54" t="str">
        <f t="shared" si="4"/>
        <v>0021</v>
      </c>
      <c r="AC22" s="3" t="s">
        <v>16</v>
      </c>
      <c r="AD22" s="54" t="str">
        <f t="shared" si="5"/>
        <v>Devops</v>
      </c>
      <c r="AF22" s="3" t="s">
        <v>122</v>
      </c>
      <c r="AG22" s="3" t="s">
        <v>16</v>
      </c>
      <c r="AH22" s="3" t="s">
        <v>65</v>
      </c>
      <c r="AI22" s="54" t="str">
        <f t="shared" si="6"/>
        <v>Sudhansu Choudhury|DevOps|TributeAI</v>
      </c>
      <c r="AK22" s="3" t="s">
        <v>122</v>
      </c>
      <c r="AL22" s="38" t="str">
        <f t="shared" si="7"/>
        <v>S.C.</v>
      </c>
      <c r="AN22" s="19" t="s">
        <v>5031</v>
      </c>
      <c r="AO22" s="54" t="b">
        <f t="shared" si="8"/>
        <v>0</v>
      </c>
      <c r="AQ22" s="3" t="s">
        <v>122</v>
      </c>
      <c r="AR22" s="52" t="str">
        <f t="shared" si="9"/>
        <v>NO</v>
      </c>
      <c r="AT22" s="12" t="s">
        <v>1699</v>
      </c>
      <c r="AU22" s="54">
        <f t="shared" si="10"/>
        <v>18</v>
      </c>
      <c r="AW22" s="54">
        <f ca="1">DATEDIF(BI22,TODAY(),"Y")</f>
        <v>6</v>
      </c>
      <c r="AX22" s="54"/>
      <c r="AY22" s="40" t="s">
        <v>1737</v>
      </c>
      <c r="AZ22" s="44">
        <f t="shared" si="11"/>
        <v>45426</v>
      </c>
      <c r="BA22" s="54" t="str">
        <f t="shared" si="12"/>
        <v>5-2024</v>
      </c>
      <c r="BC22" s="13" t="s">
        <v>1700</v>
      </c>
      <c r="BD22" s="13">
        <f t="shared" si="13"/>
        <v>45440</v>
      </c>
      <c r="BE22" s="45" t="s">
        <v>1632</v>
      </c>
      <c r="BF22" s="54" t="str">
        <f t="shared" ca="1" si="14"/>
        <v>Overdue</v>
      </c>
      <c r="BH22" s="3" t="s">
        <v>124</v>
      </c>
      <c r="BI22" s="51">
        <f t="shared" si="19"/>
        <v>43899</v>
      </c>
      <c r="BJ22" s="38">
        <f t="shared" ca="1" si="20"/>
        <v>1680</v>
      </c>
      <c r="BK22" s="38"/>
      <c r="BL22" s="38" t="str">
        <f t="shared" si="21"/>
        <v>Q1</v>
      </c>
      <c r="BM22" s="59">
        <f t="shared" si="15"/>
        <v>45426</v>
      </c>
      <c r="BN22" s="51">
        <f t="shared" si="22"/>
        <v>43899</v>
      </c>
      <c r="BO22" s="54">
        <f t="shared" si="16"/>
        <v>1527</v>
      </c>
      <c r="BP22" s="3" t="s">
        <v>121</v>
      </c>
      <c r="BQ22" s="3" t="s">
        <v>16</v>
      </c>
      <c r="BR22" s="19" t="s">
        <v>303</v>
      </c>
      <c r="BS22" s="19" t="s">
        <v>2229</v>
      </c>
      <c r="BT22" s="54" t="str">
        <f t="shared" si="17"/>
        <v>Marketing</v>
      </c>
      <c r="BV22" s="3" t="s">
        <v>121</v>
      </c>
      <c r="BW22" s="3" t="s">
        <v>122</v>
      </c>
      <c r="BX22" s="12" t="s">
        <v>1699</v>
      </c>
      <c r="BY22" s="12" t="s">
        <v>1100</v>
      </c>
      <c r="BZ22" s="54" t="str">
        <f t="shared" si="18"/>
        <v>Ranjit Sahoo</v>
      </c>
      <c r="CB22" s="19" t="s">
        <v>528</v>
      </c>
      <c r="CC22" s="3" t="s">
        <v>122</v>
      </c>
      <c r="CD22" s="3" t="s">
        <v>123</v>
      </c>
      <c r="CE22" s="54" t="str">
        <v>Senior QA</v>
      </c>
      <c r="CG22" s="54" t="str">
        <f>IFERROR(_xlfn.XLOOKUP(Hiring!A22,Hiring!A22:A421,Hiring!B22:B421,,0),"Not Found")</f>
        <v>Ankita Prusty</v>
      </c>
    </row>
    <row r="23" spans="1:85">
      <c r="A23" s="22" t="s">
        <v>5822</v>
      </c>
      <c r="B23" s="98" t="s">
        <v>5823</v>
      </c>
      <c r="C23" s="6" t="s">
        <v>5810</v>
      </c>
      <c r="F23" s="4">
        <v>3</v>
      </c>
      <c r="G23" s="52" t="str" cm="1">
        <f t="array" ref="G23">_xlfn.IFS(F23&gt;=4.5,"Excellent",AND(F23&gt;=3.5,F23&lt;=4.4),"Good",F23&lt;3.5,"Needs Improvement")</f>
        <v>Needs Improvement</v>
      </c>
      <c r="I23" s="14">
        <v>82.79</v>
      </c>
      <c r="J23" s="14">
        <v>80.58</v>
      </c>
      <c r="K23" s="54" t="str">
        <f t="shared" si="0"/>
        <v>Within Budget</v>
      </c>
      <c r="M23" s="18">
        <v>208454</v>
      </c>
      <c r="N23" s="18">
        <v>183795</v>
      </c>
      <c r="O23" s="54" t="str">
        <f t="shared" si="1"/>
        <v>Yes</v>
      </c>
      <c r="Q23" s="18">
        <v>7.45</v>
      </c>
      <c r="R23" s="56" t="str">
        <f t="shared" si="2"/>
        <v>Yes</v>
      </c>
      <c r="T23" s="18">
        <v>3.76</v>
      </c>
      <c r="U23" s="57" t="str">
        <f t="shared" si="3"/>
        <v>No</v>
      </c>
      <c r="W23" s="18" t="s">
        <v>303</v>
      </c>
      <c r="X23" s="54" t="str">
        <f>VLOOKUP(W23,Employees!$A$1:$B$601,2,FALSE)</f>
        <v>Bikash Biswal</v>
      </c>
      <c r="Z23" s="4" t="s">
        <v>125</v>
      </c>
      <c r="AA23" s="54" t="str">
        <f t="shared" si="4"/>
        <v>0022</v>
      </c>
      <c r="AC23" s="4" t="s">
        <v>118</v>
      </c>
      <c r="AD23" s="54" t="str">
        <f t="shared" si="5"/>
        <v>Marketing</v>
      </c>
      <c r="AF23" s="4" t="s">
        <v>126</v>
      </c>
      <c r="AG23" s="4" t="s">
        <v>118</v>
      </c>
      <c r="AH23" s="4" t="s">
        <v>70</v>
      </c>
      <c r="AI23" s="54" t="str">
        <f t="shared" si="6"/>
        <v>Sudhansu Mohapatra|Marketing|OdishaCode Labs</v>
      </c>
      <c r="AK23" s="4" t="s">
        <v>126</v>
      </c>
      <c r="AL23" s="38" t="str">
        <f t="shared" si="7"/>
        <v>S.M.</v>
      </c>
      <c r="AN23" s="18" t="s">
        <v>5016</v>
      </c>
      <c r="AO23" s="54" t="b">
        <f t="shared" si="8"/>
        <v>0</v>
      </c>
      <c r="AQ23" s="4" t="s">
        <v>126</v>
      </c>
      <c r="AR23" s="52" t="str">
        <f t="shared" si="9"/>
        <v>NO</v>
      </c>
      <c r="AT23" s="14" t="s">
        <v>1702</v>
      </c>
      <c r="AU23" s="54">
        <f t="shared" si="10"/>
        <v>17</v>
      </c>
      <c r="AW23" s="54">
        <f ca="1">DATEDIF(BI23,TODAY(),"Y")</f>
        <v>2</v>
      </c>
      <c r="AX23" s="54"/>
      <c r="AY23" s="41" t="s">
        <v>2035</v>
      </c>
      <c r="AZ23" s="44">
        <f t="shared" si="11"/>
        <v>45133</v>
      </c>
      <c r="BA23" s="54" t="str">
        <f t="shared" si="12"/>
        <v>7-2023</v>
      </c>
      <c r="BC23" s="15" t="s">
        <v>1703</v>
      </c>
      <c r="BD23" s="13">
        <f t="shared" si="13"/>
        <v>45283</v>
      </c>
      <c r="BE23" s="46" t="s">
        <v>1625</v>
      </c>
      <c r="BF23" s="54" t="str">
        <f t="shared" ca="1" si="14"/>
        <v>Overdue</v>
      </c>
      <c r="BH23" s="4" t="s">
        <v>127</v>
      </c>
      <c r="BI23" s="51">
        <f t="shared" si="19"/>
        <v>45350</v>
      </c>
      <c r="BJ23" s="38">
        <f t="shared" ca="1" si="20"/>
        <v>643</v>
      </c>
      <c r="BK23" s="38"/>
      <c r="BL23" s="38" t="str">
        <f t="shared" si="21"/>
        <v>Q1</v>
      </c>
      <c r="BM23" s="59">
        <f t="shared" si="15"/>
        <v>45133</v>
      </c>
      <c r="BN23" s="51">
        <f t="shared" si="22"/>
        <v>45350</v>
      </c>
      <c r="BO23" s="54">
        <f t="shared" si="16"/>
        <v>217</v>
      </c>
      <c r="BP23" s="4" t="s">
        <v>125</v>
      </c>
      <c r="BQ23" s="4" t="s">
        <v>118</v>
      </c>
      <c r="BR23" s="18" t="s">
        <v>303</v>
      </c>
      <c r="BS23" s="18" t="s">
        <v>2233</v>
      </c>
      <c r="BT23" s="54" t="str">
        <f t="shared" si="17"/>
        <v>Marketing</v>
      </c>
      <c r="BV23" s="4" t="s">
        <v>125</v>
      </c>
      <c r="BW23" s="4" t="s">
        <v>126</v>
      </c>
      <c r="BX23" s="14" t="s">
        <v>1702</v>
      </c>
      <c r="BY23" s="14" t="s">
        <v>664</v>
      </c>
      <c r="BZ23" s="54" t="str">
        <f t="shared" si="18"/>
        <v>Amlan Nanda</v>
      </c>
      <c r="CB23" s="18" t="s">
        <v>1145</v>
      </c>
      <c r="CC23" s="4" t="s">
        <v>126</v>
      </c>
      <c r="CD23" s="4" t="s">
        <v>119</v>
      </c>
      <c r="CE23" s="54" t="str">
        <v>Design Lead</v>
      </c>
      <c r="CG23" s="54" t="str">
        <f>IFERROR(_xlfn.XLOOKUP(Hiring!A23,Hiring!A23:A422,Hiring!B23:B422,,0),"Not Found")</f>
        <v>Satyajit Pattnaik</v>
      </c>
    </row>
    <row r="24" spans="1:85" ht="30.75">
      <c r="A24" s="22" t="s">
        <v>5824</v>
      </c>
      <c r="B24" s="98" t="s">
        <v>5825</v>
      </c>
      <c r="C24" s="6" t="s">
        <v>5810</v>
      </c>
      <c r="F24" s="3">
        <v>3.9</v>
      </c>
      <c r="G24" s="52" t="str" cm="1">
        <f t="array" ref="G24">_xlfn.IFS(F24&gt;=4.5,"Excellent",AND(F24&gt;=3.5,F24&lt;=4.4),"Good",F24&lt;3.5,"Needs Improvement")</f>
        <v>Good</v>
      </c>
      <c r="I24" s="12">
        <v>98.49</v>
      </c>
      <c r="J24" s="12">
        <v>96.59</v>
      </c>
      <c r="K24" s="54" t="str">
        <f t="shared" si="0"/>
        <v>Within Budget</v>
      </c>
      <c r="M24" s="19"/>
      <c r="N24" s="19">
        <v>64504</v>
      </c>
      <c r="O24" s="54" t="str">
        <f t="shared" si="1"/>
        <v>Yes</v>
      </c>
      <c r="Q24" s="19">
        <v>9.82</v>
      </c>
      <c r="R24" s="56" t="str">
        <f t="shared" si="2"/>
        <v>Yes</v>
      </c>
      <c r="T24" s="19">
        <v>7.66</v>
      </c>
      <c r="U24" s="57" t="str">
        <f t="shared" si="3"/>
        <v>No</v>
      </c>
      <c r="W24" s="19" t="s">
        <v>303</v>
      </c>
      <c r="X24" s="54" t="str">
        <f>VLOOKUP(W24,Employees!$A$1:$B$601,2,FALSE)</f>
        <v>Bikash Biswal</v>
      </c>
      <c r="Z24" s="3" t="s">
        <v>128</v>
      </c>
      <c r="AA24" s="54" t="str">
        <f t="shared" si="4"/>
        <v>0023</v>
      </c>
      <c r="AC24" s="3" t="s">
        <v>118</v>
      </c>
      <c r="AD24" s="54" t="str">
        <f t="shared" si="5"/>
        <v>Marketing</v>
      </c>
      <c r="AF24" s="3" t="s">
        <v>129</v>
      </c>
      <c r="AG24" s="3" t="s">
        <v>118</v>
      </c>
      <c r="AH24" s="3" t="s">
        <v>32</v>
      </c>
      <c r="AI24" s="54" t="str">
        <f t="shared" si="6"/>
        <v>Barsha Choudhury|Marketing|NilGiri Digitals</v>
      </c>
      <c r="AK24" s="3" t="s">
        <v>129</v>
      </c>
      <c r="AL24" s="38" t="str">
        <f t="shared" si="7"/>
        <v>B.C.</v>
      </c>
      <c r="AN24" s="19" t="s">
        <v>5051</v>
      </c>
      <c r="AO24" s="54" t="str">
        <f t="shared" si="8"/>
        <v>Naukri</v>
      </c>
      <c r="AQ24" s="3" t="s">
        <v>129</v>
      </c>
      <c r="AR24" s="52" t="str">
        <f t="shared" si="9"/>
        <v>NO</v>
      </c>
      <c r="AT24" s="12" t="s">
        <v>1705</v>
      </c>
      <c r="AU24" s="54">
        <f t="shared" si="10"/>
        <v>13</v>
      </c>
      <c r="AW24" s="54">
        <f ca="1">DATEDIF(BI24,TODAY(),"Y")</f>
        <v>4</v>
      </c>
      <c r="AX24" s="54"/>
      <c r="AY24" s="40" t="s">
        <v>5070</v>
      </c>
      <c r="AZ24" s="44">
        <f t="shared" si="11"/>
        <v>45256</v>
      </c>
      <c r="BA24" s="54" t="str">
        <f t="shared" si="12"/>
        <v>11-2023</v>
      </c>
      <c r="BC24" s="13" t="s">
        <v>1707</v>
      </c>
      <c r="BD24" s="13">
        <f t="shared" si="13"/>
        <v>45678</v>
      </c>
      <c r="BE24" s="45" t="s">
        <v>1614</v>
      </c>
      <c r="BF24" s="54" t="str">
        <f t="shared" ca="1" si="14"/>
        <v>Overdue</v>
      </c>
      <c r="BH24" s="3" t="s">
        <v>130</v>
      </c>
      <c r="BI24" s="51">
        <f t="shared" si="19"/>
        <v>44734</v>
      </c>
      <c r="BJ24" s="38">
        <f t="shared" ca="1" si="20"/>
        <v>1083</v>
      </c>
      <c r="BK24" s="38"/>
      <c r="BL24" s="38" t="str">
        <f t="shared" si="21"/>
        <v>No</v>
      </c>
      <c r="BM24" s="59">
        <f t="shared" si="15"/>
        <v>45256</v>
      </c>
      <c r="BN24" s="51">
        <f t="shared" si="22"/>
        <v>44734</v>
      </c>
      <c r="BO24" s="54">
        <f t="shared" si="16"/>
        <v>522</v>
      </c>
      <c r="BP24" s="3" t="s">
        <v>128</v>
      </c>
      <c r="BQ24" s="3" t="s">
        <v>118</v>
      </c>
      <c r="BR24" s="19" t="s">
        <v>303</v>
      </c>
      <c r="BS24" s="19" t="s">
        <v>2237</v>
      </c>
      <c r="BT24" s="54" t="str">
        <f t="shared" si="17"/>
        <v>Marketing</v>
      </c>
      <c r="BV24" s="3" t="s">
        <v>128</v>
      </c>
      <c r="BW24" s="3" t="s">
        <v>129</v>
      </c>
      <c r="BX24" s="12" t="s">
        <v>1705</v>
      </c>
      <c r="BY24" s="12" t="s">
        <v>1298</v>
      </c>
      <c r="BZ24" s="54" t="str">
        <f t="shared" si="18"/>
        <v>Tapas Mishra</v>
      </c>
      <c r="CB24" s="19" t="s">
        <v>5069</v>
      </c>
      <c r="CC24" s="3" t="s">
        <v>129</v>
      </c>
      <c r="CD24" s="3" t="s">
        <v>119</v>
      </c>
      <c r="CE24" s="54" t="str">
        <v>Not Found</v>
      </c>
      <c r="CG24" s="54" t="str">
        <f>IFERROR(_xlfn.XLOOKUP(Hiring!A24,Hiring!A24:A423,Hiring!B24:B423,,0),"Not Found")</f>
        <v>Rahul Nanda</v>
      </c>
    </row>
    <row r="25" spans="1:85" ht="30.75">
      <c r="A25" s="22" t="s">
        <v>5826</v>
      </c>
      <c r="B25" s="98" t="s">
        <v>5827</v>
      </c>
      <c r="C25" s="6" t="s">
        <v>5810</v>
      </c>
      <c r="F25" s="4">
        <v>4.5</v>
      </c>
      <c r="G25" s="52" t="str" cm="1">
        <f t="array" ref="G25">_xlfn.IFS(F25&gt;=4.5,"Excellent",AND(F25&gt;=3.5,F25&lt;=4.4),"Good",F25&lt;3.5,"Needs Improvement")</f>
        <v>Excellent</v>
      </c>
      <c r="I25" s="14">
        <v>168.31</v>
      </c>
      <c r="J25" s="14">
        <v>148.69</v>
      </c>
      <c r="K25" s="54" t="str">
        <f t="shared" si="0"/>
        <v>Within Budget</v>
      </c>
      <c r="M25" s="18">
        <v>225137</v>
      </c>
      <c r="N25" s="18">
        <v>196050</v>
      </c>
      <c r="O25" s="54" t="str">
        <f t="shared" si="1"/>
        <v>Yes</v>
      </c>
      <c r="Q25" s="18">
        <v>9.0500000000000007</v>
      </c>
      <c r="R25" s="56" t="str">
        <f t="shared" si="2"/>
        <v>Yes</v>
      </c>
      <c r="T25" s="18">
        <v>3.38</v>
      </c>
      <c r="U25" s="57" t="str">
        <f t="shared" si="3"/>
        <v>No</v>
      </c>
      <c r="W25" s="18" t="s">
        <v>303</v>
      </c>
      <c r="X25" s="54" t="str">
        <f>VLOOKUP(W25,Employees!$A$1:$B$601,2,FALSE)</f>
        <v>Bikash Biswal</v>
      </c>
      <c r="Z25" s="4" t="s">
        <v>131</v>
      </c>
      <c r="AA25" s="54" t="str">
        <f t="shared" si="4"/>
        <v>0024</v>
      </c>
      <c r="AC25" s="4" t="s">
        <v>133</v>
      </c>
      <c r="AD25" s="54" t="str">
        <f t="shared" si="5"/>
        <v>Qa</v>
      </c>
      <c r="AF25" s="4" t="s">
        <v>132</v>
      </c>
      <c r="AG25" s="4" t="s">
        <v>133</v>
      </c>
      <c r="AH25" s="4" t="s">
        <v>53</v>
      </c>
      <c r="AI25" s="54" t="str">
        <f t="shared" si="6"/>
        <v>Smita Tripathy|QA|BlueLotus IT</v>
      </c>
      <c r="AK25" s="4" t="s">
        <v>132</v>
      </c>
      <c r="AL25" s="38" t="str">
        <f t="shared" si="7"/>
        <v>S.T.</v>
      </c>
      <c r="AN25" s="18" t="s">
        <v>5051</v>
      </c>
      <c r="AO25" s="54" t="str">
        <f t="shared" si="8"/>
        <v>Naukri</v>
      </c>
      <c r="AQ25" s="4" t="s">
        <v>132</v>
      </c>
      <c r="AR25" s="52" t="str">
        <f t="shared" si="9"/>
        <v>NO</v>
      </c>
      <c r="AT25" s="14" t="s">
        <v>1709</v>
      </c>
      <c r="AU25" s="54">
        <f t="shared" si="10"/>
        <v>18</v>
      </c>
      <c r="AW25" s="54">
        <f ca="1">DATEDIF(BI25,TODAY(),"Y")</f>
        <v>6</v>
      </c>
      <c r="AX25" s="54"/>
      <c r="AY25" s="41" t="s">
        <v>5072</v>
      </c>
      <c r="AZ25" s="44">
        <f t="shared" si="11"/>
        <v>45387</v>
      </c>
      <c r="BA25" s="54" t="str">
        <f t="shared" si="12"/>
        <v>4-2024</v>
      </c>
      <c r="BC25" s="15" t="s">
        <v>1711</v>
      </c>
      <c r="BD25" s="13">
        <f t="shared" si="13"/>
        <v>44809</v>
      </c>
      <c r="BE25" s="46" t="s">
        <v>1632</v>
      </c>
      <c r="BF25" s="54" t="str">
        <f t="shared" ca="1" si="14"/>
        <v>Overdue</v>
      </c>
      <c r="BH25" s="4" t="s">
        <v>135</v>
      </c>
      <c r="BI25" s="51">
        <f t="shared" si="19"/>
        <v>43814</v>
      </c>
      <c r="BJ25" s="38">
        <f t="shared" ca="1" si="20"/>
        <v>1740</v>
      </c>
      <c r="BK25" s="38"/>
      <c r="BL25" s="38" t="str">
        <f t="shared" si="21"/>
        <v>No</v>
      </c>
      <c r="BM25" s="59">
        <f t="shared" si="15"/>
        <v>45387</v>
      </c>
      <c r="BN25" s="51">
        <f t="shared" si="22"/>
        <v>43814</v>
      </c>
      <c r="BO25" s="54">
        <f t="shared" si="16"/>
        <v>1573</v>
      </c>
      <c r="BP25" s="4" t="s">
        <v>131</v>
      </c>
      <c r="BQ25" s="4" t="s">
        <v>133</v>
      </c>
      <c r="BR25" s="18" t="s">
        <v>303</v>
      </c>
      <c r="BS25" s="18" t="s">
        <v>2240</v>
      </c>
      <c r="BT25" s="54" t="str">
        <f t="shared" si="17"/>
        <v>Marketing</v>
      </c>
      <c r="BV25" s="4" t="s">
        <v>131</v>
      </c>
      <c r="BW25" s="4" t="s">
        <v>132</v>
      </c>
      <c r="BX25" s="14" t="s">
        <v>1709</v>
      </c>
      <c r="BY25" s="14" t="s">
        <v>870</v>
      </c>
      <c r="BZ25" s="54" t="str">
        <f t="shared" si="18"/>
        <v>Barsha Behura</v>
      </c>
      <c r="CB25" s="18" t="s">
        <v>502</v>
      </c>
      <c r="CC25" s="4" t="s">
        <v>132</v>
      </c>
      <c r="CD25" s="4" t="s">
        <v>134</v>
      </c>
      <c r="CE25" s="54" t="str">
        <v>BI Developer</v>
      </c>
      <c r="CG25" s="54" t="str">
        <f>IFERROR(_xlfn.XLOOKUP(Hiring!A25,Hiring!A25:A424,Hiring!B25:B424,,0),"Not Found")</f>
        <v>Rajan Dhal</v>
      </c>
    </row>
    <row r="26" spans="1:85" ht="30.75">
      <c r="A26" s="22" t="s">
        <v>5828</v>
      </c>
      <c r="B26" s="98" t="s">
        <v>5829</v>
      </c>
      <c r="C26" s="6" t="s">
        <v>5810</v>
      </c>
      <c r="F26" s="3">
        <v>4.9000000000000004</v>
      </c>
      <c r="G26" s="52" t="str" cm="1">
        <f t="array" ref="G26">_xlfn.IFS(F26&gt;=4.5,"Excellent",AND(F26&gt;=3.5,F26&lt;=4.4),"Good",F26&lt;3.5,"Needs Improvement")</f>
        <v>Excellent</v>
      </c>
      <c r="I26" s="12">
        <v>31.96</v>
      </c>
      <c r="J26" s="12">
        <v>38.49</v>
      </c>
      <c r="K26" s="54" t="str">
        <f t="shared" si="0"/>
        <v>Over Budget</v>
      </c>
      <c r="M26" s="19">
        <v>66872</v>
      </c>
      <c r="N26" s="19">
        <v>66622</v>
      </c>
      <c r="O26" s="54" t="str">
        <f t="shared" si="1"/>
        <v>Yes</v>
      </c>
      <c r="Q26" s="19">
        <v>7.62</v>
      </c>
      <c r="R26" s="56" t="str">
        <f t="shared" si="2"/>
        <v>Yes</v>
      </c>
      <c r="T26" s="19">
        <v>4.03</v>
      </c>
      <c r="U26" s="57" t="str">
        <f t="shared" si="3"/>
        <v>No</v>
      </c>
      <c r="W26" s="19" t="s">
        <v>303</v>
      </c>
      <c r="X26" s="54" t="str">
        <f>VLOOKUP(W26,Employees!$A$1:$B$601,2,FALSE)</f>
        <v>Bikash Biswal</v>
      </c>
      <c r="Z26" s="3" t="s">
        <v>136</v>
      </c>
      <c r="AA26" s="54" t="str">
        <f t="shared" si="4"/>
        <v>0025</v>
      </c>
      <c r="AC26" s="3" t="s">
        <v>84</v>
      </c>
      <c r="AD26" s="54" t="str">
        <f t="shared" si="5"/>
        <v>Hr</v>
      </c>
      <c r="AF26" s="3" t="s">
        <v>137</v>
      </c>
      <c r="AG26" s="3" t="s">
        <v>84</v>
      </c>
      <c r="AH26" s="3" t="s">
        <v>53</v>
      </c>
      <c r="AI26" s="54" t="str">
        <f t="shared" si="6"/>
        <v>Alka Padhi|HR|BlueLotus IT</v>
      </c>
      <c r="AK26" s="3" t="s">
        <v>137</v>
      </c>
      <c r="AL26" s="38" t="str">
        <f t="shared" si="7"/>
        <v>A.P.</v>
      </c>
      <c r="AN26" s="19" t="s">
        <v>5023</v>
      </c>
      <c r="AO26" s="54" t="str">
        <f t="shared" si="8"/>
        <v>Linkedln</v>
      </c>
      <c r="AQ26" s="3" t="s">
        <v>137</v>
      </c>
      <c r="AR26" s="52" t="str">
        <f t="shared" si="9"/>
        <v>NO</v>
      </c>
      <c r="AT26" s="12" t="s">
        <v>1621</v>
      </c>
      <c r="AU26" s="54">
        <f t="shared" si="10"/>
        <v>24</v>
      </c>
      <c r="AW26" s="54">
        <f ca="1">DATEDIF(BI26,TODAY(),"Y")</f>
        <v>7</v>
      </c>
      <c r="AX26" s="54"/>
      <c r="AY26" s="40" t="s">
        <v>5074</v>
      </c>
      <c r="AZ26" s="44">
        <f t="shared" si="11"/>
        <v>45385</v>
      </c>
      <c r="BA26" s="54" t="str">
        <f t="shared" si="12"/>
        <v>4-2024</v>
      </c>
      <c r="BC26" s="13" t="s">
        <v>1714</v>
      </c>
      <c r="BD26" s="13">
        <f t="shared" si="13"/>
        <v>45378</v>
      </c>
      <c r="BE26" s="45" t="s">
        <v>1625</v>
      </c>
      <c r="BF26" s="54" t="str">
        <f t="shared" ca="1" si="14"/>
        <v>Overdue</v>
      </c>
      <c r="BH26" s="3" t="s">
        <v>139</v>
      </c>
      <c r="BI26" s="51">
        <f t="shared" si="19"/>
        <v>43573</v>
      </c>
      <c r="BJ26" s="38">
        <f t="shared" ca="1" si="20"/>
        <v>1912</v>
      </c>
      <c r="BK26" s="38"/>
      <c r="BL26" s="38" t="str">
        <f t="shared" si="21"/>
        <v>No</v>
      </c>
      <c r="BM26" s="59">
        <f t="shared" si="15"/>
        <v>45385</v>
      </c>
      <c r="BN26" s="51">
        <f t="shared" si="22"/>
        <v>43573</v>
      </c>
      <c r="BO26" s="54">
        <f t="shared" si="16"/>
        <v>1812</v>
      </c>
      <c r="BP26" s="3" t="s">
        <v>136</v>
      </c>
      <c r="BQ26" s="3" t="s">
        <v>84</v>
      </c>
      <c r="BR26" s="19" t="s">
        <v>303</v>
      </c>
      <c r="BS26" s="19" t="s">
        <v>2244</v>
      </c>
      <c r="BT26" s="54" t="str">
        <f t="shared" si="17"/>
        <v>Marketing</v>
      </c>
      <c r="BV26" s="3" t="s">
        <v>136</v>
      </c>
      <c r="BW26" s="3" t="s">
        <v>137</v>
      </c>
      <c r="BX26" s="12" t="s">
        <v>1621</v>
      </c>
      <c r="BY26" s="12" t="s">
        <v>758</v>
      </c>
      <c r="BZ26" s="54" t="str">
        <f t="shared" si="18"/>
        <v>Rajan Behura</v>
      </c>
      <c r="CB26" s="19" t="s">
        <v>1257</v>
      </c>
      <c r="CC26" s="3" t="s">
        <v>137</v>
      </c>
      <c r="CD26" s="3" t="s">
        <v>138</v>
      </c>
      <c r="CE26" s="54" t="str">
        <v>QA Lead</v>
      </c>
      <c r="CG26" s="54" t="str">
        <f>IFERROR(_xlfn.XLOOKUP(Hiring!A26,Hiring!A26:A425,Hiring!B26:B425,,0),"Not Found")</f>
        <v>Puspita Dhal</v>
      </c>
    </row>
    <row r="27" spans="1:85" ht="30.75">
      <c r="A27" s="22" t="s">
        <v>5830</v>
      </c>
      <c r="B27" s="98" t="s">
        <v>5831</v>
      </c>
      <c r="C27" s="6" t="s">
        <v>5810</v>
      </c>
      <c r="F27" s="4">
        <v>4.0999999999999996</v>
      </c>
      <c r="G27" s="52" t="str" cm="1">
        <f t="array" ref="G27">_xlfn.IFS(F27&gt;=4.5,"Excellent",AND(F27&gt;=3.5,F27&lt;=4.4),"Good",F27&lt;3.5,"Needs Improvement")</f>
        <v>Good</v>
      </c>
      <c r="I27" s="14">
        <v>111.45</v>
      </c>
      <c r="J27" s="14">
        <v>106.53</v>
      </c>
      <c r="K27" s="54" t="str">
        <f t="shared" si="0"/>
        <v>Within Budget</v>
      </c>
      <c r="M27" s="18">
        <v>66284</v>
      </c>
      <c r="N27" s="18">
        <v>60845</v>
      </c>
      <c r="O27" s="54" t="str">
        <f t="shared" si="1"/>
        <v>Yes</v>
      </c>
      <c r="Q27" s="18">
        <v>7.45</v>
      </c>
      <c r="R27" s="56" t="str">
        <f t="shared" si="2"/>
        <v>Yes</v>
      </c>
      <c r="T27" s="18">
        <v>3.16</v>
      </c>
      <c r="U27" s="57" t="str">
        <f t="shared" si="3"/>
        <v>No</v>
      </c>
      <c r="W27" s="18" t="s">
        <v>303</v>
      </c>
      <c r="X27" s="54" t="str">
        <f>VLOOKUP(W27,Employees!$A$1:$B$601,2,FALSE)</f>
        <v>Bikash Biswal</v>
      </c>
      <c r="Z27" s="4" t="s">
        <v>140</v>
      </c>
      <c r="AA27" s="54" t="str">
        <f t="shared" si="4"/>
        <v>0026</v>
      </c>
      <c r="AC27" s="4" t="s">
        <v>84</v>
      </c>
      <c r="AD27" s="54" t="str">
        <f t="shared" si="5"/>
        <v>Hr</v>
      </c>
      <c r="AF27" s="4" t="s">
        <v>141</v>
      </c>
      <c r="AG27" s="4" t="s">
        <v>84</v>
      </c>
      <c r="AH27" s="4" t="s">
        <v>26</v>
      </c>
      <c r="AI27" s="54" t="str">
        <f t="shared" si="6"/>
        <v>Saurav Routray|HR|InfySoft Bhubaneswar</v>
      </c>
      <c r="AK27" s="4" t="s">
        <v>141</v>
      </c>
      <c r="AL27" s="38" t="str">
        <f t="shared" si="7"/>
        <v>S.R.</v>
      </c>
      <c r="AN27" s="18" t="s">
        <v>5077</v>
      </c>
      <c r="AO27" s="54" t="b">
        <f t="shared" si="8"/>
        <v>0</v>
      </c>
      <c r="AQ27" s="4" t="s">
        <v>141</v>
      </c>
      <c r="AR27" s="52" t="str">
        <f t="shared" si="9"/>
        <v>NO</v>
      </c>
      <c r="AT27" s="14" t="s">
        <v>1716</v>
      </c>
      <c r="AU27" s="54">
        <f t="shared" si="10"/>
        <v>17</v>
      </c>
      <c r="AW27" s="54">
        <f ca="1">DATEDIF(BI27,TODAY(),"Y")</f>
        <v>5</v>
      </c>
      <c r="AX27" s="54"/>
      <c r="AY27" s="41" t="s">
        <v>5078</v>
      </c>
      <c r="AZ27" s="44">
        <f t="shared" si="11"/>
        <v>45222</v>
      </c>
      <c r="BA27" s="54" t="str">
        <f t="shared" si="12"/>
        <v>10-2023</v>
      </c>
      <c r="BC27" s="15" t="s">
        <v>1718</v>
      </c>
      <c r="BD27" s="13">
        <f t="shared" si="13"/>
        <v>45591</v>
      </c>
      <c r="BE27" s="46" t="s">
        <v>1614</v>
      </c>
      <c r="BF27" s="54" t="str">
        <f t="shared" ca="1" si="14"/>
        <v>Overdue</v>
      </c>
      <c r="BH27" s="4" t="s">
        <v>142</v>
      </c>
      <c r="BI27" s="51">
        <f t="shared" si="19"/>
        <v>44073</v>
      </c>
      <c r="BJ27" s="38">
        <f t="shared" ca="1" si="20"/>
        <v>1555</v>
      </c>
      <c r="BK27" s="38"/>
      <c r="BL27" s="38" t="str">
        <f t="shared" si="21"/>
        <v>No</v>
      </c>
      <c r="BM27" s="59">
        <f t="shared" si="15"/>
        <v>45222</v>
      </c>
      <c r="BN27" s="51">
        <f t="shared" si="22"/>
        <v>44073</v>
      </c>
      <c r="BO27" s="54">
        <f t="shared" si="16"/>
        <v>1149</v>
      </c>
      <c r="BP27" s="4" t="s">
        <v>140</v>
      </c>
      <c r="BQ27" s="4" t="s">
        <v>84</v>
      </c>
      <c r="BR27" s="18" t="s">
        <v>303</v>
      </c>
      <c r="BS27" s="18" t="s">
        <v>2248</v>
      </c>
      <c r="BT27" s="54" t="str">
        <f t="shared" si="17"/>
        <v>Marketing</v>
      </c>
      <c r="BV27" s="4" t="s">
        <v>140</v>
      </c>
      <c r="BW27" s="4" t="s">
        <v>141</v>
      </c>
      <c r="BX27" s="14" t="s">
        <v>1716</v>
      </c>
      <c r="BY27" s="14" t="s">
        <v>1450</v>
      </c>
      <c r="BZ27" s="54" t="str">
        <f t="shared" si="18"/>
        <v>Ankita Mohapatra</v>
      </c>
      <c r="CB27" s="18" t="s">
        <v>5076</v>
      </c>
      <c r="CC27" s="4" t="s">
        <v>141</v>
      </c>
      <c r="CD27" s="4" t="s">
        <v>138</v>
      </c>
      <c r="CE27" s="54" t="str">
        <v>Not Found</v>
      </c>
      <c r="CG27" s="54" t="str">
        <f>IFERROR(_xlfn.XLOOKUP(Hiring!A27,Hiring!A27:A426,Hiring!B27:B426,,0),"Not Found")</f>
        <v>Ankita Mishra</v>
      </c>
    </row>
    <row r="28" spans="1:85">
      <c r="A28" s="22" t="s">
        <v>5832</v>
      </c>
      <c r="B28" s="98" t="s">
        <v>5833</v>
      </c>
      <c r="C28" s="6" t="s">
        <v>5810</v>
      </c>
      <c r="F28" s="3">
        <v>3.9</v>
      </c>
      <c r="G28" s="52" t="str" cm="1">
        <f t="array" ref="G28">_xlfn.IFS(F28&gt;=4.5,"Excellent",AND(F28&gt;=3.5,F28&lt;=4.4),"Good",F28&lt;3.5,"Needs Improvement")</f>
        <v>Good</v>
      </c>
      <c r="I28" s="12">
        <v>183.02</v>
      </c>
      <c r="J28" s="12">
        <v>236.49</v>
      </c>
      <c r="K28" s="54" t="str">
        <f t="shared" si="0"/>
        <v>Over Budget</v>
      </c>
      <c r="M28" s="19">
        <v>117989</v>
      </c>
      <c r="N28" s="19">
        <v>129397</v>
      </c>
      <c r="O28" s="54" t="str">
        <f t="shared" si="1"/>
        <v>Yes</v>
      </c>
      <c r="Q28" s="19">
        <v>9.31</v>
      </c>
      <c r="R28" s="56" t="str">
        <f t="shared" si="2"/>
        <v>Yes</v>
      </c>
      <c r="T28" s="19">
        <v>28.57</v>
      </c>
      <c r="U28" s="57" t="str">
        <f t="shared" si="3"/>
        <v>High Attrition</v>
      </c>
      <c r="W28" s="19" t="s">
        <v>303</v>
      </c>
      <c r="X28" s="54" t="str">
        <f>VLOOKUP(W28,Employees!$A$1:$B$601,2,FALSE)</f>
        <v>Bikash Biswal</v>
      </c>
      <c r="Z28" s="3" t="s">
        <v>143</v>
      </c>
      <c r="AA28" s="54" t="str">
        <f t="shared" si="4"/>
        <v>0027</v>
      </c>
      <c r="AC28" s="3" t="s">
        <v>63</v>
      </c>
      <c r="AD28" s="54" t="str">
        <f t="shared" si="5"/>
        <v>Product</v>
      </c>
      <c r="AF28" s="3" t="s">
        <v>144</v>
      </c>
      <c r="AG28" s="3" t="s">
        <v>63</v>
      </c>
      <c r="AH28" s="3" t="s">
        <v>32</v>
      </c>
      <c r="AI28" s="54" t="str">
        <f t="shared" si="6"/>
        <v>Ranjit Dhal|Product|NilGiri Digitals</v>
      </c>
      <c r="AK28" s="3" t="s">
        <v>144</v>
      </c>
      <c r="AL28" s="38" t="str">
        <f t="shared" si="7"/>
        <v>R.D.</v>
      </c>
      <c r="AN28" s="19" t="s">
        <v>5016</v>
      </c>
      <c r="AO28" s="54" t="b">
        <f t="shared" si="8"/>
        <v>0</v>
      </c>
      <c r="AQ28" s="3" t="s">
        <v>144</v>
      </c>
      <c r="AR28" s="52" t="str">
        <f t="shared" si="9"/>
        <v>NO</v>
      </c>
      <c r="AT28" s="12" t="s">
        <v>1720</v>
      </c>
      <c r="AU28" s="54">
        <f t="shared" si="10"/>
        <v>10</v>
      </c>
      <c r="AW28" s="54">
        <f ca="1">DATEDIF(BI28,TODAY(),"Y")</f>
        <v>7</v>
      </c>
      <c r="AX28" s="54"/>
      <c r="AY28" s="40" t="s">
        <v>5081</v>
      </c>
      <c r="AZ28" s="44">
        <f t="shared" si="11"/>
        <v>45190</v>
      </c>
      <c r="BA28" s="54" t="str">
        <f t="shared" si="12"/>
        <v>9-2023</v>
      </c>
      <c r="BC28" s="13" t="s">
        <v>1721</v>
      </c>
      <c r="BD28" s="13">
        <f t="shared" si="13"/>
        <v>44927</v>
      </c>
      <c r="BE28" s="45" t="s">
        <v>1625</v>
      </c>
      <c r="BF28" s="54" t="str">
        <f t="shared" ca="1" si="14"/>
        <v>Overdue</v>
      </c>
      <c r="BH28" s="3" t="s">
        <v>146</v>
      </c>
      <c r="BI28" s="51">
        <f t="shared" si="19"/>
        <v>43564</v>
      </c>
      <c r="BJ28" s="38">
        <f t="shared" ca="1" si="20"/>
        <v>1919</v>
      </c>
      <c r="BK28" s="38"/>
      <c r="BL28" s="38" t="str">
        <f t="shared" si="21"/>
        <v>No</v>
      </c>
      <c r="BM28" s="59">
        <f t="shared" si="15"/>
        <v>45190</v>
      </c>
      <c r="BN28" s="51">
        <f t="shared" si="22"/>
        <v>43564</v>
      </c>
      <c r="BO28" s="54">
        <f t="shared" si="16"/>
        <v>1626</v>
      </c>
      <c r="BP28" s="3" t="s">
        <v>143</v>
      </c>
      <c r="BQ28" s="3" t="s">
        <v>63</v>
      </c>
      <c r="BR28" s="19" t="s">
        <v>303</v>
      </c>
      <c r="BS28" s="19" t="s">
        <v>2251</v>
      </c>
      <c r="BT28" s="54" t="str">
        <f t="shared" si="17"/>
        <v>Marketing</v>
      </c>
      <c r="BV28" s="3" t="s">
        <v>143</v>
      </c>
      <c r="BW28" s="3" t="s">
        <v>144</v>
      </c>
      <c r="BX28" s="12" t="s">
        <v>1720</v>
      </c>
      <c r="BY28" s="12" t="s">
        <v>1590</v>
      </c>
      <c r="BZ28" s="54" t="str">
        <f t="shared" si="18"/>
        <v>Alka Routray</v>
      </c>
      <c r="CB28" s="19" t="s">
        <v>5080</v>
      </c>
      <c r="CC28" s="3" t="s">
        <v>144</v>
      </c>
      <c r="CD28" s="3" t="s">
        <v>145</v>
      </c>
      <c r="CE28" s="54" t="str">
        <v>Not Found</v>
      </c>
      <c r="CG28" s="54" t="str">
        <f>IFERROR(_xlfn.XLOOKUP(Hiring!A28,Hiring!A28:A427,Hiring!B28:B427,,0),"Not Found")</f>
        <v>Namita Biswal</v>
      </c>
    </row>
    <row r="29" spans="1:85">
      <c r="A29" s="22" t="s">
        <v>5834</v>
      </c>
      <c r="B29" s="98" t="s">
        <v>5835</v>
      </c>
      <c r="C29" s="6" t="s">
        <v>5810</v>
      </c>
      <c r="F29" s="4">
        <v>2.8</v>
      </c>
      <c r="G29" s="52" t="str" cm="1">
        <f t="array" ref="G29">_xlfn.IFS(F29&gt;=4.5,"Excellent",AND(F29&gt;=3.5,F29&lt;=4.4),"Good",F29&lt;3.5,"Needs Improvement")</f>
        <v>Needs Improvement</v>
      </c>
      <c r="I29" s="14">
        <v>138.96</v>
      </c>
      <c r="J29" s="14">
        <v>163.13999999999999</v>
      </c>
      <c r="K29" s="54" t="str">
        <f t="shared" si="0"/>
        <v>Over Budget</v>
      </c>
      <c r="M29" s="18"/>
      <c r="N29" s="18">
        <v>199530</v>
      </c>
      <c r="O29" s="54" t="str">
        <f t="shared" si="1"/>
        <v>Yes</v>
      </c>
      <c r="Q29" s="18">
        <v>8.44</v>
      </c>
      <c r="R29" s="56" t="str">
        <f t="shared" si="2"/>
        <v>Yes</v>
      </c>
      <c r="T29" s="18">
        <v>2.02</v>
      </c>
      <c r="U29" s="57" t="str">
        <f t="shared" si="3"/>
        <v>No</v>
      </c>
      <c r="W29" s="18" t="s">
        <v>303</v>
      </c>
      <c r="X29" s="54" t="str">
        <f>VLOOKUP(W29,Employees!$A$1:$B$601,2,FALSE)</f>
        <v>Bikash Biswal</v>
      </c>
      <c r="Z29" s="4" t="s">
        <v>147</v>
      </c>
      <c r="AA29" s="54" t="str">
        <f t="shared" si="4"/>
        <v>0028</v>
      </c>
      <c r="AC29" s="4" t="s">
        <v>63</v>
      </c>
      <c r="AD29" s="54" t="str">
        <f t="shared" si="5"/>
        <v>Product</v>
      </c>
      <c r="AF29" s="4" t="s">
        <v>148</v>
      </c>
      <c r="AG29" s="4" t="s">
        <v>63</v>
      </c>
      <c r="AH29" s="4" t="s">
        <v>149</v>
      </c>
      <c r="AI29" s="54" t="str">
        <f t="shared" si="6"/>
        <v>Soumya Senapati|Product|SilverByte Systems</v>
      </c>
      <c r="AK29" s="4" t="s">
        <v>148</v>
      </c>
      <c r="AL29" s="38" t="str">
        <f t="shared" si="7"/>
        <v>S.S.</v>
      </c>
      <c r="AN29" s="18" t="s">
        <v>5025</v>
      </c>
      <c r="AO29" s="54" t="b">
        <f t="shared" si="8"/>
        <v>0</v>
      </c>
      <c r="AQ29" s="4" t="s">
        <v>148</v>
      </c>
      <c r="AR29" s="52" t="str">
        <f t="shared" si="9"/>
        <v>NO</v>
      </c>
      <c r="AT29" s="14" t="s">
        <v>1693</v>
      </c>
      <c r="AU29" s="54">
        <f t="shared" si="10"/>
        <v>17</v>
      </c>
      <c r="AW29" s="54">
        <f ca="1">DATEDIF(BI29,TODAY(),"Y")</f>
        <v>6</v>
      </c>
      <c r="AX29" s="54"/>
      <c r="AY29" s="41" t="s">
        <v>5083</v>
      </c>
      <c r="AZ29" s="44">
        <f t="shared" si="11"/>
        <v>45626</v>
      </c>
      <c r="BA29" s="54" t="str">
        <f t="shared" si="12"/>
        <v>11-2024</v>
      </c>
      <c r="BC29" s="15" t="s">
        <v>1724</v>
      </c>
      <c r="BD29" s="13">
        <f t="shared" si="13"/>
        <v>45028</v>
      </c>
      <c r="BE29" s="46" t="s">
        <v>1656</v>
      </c>
      <c r="BF29" s="54" t="str">
        <f t="shared" ca="1" si="14"/>
        <v>Overdue</v>
      </c>
      <c r="BH29" s="4" t="s">
        <v>150</v>
      </c>
      <c r="BI29" s="51">
        <f t="shared" si="19"/>
        <v>43866</v>
      </c>
      <c r="BJ29" s="38">
        <f t="shared" ca="1" si="20"/>
        <v>1703</v>
      </c>
      <c r="BK29" s="38"/>
      <c r="BL29" s="38" t="str">
        <f t="shared" si="21"/>
        <v>Q1</v>
      </c>
      <c r="BM29" s="59">
        <f t="shared" si="15"/>
        <v>45626</v>
      </c>
      <c r="BN29" s="51">
        <f t="shared" si="22"/>
        <v>43866</v>
      </c>
      <c r="BO29" s="54">
        <f t="shared" si="16"/>
        <v>1760</v>
      </c>
      <c r="BP29" s="4" t="s">
        <v>147</v>
      </c>
      <c r="BQ29" s="4" t="s">
        <v>63</v>
      </c>
      <c r="BR29" s="18" t="s">
        <v>303</v>
      </c>
      <c r="BS29" s="18" t="s">
        <v>2255</v>
      </c>
      <c r="BT29" s="54" t="str">
        <f t="shared" si="17"/>
        <v>Marketing</v>
      </c>
      <c r="BV29" s="4" t="s">
        <v>147</v>
      </c>
      <c r="BW29" s="4" t="s">
        <v>148</v>
      </c>
      <c r="BX29" s="14" t="s">
        <v>1693</v>
      </c>
      <c r="BY29" s="14" t="s">
        <v>1300</v>
      </c>
      <c r="BZ29" s="54" t="str">
        <f t="shared" si="18"/>
        <v>Barsha Pattnaik</v>
      </c>
      <c r="CB29" s="18" t="s">
        <v>1297</v>
      </c>
      <c r="CC29" s="4" t="s">
        <v>148</v>
      </c>
      <c r="CD29" s="4" t="s">
        <v>145</v>
      </c>
      <c r="CE29" s="54" t="str">
        <v>Product Manager</v>
      </c>
      <c r="CG29" s="54" t="str">
        <f>IFERROR(_xlfn.XLOOKUP(Hiring!A29,Hiring!A29:A428,Hiring!B29:B428,,0),"Not Found")</f>
        <v>Ranjit Parida</v>
      </c>
    </row>
    <row r="30" spans="1:85">
      <c r="B30" s="100"/>
      <c r="F30" s="3">
        <v>4.7</v>
      </c>
      <c r="G30" s="52" t="str" cm="1">
        <f t="array" ref="G30">_xlfn.IFS(F30&gt;=4.5,"Excellent",AND(F30&gt;=3.5,F30&lt;=4.4),"Good",F30&lt;3.5,"Needs Improvement")</f>
        <v>Excellent</v>
      </c>
      <c r="I30" s="12">
        <v>34.36</v>
      </c>
      <c r="J30" s="12">
        <v>35.61</v>
      </c>
      <c r="K30" s="54" t="str">
        <f t="shared" si="0"/>
        <v>Over Budget</v>
      </c>
      <c r="M30" s="19">
        <v>185498</v>
      </c>
      <c r="N30" s="19">
        <v>169961</v>
      </c>
      <c r="O30" s="54" t="str">
        <f t="shared" si="1"/>
        <v>Yes</v>
      </c>
      <c r="Q30" s="19">
        <v>7.26</v>
      </c>
      <c r="R30" s="56" t="str">
        <f t="shared" si="2"/>
        <v>Yes</v>
      </c>
      <c r="T30" s="19">
        <v>3.06</v>
      </c>
      <c r="U30" s="57" t="str">
        <f t="shared" si="3"/>
        <v>No</v>
      </c>
      <c r="W30" s="19" t="s">
        <v>303</v>
      </c>
      <c r="X30" s="54" t="str">
        <f>VLOOKUP(W30,Employees!$A$1:$B$601,2,FALSE)</f>
        <v>Bikash Biswal</v>
      </c>
      <c r="Z30" s="3" t="s">
        <v>151</v>
      </c>
      <c r="AA30" s="54" t="str">
        <f t="shared" si="4"/>
        <v>0029</v>
      </c>
      <c r="AC30" s="3" t="s">
        <v>133</v>
      </c>
      <c r="AD30" s="54" t="str">
        <f t="shared" si="5"/>
        <v>Qa</v>
      </c>
      <c r="AF30" s="3" t="s">
        <v>152</v>
      </c>
      <c r="AG30" s="3" t="s">
        <v>133</v>
      </c>
      <c r="AH30" s="3" t="s">
        <v>18</v>
      </c>
      <c r="AI30" s="54" t="str">
        <f t="shared" si="6"/>
        <v>Dibya Senapati|QA|CoastalDev Studio</v>
      </c>
      <c r="AK30" s="3" t="s">
        <v>152</v>
      </c>
      <c r="AL30" s="38" t="str">
        <f t="shared" si="7"/>
        <v>D.S.</v>
      </c>
      <c r="AN30" s="19" t="s">
        <v>5051</v>
      </c>
      <c r="AO30" s="54" t="str">
        <f t="shared" si="8"/>
        <v>Naukri</v>
      </c>
      <c r="AQ30" s="3" t="s">
        <v>152</v>
      </c>
      <c r="AR30" s="52" t="str">
        <f t="shared" si="9"/>
        <v>NO</v>
      </c>
      <c r="AT30" s="12" t="s">
        <v>1653</v>
      </c>
      <c r="AU30" s="54">
        <f t="shared" si="10"/>
        <v>19</v>
      </c>
      <c r="AW30" s="54">
        <f ca="1">DATEDIF(BI30,TODAY(),"Y")</f>
        <v>6</v>
      </c>
      <c r="AX30" s="54"/>
      <c r="AY30" s="40" t="s">
        <v>2215</v>
      </c>
      <c r="AZ30" s="44">
        <f t="shared" si="11"/>
        <v>45559</v>
      </c>
      <c r="BA30" s="54" t="str">
        <f t="shared" si="12"/>
        <v>9-2024</v>
      </c>
      <c r="BC30" s="13" t="s">
        <v>1727</v>
      </c>
      <c r="BD30" s="13">
        <f t="shared" si="13"/>
        <v>44418</v>
      </c>
      <c r="BE30" s="45" t="s">
        <v>1625</v>
      </c>
      <c r="BF30" s="54" t="str">
        <f t="shared" ca="1" si="14"/>
        <v>Overdue</v>
      </c>
      <c r="BH30" s="3" t="s">
        <v>99</v>
      </c>
      <c r="BI30" s="51">
        <f t="shared" si="19"/>
        <v>43779</v>
      </c>
      <c r="BJ30" s="38">
        <f t="shared" ca="1" si="20"/>
        <v>1765</v>
      </c>
      <c r="BK30" s="38"/>
      <c r="BL30" s="38" t="str">
        <f t="shared" si="21"/>
        <v>No</v>
      </c>
      <c r="BM30" s="59">
        <f t="shared" si="15"/>
        <v>45559</v>
      </c>
      <c r="BN30" s="51">
        <f t="shared" si="22"/>
        <v>43779</v>
      </c>
      <c r="BO30" s="54">
        <f t="shared" si="16"/>
        <v>1780</v>
      </c>
      <c r="BP30" s="3" t="s">
        <v>151</v>
      </c>
      <c r="BQ30" s="3" t="s">
        <v>133</v>
      </c>
      <c r="BR30" s="19" t="s">
        <v>303</v>
      </c>
      <c r="BS30" s="19" t="s">
        <v>2259</v>
      </c>
      <c r="BT30" s="54" t="str">
        <f t="shared" si="17"/>
        <v>Marketing</v>
      </c>
      <c r="BV30" s="3" t="s">
        <v>151</v>
      </c>
      <c r="BW30" s="3" t="s">
        <v>152</v>
      </c>
      <c r="BX30" s="12" t="s">
        <v>1653</v>
      </c>
      <c r="BY30" s="12" t="s">
        <v>560</v>
      </c>
      <c r="BZ30" s="54" t="str">
        <f t="shared" si="18"/>
        <v>Soumya Tripathy</v>
      </c>
      <c r="CB30" s="19" t="s">
        <v>5085</v>
      </c>
      <c r="CC30" s="3" t="s">
        <v>152</v>
      </c>
      <c r="CD30" s="3" t="s">
        <v>153</v>
      </c>
      <c r="CE30" s="54" t="str">
        <v>Not Found</v>
      </c>
      <c r="CG30" s="54" t="str">
        <f>IFERROR(_xlfn.XLOOKUP(Hiring!A30,Hiring!A30:A429,Hiring!B30:B429,,0),"Not Found")</f>
        <v>Namita Behura</v>
      </c>
    </row>
    <row r="31" spans="1:85">
      <c r="A31" s="101" t="s">
        <v>5836</v>
      </c>
      <c r="B31" s="102"/>
      <c r="F31" s="4">
        <v>3.1</v>
      </c>
      <c r="G31" s="52" t="str" cm="1">
        <f t="array" ref="G31">_xlfn.IFS(F31&gt;=4.5,"Excellent",AND(F31&gt;=3.5,F31&lt;=4.4),"Good",F31&lt;3.5,"Needs Improvement")</f>
        <v>Needs Improvement</v>
      </c>
      <c r="I31" s="14">
        <v>66.930000000000007</v>
      </c>
      <c r="J31" s="14">
        <v>50.48</v>
      </c>
      <c r="K31" s="54" t="str">
        <f t="shared" si="0"/>
        <v>Within Budget</v>
      </c>
      <c r="M31" s="18">
        <v>125277</v>
      </c>
      <c r="N31" s="18">
        <v>131761</v>
      </c>
      <c r="O31" s="54" t="str">
        <f t="shared" si="1"/>
        <v>Yes</v>
      </c>
      <c r="Q31" s="18">
        <v>10.71</v>
      </c>
      <c r="R31" s="56" t="str">
        <f t="shared" si="2"/>
        <v>Yes</v>
      </c>
      <c r="T31" s="18">
        <v>15</v>
      </c>
      <c r="U31" s="57" t="str">
        <f t="shared" si="3"/>
        <v>High Attrition</v>
      </c>
      <c r="W31" s="18" t="s">
        <v>303</v>
      </c>
      <c r="X31" s="54" t="str">
        <f>VLOOKUP(W31,Employees!$A$1:$B$601,2,FALSE)</f>
        <v>Bikash Biswal</v>
      </c>
      <c r="Z31" s="4" t="s">
        <v>154</v>
      </c>
      <c r="AA31" s="54" t="str">
        <f t="shared" si="4"/>
        <v>0030</v>
      </c>
      <c r="AC31" s="4" t="s">
        <v>133</v>
      </c>
      <c r="AD31" s="54" t="str">
        <f t="shared" si="5"/>
        <v>Qa</v>
      </c>
      <c r="AF31" s="4" t="s">
        <v>155</v>
      </c>
      <c r="AG31" s="4" t="s">
        <v>133</v>
      </c>
      <c r="AH31" s="4" t="s">
        <v>18</v>
      </c>
      <c r="AI31" s="54" t="str">
        <f t="shared" si="6"/>
        <v>Puspita Mohapatra|QA|CoastalDev Studio</v>
      </c>
      <c r="AK31" s="4" t="s">
        <v>155</v>
      </c>
      <c r="AL31" s="38" t="str">
        <f t="shared" si="7"/>
        <v>P.M.</v>
      </c>
      <c r="AN31" s="18" t="s">
        <v>5016</v>
      </c>
      <c r="AO31" s="54" t="b">
        <f t="shared" si="8"/>
        <v>0</v>
      </c>
      <c r="AQ31" s="4" t="s">
        <v>155</v>
      </c>
      <c r="AR31" s="52" t="str">
        <f t="shared" si="9"/>
        <v>NO</v>
      </c>
      <c r="AT31" s="14" t="s">
        <v>1729</v>
      </c>
      <c r="AU31" s="54">
        <f t="shared" si="10"/>
        <v>18</v>
      </c>
      <c r="AW31" s="54">
        <f ca="1">DATEDIF(BI31,TODAY(),"Y")</f>
        <v>3</v>
      </c>
      <c r="AX31" s="54"/>
      <c r="AY31" s="41" t="s">
        <v>5087</v>
      </c>
      <c r="AZ31" s="44">
        <f t="shared" si="11"/>
        <v>45094</v>
      </c>
      <c r="BA31" s="54" t="str">
        <f t="shared" si="12"/>
        <v>6-2023</v>
      </c>
      <c r="BC31" s="15" t="s">
        <v>1732</v>
      </c>
      <c r="BD31" s="13">
        <f t="shared" si="13"/>
        <v>45638</v>
      </c>
      <c r="BE31" s="46" t="s">
        <v>1625</v>
      </c>
      <c r="BF31" s="54" t="str">
        <f t="shared" ca="1" si="14"/>
        <v>Overdue</v>
      </c>
      <c r="BH31" s="4" t="s">
        <v>156</v>
      </c>
      <c r="BI31" s="51">
        <f t="shared" si="19"/>
        <v>44874</v>
      </c>
      <c r="BJ31" s="38">
        <f t="shared" ca="1" si="20"/>
        <v>983</v>
      </c>
      <c r="BK31" s="38"/>
      <c r="BL31" s="38" t="str">
        <f t="shared" si="21"/>
        <v>No</v>
      </c>
      <c r="BM31" s="59">
        <f t="shared" si="15"/>
        <v>45094</v>
      </c>
      <c r="BN31" s="51">
        <f t="shared" si="22"/>
        <v>44874</v>
      </c>
      <c r="BO31" s="54">
        <f t="shared" si="16"/>
        <v>220</v>
      </c>
      <c r="BP31" s="4" t="s">
        <v>154</v>
      </c>
      <c r="BQ31" s="4" t="s">
        <v>133</v>
      </c>
      <c r="BR31" s="18" t="s">
        <v>303</v>
      </c>
      <c r="BS31" s="18" t="s">
        <v>2263</v>
      </c>
      <c r="BT31" s="54" t="str">
        <f t="shared" si="17"/>
        <v>Marketing</v>
      </c>
      <c r="BV31" s="4" t="s">
        <v>154</v>
      </c>
      <c r="BW31" s="4" t="s">
        <v>155</v>
      </c>
      <c r="BX31" s="14" t="s">
        <v>1729</v>
      </c>
      <c r="BY31" s="14" t="s">
        <v>1124</v>
      </c>
      <c r="BZ31" s="54" t="str">
        <f t="shared" si="18"/>
        <v>Priyanka Samal</v>
      </c>
      <c r="CB31" s="18" t="s">
        <v>1460</v>
      </c>
      <c r="CC31" s="4" t="s">
        <v>155</v>
      </c>
      <c r="CD31" s="4" t="s">
        <v>153</v>
      </c>
      <c r="CE31" s="54" t="str">
        <v>Sales Manager</v>
      </c>
      <c r="CG31" s="54" t="str">
        <f>IFERROR(_xlfn.XLOOKUP(Hiring!A31,Hiring!A31:A430,Hiring!B31:B430,,0),"Not Found")</f>
        <v>Soumya Prusty</v>
      </c>
    </row>
    <row r="32" spans="1:85" ht="30.75">
      <c r="A32" s="22" t="s">
        <v>5837</v>
      </c>
      <c r="B32" s="97" t="s">
        <v>5838</v>
      </c>
      <c r="C32" s="6" t="s">
        <v>5810</v>
      </c>
      <c r="F32" s="3">
        <v>2.2999999999999998</v>
      </c>
      <c r="G32" s="52" t="str" cm="1">
        <f t="array" ref="G32">_xlfn.IFS(F32&gt;=4.5,"Excellent",AND(F32&gt;=3.5,F32&lt;=4.4),"Good",F32&lt;3.5,"Needs Improvement")</f>
        <v>Needs Improvement</v>
      </c>
      <c r="I32" s="12">
        <v>196.41</v>
      </c>
      <c r="J32" s="12">
        <v>248.34</v>
      </c>
      <c r="K32" s="54" t="str">
        <f t="shared" si="0"/>
        <v>Over Budget</v>
      </c>
      <c r="M32" s="19">
        <v>193212</v>
      </c>
      <c r="N32" s="19">
        <v>180507</v>
      </c>
      <c r="O32" s="54" t="str">
        <f t="shared" si="1"/>
        <v>Yes</v>
      </c>
      <c r="Q32" s="19">
        <v>8.59</v>
      </c>
      <c r="R32" s="56" t="str">
        <f t="shared" si="2"/>
        <v>Yes</v>
      </c>
      <c r="T32" s="19">
        <v>25</v>
      </c>
      <c r="U32" s="57" t="str">
        <f t="shared" si="3"/>
        <v>High Attrition</v>
      </c>
      <c r="W32" s="19" t="s">
        <v>303</v>
      </c>
      <c r="X32" s="54" t="str">
        <f>VLOOKUP(W32,Employees!$A$1:$B$601,2,FALSE)</f>
        <v>Bikash Biswal</v>
      </c>
      <c r="Z32" s="3" t="s">
        <v>157</v>
      </c>
      <c r="AA32" s="54" t="str">
        <f t="shared" si="4"/>
        <v>0031</v>
      </c>
      <c r="AC32" s="3" t="s">
        <v>16</v>
      </c>
      <c r="AD32" s="54" t="str">
        <f t="shared" si="5"/>
        <v>Devops</v>
      </c>
      <c r="AF32" s="3" t="s">
        <v>158</v>
      </c>
      <c r="AG32" s="3" t="s">
        <v>16</v>
      </c>
      <c r="AH32" s="3" t="s">
        <v>149</v>
      </c>
      <c r="AI32" s="54" t="str">
        <f t="shared" si="6"/>
        <v>Barsha Mohapatra|DevOps|SilverByte Systems</v>
      </c>
      <c r="AK32" s="3" t="s">
        <v>158</v>
      </c>
      <c r="AL32" s="38" t="str">
        <f t="shared" si="7"/>
        <v>B.M.</v>
      </c>
      <c r="AN32" s="19" t="s">
        <v>5060</v>
      </c>
      <c r="AO32" s="54" t="str">
        <f t="shared" si="8"/>
        <v>Naukri</v>
      </c>
      <c r="AQ32" s="3" t="s">
        <v>158</v>
      </c>
      <c r="AR32" s="52" t="str">
        <f t="shared" si="9"/>
        <v>NO</v>
      </c>
      <c r="AT32" s="12" t="s">
        <v>1699</v>
      </c>
      <c r="AU32" s="54">
        <f t="shared" si="10"/>
        <v>18</v>
      </c>
      <c r="AW32" s="54">
        <f ca="1">DATEDIF(BI32,TODAY(),"Y")</f>
        <v>6</v>
      </c>
      <c r="AX32" s="54"/>
      <c r="AY32" s="40" t="s">
        <v>1430</v>
      </c>
      <c r="AZ32" s="44">
        <f t="shared" si="11"/>
        <v>45018</v>
      </c>
      <c r="BA32" s="54" t="str">
        <f t="shared" si="12"/>
        <v>4-2023</v>
      </c>
      <c r="BC32" s="13" t="s">
        <v>1412</v>
      </c>
      <c r="BD32" s="13">
        <f t="shared" si="13"/>
        <v>44436</v>
      </c>
      <c r="BE32" s="45" t="s">
        <v>1656</v>
      </c>
      <c r="BF32" s="54" t="str">
        <f t="shared" ca="1" si="14"/>
        <v>Overdue</v>
      </c>
      <c r="BH32" s="3" t="s">
        <v>159</v>
      </c>
      <c r="BI32" s="51">
        <f t="shared" si="19"/>
        <v>43794</v>
      </c>
      <c r="BJ32" s="38">
        <f t="shared" ca="1" si="20"/>
        <v>1755</v>
      </c>
      <c r="BK32" s="38"/>
      <c r="BL32" s="38" t="str">
        <f t="shared" si="21"/>
        <v>No</v>
      </c>
      <c r="BM32" s="59">
        <f t="shared" si="15"/>
        <v>45018</v>
      </c>
      <c r="BN32" s="51">
        <f t="shared" si="22"/>
        <v>43794</v>
      </c>
      <c r="BO32" s="54">
        <f t="shared" si="16"/>
        <v>1224</v>
      </c>
      <c r="BP32" s="3" t="s">
        <v>157</v>
      </c>
      <c r="BQ32" s="3" t="s">
        <v>16</v>
      </c>
      <c r="BR32" s="19" t="s">
        <v>303</v>
      </c>
      <c r="BS32" s="19" t="s">
        <v>2265</v>
      </c>
      <c r="BT32" s="54" t="str">
        <f t="shared" si="17"/>
        <v>Marketing</v>
      </c>
      <c r="BV32" s="3" t="s">
        <v>157</v>
      </c>
      <c r="BW32" s="3" t="s">
        <v>158</v>
      </c>
      <c r="BX32" s="12" t="s">
        <v>1699</v>
      </c>
      <c r="BY32" s="12" t="s">
        <v>419</v>
      </c>
      <c r="BZ32" s="54" t="str">
        <f t="shared" si="18"/>
        <v>Satyajit Mishra</v>
      </c>
      <c r="CB32" s="19" t="s">
        <v>631</v>
      </c>
      <c r="CC32" s="3" t="s">
        <v>158</v>
      </c>
      <c r="CD32" s="3" t="s">
        <v>98</v>
      </c>
      <c r="CE32" s="54" t="str">
        <v>Content Strategist</v>
      </c>
      <c r="CG32" s="54" t="str">
        <f>IFERROR(_xlfn.XLOOKUP(Hiring!A32,Hiring!A32:A431,Hiring!B32:B431,,0),"Not Found")</f>
        <v>Nirmal Mishra</v>
      </c>
    </row>
    <row r="33" spans="1:85">
      <c r="A33" s="22" t="s">
        <v>5839</v>
      </c>
      <c r="B33" s="98" t="s">
        <v>5840</v>
      </c>
      <c r="C33" s="6" t="s">
        <v>5810</v>
      </c>
      <c r="F33" s="4">
        <v>2.2000000000000002</v>
      </c>
      <c r="G33" s="52" t="str" cm="1">
        <f t="array" ref="G33">_xlfn.IFS(F33&gt;=4.5,"Excellent",AND(F33&gt;=3.5,F33&lt;=4.4),"Good",F33&lt;3.5,"Needs Improvement")</f>
        <v>Needs Improvement</v>
      </c>
      <c r="I33" s="14">
        <v>77.56</v>
      </c>
      <c r="J33" s="14">
        <v>77.319999999999993</v>
      </c>
      <c r="K33" s="54" t="str">
        <f t="shared" si="0"/>
        <v>Within Budget</v>
      </c>
      <c r="M33" s="18">
        <v>151325</v>
      </c>
      <c r="N33" s="18">
        <v>158520</v>
      </c>
      <c r="O33" s="54" t="str">
        <f t="shared" si="1"/>
        <v>Yes</v>
      </c>
      <c r="Q33" s="18">
        <v>9.27</v>
      </c>
      <c r="R33" s="56" t="str">
        <f t="shared" si="2"/>
        <v>Yes</v>
      </c>
      <c r="T33" s="18">
        <v>9.09</v>
      </c>
      <c r="U33" s="57" t="str">
        <f t="shared" si="3"/>
        <v>No</v>
      </c>
      <c r="W33" s="18" t="s">
        <v>303</v>
      </c>
      <c r="X33" s="54" t="str">
        <f>VLOOKUP(W33,Employees!$A$1:$B$601,2,FALSE)</f>
        <v>Bikash Biswal</v>
      </c>
      <c r="Z33" s="4" t="s">
        <v>160</v>
      </c>
      <c r="AA33" s="54" t="str">
        <f t="shared" si="4"/>
        <v>0032</v>
      </c>
      <c r="AC33" s="4" t="s">
        <v>133</v>
      </c>
      <c r="AD33" s="54" t="str">
        <f t="shared" si="5"/>
        <v>Qa</v>
      </c>
      <c r="AF33" s="4" t="s">
        <v>161</v>
      </c>
      <c r="AG33" s="4" t="s">
        <v>133</v>
      </c>
      <c r="AH33" s="4" t="s">
        <v>149</v>
      </c>
      <c r="AI33" s="54" t="str">
        <f t="shared" si="6"/>
        <v>Satyajit Mahapatra|QA|SilverByte Systems</v>
      </c>
      <c r="AK33" s="4" t="s">
        <v>161</v>
      </c>
      <c r="AL33" s="38" t="str">
        <f t="shared" si="7"/>
        <v>S.M.</v>
      </c>
      <c r="AN33" s="18" t="s">
        <v>5077</v>
      </c>
      <c r="AO33" s="54" t="b">
        <f t="shared" si="8"/>
        <v>0</v>
      </c>
      <c r="AQ33" s="4" t="s">
        <v>161</v>
      </c>
      <c r="AR33" s="52" t="str">
        <f t="shared" si="9"/>
        <v>NO</v>
      </c>
      <c r="AT33" s="14" t="s">
        <v>1663</v>
      </c>
      <c r="AU33" s="54">
        <f t="shared" si="10"/>
        <v>18</v>
      </c>
      <c r="AW33" s="54">
        <f ca="1">DATEDIF(BI33,TODAY(),"Y")</f>
        <v>8</v>
      </c>
      <c r="AX33" s="54"/>
      <c r="AY33" s="41" t="s">
        <v>585</v>
      </c>
      <c r="AZ33" s="44">
        <f t="shared" si="11"/>
        <v>44995</v>
      </c>
      <c r="BA33" s="54" t="str">
        <f t="shared" si="12"/>
        <v>3-2023</v>
      </c>
      <c r="BC33" s="15" t="s">
        <v>1197</v>
      </c>
      <c r="BD33" s="13">
        <f t="shared" si="13"/>
        <v>45197</v>
      </c>
      <c r="BE33" s="46" t="s">
        <v>1614</v>
      </c>
      <c r="BF33" s="54" t="str">
        <f t="shared" ca="1" si="14"/>
        <v>Overdue</v>
      </c>
      <c r="BH33" s="4" t="s">
        <v>163</v>
      </c>
      <c r="BI33" s="51">
        <f t="shared" si="19"/>
        <v>43149</v>
      </c>
      <c r="BJ33" s="38">
        <f t="shared" ca="1" si="20"/>
        <v>2215</v>
      </c>
      <c r="BK33" s="38"/>
      <c r="BL33" s="38" t="str">
        <f t="shared" si="21"/>
        <v>Q1</v>
      </c>
      <c r="BM33" s="59">
        <f t="shared" si="15"/>
        <v>44995</v>
      </c>
      <c r="BN33" s="51">
        <f t="shared" si="22"/>
        <v>43149</v>
      </c>
      <c r="BO33" s="54">
        <f t="shared" si="16"/>
        <v>1846</v>
      </c>
      <c r="BP33" s="4" t="s">
        <v>160</v>
      </c>
      <c r="BQ33" s="4" t="s">
        <v>133</v>
      </c>
      <c r="BR33" s="18" t="s">
        <v>303</v>
      </c>
      <c r="BS33" s="18" t="s">
        <v>2268</v>
      </c>
      <c r="BT33" s="54" t="str">
        <f t="shared" si="17"/>
        <v>Marketing</v>
      </c>
      <c r="BV33" s="4" t="s">
        <v>160</v>
      </c>
      <c r="BW33" s="4" t="s">
        <v>161</v>
      </c>
      <c r="BX33" s="14" t="s">
        <v>1663</v>
      </c>
      <c r="BY33" s="14" t="s">
        <v>636</v>
      </c>
      <c r="BZ33" s="54" t="str">
        <f t="shared" si="18"/>
        <v>Tanmay Choudhury</v>
      </c>
      <c r="CB33" s="18" t="s">
        <v>628</v>
      </c>
      <c r="CC33" s="4" t="s">
        <v>161</v>
      </c>
      <c r="CD33" s="4" t="s">
        <v>162</v>
      </c>
      <c r="CE33" s="54" t="str">
        <v>HR Manager</v>
      </c>
      <c r="CG33" s="54" t="str">
        <f>IFERROR(_xlfn.XLOOKUP(Hiring!A33,Hiring!A33:A432,Hiring!B33:B432,,0),"Not Found")</f>
        <v>Subhasree Parida</v>
      </c>
    </row>
    <row r="34" spans="1:85" ht="30.75">
      <c r="A34" s="22" t="s">
        <v>5841</v>
      </c>
      <c r="B34" s="97" t="s">
        <v>5842</v>
      </c>
      <c r="C34" s="6" t="s">
        <v>5810</v>
      </c>
      <c r="F34" s="3">
        <v>4.8</v>
      </c>
      <c r="G34" s="52" t="str" cm="1">
        <f t="array" ref="G34">_xlfn.IFS(F34&gt;=4.5,"Excellent",AND(F34&gt;=3.5,F34&lt;=4.4),"Good",F34&lt;3.5,"Needs Improvement")</f>
        <v>Excellent</v>
      </c>
      <c r="I34" s="12">
        <v>38.799999999999997</v>
      </c>
      <c r="J34" s="12">
        <v>34.659999999999997</v>
      </c>
      <c r="K34" s="54" t="str">
        <f t="shared" si="0"/>
        <v>Within Budget</v>
      </c>
      <c r="M34" s="19">
        <v>129695</v>
      </c>
      <c r="N34" s="19">
        <v>125983</v>
      </c>
      <c r="O34" s="54" t="str">
        <f t="shared" si="1"/>
        <v>Yes</v>
      </c>
      <c r="Q34" s="19">
        <v>7.4</v>
      </c>
      <c r="R34" s="56" t="str">
        <f t="shared" si="2"/>
        <v>Yes</v>
      </c>
      <c r="T34" s="19">
        <v>2.27</v>
      </c>
      <c r="U34" s="57" t="str">
        <f t="shared" si="3"/>
        <v>No</v>
      </c>
      <c r="W34" s="19" t="s">
        <v>303</v>
      </c>
      <c r="X34" s="54" t="str">
        <f>VLOOKUP(W34,Employees!$A$1:$B$601,2,FALSE)</f>
        <v>Bikash Biswal</v>
      </c>
      <c r="Z34" s="3" t="s">
        <v>164</v>
      </c>
      <c r="AA34" s="54" t="str">
        <f t="shared" si="4"/>
        <v>0033</v>
      </c>
      <c r="AC34" s="3" t="s">
        <v>39</v>
      </c>
      <c r="AD34" s="54" t="str">
        <f t="shared" si="5"/>
        <v>Engineering</v>
      </c>
      <c r="AF34" s="3" t="s">
        <v>165</v>
      </c>
      <c r="AG34" s="3" t="s">
        <v>39</v>
      </c>
      <c r="AH34" s="3" t="s">
        <v>26</v>
      </c>
      <c r="AI34" s="54" t="str">
        <f t="shared" si="6"/>
        <v>Priyanka Ratha|Engineering|InfySoft Bhubaneswar</v>
      </c>
      <c r="AK34" s="3" t="s">
        <v>165</v>
      </c>
      <c r="AL34" s="38" t="str">
        <f t="shared" si="7"/>
        <v>P.R.</v>
      </c>
      <c r="AN34" s="19" t="s">
        <v>5025</v>
      </c>
      <c r="AO34" s="54" t="b">
        <f t="shared" si="8"/>
        <v>0</v>
      </c>
      <c r="AQ34" s="3" t="s">
        <v>165</v>
      </c>
      <c r="AR34" s="52" t="str">
        <f t="shared" si="9"/>
        <v>NO</v>
      </c>
      <c r="AT34" s="12" t="s">
        <v>1693</v>
      </c>
      <c r="AU34" s="54">
        <f t="shared" si="10"/>
        <v>17</v>
      </c>
      <c r="AW34" s="54">
        <f ca="1">DATEDIF(BI34,TODAY(),"Y")</f>
        <v>2</v>
      </c>
      <c r="AX34" s="54"/>
      <c r="AY34" s="40" t="s">
        <v>5092</v>
      </c>
      <c r="AZ34" s="44">
        <f t="shared" si="11"/>
        <v>45067</v>
      </c>
      <c r="BA34" s="54" t="str">
        <f t="shared" si="12"/>
        <v>5-2023</v>
      </c>
      <c r="BC34" s="13" t="s">
        <v>1737</v>
      </c>
      <c r="BD34" s="13">
        <f t="shared" si="13"/>
        <v>45426</v>
      </c>
      <c r="BE34" s="45" t="s">
        <v>1656</v>
      </c>
      <c r="BF34" s="54" t="str">
        <f t="shared" ca="1" si="14"/>
        <v>Overdue</v>
      </c>
      <c r="BH34" s="3" t="s">
        <v>166</v>
      </c>
      <c r="BI34" s="51">
        <f t="shared" si="19"/>
        <v>45344</v>
      </c>
      <c r="BJ34" s="38">
        <f t="shared" ca="1" si="20"/>
        <v>647</v>
      </c>
      <c r="BK34" s="38"/>
      <c r="BL34" s="38" t="str">
        <f t="shared" si="21"/>
        <v>Q1</v>
      </c>
      <c r="BM34" s="59">
        <f t="shared" si="15"/>
        <v>45067</v>
      </c>
      <c r="BN34" s="51">
        <f t="shared" si="22"/>
        <v>45344</v>
      </c>
      <c r="BO34" s="54">
        <f t="shared" si="16"/>
        <v>277</v>
      </c>
      <c r="BP34" s="3" t="s">
        <v>164</v>
      </c>
      <c r="BQ34" s="3" t="s">
        <v>39</v>
      </c>
      <c r="BR34" s="19" t="s">
        <v>303</v>
      </c>
      <c r="BS34" s="19" t="s">
        <v>2272</v>
      </c>
      <c r="BT34" s="54" t="str">
        <f t="shared" si="17"/>
        <v>Marketing</v>
      </c>
      <c r="BV34" s="3" t="s">
        <v>164</v>
      </c>
      <c r="BW34" s="3" t="s">
        <v>165</v>
      </c>
      <c r="BX34" s="12" t="s">
        <v>1693</v>
      </c>
      <c r="BY34" s="12" t="s">
        <v>782</v>
      </c>
      <c r="BZ34" s="54" t="str">
        <f t="shared" si="18"/>
        <v>Nirmal Samal</v>
      </c>
      <c r="CB34" s="19" t="s">
        <v>5091</v>
      </c>
      <c r="CC34" s="3" t="s">
        <v>165</v>
      </c>
      <c r="CD34" s="3" t="s">
        <v>40</v>
      </c>
      <c r="CE34" s="54" t="str">
        <v>Not Found</v>
      </c>
      <c r="CG34" s="54" t="str">
        <f>IFERROR(_xlfn.XLOOKUP(Hiring!A34,Hiring!A34:A433,Hiring!B34:B433,,0),"Not Found")</f>
        <v>Debasmita Mohapatra</v>
      </c>
    </row>
    <row r="35" spans="1:85">
      <c r="A35" s="22" t="s">
        <v>5843</v>
      </c>
      <c r="B35" s="98" t="s">
        <v>5844</v>
      </c>
      <c r="C35" s="6" t="s">
        <v>5810</v>
      </c>
      <c r="F35" s="4">
        <v>3.8</v>
      </c>
      <c r="G35" s="52" t="str" cm="1">
        <f t="array" ref="G35">_xlfn.IFS(F35&gt;=4.5,"Excellent",AND(F35&gt;=3.5,F35&lt;=4.4),"Good",F35&lt;3.5,"Needs Improvement")</f>
        <v>Good</v>
      </c>
      <c r="I35" s="14">
        <v>106.16</v>
      </c>
      <c r="J35" s="14">
        <v>85.86</v>
      </c>
      <c r="K35" s="54" t="str">
        <f t="shared" si="0"/>
        <v>Within Budget</v>
      </c>
      <c r="M35" s="18">
        <v>117799</v>
      </c>
      <c r="N35" s="18">
        <v>103827</v>
      </c>
      <c r="O35" s="54" t="str">
        <f t="shared" si="1"/>
        <v>Yes</v>
      </c>
      <c r="Q35" s="18">
        <v>6.6</v>
      </c>
      <c r="R35" s="56" t="str">
        <f t="shared" si="2"/>
        <v>Yes</v>
      </c>
      <c r="T35" s="18">
        <v>5.21</v>
      </c>
      <c r="U35" s="57" t="str">
        <f t="shared" si="3"/>
        <v>No</v>
      </c>
      <c r="W35" s="18" t="s">
        <v>303</v>
      </c>
      <c r="X35" s="54" t="str">
        <f>VLOOKUP(W35,Employees!$A$1:$B$601,2,FALSE)</f>
        <v>Bikash Biswal</v>
      </c>
      <c r="Z35" s="4" t="s">
        <v>167</v>
      </c>
      <c r="AA35" s="54" t="str">
        <f t="shared" si="4"/>
        <v>0034</v>
      </c>
      <c r="AC35" s="4" t="s">
        <v>51</v>
      </c>
      <c r="AD35" s="54" t="str">
        <f t="shared" si="5"/>
        <v>Sales</v>
      </c>
      <c r="AF35" s="4" t="s">
        <v>168</v>
      </c>
      <c r="AG35" s="4" t="s">
        <v>51</v>
      </c>
      <c r="AH35" s="4" t="s">
        <v>26</v>
      </c>
      <c r="AI35" s="54" t="str">
        <f t="shared" si="6"/>
        <v>Chinmaya Prusty|Sales|InfySoft Bhubaneswar</v>
      </c>
      <c r="AK35" s="4" t="s">
        <v>168</v>
      </c>
      <c r="AL35" s="38" t="str">
        <f t="shared" si="7"/>
        <v>C.P.</v>
      </c>
      <c r="AN35" s="18" t="s">
        <v>5019</v>
      </c>
      <c r="AO35" s="54" t="str">
        <f t="shared" si="8"/>
        <v>Linkedln</v>
      </c>
      <c r="AQ35" s="4" t="s">
        <v>168</v>
      </c>
      <c r="AR35" s="52" t="str">
        <f t="shared" si="9"/>
        <v>NO</v>
      </c>
      <c r="AT35" s="14" t="s">
        <v>1739</v>
      </c>
      <c r="AU35" s="54">
        <f t="shared" si="10"/>
        <v>10</v>
      </c>
      <c r="AW35" s="54">
        <f ca="1">DATEDIF(BI35,TODAY(),"Y")</f>
        <v>6</v>
      </c>
      <c r="AX35" s="54"/>
      <c r="AY35" s="41" t="s">
        <v>1913</v>
      </c>
      <c r="AZ35" s="44">
        <f t="shared" si="11"/>
        <v>45652</v>
      </c>
      <c r="BA35" s="54" t="str">
        <f t="shared" si="12"/>
        <v>12-2024</v>
      </c>
      <c r="BC35" s="15" t="s">
        <v>474</v>
      </c>
      <c r="BD35" s="13">
        <f t="shared" si="13"/>
        <v>45314</v>
      </c>
      <c r="BE35" s="46" t="s">
        <v>1625</v>
      </c>
      <c r="BF35" s="54" t="str">
        <f t="shared" ca="1" si="14"/>
        <v>Overdue</v>
      </c>
      <c r="BH35" s="4" t="s">
        <v>169</v>
      </c>
      <c r="BI35" s="51">
        <f t="shared" si="19"/>
        <v>44031</v>
      </c>
      <c r="BJ35" s="38">
        <f t="shared" ca="1" si="20"/>
        <v>1585</v>
      </c>
      <c r="BK35" s="38"/>
      <c r="BL35" s="38" t="str">
        <f t="shared" si="21"/>
        <v>No</v>
      </c>
      <c r="BM35" s="59">
        <f t="shared" si="15"/>
        <v>45652</v>
      </c>
      <c r="BN35" s="51">
        <f t="shared" si="22"/>
        <v>44031</v>
      </c>
      <c r="BO35" s="54">
        <f t="shared" si="16"/>
        <v>1621</v>
      </c>
      <c r="BP35" s="4" t="s">
        <v>167</v>
      </c>
      <c r="BQ35" s="4" t="s">
        <v>51</v>
      </c>
      <c r="BR35" s="18" t="s">
        <v>303</v>
      </c>
      <c r="BS35" s="18" t="s">
        <v>2276</v>
      </c>
      <c r="BT35" s="54" t="str">
        <f t="shared" si="17"/>
        <v>Marketing</v>
      </c>
      <c r="BV35" s="4" t="s">
        <v>167</v>
      </c>
      <c r="BW35" s="4" t="s">
        <v>168</v>
      </c>
      <c r="BX35" s="14" t="s">
        <v>1739</v>
      </c>
      <c r="BY35" s="14" t="s">
        <v>749</v>
      </c>
      <c r="BZ35" s="54" t="str">
        <f t="shared" si="18"/>
        <v>Alka Pattnaik</v>
      </c>
      <c r="CB35" s="18" t="s">
        <v>655</v>
      </c>
      <c r="CC35" s="4" t="s">
        <v>168</v>
      </c>
      <c r="CD35" s="4" t="s">
        <v>52</v>
      </c>
      <c r="CE35" s="54" t="str">
        <v>HR Manager</v>
      </c>
      <c r="CG35" s="54" t="str">
        <f>IFERROR(_xlfn.XLOOKUP(Hiring!A35,Hiring!A35:A434,Hiring!B35:B434,,0),"Not Found")</f>
        <v>Ipsita Behura</v>
      </c>
    </row>
    <row r="36" spans="1:85">
      <c r="A36" s="22" t="s">
        <v>5845</v>
      </c>
      <c r="B36" s="98" t="s">
        <v>5846</v>
      </c>
      <c r="C36" s="6" t="s">
        <v>5810</v>
      </c>
      <c r="F36" s="3">
        <v>4.9000000000000004</v>
      </c>
      <c r="G36" s="52" t="str" cm="1">
        <f t="array" ref="G36">_xlfn.IFS(F36&gt;=4.5,"Excellent",AND(F36&gt;=3.5,F36&lt;=4.4),"Good",F36&lt;3.5,"Needs Improvement")</f>
        <v>Excellent</v>
      </c>
      <c r="I36" s="12">
        <v>109.16</v>
      </c>
      <c r="J36" s="12">
        <v>92.25</v>
      </c>
      <c r="K36" s="54" t="str">
        <f t="shared" si="0"/>
        <v>Within Budget</v>
      </c>
      <c r="M36" s="19"/>
      <c r="N36" s="19">
        <v>131980</v>
      </c>
      <c r="O36" s="54" t="str">
        <f t="shared" si="1"/>
        <v>Yes</v>
      </c>
      <c r="Q36" s="19">
        <v>9.48</v>
      </c>
      <c r="R36" s="56" t="str">
        <f t="shared" si="2"/>
        <v>Yes</v>
      </c>
      <c r="T36" s="19">
        <v>31.75</v>
      </c>
      <c r="U36" s="57" t="str">
        <f t="shared" si="3"/>
        <v>High Attrition</v>
      </c>
      <c r="W36" s="19" t="s">
        <v>303</v>
      </c>
      <c r="X36" s="54" t="str">
        <f>VLOOKUP(W36,Employees!$A$1:$B$601,2,FALSE)</f>
        <v>Bikash Biswal</v>
      </c>
      <c r="Z36" s="3" t="s">
        <v>170</v>
      </c>
      <c r="AA36" s="54" t="str">
        <f t="shared" si="4"/>
        <v>0035</v>
      </c>
      <c r="AC36" s="3" t="s">
        <v>89</v>
      </c>
      <c r="AD36" s="54" t="str">
        <f t="shared" si="5"/>
        <v>Data Science</v>
      </c>
      <c r="AF36" s="3" t="s">
        <v>171</v>
      </c>
      <c r="AG36" s="3" t="s">
        <v>89</v>
      </c>
      <c r="AH36" s="3" t="s">
        <v>172</v>
      </c>
      <c r="AI36" s="54" t="str">
        <f t="shared" si="6"/>
        <v>Tanmay Padhi|Data Science|TechNova Solutions</v>
      </c>
      <c r="AK36" s="3" t="s">
        <v>171</v>
      </c>
      <c r="AL36" s="38" t="str">
        <f t="shared" si="7"/>
        <v>T.P.</v>
      </c>
      <c r="AN36" s="19" t="s">
        <v>5060</v>
      </c>
      <c r="AO36" s="54" t="str">
        <f t="shared" si="8"/>
        <v>Naukri</v>
      </c>
      <c r="AQ36" s="3" t="s">
        <v>171</v>
      </c>
      <c r="AR36" s="52" t="str">
        <f t="shared" si="9"/>
        <v>NO</v>
      </c>
      <c r="AT36" s="12" t="s">
        <v>1646</v>
      </c>
      <c r="AU36" s="54">
        <f t="shared" si="10"/>
        <v>16</v>
      </c>
      <c r="AW36" s="54">
        <f ca="1">DATEDIF(BI36,TODAY(),"Y")</f>
        <v>3</v>
      </c>
      <c r="AX36" s="54"/>
      <c r="AY36" s="40" t="s">
        <v>5096</v>
      </c>
      <c r="AZ36" s="44">
        <f t="shared" si="11"/>
        <v>45391</v>
      </c>
      <c r="BA36" s="54" t="str">
        <f t="shared" si="12"/>
        <v>4-2024</v>
      </c>
      <c r="BC36" s="13" t="s">
        <v>130</v>
      </c>
      <c r="BD36" s="13">
        <f t="shared" si="13"/>
        <v>44734</v>
      </c>
      <c r="BE36" s="45" t="s">
        <v>1614</v>
      </c>
      <c r="BF36" s="54" t="str">
        <f t="shared" ca="1" si="14"/>
        <v>Overdue</v>
      </c>
      <c r="BH36" s="3" t="s">
        <v>173</v>
      </c>
      <c r="BI36" s="51">
        <f t="shared" si="19"/>
        <v>44962</v>
      </c>
      <c r="BJ36" s="38">
        <f t="shared" ca="1" si="20"/>
        <v>920</v>
      </c>
      <c r="BK36" s="38"/>
      <c r="BL36" s="38" t="str">
        <f t="shared" si="21"/>
        <v>Q1</v>
      </c>
      <c r="BM36" s="59">
        <f t="shared" si="15"/>
        <v>45391</v>
      </c>
      <c r="BN36" s="51">
        <f t="shared" si="22"/>
        <v>44962</v>
      </c>
      <c r="BO36" s="54">
        <f t="shared" si="16"/>
        <v>429</v>
      </c>
      <c r="BP36" s="3" t="s">
        <v>170</v>
      </c>
      <c r="BQ36" s="3" t="s">
        <v>89</v>
      </c>
      <c r="BR36" s="19" t="s">
        <v>303</v>
      </c>
      <c r="BS36" s="19" t="s">
        <v>2280</v>
      </c>
      <c r="BT36" s="54" t="str">
        <f t="shared" si="17"/>
        <v>Marketing</v>
      </c>
      <c r="BV36" s="3" t="s">
        <v>170</v>
      </c>
      <c r="BW36" s="3" t="s">
        <v>171</v>
      </c>
      <c r="BX36" s="12" t="s">
        <v>1646</v>
      </c>
      <c r="BY36" s="12" t="s">
        <v>1444</v>
      </c>
      <c r="BZ36" s="54" t="str">
        <f t="shared" si="18"/>
        <v>Subhasree Prusty</v>
      </c>
      <c r="CB36" s="19" t="s">
        <v>5095</v>
      </c>
      <c r="CC36" s="3" t="s">
        <v>171</v>
      </c>
      <c r="CD36" s="3" t="s">
        <v>90</v>
      </c>
      <c r="CE36" s="54" t="str">
        <v>Not Found</v>
      </c>
      <c r="CG36" s="54" t="str">
        <f>IFERROR(_xlfn.XLOOKUP(Hiring!A36,Hiring!A36:A435,Hiring!B36:B435,,0),"Not Found")</f>
        <v>Lipsa Tripathy</v>
      </c>
    </row>
    <row r="37" spans="1:85" ht="30.75">
      <c r="A37" s="22" t="s">
        <v>5847</v>
      </c>
      <c r="B37" s="98" t="s">
        <v>5848</v>
      </c>
      <c r="C37" s="6" t="s">
        <v>5810</v>
      </c>
      <c r="F37" s="4">
        <v>2.4</v>
      </c>
      <c r="G37" s="52" t="str" cm="1">
        <f t="array" ref="G37">_xlfn.IFS(F37&gt;=4.5,"Excellent",AND(F37&gt;=3.5,F37&lt;=4.4),"Good",F37&lt;3.5,"Needs Improvement")</f>
        <v>Needs Improvement</v>
      </c>
      <c r="I37" s="14">
        <v>82.32</v>
      </c>
      <c r="J37" s="14">
        <v>97.59</v>
      </c>
      <c r="K37" s="54" t="str">
        <f t="shared" si="0"/>
        <v>Over Budget</v>
      </c>
      <c r="M37" s="18">
        <v>91424</v>
      </c>
      <c r="N37" s="18">
        <v>83588</v>
      </c>
      <c r="O37" s="54" t="str">
        <f t="shared" si="1"/>
        <v>Yes</v>
      </c>
      <c r="Q37" s="18">
        <v>11.49</v>
      </c>
      <c r="R37" s="56" t="str">
        <f t="shared" si="2"/>
        <v>Yes</v>
      </c>
      <c r="T37" s="18">
        <v>10.06</v>
      </c>
      <c r="U37" s="57" t="str">
        <f t="shared" si="3"/>
        <v>High Attrition</v>
      </c>
      <c r="W37" s="18" t="s">
        <v>303</v>
      </c>
      <c r="X37" s="54" t="str">
        <f>VLOOKUP(W37,Employees!$A$1:$B$601,2,FALSE)</f>
        <v>Bikash Biswal</v>
      </c>
      <c r="Z37" s="4" t="s">
        <v>174</v>
      </c>
      <c r="AA37" s="54" t="str">
        <f t="shared" si="4"/>
        <v>0036</v>
      </c>
      <c r="AC37" s="4" t="s">
        <v>176</v>
      </c>
      <c r="AD37" s="54" t="str">
        <f t="shared" si="5"/>
        <v>Finance</v>
      </c>
      <c r="AF37" s="4" t="s">
        <v>175</v>
      </c>
      <c r="AG37" s="4" t="s">
        <v>176</v>
      </c>
      <c r="AH37" s="4" t="s">
        <v>26</v>
      </c>
      <c r="AI37" s="54" t="str">
        <f t="shared" si="6"/>
        <v>Saurav Biswal|Finance|InfySoft Bhubaneswar</v>
      </c>
      <c r="AK37" s="4" t="s">
        <v>175</v>
      </c>
      <c r="AL37" s="38" t="str">
        <f t="shared" si="7"/>
        <v>S.B.</v>
      </c>
      <c r="AN37" s="18" t="s">
        <v>5060</v>
      </c>
      <c r="AO37" s="54" t="str">
        <f t="shared" si="8"/>
        <v>Naukri</v>
      </c>
      <c r="AQ37" s="4" t="s">
        <v>175</v>
      </c>
      <c r="AR37" s="52" t="str">
        <f t="shared" si="9"/>
        <v>NO</v>
      </c>
      <c r="AT37" s="14" t="s">
        <v>1663</v>
      </c>
      <c r="AU37" s="54">
        <f t="shared" si="10"/>
        <v>18</v>
      </c>
      <c r="AW37" s="54">
        <f ca="1">DATEDIF(BI37,TODAY(),"Y")</f>
        <v>7</v>
      </c>
      <c r="AX37" s="54"/>
      <c r="AY37" s="41" t="s">
        <v>5098</v>
      </c>
      <c r="AZ37" s="44">
        <f t="shared" si="11"/>
        <v>45400</v>
      </c>
      <c r="BA37" s="54" t="str">
        <f t="shared" si="12"/>
        <v>4-2024</v>
      </c>
      <c r="BC37" s="15" t="s">
        <v>1746</v>
      </c>
      <c r="BD37" s="13">
        <f t="shared" si="13"/>
        <v>45113</v>
      </c>
      <c r="BE37" s="46" t="s">
        <v>1614</v>
      </c>
      <c r="BF37" s="54" t="str">
        <f t="shared" ca="1" si="14"/>
        <v>Overdue</v>
      </c>
      <c r="BH37" s="4" t="s">
        <v>178</v>
      </c>
      <c r="BI37" s="51">
        <f t="shared" si="19"/>
        <v>43359</v>
      </c>
      <c r="BJ37" s="38">
        <f t="shared" ca="1" si="20"/>
        <v>2065</v>
      </c>
      <c r="BK37" s="38"/>
      <c r="BL37" s="38" t="str">
        <f t="shared" si="21"/>
        <v>No</v>
      </c>
      <c r="BM37" s="59">
        <f t="shared" si="15"/>
        <v>45400</v>
      </c>
      <c r="BN37" s="51">
        <f t="shared" si="22"/>
        <v>43359</v>
      </c>
      <c r="BO37" s="54">
        <f t="shared" si="16"/>
        <v>2041</v>
      </c>
      <c r="BP37" s="4" t="s">
        <v>174</v>
      </c>
      <c r="BQ37" s="4" t="s">
        <v>176</v>
      </c>
      <c r="BR37" s="18" t="s">
        <v>303</v>
      </c>
      <c r="BS37" s="18" t="s">
        <v>2284</v>
      </c>
      <c r="BT37" s="54" t="str">
        <f t="shared" si="17"/>
        <v>Marketing</v>
      </c>
      <c r="BV37" s="4" t="s">
        <v>174</v>
      </c>
      <c r="BW37" s="4" t="s">
        <v>175</v>
      </c>
      <c r="BX37" s="14" t="s">
        <v>1663</v>
      </c>
      <c r="BY37" s="14" t="s">
        <v>957</v>
      </c>
      <c r="BZ37" s="54" t="str">
        <f t="shared" si="18"/>
        <v>Bikash Parida</v>
      </c>
      <c r="CB37" s="18" t="s">
        <v>886</v>
      </c>
      <c r="CC37" s="4" t="s">
        <v>175</v>
      </c>
      <c r="CD37" s="4" t="s">
        <v>177</v>
      </c>
      <c r="CE37" s="54" t="str">
        <v>UI Designer</v>
      </c>
      <c r="CG37" s="54" t="str">
        <f>IFERROR(_xlfn.XLOOKUP(Hiring!A37,Hiring!A37:A436,Hiring!B37:B436,,0),"Not Found")</f>
        <v>Rajan Routray</v>
      </c>
    </row>
    <row r="38" spans="1:85">
      <c r="B38" s="100"/>
      <c r="F38" s="3">
        <v>3.1</v>
      </c>
      <c r="G38" s="52" t="str" cm="1">
        <f t="array" ref="G38">_xlfn.IFS(F38&gt;=4.5,"Excellent",AND(F38&gt;=3.5,F38&lt;=4.4),"Good",F38&lt;3.5,"Needs Improvement")</f>
        <v>Needs Improvement</v>
      </c>
      <c r="I38" s="12">
        <v>55.06</v>
      </c>
      <c r="J38" s="12">
        <v>57.15</v>
      </c>
      <c r="K38" s="54" t="str">
        <f t="shared" si="0"/>
        <v>Over Budget</v>
      </c>
      <c r="M38" s="19">
        <v>125731</v>
      </c>
      <c r="N38" s="19">
        <v>139840</v>
      </c>
      <c r="O38" s="54" t="str">
        <f t="shared" si="1"/>
        <v>Yes</v>
      </c>
      <c r="Q38" s="19">
        <v>9.1300000000000008</v>
      </c>
      <c r="R38" s="56" t="str">
        <f t="shared" si="2"/>
        <v>Yes</v>
      </c>
      <c r="T38" s="19">
        <v>4.8600000000000003</v>
      </c>
      <c r="U38" s="57" t="str">
        <f t="shared" si="3"/>
        <v>No</v>
      </c>
      <c r="W38" s="19" t="s">
        <v>303</v>
      </c>
      <c r="X38" s="54" t="str">
        <f>VLOOKUP(W38,Employees!$A$1:$B$601,2,FALSE)</f>
        <v>Bikash Biswal</v>
      </c>
      <c r="Z38" s="3" t="s">
        <v>179</v>
      </c>
      <c r="AA38" s="54" t="str">
        <f t="shared" si="4"/>
        <v>0037</v>
      </c>
      <c r="AC38" s="3" t="s">
        <v>118</v>
      </c>
      <c r="AD38" s="54" t="str">
        <f t="shared" si="5"/>
        <v>Marketing</v>
      </c>
      <c r="AF38" s="3" t="s">
        <v>180</v>
      </c>
      <c r="AG38" s="3" t="s">
        <v>118</v>
      </c>
      <c r="AH38" s="3" t="s">
        <v>26</v>
      </c>
      <c r="AI38" s="54" t="str">
        <f t="shared" si="6"/>
        <v>Saurav Nanda|Marketing|InfySoft Bhubaneswar</v>
      </c>
      <c r="AK38" s="3" t="s">
        <v>180</v>
      </c>
      <c r="AL38" s="38" t="str">
        <f t="shared" si="7"/>
        <v>S.N.</v>
      </c>
      <c r="AN38" s="19" t="s">
        <v>5019</v>
      </c>
      <c r="AO38" s="54" t="str">
        <f t="shared" si="8"/>
        <v>Linkedln</v>
      </c>
      <c r="AQ38" s="3" t="s">
        <v>180</v>
      </c>
      <c r="AR38" s="52" t="str">
        <f t="shared" si="9"/>
        <v>NO</v>
      </c>
      <c r="AT38" s="12" t="s">
        <v>1653</v>
      </c>
      <c r="AU38" s="54">
        <f t="shared" si="10"/>
        <v>19</v>
      </c>
      <c r="AW38" s="54">
        <f ca="1">DATEDIF(BI38,TODAY(),"Y")</f>
        <v>7</v>
      </c>
      <c r="AX38" s="54"/>
      <c r="AY38" s="40" t="s">
        <v>2296</v>
      </c>
      <c r="AZ38" s="44">
        <f t="shared" si="11"/>
        <v>45589</v>
      </c>
      <c r="BA38" s="54" t="str">
        <f t="shared" si="12"/>
        <v>10-2024</v>
      </c>
      <c r="BC38" s="13" t="s">
        <v>1670</v>
      </c>
      <c r="BD38" s="13">
        <f t="shared" si="13"/>
        <v>45093</v>
      </c>
      <c r="BE38" s="45" t="s">
        <v>1638</v>
      </c>
      <c r="BF38" s="54" t="str">
        <f t="shared" ca="1" si="14"/>
        <v>On Track</v>
      </c>
      <c r="BH38" s="3" t="s">
        <v>182</v>
      </c>
      <c r="BI38" s="51">
        <f t="shared" si="19"/>
        <v>43364</v>
      </c>
      <c r="BJ38" s="38">
        <f t="shared" ca="1" si="20"/>
        <v>2061</v>
      </c>
      <c r="BK38" s="38"/>
      <c r="BL38" s="38" t="str">
        <f t="shared" si="21"/>
        <v>No</v>
      </c>
      <c r="BM38" s="59">
        <f t="shared" si="15"/>
        <v>45589</v>
      </c>
      <c r="BN38" s="51">
        <f t="shared" si="22"/>
        <v>43364</v>
      </c>
      <c r="BO38" s="54">
        <f t="shared" si="16"/>
        <v>2225</v>
      </c>
      <c r="BP38" s="3" t="s">
        <v>179</v>
      </c>
      <c r="BQ38" s="3" t="s">
        <v>118</v>
      </c>
      <c r="BR38" s="19" t="s">
        <v>303</v>
      </c>
      <c r="BS38" s="19" t="s">
        <v>2288</v>
      </c>
      <c r="BT38" s="54" t="str">
        <f t="shared" si="17"/>
        <v>Marketing</v>
      </c>
      <c r="BV38" s="3" t="s">
        <v>179</v>
      </c>
      <c r="BW38" s="3" t="s">
        <v>180</v>
      </c>
      <c r="BX38" s="12" t="s">
        <v>1653</v>
      </c>
      <c r="BY38" s="12" t="s">
        <v>1122</v>
      </c>
      <c r="BZ38" s="54" t="str">
        <f t="shared" si="18"/>
        <v>Soumya Mohapatra</v>
      </c>
      <c r="CB38" s="19" t="s">
        <v>788</v>
      </c>
      <c r="CC38" s="3" t="s">
        <v>180</v>
      </c>
      <c r="CD38" s="3" t="s">
        <v>181</v>
      </c>
      <c r="CE38" s="54" t="str">
        <v>Associate PM</v>
      </c>
      <c r="CG38" s="54" t="str">
        <f>IFERROR(_xlfn.XLOOKUP(Hiring!A38,Hiring!A38:A437,Hiring!B38:B437,,0),"Not Found")</f>
        <v>Subhasree Padhi</v>
      </c>
    </row>
    <row r="39" spans="1:85">
      <c r="A39" s="101" t="s">
        <v>5849</v>
      </c>
      <c r="B39" s="102"/>
      <c r="F39" s="4">
        <v>4.7</v>
      </c>
      <c r="G39" s="52" t="str" cm="1">
        <f t="array" ref="G39">_xlfn.IFS(F39&gt;=4.5,"Excellent",AND(F39&gt;=3.5,F39&lt;=4.4),"Good",F39&lt;3.5,"Needs Improvement")</f>
        <v>Excellent</v>
      </c>
      <c r="I39" s="14">
        <v>19.87</v>
      </c>
      <c r="J39" s="14">
        <v>16.010000000000002</v>
      </c>
      <c r="K39" s="54" t="str">
        <f t="shared" si="0"/>
        <v>Within Budget</v>
      </c>
      <c r="M39" s="18">
        <v>89054</v>
      </c>
      <c r="N39" s="18">
        <v>100081</v>
      </c>
      <c r="O39" s="54" t="str">
        <f t="shared" si="1"/>
        <v>Yes</v>
      </c>
      <c r="Q39" s="18">
        <v>9.89</v>
      </c>
      <c r="R39" s="56" t="str">
        <f t="shared" si="2"/>
        <v>Yes</v>
      </c>
      <c r="T39" s="18">
        <v>8.81</v>
      </c>
      <c r="U39" s="57" t="str">
        <f t="shared" si="3"/>
        <v>No</v>
      </c>
      <c r="W39" s="18" t="s">
        <v>303</v>
      </c>
      <c r="X39" s="54" t="str">
        <f>VLOOKUP(W39,Employees!$A$1:$B$601,2,FALSE)</f>
        <v>Bikash Biswal</v>
      </c>
      <c r="Z39" s="4" t="s">
        <v>183</v>
      </c>
      <c r="AA39" s="54" t="str">
        <f t="shared" si="4"/>
        <v>0038</v>
      </c>
      <c r="AC39" s="4" t="s">
        <v>133</v>
      </c>
      <c r="AD39" s="54" t="str">
        <f t="shared" si="5"/>
        <v>Qa</v>
      </c>
      <c r="AF39" s="4" t="s">
        <v>184</v>
      </c>
      <c r="AG39" s="4" t="s">
        <v>133</v>
      </c>
      <c r="AH39" s="4" t="s">
        <v>75</v>
      </c>
      <c r="AI39" s="54" t="str">
        <f t="shared" si="6"/>
        <v>Alka Nanda|QA|KalingaTech Pvt Ltd</v>
      </c>
      <c r="AK39" s="4" t="s">
        <v>184</v>
      </c>
      <c r="AL39" s="38" t="str">
        <f t="shared" si="7"/>
        <v>A.N.</v>
      </c>
      <c r="AN39" s="18" t="s">
        <v>5077</v>
      </c>
      <c r="AO39" s="54" t="b">
        <f t="shared" si="8"/>
        <v>0</v>
      </c>
      <c r="AQ39" s="4" t="s">
        <v>184</v>
      </c>
      <c r="AR39" s="52" t="str">
        <f t="shared" si="9"/>
        <v>NO</v>
      </c>
      <c r="AT39" s="14" t="s">
        <v>1646</v>
      </c>
      <c r="AU39" s="54">
        <f t="shared" si="10"/>
        <v>16</v>
      </c>
      <c r="AW39" s="54">
        <f ca="1">DATEDIF(BI39,TODAY(),"Y")</f>
        <v>3</v>
      </c>
      <c r="AX39" s="54"/>
      <c r="AY39" s="41" t="s">
        <v>5101</v>
      </c>
      <c r="AZ39" s="44">
        <f t="shared" si="11"/>
        <v>45479</v>
      </c>
      <c r="BA39" s="54" t="str">
        <f t="shared" si="12"/>
        <v>7-2024</v>
      </c>
      <c r="BC39" s="15" t="s">
        <v>1753</v>
      </c>
      <c r="BD39" s="13">
        <f t="shared" si="13"/>
        <v>45471</v>
      </c>
      <c r="BE39" s="46" t="s">
        <v>1656</v>
      </c>
      <c r="BF39" s="54" t="str">
        <f t="shared" ca="1" si="14"/>
        <v>Overdue</v>
      </c>
      <c r="BH39" s="4" t="s">
        <v>185</v>
      </c>
      <c r="BI39" s="51">
        <f t="shared" si="19"/>
        <v>44902</v>
      </c>
      <c r="BJ39" s="38">
        <f t="shared" ca="1" si="20"/>
        <v>963</v>
      </c>
      <c r="BK39" s="38"/>
      <c r="BL39" s="38" t="str">
        <f t="shared" si="21"/>
        <v>No</v>
      </c>
      <c r="BM39" s="59">
        <f t="shared" si="15"/>
        <v>45479</v>
      </c>
      <c r="BN39" s="51">
        <f t="shared" si="22"/>
        <v>44902</v>
      </c>
      <c r="BO39" s="54">
        <f t="shared" si="16"/>
        <v>577</v>
      </c>
      <c r="BP39" s="4" t="s">
        <v>183</v>
      </c>
      <c r="BQ39" s="4" t="s">
        <v>133</v>
      </c>
      <c r="BR39" s="18" t="s">
        <v>303</v>
      </c>
      <c r="BS39" s="18" t="s">
        <v>2292</v>
      </c>
      <c r="BT39" s="54" t="str">
        <f t="shared" si="17"/>
        <v>Marketing</v>
      </c>
      <c r="BV39" s="4" t="s">
        <v>183</v>
      </c>
      <c r="BW39" s="4" t="s">
        <v>184</v>
      </c>
      <c r="BX39" s="14" t="s">
        <v>1646</v>
      </c>
      <c r="BY39" s="14" t="s">
        <v>72</v>
      </c>
      <c r="BZ39" s="54" t="str">
        <f t="shared" si="18"/>
        <v>Sudhansu Dhal</v>
      </c>
      <c r="CB39" s="18" t="s">
        <v>727</v>
      </c>
      <c r="CC39" s="4" t="s">
        <v>184</v>
      </c>
      <c r="CD39" s="4" t="s">
        <v>134</v>
      </c>
      <c r="CE39" s="54" t="str">
        <v>Junior Developer</v>
      </c>
      <c r="CG39" s="54" t="str">
        <f>IFERROR(_xlfn.XLOOKUP(Hiring!A39,Hiring!A39:A438,Hiring!B39:B438,,0),"Not Found")</f>
        <v>Amlan Biswal</v>
      </c>
    </row>
    <row r="40" spans="1:85" ht="30.75">
      <c r="A40" s="22" t="s">
        <v>5850</v>
      </c>
      <c r="B40" s="98" t="s">
        <v>5851</v>
      </c>
      <c r="C40" s="6" t="s">
        <v>5810</v>
      </c>
      <c r="F40" s="3">
        <v>3.4</v>
      </c>
      <c r="G40" s="52" t="str" cm="1">
        <f t="array" ref="G40">_xlfn.IFS(F40&gt;=4.5,"Excellent",AND(F40&gt;=3.5,F40&lt;=4.4),"Good",F40&lt;3.5,"Needs Improvement")</f>
        <v>Needs Improvement</v>
      </c>
      <c r="I40" s="12">
        <v>52.99</v>
      </c>
      <c r="J40" s="12">
        <v>49.34</v>
      </c>
      <c r="K40" s="54" t="str">
        <f t="shared" si="0"/>
        <v>Within Budget</v>
      </c>
      <c r="M40" s="19">
        <v>0</v>
      </c>
      <c r="N40" s="19">
        <v>0</v>
      </c>
      <c r="O40" s="54" t="str">
        <f t="shared" si="1"/>
        <v>No</v>
      </c>
      <c r="Q40" s="19">
        <v>7.43</v>
      </c>
      <c r="R40" s="56" t="str">
        <f t="shared" si="2"/>
        <v>Yes</v>
      </c>
      <c r="T40" s="19">
        <v>8.11</v>
      </c>
      <c r="U40" s="57" t="str">
        <f t="shared" si="3"/>
        <v>No</v>
      </c>
      <c r="W40" s="19" t="s">
        <v>303</v>
      </c>
      <c r="X40" s="54" t="str">
        <f>VLOOKUP(W40,Employees!$A$1:$B$601,2,FALSE)</f>
        <v>Bikash Biswal</v>
      </c>
      <c r="Z40" s="3" t="s">
        <v>186</v>
      </c>
      <c r="AA40" s="54" t="str">
        <f t="shared" si="4"/>
        <v>0039</v>
      </c>
      <c r="AC40" s="3" t="s">
        <v>16</v>
      </c>
      <c r="AD40" s="54" t="str">
        <f t="shared" si="5"/>
        <v>Devops</v>
      </c>
      <c r="AF40" s="3" t="s">
        <v>187</v>
      </c>
      <c r="AG40" s="3" t="s">
        <v>16</v>
      </c>
      <c r="AH40" s="3" t="s">
        <v>26</v>
      </c>
      <c r="AI40" s="54" t="str">
        <f t="shared" si="6"/>
        <v>Puspita Nanda|DevOps|InfySoft Bhubaneswar</v>
      </c>
      <c r="AK40" s="3" t="s">
        <v>187</v>
      </c>
      <c r="AL40" s="38" t="str">
        <f t="shared" si="7"/>
        <v>P.N.</v>
      </c>
      <c r="AN40" s="19" t="s">
        <v>5025</v>
      </c>
      <c r="AO40" s="54" t="b">
        <f t="shared" si="8"/>
        <v>0</v>
      </c>
      <c r="AQ40" s="3" t="s">
        <v>187</v>
      </c>
      <c r="AR40" s="52" t="str">
        <f t="shared" si="9"/>
        <v>NO</v>
      </c>
      <c r="AT40" s="12" t="s">
        <v>1640</v>
      </c>
      <c r="AU40" s="54">
        <f t="shared" si="10"/>
        <v>17</v>
      </c>
      <c r="AW40" s="54">
        <f ca="1">DATEDIF(BI40,TODAY(),"Y")</f>
        <v>5</v>
      </c>
      <c r="AX40" s="54"/>
      <c r="AY40" s="40" t="s">
        <v>5104</v>
      </c>
      <c r="AZ40" s="44">
        <f t="shared" si="11"/>
        <v>45296</v>
      </c>
      <c r="BA40" s="54" t="str">
        <f t="shared" si="12"/>
        <v>1-2024</v>
      </c>
      <c r="BC40" s="13" t="s">
        <v>1756</v>
      </c>
      <c r="BD40" s="13">
        <f t="shared" si="13"/>
        <v>44457</v>
      </c>
      <c r="BE40" s="45" t="s">
        <v>1656</v>
      </c>
      <c r="BF40" s="54" t="str">
        <f t="shared" ca="1" si="14"/>
        <v>Overdue</v>
      </c>
      <c r="BH40" s="3" t="s">
        <v>188</v>
      </c>
      <c r="BI40" s="51">
        <f t="shared" si="19"/>
        <v>44362</v>
      </c>
      <c r="BJ40" s="38">
        <f t="shared" ca="1" si="20"/>
        <v>1349</v>
      </c>
      <c r="BK40" s="38"/>
      <c r="BL40" s="38" t="str">
        <f t="shared" si="21"/>
        <v>No</v>
      </c>
      <c r="BM40" s="59">
        <f t="shared" si="15"/>
        <v>45296</v>
      </c>
      <c r="BN40" s="51">
        <f t="shared" si="22"/>
        <v>44362</v>
      </c>
      <c r="BO40" s="54">
        <f t="shared" si="16"/>
        <v>934</v>
      </c>
      <c r="BP40" s="3" t="s">
        <v>186</v>
      </c>
      <c r="BQ40" s="3" t="s">
        <v>16</v>
      </c>
      <c r="BR40" s="19" t="s">
        <v>303</v>
      </c>
      <c r="BS40" s="19" t="s">
        <v>2295</v>
      </c>
      <c r="BT40" s="54" t="str">
        <f t="shared" si="17"/>
        <v>Marketing</v>
      </c>
      <c r="BV40" s="3" t="s">
        <v>186</v>
      </c>
      <c r="BW40" s="3" t="s">
        <v>187</v>
      </c>
      <c r="BX40" s="12" t="s">
        <v>1640</v>
      </c>
      <c r="BY40" s="12" t="s">
        <v>1221</v>
      </c>
      <c r="BZ40" s="54" t="str">
        <f t="shared" si="18"/>
        <v>Sangita Parida</v>
      </c>
      <c r="CB40" s="19" t="s">
        <v>5103</v>
      </c>
      <c r="CC40" s="3" t="s">
        <v>187</v>
      </c>
      <c r="CD40" s="3" t="s">
        <v>98</v>
      </c>
      <c r="CE40" s="54" t="str">
        <v>Not Found</v>
      </c>
      <c r="CG40" s="54" t="str">
        <f>IFERROR(_xlfn.XLOOKUP(Hiring!A40,Hiring!A40:A439,Hiring!B40:B439,,0),"Not Found")</f>
        <v>Subhasree Sahu</v>
      </c>
    </row>
    <row r="41" spans="1:85">
      <c r="A41" s="22" t="s">
        <v>5852</v>
      </c>
      <c r="B41" s="98" t="s">
        <v>5853</v>
      </c>
      <c r="C41" s="6" t="s">
        <v>5810</v>
      </c>
      <c r="F41" s="4">
        <v>2.9</v>
      </c>
      <c r="G41" s="52" t="str" cm="1">
        <f t="array" ref="G41">_xlfn.IFS(F41&gt;=4.5,"Excellent",AND(F41&gt;=3.5,F41&lt;=4.4),"Good",F41&lt;3.5,"Needs Improvement")</f>
        <v>Needs Improvement</v>
      </c>
      <c r="I41" s="14">
        <v>38.03</v>
      </c>
      <c r="J41" s="14">
        <v>31.61</v>
      </c>
      <c r="K41" s="54" t="str">
        <f t="shared" si="0"/>
        <v>Within Budget</v>
      </c>
      <c r="M41" s="18">
        <v>192973</v>
      </c>
      <c r="N41" s="18">
        <v>184893</v>
      </c>
      <c r="O41" s="54" t="str">
        <f t="shared" si="1"/>
        <v>Yes</v>
      </c>
      <c r="Q41" s="18">
        <v>6.68</v>
      </c>
      <c r="R41" s="56" t="str">
        <f t="shared" si="2"/>
        <v>Yes</v>
      </c>
      <c r="T41" s="18">
        <v>29.85</v>
      </c>
      <c r="U41" s="57" t="str">
        <f t="shared" si="3"/>
        <v>High Attrition</v>
      </c>
      <c r="W41" s="18" t="s">
        <v>303</v>
      </c>
      <c r="X41" s="54" t="str">
        <f>VLOOKUP(W41,Employees!$A$1:$B$601,2,FALSE)</f>
        <v>Bikash Biswal</v>
      </c>
      <c r="Z41" s="4" t="s">
        <v>189</v>
      </c>
      <c r="AA41" s="54" t="str">
        <f t="shared" si="4"/>
        <v>0040</v>
      </c>
      <c r="AC41" s="4" t="s">
        <v>118</v>
      </c>
      <c r="AD41" s="54" t="str">
        <f t="shared" si="5"/>
        <v>Marketing</v>
      </c>
      <c r="AF41" s="4" t="s">
        <v>190</v>
      </c>
      <c r="AG41" s="4" t="s">
        <v>118</v>
      </c>
      <c r="AH41" s="4" t="s">
        <v>75</v>
      </c>
      <c r="AI41" s="54" t="str">
        <f t="shared" si="6"/>
        <v>Chinmaya Biswal|Marketing|KalingaTech Pvt Ltd</v>
      </c>
      <c r="AK41" s="4" t="s">
        <v>190</v>
      </c>
      <c r="AL41" s="38" t="str">
        <f t="shared" si="7"/>
        <v>C.B.</v>
      </c>
      <c r="AN41" s="18" t="s">
        <v>5025</v>
      </c>
      <c r="AO41" s="54" t="b">
        <f t="shared" si="8"/>
        <v>0</v>
      </c>
      <c r="AQ41" s="4" t="s">
        <v>190</v>
      </c>
      <c r="AR41" s="52" t="str">
        <f t="shared" si="9"/>
        <v>NO</v>
      </c>
      <c r="AT41" s="14" t="s">
        <v>1702</v>
      </c>
      <c r="AU41" s="54">
        <f t="shared" si="10"/>
        <v>17</v>
      </c>
      <c r="AW41" s="54">
        <f ca="1">DATEDIF(BI41,TODAY(),"Y")</f>
        <v>3</v>
      </c>
      <c r="AX41" s="54"/>
      <c r="AY41" s="41" t="s">
        <v>5106</v>
      </c>
      <c r="AZ41" s="44">
        <f t="shared" si="11"/>
        <v>45584</v>
      </c>
      <c r="BA41" s="54" t="str">
        <f t="shared" si="12"/>
        <v>10-2024</v>
      </c>
      <c r="BC41" s="15" t="s">
        <v>973</v>
      </c>
      <c r="BD41" s="13">
        <f t="shared" si="13"/>
        <v>44601</v>
      </c>
      <c r="BE41" s="46" t="s">
        <v>1632</v>
      </c>
      <c r="BF41" s="54" t="str">
        <f t="shared" ca="1" si="14"/>
        <v>Overdue</v>
      </c>
      <c r="BH41" s="4" t="s">
        <v>191</v>
      </c>
      <c r="BI41" s="51">
        <f t="shared" si="19"/>
        <v>45148</v>
      </c>
      <c r="BJ41" s="38">
        <f t="shared" ca="1" si="20"/>
        <v>787</v>
      </c>
      <c r="BK41" s="38"/>
      <c r="BL41" s="38" t="str">
        <f t="shared" si="21"/>
        <v>No</v>
      </c>
      <c r="BM41" s="59">
        <f t="shared" si="15"/>
        <v>45584</v>
      </c>
      <c r="BN41" s="51">
        <f t="shared" si="22"/>
        <v>45148</v>
      </c>
      <c r="BO41" s="54">
        <f t="shared" si="16"/>
        <v>436</v>
      </c>
      <c r="BP41" s="4" t="s">
        <v>189</v>
      </c>
      <c r="BQ41" s="4" t="s">
        <v>118</v>
      </c>
      <c r="BR41" s="18" t="s">
        <v>303</v>
      </c>
      <c r="BS41" s="18" t="s">
        <v>2299</v>
      </c>
      <c r="BT41" s="54" t="str">
        <f t="shared" si="17"/>
        <v>Marketing</v>
      </c>
      <c r="BV41" s="4" t="s">
        <v>189</v>
      </c>
      <c r="BW41" s="4" t="s">
        <v>190</v>
      </c>
      <c r="BX41" s="14" t="s">
        <v>1702</v>
      </c>
      <c r="BY41" s="14" t="s">
        <v>853</v>
      </c>
      <c r="BZ41" s="54" t="str">
        <f t="shared" si="18"/>
        <v>Tanmay Mishra</v>
      </c>
      <c r="CB41" s="18" t="s">
        <v>78</v>
      </c>
      <c r="CC41" s="4" t="s">
        <v>190</v>
      </c>
      <c r="CD41" s="4" t="s">
        <v>119</v>
      </c>
      <c r="CE41" s="54" t="str">
        <v>Software Engineer</v>
      </c>
      <c r="CG41" s="54" t="str">
        <f>IFERROR(_xlfn.XLOOKUP(Hiring!A41,Hiring!A41:A440,Hiring!B41:B440,,0),"Not Found")</f>
        <v>Lipsa Prusty</v>
      </c>
    </row>
    <row r="42" spans="1:85" ht="30.75" customHeight="1">
      <c r="A42" s="22" t="s">
        <v>5854</v>
      </c>
      <c r="B42" s="97" t="s">
        <v>5855</v>
      </c>
      <c r="C42" s="47" t="str">
        <f>INDEX(Employees!G2:G601,MATCH(MAX(Employees!I2:I601),Employees!I2:I601,0))</f>
        <v>OdishaCode Labs</v>
      </c>
      <c r="F42" s="3">
        <v>3.1</v>
      </c>
      <c r="G42" s="52" t="str" cm="1">
        <f t="array" ref="G42">_xlfn.IFS(F42&gt;=4.5,"Excellent",AND(F42&gt;=3.5,F42&lt;=4.4),"Good",F42&lt;3.5,"Needs Improvement")</f>
        <v>Needs Improvement</v>
      </c>
      <c r="I42" s="12">
        <v>93.95</v>
      </c>
      <c r="J42" s="12">
        <v>94.74</v>
      </c>
      <c r="K42" s="54" t="str">
        <f t="shared" si="0"/>
        <v>Over Budget</v>
      </c>
      <c r="M42" s="19"/>
      <c r="N42" s="19">
        <v>94557</v>
      </c>
      <c r="O42" s="54" t="str">
        <f t="shared" si="1"/>
        <v>Yes</v>
      </c>
      <c r="Q42" s="19">
        <v>9.43</v>
      </c>
      <c r="R42" s="56" t="str">
        <f t="shared" si="2"/>
        <v>Yes</v>
      </c>
      <c r="T42" s="19">
        <v>2.6</v>
      </c>
      <c r="U42" s="57" t="str">
        <f t="shared" si="3"/>
        <v>No</v>
      </c>
      <c r="W42" s="19" t="s">
        <v>303</v>
      </c>
      <c r="X42" s="54" t="str">
        <f>VLOOKUP(W42,Employees!$A$1:$B$601,2,FALSE)</f>
        <v>Bikash Biswal</v>
      </c>
      <c r="Z42" s="3" t="s">
        <v>192</v>
      </c>
      <c r="AA42" s="54" t="str">
        <f t="shared" si="4"/>
        <v>0041</v>
      </c>
      <c r="AC42" s="3" t="s">
        <v>16</v>
      </c>
      <c r="AD42" s="54" t="str">
        <f t="shared" si="5"/>
        <v>Devops</v>
      </c>
      <c r="AF42" s="3" t="s">
        <v>193</v>
      </c>
      <c r="AG42" s="3" t="s">
        <v>16</v>
      </c>
      <c r="AH42" s="3" t="s">
        <v>46</v>
      </c>
      <c r="AI42" s="54" t="str">
        <f t="shared" si="6"/>
        <v>Sangita Ratha|DevOps|SambalpurNet</v>
      </c>
      <c r="AK42" s="3" t="s">
        <v>193</v>
      </c>
      <c r="AL42" s="38" t="str">
        <f t="shared" si="7"/>
        <v>S.R.</v>
      </c>
      <c r="AN42" s="19" t="s">
        <v>5023</v>
      </c>
      <c r="AO42" s="54" t="str">
        <f t="shared" si="8"/>
        <v>Linkedln</v>
      </c>
      <c r="AQ42" s="3" t="s">
        <v>193</v>
      </c>
      <c r="AR42" s="52" t="str">
        <f t="shared" si="9"/>
        <v>NO</v>
      </c>
      <c r="AT42" s="12" t="s">
        <v>1709</v>
      </c>
      <c r="AU42" s="54">
        <f t="shared" si="10"/>
        <v>18</v>
      </c>
      <c r="AW42" s="54">
        <f ca="1">DATEDIF(BI42,TODAY(),"Y")</f>
        <v>6</v>
      </c>
      <c r="AX42" s="54"/>
      <c r="AY42" s="40" t="s">
        <v>5108</v>
      </c>
      <c r="AZ42" s="44">
        <f t="shared" si="11"/>
        <v>45492</v>
      </c>
      <c r="BA42" s="54" t="str">
        <f t="shared" si="12"/>
        <v>7-2024</v>
      </c>
      <c r="BC42" s="13" t="s">
        <v>1761</v>
      </c>
      <c r="BD42" s="13">
        <f t="shared" si="13"/>
        <v>44877</v>
      </c>
      <c r="BE42" s="45" t="s">
        <v>1614</v>
      </c>
      <c r="BF42" s="54" t="str">
        <f t="shared" ca="1" si="14"/>
        <v>Overdue</v>
      </c>
      <c r="BH42" s="3" t="s">
        <v>194</v>
      </c>
      <c r="BI42" s="51">
        <f t="shared" si="19"/>
        <v>43728</v>
      </c>
      <c r="BJ42" s="38">
        <f t="shared" ca="1" si="20"/>
        <v>1801</v>
      </c>
      <c r="BK42" s="38"/>
      <c r="BL42" s="38" t="str">
        <f t="shared" si="21"/>
        <v>No</v>
      </c>
      <c r="BM42" s="59">
        <f t="shared" si="15"/>
        <v>45492</v>
      </c>
      <c r="BN42" s="51">
        <f t="shared" si="22"/>
        <v>43728</v>
      </c>
      <c r="BO42" s="54">
        <f t="shared" si="16"/>
        <v>1764</v>
      </c>
      <c r="BP42" s="3" t="s">
        <v>192</v>
      </c>
      <c r="BQ42" s="3" t="s">
        <v>16</v>
      </c>
      <c r="BR42" s="19" t="s">
        <v>303</v>
      </c>
      <c r="BS42" s="19" t="s">
        <v>2303</v>
      </c>
      <c r="BT42" s="54" t="str">
        <f t="shared" si="17"/>
        <v>Marketing</v>
      </c>
      <c r="BV42" s="3" t="s">
        <v>192</v>
      </c>
      <c r="BW42" s="3" t="s">
        <v>193</v>
      </c>
      <c r="BX42" s="12" t="s">
        <v>1709</v>
      </c>
      <c r="BY42" s="12" t="s">
        <v>358</v>
      </c>
      <c r="BZ42" s="54" t="str">
        <f t="shared" si="18"/>
        <v>Prasant Mahapatra</v>
      </c>
      <c r="CB42" s="19" t="s">
        <v>715</v>
      </c>
      <c r="CC42" s="3" t="s">
        <v>193</v>
      </c>
      <c r="CD42" s="3" t="s">
        <v>17</v>
      </c>
      <c r="CE42" s="54" t="str">
        <v>Associate PM</v>
      </c>
      <c r="CG42" s="54" t="str">
        <f>IFERROR(_xlfn.XLOOKUP(Hiring!A42,Hiring!A42:A441,Hiring!B42:B441,,0),"Not Found")</f>
        <v>Namita Tripathy</v>
      </c>
    </row>
    <row r="43" spans="1:85">
      <c r="A43" s="22" t="s">
        <v>5856</v>
      </c>
      <c r="B43" s="98" t="s">
        <v>5857</v>
      </c>
      <c r="C43" s="6" t="s">
        <v>5810</v>
      </c>
      <c r="F43" s="4">
        <v>2.6</v>
      </c>
      <c r="G43" s="52" t="str" cm="1">
        <f t="array" ref="G43">_xlfn.IFS(F43&gt;=4.5,"Excellent",AND(F43&gt;=3.5,F43&lt;=4.4),"Good",F43&lt;3.5,"Needs Improvement")</f>
        <v>Needs Improvement</v>
      </c>
      <c r="I43" s="14">
        <v>183.85</v>
      </c>
      <c r="J43" s="14">
        <v>234.02</v>
      </c>
      <c r="K43" s="54" t="str">
        <f t="shared" si="0"/>
        <v>Over Budget</v>
      </c>
      <c r="M43" s="18">
        <v>144200</v>
      </c>
      <c r="N43" s="18">
        <v>145379</v>
      </c>
      <c r="O43" s="54" t="str">
        <f t="shared" si="1"/>
        <v>Yes</v>
      </c>
      <c r="Q43" s="18">
        <v>6.83</v>
      </c>
      <c r="R43" s="56" t="str">
        <f t="shared" si="2"/>
        <v>Yes</v>
      </c>
      <c r="T43" s="18">
        <v>4.53</v>
      </c>
      <c r="U43" s="57" t="str">
        <f t="shared" si="3"/>
        <v>No</v>
      </c>
      <c r="W43" s="18" t="s">
        <v>303</v>
      </c>
      <c r="X43" s="54" t="str">
        <f>VLOOKUP(W43,Employees!$A$1:$B$601,2,FALSE)</f>
        <v>Bikash Biswal</v>
      </c>
      <c r="Z43" s="4" t="s">
        <v>195</v>
      </c>
      <c r="AA43" s="54" t="str">
        <f t="shared" si="4"/>
        <v>0042</v>
      </c>
      <c r="AC43" s="4" t="s">
        <v>39</v>
      </c>
      <c r="AD43" s="54" t="str">
        <f t="shared" si="5"/>
        <v>Engineering</v>
      </c>
      <c r="AF43" s="4" t="s">
        <v>196</v>
      </c>
      <c r="AG43" s="4" t="s">
        <v>39</v>
      </c>
      <c r="AH43" s="4" t="s">
        <v>32</v>
      </c>
      <c r="AI43" s="54" t="str">
        <f t="shared" si="6"/>
        <v>Sangita Jena|Engineering|NilGiri Digitals</v>
      </c>
      <c r="AK43" s="4" t="s">
        <v>196</v>
      </c>
      <c r="AL43" s="38" t="str">
        <f t="shared" si="7"/>
        <v>S.J.</v>
      </c>
      <c r="AN43" s="18" t="s">
        <v>5077</v>
      </c>
      <c r="AO43" s="54" t="b">
        <f t="shared" si="8"/>
        <v>0</v>
      </c>
      <c r="AQ43" s="4" t="s">
        <v>196</v>
      </c>
      <c r="AR43" s="52" t="str">
        <f t="shared" si="9"/>
        <v>NO</v>
      </c>
      <c r="AT43" s="14" t="s">
        <v>1763</v>
      </c>
      <c r="AU43" s="54">
        <f t="shared" si="10"/>
        <v>19</v>
      </c>
      <c r="AW43" s="54">
        <f ca="1">DATEDIF(BI43,TODAY(),"Y")</f>
        <v>4</v>
      </c>
      <c r="AX43" s="54"/>
      <c r="AY43" s="41" t="s">
        <v>5111</v>
      </c>
      <c r="AZ43" s="44">
        <f t="shared" si="11"/>
        <v>45502</v>
      </c>
      <c r="BA43" s="54" t="str">
        <f t="shared" si="12"/>
        <v>7-2024</v>
      </c>
      <c r="BC43" s="15" t="s">
        <v>1765</v>
      </c>
      <c r="BD43" s="13">
        <f t="shared" si="13"/>
        <v>45526</v>
      </c>
      <c r="BE43" s="46" t="s">
        <v>1632</v>
      </c>
      <c r="BF43" s="54" t="str">
        <f t="shared" ca="1" si="14"/>
        <v>Overdue</v>
      </c>
      <c r="BH43" s="4" t="s">
        <v>198</v>
      </c>
      <c r="BI43" s="51">
        <f t="shared" si="19"/>
        <v>44534</v>
      </c>
      <c r="BJ43" s="38">
        <f t="shared" ca="1" si="20"/>
        <v>1225</v>
      </c>
      <c r="BK43" s="38"/>
      <c r="BL43" s="38" t="str">
        <f t="shared" si="21"/>
        <v>No</v>
      </c>
      <c r="BM43" s="59">
        <f t="shared" si="15"/>
        <v>45502</v>
      </c>
      <c r="BN43" s="51">
        <f t="shared" si="22"/>
        <v>44534</v>
      </c>
      <c r="BO43" s="54">
        <f t="shared" si="16"/>
        <v>968</v>
      </c>
      <c r="BP43" s="4" t="s">
        <v>195</v>
      </c>
      <c r="BQ43" s="4" t="s">
        <v>39</v>
      </c>
      <c r="BR43" s="18" t="s">
        <v>303</v>
      </c>
      <c r="BS43" s="18" t="s">
        <v>2306</v>
      </c>
      <c r="BT43" s="54" t="str">
        <f t="shared" si="17"/>
        <v>Marketing</v>
      </c>
      <c r="BV43" s="4" t="s">
        <v>195</v>
      </c>
      <c r="BW43" s="4" t="s">
        <v>196</v>
      </c>
      <c r="BX43" s="14" t="s">
        <v>1763</v>
      </c>
      <c r="BY43" s="14" t="s">
        <v>997</v>
      </c>
      <c r="BZ43" s="54" t="str">
        <f t="shared" si="18"/>
        <v>Subhasree Parida</v>
      </c>
      <c r="CB43" s="18" t="s">
        <v>5110</v>
      </c>
      <c r="CC43" s="4" t="s">
        <v>196</v>
      </c>
      <c r="CD43" s="4" t="s">
        <v>197</v>
      </c>
      <c r="CE43" s="54" t="str">
        <v>Not Found</v>
      </c>
      <c r="CG43" s="54" t="str">
        <f>IFERROR(_xlfn.XLOOKUP(Hiring!A43,Hiring!A43:A442,Hiring!B43:B442,,0),"Not Found")</f>
        <v>Lipsa Mohapatra</v>
      </c>
    </row>
    <row r="44" spans="1:85">
      <c r="A44" s="22" t="s">
        <v>5858</v>
      </c>
      <c r="B44" s="98" t="s">
        <v>5859</v>
      </c>
      <c r="C44" s="6" t="s">
        <v>5810</v>
      </c>
      <c r="F44" s="3">
        <v>3.3</v>
      </c>
      <c r="G44" s="52" t="str" cm="1">
        <f t="array" ref="G44">_xlfn.IFS(F44&gt;=4.5,"Excellent",AND(F44&gt;=3.5,F44&lt;=4.4),"Good",F44&lt;3.5,"Needs Improvement")</f>
        <v>Needs Improvement</v>
      </c>
      <c r="I44" s="12">
        <v>23.27</v>
      </c>
      <c r="J44" s="12">
        <v>20.03</v>
      </c>
      <c r="K44" s="54" t="str">
        <f t="shared" si="0"/>
        <v>Within Budget</v>
      </c>
      <c r="M44" s="19"/>
      <c r="N44" s="19">
        <v>155745</v>
      </c>
      <c r="O44" s="54" t="str">
        <f t="shared" si="1"/>
        <v>Yes</v>
      </c>
      <c r="Q44" s="19">
        <v>10.26</v>
      </c>
      <c r="R44" s="56" t="str">
        <f t="shared" si="2"/>
        <v>Yes</v>
      </c>
      <c r="T44" s="19">
        <v>3.83</v>
      </c>
      <c r="U44" s="57" t="str">
        <f t="shared" si="3"/>
        <v>No</v>
      </c>
      <c r="W44" s="19" t="s">
        <v>303</v>
      </c>
      <c r="X44" s="54" t="str">
        <f>VLOOKUP(W44,Employees!$A$1:$B$601,2,FALSE)</f>
        <v>Bikash Biswal</v>
      </c>
      <c r="Z44" s="3" t="s">
        <v>199</v>
      </c>
      <c r="AA44" s="54" t="str">
        <f t="shared" si="4"/>
        <v>0043</v>
      </c>
      <c r="AC44" s="3" t="s">
        <v>89</v>
      </c>
      <c r="AD44" s="54" t="str">
        <f t="shared" si="5"/>
        <v>Data Science</v>
      </c>
      <c r="AF44" s="3" t="s">
        <v>200</v>
      </c>
      <c r="AG44" s="3" t="s">
        <v>89</v>
      </c>
      <c r="AH44" s="3" t="s">
        <v>65</v>
      </c>
      <c r="AI44" s="54" t="str">
        <f t="shared" si="6"/>
        <v>Rahul Ratha|Data Science|TributeAI</v>
      </c>
      <c r="AK44" s="3" t="s">
        <v>200</v>
      </c>
      <c r="AL44" s="38" t="str">
        <f t="shared" si="7"/>
        <v>R.R.</v>
      </c>
      <c r="AN44" s="19" t="s">
        <v>5019</v>
      </c>
      <c r="AO44" s="54" t="str">
        <f t="shared" si="8"/>
        <v>Linkedln</v>
      </c>
      <c r="AQ44" s="3" t="s">
        <v>200</v>
      </c>
      <c r="AR44" s="52" t="str">
        <f t="shared" si="9"/>
        <v>NO</v>
      </c>
      <c r="AT44" s="12" t="s">
        <v>1693</v>
      </c>
      <c r="AU44" s="54">
        <f t="shared" si="10"/>
        <v>17</v>
      </c>
      <c r="AW44" s="54">
        <f ca="1">DATEDIF(BI44,TODAY(),"Y")</f>
        <v>6</v>
      </c>
      <c r="AX44" s="54"/>
      <c r="AY44" s="40" t="s">
        <v>5113</v>
      </c>
      <c r="AZ44" s="44">
        <f t="shared" si="11"/>
        <v>45198</v>
      </c>
      <c r="BA44" s="54" t="str">
        <f t="shared" si="12"/>
        <v>9-2023</v>
      </c>
      <c r="BC44" s="13" t="s">
        <v>1767</v>
      </c>
      <c r="BD44" s="13">
        <f t="shared" si="13"/>
        <v>45142</v>
      </c>
      <c r="BE44" s="45" t="s">
        <v>1614</v>
      </c>
      <c r="BF44" s="54" t="str">
        <f t="shared" ca="1" si="14"/>
        <v>Overdue</v>
      </c>
      <c r="BH44" s="3" t="s">
        <v>201</v>
      </c>
      <c r="BI44" s="51">
        <f t="shared" si="19"/>
        <v>43848</v>
      </c>
      <c r="BJ44" s="38">
        <f t="shared" ca="1" si="20"/>
        <v>1715</v>
      </c>
      <c r="BK44" s="38"/>
      <c r="BL44" s="38" t="str">
        <f t="shared" si="21"/>
        <v>Q1</v>
      </c>
      <c r="BM44" s="59">
        <f t="shared" si="15"/>
        <v>45198</v>
      </c>
      <c r="BN44" s="51">
        <f t="shared" si="22"/>
        <v>43848</v>
      </c>
      <c r="BO44" s="54">
        <f t="shared" si="16"/>
        <v>1350</v>
      </c>
      <c r="BP44" s="3" t="s">
        <v>199</v>
      </c>
      <c r="BQ44" s="3" t="s">
        <v>89</v>
      </c>
      <c r="BR44" s="19" t="s">
        <v>303</v>
      </c>
      <c r="BS44" s="19" t="s">
        <v>2310</v>
      </c>
      <c r="BT44" s="54" t="str">
        <f t="shared" si="17"/>
        <v>Marketing</v>
      </c>
      <c r="BV44" s="3" t="s">
        <v>199</v>
      </c>
      <c r="BW44" s="3" t="s">
        <v>200</v>
      </c>
      <c r="BX44" s="12" t="s">
        <v>1693</v>
      </c>
      <c r="BY44" s="12" t="s">
        <v>594</v>
      </c>
      <c r="BZ44" s="54" t="str">
        <f t="shared" si="18"/>
        <v>Abhishek Pattnaik</v>
      </c>
      <c r="CB44" s="19" t="s">
        <v>375</v>
      </c>
      <c r="CC44" s="3" t="s">
        <v>200</v>
      </c>
      <c r="CD44" s="3" t="s">
        <v>90</v>
      </c>
      <c r="CE44" s="54" t="str">
        <v>ML Engineer</v>
      </c>
      <c r="CG44" s="54" t="str">
        <f>IFERROR(_xlfn.XLOOKUP(Hiring!A44,Hiring!A44:A443,Hiring!B44:B443,,0),"Not Found")</f>
        <v>Sangita Parida</v>
      </c>
    </row>
    <row r="45" spans="1:85">
      <c r="B45" s="100"/>
      <c r="F45" s="4">
        <v>2.7</v>
      </c>
      <c r="G45" s="52" t="str" cm="1">
        <f t="array" ref="G45">_xlfn.IFS(F45&gt;=4.5,"Excellent",AND(F45&gt;=3.5,F45&lt;=4.4),"Good",F45&lt;3.5,"Needs Improvement")</f>
        <v>Needs Improvement</v>
      </c>
      <c r="I45" s="14">
        <v>59.86</v>
      </c>
      <c r="J45" s="14">
        <v>42.4</v>
      </c>
      <c r="K45" s="54" t="str">
        <f t="shared" si="0"/>
        <v>Within Budget</v>
      </c>
      <c r="M45" s="18"/>
      <c r="N45" s="18">
        <v>195587</v>
      </c>
      <c r="O45" s="54" t="str">
        <f t="shared" si="1"/>
        <v>Yes</v>
      </c>
      <c r="Q45" s="18">
        <v>9.65</v>
      </c>
      <c r="R45" s="56" t="str">
        <f t="shared" si="2"/>
        <v>Yes</v>
      </c>
      <c r="T45" s="18">
        <v>5.6</v>
      </c>
      <c r="U45" s="57" t="str">
        <f t="shared" si="3"/>
        <v>No</v>
      </c>
      <c r="W45" s="18" t="s">
        <v>259</v>
      </c>
      <c r="X45" s="54" t="str">
        <f>VLOOKUP(W45,Employees!$A$1:$B$601,2,FALSE)</f>
        <v>Aditya Prusty</v>
      </c>
      <c r="Z45" s="4" t="s">
        <v>202</v>
      </c>
      <c r="AA45" s="54" t="str">
        <f t="shared" si="4"/>
        <v>0044</v>
      </c>
      <c r="AC45" s="4" t="s">
        <v>84</v>
      </c>
      <c r="AD45" s="54" t="str">
        <f t="shared" si="5"/>
        <v>Hr</v>
      </c>
      <c r="AF45" s="4" t="s">
        <v>203</v>
      </c>
      <c r="AG45" s="4" t="s">
        <v>84</v>
      </c>
      <c r="AH45" s="4" t="s">
        <v>70</v>
      </c>
      <c r="AI45" s="54" t="str">
        <f t="shared" si="6"/>
        <v>Nirmal Padhi|HR|OdishaCode Labs</v>
      </c>
      <c r="AK45" s="4" t="s">
        <v>203</v>
      </c>
      <c r="AL45" s="38" t="str">
        <f t="shared" si="7"/>
        <v>N.P.</v>
      </c>
      <c r="AN45" s="18" t="s">
        <v>5060</v>
      </c>
      <c r="AO45" s="54" t="str">
        <f t="shared" si="8"/>
        <v>Naukri</v>
      </c>
      <c r="AQ45" s="4" t="s">
        <v>203</v>
      </c>
      <c r="AR45" s="52" t="str">
        <f t="shared" si="9"/>
        <v>NO</v>
      </c>
      <c r="AT45" s="14" t="s">
        <v>1609</v>
      </c>
      <c r="AU45" s="54">
        <f t="shared" si="10"/>
        <v>22</v>
      </c>
      <c r="AW45" s="54">
        <f ca="1">DATEDIF(BI45,TODAY(),"Y")</f>
        <v>6</v>
      </c>
      <c r="AX45" s="54"/>
      <c r="AY45" s="41" t="s">
        <v>5116</v>
      </c>
      <c r="AZ45" s="44">
        <f t="shared" si="11"/>
        <v>45141</v>
      </c>
      <c r="BA45" s="54" t="str">
        <f t="shared" si="12"/>
        <v>8-2023</v>
      </c>
      <c r="BC45" s="15" t="s">
        <v>1770</v>
      </c>
      <c r="BD45" s="13">
        <f t="shared" si="13"/>
        <v>44689</v>
      </c>
      <c r="BE45" s="46" t="s">
        <v>1656</v>
      </c>
      <c r="BF45" s="54" t="str">
        <f t="shared" ca="1" si="14"/>
        <v>Overdue</v>
      </c>
      <c r="BH45" s="4" t="s">
        <v>205</v>
      </c>
      <c r="BI45" s="51">
        <f t="shared" si="19"/>
        <v>43981</v>
      </c>
      <c r="BJ45" s="38">
        <f t="shared" ca="1" si="20"/>
        <v>1620</v>
      </c>
      <c r="BK45" s="38"/>
      <c r="BL45" s="38" t="str">
        <f t="shared" si="21"/>
        <v>No</v>
      </c>
      <c r="BM45" s="59">
        <f t="shared" si="15"/>
        <v>45141</v>
      </c>
      <c r="BN45" s="51">
        <f t="shared" si="22"/>
        <v>43981</v>
      </c>
      <c r="BO45" s="54">
        <f t="shared" si="16"/>
        <v>1160</v>
      </c>
      <c r="BP45" s="4" t="s">
        <v>202</v>
      </c>
      <c r="BQ45" s="4" t="s">
        <v>84</v>
      </c>
      <c r="BR45" s="18" t="s">
        <v>259</v>
      </c>
      <c r="BS45" s="18" t="s">
        <v>2313</v>
      </c>
      <c r="BT45" s="54" t="str">
        <f t="shared" si="17"/>
        <v>Product</v>
      </c>
      <c r="BV45" s="4" t="s">
        <v>202</v>
      </c>
      <c r="BW45" s="4" t="s">
        <v>203</v>
      </c>
      <c r="BX45" s="14" t="s">
        <v>1609</v>
      </c>
      <c r="BY45" s="14" t="s">
        <v>1375</v>
      </c>
      <c r="BZ45" s="54" t="str">
        <f t="shared" si="18"/>
        <v>Puspita Prusty</v>
      </c>
      <c r="CB45" s="18" t="s">
        <v>5115</v>
      </c>
      <c r="CC45" s="4" t="s">
        <v>203</v>
      </c>
      <c r="CD45" s="4" t="s">
        <v>204</v>
      </c>
      <c r="CE45" s="54" t="str">
        <v>Not Found</v>
      </c>
      <c r="CG45" s="54" t="str">
        <f>IFERROR(_xlfn.XLOOKUP(Hiring!A45,Hiring!A45:A444,Hiring!B45:B444,,0),"Not Found")</f>
        <v>Debasmita Parida</v>
      </c>
    </row>
    <row r="46" spans="1:85">
      <c r="A46" s="101" t="s">
        <v>5860</v>
      </c>
      <c r="B46" s="102"/>
      <c r="F46" s="3">
        <v>4.3</v>
      </c>
      <c r="G46" s="52" t="str" cm="1">
        <f t="array" ref="G46">_xlfn.IFS(F46&gt;=4.5,"Excellent",AND(F46&gt;=3.5,F46&lt;=4.4),"Good",F46&lt;3.5,"Needs Improvement")</f>
        <v>Good</v>
      </c>
      <c r="I46" s="12">
        <v>166.14</v>
      </c>
      <c r="J46" s="12">
        <v>137.43</v>
      </c>
      <c r="K46" s="54" t="str">
        <f t="shared" si="0"/>
        <v>Within Budget</v>
      </c>
      <c r="M46" s="19">
        <v>163716</v>
      </c>
      <c r="N46" s="19">
        <v>172657</v>
      </c>
      <c r="O46" s="54" t="str">
        <f t="shared" si="1"/>
        <v>Yes</v>
      </c>
      <c r="Q46" s="19">
        <v>7.55</v>
      </c>
      <c r="R46" s="56" t="str">
        <f t="shared" si="2"/>
        <v>Yes</v>
      </c>
      <c r="T46" s="19">
        <v>3.21</v>
      </c>
      <c r="U46" s="57" t="str">
        <f t="shared" si="3"/>
        <v>No</v>
      </c>
      <c r="W46" s="19" t="s">
        <v>259</v>
      </c>
      <c r="X46" s="54" t="str">
        <f>VLOOKUP(W46,Employees!$A$1:$B$601,2,FALSE)</f>
        <v>Aditya Prusty</v>
      </c>
      <c r="Z46" s="3" t="s">
        <v>206</v>
      </c>
      <c r="AA46" s="54" t="str">
        <f t="shared" si="4"/>
        <v>0045</v>
      </c>
      <c r="AC46" s="3" t="s">
        <v>39</v>
      </c>
      <c r="AD46" s="54" t="str">
        <f t="shared" si="5"/>
        <v>Engineering</v>
      </c>
      <c r="AF46" s="3" t="s">
        <v>207</v>
      </c>
      <c r="AG46" s="3" t="s">
        <v>39</v>
      </c>
      <c r="AH46" s="3" t="s">
        <v>149</v>
      </c>
      <c r="AI46" s="54" t="str">
        <f t="shared" si="6"/>
        <v>Dibya Prusty|Engineering|SilverByte Systems</v>
      </c>
      <c r="AK46" s="3" t="s">
        <v>207</v>
      </c>
      <c r="AL46" s="38" t="str">
        <f t="shared" si="7"/>
        <v>D.P.</v>
      </c>
      <c r="AN46" s="19" t="s">
        <v>5016</v>
      </c>
      <c r="AO46" s="54" t="b">
        <f t="shared" si="8"/>
        <v>0</v>
      </c>
      <c r="AQ46" s="3" t="s">
        <v>207</v>
      </c>
      <c r="AR46" s="52" t="str">
        <f t="shared" si="9"/>
        <v>NO</v>
      </c>
      <c r="AT46" s="12" t="s">
        <v>1763</v>
      </c>
      <c r="AU46" s="54">
        <f t="shared" si="10"/>
        <v>19</v>
      </c>
      <c r="AW46" s="54">
        <f ca="1">DATEDIF(BI46,TODAY(),"Y")</f>
        <v>6</v>
      </c>
      <c r="AX46" s="54"/>
      <c r="AY46" s="40" t="s">
        <v>5118</v>
      </c>
      <c r="AZ46" s="44">
        <f t="shared" si="11"/>
        <v>45528</v>
      </c>
      <c r="BA46" s="54" t="str">
        <f t="shared" si="12"/>
        <v>8-2024</v>
      </c>
      <c r="BC46" s="13" t="s">
        <v>1772</v>
      </c>
      <c r="BD46" s="13">
        <f t="shared" si="13"/>
        <v>45775</v>
      </c>
      <c r="BE46" s="45" t="s">
        <v>1656</v>
      </c>
      <c r="BF46" s="54" t="str">
        <f t="shared" ca="1" si="14"/>
        <v>Overdue</v>
      </c>
      <c r="BH46" s="3" t="s">
        <v>208</v>
      </c>
      <c r="BI46" s="51">
        <f t="shared" si="19"/>
        <v>43901</v>
      </c>
      <c r="BJ46" s="38">
        <f t="shared" ca="1" si="20"/>
        <v>1678</v>
      </c>
      <c r="BK46" s="38"/>
      <c r="BL46" s="38" t="str">
        <f t="shared" si="21"/>
        <v>Q1</v>
      </c>
      <c r="BM46" s="59">
        <f t="shared" si="15"/>
        <v>45528</v>
      </c>
      <c r="BN46" s="51">
        <f t="shared" si="22"/>
        <v>43901</v>
      </c>
      <c r="BO46" s="54">
        <f t="shared" si="16"/>
        <v>1627</v>
      </c>
      <c r="BP46" s="3" t="s">
        <v>206</v>
      </c>
      <c r="BQ46" s="3" t="s">
        <v>39</v>
      </c>
      <c r="BR46" s="19" t="s">
        <v>259</v>
      </c>
      <c r="BS46" s="19" t="s">
        <v>2316</v>
      </c>
      <c r="BT46" s="54" t="str">
        <f t="shared" si="17"/>
        <v>Product</v>
      </c>
      <c r="BV46" s="3" t="s">
        <v>206</v>
      </c>
      <c r="BW46" s="3" t="s">
        <v>207</v>
      </c>
      <c r="BX46" s="12" t="s">
        <v>1763</v>
      </c>
      <c r="BY46" s="12" t="s">
        <v>1078</v>
      </c>
      <c r="BZ46" s="54" t="str">
        <f t="shared" si="18"/>
        <v>Amlan Sahu</v>
      </c>
      <c r="CB46" s="19" t="s">
        <v>14</v>
      </c>
      <c r="CC46" s="3" t="s">
        <v>207</v>
      </c>
      <c r="CD46" s="3" t="s">
        <v>109</v>
      </c>
      <c r="CE46" s="54" t="str">
        <v>SRE</v>
      </c>
      <c r="CG46" s="54" t="str">
        <f>IFERROR(_xlfn.XLOOKUP(Hiring!A46,Hiring!A46:A445,Hiring!B46:B445,,0),"Not Found")</f>
        <v>Priyanka Jena</v>
      </c>
    </row>
    <row r="47" spans="1:85" ht="30.75">
      <c r="A47" s="22" t="s">
        <v>5861</v>
      </c>
      <c r="B47" s="98" t="s">
        <v>5862</v>
      </c>
      <c r="C47" s="6" t="s">
        <v>5810</v>
      </c>
      <c r="F47" s="4">
        <v>2.2999999999999998</v>
      </c>
      <c r="G47" s="52" t="str" cm="1">
        <f t="array" ref="G47">_xlfn.IFS(F47&gt;=4.5,"Excellent",AND(F47&gt;=3.5,F47&lt;=4.4),"Good",F47&lt;3.5,"Needs Improvement")</f>
        <v>Needs Improvement</v>
      </c>
      <c r="I47" s="14">
        <v>17</v>
      </c>
      <c r="J47" s="14">
        <v>19.66</v>
      </c>
      <c r="K47" s="54" t="str">
        <f t="shared" si="0"/>
        <v>Over Budget</v>
      </c>
      <c r="M47" s="18">
        <v>66009</v>
      </c>
      <c r="N47" s="18">
        <v>61815</v>
      </c>
      <c r="O47" s="54" t="str">
        <f t="shared" si="1"/>
        <v>Yes</v>
      </c>
      <c r="Q47" s="18">
        <v>10.69</v>
      </c>
      <c r="R47" s="56" t="str">
        <f t="shared" si="2"/>
        <v>Yes</v>
      </c>
      <c r="T47" s="18">
        <v>1.33</v>
      </c>
      <c r="U47" s="57" t="str">
        <f t="shared" si="3"/>
        <v>No</v>
      </c>
      <c r="W47" s="18" t="s">
        <v>259</v>
      </c>
      <c r="X47" s="54" t="str">
        <f>VLOOKUP(W47,Employees!$A$1:$B$601,2,FALSE)</f>
        <v>Aditya Prusty</v>
      </c>
      <c r="Z47" s="4" t="s">
        <v>209</v>
      </c>
      <c r="AA47" s="54" t="str">
        <f t="shared" si="4"/>
        <v>0046</v>
      </c>
      <c r="AC47" s="4" t="s">
        <v>84</v>
      </c>
      <c r="AD47" s="54" t="str">
        <f t="shared" si="5"/>
        <v>Hr</v>
      </c>
      <c r="AF47" s="4" t="s">
        <v>210</v>
      </c>
      <c r="AG47" s="4" t="s">
        <v>84</v>
      </c>
      <c r="AH47" s="4" t="s">
        <v>149</v>
      </c>
      <c r="AI47" s="54" t="str">
        <f t="shared" si="6"/>
        <v>Ipsita Routray|HR|SilverByte Systems</v>
      </c>
      <c r="AK47" s="4" t="s">
        <v>210</v>
      </c>
      <c r="AL47" s="38" t="str">
        <f t="shared" si="7"/>
        <v>I.R.</v>
      </c>
      <c r="AN47" s="18" t="s">
        <v>5051</v>
      </c>
      <c r="AO47" s="54" t="str">
        <f t="shared" si="8"/>
        <v>Naukri</v>
      </c>
      <c r="AQ47" s="4" t="s">
        <v>210</v>
      </c>
      <c r="AR47" s="52" t="str">
        <f t="shared" si="9"/>
        <v>NO</v>
      </c>
      <c r="AT47" s="14" t="s">
        <v>1672</v>
      </c>
      <c r="AU47" s="54">
        <f t="shared" si="10"/>
        <v>19</v>
      </c>
      <c r="AW47" s="54">
        <f ca="1">DATEDIF(BI47,TODAY(),"Y")</f>
        <v>4</v>
      </c>
      <c r="AX47" s="54"/>
      <c r="AY47" s="41" t="s">
        <v>1381</v>
      </c>
      <c r="AZ47" s="44">
        <f t="shared" si="11"/>
        <v>44956</v>
      </c>
      <c r="BA47" s="54" t="str">
        <f t="shared" si="12"/>
        <v>1-2023</v>
      </c>
      <c r="BC47" s="15" t="s">
        <v>1775</v>
      </c>
      <c r="BD47" s="13">
        <f t="shared" si="13"/>
        <v>45509</v>
      </c>
      <c r="BE47" s="46" t="s">
        <v>1614</v>
      </c>
      <c r="BF47" s="54" t="str">
        <f t="shared" ca="1" si="14"/>
        <v>Overdue</v>
      </c>
      <c r="BH47" s="4" t="s">
        <v>211</v>
      </c>
      <c r="BI47" s="51">
        <f t="shared" si="19"/>
        <v>44521</v>
      </c>
      <c r="BJ47" s="38">
        <f t="shared" ca="1" si="20"/>
        <v>1235</v>
      </c>
      <c r="BK47" s="38"/>
      <c r="BL47" s="38" t="str">
        <f t="shared" si="21"/>
        <v>No</v>
      </c>
      <c r="BM47" s="59">
        <f t="shared" si="15"/>
        <v>44956</v>
      </c>
      <c r="BN47" s="51">
        <f t="shared" si="22"/>
        <v>44521</v>
      </c>
      <c r="BO47" s="54">
        <f t="shared" si="16"/>
        <v>435</v>
      </c>
      <c r="BP47" s="4" t="s">
        <v>209</v>
      </c>
      <c r="BQ47" s="4" t="s">
        <v>84</v>
      </c>
      <c r="BR47" s="18" t="s">
        <v>259</v>
      </c>
      <c r="BS47" s="18" t="s">
        <v>2318</v>
      </c>
      <c r="BT47" s="54" t="str">
        <f t="shared" si="17"/>
        <v>Product</v>
      </c>
      <c r="BV47" s="4" t="s">
        <v>209</v>
      </c>
      <c r="BW47" s="4" t="s">
        <v>210</v>
      </c>
      <c r="BX47" s="14" t="s">
        <v>1672</v>
      </c>
      <c r="BY47" s="14" t="s">
        <v>1261</v>
      </c>
      <c r="BZ47" s="54" t="str">
        <f t="shared" si="18"/>
        <v>Soumya Mohapatra</v>
      </c>
      <c r="CB47" s="18" t="s">
        <v>699</v>
      </c>
      <c r="CC47" s="4" t="s">
        <v>210</v>
      </c>
      <c r="CD47" s="4" t="s">
        <v>85</v>
      </c>
      <c r="CE47" s="54" t="str">
        <v>HR Executive</v>
      </c>
      <c r="CG47" s="54" t="str">
        <f>IFERROR(_xlfn.XLOOKUP(Hiring!A47,Hiring!A47:A446,Hiring!B47:B446,,0),"Not Found")</f>
        <v>Ipsita Sahu</v>
      </c>
    </row>
    <row r="48" spans="1:85">
      <c r="A48" s="22" t="s">
        <v>5863</v>
      </c>
      <c r="B48" s="98" t="s">
        <v>5864</v>
      </c>
      <c r="C48" s="6" t="s">
        <v>5810</v>
      </c>
      <c r="F48" s="3">
        <v>4.5</v>
      </c>
      <c r="G48" s="52" t="str" cm="1">
        <f t="array" ref="G48">_xlfn.IFS(F48&gt;=4.5,"Excellent",AND(F48&gt;=3.5,F48&lt;=4.4),"Good",F48&lt;3.5,"Needs Improvement")</f>
        <v>Excellent</v>
      </c>
      <c r="I48" s="12">
        <v>151.97</v>
      </c>
      <c r="J48" s="12">
        <v>162.69999999999999</v>
      </c>
      <c r="K48" s="54" t="str">
        <f t="shared" si="0"/>
        <v>Over Budget</v>
      </c>
      <c r="M48" s="19">
        <v>129873</v>
      </c>
      <c r="N48" s="19">
        <v>146052</v>
      </c>
      <c r="O48" s="54" t="str">
        <f t="shared" si="1"/>
        <v>Yes</v>
      </c>
      <c r="Q48" s="19">
        <v>9.98</v>
      </c>
      <c r="R48" s="56" t="str">
        <f t="shared" si="2"/>
        <v>Yes</v>
      </c>
      <c r="T48" s="19">
        <v>17.07</v>
      </c>
      <c r="U48" s="57" t="str">
        <f t="shared" si="3"/>
        <v>High Attrition</v>
      </c>
      <c r="W48" s="19" t="s">
        <v>259</v>
      </c>
      <c r="X48" s="54" t="str">
        <f>VLOOKUP(W48,Employees!$A$1:$B$601,2,FALSE)</f>
        <v>Aditya Prusty</v>
      </c>
      <c r="Z48" s="3" t="s">
        <v>212</v>
      </c>
      <c r="AA48" s="54" t="str">
        <f t="shared" si="4"/>
        <v>0047</v>
      </c>
      <c r="AC48" s="3" t="s">
        <v>51</v>
      </c>
      <c r="AD48" s="54" t="str">
        <f t="shared" si="5"/>
        <v>Sales</v>
      </c>
      <c r="AF48" s="3" t="s">
        <v>213</v>
      </c>
      <c r="AG48" s="3" t="s">
        <v>51</v>
      </c>
      <c r="AH48" s="3" t="s">
        <v>214</v>
      </c>
      <c r="AI48" s="54" t="str">
        <f t="shared" si="6"/>
        <v>Puspita Jena|Sales|ZeroOneSystems</v>
      </c>
      <c r="AK48" s="3" t="s">
        <v>213</v>
      </c>
      <c r="AL48" s="38" t="str">
        <f t="shared" si="7"/>
        <v>P.J.</v>
      </c>
      <c r="AN48" s="19" t="s">
        <v>5019</v>
      </c>
      <c r="AO48" s="54" t="str">
        <f t="shared" si="8"/>
        <v>Linkedln</v>
      </c>
      <c r="AQ48" s="3" t="s">
        <v>213</v>
      </c>
      <c r="AR48" s="52" t="str">
        <f t="shared" si="9"/>
        <v>NO</v>
      </c>
      <c r="AT48" s="12" t="s">
        <v>1702</v>
      </c>
      <c r="AU48" s="54">
        <f t="shared" si="10"/>
        <v>17</v>
      </c>
      <c r="AW48" s="54">
        <f ca="1">DATEDIF(BI48,TODAY(),"Y")</f>
        <v>6</v>
      </c>
      <c r="AX48" s="54"/>
      <c r="AY48" s="40" t="s">
        <v>722</v>
      </c>
      <c r="AZ48" s="44">
        <f t="shared" si="11"/>
        <v>45097</v>
      </c>
      <c r="BA48" s="54" t="str">
        <f t="shared" si="12"/>
        <v>6-2023</v>
      </c>
      <c r="BC48" s="13" t="s">
        <v>1778</v>
      </c>
      <c r="BD48" s="13">
        <f t="shared" si="13"/>
        <v>45962</v>
      </c>
      <c r="BE48" s="45" t="s">
        <v>1625</v>
      </c>
      <c r="BF48" s="54" t="str">
        <f t="shared" ca="1" si="14"/>
        <v>Overdue</v>
      </c>
      <c r="BH48" s="3" t="s">
        <v>215</v>
      </c>
      <c r="BI48" s="51">
        <f t="shared" si="19"/>
        <v>44025</v>
      </c>
      <c r="BJ48" s="38">
        <f t="shared" ca="1" si="20"/>
        <v>1590</v>
      </c>
      <c r="BK48" s="38"/>
      <c r="BL48" s="38" t="str">
        <f t="shared" si="21"/>
        <v>No</v>
      </c>
      <c r="BM48" s="59">
        <f t="shared" si="15"/>
        <v>45097</v>
      </c>
      <c r="BN48" s="51">
        <f t="shared" si="22"/>
        <v>44025</v>
      </c>
      <c r="BO48" s="54">
        <f t="shared" si="16"/>
        <v>1072</v>
      </c>
      <c r="BP48" s="3" t="s">
        <v>212</v>
      </c>
      <c r="BQ48" s="3" t="s">
        <v>51</v>
      </c>
      <c r="BR48" s="19" t="s">
        <v>259</v>
      </c>
      <c r="BS48" s="19" t="s">
        <v>2321</v>
      </c>
      <c r="BT48" s="54" t="str">
        <f t="shared" si="17"/>
        <v>Product</v>
      </c>
      <c r="BV48" s="3" t="s">
        <v>212</v>
      </c>
      <c r="BW48" s="3" t="s">
        <v>213</v>
      </c>
      <c r="BX48" s="12" t="s">
        <v>1702</v>
      </c>
      <c r="BY48" s="12" t="s">
        <v>688</v>
      </c>
      <c r="BZ48" s="54" t="str">
        <f t="shared" si="18"/>
        <v>Abhishek Nanda</v>
      </c>
      <c r="CB48" s="19" t="s">
        <v>5121</v>
      </c>
      <c r="CC48" s="3" t="s">
        <v>213</v>
      </c>
      <c r="CD48" s="3" t="s">
        <v>69</v>
      </c>
      <c r="CE48" s="54" t="str">
        <v>Not Found</v>
      </c>
      <c r="CG48" s="54" t="str">
        <f>IFERROR(_xlfn.XLOOKUP(Hiring!A48,Hiring!A48:A447,Hiring!B48:B447,,0),"Not Found")</f>
        <v>Namita Parida</v>
      </c>
    </row>
    <row r="49" spans="1:85">
      <c r="A49" s="22" t="s">
        <v>5865</v>
      </c>
      <c r="B49" s="98" t="s">
        <v>5866</v>
      </c>
      <c r="C49" s="6" t="s">
        <v>5810</v>
      </c>
      <c r="F49" s="4">
        <v>2.9</v>
      </c>
      <c r="G49" s="52" t="str" cm="1">
        <f t="array" ref="G49">_xlfn.IFS(F49&gt;=4.5,"Excellent",AND(F49&gt;=3.5,F49&lt;=4.4),"Good",F49&lt;3.5,"Needs Improvement")</f>
        <v>Needs Improvement</v>
      </c>
      <c r="I49" s="14">
        <v>165.98</v>
      </c>
      <c r="J49" s="14">
        <v>150.33000000000001</v>
      </c>
      <c r="K49" s="54" t="str">
        <f t="shared" si="0"/>
        <v>Within Budget</v>
      </c>
      <c r="M49" s="18">
        <v>47821</v>
      </c>
      <c r="N49" s="18">
        <v>53469</v>
      </c>
      <c r="O49" s="54" t="str">
        <f t="shared" si="1"/>
        <v>Yes</v>
      </c>
      <c r="Q49" s="18">
        <v>6.62</v>
      </c>
      <c r="R49" s="56" t="str">
        <f t="shared" si="2"/>
        <v>Yes</v>
      </c>
      <c r="T49" s="18">
        <v>10.09</v>
      </c>
      <c r="U49" s="57" t="str">
        <f t="shared" si="3"/>
        <v>High Attrition</v>
      </c>
      <c r="W49" s="18" t="s">
        <v>259</v>
      </c>
      <c r="X49" s="54" t="str">
        <f>VLOOKUP(W49,Employees!$A$1:$B$601,2,FALSE)</f>
        <v>Aditya Prusty</v>
      </c>
      <c r="Z49" s="4" t="s">
        <v>216</v>
      </c>
      <c r="AA49" s="54" t="str">
        <f t="shared" si="4"/>
        <v>0048</v>
      </c>
      <c r="AC49" s="4" t="s">
        <v>51</v>
      </c>
      <c r="AD49" s="54" t="str">
        <f t="shared" si="5"/>
        <v>Sales</v>
      </c>
      <c r="AF49" s="4" t="s">
        <v>217</v>
      </c>
      <c r="AG49" s="4" t="s">
        <v>51</v>
      </c>
      <c r="AH49" s="4" t="s">
        <v>75</v>
      </c>
      <c r="AI49" s="54" t="str">
        <f t="shared" si="6"/>
        <v>Sangita Biswal|Sales|KalingaTech Pvt Ltd</v>
      </c>
      <c r="AK49" s="4" t="s">
        <v>217</v>
      </c>
      <c r="AL49" s="38" t="str">
        <f t="shared" si="7"/>
        <v>S.B.</v>
      </c>
      <c r="AN49" s="18" t="s">
        <v>5051</v>
      </c>
      <c r="AO49" s="54" t="str">
        <f t="shared" si="8"/>
        <v>Naukri</v>
      </c>
      <c r="AQ49" s="4" t="s">
        <v>217</v>
      </c>
      <c r="AR49" s="52" t="str">
        <f t="shared" si="9"/>
        <v>NO</v>
      </c>
      <c r="AT49" s="14" t="s">
        <v>1621</v>
      </c>
      <c r="AU49" s="54">
        <f t="shared" si="10"/>
        <v>24</v>
      </c>
      <c r="AW49" s="54">
        <f ca="1">DATEDIF(BI49,TODAY(),"Y")</f>
        <v>7</v>
      </c>
      <c r="AX49" s="54"/>
      <c r="AY49" s="41" t="s">
        <v>5124</v>
      </c>
      <c r="AZ49" s="44">
        <f t="shared" si="11"/>
        <v>45100</v>
      </c>
      <c r="BA49" s="54" t="str">
        <f t="shared" si="12"/>
        <v>6-2023</v>
      </c>
      <c r="BC49" s="15" t="s">
        <v>1781</v>
      </c>
      <c r="BD49" s="13">
        <f t="shared" si="13"/>
        <v>45201</v>
      </c>
      <c r="BE49" s="46" t="s">
        <v>1625</v>
      </c>
      <c r="BF49" s="54" t="str">
        <f t="shared" ca="1" si="14"/>
        <v>Overdue</v>
      </c>
      <c r="BH49" s="4" t="s">
        <v>218</v>
      </c>
      <c r="BI49" s="51">
        <f t="shared" si="19"/>
        <v>43646</v>
      </c>
      <c r="BJ49" s="38">
        <f t="shared" ca="1" si="20"/>
        <v>1860</v>
      </c>
      <c r="BK49" s="38"/>
      <c r="BL49" s="38" t="str">
        <f t="shared" si="21"/>
        <v>No</v>
      </c>
      <c r="BM49" s="59">
        <f t="shared" si="15"/>
        <v>45100</v>
      </c>
      <c r="BN49" s="51">
        <f t="shared" si="22"/>
        <v>43646</v>
      </c>
      <c r="BO49" s="54">
        <f t="shared" si="16"/>
        <v>1454</v>
      </c>
      <c r="BP49" s="4" t="s">
        <v>216</v>
      </c>
      <c r="BQ49" s="4" t="s">
        <v>51</v>
      </c>
      <c r="BR49" s="18" t="s">
        <v>259</v>
      </c>
      <c r="BS49" s="18" t="s">
        <v>2322</v>
      </c>
      <c r="BT49" s="54" t="str">
        <f t="shared" si="17"/>
        <v>Product</v>
      </c>
      <c r="BV49" s="4" t="s">
        <v>216</v>
      </c>
      <c r="BW49" s="4" t="s">
        <v>217</v>
      </c>
      <c r="BX49" s="14" t="s">
        <v>1621</v>
      </c>
      <c r="BY49" s="14" t="s">
        <v>30</v>
      </c>
      <c r="BZ49" s="54" t="str">
        <f t="shared" si="18"/>
        <v>Subhasree Dhal</v>
      </c>
      <c r="CB49" s="18" t="s">
        <v>5123</v>
      </c>
      <c r="CC49" s="4" t="s">
        <v>217</v>
      </c>
      <c r="CD49" s="4" t="s">
        <v>69</v>
      </c>
      <c r="CE49" s="54" t="str">
        <v>Not Found</v>
      </c>
      <c r="CG49" s="54" t="str">
        <f>IFERROR(_xlfn.XLOOKUP(Hiring!A49,Hiring!A49:A448,Hiring!B49:B448,,0),"Not Found")</f>
        <v>Rahul Mohapatra</v>
      </c>
    </row>
    <row r="50" spans="1:85" ht="30.75">
      <c r="A50" s="22" t="s">
        <v>5867</v>
      </c>
      <c r="B50" s="98" t="s">
        <v>5868</v>
      </c>
      <c r="C50" s="6" t="s">
        <v>5810</v>
      </c>
      <c r="F50" s="3">
        <v>2.8</v>
      </c>
      <c r="G50" s="52" t="str" cm="1">
        <f t="array" ref="G50">_xlfn.IFS(F50&gt;=4.5,"Excellent",AND(F50&gt;=3.5,F50&lt;=4.4),"Good",F50&lt;3.5,"Needs Improvement")</f>
        <v>Needs Improvement</v>
      </c>
      <c r="I50" s="12">
        <v>191.68</v>
      </c>
      <c r="J50" s="12">
        <v>192.46</v>
      </c>
      <c r="K50" s="54" t="str">
        <f t="shared" si="0"/>
        <v>Over Budget</v>
      </c>
      <c r="M50" s="19">
        <v>78032</v>
      </c>
      <c r="N50" s="19">
        <v>82666</v>
      </c>
      <c r="O50" s="54" t="str">
        <f t="shared" si="1"/>
        <v>Yes</v>
      </c>
      <c r="Q50" s="19">
        <v>7.5</v>
      </c>
      <c r="R50" s="56" t="str">
        <f t="shared" si="2"/>
        <v>Yes</v>
      </c>
      <c r="T50" s="19">
        <v>5.13</v>
      </c>
      <c r="U50" s="57" t="str">
        <f t="shared" si="3"/>
        <v>No</v>
      </c>
      <c r="W50" s="19" t="s">
        <v>259</v>
      </c>
      <c r="X50" s="54" t="str">
        <f>VLOOKUP(W50,Employees!$A$1:$B$601,2,FALSE)</f>
        <v>Aditya Prusty</v>
      </c>
      <c r="Z50" s="3" t="s">
        <v>219</v>
      </c>
      <c r="AA50" s="54" t="str">
        <f t="shared" si="4"/>
        <v>0049</v>
      </c>
      <c r="AC50" s="3" t="s">
        <v>89</v>
      </c>
      <c r="AD50" s="54" t="str">
        <f t="shared" si="5"/>
        <v>Data Science</v>
      </c>
      <c r="AF50" s="3" t="s">
        <v>220</v>
      </c>
      <c r="AG50" s="3" t="s">
        <v>89</v>
      </c>
      <c r="AH50" s="3" t="s">
        <v>70</v>
      </c>
      <c r="AI50" s="54" t="str">
        <f t="shared" si="6"/>
        <v>Debasmita Mishra|Data Science|OdishaCode Labs</v>
      </c>
      <c r="AK50" s="3" t="s">
        <v>220</v>
      </c>
      <c r="AL50" s="38" t="str">
        <f t="shared" si="7"/>
        <v>D.M.</v>
      </c>
      <c r="AN50" s="19" t="s">
        <v>5051</v>
      </c>
      <c r="AO50" s="54" t="str">
        <f t="shared" si="8"/>
        <v>Naukri</v>
      </c>
      <c r="AQ50" s="3" t="s">
        <v>220</v>
      </c>
      <c r="AR50" s="52" t="str">
        <f t="shared" si="9"/>
        <v>Mishra</v>
      </c>
      <c r="AT50" s="12" t="s">
        <v>1720</v>
      </c>
      <c r="AU50" s="54">
        <f t="shared" si="10"/>
        <v>10</v>
      </c>
      <c r="AW50" s="54">
        <f ca="1">DATEDIF(BI50,TODAY(),"Y")</f>
        <v>5</v>
      </c>
      <c r="AX50" s="54"/>
      <c r="AY50" s="40" t="s">
        <v>5127</v>
      </c>
      <c r="AZ50" s="44">
        <f t="shared" si="11"/>
        <v>45325</v>
      </c>
      <c r="BA50" s="54" t="str">
        <f t="shared" si="12"/>
        <v>2-2024</v>
      </c>
      <c r="BC50" s="13" t="s">
        <v>1784</v>
      </c>
      <c r="BD50" s="13">
        <f t="shared" si="13"/>
        <v>45946</v>
      </c>
      <c r="BE50" s="45" t="s">
        <v>1656</v>
      </c>
      <c r="BF50" s="54" t="str">
        <f t="shared" ca="1" si="14"/>
        <v>Overdue</v>
      </c>
      <c r="BH50" s="3" t="s">
        <v>222</v>
      </c>
      <c r="BI50" s="51">
        <f t="shared" si="19"/>
        <v>44261</v>
      </c>
      <c r="BJ50" s="38">
        <f t="shared" ca="1" si="20"/>
        <v>1420</v>
      </c>
      <c r="BK50" s="38"/>
      <c r="BL50" s="38" t="str">
        <f t="shared" si="21"/>
        <v>Q1</v>
      </c>
      <c r="BM50" s="59">
        <f t="shared" si="15"/>
        <v>45325</v>
      </c>
      <c r="BN50" s="51">
        <f t="shared" si="22"/>
        <v>44261</v>
      </c>
      <c r="BO50" s="54">
        <f t="shared" si="16"/>
        <v>1064</v>
      </c>
      <c r="BP50" s="3" t="s">
        <v>219</v>
      </c>
      <c r="BQ50" s="3" t="s">
        <v>89</v>
      </c>
      <c r="BR50" s="19" t="s">
        <v>259</v>
      </c>
      <c r="BS50" s="19" t="s">
        <v>2325</v>
      </c>
      <c r="BT50" s="54" t="str">
        <f t="shared" si="17"/>
        <v>Product</v>
      </c>
      <c r="BV50" s="3" t="s">
        <v>219</v>
      </c>
      <c r="BW50" s="3" t="s">
        <v>220</v>
      </c>
      <c r="BX50" s="12" t="s">
        <v>1720</v>
      </c>
      <c r="BY50" s="12" t="s">
        <v>813</v>
      </c>
      <c r="BZ50" s="54" t="str">
        <f t="shared" si="18"/>
        <v>Prasant Choudhury</v>
      </c>
      <c r="CB50" s="19" t="s">
        <v>5126</v>
      </c>
      <c r="CC50" s="3" t="s">
        <v>220</v>
      </c>
      <c r="CD50" s="3" t="s">
        <v>221</v>
      </c>
      <c r="CE50" s="54" t="str">
        <v>Not Found</v>
      </c>
      <c r="CG50" s="54" t="str">
        <f>IFERROR(_xlfn.XLOOKUP(Hiring!A50,Hiring!A50:A449,Hiring!B50:B449,,0),"Not Found")</f>
        <v>Tapas Mohapatra</v>
      </c>
    </row>
    <row r="51" spans="1:85">
      <c r="A51" s="22" t="s">
        <v>5869</v>
      </c>
      <c r="B51" s="98" t="s">
        <v>5870</v>
      </c>
      <c r="C51" s="6" t="s">
        <v>5810</v>
      </c>
      <c r="F51" s="4">
        <v>5</v>
      </c>
      <c r="G51" s="52" t="str" cm="1">
        <f t="array" ref="G51">_xlfn.IFS(F51&gt;=4.5,"Excellent",AND(F51&gt;=3.5,F51&lt;=4.4),"Good",F51&lt;3.5,"Needs Improvement")</f>
        <v>Excellent</v>
      </c>
      <c r="I51" s="14">
        <v>22.2</v>
      </c>
      <c r="J51" s="14">
        <v>27.12</v>
      </c>
      <c r="K51" s="54" t="str">
        <f t="shared" si="0"/>
        <v>Over Budget</v>
      </c>
      <c r="M51" s="18">
        <v>111420</v>
      </c>
      <c r="N51" s="18">
        <v>112022</v>
      </c>
      <c r="O51" s="54" t="str">
        <f t="shared" si="1"/>
        <v>Yes</v>
      </c>
      <c r="Q51" s="18">
        <v>9.82</v>
      </c>
      <c r="R51" s="56" t="str">
        <f t="shared" si="2"/>
        <v>Yes</v>
      </c>
      <c r="T51" s="18">
        <v>13.99</v>
      </c>
      <c r="U51" s="57" t="str">
        <f t="shared" si="3"/>
        <v>High Attrition</v>
      </c>
      <c r="W51" s="18" t="s">
        <v>259</v>
      </c>
      <c r="X51" s="54" t="str">
        <f>VLOOKUP(W51,Employees!$A$1:$B$601,2,FALSE)</f>
        <v>Aditya Prusty</v>
      </c>
      <c r="Z51" s="4" t="s">
        <v>223</v>
      </c>
      <c r="AA51" s="54" t="str">
        <f t="shared" si="4"/>
        <v>0050</v>
      </c>
      <c r="AC51" s="4" t="s">
        <v>63</v>
      </c>
      <c r="AD51" s="54" t="str">
        <f t="shared" si="5"/>
        <v>Product</v>
      </c>
      <c r="AF51" s="4" t="s">
        <v>224</v>
      </c>
      <c r="AG51" s="4" t="s">
        <v>63</v>
      </c>
      <c r="AH51" s="4" t="s">
        <v>172</v>
      </c>
      <c r="AI51" s="54" t="str">
        <f t="shared" si="6"/>
        <v>Bikash Dhal|Product|TechNova Solutions</v>
      </c>
      <c r="AK51" s="4" t="s">
        <v>224</v>
      </c>
      <c r="AL51" s="38" t="str">
        <f t="shared" si="7"/>
        <v>B.D.</v>
      </c>
      <c r="AN51" s="18" t="s">
        <v>5031</v>
      </c>
      <c r="AO51" s="54" t="b">
        <f t="shared" si="8"/>
        <v>0</v>
      </c>
      <c r="AQ51" s="4" t="s">
        <v>224</v>
      </c>
      <c r="AR51" s="52" t="str">
        <f t="shared" si="9"/>
        <v>NO</v>
      </c>
      <c r="AT51" s="14" t="s">
        <v>1786</v>
      </c>
      <c r="AU51" s="54">
        <f t="shared" si="10"/>
        <v>15</v>
      </c>
      <c r="AW51" s="54">
        <f ca="1">DATEDIF(BI51,TODAY(),"Y")</f>
        <v>2</v>
      </c>
      <c r="AX51" s="54"/>
      <c r="AY51" s="41" t="s">
        <v>5130</v>
      </c>
      <c r="AZ51" s="44">
        <f t="shared" si="11"/>
        <v>45083</v>
      </c>
      <c r="BA51" s="54" t="str">
        <f t="shared" si="12"/>
        <v>6-2023</v>
      </c>
      <c r="BC51" s="15" t="s">
        <v>1787</v>
      </c>
      <c r="BD51" s="13">
        <f t="shared" si="13"/>
        <v>44915</v>
      </c>
      <c r="BE51" s="46" t="s">
        <v>1656</v>
      </c>
      <c r="BF51" s="54" t="str">
        <f t="shared" ca="1" si="14"/>
        <v>Overdue</v>
      </c>
      <c r="BH51" s="4" t="s">
        <v>226</v>
      </c>
      <c r="BI51" s="51">
        <f t="shared" si="19"/>
        <v>45459</v>
      </c>
      <c r="BJ51" s="38">
        <f t="shared" ca="1" si="20"/>
        <v>565</v>
      </c>
      <c r="BK51" s="38"/>
      <c r="BL51" s="38" t="str">
        <f t="shared" si="21"/>
        <v>No</v>
      </c>
      <c r="BM51" s="59">
        <f t="shared" si="15"/>
        <v>45083</v>
      </c>
      <c r="BN51" s="51">
        <f t="shared" si="22"/>
        <v>45459</v>
      </c>
      <c r="BO51" s="54">
        <f t="shared" si="16"/>
        <v>376</v>
      </c>
      <c r="BP51" s="4" t="s">
        <v>223</v>
      </c>
      <c r="BQ51" s="4" t="s">
        <v>63</v>
      </c>
      <c r="BR51" s="18" t="s">
        <v>259</v>
      </c>
      <c r="BS51" s="18" t="s">
        <v>2328</v>
      </c>
      <c r="BT51" s="54" t="str">
        <f t="shared" si="17"/>
        <v>Product</v>
      </c>
      <c r="BV51" s="4" t="s">
        <v>223</v>
      </c>
      <c r="BW51" s="4" t="s">
        <v>224</v>
      </c>
      <c r="BX51" s="14" t="s">
        <v>1786</v>
      </c>
      <c r="BY51" s="14" t="s">
        <v>484</v>
      </c>
      <c r="BZ51" s="54" t="str">
        <f t="shared" si="18"/>
        <v>Satyajit Dhal</v>
      </c>
      <c r="CB51" s="18" t="s">
        <v>5129</v>
      </c>
      <c r="CC51" s="4" t="s">
        <v>224</v>
      </c>
      <c r="CD51" s="4" t="s">
        <v>225</v>
      </c>
      <c r="CE51" s="54" t="str">
        <v>Not Found</v>
      </c>
      <c r="CG51" s="54" t="str">
        <f>IFERROR(_xlfn.XLOOKUP(Hiring!A51,Hiring!A51:A450,Hiring!B51:B450,,0),"Not Found")</f>
        <v>Abhishek Mishra</v>
      </c>
    </row>
    <row r="52" spans="1:85" ht="30.75">
      <c r="A52" s="22" t="s">
        <v>5871</v>
      </c>
      <c r="B52" s="98" t="s">
        <v>5872</v>
      </c>
      <c r="C52" s="6" t="s">
        <v>5810</v>
      </c>
      <c r="F52" s="3">
        <v>4.5999999999999996</v>
      </c>
      <c r="G52" s="52" t="str" cm="1">
        <f t="array" ref="G52">_xlfn.IFS(F52&gt;=4.5,"Excellent",AND(F52&gt;=3.5,F52&lt;=4.4),"Good",F52&lt;3.5,"Needs Improvement")</f>
        <v>Excellent</v>
      </c>
      <c r="I52" s="12">
        <v>187.09</v>
      </c>
      <c r="J52" s="12">
        <v>217.27</v>
      </c>
      <c r="K52" s="54" t="str">
        <f t="shared" si="0"/>
        <v>Over Budget</v>
      </c>
      <c r="M52" s="19">
        <v>194921</v>
      </c>
      <c r="N52" s="19">
        <v>190492</v>
      </c>
      <c r="O52" s="54" t="str">
        <f t="shared" si="1"/>
        <v>Yes</v>
      </c>
      <c r="Q52" s="19">
        <v>9.19</v>
      </c>
      <c r="R52" s="56" t="str">
        <f t="shared" si="2"/>
        <v>Yes</v>
      </c>
      <c r="T52" s="19">
        <v>3.9</v>
      </c>
      <c r="U52" s="57" t="str">
        <f t="shared" si="3"/>
        <v>No</v>
      </c>
      <c r="W52" s="19" t="s">
        <v>259</v>
      </c>
      <c r="X52" s="54" t="str">
        <f>VLOOKUP(W52,Employees!$A$1:$B$601,2,FALSE)</f>
        <v>Aditya Prusty</v>
      </c>
      <c r="Z52" s="3" t="s">
        <v>227</v>
      </c>
      <c r="AA52" s="54" t="str">
        <f t="shared" si="4"/>
        <v>0051</v>
      </c>
      <c r="AC52" s="3" t="s">
        <v>176</v>
      </c>
      <c r="AD52" s="54" t="str">
        <f t="shared" si="5"/>
        <v>Finance</v>
      </c>
      <c r="AF52" s="3" t="s">
        <v>228</v>
      </c>
      <c r="AG52" s="3" t="s">
        <v>176</v>
      </c>
      <c r="AH52" s="3" t="s">
        <v>70</v>
      </c>
      <c r="AI52" s="54" t="str">
        <f t="shared" si="6"/>
        <v>Sudhansu Nanda|Finance|OdishaCode Labs</v>
      </c>
      <c r="AK52" s="3" t="s">
        <v>228</v>
      </c>
      <c r="AL52" s="38" t="str">
        <f t="shared" si="7"/>
        <v>S.N.</v>
      </c>
      <c r="AN52" s="19" t="s">
        <v>5019</v>
      </c>
      <c r="AO52" s="54" t="str">
        <f t="shared" si="8"/>
        <v>Linkedln</v>
      </c>
      <c r="AQ52" s="3" t="s">
        <v>228</v>
      </c>
      <c r="AR52" s="52" t="str">
        <f t="shared" si="9"/>
        <v>NO</v>
      </c>
      <c r="AT52" s="12" t="s">
        <v>1702</v>
      </c>
      <c r="AU52" s="54">
        <f t="shared" si="10"/>
        <v>17</v>
      </c>
      <c r="AW52" s="54">
        <f ca="1">DATEDIF(BI52,TODAY(),"Y")</f>
        <v>5</v>
      </c>
      <c r="AX52" s="54"/>
      <c r="AY52" s="40" t="s">
        <v>1068</v>
      </c>
      <c r="AZ52" s="44">
        <f t="shared" si="11"/>
        <v>45390</v>
      </c>
      <c r="BA52" s="54" t="str">
        <f t="shared" si="12"/>
        <v>4-2024</v>
      </c>
      <c r="BC52" s="13" t="s">
        <v>1789</v>
      </c>
      <c r="BD52" s="13">
        <f t="shared" si="13"/>
        <v>45291</v>
      </c>
      <c r="BE52" s="45" t="s">
        <v>1638</v>
      </c>
      <c r="BF52" s="54" t="str">
        <f t="shared" ca="1" si="14"/>
        <v>On Track</v>
      </c>
      <c r="BH52" s="3" t="s">
        <v>230</v>
      </c>
      <c r="BI52" s="51">
        <f t="shared" si="19"/>
        <v>44074</v>
      </c>
      <c r="BJ52" s="38">
        <f t="shared" ca="1" si="20"/>
        <v>1555</v>
      </c>
      <c r="BK52" s="38"/>
      <c r="BL52" s="38" t="str">
        <f t="shared" si="21"/>
        <v>No</v>
      </c>
      <c r="BM52" s="59">
        <f t="shared" si="15"/>
        <v>45390</v>
      </c>
      <c r="BN52" s="51">
        <f t="shared" si="22"/>
        <v>44074</v>
      </c>
      <c r="BO52" s="54">
        <f t="shared" si="16"/>
        <v>1316</v>
      </c>
      <c r="BP52" s="3" t="s">
        <v>227</v>
      </c>
      <c r="BQ52" s="3" t="s">
        <v>176</v>
      </c>
      <c r="BR52" s="19" t="s">
        <v>259</v>
      </c>
      <c r="BS52" s="19" t="s">
        <v>2330</v>
      </c>
      <c r="BT52" s="54" t="str">
        <f t="shared" si="17"/>
        <v>Product</v>
      </c>
      <c r="BV52" s="3" t="s">
        <v>227</v>
      </c>
      <c r="BW52" s="3" t="s">
        <v>228</v>
      </c>
      <c r="BX52" s="12" t="s">
        <v>1702</v>
      </c>
      <c r="BY52" s="12" t="s">
        <v>131</v>
      </c>
      <c r="BZ52" s="54" t="str">
        <f t="shared" si="18"/>
        <v>Smita Tripathy</v>
      </c>
      <c r="CB52" s="19" t="s">
        <v>5132</v>
      </c>
      <c r="CC52" s="3" t="s">
        <v>228</v>
      </c>
      <c r="CD52" s="3" t="s">
        <v>229</v>
      </c>
      <c r="CE52" s="54" t="str">
        <v>Not Found</v>
      </c>
      <c r="CG52" s="54" t="str">
        <f>IFERROR(_xlfn.XLOOKUP(Hiring!A52,Hiring!A52:A451,Hiring!B52:B451,,0),"Not Found")</f>
        <v>Soumya Biswal</v>
      </c>
    </row>
    <row r="53" spans="1:85">
      <c r="B53" s="100"/>
      <c r="F53" s="4">
        <v>3.6</v>
      </c>
      <c r="G53" s="52" t="str" cm="1">
        <f t="array" ref="G53">_xlfn.IFS(F53&gt;=4.5,"Excellent",AND(F53&gt;=3.5,F53&lt;=4.4),"Good",F53&lt;3.5,"Needs Improvement")</f>
        <v>Good</v>
      </c>
      <c r="I53" s="14">
        <v>189.62</v>
      </c>
      <c r="J53" s="14">
        <v>214.88</v>
      </c>
      <c r="K53" s="54" t="str">
        <f t="shared" si="0"/>
        <v>Over Budget</v>
      </c>
      <c r="M53" s="18">
        <v>26704</v>
      </c>
      <c r="N53" s="18">
        <v>30777</v>
      </c>
      <c r="O53" s="54" t="str">
        <f t="shared" si="1"/>
        <v>Yes</v>
      </c>
      <c r="Q53" s="18">
        <v>8.6199999999999992</v>
      </c>
      <c r="R53" s="56" t="str">
        <f t="shared" si="2"/>
        <v>Yes</v>
      </c>
      <c r="T53" s="18">
        <v>2.2200000000000002</v>
      </c>
      <c r="U53" s="57" t="str">
        <f t="shared" si="3"/>
        <v>No</v>
      </c>
      <c r="W53" s="18" t="s">
        <v>259</v>
      </c>
      <c r="X53" s="54" t="str">
        <f>VLOOKUP(W53,Employees!$A$1:$B$601,2,FALSE)</f>
        <v>Aditya Prusty</v>
      </c>
      <c r="Z53" s="4" t="s">
        <v>231</v>
      </c>
      <c r="AA53" s="54" t="str">
        <f t="shared" si="4"/>
        <v>0052</v>
      </c>
      <c r="AC53" s="4" t="s">
        <v>63</v>
      </c>
      <c r="AD53" s="54" t="str">
        <f t="shared" si="5"/>
        <v>Product</v>
      </c>
      <c r="AF53" s="4" t="s">
        <v>232</v>
      </c>
      <c r="AG53" s="4" t="s">
        <v>63</v>
      </c>
      <c r="AH53" s="4" t="s">
        <v>65</v>
      </c>
      <c r="AI53" s="54" t="str">
        <f t="shared" si="6"/>
        <v>Ranjit Mishra|Product|TributeAI</v>
      </c>
      <c r="AK53" s="4" t="s">
        <v>232</v>
      </c>
      <c r="AL53" s="38" t="str">
        <f t="shared" si="7"/>
        <v>R.M.</v>
      </c>
      <c r="AN53" s="18" t="s">
        <v>5051</v>
      </c>
      <c r="AO53" s="54" t="str">
        <f t="shared" si="8"/>
        <v>Naukri</v>
      </c>
      <c r="AQ53" s="4" t="s">
        <v>232</v>
      </c>
      <c r="AR53" s="52" t="str">
        <f t="shared" si="9"/>
        <v>Mishra</v>
      </c>
      <c r="AT53" s="14" t="s">
        <v>1792</v>
      </c>
      <c r="AU53" s="54">
        <f t="shared" si="10"/>
        <v>19</v>
      </c>
      <c r="AW53" s="54">
        <f ca="1">DATEDIF(BI53,TODAY(),"Y")</f>
        <v>5</v>
      </c>
      <c r="AX53" s="54"/>
      <c r="AY53" s="41" t="s">
        <v>1631</v>
      </c>
      <c r="AZ53" s="44">
        <f t="shared" si="11"/>
        <v>45599</v>
      </c>
      <c r="BA53" s="54" t="str">
        <f t="shared" si="12"/>
        <v>11-2024</v>
      </c>
      <c r="BC53" s="15" t="s">
        <v>1793</v>
      </c>
      <c r="BD53" s="13">
        <f t="shared" si="13"/>
        <v>45701</v>
      </c>
      <c r="BE53" s="46" t="s">
        <v>1632</v>
      </c>
      <c r="BF53" s="54" t="str">
        <f t="shared" ca="1" si="14"/>
        <v>Overdue</v>
      </c>
      <c r="BH53" s="4" t="s">
        <v>233</v>
      </c>
      <c r="BI53" s="51">
        <f t="shared" si="19"/>
        <v>44281</v>
      </c>
      <c r="BJ53" s="38">
        <f t="shared" ca="1" si="20"/>
        <v>1406</v>
      </c>
      <c r="BK53" s="38"/>
      <c r="BL53" s="38" t="str">
        <f t="shared" si="21"/>
        <v>Q1</v>
      </c>
      <c r="BM53" s="59">
        <f t="shared" si="15"/>
        <v>45599</v>
      </c>
      <c r="BN53" s="51">
        <f t="shared" si="22"/>
        <v>44281</v>
      </c>
      <c r="BO53" s="54">
        <f t="shared" si="16"/>
        <v>1318</v>
      </c>
      <c r="BP53" s="4" t="s">
        <v>231</v>
      </c>
      <c r="BQ53" s="4" t="s">
        <v>63</v>
      </c>
      <c r="BR53" s="18" t="s">
        <v>259</v>
      </c>
      <c r="BS53" s="18" t="s">
        <v>2333</v>
      </c>
      <c r="BT53" s="54" t="str">
        <f t="shared" si="17"/>
        <v>Product</v>
      </c>
      <c r="BV53" s="4" t="s">
        <v>231</v>
      </c>
      <c r="BW53" s="4" t="s">
        <v>232</v>
      </c>
      <c r="BX53" s="14" t="s">
        <v>1792</v>
      </c>
      <c r="BY53" s="14" t="s">
        <v>997</v>
      </c>
      <c r="BZ53" s="54" t="str">
        <f t="shared" si="18"/>
        <v>Subhasree Parida</v>
      </c>
      <c r="CB53" s="18" t="s">
        <v>5134</v>
      </c>
      <c r="CC53" s="4" t="s">
        <v>232</v>
      </c>
      <c r="CD53" s="4" t="s">
        <v>145</v>
      </c>
      <c r="CE53" s="54" t="str">
        <v>Not Found</v>
      </c>
      <c r="CG53" s="54" t="str">
        <f>IFERROR(_xlfn.XLOOKUP(Hiring!A53,Hiring!A53:A452,Hiring!B53:B452,,0),"Not Found")</f>
        <v>Saurav Mishra</v>
      </c>
    </row>
    <row r="54" spans="1:85">
      <c r="A54" s="101" t="s">
        <v>5873</v>
      </c>
      <c r="B54" s="102"/>
      <c r="F54" s="3">
        <v>1.5</v>
      </c>
      <c r="G54" s="52" t="str" cm="1">
        <f t="array" ref="G54">_xlfn.IFS(F54&gt;=4.5,"Excellent",AND(F54&gt;=3.5,F54&lt;=4.4),"Good",F54&lt;3.5,"Needs Improvement")</f>
        <v>Needs Improvement</v>
      </c>
      <c r="I54" s="12">
        <v>109.35</v>
      </c>
      <c r="J54" s="12">
        <v>101.38</v>
      </c>
      <c r="K54" s="54" t="str">
        <f t="shared" si="0"/>
        <v>Within Budget</v>
      </c>
      <c r="M54" s="19"/>
      <c r="N54" s="19">
        <v>187040</v>
      </c>
      <c r="O54" s="54" t="str">
        <f t="shared" si="1"/>
        <v>Yes</v>
      </c>
      <c r="Q54" s="19">
        <v>8.48</v>
      </c>
      <c r="R54" s="56" t="str">
        <f t="shared" si="2"/>
        <v>Yes</v>
      </c>
      <c r="T54" s="19">
        <v>9.09</v>
      </c>
      <c r="U54" s="57" t="str">
        <f t="shared" si="3"/>
        <v>No</v>
      </c>
      <c r="W54" s="19" t="s">
        <v>259</v>
      </c>
      <c r="X54" s="54" t="str">
        <f>VLOOKUP(W54,Employees!$A$1:$B$601,2,FALSE)</f>
        <v>Aditya Prusty</v>
      </c>
      <c r="Z54" s="3" t="s">
        <v>234</v>
      </c>
      <c r="AA54" s="54" t="str">
        <f t="shared" si="4"/>
        <v>0053</v>
      </c>
      <c r="AC54" s="3" t="s">
        <v>24</v>
      </c>
      <c r="AD54" s="54" t="str">
        <f t="shared" si="5"/>
        <v>Design</v>
      </c>
      <c r="AF54" s="3" t="s">
        <v>235</v>
      </c>
      <c r="AG54" s="3" t="s">
        <v>24</v>
      </c>
      <c r="AH54" s="3" t="s">
        <v>53</v>
      </c>
      <c r="AI54" s="54" t="str">
        <f t="shared" si="6"/>
        <v>Jyotirmayee Dhal|Design|BlueLotus IT</v>
      </c>
      <c r="AK54" s="3" t="s">
        <v>235</v>
      </c>
      <c r="AL54" s="38" t="str">
        <f t="shared" si="7"/>
        <v>J.D.</v>
      </c>
      <c r="AN54" s="19" t="s">
        <v>5023</v>
      </c>
      <c r="AO54" s="54" t="str">
        <f t="shared" si="8"/>
        <v>Linkedln</v>
      </c>
      <c r="AQ54" s="3" t="s">
        <v>235</v>
      </c>
      <c r="AR54" s="52" t="str">
        <f t="shared" si="9"/>
        <v>NO</v>
      </c>
      <c r="AT54" s="12" t="s">
        <v>1663</v>
      </c>
      <c r="AU54" s="54">
        <f t="shared" si="10"/>
        <v>18</v>
      </c>
      <c r="AW54" s="54">
        <f ca="1">DATEDIF(BI54,TODAY(),"Y")</f>
        <v>4</v>
      </c>
      <c r="AX54" s="54"/>
      <c r="AY54" s="40" t="s">
        <v>5136</v>
      </c>
      <c r="AZ54" s="44">
        <f t="shared" si="11"/>
        <v>45072</v>
      </c>
      <c r="BA54" s="54" t="str">
        <f t="shared" si="12"/>
        <v>5-2023</v>
      </c>
      <c r="BC54" s="13" t="s">
        <v>1724</v>
      </c>
      <c r="BD54" s="13">
        <f t="shared" si="13"/>
        <v>45028</v>
      </c>
      <c r="BE54" s="45" t="s">
        <v>1656</v>
      </c>
      <c r="BF54" s="54" t="str">
        <f t="shared" ca="1" si="14"/>
        <v>Overdue</v>
      </c>
      <c r="BH54" s="3" t="s">
        <v>236</v>
      </c>
      <c r="BI54" s="51">
        <f t="shared" si="19"/>
        <v>44576</v>
      </c>
      <c r="BJ54" s="38">
        <f t="shared" ca="1" si="20"/>
        <v>1195</v>
      </c>
      <c r="BK54" s="38"/>
      <c r="BL54" s="38" t="str">
        <f t="shared" si="21"/>
        <v>Q1</v>
      </c>
      <c r="BM54" s="59">
        <f t="shared" si="15"/>
        <v>45072</v>
      </c>
      <c r="BN54" s="51">
        <f t="shared" si="22"/>
        <v>44576</v>
      </c>
      <c r="BO54" s="54">
        <f t="shared" si="16"/>
        <v>496</v>
      </c>
      <c r="BP54" s="3" t="s">
        <v>234</v>
      </c>
      <c r="BQ54" s="3" t="s">
        <v>24</v>
      </c>
      <c r="BR54" s="19" t="s">
        <v>259</v>
      </c>
      <c r="BS54" s="19" t="s">
        <v>2335</v>
      </c>
      <c r="BT54" s="54" t="str">
        <f t="shared" si="17"/>
        <v>Product</v>
      </c>
      <c r="BV54" s="3" t="s">
        <v>234</v>
      </c>
      <c r="BW54" s="3" t="s">
        <v>235</v>
      </c>
      <c r="BX54" s="12" t="s">
        <v>1663</v>
      </c>
      <c r="BY54" s="12" t="s">
        <v>454</v>
      </c>
      <c r="BZ54" s="54" t="str">
        <f t="shared" si="18"/>
        <v>Namita Nanda</v>
      </c>
      <c r="CB54" s="19" t="s">
        <v>851</v>
      </c>
      <c r="CC54" s="3" t="s">
        <v>235</v>
      </c>
      <c r="CD54" s="3" t="s">
        <v>45</v>
      </c>
      <c r="CE54" s="54" t="str">
        <v>Product Owner</v>
      </c>
      <c r="CG54" s="54" t="str">
        <f>IFERROR(_xlfn.XLOOKUP(Hiring!A54,Hiring!A54:A453,Hiring!B54:B453,,0),"Not Found")</f>
        <v>Subhasree Samal</v>
      </c>
    </row>
    <row r="55" spans="1:85" ht="30.75">
      <c r="A55" s="22" t="s">
        <v>5874</v>
      </c>
      <c r="B55" s="52" t="s">
        <v>5875</v>
      </c>
      <c r="C55" s="6" t="s">
        <v>5810</v>
      </c>
      <c r="F55" s="4">
        <v>4.9000000000000004</v>
      </c>
      <c r="G55" s="52" t="str" cm="1">
        <f t="array" ref="G55">_xlfn.IFS(F55&gt;=4.5,"Excellent",AND(F55&gt;=3.5,F55&lt;=4.4),"Good",F55&lt;3.5,"Needs Improvement")</f>
        <v>Excellent</v>
      </c>
      <c r="I55" s="14">
        <v>16.93</v>
      </c>
      <c r="J55" s="14">
        <v>21.91</v>
      </c>
      <c r="K55" s="54" t="str">
        <f t="shared" si="0"/>
        <v>Over Budget</v>
      </c>
      <c r="M55" s="18">
        <v>150032</v>
      </c>
      <c r="N55" s="18">
        <v>144671</v>
      </c>
      <c r="O55" s="54" t="str">
        <f t="shared" si="1"/>
        <v>Yes</v>
      </c>
      <c r="Q55" s="18">
        <v>7.74</v>
      </c>
      <c r="R55" s="56" t="str">
        <f t="shared" si="2"/>
        <v>Yes</v>
      </c>
      <c r="T55" s="18">
        <v>6.04</v>
      </c>
      <c r="U55" s="57" t="str">
        <f t="shared" si="3"/>
        <v>No</v>
      </c>
      <c r="W55" s="18" t="s">
        <v>259</v>
      </c>
      <c r="X55" s="54" t="str">
        <f>VLOOKUP(W55,Employees!$A$1:$B$601,2,FALSE)</f>
        <v>Aditya Prusty</v>
      </c>
      <c r="Z55" s="4" t="s">
        <v>237</v>
      </c>
      <c r="AA55" s="54" t="str">
        <f t="shared" si="4"/>
        <v>0054</v>
      </c>
      <c r="AC55" s="4" t="s">
        <v>176</v>
      </c>
      <c r="AD55" s="54" t="str">
        <f t="shared" si="5"/>
        <v>Finance</v>
      </c>
      <c r="AF55" s="4" t="s">
        <v>238</v>
      </c>
      <c r="AG55" s="4" t="s">
        <v>176</v>
      </c>
      <c r="AH55" s="4" t="s">
        <v>214</v>
      </c>
      <c r="AI55" s="54" t="str">
        <f t="shared" si="6"/>
        <v>Ankita Nanda|Finance|ZeroOneSystems</v>
      </c>
      <c r="AK55" s="4" t="s">
        <v>238</v>
      </c>
      <c r="AL55" s="38" t="str">
        <f t="shared" si="7"/>
        <v>A.N.</v>
      </c>
      <c r="AN55" s="18" t="s">
        <v>5025</v>
      </c>
      <c r="AO55" s="54" t="b">
        <f t="shared" si="8"/>
        <v>0</v>
      </c>
      <c r="AQ55" s="4" t="s">
        <v>238</v>
      </c>
      <c r="AR55" s="52" t="str">
        <f t="shared" si="9"/>
        <v>NO</v>
      </c>
      <c r="AT55" s="14" t="s">
        <v>1627</v>
      </c>
      <c r="AU55" s="54">
        <f t="shared" si="10"/>
        <v>11</v>
      </c>
      <c r="AW55" s="54">
        <f ca="1">DATEDIF(BI55,TODAY(),"Y")</f>
        <v>5</v>
      </c>
      <c r="AX55" s="54"/>
      <c r="AY55" s="41" t="s">
        <v>5138</v>
      </c>
      <c r="AZ55" s="44">
        <f t="shared" si="11"/>
        <v>45184</v>
      </c>
      <c r="BA55" s="54" t="str">
        <f t="shared" si="12"/>
        <v>9-2023</v>
      </c>
      <c r="BC55" s="15" t="s">
        <v>1760</v>
      </c>
      <c r="BD55" s="13">
        <f t="shared" si="13"/>
        <v>44743</v>
      </c>
      <c r="BE55" s="46" t="s">
        <v>1625</v>
      </c>
      <c r="BF55" s="54" t="str">
        <f t="shared" ca="1" si="14"/>
        <v>Overdue</v>
      </c>
      <c r="BH55" s="4" t="s">
        <v>239</v>
      </c>
      <c r="BI55" s="51">
        <f t="shared" si="19"/>
        <v>44061</v>
      </c>
      <c r="BJ55" s="38">
        <f t="shared" ca="1" si="20"/>
        <v>1564</v>
      </c>
      <c r="BK55" s="38"/>
      <c r="BL55" s="38" t="str">
        <f t="shared" si="21"/>
        <v>No</v>
      </c>
      <c r="BM55" s="59">
        <f t="shared" si="15"/>
        <v>45184</v>
      </c>
      <c r="BN55" s="51">
        <f t="shared" si="22"/>
        <v>44061</v>
      </c>
      <c r="BO55" s="54">
        <f t="shared" si="16"/>
        <v>1123</v>
      </c>
      <c r="BP55" s="4" t="s">
        <v>237</v>
      </c>
      <c r="BQ55" s="4" t="s">
        <v>176</v>
      </c>
      <c r="BR55" s="18" t="s">
        <v>259</v>
      </c>
      <c r="BS55" s="18" t="s">
        <v>2336</v>
      </c>
      <c r="BT55" s="54" t="str">
        <f t="shared" si="17"/>
        <v>Product</v>
      </c>
      <c r="BV55" s="4" t="s">
        <v>237</v>
      </c>
      <c r="BW55" s="4" t="s">
        <v>238</v>
      </c>
      <c r="BX55" s="14" t="s">
        <v>1627</v>
      </c>
      <c r="BY55" s="14" t="s">
        <v>219</v>
      </c>
      <c r="BZ55" s="54" t="str">
        <f t="shared" si="18"/>
        <v>Debasmita Mishra</v>
      </c>
      <c r="CB55" s="18" t="s">
        <v>386</v>
      </c>
      <c r="CC55" s="4" t="s">
        <v>238</v>
      </c>
      <c r="CD55" s="4" t="s">
        <v>229</v>
      </c>
      <c r="CE55" s="54" t="str">
        <v>Architect</v>
      </c>
      <c r="CG55" s="54" t="str">
        <f>IFERROR(_xlfn.XLOOKUP(Hiring!A55,Hiring!A55:A454,Hiring!B55:B454,,0),"Not Found")</f>
        <v>Namita Sahoo</v>
      </c>
    </row>
    <row r="56" spans="1:85">
      <c r="A56" s="22" t="s">
        <v>5876</v>
      </c>
      <c r="B56" s="98" t="s">
        <v>5877</v>
      </c>
      <c r="C56" s="6" t="s">
        <v>5810</v>
      </c>
      <c r="F56" s="3">
        <v>3.4</v>
      </c>
      <c r="G56" s="52" t="str" cm="1">
        <f t="array" ref="G56">_xlfn.IFS(F56&gt;=4.5,"Excellent",AND(F56&gt;=3.5,F56&lt;=4.4),"Good",F56&lt;3.5,"Needs Improvement")</f>
        <v>Needs Improvement</v>
      </c>
      <c r="I56" s="12">
        <v>176.7</v>
      </c>
      <c r="J56" s="12">
        <v>159.97999999999999</v>
      </c>
      <c r="K56" s="54" t="str">
        <f t="shared" si="0"/>
        <v>Within Budget</v>
      </c>
      <c r="M56" s="19"/>
      <c r="N56" s="19">
        <v>20578</v>
      </c>
      <c r="O56" s="54" t="str">
        <f t="shared" si="1"/>
        <v>Yes</v>
      </c>
      <c r="Q56" s="19">
        <v>6.51</v>
      </c>
      <c r="R56" s="56" t="str">
        <f t="shared" si="2"/>
        <v>Yes</v>
      </c>
      <c r="T56" s="19">
        <v>13.49</v>
      </c>
      <c r="U56" s="57" t="str">
        <f t="shared" si="3"/>
        <v>High Attrition</v>
      </c>
      <c r="W56" s="19" t="s">
        <v>259</v>
      </c>
      <c r="X56" s="54" t="str">
        <f>VLOOKUP(W56,Employees!$A$1:$B$601,2,FALSE)</f>
        <v>Aditya Prusty</v>
      </c>
      <c r="Z56" s="3" t="s">
        <v>240</v>
      </c>
      <c r="AA56" s="54" t="str">
        <f t="shared" si="4"/>
        <v>0055</v>
      </c>
      <c r="AC56" s="3" t="s">
        <v>39</v>
      </c>
      <c r="AD56" s="54" t="str">
        <f t="shared" si="5"/>
        <v>Engineering</v>
      </c>
      <c r="AF56" s="3" t="s">
        <v>241</v>
      </c>
      <c r="AG56" s="3" t="s">
        <v>39</v>
      </c>
      <c r="AH56" s="3" t="s">
        <v>70</v>
      </c>
      <c r="AI56" s="54" t="str">
        <f t="shared" si="6"/>
        <v>Soumya Nanda|Engineering|OdishaCode Labs</v>
      </c>
      <c r="AK56" s="3" t="s">
        <v>241</v>
      </c>
      <c r="AL56" s="38" t="str">
        <f t="shared" si="7"/>
        <v>S.N.</v>
      </c>
      <c r="AN56" s="19" t="s">
        <v>5060</v>
      </c>
      <c r="AO56" s="54" t="str">
        <f t="shared" si="8"/>
        <v>Naukri</v>
      </c>
      <c r="AQ56" s="3" t="s">
        <v>241</v>
      </c>
      <c r="AR56" s="52" t="str">
        <f t="shared" si="9"/>
        <v>NO</v>
      </c>
      <c r="AT56" s="12" t="s">
        <v>1646</v>
      </c>
      <c r="AU56" s="54">
        <f t="shared" si="10"/>
        <v>16</v>
      </c>
      <c r="AW56" s="54">
        <f ca="1">DATEDIF(BI56,TODAY(),"Y")</f>
        <v>5</v>
      </c>
      <c r="AX56" s="54"/>
      <c r="AY56" s="40" t="s">
        <v>5140</v>
      </c>
      <c r="AZ56" s="44">
        <f t="shared" si="11"/>
        <v>45189</v>
      </c>
      <c r="BA56" s="54" t="str">
        <f t="shared" si="12"/>
        <v>9-2023</v>
      </c>
      <c r="BC56" s="13" t="s">
        <v>1521</v>
      </c>
      <c r="BD56" s="13">
        <f t="shared" si="13"/>
        <v>44940</v>
      </c>
      <c r="BE56" s="45" t="s">
        <v>1638</v>
      </c>
      <c r="BF56" s="54" t="str">
        <f t="shared" ca="1" si="14"/>
        <v>On Track</v>
      </c>
      <c r="BH56" s="3" t="s">
        <v>243</v>
      </c>
      <c r="BI56" s="51">
        <f t="shared" si="19"/>
        <v>44078</v>
      </c>
      <c r="BJ56" s="38">
        <f t="shared" ca="1" si="20"/>
        <v>1551</v>
      </c>
      <c r="BK56" s="38"/>
      <c r="BL56" s="38" t="str">
        <f t="shared" si="21"/>
        <v>No</v>
      </c>
      <c r="BM56" s="59">
        <f t="shared" si="15"/>
        <v>45189</v>
      </c>
      <c r="BN56" s="51">
        <f t="shared" si="22"/>
        <v>44078</v>
      </c>
      <c r="BO56" s="54">
        <f t="shared" si="16"/>
        <v>1111</v>
      </c>
      <c r="BP56" s="3" t="s">
        <v>240</v>
      </c>
      <c r="BQ56" s="3" t="s">
        <v>39</v>
      </c>
      <c r="BR56" s="19" t="s">
        <v>259</v>
      </c>
      <c r="BS56" s="19" t="s">
        <v>2339</v>
      </c>
      <c r="BT56" s="54" t="str">
        <f t="shared" si="17"/>
        <v>Product</v>
      </c>
      <c r="BV56" s="3" t="s">
        <v>240</v>
      </c>
      <c r="BW56" s="3" t="s">
        <v>241</v>
      </c>
      <c r="BX56" s="12" t="s">
        <v>1646</v>
      </c>
      <c r="BY56" s="12" t="s">
        <v>686</v>
      </c>
      <c r="BZ56" s="54" t="str">
        <f t="shared" si="18"/>
        <v>Barsha Parida</v>
      </c>
      <c r="CB56" s="19" t="s">
        <v>907</v>
      </c>
      <c r="CC56" s="3" t="s">
        <v>241</v>
      </c>
      <c r="CD56" s="3" t="s">
        <v>242</v>
      </c>
      <c r="CE56" s="54" t="str">
        <v>CFO</v>
      </c>
      <c r="CG56" s="54" t="str">
        <f>IFERROR(_xlfn.XLOOKUP(Hiring!A56,Hiring!A56:A455,Hiring!B56:B455,,0),"Not Found")</f>
        <v>Amlan Pattnaik</v>
      </c>
    </row>
    <row r="57" spans="1:85" ht="30.75">
      <c r="A57" s="22" t="s">
        <v>5878</v>
      </c>
      <c r="B57" s="98" t="s">
        <v>5879</v>
      </c>
      <c r="C57" s="6" t="s">
        <v>5810</v>
      </c>
      <c r="F57" s="4">
        <v>1.6</v>
      </c>
      <c r="G57" s="52" t="str" cm="1">
        <f t="array" ref="G57">_xlfn.IFS(F57&gt;=4.5,"Excellent",AND(F57&gt;=3.5,F57&lt;=4.4),"Good",F57&lt;3.5,"Needs Improvement")</f>
        <v>Needs Improvement</v>
      </c>
      <c r="I57" s="14">
        <v>9.9</v>
      </c>
      <c r="J57" s="14">
        <v>8.9</v>
      </c>
      <c r="K57" s="54" t="str">
        <f t="shared" si="0"/>
        <v>Within Budget</v>
      </c>
      <c r="M57" s="18"/>
      <c r="N57" s="18">
        <v>56944</v>
      </c>
      <c r="O57" s="54" t="str">
        <f t="shared" si="1"/>
        <v>Yes</v>
      </c>
      <c r="Q57" s="18"/>
      <c r="R57" s="56" t="str">
        <f t="shared" si="2"/>
        <v>No</v>
      </c>
      <c r="T57" s="18">
        <v>1.1399999999999999</v>
      </c>
      <c r="U57" s="57" t="str">
        <f t="shared" si="3"/>
        <v>No</v>
      </c>
      <c r="W57" s="18" t="s">
        <v>259</v>
      </c>
      <c r="X57" s="54" t="str">
        <f>VLOOKUP(W57,Employees!$A$1:$B$601,2,FALSE)</f>
        <v>Aditya Prusty</v>
      </c>
      <c r="Z57" s="4" t="s">
        <v>244</v>
      </c>
      <c r="AA57" s="54" t="str">
        <f t="shared" si="4"/>
        <v>0056</v>
      </c>
      <c r="AC57" s="4" t="s">
        <v>39</v>
      </c>
      <c r="AD57" s="54" t="str">
        <f t="shared" si="5"/>
        <v>Engineering</v>
      </c>
      <c r="AF57" s="4" t="s">
        <v>224</v>
      </c>
      <c r="AG57" s="4" t="s">
        <v>39</v>
      </c>
      <c r="AH57" s="4" t="s">
        <v>75</v>
      </c>
      <c r="AI57" s="54" t="str">
        <f t="shared" si="6"/>
        <v>Bikash Dhal|Engineering|KalingaTech Pvt Ltd</v>
      </c>
      <c r="AK57" s="4" t="s">
        <v>224</v>
      </c>
      <c r="AL57" s="38" t="str">
        <f t="shared" si="7"/>
        <v>B.D.</v>
      </c>
      <c r="AN57" s="18" t="s">
        <v>5016</v>
      </c>
      <c r="AO57" s="54" t="b">
        <f t="shared" si="8"/>
        <v>0</v>
      </c>
      <c r="AQ57" s="4" t="s">
        <v>224</v>
      </c>
      <c r="AR57" s="52" t="str">
        <f t="shared" si="9"/>
        <v>NO</v>
      </c>
      <c r="AT57" s="14" t="s">
        <v>1693</v>
      </c>
      <c r="AU57" s="54">
        <f t="shared" si="10"/>
        <v>17</v>
      </c>
      <c r="AW57" s="54">
        <f ca="1">DATEDIF(BI57,TODAY(),"Y")</f>
        <v>4</v>
      </c>
      <c r="AX57" s="54"/>
      <c r="AY57" s="41" t="s">
        <v>5143</v>
      </c>
      <c r="AZ57" s="44">
        <f t="shared" si="11"/>
        <v>44961</v>
      </c>
      <c r="BA57" s="54" t="str">
        <f t="shared" si="12"/>
        <v>2-2023</v>
      </c>
      <c r="BC57" s="15" t="s">
        <v>1801</v>
      </c>
      <c r="BD57" s="13">
        <f t="shared" si="13"/>
        <v>45191</v>
      </c>
      <c r="BE57" s="46" t="s">
        <v>1656</v>
      </c>
      <c r="BF57" s="54" t="str">
        <f t="shared" ca="1" si="14"/>
        <v>Overdue</v>
      </c>
      <c r="BH57" s="4" t="s">
        <v>245</v>
      </c>
      <c r="BI57" s="51">
        <f t="shared" si="19"/>
        <v>44695</v>
      </c>
      <c r="BJ57" s="38">
        <f t="shared" ca="1" si="20"/>
        <v>1110</v>
      </c>
      <c r="BK57" s="38"/>
      <c r="BL57" s="38" t="str">
        <f t="shared" si="21"/>
        <v>No</v>
      </c>
      <c r="BM57" s="59">
        <f t="shared" si="15"/>
        <v>44961</v>
      </c>
      <c r="BN57" s="51">
        <f t="shared" si="22"/>
        <v>44695</v>
      </c>
      <c r="BO57" s="54">
        <f t="shared" si="16"/>
        <v>266</v>
      </c>
      <c r="BP57" s="4" t="s">
        <v>244</v>
      </c>
      <c r="BQ57" s="4" t="s">
        <v>39</v>
      </c>
      <c r="BR57" s="18" t="s">
        <v>259</v>
      </c>
      <c r="BS57" s="18" t="s">
        <v>2342</v>
      </c>
      <c r="BT57" s="54" t="str">
        <f t="shared" si="17"/>
        <v>Product</v>
      </c>
      <c r="BV57" s="4" t="s">
        <v>244</v>
      </c>
      <c r="BW57" s="4" t="s">
        <v>224</v>
      </c>
      <c r="BX57" s="14" t="s">
        <v>1693</v>
      </c>
      <c r="BY57" s="14" t="s">
        <v>513</v>
      </c>
      <c r="BZ57" s="54" t="str">
        <f t="shared" si="18"/>
        <v>Jyotirmayee Mishra</v>
      </c>
      <c r="CB57" s="18" t="s">
        <v>5142</v>
      </c>
      <c r="CC57" s="4" t="s">
        <v>224</v>
      </c>
      <c r="CD57" s="4" t="s">
        <v>242</v>
      </c>
      <c r="CE57" s="54" t="str">
        <v>Not Found</v>
      </c>
      <c r="CG57" s="54" t="str">
        <f>IFERROR(_xlfn.XLOOKUP(Hiring!A57,Hiring!A57:A456,Hiring!B57:B456,,0),"Not Found")</f>
        <v>Amlan Mishra</v>
      </c>
    </row>
    <row r="58" spans="1:85" ht="30.75">
      <c r="A58" s="22" t="s">
        <v>5880</v>
      </c>
      <c r="B58" s="98" t="s">
        <v>5881</v>
      </c>
      <c r="C58" s="6" t="s">
        <v>5810</v>
      </c>
      <c r="F58" s="3">
        <v>1.5</v>
      </c>
      <c r="G58" s="52" t="str" cm="1">
        <f t="array" ref="G58">_xlfn.IFS(F58&gt;=4.5,"Excellent",AND(F58&gt;=3.5,F58&lt;=4.4),"Good",F58&lt;3.5,"Needs Improvement")</f>
        <v>Needs Improvement</v>
      </c>
      <c r="I58" s="12">
        <v>79.989999999999995</v>
      </c>
      <c r="J58" s="12">
        <v>72.56</v>
      </c>
      <c r="K58" s="54" t="str">
        <f t="shared" si="0"/>
        <v>Within Budget</v>
      </c>
      <c r="M58" s="19"/>
      <c r="N58" s="19">
        <v>107452</v>
      </c>
      <c r="O58" s="54" t="str">
        <f t="shared" si="1"/>
        <v>Yes</v>
      </c>
      <c r="Q58" s="19">
        <v>7.08</v>
      </c>
      <c r="R58" s="56" t="str">
        <f t="shared" si="2"/>
        <v>Yes</v>
      </c>
      <c r="T58" s="19">
        <v>12.5</v>
      </c>
      <c r="U58" s="57" t="str">
        <f t="shared" si="3"/>
        <v>High Attrition</v>
      </c>
      <c r="W58" s="19" t="s">
        <v>259</v>
      </c>
      <c r="X58" s="54" t="str">
        <f>VLOOKUP(W58,Employees!$A$1:$B$601,2,FALSE)</f>
        <v>Aditya Prusty</v>
      </c>
      <c r="Z58" s="3" t="s">
        <v>246</v>
      </c>
      <c r="AA58" s="54" t="str">
        <f t="shared" si="4"/>
        <v>0057</v>
      </c>
      <c r="AC58" s="3" t="s">
        <v>118</v>
      </c>
      <c r="AD58" s="54" t="str">
        <f t="shared" si="5"/>
        <v>Marketing</v>
      </c>
      <c r="AF58" s="3" t="s">
        <v>247</v>
      </c>
      <c r="AG58" s="3" t="s">
        <v>118</v>
      </c>
      <c r="AH58" s="3" t="s">
        <v>172</v>
      </c>
      <c r="AI58" s="54" t="str">
        <f t="shared" si="6"/>
        <v>Prasant Mahapatra|Marketing|TechNova Solutions</v>
      </c>
      <c r="AK58" s="3" t="s">
        <v>247</v>
      </c>
      <c r="AL58" s="38" t="str">
        <f t="shared" si="7"/>
        <v>P.M.</v>
      </c>
      <c r="AN58" s="19" t="s">
        <v>5077</v>
      </c>
      <c r="AO58" s="54" t="b">
        <f t="shared" si="8"/>
        <v>0</v>
      </c>
      <c r="AQ58" s="3" t="s">
        <v>247</v>
      </c>
      <c r="AR58" s="52" t="str">
        <f t="shared" si="9"/>
        <v>NO</v>
      </c>
      <c r="AT58" s="12" t="s">
        <v>1653</v>
      </c>
      <c r="AU58" s="54">
        <f t="shared" si="10"/>
        <v>19</v>
      </c>
      <c r="AW58" s="54">
        <f ca="1">DATEDIF(BI58,TODAY(),"Y")</f>
        <v>8</v>
      </c>
      <c r="AX58" s="54"/>
      <c r="AY58" s="40" t="s">
        <v>5145</v>
      </c>
      <c r="AZ58" s="44">
        <f t="shared" si="11"/>
        <v>45232</v>
      </c>
      <c r="BA58" s="54" t="str">
        <f t="shared" si="12"/>
        <v>11-2023</v>
      </c>
      <c r="BC58" s="13" t="s">
        <v>1803</v>
      </c>
      <c r="BD58" s="13">
        <f t="shared" si="13"/>
        <v>45442</v>
      </c>
      <c r="BE58" s="45" t="s">
        <v>1632</v>
      </c>
      <c r="BF58" s="54" t="str">
        <f t="shared" ca="1" si="14"/>
        <v>Overdue</v>
      </c>
      <c r="BH58" s="3" t="s">
        <v>248</v>
      </c>
      <c r="BI58" s="51">
        <f t="shared" si="19"/>
        <v>43252</v>
      </c>
      <c r="BJ58" s="38">
        <f t="shared" ca="1" si="20"/>
        <v>2141</v>
      </c>
      <c r="BK58" s="38"/>
      <c r="BL58" s="38" t="str">
        <f t="shared" si="21"/>
        <v>No</v>
      </c>
      <c r="BM58" s="59">
        <f t="shared" si="15"/>
        <v>45232</v>
      </c>
      <c r="BN58" s="51">
        <f t="shared" si="22"/>
        <v>43252</v>
      </c>
      <c r="BO58" s="54">
        <f t="shared" si="16"/>
        <v>1980</v>
      </c>
      <c r="BP58" s="3" t="s">
        <v>246</v>
      </c>
      <c r="BQ58" s="3" t="s">
        <v>118</v>
      </c>
      <c r="BR58" s="19" t="s">
        <v>259</v>
      </c>
      <c r="BS58" s="19" t="s">
        <v>2344</v>
      </c>
      <c r="BT58" s="54" t="str">
        <f t="shared" si="17"/>
        <v>Product</v>
      </c>
      <c r="BV58" s="3" t="s">
        <v>246</v>
      </c>
      <c r="BW58" s="3" t="s">
        <v>247</v>
      </c>
      <c r="BX58" s="12" t="s">
        <v>1653</v>
      </c>
      <c r="BY58" s="12" t="s">
        <v>1583</v>
      </c>
      <c r="BZ58" s="54" t="str">
        <f t="shared" si="18"/>
        <v>Satyajit Ratha</v>
      </c>
      <c r="CB58" s="19" t="s">
        <v>724</v>
      </c>
      <c r="CC58" s="3" t="s">
        <v>247</v>
      </c>
      <c r="CD58" s="3" t="s">
        <v>119</v>
      </c>
      <c r="CE58" s="54" t="str">
        <v>Product Owner</v>
      </c>
      <c r="CG58" s="54" t="str">
        <f>IFERROR(_xlfn.XLOOKUP(Hiring!A58,Hiring!A58:A457,Hiring!B58:B457,,0),"Not Found")</f>
        <v>Rajan Choudhury</v>
      </c>
    </row>
    <row r="59" spans="1:85">
      <c r="B59" s="100"/>
      <c r="F59" s="4">
        <v>1.5</v>
      </c>
      <c r="G59" s="52" t="str" cm="1">
        <f t="array" ref="G59">_xlfn.IFS(F59&gt;=4.5,"Excellent",AND(F59&gt;=3.5,F59&lt;=4.4),"Good",F59&lt;3.5,"Needs Improvement")</f>
        <v>Needs Improvement</v>
      </c>
      <c r="I59" s="14">
        <v>138</v>
      </c>
      <c r="J59" s="14">
        <v>103.18</v>
      </c>
      <c r="K59" s="54" t="str">
        <f t="shared" si="0"/>
        <v>Within Budget</v>
      </c>
      <c r="M59" s="18">
        <v>31094</v>
      </c>
      <c r="N59" s="18">
        <v>35226</v>
      </c>
      <c r="O59" s="54" t="str">
        <f t="shared" si="1"/>
        <v>Yes</v>
      </c>
      <c r="Q59" s="18">
        <v>7.7</v>
      </c>
      <c r="R59" s="56" t="str">
        <f t="shared" si="2"/>
        <v>Yes</v>
      </c>
      <c r="T59" s="18">
        <v>7.73</v>
      </c>
      <c r="U59" s="57" t="str">
        <f t="shared" si="3"/>
        <v>No</v>
      </c>
      <c r="W59" s="18" t="s">
        <v>259</v>
      </c>
      <c r="X59" s="54" t="str">
        <f>VLOOKUP(W59,Employees!$A$1:$B$601,2,FALSE)</f>
        <v>Aditya Prusty</v>
      </c>
      <c r="Z59" s="4" t="s">
        <v>249</v>
      </c>
      <c r="AA59" s="54" t="str">
        <f t="shared" si="4"/>
        <v>0058</v>
      </c>
      <c r="AC59" s="4" t="s">
        <v>118</v>
      </c>
      <c r="AD59" s="54" t="str">
        <f t="shared" si="5"/>
        <v>Marketing</v>
      </c>
      <c r="AF59" s="4" t="s">
        <v>250</v>
      </c>
      <c r="AG59" s="4" t="s">
        <v>118</v>
      </c>
      <c r="AH59" s="4" t="s">
        <v>53</v>
      </c>
      <c r="AI59" s="54" t="str">
        <f t="shared" si="6"/>
        <v>Aditya Choudhury|Marketing|BlueLotus IT</v>
      </c>
      <c r="AK59" s="4" t="s">
        <v>250</v>
      </c>
      <c r="AL59" s="38" t="str">
        <f t="shared" si="7"/>
        <v>A.C.</v>
      </c>
      <c r="AN59" s="18" t="s">
        <v>5060</v>
      </c>
      <c r="AO59" s="54" t="str">
        <f t="shared" si="8"/>
        <v>Naukri</v>
      </c>
      <c r="AQ59" s="4" t="s">
        <v>250</v>
      </c>
      <c r="AR59" s="52" t="str">
        <f t="shared" si="9"/>
        <v>NO</v>
      </c>
      <c r="AT59" s="14" t="s">
        <v>1621</v>
      </c>
      <c r="AU59" s="54">
        <f t="shared" si="10"/>
        <v>24</v>
      </c>
      <c r="AW59" s="54">
        <f ca="1">DATEDIF(BI59,TODAY(),"Y")</f>
        <v>7</v>
      </c>
      <c r="AX59" s="54"/>
      <c r="AY59" s="41" t="s">
        <v>5054</v>
      </c>
      <c r="AZ59" s="44">
        <f t="shared" si="11"/>
        <v>44998</v>
      </c>
      <c r="BA59" s="54" t="str">
        <f t="shared" si="12"/>
        <v>3-2023</v>
      </c>
      <c r="BC59" s="15" t="s">
        <v>1806</v>
      </c>
      <c r="BD59" s="13">
        <f t="shared" si="13"/>
        <v>45619</v>
      </c>
      <c r="BE59" s="46" t="s">
        <v>1625</v>
      </c>
      <c r="BF59" s="54" t="str">
        <f t="shared" ca="1" si="14"/>
        <v>Overdue</v>
      </c>
      <c r="BH59" s="4" t="s">
        <v>251</v>
      </c>
      <c r="BI59" s="51">
        <f t="shared" si="19"/>
        <v>43434</v>
      </c>
      <c r="BJ59" s="38">
        <f t="shared" ca="1" si="20"/>
        <v>2011</v>
      </c>
      <c r="BK59" s="38"/>
      <c r="BL59" s="38" t="str">
        <f t="shared" si="21"/>
        <v>No</v>
      </c>
      <c r="BM59" s="59">
        <f t="shared" si="15"/>
        <v>44998</v>
      </c>
      <c r="BN59" s="51">
        <f t="shared" si="22"/>
        <v>43434</v>
      </c>
      <c r="BO59" s="54">
        <f t="shared" si="16"/>
        <v>1564</v>
      </c>
      <c r="BP59" s="4" t="s">
        <v>249</v>
      </c>
      <c r="BQ59" s="4" t="s">
        <v>118</v>
      </c>
      <c r="BR59" s="18" t="s">
        <v>259</v>
      </c>
      <c r="BS59" s="18" t="s">
        <v>2346</v>
      </c>
      <c r="BT59" s="54" t="str">
        <f t="shared" si="17"/>
        <v>Product</v>
      </c>
      <c r="BV59" s="4" t="s">
        <v>249</v>
      </c>
      <c r="BW59" s="4" t="s">
        <v>250</v>
      </c>
      <c r="BX59" s="14" t="s">
        <v>1621</v>
      </c>
      <c r="BY59" s="14" t="s">
        <v>1510</v>
      </c>
      <c r="BZ59" s="54" t="str">
        <f t="shared" si="18"/>
        <v>Dibya Samal</v>
      </c>
      <c r="CB59" s="18" t="s">
        <v>37</v>
      </c>
      <c r="CC59" s="4" t="s">
        <v>250</v>
      </c>
      <c r="CD59" s="4" t="s">
        <v>119</v>
      </c>
      <c r="CE59" s="54" t="str">
        <v>Tech Lead</v>
      </c>
      <c r="CG59" s="54" t="str">
        <f>IFERROR(_xlfn.XLOOKUP(Hiring!A59,Hiring!A59:A458,Hiring!B59:B458,,0),"Not Found")</f>
        <v>Bikash Jena</v>
      </c>
    </row>
    <row r="60" spans="1:85">
      <c r="B60" s="100"/>
      <c r="F60" s="3">
        <v>4.5999999999999996</v>
      </c>
      <c r="G60" s="52" t="str" cm="1">
        <f t="array" ref="G60">_xlfn.IFS(F60&gt;=4.5,"Excellent",AND(F60&gt;=3.5,F60&lt;=4.4),"Good",F60&lt;3.5,"Needs Improvement")</f>
        <v>Excellent</v>
      </c>
      <c r="I60" s="12">
        <v>7.95</v>
      </c>
      <c r="J60" s="12">
        <v>9.6</v>
      </c>
      <c r="K60" s="54" t="str">
        <f t="shared" si="0"/>
        <v>Over Budget</v>
      </c>
      <c r="M60" s="19">
        <v>102061</v>
      </c>
      <c r="N60" s="19">
        <v>105266</v>
      </c>
      <c r="O60" s="54" t="str">
        <f t="shared" si="1"/>
        <v>Yes</v>
      </c>
      <c r="Q60" s="19">
        <v>9.57</v>
      </c>
      <c r="R60" s="56" t="str">
        <f t="shared" si="2"/>
        <v>Yes</v>
      </c>
      <c r="T60" s="19">
        <v>4.5599999999999996</v>
      </c>
      <c r="U60" s="57" t="str">
        <f t="shared" si="3"/>
        <v>No</v>
      </c>
      <c r="W60" s="19" t="s">
        <v>259</v>
      </c>
      <c r="X60" s="54" t="str">
        <f>VLOOKUP(W60,Employees!$A$1:$B$601,2,FALSE)</f>
        <v>Aditya Prusty</v>
      </c>
      <c r="Z60" s="3" t="s">
        <v>252</v>
      </c>
      <c r="AA60" s="54" t="str">
        <f t="shared" si="4"/>
        <v>0059</v>
      </c>
      <c r="AC60" s="3" t="s">
        <v>118</v>
      </c>
      <c r="AD60" s="54" t="str">
        <f t="shared" si="5"/>
        <v>Marketing</v>
      </c>
      <c r="AF60" s="3" t="s">
        <v>253</v>
      </c>
      <c r="AG60" s="3" t="s">
        <v>118</v>
      </c>
      <c r="AH60" s="3" t="s">
        <v>149</v>
      </c>
      <c r="AI60" s="54" t="str">
        <f t="shared" si="6"/>
        <v>Debasmita Samal|Marketing|SilverByte Systems</v>
      </c>
      <c r="AK60" s="3" t="s">
        <v>253</v>
      </c>
      <c r="AL60" s="38" t="str">
        <f t="shared" si="7"/>
        <v>D.S.</v>
      </c>
      <c r="AN60" s="19" t="s">
        <v>5051</v>
      </c>
      <c r="AO60" s="54" t="str">
        <f t="shared" si="8"/>
        <v>Naukri</v>
      </c>
      <c r="AQ60" s="3" t="s">
        <v>253</v>
      </c>
      <c r="AR60" s="52" t="str">
        <f t="shared" si="9"/>
        <v>NO</v>
      </c>
      <c r="AT60" s="12" t="s">
        <v>1763</v>
      </c>
      <c r="AU60" s="54">
        <f t="shared" si="10"/>
        <v>19</v>
      </c>
      <c r="AW60" s="54">
        <f ca="1">DATEDIF(BI60,TODAY(),"Y")</f>
        <v>7</v>
      </c>
      <c r="AX60" s="54"/>
      <c r="AY60" s="40" t="s">
        <v>5098</v>
      </c>
      <c r="AZ60" s="44">
        <f t="shared" si="11"/>
        <v>45400</v>
      </c>
      <c r="BA60" s="54" t="str">
        <f t="shared" si="12"/>
        <v>4-2024</v>
      </c>
      <c r="BC60" s="13" t="s">
        <v>1809</v>
      </c>
      <c r="BD60" s="13">
        <f t="shared" si="13"/>
        <v>45199</v>
      </c>
      <c r="BE60" s="45" t="s">
        <v>1632</v>
      </c>
      <c r="BF60" s="54" t="str">
        <f t="shared" ca="1" si="14"/>
        <v>Overdue</v>
      </c>
      <c r="BH60" s="3" t="s">
        <v>255</v>
      </c>
      <c r="BI60" s="51">
        <f t="shared" si="19"/>
        <v>43347</v>
      </c>
      <c r="BJ60" s="38">
        <f t="shared" ca="1" si="20"/>
        <v>2074</v>
      </c>
      <c r="BK60" s="38"/>
      <c r="BL60" s="38" t="str">
        <f t="shared" si="21"/>
        <v>No</v>
      </c>
      <c r="BM60" s="59">
        <f t="shared" si="15"/>
        <v>45400</v>
      </c>
      <c r="BN60" s="51">
        <f t="shared" si="22"/>
        <v>43347</v>
      </c>
      <c r="BO60" s="54">
        <f t="shared" si="16"/>
        <v>2053</v>
      </c>
      <c r="BP60" s="3" t="s">
        <v>252</v>
      </c>
      <c r="BQ60" s="3" t="s">
        <v>118</v>
      </c>
      <c r="BR60" s="19" t="s">
        <v>259</v>
      </c>
      <c r="BS60" s="19" t="s">
        <v>2347</v>
      </c>
      <c r="BT60" s="54" t="str">
        <f t="shared" si="17"/>
        <v>Product</v>
      </c>
      <c r="BV60" s="3" t="s">
        <v>252</v>
      </c>
      <c r="BW60" s="3" t="s">
        <v>253</v>
      </c>
      <c r="BX60" s="12" t="s">
        <v>1763</v>
      </c>
      <c r="BY60" s="12" t="s">
        <v>1429</v>
      </c>
      <c r="BZ60" s="54" t="str">
        <f t="shared" si="18"/>
        <v>Satyajit Samal</v>
      </c>
      <c r="CB60" s="19" t="s">
        <v>460</v>
      </c>
      <c r="CC60" s="3" t="s">
        <v>253</v>
      </c>
      <c r="CD60" s="3" t="s">
        <v>254</v>
      </c>
      <c r="CE60" s="54" t="str">
        <v>Digital Marketer</v>
      </c>
      <c r="CG60" s="54" t="str">
        <f>IFERROR(_xlfn.XLOOKUP(Hiring!A60,Hiring!A60:A459,Hiring!B60:B459,,0),"Not Found")</f>
        <v>Debasmita Prusty</v>
      </c>
    </row>
    <row r="61" spans="1:85">
      <c r="B61" s="100"/>
      <c r="F61" s="4">
        <v>2.4</v>
      </c>
      <c r="G61" s="52" t="str" cm="1">
        <f t="array" ref="G61">_xlfn.IFS(F61&gt;=4.5,"Excellent",AND(F61&gt;=3.5,F61&lt;=4.4),"Good",F61&lt;3.5,"Needs Improvement")</f>
        <v>Needs Improvement</v>
      </c>
      <c r="I61" s="14">
        <v>138.01</v>
      </c>
      <c r="J61" s="14">
        <v>102.5</v>
      </c>
      <c r="K61" s="54" t="str">
        <f t="shared" si="0"/>
        <v>Within Budget</v>
      </c>
      <c r="M61" s="18"/>
      <c r="N61" s="18">
        <v>48089</v>
      </c>
      <c r="O61" s="54" t="str">
        <f t="shared" si="1"/>
        <v>Yes</v>
      </c>
      <c r="Q61" s="18">
        <v>10.48</v>
      </c>
      <c r="R61" s="56" t="str">
        <f t="shared" si="2"/>
        <v>Yes</v>
      </c>
      <c r="T61" s="18">
        <v>15.38</v>
      </c>
      <c r="U61" s="57" t="str">
        <f t="shared" si="3"/>
        <v>High Attrition</v>
      </c>
      <c r="W61" s="18" t="s">
        <v>259</v>
      </c>
      <c r="X61" s="54" t="str">
        <f>VLOOKUP(W61,Employees!$A$1:$B$601,2,FALSE)</f>
        <v>Aditya Prusty</v>
      </c>
      <c r="Z61" s="4" t="s">
        <v>256</v>
      </c>
      <c r="AA61" s="54" t="str">
        <f t="shared" si="4"/>
        <v>0060</v>
      </c>
      <c r="AC61" s="4" t="s">
        <v>257</v>
      </c>
      <c r="AD61" s="54" t="str">
        <f t="shared" si="5"/>
        <v>Design</v>
      </c>
      <c r="AF61" s="4" t="s">
        <v>68</v>
      </c>
      <c r="AG61" s="4" t="s">
        <v>257</v>
      </c>
      <c r="AH61" s="4" t="s">
        <v>18</v>
      </c>
      <c r="AI61" s="54" t="str">
        <f t="shared" si="6"/>
        <v>Bikash Routray|design|CoastalDev Studio</v>
      </c>
      <c r="AK61" s="4" t="s">
        <v>68</v>
      </c>
      <c r="AL61" s="38" t="str">
        <f t="shared" si="7"/>
        <v>B.R.</v>
      </c>
      <c r="AN61" s="18" t="s">
        <v>5031</v>
      </c>
      <c r="AO61" s="54" t="b">
        <f t="shared" si="8"/>
        <v>0</v>
      </c>
      <c r="AQ61" s="4" t="s">
        <v>68</v>
      </c>
      <c r="AR61" s="52" t="str">
        <f t="shared" si="9"/>
        <v>NO</v>
      </c>
      <c r="AT61" s="14" t="s">
        <v>1786</v>
      </c>
      <c r="AU61" s="54">
        <f t="shared" si="10"/>
        <v>15</v>
      </c>
      <c r="AW61" s="54">
        <f ca="1">DATEDIF(BI61,TODAY(),"Y")</f>
        <v>3</v>
      </c>
      <c r="AX61" s="54"/>
      <c r="AY61" s="41" t="s">
        <v>5149</v>
      </c>
      <c r="AZ61" s="44">
        <f t="shared" si="11"/>
        <v>45327</v>
      </c>
      <c r="BA61" s="54" t="str">
        <f t="shared" si="12"/>
        <v>2-2024</v>
      </c>
      <c r="BC61" s="15" t="s">
        <v>1812</v>
      </c>
      <c r="BD61" s="13">
        <f t="shared" si="13"/>
        <v>45777</v>
      </c>
      <c r="BE61" s="46" t="s">
        <v>1614</v>
      </c>
      <c r="BF61" s="54" t="str">
        <f t="shared" ca="1" si="14"/>
        <v>Overdue</v>
      </c>
      <c r="BH61" s="4" t="s">
        <v>258</v>
      </c>
      <c r="BI61" s="51">
        <f t="shared" si="19"/>
        <v>44955</v>
      </c>
      <c r="BJ61" s="38">
        <f t="shared" ca="1" si="20"/>
        <v>925</v>
      </c>
      <c r="BK61" s="38"/>
      <c r="BL61" s="38" t="str">
        <f t="shared" si="21"/>
        <v>Q1</v>
      </c>
      <c r="BM61" s="59">
        <f t="shared" si="15"/>
        <v>45327</v>
      </c>
      <c r="BN61" s="51">
        <f t="shared" si="22"/>
        <v>44955</v>
      </c>
      <c r="BO61" s="54">
        <f t="shared" si="16"/>
        <v>372</v>
      </c>
      <c r="BP61" s="4" t="s">
        <v>256</v>
      </c>
      <c r="BQ61" s="4" t="s">
        <v>257</v>
      </c>
      <c r="BR61" s="18" t="s">
        <v>259</v>
      </c>
      <c r="BS61" s="18" t="s">
        <v>2350</v>
      </c>
      <c r="BT61" s="54" t="str">
        <f t="shared" si="17"/>
        <v>Product</v>
      </c>
      <c r="BV61" s="4" t="s">
        <v>256</v>
      </c>
      <c r="BW61" s="4" t="s">
        <v>68</v>
      </c>
      <c r="BX61" s="14" t="s">
        <v>1786</v>
      </c>
      <c r="BY61" s="14" t="s">
        <v>1459</v>
      </c>
      <c r="BZ61" s="54" t="str">
        <f t="shared" si="18"/>
        <v>Soumya Prusty</v>
      </c>
      <c r="CB61" s="18" t="s">
        <v>919</v>
      </c>
      <c r="CC61" s="4" t="s">
        <v>68</v>
      </c>
      <c r="CD61" s="4" t="s">
        <v>45</v>
      </c>
      <c r="CE61" s="54" t="str">
        <v>QA Engineer</v>
      </c>
      <c r="CG61" s="54" t="str">
        <f>IFERROR(_xlfn.XLOOKUP(Hiring!A61,Hiring!A61:A460,Hiring!B61:B460,,0),"Not Found")</f>
        <v>Nirmal Dhal</v>
      </c>
    </row>
    <row r="62" spans="1:85">
      <c r="B62" s="100"/>
      <c r="F62" s="3">
        <v>4.5</v>
      </c>
      <c r="G62" s="52" t="str" cm="1">
        <f t="array" ref="G62">_xlfn.IFS(F62&gt;=4.5,"Excellent",AND(F62&gt;=3.5,F62&lt;=4.4),"Good",F62&lt;3.5,"Needs Improvement")</f>
        <v>Excellent</v>
      </c>
      <c r="I62" s="12">
        <v>62</v>
      </c>
      <c r="J62" s="12">
        <v>75.73</v>
      </c>
      <c r="K62" s="54" t="str">
        <f t="shared" si="0"/>
        <v>Over Budget</v>
      </c>
      <c r="M62" s="19">
        <v>152999</v>
      </c>
      <c r="N62" s="19">
        <v>173697</v>
      </c>
      <c r="O62" s="54" t="str">
        <f t="shared" si="1"/>
        <v>Yes</v>
      </c>
      <c r="Q62" s="19">
        <v>8.99</v>
      </c>
      <c r="R62" s="56" t="str">
        <f t="shared" si="2"/>
        <v>Yes</v>
      </c>
      <c r="T62" s="19">
        <v>5.8</v>
      </c>
      <c r="U62" s="57" t="str">
        <f t="shared" si="3"/>
        <v>No</v>
      </c>
      <c r="W62" s="19" t="s">
        <v>259</v>
      </c>
      <c r="X62" s="54" t="str">
        <f>VLOOKUP(W62,Employees!$A$1:$B$601,2,FALSE)</f>
        <v>Aditya Prusty</v>
      </c>
      <c r="Z62" s="3" t="s">
        <v>259</v>
      </c>
      <c r="AA62" s="54" t="str">
        <f t="shared" si="4"/>
        <v>0061</v>
      </c>
      <c r="AC62" s="3" t="s">
        <v>63</v>
      </c>
      <c r="AD62" s="54" t="str">
        <f t="shared" si="5"/>
        <v>Product</v>
      </c>
      <c r="AF62" s="3" t="s">
        <v>260</v>
      </c>
      <c r="AG62" s="3" t="s">
        <v>63</v>
      </c>
      <c r="AH62" s="3" t="s">
        <v>26</v>
      </c>
      <c r="AI62" s="54" t="str">
        <f t="shared" si="6"/>
        <v>Aditya Prusty|Product|InfySoft Bhubaneswar</v>
      </c>
      <c r="AK62" s="3" t="s">
        <v>260</v>
      </c>
      <c r="AL62" s="38" t="str">
        <f t="shared" si="7"/>
        <v>A.P.</v>
      </c>
      <c r="AN62" s="19" t="s">
        <v>5077</v>
      </c>
      <c r="AO62" s="54" t="b">
        <f t="shared" si="8"/>
        <v>0</v>
      </c>
      <c r="AQ62" s="3" t="s">
        <v>260</v>
      </c>
      <c r="AR62" s="52" t="str">
        <f t="shared" si="9"/>
        <v>NO</v>
      </c>
      <c r="AT62" s="12" t="s">
        <v>1663</v>
      </c>
      <c r="AU62" s="54">
        <f t="shared" si="10"/>
        <v>18</v>
      </c>
      <c r="AW62" s="54">
        <f ca="1">DATEDIF(BI62,TODAY(),"Y")</f>
        <v>6</v>
      </c>
      <c r="AX62" s="54"/>
      <c r="AY62" s="40" t="s">
        <v>407</v>
      </c>
      <c r="AZ62" s="44">
        <f t="shared" si="11"/>
        <v>44983</v>
      </c>
      <c r="BA62" s="54" t="str">
        <f t="shared" si="12"/>
        <v>2-2023</v>
      </c>
      <c r="BC62" s="13" t="s">
        <v>1816</v>
      </c>
      <c r="BD62" s="13">
        <f t="shared" si="13"/>
        <v>44742</v>
      </c>
      <c r="BE62" s="45" t="s">
        <v>1614</v>
      </c>
      <c r="BF62" s="54" t="str">
        <f t="shared" ca="1" si="14"/>
        <v>Overdue</v>
      </c>
      <c r="BH62" s="3" t="s">
        <v>261</v>
      </c>
      <c r="BI62" s="51">
        <f t="shared" si="19"/>
        <v>43795</v>
      </c>
      <c r="BJ62" s="38">
        <f t="shared" ca="1" si="20"/>
        <v>1754</v>
      </c>
      <c r="BK62" s="38"/>
      <c r="BL62" s="38" t="str">
        <f t="shared" si="21"/>
        <v>No</v>
      </c>
      <c r="BM62" s="59">
        <f t="shared" si="15"/>
        <v>44983</v>
      </c>
      <c r="BN62" s="51">
        <f t="shared" si="22"/>
        <v>43795</v>
      </c>
      <c r="BO62" s="54">
        <f t="shared" si="16"/>
        <v>1188</v>
      </c>
      <c r="BP62" s="3" t="s">
        <v>259</v>
      </c>
      <c r="BQ62" s="3" t="s">
        <v>63</v>
      </c>
      <c r="BR62" s="19" t="s">
        <v>259</v>
      </c>
      <c r="BS62" s="19" t="s">
        <v>2353</v>
      </c>
      <c r="BT62" s="54" t="str">
        <f t="shared" si="17"/>
        <v>Product</v>
      </c>
      <c r="BV62" s="3" t="s">
        <v>259</v>
      </c>
      <c r="BW62" s="3" t="s">
        <v>260</v>
      </c>
      <c r="BX62" s="12" t="s">
        <v>1663</v>
      </c>
      <c r="BY62" s="12" t="s">
        <v>686</v>
      </c>
      <c r="BZ62" s="54" t="str">
        <f t="shared" si="18"/>
        <v>Barsha Parida</v>
      </c>
      <c r="CB62" s="19" t="s">
        <v>398</v>
      </c>
      <c r="CC62" s="3" t="s">
        <v>260</v>
      </c>
      <c r="CD62" s="3" t="s">
        <v>64</v>
      </c>
      <c r="CE62" s="54" t="str">
        <v>Digital Marketer</v>
      </c>
      <c r="CG62" s="54" t="str">
        <f>IFERROR(_xlfn.XLOOKUP(Hiring!A62,Hiring!A62:A461,Hiring!B62:B461,,0),"Not Found")</f>
        <v>Tanmay Prusty</v>
      </c>
    </row>
    <row r="63" spans="1:85">
      <c r="B63" s="100"/>
      <c r="F63" s="4">
        <v>3.8</v>
      </c>
      <c r="G63" s="52" t="str" cm="1">
        <f t="array" ref="G63">_xlfn.IFS(F63&gt;=4.5,"Excellent",AND(F63&gt;=3.5,F63&lt;=4.4),"Good",F63&lt;3.5,"Needs Improvement")</f>
        <v>Good</v>
      </c>
      <c r="I63" s="14">
        <v>129.58000000000001</v>
      </c>
      <c r="J63" s="14">
        <v>125.48</v>
      </c>
      <c r="K63" s="54" t="str">
        <f t="shared" si="0"/>
        <v>Within Budget</v>
      </c>
      <c r="M63" s="18"/>
      <c r="N63" s="18">
        <v>178122</v>
      </c>
      <c r="O63" s="54" t="str">
        <f t="shared" si="1"/>
        <v>Yes</v>
      </c>
      <c r="Q63" s="18">
        <v>7.9</v>
      </c>
      <c r="R63" s="56" t="str">
        <f t="shared" si="2"/>
        <v>Yes</v>
      </c>
      <c r="T63" s="18">
        <v>4.17</v>
      </c>
      <c r="U63" s="57" t="str">
        <f t="shared" si="3"/>
        <v>No</v>
      </c>
      <c r="W63" s="18" t="s">
        <v>259</v>
      </c>
      <c r="X63" s="54" t="str">
        <f>VLOOKUP(W63,Employees!$A$1:$B$601,2,FALSE)</f>
        <v>Aditya Prusty</v>
      </c>
      <c r="Z63" s="4" t="s">
        <v>262</v>
      </c>
      <c r="AA63" s="54" t="str">
        <f t="shared" si="4"/>
        <v>0062</v>
      </c>
      <c r="AC63" s="4" t="s">
        <v>16</v>
      </c>
      <c r="AD63" s="54" t="str">
        <f t="shared" si="5"/>
        <v>Devops</v>
      </c>
      <c r="AF63" s="4" t="s">
        <v>263</v>
      </c>
      <c r="AG63" s="4" t="s">
        <v>16</v>
      </c>
      <c r="AH63" s="4" t="s">
        <v>46</v>
      </c>
      <c r="AI63" s="54" t="str">
        <f t="shared" si="6"/>
        <v>Satyajit Choudhury|DevOps|SambalpurNet</v>
      </c>
      <c r="AK63" s="4" t="s">
        <v>263</v>
      </c>
      <c r="AL63" s="38" t="str">
        <f t="shared" si="7"/>
        <v>S.C.</v>
      </c>
      <c r="AN63" s="18" t="s">
        <v>5025</v>
      </c>
      <c r="AO63" s="54" t="b">
        <f t="shared" si="8"/>
        <v>0</v>
      </c>
      <c r="AQ63" s="4" t="s">
        <v>263</v>
      </c>
      <c r="AR63" s="52" t="str">
        <f t="shared" si="9"/>
        <v>NO</v>
      </c>
      <c r="AT63" s="14" t="s">
        <v>1786</v>
      </c>
      <c r="AU63" s="54">
        <f t="shared" si="10"/>
        <v>15</v>
      </c>
      <c r="AW63" s="54">
        <f ca="1">DATEDIF(BI63,TODAY(),"Y")</f>
        <v>3</v>
      </c>
      <c r="AX63" s="54"/>
      <c r="AY63" s="41" t="s">
        <v>5153</v>
      </c>
      <c r="AZ63" s="44">
        <f t="shared" si="11"/>
        <v>45643</v>
      </c>
      <c r="BA63" s="54" t="str">
        <f t="shared" si="12"/>
        <v>12-2024</v>
      </c>
      <c r="BC63" s="15" t="s">
        <v>1819</v>
      </c>
      <c r="BD63" s="13">
        <f t="shared" si="13"/>
        <v>45553</v>
      </c>
      <c r="BE63" s="46" t="s">
        <v>1656</v>
      </c>
      <c r="BF63" s="54" t="str">
        <f t="shared" ca="1" si="14"/>
        <v>Overdue</v>
      </c>
      <c r="BH63" s="4" t="s">
        <v>264</v>
      </c>
      <c r="BI63" s="51">
        <f t="shared" si="19"/>
        <v>44972</v>
      </c>
      <c r="BJ63" s="38">
        <f t="shared" ca="1" si="20"/>
        <v>913</v>
      </c>
      <c r="BK63" s="38"/>
      <c r="BL63" s="38" t="str">
        <f t="shared" si="21"/>
        <v>Q1</v>
      </c>
      <c r="BM63" s="59">
        <f t="shared" si="15"/>
        <v>45643</v>
      </c>
      <c r="BN63" s="51">
        <f t="shared" si="22"/>
        <v>44972</v>
      </c>
      <c r="BO63" s="54">
        <f t="shared" si="16"/>
        <v>671</v>
      </c>
      <c r="BP63" s="4" t="s">
        <v>262</v>
      </c>
      <c r="BQ63" s="4" t="s">
        <v>16</v>
      </c>
      <c r="BR63" s="18" t="s">
        <v>259</v>
      </c>
      <c r="BS63" s="18" t="s">
        <v>2354</v>
      </c>
      <c r="BT63" s="54" t="str">
        <f t="shared" si="17"/>
        <v>Product</v>
      </c>
      <c r="BV63" s="4" t="s">
        <v>262</v>
      </c>
      <c r="BW63" s="4" t="s">
        <v>263</v>
      </c>
      <c r="BX63" s="14" t="s">
        <v>1786</v>
      </c>
      <c r="BY63" s="14" t="s">
        <v>1517</v>
      </c>
      <c r="BZ63" s="54" t="str">
        <f t="shared" si="18"/>
        <v>Saurav Senapati</v>
      </c>
      <c r="CB63" s="18" t="s">
        <v>5152</v>
      </c>
      <c r="CC63" s="4" t="s">
        <v>263</v>
      </c>
      <c r="CD63" s="4" t="s">
        <v>98</v>
      </c>
      <c r="CE63" s="54" t="str">
        <v>Not Found</v>
      </c>
      <c r="CG63" s="54" t="str">
        <f>IFERROR(_xlfn.XLOOKUP(Hiring!A63,Hiring!A63:A462,Hiring!B63:B462,,0),"Not Found")</f>
        <v>Rahul Routray</v>
      </c>
    </row>
    <row r="64" spans="1:85">
      <c r="B64" s="100"/>
      <c r="F64" s="3">
        <v>3.6</v>
      </c>
      <c r="G64" s="52" t="str" cm="1">
        <f t="array" ref="G64">_xlfn.IFS(F64&gt;=4.5,"Excellent",AND(F64&gt;=3.5,F64&lt;=4.4),"Good",F64&lt;3.5,"Needs Improvement")</f>
        <v>Good</v>
      </c>
      <c r="I64" s="12">
        <v>177.78</v>
      </c>
      <c r="J64" s="12">
        <v>195.17</v>
      </c>
      <c r="K64" s="54" t="str">
        <f t="shared" si="0"/>
        <v>Over Budget</v>
      </c>
      <c r="M64" s="19"/>
      <c r="N64" s="19">
        <v>69391</v>
      </c>
      <c r="O64" s="54" t="str">
        <f t="shared" si="1"/>
        <v>Yes</v>
      </c>
      <c r="Q64" s="19">
        <v>10.09</v>
      </c>
      <c r="R64" s="56" t="str">
        <f t="shared" si="2"/>
        <v>Yes</v>
      </c>
      <c r="T64" s="19">
        <v>13.04</v>
      </c>
      <c r="U64" s="57" t="str">
        <f t="shared" si="3"/>
        <v>High Attrition</v>
      </c>
      <c r="W64" s="19" t="s">
        <v>259</v>
      </c>
      <c r="X64" s="54" t="str">
        <f>VLOOKUP(W64,Employees!$A$1:$B$601,2,FALSE)</f>
        <v>Aditya Prusty</v>
      </c>
      <c r="Z64" s="3" t="s">
        <v>265</v>
      </c>
      <c r="AA64" s="54" t="str">
        <f t="shared" si="4"/>
        <v>0063</v>
      </c>
      <c r="AC64" s="3" t="s">
        <v>176</v>
      </c>
      <c r="AD64" s="54" t="str">
        <f t="shared" si="5"/>
        <v>Finance</v>
      </c>
      <c r="AF64" s="3" t="s">
        <v>266</v>
      </c>
      <c r="AG64" s="3" t="s">
        <v>176</v>
      </c>
      <c r="AH64" s="3" t="s">
        <v>26</v>
      </c>
      <c r="AI64" s="54" t="str">
        <f t="shared" si="6"/>
        <v>Nirmal Sahoo|Finance|InfySoft Bhubaneswar</v>
      </c>
      <c r="AK64" s="3" t="s">
        <v>266</v>
      </c>
      <c r="AL64" s="38" t="str">
        <f t="shared" si="7"/>
        <v>N.S.</v>
      </c>
      <c r="AN64" s="19" t="s">
        <v>5016</v>
      </c>
      <c r="AO64" s="54" t="b">
        <f t="shared" si="8"/>
        <v>0</v>
      </c>
      <c r="AQ64" s="3" t="s">
        <v>266</v>
      </c>
      <c r="AR64" s="52" t="str">
        <f t="shared" si="9"/>
        <v>NO</v>
      </c>
      <c r="AT64" s="12" t="s">
        <v>1705</v>
      </c>
      <c r="AU64" s="54">
        <f t="shared" si="10"/>
        <v>13</v>
      </c>
      <c r="AW64" s="54">
        <f ca="1">DATEDIF(BI64,TODAY(),"Y")</f>
        <v>3</v>
      </c>
      <c r="AX64" s="54"/>
      <c r="AY64" s="40" t="s">
        <v>5156</v>
      </c>
      <c r="AZ64" s="44">
        <f t="shared" si="11"/>
        <v>45305</v>
      </c>
      <c r="BA64" s="54" t="str">
        <f t="shared" si="12"/>
        <v>1-2024</v>
      </c>
      <c r="BC64" s="13" t="s">
        <v>1822</v>
      </c>
      <c r="BD64" s="13">
        <f t="shared" si="13"/>
        <v>44539</v>
      </c>
      <c r="BE64" s="45" t="s">
        <v>1656</v>
      </c>
      <c r="BF64" s="54" t="str">
        <f t="shared" ca="1" si="14"/>
        <v>Overdue</v>
      </c>
      <c r="BH64" s="3" t="s">
        <v>267</v>
      </c>
      <c r="BI64" s="51">
        <f t="shared" si="19"/>
        <v>45022</v>
      </c>
      <c r="BJ64" s="38">
        <f t="shared" ca="1" si="20"/>
        <v>877</v>
      </c>
      <c r="BK64" s="38"/>
      <c r="BL64" s="38" t="str">
        <f t="shared" si="21"/>
        <v>No</v>
      </c>
      <c r="BM64" s="59">
        <f t="shared" si="15"/>
        <v>45305</v>
      </c>
      <c r="BN64" s="51">
        <f t="shared" si="22"/>
        <v>45022</v>
      </c>
      <c r="BO64" s="54">
        <f t="shared" si="16"/>
        <v>283</v>
      </c>
      <c r="BP64" s="3" t="s">
        <v>265</v>
      </c>
      <c r="BQ64" s="3" t="s">
        <v>176</v>
      </c>
      <c r="BR64" s="19" t="s">
        <v>259</v>
      </c>
      <c r="BS64" s="19" t="s">
        <v>2355</v>
      </c>
      <c r="BT64" s="54" t="str">
        <f t="shared" si="17"/>
        <v>Product</v>
      </c>
      <c r="BV64" s="3" t="s">
        <v>265</v>
      </c>
      <c r="BW64" s="3" t="s">
        <v>266</v>
      </c>
      <c r="BX64" s="12" t="s">
        <v>1705</v>
      </c>
      <c r="BY64" s="12" t="s">
        <v>1593</v>
      </c>
      <c r="BZ64" s="54" t="str">
        <f t="shared" si="18"/>
        <v>Priyanka Mishra</v>
      </c>
      <c r="CB64" s="19" t="s">
        <v>5155</v>
      </c>
      <c r="CC64" s="3" t="s">
        <v>266</v>
      </c>
      <c r="CD64" s="3" t="s">
        <v>177</v>
      </c>
      <c r="CE64" s="54" t="str">
        <v>Not Found</v>
      </c>
      <c r="CG64" s="54" t="str">
        <f>IFERROR(_xlfn.XLOOKUP(Hiring!A64,Hiring!A64:A463,Hiring!B64:B463,,0),"Not Found")</f>
        <v>Subhasree Mohapatra</v>
      </c>
    </row>
    <row r="65" spans="2:85">
      <c r="B65" s="100"/>
      <c r="F65" s="4">
        <v>1.5</v>
      </c>
      <c r="G65" s="52" t="str" cm="1">
        <f t="array" ref="G65">_xlfn.IFS(F65&gt;=4.5,"Excellent",AND(F65&gt;=3.5,F65&lt;=4.4),"Good",F65&lt;3.5,"Needs Improvement")</f>
        <v>Needs Improvement</v>
      </c>
      <c r="I65" s="14">
        <v>9.07</v>
      </c>
      <c r="J65" s="14">
        <v>8.52</v>
      </c>
      <c r="K65" s="54" t="str">
        <f t="shared" si="0"/>
        <v>Within Budget</v>
      </c>
      <c r="M65" s="18">
        <v>26908</v>
      </c>
      <c r="N65" s="18">
        <v>27129</v>
      </c>
      <c r="O65" s="54" t="str">
        <f t="shared" si="1"/>
        <v>Yes</v>
      </c>
      <c r="Q65" s="18">
        <v>11.43</v>
      </c>
      <c r="R65" s="56" t="str">
        <f t="shared" si="2"/>
        <v>Yes</v>
      </c>
      <c r="T65" s="18">
        <v>33.33</v>
      </c>
      <c r="U65" s="57" t="str">
        <f t="shared" si="3"/>
        <v>High Attrition</v>
      </c>
      <c r="W65" s="18" t="s">
        <v>259</v>
      </c>
      <c r="X65" s="54" t="str">
        <f>VLOOKUP(W65,Employees!$A$1:$B$601,2,FALSE)</f>
        <v>Aditya Prusty</v>
      </c>
      <c r="Z65" s="4" t="s">
        <v>268</v>
      </c>
      <c r="AA65" s="54" t="str">
        <f t="shared" si="4"/>
        <v>0064</v>
      </c>
      <c r="AC65" s="4" t="s">
        <v>39</v>
      </c>
      <c r="AD65" s="54" t="str">
        <f t="shared" si="5"/>
        <v>Engineering</v>
      </c>
      <c r="AF65" s="4" t="s">
        <v>269</v>
      </c>
      <c r="AG65" s="4" t="s">
        <v>39</v>
      </c>
      <c r="AH65" s="4" t="s">
        <v>26</v>
      </c>
      <c r="AI65" s="54" t="str">
        <f t="shared" si="6"/>
        <v>Prasant Mishra|Engineering|InfySoft Bhubaneswar</v>
      </c>
      <c r="AK65" s="4" t="s">
        <v>269</v>
      </c>
      <c r="AL65" s="38" t="str">
        <f t="shared" si="7"/>
        <v>P.M.</v>
      </c>
      <c r="AN65" s="18" t="s">
        <v>5023</v>
      </c>
      <c r="AO65" s="54" t="str">
        <f t="shared" si="8"/>
        <v>Linkedln</v>
      </c>
      <c r="AQ65" s="4" t="s">
        <v>269</v>
      </c>
      <c r="AR65" s="52" t="str">
        <f t="shared" si="9"/>
        <v>Mishra</v>
      </c>
      <c r="AT65" s="14" t="s">
        <v>1786</v>
      </c>
      <c r="AU65" s="54">
        <f t="shared" si="10"/>
        <v>15</v>
      </c>
      <c r="AW65" s="54">
        <f ca="1">DATEDIF(BI65,TODAY(),"Y")</f>
        <v>2</v>
      </c>
      <c r="AX65" s="54"/>
      <c r="AY65" s="41" t="s">
        <v>1636</v>
      </c>
      <c r="AZ65" s="44">
        <f t="shared" si="11"/>
        <v>45127</v>
      </c>
      <c r="BA65" s="54" t="str">
        <f t="shared" si="12"/>
        <v>7-2023</v>
      </c>
      <c r="BC65" s="15" t="s">
        <v>1824</v>
      </c>
      <c r="BD65" s="13">
        <f t="shared" si="13"/>
        <v>45060</v>
      </c>
      <c r="BE65" s="46" t="s">
        <v>1656</v>
      </c>
      <c r="BF65" s="54" t="str">
        <f t="shared" ca="1" si="14"/>
        <v>Overdue</v>
      </c>
      <c r="BH65" s="4" t="s">
        <v>270</v>
      </c>
      <c r="BI65" s="51">
        <f t="shared" si="19"/>
        <v>45294</v>
      </c>
      <c r="BJ65" s="38">
        <f t="shared" ca="1" si="20"/>
        <v>683</v>
      </c>
      <c r="BK65" s="38"/>
      <c r="BL65" s="38" t="str">
        <f t="shared" si="21"/>
        <v>Q1</v>
      </c>
      <c r="BM65" s="59">
        <f t="shared" si="15"/>
        <v>45127</v>
      </c>
      <c r="BN65" s="51">
        <f t="shared" si="22"/>
        <v>45294</v>
      </c>
      <c r="BO65" s="54">
        <f t="shared" si="16"/>
        <v>167</v>
      </c>
      <c r="BP65" s="4" t="s">
        <v>268</v>
      </c>
      <c r="BQ65" s="4" t="s">
        <v>39</v>
      </c>
      <c r="BR65" s="18" t="s">
        <v>259</v>
      </c>
      <c r="BS65" s="18" t="s">
        <v>2358</v>
      </c>
      <c r="BT65" s="54" t="str">
        <f t="shared" si="17"/>
        <v>Product</v>
      </c>
      <c r="BV65" s="4" t="s">
        <v>268</v>
      </c>
      <c r="BW65" s="4" t="s">
        <v>269</v>
      </c>
      <c r="BX65" s="14" t="s">
        <v>1786</v>
      </c>
      <c r="BY65" s="14" t="s">
        <v>633</v>
      </c>
      <c r="BZ65" s="54" t="str">
        <f t="shared" si="18"/>
        <v>Abhishek Padhi</v>
      </c>
      <c r="CB65" s="18" t="s">
        <v>1243</v>
      </c>
      <c r="CC65" s="4" t="s">
        <v>269</v>
      </c>
      <c r="CD65" s="4" t="s">
        <v>242</v>
      </c>
      <c r="CE65" s="54" t="str">
        <v>UI Designer</v>
      </c>
      <c r="CG65" s="54" t="str">
        <f>IFERROR(_xlfn.XLOOKUP(Hiring!A65,Hiring!A65:A464,Hiring!B65:B464,,0),"Not Found")</f>
        <v>Rahul Samal</v>
      </c>
    </row>
    <row r="66" spans="2:85">
      <c r="B66" s="100"/>
      <c r="F66" s="3">
        <v>3.7</v>
      </c>
      <c r="G66" s="52" t="str" cm="1">
        <f t="array" ref="G66">_xlfn.IFS(F66&gt;=4.5,"Excellent",AND(F66&gt;=3.5,F66&lt;=4.4),"Good",F66&lt;3.5,"Needs Improvement")</f>
        <v>Good</v>
      </c>
      <c r="I66" s="12">
        <v>159.91</v>
      </c>
      <c r="J66" s="12">
        <v>191.06</v>
      </c>
      <c r="K66" s="54" t="str">
        <f t="shared" si="0"/>
        <v>Over Budget</v>
      </c>
      <c r="M66" s="19">
        <v>145758</v>
      </c>
      <c r="N66" s="19">
        <v>129107</v>
      </c>
      <c r="O66" s="54" t="str">
        <f t="shared" si="1"/>
        <v>Yes</v>
      </c>
      <c r="Q66" s="19">
        <v>10.4</v>
      </c>
      <c r="R66" s="56" t="str">
        <f t="shared" si="2"/>
        <v>Yes</v>
      </c>
      <c r="T66" s="19">
        <v>4.57</v>
      </c>
      <c r="U66" s="57" t="str">
        <f t="shared" si="3"/>
        <v>No</v>
      </c>
      <c r="W66" s="19" t="s">
        <v>259</v>
      </c>
      <c r="X66" s="54" t="str">
        <f>VLOOKUP(W66,Employees!$A$1:$B$601,2,FALSE)</f>
        <v>Aditya Prusty</v>
      </c>
      <c r="Z66" s="3" t="s">
        <v>271</v>
      </c>
      <c r="AA66" s="54" t="str">
        <f t="shared" si="4"/>
        <v>0065</v>
      </c>
      <c r="AC66" s="3" t="s">
        <v>24</v>
      </c>
      <c r="AD66" s="54" t="str">
        <f t="shared" si="5"/>
        <v>Design</v>
      </c>
      <c r="AF66" s="3" t="s">
        <v>272</v>
      </c>
      <c r="AG66" s="3" t="s">
        <v>24</v>
      </c>
      <c r="AH66" s="3" t="s">
        <v>46</v>
      </c>
      <c r="AI66" s="54" t="str">
        <f t="shared" si="6"/>
        <v>Priyanka Behura|Design|SambalpurNet</v>
      </c>
      <c r="AK66" s="3" t="s">
        <v>272</v>
      </c>
      <c r="AL66" s="38" t="str">
        <f t="shared" si="7"/>
        <v>P.B.</v>
      </c>
      <c r="AN66" s="19" t="s">
        <v>5051</v>
      </c>
      <c r="AO66" s="54" t="str">
        <f t="shared" si="8"/>
        <v>Naukri</v>
      </c>
      <c r="AQ66" s="3" t="s">
        <v>272</v>
      </c>
      <c r="AR66" s="52" t="str">
        <f t="shared" si="9"/>
        <v>NO</v>
      </c>
      <c r="AT66" s="12" t="s">
        <v>1702</v>
      </c>
      <c r="AU66" s="54">
        <f t="shared" si="10"/>
        <v>17</v>
      </c>
      <c r="AW66" s="54">
        <f ca="1">DATEDIF(BI66,TODAY(),"Y")</f>
        <v>2</v>
      </c>
      <c r="AX66" s="54"/>
      <c r="AY66" s="40" t="s">
        <v>1684</v>
      </c>
      <c r="AZ66" s="44">
        <f t="shared" si="11"/>
        <v>45054</v>
      </c>
      <c r="BA66" s="54" t="str">
        <f t="shared" si="12"/>
        <v>5-2023</v>
      </c>
      <c r="BC66" s="13" t="s">
        <v>1449</v>
      </c>
      <c r="BD66" s="13">
        <f t="shared" si="13"/>
        <v>44813</v>
      </c>
      <c r="BE66" s="45" t="s">
        <v>1614</v>
      </c>
      <c r="BF66" s="54" t="str">
        <f t="shared" ca="1" si="14"/>
        <v>Overdue</v>
      </c>
      <c r="BH66" s="3" t="s">
        <v>273</v>
      </c>
      <c r="BI66" s="51">
        <f t="shared" si="19"/>
        <v>45360</v>
      </c>
      <c r="BJ66" s="38">
        <f t="shared" ca="1" si="20"/>
        <v>635</v>
      </c>
      <c r="BK66" s="38"/>
      <c r="BL66" s="38" t="str">
        <f t="shared" si="21"/>
        <v>Q1</v>
      </c>
      <c r="BM66" s="59">
        <f t="shared" si="15"/>
        <v>45054</v>
      </c>
      <c r="BN66" s="51">
        <f t="shared" si="22"/>
        <v>45360</v>
      </c>
      <c r="BO66" s="54">
        <f t="shared" si="16"/>
        <v>306</v>
      </c>
      <c r="BP66" s="3" t="s">
        <v>271</v>
      </c>
      <c r="BQ66" s="3" t="s">
        <v>24</v>
      </c>
      <c r="BR66" s="19" t="s">
        <v>259</v>
      </c>
      <c r="BS66" s="19" t="s">
        <v>2361</v>
      </c>
      <c r="BT66" s="54" t="str">
        <f t="shared" si="17"/>
        <v>Product</v>
      </c>
      <c r="BV66" s="3" t="s">
        <v>271</v>
      </c>
      <c r="BW66" s="3" t="s">
        <v>272</v>
      </c>
      <c r="BX66" s="12" t="s">
        <v>1702</v>
      </c>
      <c r="BY66" s="12" t="s">
        <v>1565</v>
      </c>
      <c r="BZ66" s="54" t="str">
        <f t="shared" si="18"/>
        <v>Prasant Routray</v>
      </c>
      <c r="CB66" s="19" t="s">
        <v>269</v>
      </c>
      <c r="CC66" s="3" t="s">
        <v>272</v>
      </c>
      <c r="CD66" s="3" t="s">
        <v>45</v>
      </c>
      <c r="CE66" s="54" t="str">
        <v>Junior Developer</v>
      </c>
      <c r="CG66" s="54" t="str">
        <f>IFERROR(_xlfn.XLOOKUP(Hiring!A66,Hiring!A66:A465,Hiring!B66:B465,,0),"Not Found")</f>
        <v>Prasant Mishra</v>
      </c>
    </row>
    <row r="67" spans="2:85">
      <c r="B67" s="100"/>
      <c r="F67" s="4">
        <v>1.8</v>
      </c>
      <c r="G67" s="52" t="str" cm="1">
        <f t="array" ref="G67">_xlfn.IFS(F67&gt;=4.5,"Excellent",AND(F67&gt;=3.5,F67&lt;=4.4),"Good",F67&lt;3.5,"Needs Improvement")</f>
        <v>Needs Improvement</v>
      </c>
      <c r="I67" s="14">
        <v>136.16999999999999</v>
      </c>
      <c r="J67" s="14">
        <v>105.19</v>
      </c>
      <c r="K67" s="54" t="str">
        <f t="shared" ref="K67:K130" si="23">IF(J67&gt;I67,"Over Budget","Within Budget")</f>
        <v>Within Budget</v>
      </c>
      <c r="M67" s="18">
        <v>117619</v>
      </c>
      <c r="N67" s="18">
        <v>119642</v>
      </c>
      <c r="O67" s="54" t="str">
        <f t="shared" ref="O67:O131" si="24">IF(M67&lt;&gt;N67,"Yes","No")</f>
        <v>Yes</v>
      </c>
      <c r="Q67" s="18">
        <v>7.4</v>
      </c>
      <c r="R67" s="56" t="str">
        <f t="shared" ref="R67:R130" si="25">IF(ISBLANK(Q67),"No","Yes")</f>
        <v>Yes</v>
      </c>
      <c r="T67" s="18">
        <v>10.73</v>
      </c>
      <c r="U67" s="57" t="str">
        <f t="shared" ref="U67:U73" si="26">IF(T67&gt;10,"High Attrition","No")</f>
        <v>High Attrition</v>
      </c>
      <c r="W67" s="18" t="s">
        <v>259</v>
      </c>
      <c r="X67" s="54" t="str">
        <f>VLOOKUP(W67,Employees!$A$1:$B$601,2,FALSE)</f>
        <v>Aditya Prusty</v>
      </c>
      <c r="Z67" s="4" t="s">
        <v>274</v>
      </c>
      <c r="AA67" s="54" t="str">
        <f t="shared" ref="AA67:AA130" si="27">RIGHT(Z67,4)</f>
        <v>0066</v>
      </c>
      <c r="AC67" s="4" t="s">
        <v>24</v>
      </c>
      <c r="AD67" s="54" t="str">
        <f t="shared" ref="AD67:AD130" si="28">PROPER(AC67)</f>
        <v>Design</v>
      </c>
      <c r="AF67" s="4" t="s">
        <v>31</v>
      </c>
      <c r="AG67" s="4" t="s">
        <v>24</v>
      </c>
      <c r="AH67" s="4" t="s">
        <v>18</v>
      </c>
      <c r="AI67" s="54" t="str">
        <f t="shared" ref="AI67:AI130" si="29">_xlfn.CONCAT(AF67,"|",AG67,"|",AH67)</f>
        <v>Subhasree Dhal|Design|CoastalDev Studio</v>
      </c>
      <c r="AK67" s="4" t="s">
        <v>31</v>
      </c>
      <c r="AL67" s="38" t="str">
        <f t="shared" ref="AL67:AL130" si="30">LEFT(AK67,1)&amp;"."&amp;MID(AK67,FIND(" ",AK67)+1,1)&amp;"."</f>
        <v>S.D.</v>
      </c>
      <c r="AN67" s="18" t="s">
        <v>5023</v>
      </c>
      <c r="AO67" s="54" t="str">
        <f t="shared" ref="AO67:AO130" si="31">IF(UPPER(AN67)="linkedin","Linkedln",IF(UPPER(AN67)="naukri","Naukri"))</f>
        <v>Linkedln</v>
      </c>
      <c r="AQ67" s="4" t="s">
        <v>31</v>
      </c>
      <c r="AR67" s="52" t="str">
        <f t="shared" ref="AR67:AR130" si="32">IF(ISNUMBER(SEARCH("Mishra",AQ67)),"Mishra","NO")</f>
        <v>NO</v>
      </c>
      <c r="AT67" s="14" t="s">
        <v>1646</v>
      </c>
      <c r="AU67" s="54">
        <f t="shared" ref="AU67:AU130" si="33">LEN(AT67)</f>
        <v>16</v>
      </c>
      <c r="AW67" s="54">
        <f ca="1">DATEDIF(BI67,TODAY(),"Y")</f>
        <v>7</v>
      </c>
      <c r="AX67" s="54"/>
      <c r="AY67" s="41" t="s">
        <v>309</v>
      </c>
      <c r="AZ67" s="44">
        <f t="shared" ref="AZ67:AZ130" si="34">DATE(RIGHT(AY67,4),MID(AY67,4,2),LEFT(AY67,2))</f>
        <v>45143</v>
      </c>
      <c r="BA67" s="54" t="str">
        <f t="shared" ref="BA67:BA130" si="35">MONTH(AZ67)&amp;"-"&amp;YEAR(AZ67)</f>
        <v>8-2023</v>
      </c>
      <c r="BC67" s="15" t="s">
        <v>1829</v>
      </c>
      <c r="BD67" s="13">
        <f t="shared" ref="BD67:BD130" si="36">DATE(RIGHT(BC67,4),MID(BC67,4,2),LEFT(BC67,2))</f>
        <v>44656</v>
      </c>
      <c r="BE67" s="46" t="s">
        <v>1632</v>
      </c>
      <c r="BF67" s="54" t="str">
        <f t="shared" ref="BF67:BF130" ca="1" si="37">IF(AND(BD67&lt;TODAY(),BE67&lt;&gt;"Completed"),"Overdue","On Track")</f>
        <v>Overdue</v>
      </c>
      <c r="BH67" s="4" t="s">
        <v>275</v>
      </c>
      <c r="BI67" s="51">
        <f t="shared" si="19"/>
        <v>43436</v>
      </c>
      <c r="BJ67" s="38">
        <f t="shared" ca="1" si="20"/>
        <v>2010</v>
      </c>
      <c r="BK67" s="38"/>
      <c r="BL67" s="38" t="str">
        <f t="shared" si="21"/>
        <v>No</v>
      </c>
      <c r="BM67" s="59">
        <f t="shared" ref="BM67:BM130" si="38">DATE(RIGHT(AY67,4),MID(AY67,4,2),LEFT(AY67,2))</f>
        <v>45143</v>
      </c>
      <c r="BN67" s="51">
        <f t="shared" si="22"/>
        <v>43436</v>
      </c>
      <c r="BO67" s="54">
        <f t="shared" ref="BO67:BO130" si="39">ABS(BN67-BM67)</f>
        <v>1707</v>
      </c>
      <c r="BP67" s="4" t="s">
        <v>274</v>
      </c>
      <c r="BQ67" s="4" t="s">
        <v>24</v>
      </c>
      <c r="BR67" s="18" t="s">
        <v>259</v>
      </c>
      <c r="BS67" s="18" t="s">
        <v>2364</v>
      </c>
      <c r="BT67" s="54" t="str">
        <f t="shared" ref="BT67:BT130" si="40">VLOOKUP(BR67,$BP$2:$BQ$601,2,FALSE)</f>
        <v>Product</v>
      </c>
      <c r="BV67" s="4" t="s">
        <v>274</v>
      </c>
      <c r="BW67" s="4" t="s">
        <v>31</v>
      </c>
      <c r="BX67" s="14" t="s">
        <v>1646</v>
      </c>
      <c r="BY67" s="14" t="s">
        <v>609</v>
      </c>
      <c r="BZ67" s="54" t="str">
        <f t="shared" ref="BZ67:BZ130" si="41">VLOOKUP(BY67,$BV$2:$BW$601,2,FALSE)</f>
        <v>Puspita Behura</v>
      </c>
      <c r="CB67" s="18" t="s">
        <v>798</v>
      </c>
      <c r="CC67" s="4" t="s">
        <v>31</v>
      </c>
      <c r="CD67" s="4" t="s">
        <v>45</v>
      </c>
      <c r="CE67" s="54" t="str">
        <v>Data Scientist</v>
      </c>
      <c r="CG67" s="54" t="str">
        <f>IFERROR(_xlfn.XLOOKUP(Hiring!A67,Hiring!A67:A466,Hiring!B67:B466,,0),"Not Found")</f>
        <v>Sudhansu Ratha</v>
      </c>
    </row>
    <row r="68" spans="2:85">
      <c r="B68" s="100"/>
      <c r="F68" s="3">
        <v>2.7</v>
      </c>
      <c r="G68" s="52" t="str" cm="1">
        <f t="array" ref="G68">_xlfn.IFS(F68&gt;=4.5,"Excellent",AND(F68&gt;=3.5,F68&lt;=4.4),"Good",F68&lt;3.5,"Needs Improvement")</f>
        <v>Needs Improvement</v>
      </c>
      <c r="I68" s="12">
        <v>162.07</v>
      </c>
      <c r="J68" s="12">
        <v>138.02000000000001</v>
      </c>
      <c r="K68" s="54" t="str">
        <f t="shared" si="23"/>
        <v>Within Budget</v>
      </c>
      <c r="M68" s="19">
        <v>120603</v>
      </c>
      <c r="N68" s="19">
        <v>133370</v>
      </c>
      <c r="O68" s="54" t="str">
        <f t="shared" si="24"/>
        <v>Yes</v>
      </c>
      <c r="Q68" s="19">
        <v>9.42</v>
      </c>
      <c r="R68" s="56" t="str">
        <f t="shared" si="25"/>
        <v>Yes</v>
      </c>
      <c r="T68" s="19">
        <v>0.71</v>
      </c>
      <c r="U68" s="57" t="str">
        <f t="shared" si="26"/>
        <v>No</v>
      </c>
      <c r="W68" s="19" t="s">
        <v>259</v>
      </c>
      <c r="X68" s="54" t="str">
        <f>VLOOKUP(W68,Employees!$A$1:$B$601,2,FALSE)</f>
        <v>Aditya Prusty</v>
      </c>
      <c r="Z68" s="3" t="s">
        <v>276</v>
      </c>
      <c r="AA68" s="54" t="str">
        <f t="shared" si="27"/>
        <v>0067</v>
      </c>
      <c r="AC68" s="3" t="s">
        <v>51</v>
      </c>
      <c r="AD68" s="54" t="str">
        <f t="shared" si="28"/>
        <v>Sales</v>
      </c>
      <c r="AF68" s="3" t="s">
        <v>277</v>
      </c>
      <c r="AG68" s="3" t="s">
        <v>51</v>
      </c>
      <c r="AH68" s="3" t="s">
        <v>75</v>
      </c>
      <c r="AI68" s="54" t="str">
        <f t="shared" si="29"/>
        <v>Debasmita Routray|Sales|KalingaTech Pvt Ltd</v>
      </c>
      <c r="AK68" s="3" t="s">
        <v>277</v>
      </c>
      <c r="AL68" s="38" t="str">
        <f t="shared" si="30"/>
        <v>D.R.</v>
      </c>
      <c r="AN68" s="19" t="s">
        <v>5051</v>
      </c>
      <c r="AO68" s="54" t="str">
        <f t="shared" si="31"/>
        <v>Naukri</v>
      </c>
      <c r="AQ68" s="3" t="s">
        <v>277</v>
      </c>
      <c r="AR68" s="52" t="str">
        <f t="shared" si="32"/>
        <v>NO</v>
      </c>
      <c r="AT68" s="12" t="s">
        <v>1672</v>
      </c>
      <c r="AU68" s="54">
        <f t="shared" si="33"/>
        <v>19</v>
      </c>
      <c r="AW68" s="54">
        <f ca="1">DATEDIF(BI68,TODAY(),"Y")</f>
        <v>7</v>
      </c>
      <c r="AX68" s="54"/>
      <c r="AY68" s="40" t="s">
        <v>2222</v>
      </c>
      <c r="AZ68" s="44">
        <f t="shared" si="34"/>
        <v>45561</v>
      </c>
      <c r="BA68" s="54" t="str">
        <f t="shared" si="35"/>
        <v>9-2024</v>
      </c>
      <c r="BC68" s="13" t="s">
        <v>130</v>
      </c>
      <c r="BD68" s="13">
        <f t="shared" si="36"/>
        <v>44734</v>
      </c>
      <c r="BE68" s="45" t="s">
        <v>1638</v>
      </c>
      <c r="BF68" s="54" t="str">
        <f t="shared" ca="1" si="37"/>
        <v>On Track</v>
      </c>
      <c r="BH68" s="3" t="s">
        <v>278</v>
      </c>
      <c r="BI68" s="51">
        <f t="shared" ref="BI68:BI131" si="42">IF(LEN(LEFT(BH68,FIND("-",BH68)-1))=4,DATE(LEFT(BH68,4),MID(BH68,6,2),RIGHT(BH68,2)),DATE(RIGHT(BH68,4),MID(BH68,4,2),LEFT(BH68,2)))</f>
        <v>43636</v>
      </c>
      <c r="BJ68" s="38">
        <f t="shared" ref="BJ68:BJ131" ca="1" si="43">NETWORKDAYS(BI68,TODAY())</f>
        <v>1867</v>
      </c>
      <c r="BK68" s="38"/>
      <c r="BL68" s="38" t="str">
        <f t="shared" ref="BL68:BL131" si="44">IF(MONTH(BI68)&lt;=3,"Q1","No")</f>
        <v>No</v>
      </c>
      <c r="BM68" s="59">
        <f t="shared" si="38"/>
        <v>45561</v>
      </c>
      <c r="BN68" s="51">
        <f t="shared" ref="BN68:BN131" si="45">IF(LEN(LEFT(BH68,FIND("-",BH68)-1))=4,DATE(LEFT(BH68,4),MID(BH68,6,2),RIGHT(BH68,2)),DATE(RIGHT(BH68,4),MID(BH68,4,2),LEFT(BH68,2)))</f>
        <v>43636</v>
      </c>
      <c r="BO68" s="54">
        <f t="shared" si="39"/>
        <v>1925</v>
      </c>
      <c r="BP68" s="3" t="s">
        <v>276</v>
      </c>
      <c r="BQ68" s="3" t="s">
        <v>51</v>
      </c>
      <c r="BR68" s="19" t="s">
        <v>259</v>
      </c>
      <c r="BS68" s="19" t="s">
        <v>2367</v>
      </c>
      <c r="BT68" s="54" t="str">
        <f t="shared" si="40"/>
        <v>Product</v>
      </c>
      <c r="BV68" s="3" t="s">
        <v>276</v>
      </c>
      <c r="BW68" s="3" t="s">
        <v>277</v>
      </c>
      <c r="BX68" s="12" t="s">
        <v>1672</v>
      </c>
      <c r="BY68" s="12" t="s">
        <v>1226</v>
      </c>
      <c r="BZ68" s="54" t="str">
        <f t="shared" si="41"/>
        <v>Rahul Choudhury</v>
      </c>
      <c r="CB68" s="19" t="s">
        <v>1434</v>
      </c>
      <c r="CC68" s="3" t="s">
        <v>277</v>
      </c>
      <c r="CD68" s="3" t="s">
        <v>105</v>
      </c>
      <c r="CE68" s="54" t="str">
        <v>SRE</v>
      </c>
      <c r="CG68" s="54" t="str">
        <f>IFERROR(_xlfn.XLOOKUP(Hiring!A68,Hiring!A68:A467,Hiring!B68:B467,,0),"Not Found")</f>
        <v>Tapas Routray</v>
      </c>
    </row>
    <row r="69" spans="2:85">
      <c r="B69" s="100"/>
      <c r="F69" s="4">
        <v>4.2</v>
      </c>
      <c r="G69" s="52" t="str" cm="1">
        <f t="array" ref="G69">_xlfn.IFS(F69&gt;=4.5,"Excellent",AND(F69&gt;=3.5,F69&lt;=4.4),"Good",F69&lt;3.5,"Needs Improvement")</f>
        <v>Good</v>
      </c>
      <c r="I69" s="14">
        <v>116.76</v>
      </c>
      <c r="J69" s="14">
        <v>106.01</v>
      </c>
      <c r="K69" s="54" t="str">
        <f t="shared" si="23"/>
        <v>Within Budget</v>
      </c>
      <c r="M69" s="18">
        <v>197218</v>
      </c>
      <c r="N69" s="18">
        <v>174045</v>
      </c>
      <c r="O69" s="54" t="str">
        <f t="shared" si="24"/>
        <v>Yes</v>
      </c>
      <c r="Q69" s="18">
        <v>9.0399999999999991</v>
      </c>
      <c r="R69" s="56" t="str">
        <f t="shared" si="25"/>
        <v>Yes</v>
      </c>
      <c r="T69" s="18">
        <v>4.72</v>
      </c>
      <c r="U69" s="57" t="str">
        <f t="shared" si="26"/>
        <v>No</v>
      </c>
      <c r="W69" s="18" t="s">
        <v>259</v>
      </c>
      <c r="X69" s="54" t="str">
        <f>VLOOKUP(W69,Employees!$A$1:$B$601,2,FALSE)</f>
        <v>Aditya Prusty</v>
      </c>
      <c r="Z69" s="4" t="s">
        <v>279</v>
      </c>
      <c r="AA69" s="54" t="str">
        <f t="shared" si="27"/>
        <v>0068</v>
      </c>
      <c r="AC69" s="4" t="s">
        <v>24</v>
      </c>
      <c r="AD69" s="54" t="str">
        <f t="shared" si="28"/>
        <v>Design</v>
      </c>
      <c r="AF69" s="4" t="s">
        <v>280</v>
      </c>
      <c r="AG69" s="4" t="s">
        <v>24</v>
      </c>
      <c r="AH69" s="4" t="s">
        <v>53</v>
      </c>
      <c r="AI69" s="54" t="str">
        <f t="shared" si="29"/>
        <v>Amlan Behura|Design|BlueLotus IT</v>
      </c>
      <c r="AK69" s="4" t="s">
        <v>280</v>
      </c>
      <c r="AL69" s="38" t="str">
        <f t="shared" si="30"/>
        <v>A.B.</v>
      </c>
      <c r="AN69" s="18" t="s">
        <v>5031</v>
      </c>
      <c r="AO69" s="54" t="b">
        <f t="shared" si="31"/>
        <v>0</v>
      </c>
      <c r="AQ69" s="4" t="s">
        <v>280</v>
      </c>
      <c r="AR69" s="52" t="str">
        <f t="shared" si="32"/>
        <v>NO</v>
      </c>
      <c r="AT69" s="14" t="s">
        <v>1672</v>
      </c>
      <c r="AU69" s="54">
        <f t="shared" si="33"/>
        <v>19</v>
      </c>
      <c r="AW69" s="54">
        <f ca="1">DATEDIF(BI69,TODAY(),"Y")</f>
        <v>3</v>
      </c>
      <c r="AX69" s="54"/>
      <c r="AY69" s="41" t="s">
        <v>5163</v>
      </c>
      <c r="AZ69" s="44">
        <f t="shared" si="34"/>
        <v>45323</v>
      </c>
      <c r="BA69" s="54" t="str">
        <f t="shared" si="35"/>
        <v>2-2024</v>
      </c>
      <c r="BC69" s="15" t="s">
        <v>1835</v>
      </c>
      <c r="BD69" s="13">
        <f t="shared" si="36"/>
        <v>45338</v>
      </c>
      <c r="BE69" s="46" t="s">
        <v>1614</v>
      </c>
      <c r="BF69" s="54" t="str">
        <f t="shared" ca="1" si="37"/>
        <v>Overdue</v>
      </c>
      <c r="BH69" s="4" t="s">
        <v>281</v>
      </c>
      <c r="BI69" s="51">
        <f t="shared" si="42"/>
        <v>45028</v>
      </c>
      <c r="BJ69" s="38">
        <f t="shared" ca="1" si="43"/>
        <v>873</v>
      </c>
      <c r="BK69" s="38"/>
      <c r="BL69" s="38" t="str">
        <f t="shared" si="44"/>
        <v>No</v>
      </c>
      <c r="BM69" s="59">
        <f t="shared" si="38"/>
        <v>45323</v>
      </c>
      <c r="BN69" s="51">
        <f t="shared" si="45"/>
        <v>45028</v>
      </c>
      <c r="BO69" s="54">
        <f t="shared" si="39"/>
        <v>295</v>
      </c>
      <c r="BP69" s="4" t="s">
        <v>279</v>
      </c>
      <c r="BQ69" s="4" t="s">
        <v>24</v>
      </c>
      <c r="BR69" s="18" t="s">
        <v>259</v>
      </c>
      <c r="BS69" s="18" t="s">
        <v>2368</v>
      </c>
      <c r="BT69" s="54" t="str">
        <f t="shared" si="40"/>
        <v>Product</v>
      </c>
      <c r="BV69" s="4" t="s">
        <v>279</v>
      </c>
      <c r="BW69" s="4" t="s">
        <v>280</v>
      </c>
      <c r="BX69" s="14" t="s">
        <v>1672</v>
      </c>
      <c r="BY69" s="14" t="s">
        <v>140</v>
      </c>
      <c r="BZ69" s="54" t="str">
        <f t="shared" si="41"/>
        <v>Saurav Routray</v>
      </c>
      <c r="CB69" s="18" t="s">
        <v>5162</v>
      </c>
      <c r="CC69" s="4" t="s">
        <v>280</v>
      </c>
      <c r="CD69" s="4" t="s">
        <v>74</v>
      </c>
      <c r="CE69" s="54" t="str">
        <v>Not Found</v>
      </c>
      <c r="CG69" s="54" t="str">
        <f>IFERROR(_xlfn.XLOOKUP(Hiring!A69,Hiring!A69:A468,Hiring!B69:B468,,0),"Not Found")</f>
        <v>Bikash Choudhury</v>
      </c>
    </row>
    <row r="70" spans="2:85">
      <c r="B70" s="100"/>
      <c r="F70" s="3">
        <v>4.3</v>
      </c>
      <c r="G70" s="52" t="str" cm="1">
        <f t="array" ref="G70">_xlfn.IFS(F70&gt;=4.5,"Excellent",AND(F70&gt;=3.5,F70&lt;=4.4),"Good",F70&lt;3.5,"Needs Improvement")</f>
        <v>Good</v>
      </c>
      <c r="I70" s="12">
        <v>132.03</v>
      </c>
      <c r="J70" s="12">
        <v>98.38</v>
      </c>
      <c r="K70" s="54" t="str">
        <f t="shared" si="23"/>
        <v>Within Budget</v>
      </c>
      <c r="M70" s="19"/>
      <c r="N70" s="19">
        <v>70392</v>
      </c>
      <c r="O70" s="54" t="str">
        <f t="shared" si="24"/>
        <v>Yes</v>
      </c>
      <c r="Q70" s="19">
        <v>10.75</v>
      </c>
      <c r="R70" s="56" t="str">
        <f t="shared" si="25"/>
        <v>Yes</v>
      </c>
      <c r="T70" s="19">
        <v>11.19</v>
      </c>
      <c r="U70" s="57" t="str">
        <f t="shared" si="26"/>
        <v>High Attrition</v>
      </c>
      <c r="W70" s="19" t="s">
        <v>259</v>
      </c>
      <c r="X70" s="54" t="str">
        <f>VLOOKUP(W70,Employees!$A$1:$B$601,2,FALSE)</f>
        <v>Aditya Prusty</v>
      </c>
      <c r="Z70" s="3" t="s">
        <v>282</v>
      </c>
      <c r="AA70" s="54" t="str">
        <f t="shared" si="27"/>
        <v>0069</v>
      </c>
      <c r="AC70" s="3" t="s">
        <v>24</v>
      </c>
      <c r="AD70" s="54" t="str">
        <f t="shared" si="28"/>
        <v>Design</v>
      </c>
      <c r="AF70" s="3" t="s">
        <v>283</v>
      </c>
      <c r="AG70" s="3" t="s">
        <v>24</v>
      </c>
      <c r="AH70" s="3" t="s">
        <v>214</v>
      </c>
      <c r="AI70" s="54" t="str">
        <f t="shared" si="29"/>
        <v>Jyotirmayee Mishra|Design|ZeroOneSystems</v>
      </c>
      <c r="AK70" s="3" t="s">
        <v>283</v>
      </c>
      <c r="AL70" s="38" t="str">
        <f t="shared" si="30"/>
        <v>J.M.</v>
      </c>
      <c r="AN70" s="19" t="s">
        <v>5016</v>
      </c>
      <c r="AO70" s="54" t="b">
        <f t="shared" si="31"/>
        <v>0</v>
      </c>
      <c r="AQ70" s="3" t="s">
        <v>283</v>
      </c>
      <c r="AR70" s="52" t="str">
        <f t="shared" si="32"/>
        <v>Mishra</v>
      </c>
      <c r="AT70" s="12" t="s">
        <v>1709</v>
      </c>
      <c r="AU70" s="54">
        <f t="shared" si="33"/>
        <v>18</v>
      </c>
      <c r="AW70" s="54">
        <f ca="1">DATEDIF(BI70,TODAY(),"Y")</f>
        <v>2</v>
      </c>
      <c r="AX70" s="54"/>
      <c r="AY70" s="40" t="s">
        <v>5166</v>
      </c>
      <c r="AZ70" s="44">
        <f t="shared" si="34"/>
        <v>45076</v>
      </c>
      <c r="BA70" s="54" t="str">
        <f t="shared" si="35"/>
        <v>5-2023</v>
      </c>
      <c r="BC70" s="13" t="s">
        <v>1838</v>
      </c>
      <c r="BD70" s="13">
        <f t="shared" si="36"/>
        <v>45088</v>
      </c>
      <c r="BE70" s="45" t="s">
        <v>1625</v>
      </c>
      <c r="BF70" s="54" t="str">
        <f t="shared" ca="1" si="37"/>
        <v>Overdue</v>
      </c>
      <c r="BH70" s="3" t="s">
        <v>284</v>
      </c>
      <c r="BI70" s="51">
        <f t="shared" si="42"/>
        <v>45395</v>
      </c>
      <c r="BJ70" s="38">
        <f t="shared" ca="1" si="43"/>
        <v>610</v>
      </c>
      <c r="BK70" s="38"/>
      <c r="BL70" s="38" t="str">
        <f t="shared" si="44"/>
        <v>No</v>
      </c>
      <c r="BM70" s="59">
        <f t="shared" si="38"/>
        <v>45076</v>
      </c>
      <c r="BN70" s="51">
        <f t="shared" si="45"/>
        <v>45395</v>
      </c>
      <c r="BO70" s="54">
        <f t="shared" si="39"/>
        <v>319</v>
      </c>
      <c r="BP70" s="3" t="s">
        <v>282</v>
      </c>
      <c r="BQ70" s="3" t="s">
        <v>24</v>
      </c>
      <c r="BR70" s="19" t="s">
        <v>259</v>
      </c>
      <c r="BS70" s="19" t="s">
        <v>2369</v>
      </c>
      <c r="BT70" s="54" t="str">
        <f t="shared" si="40"/>
        <v>Product</v>
      </c>
      <c r="BV70" s="3" t="s">
        <v>282</v>
      </c>
      <c r="BW70" s="3" t="s">
        <v>283</v>
      </c>
      <c r="BX70" s="12" t="s">
        <v>1709</v>
      </c>
      <c r="BY70" s="12" t="s">
        <v>1001</v>
      </c>
      <c r="BZ70" s="54" t="str">
        <f t="shared" si="41"/>
        <v>Amlan Biswal</v>
      </c>
      <c r="CB70" s="19" t="s">
        <v>5165</v>
      </c>
      <c r="CC70" s="3" t="s">
        <v>283</v>
      </c>
      <c r="CD70" s="3" t="s">
        <v>94</v>
      </c>
      <c r="CE70" s="54" t="str">
        <v>Not Found</v>
      </c>
      <c r="CG70" s="54" t="str">
        <f>IFERROR(_xlfn.XLOOKUP(Hiring!A70,Hiring!A70:A469,Hiring!B70:B469,,0),"Not Found")</f>
        <v>Alka Samal</v>
      </c>
    </row>
    <row r="71" spans="2:85">
      <c r="B71" s="100"/>
      <c r="F71" s="4">
        <v>4.3</v>
      </c>
      <c r="G71" s="52" t="str" cm="1">
        <f t="array" ref="G71">_xlfn.IFS(F71&gt;=4.5,"Excellent",AND(F71&gt;=3.5,F71&lt;=4.4),"Good",F71&lt;3.5,"Needs Improvement")</f>
        <v>Good</v>
      </c>
      <c r="I71" s="14">
        <v>168.63</v>
      </c>
      <c r="J71" s="14">
        <v>167.85</v>
      </c>
      <c r="K71" s="54" t="str">
        <f t="shared" si="23"/>
        <v>Within Budget</v>
      </c>
      <c r="M71" s="18"/>
      <c r="N71" s="18">
        <v>123290</v>
      </c>
      <c r="O71" s="54" t="str">
        <f t="shared" si="24"/>
        <v>Yes</v>
      </c>
      <c r="Q71" s="18">
        <v>11.32</v>
      </c>
      <c r="R71" s="56" t="str">
        <f t="shared" si="25"/>
        <v>Yes</v>
      </c>
      <c r="T71" s="18">
        <v>7.81</v>
      </c>
      <c r="U71" s="57" t="str">
        <f t="shared" si="26"/>
        <v>No</v>
      </c>
      <c r="W71" s="18" t="s">
        <v>259</v>
      </c>
      <c r="X71" s="54" t="str">
        <f>VLOOKUP(W71,Employees!$A$1:$B$601,2,FALSE)</f>
        <v>Aditya Prusty</v>
      </c>
      <c r="Z71" s="4" t="s">
        <v>285</v>
      </c>
      <c r="AA71" s="54" t="str">
        <f t="shared" si="27"/>
        <v>0070</v>
      </c>
      <c r="AC71" s="4" t="s">
        <v>176</v>
      </c>
      <c r="AD71" s="54" t="str">
        <f t="shared" si="28"/>
        <v>Finance</v>
      </c>
      <c r="AF71" s="4" t="s">
        <v>286</v>
      </c>
      <c r="AG71" s="4" t="s">
        <v>176</v>
      </c>
      <c r="AH71" s="4" t="s">
        <v>214</v>
      </c>
      <c r="AI71" s="54" t="str">
        <f t="shared" si="29"/>
        <v>Debasmita Ratha|Finance|ZeroOneSystems</v>
      </c>
      <c r="AK71" s="4" t="s">
        <v>286</v>
      </c>
      <c r="AL71" s="38" t="str">
        <f t="shared" si="30"/>
        <v>D.R.</v>
      </c>
      <c r="AN71" s="18" t="s">
        <v>5019</v>
      </c>
      <c r="AO71" s="54" t="str">
        <f t="shared" si="31"/>
        <v>Linkedln</v>
      </c>
      <c r="AQ71" s="4" t="s">
        <v>286</v>
      </c>
      <c r="AR71" s="52" t="str">
        <f t="shared" si="32"/>
        <v>NO</v>
      </c>
      <c r="AT71" s="14" t="s">
        <v>1640</v>
      </c>
      <c r="AU71" s="54">
        <f t="shared" si="33"/>
        <v>17</v>
      </c>
      <c r="AW71" s="54">
        <f ca="1">DATEDIF(BI71,TODAY(),"Y")</f>
        <v>7</v>
      </c>
      <c r="AX71" s="54"/>
      <c r="AY71" s="41" t="s">
        <v>5168</v>
      </c>
      <c r="AZ71" s="44">
        <f t="shared" si="34"/>
        <v>45435</v>
      </c>
      <c r="BA71" s="54" t="str">
        <f t="shared" si="35"/>
        <v>5-2024</v>
      </c>
      <c r="BC71" s="15" t="s">
        <v>1841</v>
      </c>
      <c r="BD71" s="13">
        <f t="shared" si="36"/>
        <v>44595</v>
      </c>
      <c r="BE71" s="46" t="s">
        <v>1614</v>
      </c>
      <c r="BF71" s="54" t="str">
        <f t="shared" ca="1" si="37"/>
        <v>Overdue</v>
      </c>
      <c r="BH71" s="4" t="s">
        <v>287</v>
      </c>
      <c r="BI71" s="51">
        <f t="shared" si="42"/>
        <v>43438</v>
      </c>
      <c r="BJ71" s="38">
        <f t="shared" ca="1" si="43"/>
        <v>2009</v>
      </c>
      <c r="BK71" s="38"/>
      <c r="BL71" s="38" t="str">
        <f t="shared" si="44"/>
        <v>No</v>
      </c>
      <c r="BM71" s="59">
        <f t="shared" si="38"/>
        <v>45435</v>
      </c>
      <c r="BN71" s="51">
        <f t="shared" si="45"/>
        <v>43438</v>
      </c>
      <c r="BO71" s="54">
        <f t="shared" si="39"/>
        <v>1997</v>
      </c>
      <c r="BP71" s="4" t="s">
        <v>285</v>
      </c>
      <c r="BQ71" s="4" t="s">
        <v>176</v>
      </c>
      <c r="BR71" s="18" t="s">
        <v>259</v>
      </c>
      <c r="BS71" s="18" t="s">
        <v>2372</v>
      </c>
      <c r="BT71" s="54" t="str">
        <f t="shared" si="40"/>
        <v>Product</v>
      </c>
      <c r="BV71" s="4" t="s">
        <v>285</v>
      </c>
      <c r="BW71" s="4" t="s">
        <v>286</v>
      </c>
      <c r="BX71" s="14" t="s">
        <v>1640</v>
      </c>
      <c r="BY71" s="14" t="s">
        <v>688</v>
      </c>
      <c r="BZ71" s="54" t="str">
        <f t="shared" si="41"/>
        <v>Abhishek Nanda</v>
      </c>
      <c r="CB71" s="18" t="s">
        <v>263</v>
      </c>
      <c r="CC71" s="4" t="s">
        <v>286</v>
      </c>
      <c r="CD71" s="4" t="s">
        <v>229</v>
      </c>
      <c r="CE71" s="54" t="str">
        <v>Cloud Architect</v>
      </c>
      <c r="CG71" s="54" t="str">
        <f>IFERROR(_xlfn.XLOOKUP(Hiring!A71,Hiring!A71:A470,Hiring!B71:B470,,0),"Not Found")</f>
        <v>Satyajit Choudhury</v>
      </c>
    </row>
    <row r="72" spans="2:85">
      <c r="B72" s="100"/>
      <c r="F72" s="3">
        <v>3.9</v>
      </c>
      <c r="G72" s="52" t="str" cm="1">
        <f t="array" ref="G72">_xlfn.IFS(F72&gt;=4.5,"Excellent",AND(F72&gt;=3.5,F72&lt;=4.4),"Good",F72&lt;3.5,"Needs Improvement")</f>
        <v>Good</v>
      </c>
      <c r="I72" s="12">
        <v>62.87</v>
      </c>
      <c r="J72" s="12">
        <v>64.989999999999995</v>
      </c>
      <c r="K72" s="54" t="str">
        <f t="shared" si="23"/>
        <v>Over Budget</v>
      </c>
      <c r="M72" s="19">
        <v>63401</v>
      </c>
      <c r="N72" s="19">
        <v>56511</v>
      </c>
      <c r="O72" s="54" t="str">
        <f t="shared" si="24"/>
        <v>Yes</v>
      </c>
      <c r="Q72" s="19">
        <v>8.5500000000000007</v>
      </c>
      <c r="R72" s="56" t="str">
        <f t="shared" si="25"/>
        <v>Yes</v>
      </c>
      <c r="T72" s="19">
        <v>2.6</v>
      </c>
      <c r="U72" s="57" t="str">
        <f t="shared" si="26"/>
        <v>No</v>
      </c>
      <c r="W72" s="19" t="s">
        <v>259</v>
      </c>
      <c r="X72" s="54" t="str">
        <f>VLOOKUP(W72,Employees!$A$1:$B$601,2,FALSE)</f>
        <v>Aditya Prusty</v>
      </c>
      <c r="Z72" s="3" t="s">
        <v>288</v>
      </c>
      <c r="AA72" s="54" t="str">
        <f t="shared" si="27"/>
        <v>0071</v>
      </c>
      <c r="AC72" s="3" t="s">
        <v>118</v>
      </c>
      <c r="AD72" s="54" t="str">
        <f t="shared" si="28"/>
        <v>Marketing</v>
      </c>
      <c r="AF72" s="3" t="s">
        <v>289</v>
      </c>
      <c r="AG72" s="3" t="s">
        <v>118</v>
      </c>
      <c r="AH72" s="3" t="s">
        <v>18</v>
      </c>
      <c r="AI72" s="54" t="str">
        <f t="shared" si="29"/>
        <v>Sudhansu Senapati|Marketing|CoastalDev Studio</v>
      </c>
      <c r="AK72" s="3" t="s">
        <v>289</v>
      </c>
      <c r="AL72" s="38" t="str">
        <f t="shared" si="30"/>
        <v>S.S.</v>
      </c>
      <c r="AN72" s="19" t="s">
        <v>5025</v>
      </c>
      <c r="AO72" s="54" t="b">
        <f t="shared" si="31"/>
        <v>0</v>
      </c>
      <c r="AQ72" s="3" t="s">
        <v>289</v>
      </c>
      <c r="AR72" s="52" t="str">
        <f t="shared" si="32"/>
        <v>NO</v>
      </c>
      <c r="AT72" s="12" t="s">
        <v>1646</v>
      </c>
      <c r="AU72" s="54">
        <f t="shared" si="33"/>
        <v>16</v>
      </c>
      <c r="AW72" s="54">
        <f ca="1">DATEDIF(BI72,TODAY(),"Y")</f>
        <v>4</v>
      </c>
      <c r="AX72" s="54"/>
      <c r="AY72" s="40" t="s">
        <v>1676</v>
      </c>
      <c r="AZ72" s="44">
        <f t="shared" si="34"/>
        <v>44989</v>
      </c>
      <c r="BA72" s="54" t="str">
        <f t="shared" si="35"/>
        <v>3-2023</v>
      </c>
      <c r="BC72" s="13" t="s">
        <v>1844</v>
      </c>
      <c r="BD72" s="13">
        <f t="shared" si="36"/>
        <v>45735</v>
      </c>
      <c r="BE72" s="45" t="s">
        <v>1638</v>
      </c>
      <c r="BF72" s="54" t="str">
        <f t="shared" ca="1" si="37"/>
        <v>On Track</v>
      </c>
      <c r="BH72" s="3" t="s">
        <v>290</v>
      </c>
      <c r="BI72" s="51">
        <f t="shared" si="42"/>
        <v>44728</v>
      </c>
      <c r="BJ72" s="38">
        <f t="shared" ca="1" si="43"/>
        <v>1087</v>
      </c>
      <c r="BK72" s="38"/>
      <c r="BL72" s="38" t="str">
        <f t="shared" si="44"/>
        <v>No</v>
      </c>
      <c r="BM72" s="59">
        <f t="shared" si="38"/>
        <v>44989</v>
      </c>
      <c r="BN72" s="51">
        <f t="shared" si="45"/>
        <v>44728</v>
      </c>
      <c r="BO72" s="54">
        <f t="shared" si="39"/>
        <v>261</v>
      </c>
      <c r="BP72" s="3" t="s">
        <v>288</v>
      </c>
      <c r="BQ72" s="3" t="s">
        <v>118</v>
      </c>
      <c r="BR72" s="19" t="s">
        <v>259</v>
      </c>
      <c r="BS72" s="19" t="s">
        <v>2375</v>
      </c>
      <c r="BT72" s="54" t="str">
        <f t="shared" si="40"/>
        <v>Product</v>
      </c>
      <c r="BV72" s="3" t="s">
        <v>288</v>
      </c>
      <c r="BW72" s="3" t="s">
        <v>289</v>
      </c>
      <c r="BX72" s="12" t="s">
        <v>1646</v>
      </c>
      <c r="BY72" s="12" t="s">
        <v>462</v>
      </c>
      <c r="BZ72" s="54" t="str">
        <f t="shared" si="41"/>
        <v>Nirmal Choudhury</v>
      </c>
      <c r="CB72" s="19" t="s">
        <v>1291</v>
      </c>
      <c r="CC72" s="3" t="s">
        <v>289</v>
      </c>
      <c r="CD72" s="3" t="s">
        <v>254</v>
      </c>
      <c r="CE72" s="54" t="str">
        <v>Accountant</v>
      </c>
      <c r="CG72" s="54" t="str">
        <f>IFERROR(_xlfn.XLOOKUP(Hiring!A72,Hiring!A72:A471,Hiring!B72:B471,,0),"Not Found")</f>
        <v>Dibya Padhi</v>
      </c>
    </row>
    <row r="73" spans="2:85">
      <c r="B73" s="100"/>
      <c r="F73" s="4">
        <v>1.8</v>
      </c>
      <c r="G73" s="52" t="str" cm="1">
        <f t="array" ref="G73">_xlfn.IFS(F73&gt;=4.5,"Excellent",AND(F73&gt;=3.5,F73&lt;=4.4),"Good",F73&lt;3.5,"Needs Improvement")</f>
        <v>Needs Improvement</v>
      </c>
      <c r="I73" s="14">
        <v>197.17</v>
      </c>
      <c r="J73" s="14">
        <v>194.12</v>
      </c>
      <c r="K73" s="54" t="str">
        <f t="shared" si="23"/>
        <v>Within Budget</v>
      </c>
      <c r="M73" s="18"/>
      <c r="N73" s="18">
        <v>125829</v>
      </c>
      <c r="O73" s="54" t="str">
        <f t="shared" si="24"/>
        <v>Yes</v>
      </c>
      <c r="Q73" s="18">
        <v>7.62</v>
      </c>
      <c r="R73" s="56" t="str">
        <f t="shared" si="25"/>
        <v>Yes</v>
      </c>
      <c r="T73" s="18">
        <v>11.7</v>
      </c>
      <c r="U73" s="57" t="str">
        <f t="shared" si="26"/>
        <v>High Attrition</v>
      </c>
      <c r="W73" s="18" t="s">
        <v>259</v>
      </c>
      <c r="X73" s="54" t="str">
        <f>VLOOKUP(W73,Employees!$A$1:$B$601,2,FALSE)</f>
        <v>Aditya Prusty</v>
      </c>
      <c r="Z73" s="4" t="s">
        <v>291</v>
      </c>
      <c r="AA73" s="54" t="str">
        <f t="shared" si="27"/>
        <v>0072</v>
      </c>
      <c r="AC73" s="4" t="s">
        <v>24</v>
      </c>
      <c r="AD73" s="54" t="str">
        <f t="shared" si="28"/>
        <v>Design</v>
      </c>
      <c r="AF73" s="4" t="s">
        <v>292</v>
      </c>
      <c r="AG73" s="4" t="s">
        <v>24</v>
      </c>
      <c r="AH73" s="4" t="s">
        <v>26</v>
      </c>
      <c r="AI73" s="54" t="str">
        <f t="shared" si="29"/>
        <v>Puspita Padhi|Design|InfySoft Bhubaneswar</v>
      </c>
      <c r="AK73" s="4" t="s">
        <v>292</v>
      </c>
      <c r="AL73" s="38" t="str">
        <f t="shared" si="30"/>
        <v>P.P.</v>
      </c>
      <c r="AN73" s="18" t="s">
        <v>5016</v>
      </c>
      <c r="AO73" s="54" t="b">
        <f t="shared" si="31"/>
        <v>0</v>
      </c>
      <c r="AQ73" s="4" t="s">
        <v>292</v>
      </c>
      <c r="AR73" s="52" t="str">
        <f t="shared" si="32"/>
        <v>NO</v>
      </c>
      <c r="AT73" s="14" t="s">
        <v>1653</v>
      </c>
      <c r="AU73" s="54">
        <f t="shared" si="33"/>
        <v>19</v>
      </c>
      <c r="AW73" s="54">
        <f ca="1">DATEDIF(BI73,TODAY(),"Y")</f>
        <v>4</v>
      </c>
      <c r="AX73" s="54"/>
      <c r="AY73" s="41" t="s">
        <v>5171</v>
      </c>
      <c r="AZ73" s="44">
        <f t="shared" si="34"/>
        <v>45073</v>
      </c>
      <c r="BA73" s="54" t="str">
        <f t="shared" si="35"/>
        <v>5-2023</v>
      </c>
      <c r="BC73" s="15" t="s">
        <v>1848</v>
      </c>
      <c r="BD73" s="13">
        <f t="shared" si="36"/>
        <v>44529</v>
      </c>
      <c r="BE73" s="46" t="s">
        <v>1638</v>
      </c>
      <c r="BF73" s="54" t="str">
        <f t="shared" ca="1" si="37"/>
        <v>On Track</v>
      </c>
      <c r="BH73" s="4" t="s">
        <v>293</v>
      </c>
      <c r="BI73" s="51">
        <f t="shared" si="42"/>
        <v>44503</v>
      </c>
      <c r="BJ73" s="38">
        <f t="shared" ca="1" si="43"/>
        <v>1248</v>
      </c>
      <c r="BK73" s="38"/>
      <c r="BL73" s="38" t="str">
        <f t="shared" si="44"/>
        <v>No</v>
      </c>
      <c r="BM73" s="59">
        <f t="shared" si="38"/>
        <v>45073</v>
      </c>
      <c r="BN73" s="51">
        <f t="shared" si="45"/>
        <v>44503</v>
      </c>
      <c r="BO73" s="54">
        <f t="shared" si="39"/>
        <v>570</v>
      </c>
      <c r="BP73" s="4" t="s">
        <v>291</v>
      </c>
      <c r="BQ73" s="4" t="s">
        <v>24</v>
      </c>
      <c r="BR73" s="18" t="s">
        <v>259</v>
      </c>
      <c r="BS73" s="18" t="s">
        <v>2379</v>
      </c>
      <c r="BT73" s="54" t="str">
        <f t="shared" si="40"/>
        <v>Product</v>
      </c>
      <c r="BV73" s="4" t="s">
        <v>291</v>
      </c>
      <c r="BW73" s="4" t="s">
        <v>292</v>
      </c>
      <c r="BX73" s="14" t="s">
        <v>1653</v>
      </c>
      <c r="BY73" s="14" t="s">
        <v>761</v>
      </c>
      <c r="BZ73" s="54" t="str">
        <f t="shared" si="41"/>
        <v>Tanmay Nanda</v>
      </c>
      <c r="CB73" s="18" t="s">
        <v>1023</v>
      </c>
      <c r="CC73" s="4" t="s">
        <v>292</v>
      </c>
      <c r="CD73" s="4" t="s">
        <v>45</v>
      </c>
      <c r="CE73" s="54" t="str">
        <v>Senior Developer</v>
      </c>
      <c r="CG73" s="54" t="str">
        <f>IFERROR(_xlfn.XLOOKUP(Hiring!A73,Hiring!A73:A472,Hiring!B73:B472,,0),"Not Found")</f>
        <v>Rahul Choudhury</v>
      </c>
    </row>
    <row r="74" spans="2:85">
      <c r="B74" s="100"/>
      <c r="F74" s="3">
        <v>3.6</v>
      </c>
      <c r="G74" s="52" t="str" cm="1">
        <f t="array" ref="G74">_xlfn.IFS(F74&gt;=4.5,"Excellent",AND(F74&gt;=3.5,F74&lt;=4.4),"Good",F74&lt;3.5,"Needs Improvement")</f>
        <v>Good</v>
      </c>
      <c r="I74" s="12">
        <v>125.62</v>
      </c>
      <c r="J74" s="12">
        <v>93.39</v>
      </c>
      <c r="K74" s="54" t="str">
        <f t="shared" si="23"/>
        <v>Within Budget</v>
      </c>
      <c r="M74" s="19"/>
      <c r="N74" s="19">
        <v>34216</v>
      </c>
      <c r="O74" s="54" t="str">
        <f t="shared" si="24"/>
        <v>Yes</v>
      </c>
      <c r="Q74" s="19">
        <v>6.68</v>
      </c>
      <c r="R74" s="56" t="str">
        <f t="shared" si="25"/>
        <v>Yes</v>
      </c>
      <c r="W74" s="19" t="s">
        <v>259</v>
      </c>
      <c r="X74" s="54" t="str">
        <f>VLOOKUP(W74,Employees!$A$1:$B$601,2,FALSE)</f>
        <v>Aditya Prusty</v>
      </c>
      <c r="Z74" s="3" t="s">
        <v>294</v>
      </c>
      <c r="AA74" s="54" t="str">
        <f t="shared" si="27"/>
        <v>0073</v>
      </c>
      <c r="AC74" s="3" t="s">
        <v>84</v>
      </c>
      <c r="AD74" s="54" t="str">
        <f t="shared" si="28"/>
        <v>Hr</v>
      </c>
      <c r="AF74" s="3" t="s">
        <v>56</v>
      </c>
      <c r="AG74" s="3" t="s">
        <v>84</v>
      </c>
      <c r="AH74" s="3" t="s">
        <v>46</v>
      </c>
      <c r="AI74" s="54" t="str">
        <f t="shared" si="29"/>
        <v>Jyotirmayee Ratha|HR|SambalpurNet</v>
      </c>
      <c r="AK74" s="3" t="s">
        <v>56</v>
      </c>
      <c r="AL74" s="38" t="str">
        <f t="shared" si="30"/>
        <v>J.R.</v>
      </c>
      <c r="AN74" s="19" t="s">
        <v>5016</v>
      </c>
      <c r="AO74" s="54" t="b">
        <f t="shared" si="31"/>
        <v>0</v>
      </c>
      <c r="AQ74" s="3" t="s">
        <v>56</v>
      </c>
      <c r="AR74" s="52" t="str">
        <f t="shared" si="32"/>
        <v>NO</v>
      </c>
      <c r="AT74" s="12" t="s">
        <v>1786</v>
      </c>
      <c r="AU74" s="54">
        <f t="shared" si="33"/>
        <v>15</v>
      </c>
      <c r="AW74" s="54">
        <f ca="1">DATEDIF(BI74,TODAY(),"Y")</f>
        <v>6</v>
      </c>
      <c r="AX74" s="54"/>
      <c r="AY74" s="40" t="s">
        <v>1192</v>
      </c>
      <c r="AZ74" s="44">
        <f t="shared" si="34"/>
        <v>45108</v>
      </c>
      <c r="BA74" s="54" t="str">
        <f t="shared" si="35"/>
        <v>7-2023</v>
      </c>
      <c r="BC74" s="13" t="s">
        <v>1832</v>
      </c>
      <c r="BD74" s="13">
        <f t="shared" si="36"/>
        <v>44785</v>
      </c>
      <c r="BE74" s="45" t="s">
        <v>1638</v>
      </c>
      <c r="BF74" s="54" t="str">
        <f t="shared" ca="1" si="37"/>
        <v>On Track</v>
      </c>
      <c r="BH74" s="3" t="s">
        <v>295</v>
      </c>
      <c r="BI74" s="51">
        <f t="shared" si="42"/>
        <v>43927</v>
      </c>
      <c r="BJ74" s="38">
        <f t="shared" ca="1" si="43"/>
        <v>1660</v>
      </c>
      <c r="BK74" s="38"/>
      <c r="BL74" s="38" t="str">
        <f t="shared" si="44"/>
        <v>No</v>
      </c>
      <c r="BM74" s="59">
        <f t="shared" si="38"/>
        <v>45108</v>
      </c>
      <c r="BN74" s="51">
        <f t="shared" si="45"/>
        <v>43927</v>
      </c>
      <c r="BO74" s="54">
        <f t="shared" si="39"/>
        <v>1181</v>
      </c>
      <c r="BP74" s="3" t="s">
        <v>294</v>
      </c>
      <c r="BQ74" s="3" t="s">
        <v>84</v>
      </c>
      <c r="BR74" s="19" t="s">
        <v>259</v>
      </c>
      <c r="BS74" s="19" t="s">
        <v>2382</v>
      </c>
      <c r="BT74" s="54" t="str">
        <f t="shared" si="40"/>
        <v>Product</v>
      </c>
      <c r="BV74" s="3" t="s">
        <v>294</v>
      </c>
      <c r="BW74" s="3" t="s">
        <v>56</v>
      </c>
      <c r="BX74" s="12" t="s">
        <v>1786</v>
      </c>
      <c r="BY74" s="12" t="s">
        <v>143</v>
      </c>
      <c r="BZ74" s="54" t="str">
        <f t="shared" si="41"/>
        <v>Ranjit Dhal</v>
      </c>
      <c r="CB74" s="19" t="s">
        <v>404</v>
      </c>
      <c r="CC74" s="3" t="s">
        <v>56</v>
      </c>
      <c r="CD74" s="3" t="s">
        <v>138</v>
      </c>
      <c r="CE74" s="54" t="str">
        <v>Content Strategist</v>
      </c>
      <c r="CG74" s="54" t="str">
        <f>IFERROR(_xlfn.XLOOKUP(Hiring!A74,Hiring!A74:A473,Hiring!B74:B473,,0),"Not Found")</f>
        <v>Nirmal Choudhury</v>
      </c>
    </row>
    <row r="75" spans="2:85">
      <c r="B75" s="100"/>
      <c r="F75" s="4">
        <v>2.7</v>
      </c>
      <c r="G75" s="52" t="str" cm="1">
        <f t="array" ref="G75">_xlfn.IFS(F75&gt;=4.5,"Excellent",AND(F75&gt;=3.5,F75&lt;=4.4),"Good",F75&lt;3.5,"Needs Improvement")</f>
        <v>Needs Improvement</v>
      </c>
      <c r="I75" s="14">
        <v>189.08</v>
      </c>
      <c r="J75" s="14">
        <v>192.83</v>
      </c>
      <c r="K75" s="54" t="str">
        <f t="shared" si="23"/>
        <v>Over Budget</v>
      </c>
      <c r="M75" s="18">
        <v>150344</v>
      </c>
      <c r="N75" s="18">
        <v>141909</v>
      </c>
      <c r="O75" s="54" t="str">
        <f t="shared" si="24"/>
        <v>Yes</v>
      </c>
      <c r="Q75" s="18">
        <v>10.19</v>
      </c>
      <c r="R75" s="56" t="str">
        <f t="shared" si="25"/>
        <v>Yes</v>
      </c>
      <c r="W75" s="18" t="s">
        <v>259</v>
      </c>
      <c r="X75" s="54" t="str">
        <f>VLOOKUP(W75,Employees!$A$1:$B$601,2,FALSE)</f>
        <v>Aditya Prusty</v>
      </c>
      <c r="Z75" s="4" t="s">
        <v>296</v>
      </c>
      <c r="AA75" s="54" t="str">
        <f t="shared" si="27"/>
        <v>0074</v>
      </c>
      <c r="AC75" s="4" t="s">
        <v>63</v>
      </c>
      <c r="AD75" s="54" t="str">
        <f t="shared" si="28"/>
        <v>Product</v>
      </c>
      <c r="AF75" s="4" t="s">
        <v>297</v>
      </c>
      <c r="AG75" s="4" t="s">
        <v>63</v>
      </c>
      <c r="AH75" s="4" t="s">
        <v>70</v>
      </c>
      <c r="AI75" s="54" t="str">
        <f t="shared" si="29"/>
        <v>Debasmita Sahoo|Product|OdishaCode Labs</v>
      </c>
      <c r="AK75" s="4" t="s">
        <v>297</v>
      </c>
      <c r="AL75" s="38" t="str">
        <f t="shared" si="30"/>
        <v>D.S.</v>
      </c>
      <c r="AN75" s="18" t="s">
        <v>5016</v>
      </c>
      <c r="AO75" s="54" t="b">
        <f t="shared" si="31"/>
        <v>0</v>
      </c>
      <c r="AQ75" s="4" t="s">
        <v>297</v>
      </c>
      <c r="AR75" s="52" t="str">
        <f t="shared" si="32"/>
        <v>NO</v>
      </c>
      <c r="AT75" s="14" t="s">
        <v>1729</v>
      </c>
      <c r="AU75" s="54">
        <f t="shared" si="33"/>
        <v>18</v>
      </c>
      <c r="AW75" s="54">
        <f ca="1">DATEDIF(BI75,TODAY(),"Y")</f>
        <v>5</v>
      </c>
      <c r="AX75" s="54"/>
      <c r="AY75" s="41" t="s">
        <v>5174</v>
      </c>
      <c r="AZ75" s="44">
        <f t="shared" si="34"/>
        <v>45621</v>
      </c>
      <c r="BA75" s="54" t="str">
        <f t="shared" si="35"/>
        <v>11-2024</v>
      </c>
      <c r="BC75" s="15" t="s">
        <v>1854</v>
      </c>
      <c r="BD75" s="13">
        <f t="shared" si="36"/>
        <v>44405</v>
      </c>
      <c r="BE75" s="46" t="s">
        <v>1638</v>
      </c>
      <c r="BF75" s="54" t="str">
        <f t="shared" ca="1" si="37"/>
        <v>On Track</v>
      </c>
      <c r="BH75" s="4" t="s">
        <v>298</v>
      </c>
      <c r="BI75" s="51">
        <f t="shared" si="42"/>
        <v>44211</v>
      </c>
      <c r="BJ75" s="38">
        <f t="shared" ca="1" si="43"/>
        <v>1456</v>
      </c>
      <c r="BK75" s="38"/>
      <c r="BL75" s="38" t="str">
        <f t="shared" si="44"/>
        <v>Q1</v>
      </c>
      <c r="BM75" s="59">
        <f t="shared" si="38"/>
        <v>45621</v>
      </c>
      <c r="BN75" s="51">
        <f t="shared" si="45"/>
        <v>44211</v>
      </c>
      <c r="BO75" s="54">
        <f t="shared" si="39"/>
        <v>1410</v>
      </c>
      <c r="BP75" s="4" t="s">
        <v>296</v>
      </c>
      <c r="BQ75" s="4" t="s">
        <v>63</v>
      </c>
      <c r="BR75" s="18" t="s">
        <v>259</v>
      </c>
      <c r="BS75" s="18" t="s">
        <v>2385</v>
      </c>
      <c r="BT75" s="54" t="str">
        <f t="shared" si="40"/>
        <v>Product</v>
      </c>
      <c r="BV75" s="4" t="s">
        <v>296</v>
      </c>
      <c r="BW75" s="4" t="s">
        <v>297</v>
      </c>
      <c r="BX75" s="14" t="s">
        <v>1729</v>
      </c>
      <c r="BY75" s="14" t="s">
        <v>1150</v>
      </c>
      <c r="BZ75" s="54" t="str">
        <f t="shared" si="41"/>
        <v>Priyanka Behura</v>
      </c>
      <c r="CB75" s="18" t="s">
        <v>413</v>
      </c>
      <c r="CC75" s="4" t="s">
        <v>297</v>
      </c>
      <c r="CD75" s="4" t="s">
        <v>64</v>
      </c>
      <c r="CE75" s="54" t="str">
        <v>SRE</v>
      </c>
      <c r="CG75" s="54" t="str">
        <f>IFERROR(_xlfn.XLOOKUP(Hiring!A75,Hiring!A75:A474,Hiring!B75:B474,,0),"Not Found")</f>
        <v>Smita Nanda</v>
      </c>
    </row>
    <row r="76" spans="2:85">
      <c r="B76" s="100"/>
      <c r="F76" s="3">
        <v>5</v>
      </c>
      <c r="G76" s="52" t="str" cm="1">
        <f t="array" ref="G76">_xlfn.IFS(F76&gt;=4.5,"Excellent",AND(F76&gt;=3.5,F76&lt;=4.4),"Good",F76&lt;3.5,"Needs Improvement")</f>
        <v>Excellent</v>
      </c>
      <c r="I76" s="12">
        <v>127.81</v>
      </c>
      <c r="J76" s="12">
        <v>124.32</v>
      </c>
      <c r="K76" s="54" t="str">
        <f t="shared" si="23"/>
        <v>Within Budget</v>
      </c>
      <c r="M76" s="19">
        <v>64147</v>
      </c>
      <c r="N76" s="19">
        <v>61665</v>
      </c>
      <c r="O76" s="54" t="str">
        <f t="shared" si="24"/>
        <v>Yes</v>
      </c>
      <c r="Q76" s="19">
        <v>7.59</v>
      </c>
      <c r="R76" s="56" t="str">
        <f t="shared" si="25"/>
        <v>Yes</v>
      </c>
      <c r="W76" s="19" t="s">
        <v>259</v>
      </c>
      <c r="X76" s="54" t="str">
        <f>VLOOKUP(W76,Employees!$A$1:$B$601,2,FALSE)</f>
        <v>Aditya Prusty</v>
      </c>
      <c r="Z76" s="3" t="s">
        <v>299</v>
      </c>
      <c r="AA76" s="54" t="str">
        <f t="shared" si="27"/>
        <v>0075</v>
      </c>
      <c r="AC76" s="3" t="s">
        <v>301</v>
      </c>
      <c r="AD76" s="54" t="str">
        <f t="shared" si="28"/>
        <v>Qa</v>
      </c>
      <c r="AF76" s="3" t="s">
        <v>300</v>
      </c>
      <c r="AG76" s="3" t="s">
        <v>301</v>
      </c>
      <c r="AH76" s="3" t="s">
        <v>149</v>
      </c>
      <c r="AI76" s="54" t="str">
        <f t="shared" si="29"/>
        <v>Ipsita Mishra|qa|SilverByte Systems</v>
      </c>
      <c r="AK76" s="3" t="s">
        <v>300</v>
      </c>
      <c r="AL76" s="38" t="str">
        <f t="shared" si="30"/>
        <v>I.M.</v>
      </c>
      <c r="AN76" s="19" t="s">
        <v>5025</v>
      </c>
      <c r="AO76" s="54" t="b">
        <f t="shared" si="31"/>
        <v>0</v>
      </c>
      <c r="AQ76" s="3" t="s">
        <v>300</v>
      </c>
      <c r="AR76" s="52" t="str">
        <f t="shared" si="32"/>
        <v>Mishra</v>
      </c>
      <c r="AT76" s="12" t="s">
        <v>1792</v>
      </c>
      <c r="AU76" s="54">
        <f t="shared" si="33"/>
        <v>19</v>
      </c>
      <c r="AW76" s="54">
        <f ca="1">DATEDIF(BI76,TODAY(),"Y")</f>
        <v>4</v>
      </c>
      <c r="AX76" s="54"/>
      <c r="AY76" s="40" t="s">
        <v>5177</v>
      </c>
      <c r="AZ76" s="44">
        <f t="shared" si="34"/>
        <v>45024</v>
      </c>
      <c r="BA76" s="54" t="str">
        <f t="shared" si="35"/>
        <v>4-2023</v>
      </c>
      <c r="BC76" s="13" t="s">
        <v>1717</v>
      </c>
      <c r="BD76" s="13">
        <f t="shared" si="36"/>
        <v>45233</v>
      </c>
      <c r="BE76" s="45" t="s">
        <v>1625</v>
      </c>
      <c r="BF76" s="54" t="str">
        <f t="shared" ca="1" si="37"/>
        <v>Overdue</v>
      </c>
      <c r="BH76" s="3" t="s">
        <v>302</v>
      </c>
      <c r="BI76" s="51">
        <f t="shared" si="42"/>
        <v>44667</v>
      </c>
      <c r="BJ76" s="38">
        <f t="shared" ca="1" si="43"/>
        <v>1130</v>
      </c>
      <c r="BK76" s="38"/>
      <c r="BL76" s="38" t="str">
        <f t="shared" si="44"/>
        <v>No</v>
      </c>
      <c r="BM76" s="59">
        <f t="shared" si="38"/>
        <v>45024</v>
      </c>
      <c r="BN76" s="51">
        <f t="shared" si="45"/>
        <v>44667</v>
      </c>
      <c r="BO76" s="54">
        <f t="shared" si="39"/>
        <v>357</v>
      </c>
      <c r="BP76" s="3" t="s">
        <v>299</v>
      </c>
      <c r="BQ76" s="3" t="s">
        <v>301</v>
      </c>
      <c r="BR76" s="19" t="s">
        <v>259</v>
      </c>
      <c r="BS76" s="19" t="s">
        <v>2386</v>
      </c>
      <c r="BT76" s="54" t="str">
        <f t="shared" si="40"/>
        <v>Product</v>
      </c>
      <c r="BV76" s="3" t="s">
        <v>299</v>
      </c>
      <c r="BW76" s="3" t="s">
        <v>300</v>
      </c>
      <c r="BX76" s="12" t="s">
        <v>1792</v>
      </c>
      <c r="BY76" s="12" t="s">
        <v>726</v>
      </c>
      <c r="BZ76" s="54" t="str">
        <f t="shared" si="41"/>
        <v>Amlan Biswal</v>
      </c>
      <c r="CB76" s="19" t="s">
        <v>5176</v>
      </c>
      <c r="CC76" s="3" t="s">
        <v>300</v>
      </c>
      <c r="CD76" s="3" t="s">
        <v>134</v>
      </c>
      <c r="CE76" s="54" t="str">
        <v>Not Found</v>
      </c>
      <c r="CG76" s="54" t="str">
        <f>IFERROR(_xlfn.XLOOKUP(Hiring!A76,Hiring!A76:A475,Hiring!B76:B475,,0),"Not Found")</f>
        <v>Aditya Mohapatra</v>
      </c>
    </row>
    <row r="77" spans="2:85">
      <c r="B77" s="100"/>
      <c r="F77" s="4">
        <v>4.4000000000000004</v>
      </c>
      <c r="G77" s="52" t="str" cm="1">
        <f t="array" ref="G77">_xlfn.IFS(F77&gt;=4.5,"Excellent",AND(F77&gt;=3.5,F77&lt;=4.4),"Good",F77&lt;3.5,"Needs Improvement")</f>
        <v>Good</v>
      </c>
      <c r="I77" s="14">
        <v>128.47999999999999</v>
      </c>
      <c r="J77" s="14">
        <v>147.78</v>
      </c>
      <c r="K77" s="54" t="str">
        <f t="shared" si="23"/>
        <v>Over Budget</v>
      </c>
      <c r="M77" s="18"/>
      <c r="N77" s="18">
        <v>141496</v>
      </c>
      <c r="O77" s="54" t="str">
        <f t="shared" si="24"/>
        <v>Yes</v>
      </c>
      <c r="Q77" s="18"/>
      <c r="R77" s="56" t="str">
        <f t="shared" si="25"/>
        <v>No</v>
      </c>
      <c r="W77" s="18" t="s">
        <v>259</v>
      </c>
      <c r="X77" s="54" t="str">
        <f>VLOOKUP(W77,Employees!$A$1:$B$601,2,FALSE)</f>
        <v>Aditya Prusty</v>
      </c>
      <c r="Z77" s="4" t="s">
        <v>303</v>
      </c>
      <c r="AA77" s="54" t="str">
        <f t="shared" si="27"/>
        <v>0076</v>
      </c>
      <c r="AC77" s="4" t="s">
        <v>118</v>
      </c>
      <c r="AD77" s="54" t="str">
        <f t="shared" si="28"/>
        <v>Marketing</v>
      </c>
      <c r="AF77" s="4" t="s">
        <v>20</v>
      </c>
      <c r="AG77" s="4" t="s">
        <v>118</v>
      </c>
      <c r="AH77" s="4" t="s">
        <v>26</v>
      </c>
      <c r="AI77" s="54" t="str">
        <f t="shared" si="29"/>
        <v>Bikash Biswal|Marketing|InfySoft Bhubaneswar</v>
      </c>
      <c r="AK77" s="4" t="s">
        <v>20</v>
      </c>
      <c r="AL77" s="38" t="str">
        <f t="shared" si="30"/>
        <v>B.B.</v>
      </c>
      <c r="AN77" s="18" t="s">
        <v>5060</v>
      </c>
      <c r="AO77" s="54" t="str">
        <f t="shared" si="31"/>
        <v>Naukri</v>
      </c>
      <c r="AQ77" s="4" t="s">
        <v>20</v>
      </c>
      <c r="AR77" s="52" t="str">
        <f t="shared" si="32"/>
        <v>NO</v>
      </c>
      <c r="AT77" s="14" t="s">
        <v>1786</v>
      </c>
      <c r="AU77" s="54">
        <f t="shared" si="33"/>
        <v>15</v>
      </c>
      <c r="AW77" s="54">
        <f ca="1">DATEDIF(BI77,TODAY(),"Y")</f>
        <v>6</v>
      </c>
      <c r="AX77" s="54"/>
      <c r="AY77" s="41" t="s">
        <v>2064</v>
      </c>
      <c r="AZ77" s="44">
        <f t="shared" si="34"/>
        <v>45237</v>
      </c>
      <c r="BA77" s="54" t="str">
        <f t="shared" si="35"/>
        <v>11-2023</v>
      </c>
      <c r="BC77" s="15" t="s">
        <v>1749</v>
      </c>
      <c r="BD77" s="13">
        <f t="shared" si="36"/>
        <v>45079</v>
      </c>
      <c r="BE77" s="46" t="s">
        <v>1625</v>
      </c>
      <c r="BF77" s="54" t="str">
        <f t="shared" ca="1" si="37"/>
        <v>Overdue</v>
      </c>
      <c r="BH77" s="4" t="s">
        <v>304</v>
      </c>
      <c r="BI77" s="51">
        <f t="shared" si="42"/>
        <v>44048</v>
      </c>
      <c r="BJ77" s="38">
        <f t="shared" ca="1" si="43"/>
        <v>1573</v>
      </c>
      <c r="BK77" s="38"/>
      <c r="BL77" s="38" t="str">
        <f t="shared" si="44"/>
        <v>No</v>
      </c>
      <c r="BM77" s="59">
        <f t="shared" si="38"/>
        <v>45237</v>
      </c>
      <c r="BN77" s="51">
        <f t="shared" si="45"/>
        <v>44048</v>
      </c>
      <c r="BO77" s="54">
        <f t="shared" si="39"/>
        <v>1189</v>
      </c>
      <c r="BP77" s="4" t="s">
        <v>303</v>
      </c>
      <c r="BQ77" s="4" t="s">
        <v>118</v>
      </c>
      <c r="BR77" s="18" t="s">
        <v>259</v>
      </c>
      <c r="BS77" s="18" t="s">
        <v>2389</v>
      </c>
      <c r="BT77" s="54" t="str">
        <f t="shared" si="40"/>
        <v>Product</v>
      </c>
      <c r="BV77" s="4" t="s">
        <v>303</v>
      </c>
      <c r="BW77" s="4" t="s">
        <v>20</v>
      </c>
      <c r="BX77" s="14" t="s">
        <v>1786</v>
      </c>
      <c r="BY77" s="14" t="s">
        <v>125</v>
      </c>
      <c r="BZ77" s="54" t="str">
        <f t="shared" si="41"/>
        <v>Sudhansu Mohapatra</v>
      </c>
      <c r="CB77" s="18" t="s">
        <v>5179</v>
      </c>
      <c r="CC77" s="4" t="s">
        <v>20</v>
      </c>
      <c r="CD77" s="4" t="s">
        <v>181</v>
      </c>
      <c r="CE77" s="54" t="str">
        <v>Not Found</v>
      </c>
      <c r="CG77" s="54" t="str">
        <f>IFERROR(_xlfn.XLOOKUP(Hiring!A77,Hiring!A77:A476,Hiring!B77:B476,,0),"Not Found")</f>
        <v>Rajan Mohapatra</v>
      </c>
    </row>
    <row r="78" spans="2:85">
      <c r="B78" s="100"/>
      <c r="F78" s="3">
        <v>3.1</v>
      </c>
      <c r="G78" s="52" t="str" cm="1">
        <f t="array" ref="G78">_xlfn.IFS(F78&gt;=4.5,"Excellent",AND(F78&gt;=3.5,F78&lt;=4.4),"Good",F78&lt;3.5,"Needs Improvement")</f>
        <v>Needs Improvement</v>
      </c>
      <c r="I78" s="12">
        <v>168.48</v>
      </c>
      <c r="J78" s="12">
        <v>139.91999999999999</v>
      </c>
      <c r="K78" s="54" t="str">
        <f t="shared" si="23"/>
        <v>Within Budget</v>
      </c>
      <c r="M78" s="19">
        <v>32631</v>
      </c>
      <c r="N78" s="19">
        <v>35262</v>
      </c>
      <c r="O78" s="54" t="str">
        <f t="shared" si="24"/>
        <v>Yes</v>
      </c>
      <c r="Q78" s="19">
        <v>7.29</v>
      </c>
      <c r="R78" s="56" t="str">
        <f t="shared" si="25"/>
        <v>Yes</v>
      </c>
      <c r="W78" s="19" t="s">
        <v>259</v>
      </c>
      <c r="X78" s="54" t="str">
        <f>VLOOKUP(W78,Employees!$A$1:$B$601,2,FALSE)</f>
        <v>Aditya Prusty</v>
      </c>
      <c r="Z78" s="3" t="s">
        <v>305</v>
      </c>
      <c r="AA78" s="54" t="str">
        <f t="shared" si="27"/>
        <v>0077</v>
      </c>
      <c r="AC78" s="3" t="s">
        <v>51</v>
      </c>
      <c r="AD78" s="54" t="str">
        <f t="shared" si="28"/>
        <v>Sales</v>
      </c>
      <c r="AF78" s="3" t="s">
        <v>306</v>
      </c>
      <c r="AG78" s="3" t="s">
        <v>51</v>
      </c>
      <c r="AH78" s="3" t="s">
        <v>26</v>
      </c>
      <c r="AI78" s="54" t="str">
        <f t="shared" si="29"/>
        <v>Bikash Behura|Sales|InfySoft Bhubaneswar</v>
      </c>
      <c r="AK78" s="3" t="s">
        <v>306</v>
      </c>
      <c r="AL78" s="38" t="str">
        <f t="shared" si="30"/>
        <v>B.B.</v>
      </c>
      <c r="AN78" s="19" t="s">
        <v>5016</v>
      </c>
      <c r="AO78" s="54" t="b">
        <f t="shared" si="31"/>
        <v>0</v>
      </c>
      <c r="AQ78" s="3" t="s">
        <v>306</v>
      </c>
      <c r="AR78" s="52" t="str">
        <f t="shared" si="32"/>
        <v>NO</v>
      </c>
      <c r="AT78" s="12" t="s">
        <v>1693</v>
      </c>
      <c r="AU78" s="54">
        <f t="shared" si="33"/>
        <v>17</v>
      </c>
      <c r="AW78" s="54">
        <f ca="1">DATEDIF(BI78,TODAY(),"Y")</f>
        <v>6</v>
      </c>
      <c r="AX78" s="54"/>
      <c r="AY78" s="40" t="s">
        <v>5181</v>
      </c>
      <c r="AZ78" s="44">
        <f t="shared" si="34"/>
        <v>45090</v>
      </c>
      <c r="BA78" s="54" t="str">
        <f t="shared" si="35"/>
        <v>6-2023</v>
      </c>
      <c r="BC78" s="13" t="s">
        <v>1860</v>
      </c>
      <c r="BD78" s="13">
        <f t="shared" si="36"/>
        <v>45516</v>
      </c>
      <c r="BE78" s="45" t="s">
        <v>1656</v>
      </c>
      <c r="BF78" s="54" t="str">
        <f t="shared" ca="1" si="37"/>
        <v>Overdue</v>
      </c>
      <c r="BH78" s="3" t="s">
        <v>307</v>
      </c>
      <c r="BI78" s="51">
        <f t="shared" si="42"/>
        <v>43916</v>
      </c>
      <c r="BJ78" s="38">
        <f t="shared" ca="1" si="43"/>
        <v>1667</v>
      </c>
      <c r="BK78" s="38"/>
      <c r="BL78" s="38" t="str">
        <f t="shared" si="44"/>
        <v>Q1</v>
      </c>
      <c r="BM78" s="59">
        <f t="shared" si="38"/>
        <v>45090</v>
      </c>
      <c r="BN78" s="51">
        <f t="shared" si="45"/>
        <v>43916</v>
      </c>
      <c r="BO78" s="54">
        <f t="shared" si="39"/>
        <v>1174</v>
      </c>
      <c r="BP78" s="3" t="s">
        <v>305</v>
      </c>
      <c r="BQ78" s="3" t="s">
        <v>51</v>
      </c>
      <c r="BR78" s="19" t="s">
        <v>259</v>
      </c>
      <c r="BS78" s="19" t="s">
        <v>2390</v>
      </c>
      <c r="BT78" s="54" t="str">
        <f t="shared" si="40"/>
        <v>Product</v>
      </c>
      <c r="BV78" s="3" t="s">
        <v>305</v>
      </c>
      <c r="BW78" s="3" t="s">
        <v>306</v>
      </c>
      <c r="BX78" s="12" t="s">
        <v>1693</v>
      </c>
      <c r="BY78" s="12" t="s">
        <v>1177</v>
      </c>
      <c r="BZ78" s="54" t="str">
        <f t="shared" si="41"/>
        <v>Satyajit Mishra</v>
      </c>
      <c r="CB78" s="19" t="s">
        <v>512</v>
      </c>
      <c r="CC78" s="3" t="s">
        <v>306</v>
      </c>
      <c r="CD78" s="3" t="s">
        <v>52</v>
      </c>
      <c r="CE78" s="54" t="str">
        <v>HR Manager</v>
      </c>
      <c r="CG78" s="54" t="str">
        <f>IFERROR(_xlfn.XLOOKUP(Hiring!A78,Hiring!A78:A477,Hiring!B78:B477,,0),"Not Found")</f>
        <v>Lipsa Ratha</v>
      </c>
    </row>
    <row r="79" spans="2:85">
      <c r="B79" s="100"/>
      <c r="F79" s="4">
        <v>4.2</v>
      </c>
      <c r="G79" s="52" t="str" cm="1">
        <f t="array" ref="G79">_xlfn.IFS(F79&gt;=4.5,"Excellent",AND(F79&gt;=3.5,F79&lt;=4.4),"Good",F79&lt;3.5,"Needs Improvement")</f>
        <v>Good</v>
      </c>
      <c r="I79" s="14">
        <v>5.87</v>
      </c>
      <c r="J79" s="14">
        <v>5.22</v>
      </c>
      <c r="K79" s="54" t="str">
        <f t="shared" si="23"/>
        <v>Within Budget</v>
      </c>
      <c r="M79" s="18">
        <v>106409</v>
      </c>
      <c r="N79" s="18">
        <v>110287</v>
      </c>
      <c r="O79" s="54" t="str">
        <f t="shared" si="24"/>
        <v>Yes</v>
      </c>
      <c r="Q79" s="18">
        <v>6.85</v>
      </c>
      <c r="R79" s="56" t="str">
        <f t="shared" si="25"/>
        <v>Yes</v>
      </c>
      <c r="W79" s="18" t="s">
        <v>259</v>
      </c>
      <c r="X79" s="54" t="str">
        <f>VLOOKUP(W79,Employees!$A$1:$B$601,2,FALSE)</f>
        <v>Aditya Prusty</v>
      </c>
      <c r="Z79" s="4" t="s">
        <v>308</v>
      </c>
      <c r="AA79" s="54" t="str">
        <f t="shared" si="27"/>
        <v>0078</v>
      </c>
      <c r="AC79" s="4" t="s">
        <v>39</v>
      </c>
      <c r="AD79" s="54" t="str">
        <f t="shared" si="28"/>
        <v>Engineering</v>
      </c>
      <c r="AF79" s="4" t="s">
        <v>187</v>
      </c>
      <c r="AG79" s="4" t="s">
        <v>39</v>
      </c>
      <c r="AH79" s="4" t="s">
        <v>214</v>
      </c>
      <c r="AI79" s="54" t="str">
        <f t="shared" si="29"/>
        <v>Puspita Nanda|Engineering|ZeroOneSystems</v>
      </c>
      <c r="AK79" s="4" t="s">
        <v>187</v>
      </c>
      <c r="AL79" s="38" t="str">
        <f t="shared" si="30"/>
        <v>P.N.</v>
      </c>
      <c r="AN79" s="18" t="s">
        <v>5031</v>
      </c>
      <c r="AO79" s="54" t="b">
        <f t="shared" si="31"/>
        <v>0</v>
      </c>
      <c r="AQ79" s="4" t="s">
        <v>187</v>
      </c>
      <c r="AR79" s="52" t="str">
        <f t="shared" si="32"/>
        <v>NO</v>
      </c>
      <c r="AT79" s="14" t="s">
        <v>1621</v>
      </c>
      <c r="AU79" s="54">
        <f t="shared" si="33"/>
        <v>24</v>
      </c>
      <c r="AW79" s="54">
        <f ca="1">DATEDIF(BI79,TODAY(),"Y")</f>
        <v>3</v>
      </c>
      <c r="AX79" s="54"/>
      <c r="AY79" s="41" t="s">
        <v>5184</v>
      </c>
      <c r="AZ79" s="44">
        <f t="shared" si="34"/>
        <v>45081</v>
      </c>
      <c r="BA79" s="54" t="str">
        <f t="shared" si="35"/>
        <v>6-2023</v>
      </c>
      <c r="BC79" s="15" t="s">
        <v>1863</v>
      </c>
      <c r="BD79" s="13">
        <f t="shared" si="36"/>
        <v>44794</v>
      </c>
      <c r="BE79" s="46" t="s">
        <v>1656</v>
      </c>
      <c r="BF79" s="54" t="str">
        <f t="shared" ca="1" si="37"/>
        <v>Overdue</v>
      </c>
      <c r="BH79" s="4" t="s">
        <v>309</v>
      </c>
      <c r="BI79" s="51">
        <f t="shared" si="42"/>
        <v>45143</v>
      </c>
      <c r="BJ79" s="38">
        <f t="shared" ca="1" si="43"/>
        <v>790</v>
      </c>
      <c r="BK79" s="38"/>
      <c r="BL79" s="38" t="str">
        <f t="shared" si="44"/>
        <v>No</v>
      </c>
      <c r="BM79" s="59">
        <f t="shared" si="38"/>
        <v>45081</v>
      </c>
      <c r="BN79" s="51">
        <f t="shared" si="45"/>
        <v>45143</v>
      </c>
      <c r="BO79" s="54">
        <f t="shared" si="39"/>
        <v>62</v>
      </c>
      <c r="BP79" s="4" t="s">
        <v>308</v>
      </c>
      <c r="BQ79" s="4" t="s">
        <v>39</v>
      </c>
      <c r="BR79" s="18" t="s">
        <v>259</v>
      </c>
      <c r="BS79" s="18" t="s">
        <v>2392</v>
      </c>
      <c r="BT79" s="54" t="str">
        <f t="shared" si="40"/>
        <v>Product</v>
      </c>
      <c r="BV79" s="4" t="s">
        <v>308</v>
      </c>
      <c r="BW79" s="4" t="s">
        <v>187</v>
      </c>
      <c r="BX79" s="14" t="s">
        <v>1621</v>
      </c>
      <c r="BY79" s="14" t="s">
        <v>1505</v>
      </c>
      <c r="BZ79" s="54" t="str">
        <f t="shared" si="41"/>
        <v>Bikash Senapati</v>
      </c>
      <c r="CB79" s="18" t="s">
        <v>5183</v>
      </c>
      <c r="CC79" s="4" t="s">
        <v>187</v>
      </c>
      <c r="CD79" s="4" t="s">
        <v>79</v>
      </c>
      <c r="CE79" s="54" t="str">
        <v>Not Found</v>
      </c>
      <c r="CG79" s="54" t="str">
        <f>IFERROR(_xlfn.XLOOKUP(Hiring!A79,Hiring!A79:A478,Hiring!B79:B478,,0),"Not Found")</f>
        <v>Subhasree Mishra</v>
      </c>
    </row>
    <row r="80" spans="2:85">
      <c r="B80" s="100"/>
      <c r="F80" s="3">
        <v>3.3</v>
      </c>
      <c r="G80" s="52" t="str" cm="1">
        <f t="array" ref="G80">_xlfn.IFS(F80&gt;=4.5,"Excellent",AND(F80&gt;=3.5,F80&lt;=4.4),"Good",F80&lt;3.5,"Needs Improvement")</f>
        <v>Needs Improvement</v>
      </c>
      <c r="I80" s="12">
        <v>9.57</v>
      </c>
      <c r="J80" s="12">
        <v>8.9499999999999993</v>
      </c>
      <c r="K80" s="54" t="str">
        <f t="shared" si="23"/>
        <v>Within Budget</v>
      </c>
      <c r="M80" s="19">
        <v>164896</v>
      </c>
      <c r="N80" s="19">
        <v>143803</v>
      </c>
      <c r="O80" s="54" t="str">
        <f t="shared" si="24"/>
        <v>Yes</v>
      </c>
      <c r="Q80" s="19">
        <v>6.52</v>
      </c>
      <c r="R80" s="56" t="str">
        <f t="shared" si="25"/>
        <v>Yes</v>
      </c>
      <c r="W80" s="19" t="s">
        <v>259</v>
      </c>
      <c r="X80" s="54" t="str">
        <f>VLOOKUP(W80,Employees!$A$1:$B$601,2,FALSE)</f>
        <v>Aditya Prusty</v>
      </c>
      <c r="Z80" s="3" t="s">
        <v>310</v>
      </c>
      <c r="AA80" s="54" t="str">
        <f t="shared" si="27"/>
        <v>0079</v>
      </c>
      <c r="AC80" s="3" t="s">
        <v>51</v>
      </c>
      <c r="AD80" s="54" t="str">
        <f t="shared" si="28"/>
        <v>Sales</v>
      </c>
      <c r="AF80" s="3" t="s">
        <v>311</v>
      </c>
      <c r="AG80" s="3" t="s">
        <v>51</v>
      </c>
      <c r="AH80" s="3" t="s">
        <v>75</v>
      </c>
      <c r="AI80" s="54" t="str">
        <f t="shared" si="29"/>
        <v>Sudhansu Jena|Sales|KalingaTech Pvt Ltd</v>
      </c>
      <c r="AK80" s="3" t="s">
        <v>311</v>
      </c>
      <c r="AL80" s="38" t="str">
        <f t="shared" si="30"/>
        <v>S.J.</v>
      </c>
      <c r="AN80" s="19" t="s">
        <v>5025</v>
      </c>
      <c r="AO80" s="54" t="b">
        <f t="shared" si="31"/>
        <v>0</v>
      </c>
      <c r="AQ80" s="3" t="s">
        <v>311</v>
      </c>
      <c r="AR80" s="52" t="str">
        <f t="shared" si="32"/>
        <v>NO</v>
      </c>
      <c r="AT80" s="12" t="s">
        <v>1786</v>
      </c>
      <c r="AU80" s="54">
        <f t="shared" si="33"/>
        <v>15</v>
      </c>
      <c r="AW80" s="54">
        <f ca="1">DATEDIF(BI80,TODAY(),"Y")</f>
        <v>5</v>
      </c>
      <c r="AX80" s="54"/>
      <c r="AY80" s="40" t="s">
        <v>585</v>
      </c>
      <c r="AZ80" s="44">
        <f t="shared" si="34"/>
        <v>44995</v>
      </c>
      <c r="BA80" s="54" t="str">
        <f t="shared" si="35"/>
        <v>3-2023</v>
      </c>
      <c r="BC80" s="13" t="s">
        <v>669</v>
      </c>
      <c r="BD80" s="13">
        <f t="shared" si="36"/>
        <v>45394</v>
      </c>
      <c r="BE80" s="45" t="s">
        <v>1656</v>
      </c>
      <c r="BF80" s="54" t="str">
        <f t="shared" ca="1" si="37"/>
        <v>Overdue</v>
      </c>
      <c r="BH80" s="3" t="s">
        <v>312</v>
      </c>
      <c r="BI80" s="51">
        <f t="shared" si="42"/>
        <v>44125</v>
      </c>
      <c r="BJ80" s="38">
        <f t="shared" ca="1" si="43"/>
        <v>1518</v>
      </c>
      <c r="BK80" s="38"/>
      <c r="BL80" s="38" t="str">
        <f t="shared" si="44"/>
        <v>No</v>
      </c>
      <c r="BM80" s="59">
        <f t="shared" si="38"/>
        <v>44995</v>
      </c>
      <c r="BN80" s="51">
        <f t="shared" si="45"/>
        <v>44125</v>
      </c>
      <c r="BO80" s="54">
        <f t="shared" si="39"/>
        <v>870</v>
      </c>
      <c r="BP80" s="3" t="s">
        <v>310</v>
      </c>
      <c r="BQ80" s="3" t="s">
        <v>51</v>
      </c>
      <c r="BR80" s="19" t="s">
        <v>259</v>
      </c>
      <c r="BS80" s="19" t="s">
        <v>2395</v>
      </c>
      <c r="BT80" s="54" t="str">
        <f t="shared" si="40"/>
        <v>Product</v>
      </c>
      <c r="BV80" s="3" t="s">
        <v>310</v>
      </c>
      <c r="BW80" s="3" t="s">
        <v>311</v>
      </c>
      <c r="BX80" s="12" t="s">
        <v>1786</v>
      </c>
      <c r="BY80" s="12" t="s">
        <v>667</v>
      </c>
      <c r="BZ80" s="54" t="str">
        <f t="shared" si="41"/>
        <v>Chinmaya Dhal</v>
      </c>
      <c r="CB80" s="19" t="s">
        <v>5186</v>
      </c>
      <c r="CC80" s="3" t="s">
        <v>311</v>
      </c>
      <c r="CD80" s="3" t="s">
        <v>52</v>
      </c>
      <c r="CE80" s="54" t="str">
        <v>Not Found</v>
      </c>
      <c r="CG80" s="54" t="str">
        <f>IFERROR(_xlfn.XLOOKUP(Hiring!A80,Hiring!A80:A479,Hiring!B80:B479,,0),"Not Found")</f>
        <v>Smita Mishra</v>
      </c>
    </row>
    <row r="81" spans="2:85">
      <c r="B81" s="100"/>
      <c r="F81" s="4">
        <v>2.2000000000000002</v>
      </c>
      <c r="G81" s="52" t="str" cm="1">
        <f t="array" ref="G81">_xlfn.IFS(F81&gt;=4.5,"Excellent",AND(F81&gt;=3.5,F81&lt;=4.4),"Good",F81&lt;3.5,"Needs Improvement")</f>
        <v>Needs Improvement</v>
      </c>
      <c r="I81" s="14">
        <v>143.72999999999999</v>
      </c>
      <c r="J81" s="14">
        <v>182.41</v>
      </c>
      <c r="K81" s="54" t="str">
        <f t="shared" si="23"/>
        <v>Over Budget</v>
      </c>
      <c r="M81" s="18">
        <v>0</v>
      </c>
      <c r="N81" s="18">
        <v>0</v>
      </c>
      <c r="O81" s="54" t="str">
        <f t="shared" si="24"/>
        <v>No</v>
      </c>
      <c r="Q81" s="18">
        <v>8.64</v>
      </c>
      <c r="R81" s="56" t="str">
        <f t="shared" si="25"/>
        <v>Yes</v>
      </c>
      <c r="W81" s="18" t="s">
        <v>259</v>
      </c>
      <c r="X81" s="54" t="str">
        <f>VLOOKUP(W81,Employees!$A$1:$B$601,2,FALSE)</f>
        <v>Aditya Prusty</v>
      </c>
      <c r="Z81" s="4" t="s">
        <v>313</v>
      </c>
      <c r="AA81" s="54" t="str">
        <f t="shared" si="27"/>
        <v>0080</v>
      </c>
      <c r="AC81" s="4" t="s">
        <v>24</v>
      </c>
      <c r="AD81" s="54" t="str">
        <f t="shared" si="28"/>
        <v>Design</v>
      </c>
      <c r="AF81" s="4" t="s">
        <v>314</v>
      </c>
      <c r="AG81" s="4" t="s">
        <v>24</v>
      </c>
      <c r="AH81" s="4" t="s">
        <v>172</v>
      </c>
      <c r="AI81" s="54" t="str">
        <f t="shared" si="29"/>
        <v>Ipsita Dhal|Design|TechNova Solutions</v>
      </c>
      <c r="AK81" s="4" t="s">
        <v>314</v>
      </c>
      <c r="AL81" s="38" t="str">
        <f t="shared" si="30"/>
        <v>I.D.</v>
      </c>
      <c r="AN81" s="18" t="s">
        <v>5025</v>
      </c>
      <c r="AO81" s="54" t="b">
        <f t="shared" si="31"/>
        <v>0</v>
      </c>
      <c r="AQ81" s="4" t="s">
        <v>314</v>
      </c>
      <c r="AR81" s="52" t="str">
        <f t="shared" si="32"/>
        <v>NO</v>
      </c>
      <c r="AT81" s="14" t="s">
        <v>1693</v>
      </c>
      <c r="AU81" s="54">
        <f t="shared" si="33"/>
        <v>17</v>
      </c>
      <c r="AW81" s="54">
        <f ca="1">DATEDIF(BI81,TODAY(),"Y")</f>
        <v>2</v>
      </c>
      <c r="AX81" s="54"/>
      <c r="AY81" s="41" t="s">
        <v>523</v>
      </c>
      <c r="AZ81" s="44">
        <f t="shared" si="34"/>
        <v>45213</v>
      </c>
      <c r="BA81" s="54" t="str">
        <f t="shared" si="35"/>
        <v>10-2023</v>
      </c>
      <c r="BC81" s="15" t="s">
        <v>1867</v>
      </c>
      <c r="BD81" s="13">
        <f t="shared" si="36"/>
        <v>44958</v>
      </c>
      <c r="BE81" s="46" t="s">
        <v>1632</v>
      </c>
      <c r="BF81" s="54" t="str">
        <f t="shared" ca="1" si="37"/>
        <v>Overdue</v>
      </c>
      <c r="BH81" s="4" t="s">
        <v>315</v>
      </c>
      <c r="BI81" s="51">
        <f t="shared" si="42"/>
        <v>45452</v>
      </c>
      <c r="BJ81" s="38">
        <f t="shared" ca="1" si="43"/>
        <v>570</v>
      </c>
      <c r="BK81" s="38"/>
      <c r="BL81" s="38" t="str">
        <f t="shared" si="44"/>
        <v>No</v>
      </c>
      <c r="BM81" s="59">
        <f t="shared" si="38"/>
        <v>45213</v>
      </c>
      <c r="BN81" s="51">
        <f t="shared" si="45"/>
        <v>45452</v>
      </c>
      <c r="BO81" s="54">
        <f t="shared" si="39"/>
        <v>239</v>
      </c>
      <c r="BP81" s="4" t="s">
        <v>313</v>
      </c>
      <c r="BQ81" s="4" t="s">
        <v>24</v>
      </c>
      <c r="BR81" s="18" t="s">
        <v>259</v>
      </c>
      <c r="BS81" s="18" t="s">
        <v>2399</v>
      </c>
      <c r="BT81" s="54" t="str">
        <f t="shared" si="40"/>
        <v>Product</v>
      </c>
      <c r="BV81" s="4" t="s">
        <v>313</v>
      </c>
      <c r="BW81" s="4" t="s">
        <v>314</v>
      </c>
      <c r="BX81" s="14" t="s">
        <v>1693</v>
      </c>
      <c r="BY81" s="14" t="s">
        <v>1338</v>
      </c>
      <c r="BZ81" s="54" t="str">
        <f t="shared" si="41"/>
        <v>Puspita Choudhury</v>
      </c>
      <c r="CB81" s="18" t="s">
        <v>344</v>
      </c>
      <c r="CC81" s="4" t="s">
        <v>314</v>
      </c>
      <c r="CD81" s="4" t="s">
        <v>25</v>
      </c>
      <c r="CE81" s="54" t="str">
        <v>Talent Acquisition</v>
      </c>
      <c r="CG81" s="54" t="str">
        <f>IFERROR(_xlfn.XLOOKUP(Hiring!A81,Hiring!A81:A480,Hiring!B81:B480,,0),"Not Found")</f>
        <v>Namita Pattnaik</v>
      </c>
    </row>
    <row r="82" spans="2:85">
      <c r="B82" s="100"/>
      <c r="F82" s="3">
        <v>3.3</v>
      </c>
      <c r="G82" s="52" t="str" cm="1">
        <f t="array" ref="G82">_xlfn.IFS(F82&gt;=4.5,"Excellent",AND(F82&gt;=3.5,F82&lt;=4.4),"Good",F82&lt;3.5,"Needs Improvement")</f>
        <v>Needs Improvement</v>
      </c>
      <c r="I82" s="12">
        <v>15.28</v>
      </c>
      <c r="J82" s="12">
        <v>18.420000000000002</v>
      </c>
      <c r="K82" s="54" t="str">
        <f t="shared" si="23"/>
        <v>Over Budget</v>
      </c>
      <c r="M82" s="19">
        <v>92021</v>
      </c>
      <c r="N82" s="19">
        <v>97734</v>
      </c>
      <c r="O82" s="54" t="str">
        <f t="shared" si="24"/>
        <v>Yes</v>
      </c>
      <c r="Q82" s="19">
        <v>7.3</v>
      </c>
      <c r="R82" s="56" t="str">
        <f t="shared" si="25"/>
        <v>Yes</v>
      </c>
      <c r="W82" s="19" t="s">
        <v>259</v>
      </c>
      <c r="X82" s="54" t="str">
        <f>VLOOKUP(W82,Employees!$A$1:$B$601,2,FALSE)</f>
        <v>Aditya Prusty</v>
      </c>
      <c r="Z82" s="3" t="s">
        <v>316</v>
      </c>
      <c r="AA82" s="54" t="str">
        <f t="shared" si="27"/>
        <v>0081</v>
      </c>
      <c r="AC82" s="3" t="s">
        <v>89</v>
      </c>
      <c r="AD82" s="54" t="str">
        <f t="shared" si="28"/>
        <v>Data Science</v>
      </c>
      <c r="AF82" s="3" t="s">
        <v>317</v>
      </c>
      <c r="AG82" s="3" t="s">
        <v>89</v>
      </c>
      <c r="AH82" s="3" t="s">
        <v>149</v>
      </c>
      <c r="AI82" s="54" t="str">
        <f t="shared" si="29"/>
        <v>Soumya Behura|Data Science|SilverByte Systems</v>
      </c>
      <c r="AK82" s="3" t="s">
        <v>317</v>
      </c>
      <c r="AL82" s="38" t="str">
        <f t="shared" si="30"/>
        <v>S.B.</v>
      </c>
      <c r="AN82" s="19" t="s">
        <v>5077</v>
      </c>
      <c r="AO82" s="54" t="b">
        <f t="shared" si="31"/>
        <v>0</v>
      </c>
      <c r="AQ82" s="3" t="s">
        <v>317</v>
      </c>
      <c r="AR82" s="52" t="str">
        <f t="shared" si="32"/>
        <v>NO</v>
      </c>
      <c r="AT82" s="12" t="s">
        <v>1705</v>
      </c>
      <c r="AU82" s="54">
        <f t="shared" si="33"/>
        <v>13</v>
      </c>
      <c r="AW82" s="54">
        <f ca="1">DATEDIF(BI82,TODAY(),"Y")</f>
        <v>5</v>
      </c>
      <c r="AX82" s="54"/>
      <c r="AY82" s="40" t="s">
        <v>5174</v>
      </c>
      <c r="AZ82" s="44">
        <f t="shared" si="34"/>
        <v>45621</v>
      </c>
      <c r="BA82" s="54" t="str">
        <f t="shared" si="35"/>
        <v>11-2024</v>
      </c>
      <c r="BC82" s="13" t="s">
        <v>716</v>
      </c>
      <c r="BD82" s="13">
        <f t="shared" si="36"/>
        <v>45230</v>
      </c>
      <c r="BE82" s="45" t="s">
        <v>1632</v>
      </c>
      <c r="BF82" s="54" t="str">
        <f t="shared" ca="1" si="37"/>
        <v>Overdue</v>
      </c>
      <c r="BH82" s="3" t="s">
        <v>318</v>
      </c>
      <c r="BI82" s="51">
        <f t="shared" si="42"/>
        <v>44376</v>
      </c>
      <c r="BJ82" s="38">
        <f t="shared" ca="1" si="43"/>
        <v>1339</v>
      </c>
      <c r="BK82" s="38"/>
      <c r="BL82" s="38" t="str">
        <f t="shared" si="44"/>
        <v>No</v>
      </c>
      <c r="BM82" s="59">
        <f t="shared" si="38"/>
        <v>45621</v>
      </c>
      <c r="BN82" s="51">
        <f t="shared" si="45"/>
        <v>44376</v>
      </c>
      <c r="BO82" s="54">
        <f t="shared" si="39"/>
        <v>1245</v>
      </c>
      <c r="BP82" s="3" t="s">
        <v>316</v>
      </c>
      <c r="BQ82" s="3" t="s">
        <v>89</v>
      </c>
      <c r="BR82" s="19" t="s">
        <v>259</v>
      </c>
      <c r="BS82" s="19" t="s">
        <v>2402</v>
      </c>
      <c r="BT82" s="54" t="str">
        <f t="shared" si="40"/>
        <v>Product</v>
      </c>
      <c r="BV82" s="3" t="s">
        <v>316</v>
      </c>
      <c r="BW82" s="3" t="s">
        <v>317</v>
      </c>
      <c r="BX82" s="12" t="s">
        <v>1705</v>
      </c>
      <c r="BY82" s="12" t="s">
        <v>594</v>
      </c>
      <c r="BZ82" s="54" t="str">
        <f t="shared" si="41"/>
        <v>Abhishek Pattnaik</v>
      </c>
      <c r="CB82" s="19" t="s">
        <v>137</v>
      </c>
      <c r="CC82" s="3" t="s">
        <v>317</v>
      </c>
      <c r="CD82" s="3" t="s">
        <v>90</v>
      </c>
      <c r="CE82" s="54" t="str">
        <v>HR Executive</v>
      </c>
      <c r="CG82" s="54" t="str">
        <f>IFERROR(_xlfn.XLOOKUP(Hiring!A82,Hiring!A82:A481,Hiring!B82:B481,,0),"Not Found")</f>
        <v>Alka Padhi</v>
      </c>
    </row>
    <row r="83" spans="2:85">
      <c r="B83" s="100"/>
      <c r="F83" s="4">
        <v>1.9</v>
      </c>
      <c r="G83" s="52" t="str" cm="1">
        <f t="array" ref="G83">_xlfn.IFS(F83&gt;=4.5,"Excellent",AND(F83&gt;=3.5,F83&lt;=4.4),"Good",F83&lt;3.5,"Needs Improvement")</f>
        <v>Needs Improvement</v>
      </c>
      <c r="I83" s="14">
        <v>10.69</v>
      </c>
      <c r="J83" s="14">
        <v>12.4</v>
      </c>
      <c r="K83" s="54" t="str">
        <f t="shared" si="23"/>
        <v>Over Budget</v>
      </c>
      <c r="M83" s="18">
        <v>166185</v>
      </c>
      <c r="N83" s="18">
        <v>190672</v>
      </c>
      <c r="O83" s="54" t="str">
        <f t="shared" si="24"/>
        <v>Yes</v>
      </c>
      <c r="Q83" s="18">
        <v>9.26</v>
      </c>
      <c r="R83" s="56" t="str">
        <f t="shared" si="25"/>
        <v>Yes</v>
      </c>
      <c r="W83" s="18" t="s">
        <v>259</v>
      </c>
      <c r="X83" s="54" t="str">
        <f>VLOOKUP(W83,Employees!$A$1:$B$601,2,FALSE)</f>
        <v>Aditya Prusty</v>
      </c>
      <c r="Z83" s="4" t="s">
        <v>319</v>
      </c>
      <c r="AA83" s="54" t="str">
        <f t="shared" si="27"/>
        <v>0082</v>
      </c>
      <c r="AC83" s="4" t="s">
        <v>39</v>
      </c>
      <c r="AD83" s="54" t="str">
        <f t="shared" si="28"/>
        <v>Engineering</v>
      </c>
      <c r="AF83" s="4" t="s">
        <v>320</v>
      </c>
      <c r="AG83" s="4" t="s">
        <v>39</v>
      </c>
      <c r="AH83" s="4" t="s">
        <v>26</v>
      </c>
      <c r="AI83" s="54" t="str">
        <f t="shared" si="29"/>
        <v>Rajan Prusty|Engineering|InfySoft Bhubaneswar</v>
      </c>
      <c r="AK83" s="4" t="s">
        <v>320</v>
      </c>
      <c r="AL83" s="38" t="str">
        <f t="shared" si="30"/>
        <v>R.P.</v>
      </c>
      <c r="AN83" s="18" t="s">
        <v>5077</v>
      </c>
      <c r="AO83" s="54" t="b">
        <f t="shared" si="31"/>
        <v>0</v>
      </c>
      <c r="AQ83" s="4" t="s">
        <v>320</v>
      </c>
      <c r="AR83" s="52" t="str">
        <f t="shared" si="32"/>
        <v>NO</v>
      </c>
      <c r="AT83" s="14" t="s">
        <v>1699</v>
      </c>
      <c r="AU83" s="54">
        <f t="shared" si="33"/>
        <v>18</v>
      </c>
      <c r="AW83" s="54">
        <f ca="1">DATEDIF(BI83,TODAY(),"Y")</f>
        <v>5</v>
      </c>
      <c r="AX83" s="54"/>
      <c r="AY83" s="41" t="s">
        <v>5191</v>
      </c>
      <c r="AZ83" s="44">
        <f t="shared" si="34"/>
        <v>45628</v>
      </c>
      <c r="BA83" s="54" t="str">
        <f t="shared" si="35"/>
        <v>12-2024</v>
      </c>
      <c r="BC83" s="15" t="s">
        <v>1872</v>
      </c>
      <c r="BD83" s="13">
        <f t="shared" si="36"/>
        <v>44497</v>
      </c>
      <c r="BE83" s="46" t="s">
        <v>1625</v>
      </c>
      <c r="BF83" s="54" t="str">
        <f t="shared" ca="1" si="37"/>
        <v>Overdue</v>
      </c>
      <c r="BH83" s="4" t="s">
        <v>321</v>
      </c>
      <c r="BI83" s="51">
        <f t="shared" si="42"/>
        <v>44411</v>
      </c>
      <c r="BJ83" s="38">
        <f t="shared" ca="1" si="43"/>
        <v>1314</v>
      </c>
      <c r="BK83" s="38"/>
      <c r="BL83" s="38" t="str">
        <f t="shared" si="44"/>
        <v>No</v>
      </c>
      <c r="BM83" s="59">
        <f t="shared" si="38"/>
        <v>45628</v>
      </c>
      <c r="BN83" s="51">
        <f t="shared" si="45"/>
        <v>44411</v>
      </c>
      <c r="BO83" s="54">
        <f t="shared" si="39"/>
        <v>1217</v>
      </c>
      <c r="BP83" s="4" t="s">
        <v>319</v>
      </c>
      <c r="BQ83" s="4" t="s">
        <v>39</v>
      </c>
      <c r="BR83" s="18" t="s">
        <v>259</v>
      </c>
      <c r="BS83" s="18" t="s">
        <v>2405</v>
      </c>
      <c r="BT83" s="54" t="str">
        <f t="shared" si="40"/>
        <v>Product</v>
      </c>
      <c r="BV83" s="4" t="s">
        <v>319</v>
      </c>
      <c r="BW83" s="4" t="s">
        <v>320</v>
      </c>
      <c r="BX83" s="14" t="s">
        <v>1699</v>
      </c>
      <c r="BY83" s="14" t="s">
        <v>92</v>
      </c>
      <c r="BZ83" s="54" t="str">
        <f t="shared" si="41"/>
        <v>Chinmaya Ratha</v>
      </c>
      <c r="CB83" s="18" t="s">
        <v>5190</v>
      </c>
      <c r="CC83" s="4" t="s">
        <v>320</v>
      </c>
      <c r="CD83" s="4" t="s">
        <v>79</v>
      </c>
      <c r="CE83" s="54" t="str">
        <v>Not Found</v>
      </c>
      <c r="CG83" s="54" t="str">
        <f>IFERROR(_xlfn.XLOOKUP(Hiring!A83,Hiring!A83:A482,Hiring!B83:B482,,0),"Not Found")</f>
        <v>Namita Senapati</v>
      </c>
    </row>
    <row r="84" spans="2:85">
      <c r="B84" s="100"/>
      <c r="F84" s="3">
        <v>3.1</v>
      </c>
      <c r="G84" s="52" t="str" cm="1">
        <f t="array" ref="G84">_xlfn.IFS(F84&gt;=4.5,"Excellent",AND(F84&gt;=3.5,F84&lt;=4.4),"Good",F84&lt;3.5,"Needs Improvement")</f>
        <v>Needs Improvement</v>
      </c>
      <c r="I84" s="12">
        <v>140.44999999999999</v>
      </c>
      <c r="J84" s="12">
        <v>107.36</v>
      </c>
      <c r="K84" s="54" t="str">
        <f t="shared" si="23"/>
        <v>Within Budget</v>
      </c>
      <c r="M84" s="19">
        <v>93867</v>
      </c>
      <c r="N84" s="19">
        <v>93200</v>
      </c>
      <c r="O84" s="54" t="str">
        <f t="shared" si="24"/>
        <v>Yes</v>
      </c>
      <c r="Q84" s="19">
        <v>11.08</v>
      </c>
      <c r="R84" s="56" t="str">
        <f t="shared" si="25"/>
        <v>Yes</v>
      </c>
      <c r="W84" s="19" t="s">
        <v>259</v>
      </c>
      <c r="X84" s="54" t="str">
        <f>VLOOKUP(W84,Employees!$A$1:$B$601,2,FALSE)</f>
        <v>Aditya Prusty</v>
      </c>
      <c r="Z84" s="3" t="s">
        <v>322</v>
      </c>
      <c r="AA84" s="54" t="str">
        <f t="shared" si="27"/>
        <v>0083</v>
      </c>
      <c r="AC84" s="3" t="s">
        <v>133</v>
      </c>
      <c r="AD84" s="54" t="str">
        <f t="shared" si="28"/>
        <v>Qa</v>
      </c>
      <c r="AF84" s="3" t="s">
        <v>323</v>
      </c>
      <c r="AG84" s="3" t="s">
        <v>133</v>
      </c>
      <c r="AH84" s="3" t="s">
        <v>75</v>
      </c>
      <c r="AI84" s="54" t="str">
        <f t="shared" si="29"/>
        <v>Subhasree Senapati|QA|KalingaTech Pvt Ltd</v>
      </c>
      <c r="AK84" s="3" t="s">
        <v>323</v>
      </c>
      <c r="AL84" s="38" t="str">
        <f t="shared" si="30"/>
        <v>S.S.</v>
      </c>
      <c r="AN84" s="19" t="s">
        <v>5060</v>
      </c>
      <c r="AO84" s="54" t="str">
        <f t="shared" si="31"/>
        <v>Naukri</v>
      </c>
      <c r="AQ84" s="3" t="s">
        <v>323</v>
      </c>
      <c r="AR84" s="52" t="str">
        <f t="shared" si="32"/>
        <v>NO</v>
      </c>
      <c r="AT84" s="12" t="s">
        <v>1720</v>
      </c>
      <c r="AU84" s="54">
        <f t="shared" si="33"/>
        <v>10</v>
      </c>
      <c r="AW84" s="54">
        <f ca="1">DATEDIF(BI84,TODAY(),"Y")</f>
        <v>5</v>
      </c>
      <c r="AX84" s="54"/>
      <c r="AY84" s="40" t="s">
        <v>1424</v>
      </c>
      <c r="AZ84" s="44">
        <f t="shared" si="34"/>
        <v>45012</v>
      </c>
      <c r="BA84" s="54" t="str">
        <f t="shared" si="35"/>
        <v>3-2023</v>
      </c>
      <c r="BC84" s="13" t="s">
        <v>1875</v>
      </c>
      <c r="BD84" s="13">
        <f t="shared" si="36"/>
        <v>45266</v>
      </c>
      <c r="BE84" s="45" t="s">
        <v>1638</v>
      </c>
      <c r="BF84" s="54" t="str">
        <f t="shared" ca="1" si="37"/>
        <v>On Track</v>
      </c>
      <c r="BH84" s="3" t="s">
        <v>324</v>
      </c>
      <c r="BI84" s="51">
        <f t="shared" si="42"/>
        <v>44145</v>
      </c>
      <c r="BJ84" s="38">
        <f t="shared" ca="1" si="43"/>
        <v>1504</v>
      </c>
      <c r="BK84" s="38"/>
      <c r="BL84" s="38" t="str">
        <f t="shared" si="44"/>
        <v>No</v>
      </c>
      <c r="BM84" s="59">
        <f t="shared" si="38"/>
        <v>45012</v>
      </c>
      <c r="BN84" s="51">
        <f t="shared" si="45"/>
        <v>44145</v>
      </c>
      <c r="BO84" s="54">
        <f t="shared" si="39"/>
        <v>867</v>
      </c>
      <c r="BP84" s="3" t="s">
        <v>322</v>
      </c>
      <c r="BQ84" s="3" t="s">
        <v>133</v>
      </c>
      <c r="BR84" s="19" t="s">
        <v>259</v>
      </c>
      <c r="BS84" s="19" t="s">
        <v>2407</v>
      </c>
      <c r="BT84" s="54" t="str">
        <f t="shared" si="40"/>
        <v>Product</v>
      </c>
      <c r="BV84" s="3" t="s">
        <v>322</v>
      </c>
      <c r="BW84" s="3" t="s">
        <v>323</v>
      </c>
      <c r="BX84" s="12" t="s">
        <v>1720</v>
      </c>
      <c r="BY84" s="12" t="s">
        <v>746</v>
      </c>
      <c r="BZ84" s="54" t="str">
        <f t="shared" si="41"/>
        <v>Tapas Prusty</v>
      </c>
      <c r="CB84" s="19" t="s">
        <v>613</v>
      </c>
      <c r="CC84" s="3" t="s">
        <v>323</v>
      </c>
      <c r="CD84" s="3" t="s">
        <v>134</v>
      </c>
      <c r="CE84" s="54" t="str">
        <v>Senior Developer</v>
      </c>
      <c r="CG84" s="54" t="str">
        <f>IFERROR(_xlfn.XLOOKUP(Hiring!A84,Hiring!A84:A483,Hiring!B84:B483,,0),"Not Found")</f>
        <v>Ankita Parida</v>
      </c>
    </row>
    <row r="85" spans="2:85">
      <c r="B85" s="100"/>
      <c r="F85" s="4">
        <v>4.3</v>
      </c>
      <c r="G85" s="52" t="str" cm="1">
        <f t="array" ref="G85">_xlfn.IFS(F85&gt;=4.5,"Excellent",AND(F85&gt;=3.5,F85&lt;=4.4),"Good",F85&lt;3.5,"Needs Improvement")</f>
        <v>Good</v>
      </c>
      <c r="I85" s="14">
        <v>99.32</v>
      </c>
      <c r="J85" s="14">
        <v>75.05</v>
      </c>
      <c r="K85" s="54" t="str">
        <f t="shared" si="23"/>
        <v>Within Budget</v>
      </c>
      <c r="M85" s="18">
        <v>67908</v>
      </c>
      <c r="N85" s="18">
        <v>77608</v>
      </c>
      <c r="O85" s="54" t="str">
        <f t="shared" si="24"/>
        <v>Yes</v>
      </c>
      <c r="Q85" s="18"/>
      <c r="R85" s="56" t="str">
        <f t="shared" si="25"/>
        <v>No</v>
      </c>
      <c r="W85" s="18" t="s">
        <v>259</v>
      </c>
      <c r="X85" s="54" t="str">
        <f>VLOOKUP(W85,Employees!$A$1:$B$601,2,FALSE)</f>
        <v>Aditya Prusty</v>
      </c>
      <c r="Z85" s="4" t="s">
        <v>325</v>
      </c>
      <c r="AA85" s="54" t="str">
        <f t="shared" si="27"/>
        <v>0084</v>
      </c>
      <c r="AC85" s="4" t="s">
        <v>39</v>
      </c>
      <c r="AD85" s="54" t="str">
        <f t="shared" si="28"/>
        <v>Engineering</v>
      </c>
      <c r="AF85" s="4" t="s">
        <v>161</v>
      </c>
      <c r="AG85" s="4" t="s">
        <v>39</v>
      </c>
      <c r="AH85" s="4" t="s">
        <v>214</v>
      </c>
      <c r="AI85" s="54" t="str">
        <f t="shared" si="29"/>
        <v>Satyajit Mahapatra|Engineering|ZeroOneSystems</v>
      </c>
      <c r="AK85" s="4" t="s">
        <v>161</v>
      </c>
      <c r="AL85" s="38" t="str">
        <f t="shared" si="30"/>
        <v>S.M.</v>
      </c>
      <c r="AN85" s="18" t="s">
        <v>5077</v>
      </c>
      <c r="AO85" s="54" t="b">
        <f t="shared" si="31"/>
        <v>0</v>
      </c>
      <c r="AQ85" s="4" t="s">
        <v>161</v>
      </c>
      <c r="AR85" s="52" t="str">
        <f t="shared" si="32"/>
        <v>NO</v>
      </c>
      <c r="AT85" s="14" t="s">
        <v>1627</v>
      </c>
      <c r="AU85" s="54">
        <f t="shared" si="33"/>
        <v>11</v>
      </c>
      <c r="AW85" s="54">
        <f ca="1">DATEDIF(BI85,TODAY(),"Y")</f>
        <v>6</v>
      </c>
      <c r="AX85" s="54"/>
      <c r="AY85" s="41" t="s">
        <v>5194</v>
      </c>
      <c r="AZ85" s="44">
        <f t="shared" si="34"/>
        <v>45203</v>
      </c>
      <c r="BA85" s="54" t="str">
        <f t="shared" si="35"/>
        <v>10-2023</v>
      </c>
      <c r="BC85" s="15" t="s">
        <v>1878</v>
      </c>
      <c r="BD85" s="13">
        <f t="shared" si="36"/>
        <v>44757</v>
      </c>
      <c r="BE85" s="46" t="s">
        <v>1638</v>
      </c>
      <c r="BF85" s="54" t="str">
        <f t="shared" ca="1" si="37"/>
        <v>On Track</v>
      </c>
      <c r="BH85" s="4" t="s">
        <v>326</v>
      </c>
      <c r="BI85" s="51">
        <f t="shared" si="42"/>
        <v>43746</v>
      </c>
      <c r="BJ85" s="38">
        <f t="shared" ca="1" si="43"/>
        <v>1789</v>
      </c>
      <c r="BK85" s="38"/>
      <c r="BL85" s="38" t="str">
        <f t="shared" si="44"/>
        <v>No</v>
      </c>
      <c r="BM85" s="59">
        <f t="shared" si="38"/>
        <v>45203</v>
      </c>
      <c r="BN85" s="51">
        <f t="shared" si="45"/>
        <v>43746</v>
      </c>
      <c r="BO85" s="54">
        <f t="shared" si="39"/>
        <v>1457</v>
      </c>
      <c r="BP85" s="4" t="s">
        <v>325</v>
      </c>
      <c r="BQ85" s="4" t="s">
        <v>39</v>
      </c>
      <c r="BR85" s="18" t="s">
        <v>259</v>
      </c>
      <c r="BS85" s="18" t="s">
        <v>2410</v>
      </c>
      <c r="BT85" s="54" t="str">
        <f t="shared" si="40"/>
        <v>Product</v>
      </c>
      <c r="BV85" s="4" t="s">
        <v>325</v>
      </c>
      <c r="BW85" s="4" t="s">
        <v>161</v>
      </c>
      <c r="BX85" s="14" t="s">
        <v>1627</v>
      </c>
      <c r="BY85" s="14" t="s">
        <v>13</v>
      </c>
      <c r="BZ85" s="54" t="str">
        <f t="shared" si="41"/>
        <v>Priyanka Jena</v>
      </c>
      <c r="CB85" s="18" t="s">
        <v>655</v>
      </c>
      <c r="CC85" s="4" t="s">
        <v>161</v>
      </c>
      <c r="CD85" s="4" t="s">
        <v>40</v>
      </c>
      <c r="CE85" s="54" t="str">
        <v>HR Manager</v>
      </c>
      <c r="CG85" s="54" t="str">
        <f>IFERROR(_xlfn.XLOOKUP(Hiring!A85,Hiring!A85:A484,Hiring!B85:B484,,0),"Not Found")</f>
        <v>Ipsita Behura</v>
      </c>
    </row>
    <row r="86" spans="2:85">
      <c r="B86" s="100"/>
      <c r="F86" s="3">
        <v>4.5999999999999996</v>
      </c>
      <c r="G86" s="52" t="str" cm="1">
        <f t="array" ref="G86">_xlfn.IFS(F86&gt;=4.5,"Excellent",AND(F86&gt;=3.5,F86&lt;=4.4),"Good",F86&lt;3.5,"Needs Improvement")</f>
        <v>Excellent</v>
      </c>
      <c r="I86" s="12">
        <v>93.51</v>
      </c>
      <c r="J86" s="12">
        <v>88.77</v>
      </c>
      <c r="K86" s="54" t="str">
        <f t="shared" si="23"/>
        <v>Within Budget</v>
      </c>
      <c r="M86" s="19"/>
      <c r="N86" s="19">
        <v>47895</v>
      </c>
      <c r="O86" s="54" t="str">
        <f t="shared" si="24"/>
        <v>Yes</v>
      </c>
      <c r="Q86" s="19">
        <v>11.4</v>
      </c>
      <c r="R86" s="56" t="str">
        <f t="shared" si="25"/>
        <v>Yes</v>
      </c>
      <c r="W86" s="19" t="s">
        <v>259</v>
      </c>
      <c r="X86" s="54" t="str">
        <f>VLOOKUP(W86,Employees!$A$1:$B$601,2,FALSE)</f>
        <v>Aditya Prusty</v>
      </c>
      <c r="Z86" s="3" t="s">
        <v>327</v>
      </c>
      <c r="AA86" s="54" t="str">
        <f t="shared" si="27"/>
        <v>0085</v>
      </c>
      <c r="AC86" s="3" t="s">
        <v>16</v>
      </c>
      <c r="AD86" s="54" t="str">
        <f t="shared" si="28"/>
        <v>Devops</v>
      </c>
      <c r="AF86" s="3" t="s">
        <v>328</v>
      </c>
      <c r="AG86" s="3" t="s">
        <v>16</v>
      </c>
      <c r="AH86" s="3" t="s">
        <v>114</v>
      </c>
      <c r="AI86" s="54" t="str">
        <f t="shared" si="29"/>
        <v>Prasant Biswal|DevOps|UtkalSoft Technologies</v>
      </c>
      <c r="AK86" s="3" t="s">
        <v>328</v>
      </c>
      <c r="AL86" s="38" t="str">
        <f t="shared" si="30"/>
        <v>P.B.</v>
      </c>
      <c r="AN86" s="19" t="s">
        <v>5016</v>
      </c>
      <c r="AO86" s="54" t="b">
        <f t="shared" si="31"/>
        <v>0</v>
      </c>
      <c r="AQ86" s="3" t="s">
        <v>328</v>
      </c>
      <c r="AR86" s="52" t="str">
        <f t="shared" si="32"/>
        <v>NO</v>
      </c>
      <c r="AT86" s="12" t="s">
        <v>1709</v>
      </c>
      <c r="AU86" s="54">
        <f t="shared" si="33"/>
        <v>18</v>
      </c>
      <c r="AW86" s="54">
        <f ca="1">DATEDIF(BI86,TODAY(),"Y")</f>
        <v>7</v>
      </c>
      <c r="AX86" s="54"/>
      <c r="AY86" s="40" t="s">
        <v>407</v>
      </c>
      <c r="AZ86" s="44">
        <f t="shared" si="34"/>
        <v>44983</v>
      </c>
      <c r="BA86" s="54" t="str">
        <f t="shared" si="35"/>
        <v>2-2023</v>
      </c>
      <c r="BC86" s="13" t="s">
        <v>1881</v>
      </c>
      <c r="BD86" s="13">
        <f t="shared" si="36"/>
        <v>45254</v>
      </c>
      <c r="BE86" s="45" t="s">
        <v>1656</v>
      </c>
      <c r="BF86" s="54" t="str">
        <f t="shared" ca="1" si="37"/>
        <v>Overdue</v>
      </c>
      <c r="BH86" s="3" t="s">
        <v>329</v>
      </c>
      <c r="BI86" s="51">
        <f t="shared" si="42"/>
        <v>43447</v>
      </c>
      <c r="BJ86" s="38">
        <f t="shared" ca="1" si="43"/>
        <v>2002</v>
      </c>
      <c r="BK86" s="38"/>
      <c r="BL86" s="38" t="str">
        <f t="shared" si="44"/>
        <v>No</v>
      </c>
      <c r="BM86" s="59">
        <f t="shared" si="38"/>
        <v>44983</v>
      </c>
      <c r="BN86" s="51">
        <f t="shared" si="45"/>
        <v>43447</v>
      </c>
      <c r="BO86" s="54">
        <f t="shared" si="39"/>
        <v>1536</v>
      </c>
      <c r="BP86" s="3" t="s">
        <v>327</v>
      </c>
      <c r="BQ86" s="3" t="s">
        <v>16</v>
      </c>
      <c r="BR86" s="19" t="s">
        <v>259</v>
      </c>
      <c r="BS86" s="19" t="s">
        <v>2411</v>
      </c>
      <c r="BT86" s="54" t="str">
        <f t="shared" si="40"/>
        <v>Product</v>
      </c>
      <c r="BV86" s="3" t="s">
        <v>327</v>
      </c>
      <c r="BW86" s="3" t="s">
        <v>328</v>
      </c>
      <c r="BX86" s="12" t="s">
        <v>1709</v>
      </c>
      <c r="BY86" s="12" t="s">
        <v>524</v>
      </c>
      <c r="BZ86" s="54" t="str">
        <f t="shared" si="41"/>
        <v>Ranjit Mohapatra</v>
      </c>
      <c r="CB86" s="19" t="s">
        <v>5196</v>
      </c>
      <c r="CC86" s="3" t="s">
        <v>328</v>
      </c>
      <c r="CD86" s="3" t="s">
        <v>123</v>
      </c>
      <c r="CE86" s="54" t="str">
        <v>Not Found</v>
      </c>
      <c r="CG86" s="54" t="str">
        <f>IFERROR(_xlfn.XLOOKUP(Hiring!A86,Hiring!A86:A485,Hiring!B86:B485,,0),"Not Found")</f>
        <v>Bikash Pattnaik</v>
      </c>
    </row>
    <row r="87" spans="2:85">
      <c r="B87" s="100"/>
      <c r="F87" s="4">
        <v>4.4000000000000004</v>
      </c>
      <c r="G87" s="52" t="str" cm="1">
        <f t="array" ref="G87">_xlfn.IFS(F87&gt;=4.5,"Excellent",AND(F87&gt;=3.5,F87&lt;=4.4),"Good",F87&lt;3.5,"Needs Improvement")</f>
        <v>Good</v>
      </c>
      <c r="I87" s="14">
        <v>27.34</v>
      </c>
      <c r="J87" s="14">
        <v>19.34</v>
      </c>
      <c r="K87" s="54" t="str">
        <f t="shared" si="23"/>
        <v>Within Budget</v>
      </c>
      <c r="M87" s="18">
        <v>205760</v>
      </c>
      <c r="N87" s="18">
        <v>193111</v>
      </c>
      <c r="O87" s="54" t="str">
        <f t="shared" si="24"/>
        <v>Yes</v>
      </c>
      <c r="Q87" s="18">
        <v>7.79</v>
      </c>
      <c r="R87" s="56" t="str">
        <f t="shared" si="25"/>
        <v>Yes</v>
      </c>
      <c r="W87" s="18" t="s">
        <v>259</v>
      </c>
      <c r="X87" s="54" t="str">
        <f>VLOOKUP(W87,Employees!$A$1:$B$601,2,FALSE)</f>
        <v>Aditya Prusty</v>
      </c>
      <c r="Z87" s="4" t="s">
        <v>330</v>
      </c>
      <c r="AA87" s="54" t="str">
        <f t="shared" si="27"/>
        <v>0086</v>
      </c>
      <c r="AC87" s="4" t="s">
        <v>24</v>
      </c>
      <c r="AD87" s="54" t="str">
        <f t="shared" si="28"/>
        <v>Design</v>
      </c>
      <c r="AF87" s="4" t="s">
        <v>331</v>
      </c>
      <c r="AG87" s="4" t="s">
        <v>24</v>
      </c>
      <c r="AH87" s="4" t="s">
        <v>32</v>
      </c>
      <c r="AI87" s="54" t="str">
        <f t="shared" si="29"/>
        <v>Tapas Sahoo|Design|NilGiri Digitals</v>
      </c>
      <c r="AK87" s="4" t="s">
        <v>331</v>
      </c>
      <c r="AL87" s="38" t="str">
        <f t="shared" si="30"/>
        <v>T.S.</v>
      </c>
      <c r="AN87" s="18" t="s">
        <v>5016</v>
      </c>
      <c r="AO87" s="54" t="b">
        <f t="shared" si="31"/>
        <v>0</v>
      </c>
      <c r="AQ87" s="4" t="s">
        <v>331</v>
      </c>
      <c r="AR87" s="52" t="str">
        <f t="shared" si="32"/>
        <v>NO</v>
      </c>
      <c r="AT87" s="14" t="s">
        <v>1739</v>
      </c>
      <c r="AU87" s="54">
        <f t="shared" si="33"/>
        <v>10</v>
      </c>
      <c r="AW87" s="54">
        <f ca="1">DATEDIF(BI87,TODAY(),"Y")</f>
        <v>5</v>
      </c>
      <c r="AX87" s="54"/>
      <c r="AY87" s="41" t="s">
        <v>5198</v>
      </c>
      <c r="AZ87" s="44">
        <f t="shared" si="34"/>
        <v>45150</v>
      </c>
      <c r="BA87" s="54" t="str">
        <f t="shared" si="35"/>
        <v>8-2023</v>
      </c>
      <c r="BC87" s="15" t="s">
        <v>1884</v>
      </c>
      <c r="BD87" s="13">
        <f t="shared" si="36"/>
        <v>44472</v>
      </c>
      <c r="BE87" s="46" t="s">
        <v>1625</v>
      </c>
      <c r="BF87" s="54" t="str">
        <f t="shared" ca="1" si="37"/>
        <v>Overdue</v>
      </c>
      <c r="BH87" s="4" t="s">
        <v>332</v>
      </c>
      <c r="BI87" s="51">
        <f t="shared" si="42"/>
        <v>44232</v>
      </c>
      <c r="BJ87" s="38">
        <f t="shared" ca="1" si="43"/>
        <v>1441</v>
      </c>
      <c r="BK87" s="38"/>
      <c r="BL87" s="38" t="str">
        <f t="shared" si="44"/>
        <v>Q1</v>
      </c>
      <c r="BM87" s="59">
        <f t="shared" si="38"/>
        <v>45150</v>
      </c>
      <c r="BN87" s="51">
        <f t="shared" si="45"/>
        <v>44232</v>
      </c>
      <c r="BO87" s="54">
        <f t="shared" si="39"/>
        <v>918</v>
      </c>
      <c r="BP87" s="4" t="s">
        <v>330</v>
      </c>
      <c r="BQ87" s="4" t="s">
        <v>24</v>
      </c>
      <c r="BR87" s="18" t="s">
        <v>259</v>
      </c>
      <c r="BS87" s="18" t="s">
        <v>2412</v>
      </c>
      <c r="BT87" s="54" t="str">
        <f t="shared" si="40"/>
        <v>Product</v>
      </c>
      <c r="BV87" s="4" t="s">
        <v>330</v>
      </c>
      <c r="BW87" s="4" t="s">
        <v>331</v>
      </c>
      <c r="BX87" s="14" t="s">
        <v>1739</v>
      </c>
      <c r="BY87" s="14" t="s">
        <v>1253</v>
      </c>
      <c r="BZ87" s="54" t="str">
        <f t="shared" si="41"/>
        <v>Sangita Mahapatra</v>
      </c>
      <c r="CB87" s="18" t="s">
        <v>1103</v>
      </c>
      <c r="CC87" s="4" t="s">
        <v>331</v>
      </c>
      <c r="CD87" s="4" t="s">
        <v>45</v>
      </c>
      <c r="CE87" s="54" t="str">
        <v>Content Strategist</v>
      </c>
      <c r="CG87" s="54" t="str">
        <f>IFERROR(_xlfn.XLOOKUP(Hiring!A87,Hiring!A87:A486,Hiring!B87:B486,,0),"Not Found")</f>
        <v>Dibya Mohapatra</v>
      </c>
    </row>
    <row r="88" spans="2:85">
      <c r="B88" s="100"/>
      <c r="F88" s="3">
        <v>4.9000000000000004</v>
      </c>
      <c r="G88" s="52" t="str" cm="1">
        <f t="array" ref="G88">_xlfn.IFS(F88&gt;=4.5,"Excellent",AND(F88&gt;=3.5,F88&lt;=4.4),"Good",F88&lt;3.5,"Needs Improvement")</f>
        <v>Excellent</v>
      </c>
      <c r="I88" s="12">
        <v>177.84</v>
      </c>
      <c r="J88" s="12">
        <v>161.83000000000001</v>
      </c>
      <c r="K88" s="54" t="str">
        <f t="shared" si="23"/>
        <v>Within Budget</v>
      </c>
      <c r="M88" s="19">
        <v>136761</v>
      </c>
      <c r="N88" s="19">
        <v>151012</v>
      </c>
      <c r="O88" s="54" t="str">
        <f t="shared" si="24"/>
        <v>Yes</v>
      </c>
      <c r="Q88" s="19">
        <v>10.47</v>
      </c>
      <c r="R88" s="56" t="str">
        <f t="shared" si="25"/>
        <v>Yes</v>
      </c>
      <c r="W88" s="19" t="s">
        <v>1311</v>
      </c>
      <c r="X88" s="54" t="str">
        <f>VLOOKUP(W88,Employees!$A$1:$B$601,2,FALSE)</f>
        <v>Namita Padhi</v>
      </c>
      <c r="Z88" s="3" t="s">
        <v>333</v>
      </c>
      <c r="AA88" s="54" t="str">
        <f t="shared" si="27"/>
        <v>0087</v>
      </c>
      <c r="AC88" s="3" t="s">
        <v>16</v>
      </c>
      <c r="AD88" s="54" t="str">
        <f t="shared" si="28"/>
        <v>Devops</v>
      </c>
      <c r="AF88" s="3" t="s">
        <v>334</v>
      </c>
      <c r="AG88" s="3" t="s">
        <v>16</v>
      </c>
      <c r="AH88" s="3" t="s">
        <v>26</v>
      </c>
      <c r="AI88" s="54" t="str">
        <f t="shared" si="29"/>
        <v>Ipsita Ratha|DevOps|InfySoft Bhubaneswar</v>
      </c>
      <c r="AK88" s="3" t="s">
        <v>334</v>
      </c>
      <c r="AL88" s="38" t="str">
        <f t="shared" si="30"/>
        <v>I.R.</v>
      </c>
      <c r="AN88" s="19" t="s">
        <v>5023</v>
      </c>
      <c r="AO88" s="54" t="str">
        <f t="shared" si="31"/>
        <v>Linkedln</v>
      </c>
      <c r="AQ88" s="3" t="s">
        <v>334</v>
      </c>
      <c r="AR88" s="52" t="str">
        <f t="shared" si="32"/>
        <v>NO</v>
      </c>
      <c r="AT88" s="12" t="s">
        <v>1653</v>
      </c>
      <c r="AU88" s="54">
        <f t="shared" si="33"/>
        <v>19</v>
      </c>
      <c r="AW88" s="54">
        <f ca="1">DATEDIF(BI88,TODAY(),"Y")</f>
        <v>5</v>
      </c>
      <c r="AX88" s="54"/>
      <c r="AY88" s="40" t="s">
        <v>5081</v>
      </c>
      <c r="AZ88" s="44">
        <f t="shared" si="34"/>
        <v>45190</v>
      </c>
      <c r="BA88" s="54" t="str">
        <f t="shared" si="35"/>
        <v>9-2023</v>
      </c>
      <c r="BC88" s="13" t="s">
        <v>1887</v>
      </c>
      <c r="BD88" s="13">
        <f t="shared" si="36"/>
        <v>45658</v>
      </c>
      <c r="BE88" s="45" t="s">
        <v>1614</v>
      </c>
      <c r="BF88" s="54" t="str">
        <f t="shared" ca="1" si="37"/>
        <v>Overdue</v>
      </c>
      <c r="BH88" s="3" t="s">
        <v>336</v>
      </c>
      <c r="BI88" s="51">
        <f t="shared" si="42"/>
        <v>44342</v>
      </c>
      <c r="BJ88" s="38">
        <f t="shared" ca="1" si="43"/>
        <v>1363</v>
      </c>
      <c r="BK88" s="38"/>
      <c r="BL88" s="38" t="str">
        <f t="shared" si="44"/>
        <v>No</v>
      </c>
      <c r="BM88" s="59">
        <f t="shared" si="38"/>
        <v>45190</v>
      </c>
      <c r="BN88" s="51">
        <f t="shared" si="45"/>
        <v>44342</v>
      </c>
      <c r="BO88" s="54">
        <f t="shared" si="39"/>
        <v>848</v>
      </c>
      <c r="BP88" s="3" t="s">
        <v>333</v>
      </c>
      <c r="BQ88" s="3" t="s">
        <v>16</v>
      </c>
      <c r="BR88" s="19" t="s">
        <v>1311</v>
      </c>
      <c r="BS88" s="19" t="s">
        <v>2415</v>
      </c>
      <c r="BT88" s="54" t="str">
        <f t="shared" si="40"/>
        <v>Product</v>
      </c>
      <c r="BV88" s="3" t="s">
        <v>333</v>
      </c>
      <c r="BW88" s="3" t="s">
        <v>334</v>
      </c>
      <c r="BX88" s="12" t="s">
        <v>1653</v>
      </c>
      <c r="BY88" s="12" t="s">
        <v>638</v>
      </c>
      <c r="BZ88" s="54" t="str">
        <f t="shared" si="41"/>
        <v>Barsha Choudhury</v>
      </c>
      <c r="CB88" s="19" t="s">
        <v>826</v>
      </c>
      <c r="CC88" s="3" t="s">
        <v>334</v>
      </c>
      <c r="CD88" s="3" t="s">
        <v>335</v>
      </c>
      <c r="CE88" s="54" t="str">
        <v>Sales Manager</v>
      </c>
      <c r="CG88" s="54" t="str">
        <f>IFERROR(_xlfn.XLOOKUP(Hiring!A88,Hiring!A88:A487,Hiring!B88:B487,,0),"Not Found")</f>
        <v>Soumya Jena</v>
      </c>
    </row>
    <row r="89" spans="2:85">
      <c r="B89" s="100"/>
      <c r="F89" s="4">
        <v>1.9</v>
      </c>
      <c r="G89" s="52" t="str" cm="1">
        <f t="array" ref="G89">_xlfn.IFS(F89&gt;=4.5,"Excellent",AND(F89&gt;=3.5,F89&lt;=4.4),"Good",F89&lt;3.5,"Needs Improvement")</f>
        <v>Needs Improvement</v>
      </c>
      <c r="I89" s="14">
        <v>66.91</v>
      </c>
      <c r="J89" s="14">
        <v>64.67</v>
      </c>
      <c r="K89" s="54" t="str">
        <f t="shared" si="23"/>
        <v>Within Budget</v>
      </c>
      <c r="M89" s="18">
        <v>152306</v>
      </c>
      <c r="N89" s="18">
        <v>155732</v>
      </c>
      <c r="O89" s="54" t="str">
        <f t="shared" si="24"/>
        <v>Yes</v>
      </c>
      <c r="Q89" s="18">
        <v>10.83</v>
      </c>
      <c r="R89" s="56" t="str">
        <f t="shared" si="25"/>
        <v>Yes</v>
      </c>
      <c r="W89" s="18" t="s">
        <v>1311</v>
      </c>
      <c r="X89" s="54" t="str">
        <f>VLOOKUP(W89,Employees!$A$1:$B$601,2,FALSE)</f>
        <v>Namita Padhi</v>
      </c>
      <c r="Z89" s="4" t="s">
        <v>337</v>
      </c>
      <c r="AA89" s="54" t="str">
        <f t="shared" si="27"/>
        <v>0088</v>
      </c>
      <c r="AC89" s="4" t="s">
        <v>63</v>
      </c>
      <c r="AD89" s="54" t="str">
        <f t="shared" si="28"/>
        <v>Product</v>
      </c>
      <c r="AF89" s="4" t="s">
        <v>338</v>
      </c>
      <c r="AG89" s="4" t="s">
        <v>63</v>
      </c>
      <c r="AH89" s="4" t="s">
        <v>172</v>
      </c>
      <c r="AI89" s="54" t="str">
        <f t="shared" si="29"/>
        <v>Ankita Ratha|Product|TechNova Solutions</v>
      </c>
      <c r="AK89" s="4" t="s">
        <v>338</v>
      </c>
      <c r="AL89" s="38" t="str">
        <f t="shared" si="30"/>
        <v>A.R.</v>
      </c>
      <c r="AN89" s="18" t="s">
        <v>5060</v>
      </c>
      <c r="AO89" s="54" t="str">
        <f t="shared" si="31"/>
        <v>Naukri</v>
      </c>
      <c r="AQ89" s="4" t="s">
        <v>338</v>
      </c>
      <c r="AR89" s="52" t="str">
        <f t="shared" si="32"/>
        <v>NO</v>
      </c>
      <c r="AT89" s="14" t="s">
        <v>1653</v>
      </c>
      <c r="AU89" s="54">
        <f t="shared" si="33"/>
        <v>19</v>
      </c>
      <c r="AW89" s="54">
        <f ca="1">DATEDIF(BI89,TODAY(),"Y")</f>
        <v>4</v>
      </c>
      <c r="AX89" s="54"/>
      <c r="AY89" s="41" t="s">
        <v>5181</v>
      </c>
      <c r="AZ89" s="44">
        <f t="shared" si="34"/>
        <v>45090</v>
      </c>
      <c r="BA89" s="54" t="str">
        <f t="shared" si="35"/>
        <v>6-2023</v>
      </c>
      <c r="BC89" s="15" t="s">
        <v>1889</v>
      </c>
      <c r="BD89" s="13">
        <f t="shared" si="36"/>
        <v>45309</v>
      </c>
      <c r="BE89" s="46" t="s">
        <v>1625</v>
      </c>
      <c r="BF89" s="54" t="str">
        <f t="shared" ca="1" si="37"/>
        <v>Overdue</v>
      </c>
      <c r="BH89" s="4" t="s">
        <v>339</v>
      </c>
      <c r="BI89" s="51">
        <f t="shared" si="42"/>
        <v>44520</v>
      </c>
      <c r="BJ89" s="38">
        <f t="shared" ca="1" si="43"/>
        <v>1235</v>
      </c>
      <c r="BK89" s="38"/>
      <c r="BL89" s="38" t="str">
        <f t="shared" si="44"/>
        <v>No</v>
      </c>
      <c r="BM89" s="59">
        <f t="shared" si="38"/>
        <v>45090</v>
      </c>
      <c r="BN89" s="51">
        <f t="shared" si="45"/>
        <v>44520</v>
      </c>
      <c r="BO89" s="54">
        <f t="shared" si="39"/>
        <v>570</v>
      </c>
      <c r="BP89" s="4" t="s">
        <v>337</v>
      </c>
      <c r="BQ89" s="4" t="s">
        <v>63</v>
      </c>
      <c r="BR89" s="18" t="s">
        <v>1311</v>
      </c>
      <c r="BS89" s="18" t="s">
        <v>2418</v>
      </c>
      <c r="BT89" s="54" t="str">
        <f t="shared" si="40"/>
        <v>Product</v>
      </c>
      <c r="BV89" s="4" t="s">
        <v>337</v>
      </c>
      <c r="BW89" s="4" t="s">
        <v>338</v>
      </c>
      <c r="BX89" s="14" t="s">
        <v>1653</v>
      </c>
      <c r="BY89" s="14" t="s">
        <v>1388</v>
      </c>
      <c r="BZ89" s="54" t="str">
        <f t="shared" si="41"/>
        <v>Ankita Jena</v>
      </c>
      <c r="CB89" s="18" t="s">
        <v>5201</v>
      </c>
      <c r="CC89" s="4" t="s">
        <v>338</v>
      </c>
      <c r="CD89" s="4" t="s">
        <v>225</v>
      </c>
      <c r="CE89" s="54" t="str">
        <v>Not Found</v>
      </c>
      <c r="CG89" s="54" t="str">
        <f>IFERROR(_xlfn.XLOOKUP(Hiring!A89,Hiring!A89:A488,Hiring!B89:B488,,0),"Not Found")</f>
        <v>Nirmal Nanda</v>
      </c>
    </row>
    <row r="90" spans="2:85">
      <c r="B90" s="100"/>
      <c r="F90" s="3">
        <v>1.7</v>
      </c>
      <c r="G90" s="52" t="str" cm="1">
        <f t="array" ref="G90">_xlfn.IFS(F90&gt;=4.5,"Excellent",AND(F90&gt;=3.5,F90&lt;=4.4),"Good",F90&lt;3.5,"Needs Improvement")</f>
        <v>Needs Improvement</v>
      </c>
      <c r="I90" s="12">
        <v>22.25</v>
      </c>
      <c r="J90" s="12">
        <v>23.94</v>
      </c>
      <c r="K90" s="54" t="str">
        <f t="shared" si="23"/>
        <v>Over Budget</v>
      </c>
      <c r="M90" s="19"/>
      <c r="N90" s="19">
        <v>144744</v>
      </c>
      <c r="O90" s="54" t="str">
        <f t="shared" si="24"/>
        <v>Yes</v>
      </c>
      <c r="Q90" s="19">
        <v>8.83</v>
      </c>
      <c r="R90" s="56" t="str">
        <f t="shared" si="25"/>
        <v>Yes</v>
      </c>
      <c r="W90" s="19" t="s">
        <v>1311</v>
      </c>
      <c r="X90" s="54" t="str">
        <f>VLOOKUP(W90,Employees!$A$1:$B$601,2,FALSE)</f>
        <v>Namita Padhi</v>
      </c>
      <c r="Z90" s="3" t="s">
        <v>340</v>
      </c>
      <c r="AA90" s="54" t="str">
        <f t="shared" si="27"/>
        <v>0089</v>
      </c>
      <c r="AC90" s="3" t="s">
        <v>89</v>
      </c>
      <c r="AD90" s="54" t="str">
        <f t="shared" si="28"/>
        <v>Data Science</v>
      </c>
      <c r="AF90" s="3" t="s">
        <v>341</v>
      </c>
      <c r="AG90" s="3" t="s">
        <v>89</v>
      </c>
      <c r="AH90" s="3" t="s">
        <v>32</v>
      </c>
      <c r="AI90" s="54" t="str">
        <f t="shared" si="29"/>
        <v>Jyotirmayee Sahoo|Data Science|NilGiri Digitals</v>
      </c>
      <c r="AK90" s="3" t="s">
        <v>341</v>
      </c>
      <c r="AL90" s="38" t="str">
        <f t="shared" si="30"/>
        <v>J.S.</v>
      </c>
      <c r="AN90" s="19" t="s">
        <v>5016</v>
      </c>
      <c r="AO90" s="54" t="b">
        <f t="shared" si="31"/>
        <v>0</v>
      </c>
      <c r="AQ90" s="3" t="s">
        <v>341</v>
      </c>
      <c r="AR90" s="52" t="str">
        <f t="shared" si="32"/>
        <v>NO</v>
      </c>
      <c r="AT90" s="12" t="s">
        <v>1699</v>
      </c>
      <c r="AU90" s="54">
        <f t="shared" si="33"/>
        <v>18</v>
      </c>
      <c r="AW90" s="54">
        <f ca="1">DATEDIF(BI90,TODAY(),"Y")</f>
        <v>2</v>
      </c>
      <c r="AX90" s="54"/>
      <c r="AY90" s="40" t="s">
        <v>5203</v>
      </c>
      <c r="AZ90" s="44">
        <f t="shared" si="34"/>
        <v>45051</v>
      </c>
      <c r="BA90" s="54" t="str">
        <f t="shared" si="35"/>
        <v>5-2023</v>
      </c>
      <c r="BC90" s="13" t="s">
        <v>1892</v>
      </c>
      <c r="BD90" s="13">
        <f t="shared" si="36"/>
        <v>45064</v>
      </c>
      <c r="BE90" s="45" t="s">
        <v>1632</v>
      </c>
      <c r="BF90" s="54" t="str">
        <f t="shared" ca="1" si="37"/>
        <v>Overdue</v>
      </c>
      <c r="BH90" s="3" t="s">
        <v>342</v>
      </c>
      <c r="BI90" s="51">
        <f t="shared" si="42"/>
        <v>45163</v>
      </c>
      <c r="BJ90" s="38">
        <f t="shared" ca="1" si="43"/>
        <v>776</v>
      </c>
      <c r="BK90" s="38"/>
      <c r="BL90" s="38" t="str">
        <f t="shared" si="44"/>
        <v>No</v>
      </c>
      <c r="BM90" s="59">
        <f t="shared" si="38"/>
        <v>45051</v>
      </c>
      <c r="BN90" s="51">
        <f t="shared" si="45"/>
        <v>45163</v>
      </c>
      <c r="BO90" s="54">
        <f t="shared" si="39"/>
        <v>112</v>
      </c>
      <c r="BP90" s="3" t="s">
        <v>340</v>
      </c>
      <c r="BQ90" s="3" t="s">
        <v>89</v>
      </c>
      <c r="BR90" s="19" t="s">
        <v>1311</v>
      </c>
      <c r="BS90" s="19" t="s">
        <v>2421</v>
      </c>
      <c r="BT90" s="54" t="str">
        <f t="shared" si="40"/>
        <v>Product</v>
      </c>
      <c r="BV90" s="3" t="s">
        <v>340</v>
      </c>
      <c r="BW90" s="3" t="s">
        <v>341</v>
      </c>
      <c r="BX90" s="12" t="s">
        <v>1699</v>
      </c>
      <c r="BY90" s="12" t="s">
        <v>795</v>
      </c>
      <c r="BZ90" s="54" t="str">
        <f t="shared" si="41"/>
        <v>Namita Prusty</v>
      </c>
      <c r="CB90" s="19" t="s">
        <v>702</v>
      </c>
      <c r="CC90" s="3" t="s">
        <v>341</v>
      </c>
      <c r="CD90" s="3" t="s">
        <v>113</v>
      </c>
      <c r="CE90" s="54" t="str">
        <v>DevOps Engineer</v>
      </c>
      <c r="CG90" s="54" t="str">
        <f>IFERROR(_xlfn.XLOOKUP(Hiring!A90,Hiring!A90:A489,Hiring!B90:B489,,0),"Not Found")</f>
        <v>Sangita Samal</v>
      </c>
    </row>
    <row r="91" spans="2:85">
      <c r="B91" s="100"/>
      <c r="F91" s="4">
        <v>2.5</v>
      </c>
      <c r="G91" s="52" t="str" cm="1">
        <f t="array" ref="G91">_xlfn.IFS(F91&gt;=4.5,"Excellent",AND(F91&gt;=3.5,F91&lt;=4.4),"Good",F91&lt;3.5,"Needs Improvement")</f>
        <v>Needs Improvement</v>
      </c>
      <c r="I91" s="14">
        <v>146.28</v>
      </c>
      <c r="J91" s="14">
        <v>179.79</v>
      </c>
      <c r="K91" s="54" t="str">
        <f t="shared" si="23"/>
        <v>Over Budget</v>
      </c>
      <c r="M91" s="18">
        <v>175386</v>
      </c>
      <c r="N91" s="18">
        <v>188620</v>
      </c>
      <c r="O91" s="54" t="str">
        <f t="shared" si="24"/>
        <v>Yes</v>
      </c>
      <c r="Q91" s="18">
        <v>8.98</v>
      </c>
      <c r="R91" s="56" t="str">
        <f t="shared" si="25"/>
        <v>Yes</v>
      </c>
      <c r="W91" s="18" t="s">
        <v>1311</v>
      </c>
      <c r="X91" s="54" t="str">
        <f>VLOOKUP(W91,Employees!$A$1:$B$601,2,FALSE)</f>
        <v>Namita Padhi</v>
      </c>
      <c r="Z91" s="4" t="s">
        <v>343</v>
      </c>
      <c r="AA91" s="54" t="str">
        <f t="shared" si="27"/>
        <v>0090</v>
      </c>
      <c r="AC91" s="4" t="s">
        <v>84</v>
      </c>
      <c r="AD91" s="54" t="str">
        <f t="shared" si="28"/>
        <v>Hr</v>
      </c>
      <c r="AF91" s="4" t="s">
        <v>344</v>
      </c>
      <c r="AG91" s="4" t="s">
        <v>84</v>
      </c>
      <c r="AH91" s="4" t="s">
        <v>18</v>
      </c>
      <c r="AI91" s="54" t="str">
        <f t="shared" si="29"/>
        <v>Namita Pattnaik|HR|CoastalDev Studio</v>
      </c>
      <c r="AK91" s="4" t="s">
        <v>344</v>
      </c>
      <c r="AL91" s="38" t="str">
        <f t="shared" si="30"/>
        <v>N.P.</v>
      </c>
      <c r="AN91" s="18" t="s">
        <v>5023</v>
      </c>
      <c r="AO91" s="54" t="str">
        <f t="shared" si="31"/>
        <v>Linkedln</v>
      </c>
      <c r="AQ91" s="4" t="s">
        <v>344</v>
      </c>
      <c r="AR91" s="52" t="str">
        <f t="shared" si="32"/>
        <v>NO</v>
      </c>
      <c r="AT91" s="14" t="s">
        <v>1663</v>
      </c>
      <c r="AU91" s="54">
        <f t="shared" si="33"/>
        <v>18</v>
      </c>
      <c r="AW91" s="54">
        <f ca="1">DATEDIF(BI91,TODAY(),"Y")</f>
        <v>7</v>
      </c>
      <c r="AX91" s="54"/>
      <c r="AY91" s="41" t="s">
        <v>5205</v>
      </c>
      <c r="AZ91" s="44">
        <f t="shared" si="34"/>
        <v>44957</v>
      </c>
      <c r="BA91" s="54" t="str">
        <f t="shared" si="35"/>
        <v>1-2023</v>
      </c>
      <c r="BC91" s="15" t="s">
        <v>1894</v>
      </c>
      <c r="BD91" s="13">
        <f t="shared" si="36"/>
        <v>45010</v>
      </c>
      <c r="BE91" s="46" t="s">
        <v>1614</v>
      </c>
      <c r="BF91" s="54" t="str">
        <f t="shared" ca="1" si="37"/>
        <v>Overdue</v>
      </c>
      <c r="BH91" s="4" t="s">
        <v>345</v>
      </c>
      <c r="BI91" s="51">
        <f t="shared" si="42"/>
        <v>43501</v>
      </c>
      <c r="BJ91" s="38">
        <f t="shared" ca="1" si="43"/>
        <v>1964</v>
      </c>
      <c r="BK91" s="38"/>
      <c r="BL91" s="38" t="str">
        <f t="shared" si="44"/>
        <v>Q1</v>
      </c>
      <c r="BM91" s="59">
        <f t="shared" si="38"/>
        <v>44957</v>
      </c>
      <c r="BN91" s="51">
        <f t="shared" si="45"/>
        <v>43501</v>
      </c>
      <c r="BO91" s="54">
        <f t="shared" si="39"/>
        <v>1456</v>
      </c>
      <c r="BP91" s="4" t="s">
        <v>343</v>
      </c>
      <c r="BQ91" s="4" t="s">
        <v>84</v>
      </c>
      <c r="BR91" s="18" t="s">
        <v>1311</v>
      </c>
      <c r="BS91" s="18" t="s">
        <v>2422</v>
      </c>
      <c r="BT91" s="54" t="str">
        <f t="shared" si="40"/>
        <v>Product</v>
      </c>
      <c r="BV91" s="4" t="s">
        <v>343</v>
      </c>
      <c r="BW91" s="4" t="s">
        <v>344</v>
      </c>
      <c r="BX91" s="14" t="s">
        <v>1663</v>
      </c>
      <c r="BY91" s="14" t="s">
        <v>1050</v>
      </c>
      <c r="BZ91" s="54" t="str">
        <f t="shared" si="41"/>
        <v>Sangita Sahu</v>
      </c>
      <c r="CB91" s="18" t="s">
        <v>5176</v>
      </c>
      <c r="CC91" s="4" t="s">
        <v>344</v>
      </c>
      <c r="CD91" s="4" t="s">
        <v>85</v>
      </c>
      <c r="CE91" s="54" t="str">
        <v>Not Found</v>
      </c>
      <c r="CG91" s="54" t="str">
        <f>IFERROR(_xlfn.XLOOKUP(Hiring!A91,Hiring!A91:A490,Hiring!B91:B490,,0),"Not Found")</f>
        <v>Aditya Mohapatra</v>
      </c>
    </row>
    <row r="92" spans="2:85">
      <c r="B92" s="100"/>
      <c r="F92" s="3">
        <v>4</v>
      </c>
      <c r="G92" s="52" t="str" cm="1">
        <f t="array" ref="G92">_xlfn.IFS(F92&gt;=4.5,"Excellent",AND(F92&gt;=3.5,F92&lt;=4.4),"Good",F92&lt;3.5,"Needs Improvement")</f>
        <v>Good</v>
      </c>
      <c r="I92" s="12">
        <v>147.04</v>
      </c>
      <c r="J92" s="12">
        <v>158.61000000000001</v>
      </c>
      <c r="K92" s="54" t="str">
        <f t="shared" si="23"/>
        <v>Over Budget</v>
      </c>
      <c r="M92" s="19">
        <v>107800</v>
      </c>
      <c r="N92" s="19">
        <v>95485</v>
      </c>
      <c r="O92" s="54" t="str">
        <f t="shared" si="24"/>
        <v>Yes</v>
      </c>
      <c r="Q92" s="19">
        <v>10.050000000000001</v>
      </c>
      <c r="R92" s="56" t="str">
        <f t="shared" si="25"/>
        <v>Yes</v>
      </c>
      <c r="W92" s="19" t="s">
        <v>1311</v>
      </c>
      <c r="X92" s="54" t="str">
        <f>VLOOKUP(W92,Employees!$A$1:$B$601,2,FALSE)</f>
        <v>Namita Padhi</v>
      </c>
      <c r="Z92" s="3" t="s">
        <v>346</v>
      </c>
      <c r="AA92" s="54" t="str">
        <f t="shared" si="27"/>
        <v>0091</v>
      </c>
      <c r="AC92" s="3" t="s">
        <v>51</v>
      </c>
      <c r="AD92" s="54" t="str">
        <f t="shared" si="28"/>
        <v>Sales</v>
      </c>
      <c r="AF92" s="3" t="s">
        <v>184</v>
      </c>
      <c r="AG92" s="3" t="s">
        <v>51</v>
      </c>
      <c r="AH92" s="3" t="s">
        <v>214</v>
      </c>
      <c r="AI92" s="54" t="str">
        <f t="shared" si="29"/>
        <v>Alka Nanda|Sales|ZeroOneSystems</v>
      </c>
      <c r="AK92" s="3" t="s">
        <v>184</v>
      </c>
      <c r="AL92" s="38" t="str">
        <f t="shared" si="30"/>
        <v>A.N.</v>
      </c>
      <c r="AN92" s="19" t="s">
        <v>5025</v>
      </c>
      <c r="AO92" s="54" t="b">
        <f t="shared" si="31"/>
        <v>0</v>
      </c>
      <c r="AQ92" s="3" t="s">
        <v>184</v>
      </c>
      <c r="AR92" s="52" t="str">
        <f t="shared" si="32"/>
        <v>NO</v>
      </c>
      <c r="AT92" s="12" t="s">
        <v>1709</v>
      </c>
      <c r="AU92" s="54">
        <f t="shared" si="33"/>
        <v>18</v>
      </c>
      <c r="AW92" s="54">
        <f ca="1">DATEDIF(BI92,TODAY(),"Y")</f>
        <v>5</v>
      </c>
      <c r="AX92" s="54"/>
      <c r="AY92" s="40" t="s">
        <v>5026</v>
      </c>
      <c r="AZ92" s="44">
        <f t="shared" si="34"/>
        <v>45271</v>
      </c>
      <c r="BA92" s="54" t="str">
        <f t="shared" si="35"/>
        <v>12-2023</v>
      </c>
      <c r="BC92" s="13" t="s">
        <v>602</v>
      </c>
      <c r="BD92" s="13">
        <f t="shared" si="36"/>
        <v>44784</v>
      </c>
      <c r="BE92" s="45" t="s">
        <v>1632</v>
      </c>
      <c r="BF92" s="54" t="str">
        <f t="shared" ca="1" si="37"/>
        <v>Overdue</v>
      </c>
      <c r="BH92" s="3" t="s">
        <v>347</v>
      </c>
      <c r="BI92" s="51">
        <f t="shared" si="42"/>
        <v>44283</v>
      </c>
      <c r="BJ92" s="38">
        <f t="shared" ca="1" si="43"/>
        <v>1405</v>
      </c>
      <c r="BK92" s="38"/>
      <c r="BL92" s="38" t="str">
        <f t="shared" si="44"/>
        <v>Q1</v>
      </c>
      <c r="BM92" s="59">
        <f t="shared" si="38"/>
        <v>45271</v>
      </c>
      <c r="BN92" s="51">
        <f t="shared" si="45"/>
        <v>44283</v>
      </c>
      <c r="BO92" s="54">
        <f t="shared" si="39"/>
        <v>988</v>
      </c>
      <c r="BP92" s="3" t="s">
        <v>346</v>
      </c>
      <c r="BQ92" s="3" t="s">
        <v>51</v>
      </c>
      <c r="BR92" s="19" t="s">
        <v>1311</v>
      </c>
      <c r="BS92" s="19" t="s">
        <v>2425</v>
      </c>
      <c r="BT92" s="54" t="str">
        <f t="shared" si="40"/>
        <v>Product</v>
      </c>
      <c r="BV92" s="3" t="s">
        <v>346</v>
      </c>
      <c r="BW92" s="3" t="s">
        <v>184</v>
      </c>
      <c r="BX92" s="12" t="s">
        <v>1709</v>
      </c>
      <c r="BY92" s="12" t="s">
        <v>1378</v>
      </c>
      <c r="BZ92" s="54" t="str">
        <f t="shared" si="41"/>
        <v>Sudhansu Sahu</v>
      </c>
      <c r="CB92" s="19" t="s">
        <v>961</v>
      </c>
      <c r="CC92" s="3" t="s">
        <v>184</v>
      </c>
      <c r="CD92" s="3" t="s">
        <v>52</v>
      </c>
      <c r="CE92" s="54" t="str">
        <v>Associate PM</v>
      </c>
      <c r="CG92" s="54" t="str">
        <f>IFERROR(_xlfn.XLOOKUP(Hiring!A92,Hiring!A92:A491,Hiring!B92:B491,,0),"Not Found")</f>
        <v>Aditya Parida</v>
      </c>
    </row>
    <row r="93" spans="2:85">
      <c r="B93" s="100"/>
      <c r="F93" s="4">
        <v>2.9</v>
      </c>
      <c r="G93" s="52" t="str" cm="1">
        <f t="array" ref="G93">_xlfn.IFS(F93&gt;=4.5,"Excellent",AND(F93&gt;=3.5,F93&lt;=4.4),"Good",F93&lt;3.5,"Needs Improvement")</f>
        <v>Needs Improvement</v>
      </c>
      <c r="I93" s="14">
        <v>86.62</v>
      </c>
      <c r="J93" s="14">
        <v>97.12</v>
      </c>
      <c r="K93" s="54" t="str">
        <f t="shared" si="23"/>
        <v>Over Budget</v>
      </c>
      <c r="M93" s="18">
        <v>109976</v>
      </c>
      <c r="N93" s="18">
        <v>95659</v>
      </c>
      <c r="O93" s="54" t="str">
        <f t="shared" si="24"/>
        <v>Yes</v>
      </c>
      <c r="Q93" s="18">
        <v>10.55</v>
      </c>
      <c r="R93" s="56" t="str">
        <f t="shared" si="25"/>
        <v>Yes</v>
      </c>
      <c r="W93" s="18" t="s">
        <v>1311</v>
      </c>
      <c r="X93" s="54" t="str">
        <f>VLOOKUP(W93,Employees!$A$1:$B$601,2,FALSE)</f>
        <v>Namita Padhi</v>
      </c>
      <c r="Z93" s="4" t="s">
        <v>348</v>
      </c>
      <c r="AA93" s="54" t="str">
        <f t="shared" si="27"/>
        <v>0092</v>
      </c>
      <c r="AC93" s="4" t="s">
        <v>51</v>
      </c>
      <c r="AD93" s="54" t="str">
        <f t="shared" si="28"/>
        <v>Sales</v>
      </c>
      <c r="AF93" s="4" t="s">
        <v>349</v>
      </c>
      <c r="AG93" s="4" t="s">
        <v>51</v>
      </c>
      <c r="AH93" s="4" t="s">
        <v>53</v>
      </c>
      <c r="AI93" s="54" t="str">
        <f t="shared" si="29"/>
        <v>Sudhansu Samal|Sales|BlueLotus IT</v>
      </c>
      <c r="AK93" s="4" t="s">
        <v>349</v>
      </c>
      <c r="AL93" s="38" t="str">
        <f t="shared" si="30"/>
        <v>S.S.</v>
      </c>
      <c r="AN93" s="18" t="s">
        <v>5023</v>
      </c>
      <c r="AO93" s="54" t="str">
        <f t="shared" si="31"/>
        <v>Linkedln</v>
      </c>
      <c r="AQ93" s="4" t="s">
        <v>349</v>
      </c>
      <c r="AR93" s="52" t="str">
        <f t="shared" si="32"/>
        <v>NO</v>
      </c>
      <c r="AT93" s="14" t="s">
        <v>1705</v>
      </c>
      <c r="AU93" s="54">
        <f t="shared" si="33"/>
        <v>13</v>
      </c>
      <c r="AW93" s="54">
        <f ca="1">DATEDIF(BI93,TODAY(),"Y")</f>
        <v>3</v>
      </c>
      <c r="AX93" s="54"/>
      <c r="AY93" s="41" t="s">
        <v>5184</v>
      </c>
      <c r="AZ93" s="44">
        <f t="shared" si="34"/>
        <v>45081</v>
      </c>
      <c r="BA93" s="54" t="str">
        <f t="shared" si="35"/>
        <v>6-2023</v>
      </c>
      <c r="BC93" s="15" t="s">
        <v>1898</v>
      </c>
      <c r="BD93" s="13">
        <f t="shared" si="36"/>
        <v>45173</v>
      </c>
      <c r="BE93" s="46" t="s">
        <v>1632</v>
      </c>
      <c r="BF93" s="54" t="str">
        <f t="shared" ca="1" si="37"/>
        <v>Overdue</v>
      </c>
      <c r="BH93" s="4" t="s">
        <v>350</v>
      </c>
      <c r="BI93" s="51">
        <f t="shared" si="42"/>
        <v>44833</v>
      </c>
      <c r="BJ93" s="38">
        <f t="shared" ca="1" si="43"/>
        <v>1012</v>
      </c>
      <c r="BK93" s="38"/>
      <c r="BL93" s="38" t="str">
        <f t="shared" si="44"/>
        <v>No</v>
      </c>
      <c r="BM93" s="59">
        <f t="shared" si="38"/>
        <v>45081</v>
      </c>
      <c r="BN93" s="51">
        <f t="shared" si="45"/>
        <v>44833</v>
      </c>
      <c r="BO93" s="54">
        <f t="shared" si="39"/>
        <v>248</v>
      </c>
      <c r="BP93" s="4" t="s">
        <v>348</v>
      </c>
      <c r="BQ93" s="4" t="s">
        <v>51</v>
      </c>
      <c r="BR93" s="18" t="s">
        <v>1311</v>
      </c>
      <c r="BS93" s="18" t="s">
        <v>2427</v>
      </c>
      <c r="BT93" s="54" t="str">
        <f t="shared" si="40"/>
        <v>Product</v>
      </c>
      <c r="BV93" s="4" t="s">
        <v>348</v>
      </c>
      <c r="BW93" s="4" t="s">
        <v>349</v>
      </c>
      <c r="BX93" s="14" t="s">
        <v>1705</v>
      </c>
      <c r="BY93" s="14" t="s">
        <v>1421</v>
      </c>
      <c r="BZ93" s="54" t="str">
        <f t="shared" si="41"/>
        <v>Debasmita Mishra</v>
      </c>
      <c r="CB93" s="18" t="s">
        <v>1340</v>
      </c>
      <c r="CC93" s="4" t="s">
        <v>349</v>
      </c>
      <c r="CD93" s="4" t="s">
        <v>105</v>
      </c>
      <c r="CE93" s="54" t="str">
        <v>Business Developer</v>
      </c>
      <c r="CG93" s="54" t="str">
        <f>IFERROR(_xlfn.XLOOKUP(Hiring!A93,Hiring!A93:A492,Hiring!B93:B492,,0),"Not Found")</f>
        <v>Chinmaya Mohapatra</v>
      </c>
    </row>
    <row r="94" spans="2:85">
      <c r="B94" s="100"/>
      <c r="F94" s="3">
        <v>4.5999999999999996</v>
      </c>
      <c r="G94" s="52" t="str" cm="1">
        <f t="array" ref="G94">_xlfn.IFS(F94&gt;=4.5,"Excellent",AND(F94&gt;=3.5,F94&lt;=4.4),"Good",F94&lt;3.5,"Needs Improvement")</f>
        <v>Excellent</v>
      </c>
      <c r="I94" s="12">
        <v>152.57</v>
      </c>
      <c r="J94" s="12">
        <v>169.36</v>
      </c>
      <c r="K94" s="54" t="str">
        <f t="shared" si="23"/>
        <v>Over Budget</v>
      </c>
      <c r="M94" s="19">
        <v>70936</v>
      </c>
      <c r="N94" s="19">
        <v>79589</v>
      </c>
      <c r="O94" s="54" t="str">
        <f t="shared" si="24"/>
        <v>Yes</v>
      </c>
      <c r="Q94" s="19">
        <v>9.73</v>
      </c>
      <c r="R94" s="56" t="str">
        <f t="shared" si="25"/>
        <v>Yes</v>
      </c>
      <c r="W94" s="19" t="s">
        <v>1311</v>
      </c>
      <c r="X94" s="54" t="str">
        <f>VLOOKUP(W94,Employees!$A$1:$B$601,2,FALSE)</f>
        <v>Namita Padhi</v>
      </c>
      <c r="Z94" s="3" t="s">
        <v>351</v>
      </c>
      <c r="AA94" s="54" t="str">
        <f t="shared" si="27"/>
        <v>0093</v>
      </c>
      <c r="AC94" s="3" t="s">
        <v>24</v>
      </c>
      <c r="AD94" s="54" t="str">
        <f t="shared" si="28"/>
        <v>Design</v>
      </c>
      <c r="AF94" s="3" t="s">
        <v>328</v>
      </c>
      <c r="AG94" s="3" t="s">
        <v>24</v>
      </c>
      <c r="AH94" s="3" t="s">
        <v>32</v>
      </c>
      <c r="AI94" s="54" t="str">
        <f t="shared" si="29"/>
        <v>Prasant Biswal|Design|NilGiri Digitals</v>
      </c>
      <c r="AK94" s="3" t="s">
        <v>328</v>
      </c>
      <c r="AL94" s="38" t="str">
        <f t="shared" si="30"/>
        <v>P.B.</v>
      </c>
      <c r="AN94" s="19" t="s">
        <v>5025</v>
      </c>
      <c r="AO94" s="54" t="b">
        <f t="shared" si="31"/>
        <v>0</v>
      </c>
      <c r="AQ94" s="3" t="s">
        <v>328</v>
      </c>
      <c r="AR94" s="52" t="str">
        <f t="shared" si="32"/>
        <v>NO</v>
      </c>
      <c r="AT94" s="12" t="s">
        <v>1672</v>
      </c>
      <c r="AU94" s="54">
        <f t="shared" si="33"/>
        <v>19</v>
      </c>
      <c r="AW94" s="54">
        <f ca="1">DATEDIF(BI94,TODAY(),"Y")</f>
        <v>2</v>
      </c>
      <c r="AX94" s="54"/>
      <c r="AY94" s="40" t="s">
        <v>1818</v>
      </c>
      <c r="AZ94" s="44">
        <f t="shared" si="34"/>
        <v>45262</v>
      </c>
      <c r="BA94" s="54" t="str">
        <f t="shared" si="35"/>
        <v>12-2023</v>
      </c>
      <c r="BC94" s="13" t="s">
        <v>315</v>
      </c>
      <c r="BD94" s="13">
        <f t="shared" si="36"/>
        <v>45452</v>
      </c>
      <c r="BE94" s="45" t="s">
        <v>1614</v>
      </c>
      <c r="BF94" s="54" t="str">
        <f t="shared" ca="1" si="37"/>
        <v>Overdue</v>
      </c>
      <c r="BH94" s="3" t="s">
        <v>352</v>
      </c>
      <c r="BI94" s="51">
        <f t="shared" si="42"/>
        <v>45393</v>
      </c>
      <c r="BJ94" s="38">
        <f t="shared" ca="1" si="43"/>
        <v>612</v>
      </c>
      <c r="BK94" s="38"/>
      <c r="BL94" s="38" t="str">
        <f t="shared" si="44"/>
        <v>No</v>
      </c>
      <c r="BM94" s="59">
        <f t="shared" si="38"/>
        <v>45262</v>
      </c>
      <c r="BN94" s="51">
        <f t="shared" si="45"/>
        <v>45393</v>
      </c>
      <c r="BO94" s="54">
        <f t="shared" si="39"/>
        <v>131</v>
      </c>
      <c r="BP94" s="3" t="s">
        <v>351</v>
      </c>
      <c r="BQ94" s="3" t="s">
        <v>24</v>
      </c>
      <c r="BR94" s="19" t="s">
        <v>1311</v>
      </c>
      <c r="BS94" s="19" t="s">
        <v>2430</v>
      </c>
      <c r="BT94" s="54" t="str">
        <f t="shared" si="40"/>
        <v>Product</v>
      </c>
      <c r="BV94" s="3" t="s">
        <v>351</v>
      </c>
      <c r="BW94" s="3" t="s">
        <v>328</v>
      </c>
      <c r="BX94" s="12" t="s">
        <v>1672</v>
      </c>
      <c r="BY94" s="12" t="s">
        <v>1429</v>
      </c>
      <c r="BZ94" s="54" t="str">
        <f t="shared" si="41"/>
        <v>Satyajit Samal</v>
      </c>
      <c r="CB94" s="19" t="s">
        <v>1010</v>
      </c>
      <c r="CC94" s="3" t="s">
        <v>328</v>
      </c>
      <c r="CD94" s="3" t="s">
        <v>45</v>
      </c>
      <c r="CE94" s="54" t="str">
        <v>QA Engineer</v>
      </c>
      <c r="CG94" s="54" t="str">
        <f>IFERROR(_xlfn.XLOOKUP(Hiring!A94,Hiring!A94:A493,Hiring!B94:B493,,0),"Not Found")</f>
        <v>Namita Mohapatra</v>
      </c>
    </row>
    <row r="95" spans="2:85">
      <c r="B95" s="100"/>
      <c r="F95" s="4">
        <v>4.7</v>
      </c>
      <c r="G95" s="52" t="str" cm="1">
        <f t="array" ref="G95">_xlfn.IFS(F95&gt;=4.5,"Excellent",AND(F95&gt;=3.5,F95&lt;=4.4),"Good",F95&lt;3.5,"Needs Improvement")</f>
        <v>Excellent</v>
      </c>
      <c r="I95" s="14">
        <v>166.53</v>
      </c>
      <c r="J95" s="14">
        <v>207.35</v>
      </c>
      <c r="K95" s="54" t="str">
        <f t="shared" si="23"/>
        <v>Over Budget</v>
      </c>
      <c r="M95" s="18">
        <v>151979</v>
      </c>
      <c r="N95" s="18">
        <v>147422</v>
      </c>
      <c r="O95" s="54" t="str">
        <f t="shared" si="24"/>
        <v>Yes</v>
      </c>
      <c r="Q95" s="18">
        <v>10.39</v>
      </c>
      <c r="R95" s="56" t="str">
        <f t="shared" si="25"/>
        <v>Yes</v>
      </c>
      <c r="W95" s="18" t="s">
        <v>1311</v>
      </c>
      <c r="X95" s="54" t="str">
        <f>VLOOKUP(W95,Employees!$A$1:$B$601,2,FALSE)</f>
        <v>Namita Padhi</v>
      </c>
      <c r="Z95" s="4" t="s">
        <v>353</v>
      </c>
      <c r="AA95" s="54" t="str">
        <f t="shared" si="27"/>
        <v>0094</v>
      </c>
      <c r="AC95" s="4" t="s">
        <v>63</v>
      </c>
      <c r="AD95" s="54" t="str">
        <f t="shared" si="28"/>
        <v>Product</v>
      </c>
      <c r="AF95" s="4" t="s">
        <v>354</v>
      </c>
      <c r="AG95" s="4" t="s">
        <v>63</v>
      </c>
      <c r="AH95" s="4" t="s">
        <v>53</v>
      </c>
      <c r="AI95" s="54" t="str">
        <f t="shared" si="29"/>
        <v>Abhishek Parida|Product|BlueLotus IT</v>
      </c>
      <c r="AK95" s="4" t="s">
        <v>354</v>
      </c>
      <c r="AL95" s="38" t="str">
        <f t="shared" si="30"/>
        <v>A.P.</v>
      </c>
      <c r="AN95" s="18" t="s">
        <v>5019</v>
      </c>
      <c r="AO95" s="54" t="str">
        <f t="shared" si="31"/>
        <v>Linkedln</v>
      </c>
      <c r="AQ95" s="4" t="s">
        <v>354</v>
      </c>
      <c r="AR95" s="52" t="str">
        <f t="shared" si="32"/>
        <v>NO</v>
      </c>
      <c r="AT95" s="14" t="s">
        <v>1792</v>
      </c>
      <c r="AU95" s="54">
        <f t="shared" si="33"/>
        <v>19</v>
      </c>
      <c r="AW95" s="54">
        <f ca="1">DATEDIF(BI95,TODAY(),"Y")</f>
        <v>3</v>
      </c>
      <c r="AX95" s="54"/>
      <c r="AY95" s="41" t="s">
        <v>5210</v>
      </c>
      <c r="AZ95" s="44">
        <f t="shared" si="34"/>
        <v>45068</v>
      </c>
      <c r="BA95" s="54" t="str">
        <f t="shared" si="35"/>
        <v>5-2023</v>
      </c>
      <c r="BC95" s="15" t="s">
        <v>1903</v>
      </c>
      <c r="BD95" s="13">
        <f t="shared" si="36"/>
        <v>44605</v>
      </c>
      <c r="BE95" s="46" t="s">
        <v>1625</v>
      </c>
      <c r="BF95" s="54" t="str">
        <f t="shared" ca="1" si="37"/>
        <v>Overdue</v>
      </c>
      <c r="BH95" s="4" t="s">
        <v>355</v>
      </c>
      <c r="BI95" s="51">
        <f t="shared" si="42"/>
        <v>44793</v>
      </c>
      <c r="BJ95" s="38">
        <f t="shared" ca="1" si="43"/>
        <v>1040</v>
      </c>
      <c r="BK95" s="38"/>
      <c r="BL95" s="38" t="str">
        <f t="shared" si="44"/>
        <v>No</v>
      </c>
      <c r="BM95" s="59">
        <f t="shared" si="38"/>
        <v>45068</v>
      </c>
      <c r="BN95" s="51">
        <f t="shared" si="45"/>
        <v>44793</v>
      </c>
      <c r="BO95" s="54">
        <f t="shared" si="39"/>
        <v>275</v>
      </c>
      <c r="BP95" s="4" t="s">
        <v>353</v>
      </c>
      <c r="BQ95" s="4" t="s">
        <v>63</v>
      </c>
      <c r="BR95" s="18" t="s">
        <v>1311</v>
      </c>
      <c r="BS95" s="18" t="s">
        <v>2433</v>
      </c>
      <c r="BT95" s="54" t="str">
        <f t="shared" si="40"/>
        <v>Product</v>
      </c>
      <c r="BV95" s="4" t="s">
        <v>353</v>
      </c>
      <c r="BW95" s="4" t="s">
        <v>354</v>
      </c>
      <c r="BX95" s="14" t="s">
        <v>1792</v>
      </c>
      <c r="BY95" s="14" t="s">
        <v>330</v>
      </c>
      <c r="BZ95" s="54" t="str">
        <f t="shared" si="41"/>
        <v>Tapas Sahoo</v>
      </c>
      <c r="CB95" s="18" t="s">
        <v>718</v>
      </c>
      <c r="CC95" s="4" t="s">
        <v>354</v>
      </c>
      <c r="CD95" s="4" t="s">
        <v>225</v>
      </c>
      <c r="CE95" s="54" t="str">
        <v>ML Engineer</v>
      </c>
      <c r="CG95" s="54" t="str">
        <f>IFERROR(_xlfn.XLOOKUP(Hiring!A95,Hiring!A95:A494,Hiring!B95:B494,,0),"Not Found")</f>
        <v>Ranjit Nanda</v>
      </c>
    </row>
    <row r="96" spans="2:85">
      <c r="B96" s="100"/>
      <c r="F96" s="3">
        <v>2</v>
      </c>
      <c r="G96" s="52" t="str" cm="1">
        <f t="array" ref="G96">_xlfn.IFS(F96&gt;=4.5,"Excellent",AND(F96&gt;=3.5,F96&lt;=4.4),"Good",F96&lt;3.5,"Needs Improvement")</f>
        <v>Needs Improvement</v>
      </c>
      <c r="I96" s="12">
        <v>164.06</v>
      </c>
      <c r="J96" s="12">
        <v>135</v>
      </c>
      <c r="K96" s="54" t="str">
        <f t="shared" si="23"/>
        <v>Within Budget</v>
      </c>
      <c r="M96" s="19">
        <v>115839</v>
      </c>
      <c r="N96" s="19">
        <v>135674</v>
      </c>
      <c r="O96" s="54" t="str">
        <f t="shared" si="24"/>
        <v>Yes</v>
      </c>
      <c r="Q96" s="19">
        <v>8.0399999999999991</v>
      </c>
      <c r="R96" s="56" t="str">
        <f t="shared" si="25"/>
        <v>Yes</v>
      </c>
      <c r="W96" s="19" t="s">
        <v>1311</v>
      </c>
      <c r="X96" s="54" t="str">
        <f>VLOOKUP(W96,Employees!$A$1:$B$601,2,FALSE)</f>
        <v>Namita Padhi</v>
      </c>
      <c r="Z96" s="3" t="s">
        <v>356</v>
      </c>
      <c r="AA96" s="54" t="str">
        <f t="shared" si="27"/>
        <v>0095</v>
      </c>
      <c r="AC96" s="3" t="s">
        <v>16</v>
      </c>
      <c r="AD96" s="54" t="str">
        <f t="shared" si="28"/>
        <v>Devops</v>
      </c>
      <c r="AF96" s="3" t="s">
        <v>148</v>
      </c>
      <c r="AG96" s="3" t="s">
        <v>16</v>
      </c>
      <c r="AH96" s="3" t="s">
        <v>172</v>
      </c>
      <c r="AI96" s="54" t="str">
        <f t="shared" si="29"/>
        <v>Soumya Senapati|DevOps|TechNova Solutions</v>
      </c>
      <c r="AK96" s="3" t="s">
        <v>148</v>
      </c>
      <c r="AL96" s="38" t="str">
        <f t="shared" si="30"/>
        <v>S.S.</v>
      </c>
      <c r="AN96" s="19" t="s">
        <v>5031</v>
      </c>
      <c r="AO96" s="54" t="b">
        <f t="shared" si="31"/>
        <v>0</v>
      </c>
      <c r="AQ96" s="3" t="s">
        <v>148</v>
      </c>
      <c r="AR96" s="52" t="str">
        <f t="shared" si="32"/>
        <v>NO</v>
      </c>
      <c r="AT96" s="12" t="s">
        <v>1621</v>
      </c>
      <c r="AU96" s="54">
        <f t="shared" si="33"/>
        <v>24</v>
      </c>
      <c r="AW96" s="54">
        <f ca="1">DATEDIF(BI96,TODAY(),"Y")</f>
        <v>4</v>
      </c>
      <c r="AX96" s="54"/>
      <c r="AY96" s="40" t="s">
        <v>315</v>
      </c>
      <c r="AZ96" s="44">
        <f t="shared" si="34"/>
        <v>45452</v>
      </c>
      <c r="BA96" s="54" t="str">
        <f t="shared" si="35"/>
        <v>6-2024</v>
      </c>
      <c r="BC96" s="13" t="s">
        <v>711</v>
      </c>
      <c r="BD96" s="13">
        <f t="shared" si="36"/>
        <v>44932</v>
      </c>
      <c r="BE96" s="45" t="s">
        <v>1614</v>
      </c>
      <c r="BF96" s="54" t="str">
        <f t="shared" ca="1" si="37"/>
        <v>Overdue</v>
      </c>
      <c r="BH96" s="3" t="s">
        <v>357</v>
      </c>
      <c r="BI96" s="51">
        <f t="shared" si="42"/>
        <v>44756</v>
      </c>
      <c r="BJ96" s="38">
        <f t="shared" ca="1" si="43"/>
        <v>1067</v>
      </c>
      <c r="BK96" s="38"/>
      <c r="BL96" s="38" t="str">
        <f t="shared" si="44"/>
        <v>No</v>
      </c>
      <c r="BM96" s="59">
        <f t="shared" si="38"/>
        <v>45452</v>
      </c>
      <c r="BN96" s="51">
        <f t="shared" si="45"/>
        <v>44756</v>
      </c>
      <c r="BO96" s="54">
        <f t="shared" si="39"/>
        <v>696</v>
      </c>
      <c r="BP96" s="3" t="s">
        <v>356</v>
      </c>
      <c r="BQ96" s="3" t="s">
        <v>16</v>
      </c>
      <c r="BR96" s="19" t="s">
        <v>1311</v>
      </c>
      <c r="BS96" s="19" t="s">
        <v>2435</v>
      </c>
      <c r="BT96" s="54" t="str">
        <f t="shared" si="40"/>
        <v>Product</v>
      </c>
      <c r="BV96" s="3" t="s">
        <v>356</v>
      </c>
      <c r="BW96" s="3" t="s">
        <v>148</v>
      </c>
      <c r="BX96" s="12" t="s">
        <v>1621</v>
      </c>
      <c r="BY96" s="12" t="s">
        <v>1457</v>
      </c>
      <c r="BZ96" s="54" t="str">
        <f t="shared" si="41"/>
        <v>Ankita Dhal</v>
      </c>
      <c r="CB96" s="19" t="s">
        <v>5212</v>
      </c>
      <c r="CC96" s="3" t="s">
        <v>148</v>
      </c>
      <c r="CD96" s="3" t="s">
        <v>98</v>
      </c>
      <c r="CE96" s="54" t="str">
        <v>Not Found</v>
      </c>
      <c r="CG96" s="54" t="str">
        <f>IFERROR(_xlfn.XLOOKUP(Hiring!A96,Hiring!A96:A495,Hiring!B96:B495,,0),"Not Found")</f>
        <v>Sangita Pattnaik</v>
      </c>
    </row>
    <row r="97" spans="2:85">
      <c r="B97" s="100"/>
      <c r="F97" s="4">
        <v>4.4000000000000004</v>
      </c>
      <c r="G97" s="52" t="str" cm="1">
        <f t="array" ref="G97">_xlfn.IFS(F97&gt;=4.5,"Excellent",AND(F97&gt;=3.5,F97&lt;=4.4),"Good",F97&lt;3.5,"Needs Improvement")</f>
        <v>Good</v>
      </c>
      <c r="I97" s="14">
        <v>100.01</v>
      </c>
      <c r="J97" s="14">
        <v>87.7</v>
      </c>
      <c r="K97" s="54" t="str">
        <f t="shared" si="23"/>
        <v>Within Budget</v>
      </c>
      <c r="M97" s="18">
        <v>165080</v>
      </c>
      <c r="N97" s="18">
        <v>190442</v>
      </c>
      <c r="O97" s="54" t="str">
        <f t="shared" si="24"/>
        <v>Yes</v>
      </c>
      <c r="Q97" s="18">
        <v>7.16</v>
      </c>
      <c r="R97" s="56" t="str">
        <f t="shared" si="25"/>
        <v>Yes</v>
      </c>
      <c r="W97" s="18" t="s">
        <v>1311</v>
      </c>
      <c r="X97" s="54" t="str">
        <f>VLOOKUP(W97,Employees!$A$1:$B$601,2,FALSE)</f>
        <v>Namita Padhi</v>
      </c>
      <c r="Z97" s="4" t="s">
        <v>358</v>
      </c>
      <c r="AA97" s="54" t="str">
        <f t="shared" si="27"/>
        <v>0096</v>
      </c>
      <c r="AC97" s="4" t="s">
        <v>176</v>
      </c>
      <c r="AD97" s="54" t="str">
        <f t="shared" si="28"/>
        <v>Finance</v>
      </c>
      <c r="AF97" s="4" t="s">
        <v>247</v>
      </c>
      <c r="AG97" s="4" t="s">
        <v>176</v>
      </c>
      <c r="AH97" s="4" t="s">
        <v>18</v>
      </c>
      <c r="AI97" s="54" t="str">
        <f t="shared" si="29"/>
        <v>Prasant Mahapatra|Finance|CoastalDev Studio</v>
      </c>
      <c r="AK97" s="4" t="s">
        <v>247</v>
      </c>
      <c r="AL97" s="38" t="str">
        <f t="shared" si="30"/>
        <v>P.M.</v>
      </c>
      <c r="AN97" s="18" t="s">
        <v>5051</v>
      </c>
      <c r="AO97" s="54" t="str">
        <f t="shared" si="31"/>
        <v>Naukri</v>
      </c>
      <c r="AQ97" s="4" t="s">
        <v>247</v>
      </c>
      <c r="AR97" s="52" t="str">
        <f t="shared" si="32"/>
        <v>NO</v>
      </c>
      <c r="AT97" s="14" t="s">
        <v>1693</v>
      </c>
      <c r="AU97" s="54">
        <f t="shared" si="33"/>
        <v>17</v>
      </c>
      <c r="AW97" s="54">
        <f ca="1">DATEDIF(BI97,TODAY(),"Y")</f>
        <v>3</v>
      </c>
      <c r="AX97" s="54"/>
      <c r="AY97" s="41" t="s">
        <v>5215</v>
      </c>
      <c r="AZ97" s="44">
        <f t="shared" si="34"/>
        <v>45036</v>
      </c>
      <c r="BA97" s="54" t="str">
        <f t="shared" si="35"/>
        <v>4-2023</v>
      </c>
      <c r="BC97" s="15" t="s">
        <v>1907</v>
      </c>
      <c r="BD97" s="13">
        <f t="shared" si="36"/>
        <v>45826</v>
      </c>
      <c r="BE97" s="46" t="s">
        <v>1638</v>
      </c>
      <c r="BF97" s="54" t="str">
        <f t="shared" ca="1" si="37"/>
        <v>On Track</v>
      </c>
      <c r="BH97" s="4" t="s">
        <v>360</v>
      </c>
      <c r="BI97" s="51">
        <f t="shared" si="42"/>
        <v>45074</v>
      </c>
      <c r="BJ97" s="38">
        <f t="shared" ca="1" si="43"/>
        <v>840</v>
      </c>
      <c r="BK97" s="38"/>
      <c r="BL97" s="38" t="str">
        <f t="shared" si="44"/>
        <v>No</v>
      </c>
      <c r="BM97" s="59">
        <f t="shared" si="38"/>
        <v>45036</v>
      </c>
      <c r="BN97" s="51">
        <f t="shared" si="45"/>
        <v>45074</v>
      </c>
      <c r="BO97" s="54">
        <f t="shared" si="39"/>
        <v>38</v>
      </c>
      <c r="BP97" s="4" t="s">
        <v>358</v>
      </c>
      <c r="BQ97" s="4" t="s">
        <v>176</v>
      </c>
      <c r="BR97" s="18" t="s">
        <v>1311</v>
      </c>
      <c r="BS97" s="18" t="s">
        <v>2439</v>
      </c>
      <c r="BT97" s="54" t="str">
        <f t="shared" si="40"/>
        <v>Product</v>
      </c>
      <c r="BV97" s="4" t="s">
        <v>358</v>
      </c>
      <c r="BW97" s="4" t="s">
        <v>247</v>
      </c>
      <c r="BX97" s="14" t="s">
        <v>1693</v>
      </c>
      <c r="BY97" s="14" t="s">
        <v>501</v>
      </c>
      <c r="BZ97" s="54" t="str">
        <f t="shared" si="41"/>
        <v>Rajan Dhal</v>
      </c>
      <c r="CB97" s="18" t="s">
        <v>5214</v>
      </c>
      <c r="CC97" s="4" t="s">
        <v>247</v>
      </c>
      <c r="CD97" s="4" t="s">
        <v>359</v>
      </c>
      <c r="CE97" s="54" t="str">
        <v>Not Found</v>
      </c>
      <c r="CG97" s="54" t="str">
        <f>IFERROR(_xlfn.XLOOKUP(Hiring!A97,Hiring!A97:A496,Hiring!B97:B496,,0),"Not Found")</f>
        <v>Amlan Prusty</v>
      </c>
    </row>
    <row r="98" spans="2:85">
      <c r="B98" s="100"/>
      <c r="F98" s="3">
        <v>2.9</v>
      </c>
      <c r="G98" s="52" t="str" cm="1">
        <f t="array" ref="G98">_xlfn.IFS(F98&gt;=4.5,"Excellent",AND(F98&gt;=3.5,F98&lt;=4.4),"Good",F98&lt;3.5,"Needs Improvement")</f>
        <v>Needs Improvement</v>
      </c>
      <c r="I98" s="12">
        <v>52.08</v>
      </c>
      <c r="J98" s="12">
        <v>55.74</v>
      </c>
      <c r="K98" s="54" t="str">
        <f t="shared" si="23"/>
        <v>Over Budget</v>
      </c>
      <c r="M98" s="19">
        <v>89108</v>
      </c>
      <c r="N98" s="19">
        <v>90894</v>
      </c>
      <c r="O98" s="54" t="str">
        <f t="shared" si="24"/>
        <v>Yes</v>
      </c>
      <c r="Q98" s="19">
        <v>10.51</v>
      </c>
      <c r="R98" s="56" t="str">
        <f t="shared" si="25"/>
        <v>Yes</v>
      </c>
      <c r="W98" s="19" t="s">
        <v>1311</v>
      </c>
      <c r="X98" s="54" t="str">
        <f>VLOOKUP(W98,Employees!$A$1:$B$601,2,FALSE)</f>
        <v>Namita Padhi</v>
      </c>
      <c r="Z98" s="3" t="s">
        <v>361</v>
      </c>
      <c r="AA98" s="54" t="str">
        <f t="shared" si="27"/>
        <v>0097</v>
      </c>
      <c r="AC98" s="3" t="s">
        <v>118</v>
      </c>
      <c r="AD98" s="54" t="str">
        <f t="shared" si="28"/>
        <v>Marketing</v>
      </c>
      <c r="AF98" s="3" t="s">
        <v>241</v>
      </c>
      <c r="AG98" s="3" t="s">
        <v>118</v>
      </c>
      <c r="AH98" s="3" t="s">
        <v>26</v>
      </c>
      <c r="AI98" s="54" t="str">
        <f t="shared" si="29"/>
        <v>Soumya Nanda|Marketing|InfySoft Bhubaneswar</v>
      </c>
      <c r="AK98" s="3" t="s">
        <v>241</v>
      </c>
      <c r="AL98" s="38" t="str">
        <f t="shared" si="30"/>
        <v>S.N.</v>
      </c>
      <c r="AN98" s="19" t="s">
        <v>5077</v>
      </c>
      <c r="AO98" s="54" t="b">
        <f t="shared" si="31"/>
        <v>0</v>
      </c>
      <c r="AQ98" s="3" t="s">
        <v>241</v>
      </c>
      <c r="AR98" s="52" t="str">
        <f t="shared" si="32"/>
        <v>NO</v>
      </c>
      <c r="AT98" s="12" t="s">
        <v>1646</v>
      </c>
      <c r="AU98" s="54">
        <f t="shared" si="33"/>
        <v>16</v>
      </c>
      <c r="AW98" s="54">
        <f ca="1">DATEDIF(BI98,TODAY(),"Y")</f>
        <v>5</v>
      </c>
      <c r="AX98" s="54"/>
      <c r="AY98" s="40" t="s">
        <v>5217</v>
      </c>
      <c r="AZ98" s="44">
        <f t="shared" si="34"/>
        <v>45604</v>
      </c>
      <c r="BA98" s="54" t="str">
        <f t="shared" si="35"/>
        <v>11-2024</v>
      </c>
      <c r="BC98" s="13" t="s">
        <v>722</v>
      </c>
      <c r="BD98" s="13">
        <f t="shared" si="36"/>
        <v>45097</v>
      </c>
      <c r="BE98" s="45" t="s">
        <v>1656</v>
      </c>
      <c r="BF98" s="54" t="str">
        <f t="shared" ca="1" si="37"/>
        <v>Overdue</v>
      </c>
      <c r="BH98" s="3" t="s">
        <v>362</v>
      </c>
      <c r="BI98" s="51">
        <f t="shared" si="42"/>
        <v>44165</v>
      </c>
      <c r="BJ98" s="38">
        <f t="shared" ca="1" si="43"/>
        <v>1490</v>
      </c>
      <c r="BK98" s="38"/>
      <c r="BL98" s="38" t="str">
        <f t="shared" si="44"/>
        <v>No</v>
      </c>
      <c r="BM98" s="59">
        <f t="shared" si="38"/>
        <v>45604</v>
      </c>
      <c r="BN98" s="51">
        <f t="shared" si="45"/>
        <v>44165</v>
      </c>
      <c r="BO98" s="54">
        <f t="shared" si="39"/>
        <v>1439</v>
      </c>
      <c r="BP98" s="3" t="s">
        <v>361</v>
      </c>
      <c r="BQ98" s="3" t="s">
        <v>118</v>
      </c>
      <c r="BR98" s="19" t="s">
        <v>1311</v>
      </c>
      <c r="BS98" s="19" t="s">
        <v>2442</v>
      </c>
      <c r="BT98" s="54" t="str">
        <f t="shared" si="40"/>
        <v>Product</v>
      </c>
      <c r="BV98" s="3" t="s">
        <v>361</v>
      </c>
      <c r="BW98" s="3" t="s">
        <v>241</v>
      </c>
      <c r="BX98" s="12" t="s">
        <v>1646</v>
      </c>
      <c r="BY98" s="12" t="s">
        <v>661</v>
      </c>
      <c r="BZ98" s="54" t="str">
        <f t="shared" si="41"/>
        <v>Chinmaya Mishra</v>
      </c>
      <c r="CB98" s="19" t="s">
        <v>428</v>
      </c>
      <c r="CC98" s="3" t="s">
        <v>241</v>
      </c>
      <c r="CD98" s="3" t="s">
        <v>119</v>
      </c>
      <c r="CE98" s="54" t="str">
        <v>Digital Marketer</v>
      </c>
      <c r="CG98" s="54" t="str">
        <f>IFERROR(_xlfn.XLOOKUP(Hiring!A98,Hiring!A98:A497,Hiring!B98:B497,,0),"Not Found")</f>
        <v>Puspita Pattnaik</v>
      </c>
    </row>
    <row r="99" spans="2:85">
      <c r="B99" s="100"/>
      <c r="F99" s="4">
        <v>2.9</v>
      </c>
      <c r="G99" s="52" t="str" cm="1">
        <f t="array" ref="G99">_xlfn.IFS(F99&gt;=4.5,"Excellent",AND(F99&gt;=3.5,F99&lt;=4.4),"Good",F99&lt;3.5,"Needs Improvement")</f>
        <v>Needs Improvement</v>
      </c>
      <c r="I99" s="14">
        <v>106.89</v>
      </c>
      <c r="J99" s="14">
        <v>76.37</v>
      </c>
      <c r="K99" s="54" t="str">
        <f t="shared" si="23"/>
        <v>Within Budget</v>
      </c>
      <c r="M99" s="18"/>
      <c r="N99" s="18">
        <v>63434</v>
      </c>
      <c r="O99" s="54" t="str">
        <f t="shared" si="24"/>
        <v>Yes</v>
      </c>
      <c r="Q99" s="18">
        <v>8.17</v>
      </c>
      <c r="R99" s="56" t="str">
        <f t="shared" si="25"/>
        <v>Yes</v>
      </c>
      <c r="W99" s="18" t="s">
        <v>1311</v>
      </c>
      <c r="X99" s="54" t="str">
        <f>VLOOKUP(W99,Employees!$A$1:$B$601,2,FALSE)</f>
        <v>Namita Padhi</v>
      </c>
      <c r="Z99" s="4" t="s">
        <v>363</v>
      </c>
      <c r="AA99" s="54" t="str">
        <f t="shared" si="27"/>
        <v>0098</v>
      </c>
      <c r="AC99" s="4" t="s">
        <v>51</v>
      </c>
      <c r="AD99" s="54" t="str">
        <f t="shared" si="28"/>
        <v>Sales</v>
      </c>
      <c r="AF99" s="4" t="s">
        <v>364</v>
      </c>
      <c r="AG99" s="4" t="s">
        <v>51</v>
      </c>
      <c r="AH99" s="4" t="s">
        <v>26</v>
      </c>
      <c r="AI99" s="54" t="str">
        <f t="shared" si="29"/>
        <v>Jyotirmayee Nanda|Sales|InfySoft Bhubaneswar</v>
      </c>
      <c r="AK99" s="4" t="s">
        <v>364</v>
      </c>
      <c r="AL99" s="38" t="str">
        <f t="shared" si="30"/>
        <v>J.N.</v>
      </c>
      <c r="AN99" s="18" t="s">
        <v>5025</v>
      </c>
      <c r="AO99" s="54" t="b">
        <f t="shared" si="31"/>
        <v>0</v>
      </c>
      <c r="AQ99" s="4" t="s">
        <v>364</v>
      </c>
      <c r="AR99" s="52" t="str">
        <f t="shared" si="32"/>
        <v>NO</v>
      </c>
      <c r="AT99" s="14" t="s">
        <v>1720</v>
      </c>
      <c r="AU99" s="54">
        <f t="shared" si="33"/>
        <v>10</v>
      </c>
      <c r="AW99" s="54">
        <f ca="1">DATEDIF(BI99,TODAY(),"Y")</f>
        <v>8</v>
      </c>
      <c r="AX99" s="54"/>
      <c r="AY99" s="41" t="s">
        <v>5220</v>
      </c>
      <c r="AZ99" s="44">
        <f t="shared" si="34"/>
        <v>45324</v>
      </c>
      <c r="BA99" s="54" t="str">
        <f t="shared" si="35"/>
        <v>2-2024</v>
      </c>
      <c r="BC99" s="15" t="s">
        <v>1913</v>
      </c>
      <c r="BD99" s="13">
        <f t="shared" si="36"/>
        <v>45652</v>
      </c>
      <c r="BE99" s="46" t="s">
        <v>1625</v>
      </c>
      <c r="BF99" s="54" t="str">
        <f t="shared" ca="1" si="37"/>
        <v>Overdue</v>
      </c>
      <c r="BH99" s="4" t="s">
        <v>365</v>
      </c>
      <c r="BI99" s="51">
        <f t="shared" si="42"/>
        <v>43141</v>
      </c>
      <c r="BJ99" s="38">
        <f t="shared" ca="1" si="43"/>
        <v>2220</v>
      </c>
      <c r="BK99" s="38"/>
      <c r="BL99" s="38" t="str">
        <f t="shared" si="44"/>
        <v>Q1</v>
      </c>
      <c r="BM99" s="59">
        <f t="shared" si="38"/>
        <v>45324</v>
      </c>
      <c r="BN99" s="51">
        <f t="shared" si="45"/>
        <v>43141</v>
      </c>
      <c r="BO99" s="54">
        <f t="shared" si="39"/>
        <v>2183</v>
      </c>
      <c r="BP99" s="4" t="s">
        <v>363</v>
      </c>
      <c r="BQ99" s="4" t="s">
        <v>51</v>
      </c>
      <c r="BR99" s="18" t="s">
        <v>1311</v>
      </c>
      <c r="BS99" s="18" t="s">
        <v>2445</v>
      </c>
      <c r="BT99" s="54" t="str">
        <f t="shared" si="40"/>
        <v>Product</v>
      </c>
      <c r="BV99" s="4" t="s">
        <v>363</v>
      </c>
      <c r="BW99" s="4" t="s">
        <v>364</v>
      </c>
      <c r="BX99" s="14" t="s">
        <v>1720</v>
      </c>
      <c r="BY99" s="14" t="s">
        <v>575</v>
      </c>
      <c r="BZ99" s="54" t="str">
        <f t="shared" si="41"/>
        <v>Prasant Samal</v>
      </c>
      <c r="CB99" s="18" t="s">
        <v>5219</v>
      </c>
      <c r="CC99" s="4" t="s">
        <v>364</v>
      </c>
      <c r="CD99" s="4" t="s">
        <v>69</v>
      </c>
      <c r="CE99" s="54" t="str">
        <v>Not Found</v>
      </c>
      <c r="CG99" s="54" t="str">
        <f>IFERROR(_xlfn.XLOOKUP(Hiring!A99,Hiring!A99:A498,Hiring!B99:B498,,0),"Not Found")</f>
        <v>Smita Choudhury</v>
      </c>
    </row>
    <row r="100" spans="2:85">
      <c r="B100" s="100"/>
      <c r="F100" s="3">
        <v>2.9</v>
      </c>
      <c r="G100" s="52" t="str" cm="1">
        <f t="array" ref="G100">_xlfn.IFS(F100&gt;=4.5,"Excellent",AND(F100&gt;=3.5,F100&lt;=4.4),"Good",F100&lt;3.5,"Needs Improvement")</f>
        <v>Needs Improvement</v>
      </c>
      <c r="I100" s="12">
        <v>72.95</v>
      </c>
      <c r="J100" s="12">
        <v>74.099999999999994</v>
      </c>
      <c r="K100" s="54" t="str">
        <f t="shared" si="23"/>
        <v>Over Budget</v>
      </c>
      <c r="M100" s="19">
        <v>205441</v>
      </c>
      <c r="N100" s="19">
        <v>189712</v>
      </c>
      <c r="O100" s="54" t="str">
        <f t="shared" si="24"/>
        <v>Yes</v>
      </c>
      <c r="Q100" s="19">
        <v>10.48</v>
      </c>
      <c r="R100" s="56" t="str">
        <f t="shared" si="25"/>
        <v>Yes</v>
      </c>
      <c r="W100" s="19" t="s">
        <v>1311</v>
      </c>
      <c r="X100" s="54" t="str">
        <f>VLOOKUP(W100,Employees!$A$1:$B$601,2,FALSE)</f>
        <v>Namita Padhi</v>
      </c>
      <c r="Z100" s="3" t="s">
        <v>366</v>
      </c>
      <c r="AA100" s="54" t="str">
        <f t="shared" si="27"/>
        <v>0099</v>
      </c>
      <c r="AC100" s="3" t="s">
        <v>51</v>
      </c>
      <c r="AD100" s="54" t="str">
        <f t="shared" si="28"/>
        <v>Sales</v>
      </c>
      <c r="AF100" s="3" t="s">
        <v>367</v>
      </c>
      <c r="AG100" s="3" t="s">
        <v>51</v>
      </c>
      <c r="AH100" s="3" t="s">
        <v>32</v>
      </c>
      <c r="AI100" s="54" t="str">
        <f t="shared" si="29"/>
        <v>Tapas Padhi|Sales|NilGiri Digitals</v>
      </c>
      <c r="AK100" s="3" t="s">
        <v>367</v>
      </c>
      <c r="AL100" s="38" t="str">
        <f t="shared" si="30"/>
        <v>T.P.</v>
      </c>
      <c r="AN100" s="19" t="s">
        <v>5016</v>
      </c>
      <c r="AO100" s="54" t="b">
        <f t="shared" si="31"/>
        <v>0</v>
      </c>
      <c r="AQ100" s="3" t="s">
        <v>367</v>
      </c>
      <c r="AR100" s="52" t="str">
        <f t="shared" si="32"/>
        <v>NO</v>
      </c>
      <c r="AT100" s="12" t="s">
        <v>1640</v>
      </c>
      <c r="AU100" s="54">
        <f t="shared" si="33"/>
        <v>17</v>
      </c>
      <c r="AW100" s="54">
        <f ca="1">DATEDIF(BI100,TODAY(),"Y")</f>
        <v>4</v>
      </c>
      <c r="AX100" s="54"/>
      <c r="AY100" s="40" t="s">
        <v>5222</v>
      </c>
      <c r="AZ100" s="44">
        <f t="shared" si="34"/>
        <v>45332</v>
      </c>
      <c r="BA100" s="54" t="str">
        <f t="shared" si="35"/>
        <v>2-2024</v>
      </c>
      <c r="BC100" s="13" t="s">
        <v>1916</v>
      </c>
      <c r="BD100" s="13">
        <f t="shared" si="36"/>
        <v>44766</v>
      </c>
      <c r="BE100" s="45" t="s">
        <v>1632</v>
      </c>
      <c r="BF100" s="54" t="str">
        <f t="shared" ca="1" si="37"/>
        <v>Overdue</v>
      </c>
      <c r="BH100" s="3" t="s">
        <v>368</v>
      </c>
      <c r="BI100" s="51">
        <f t="shared" si="42"/>
        <v>44517</v>
      </c>
      <c r="BJ100" s="38">
        <f t="shared" ca="1" si="43"/>
        <v>1238</v>
      </c>
      <c r="BK100" s="38"/>
      <c r="BL100" s="38" t="str">
        <f t="shared" si="44"/>
        <v>No</v>
      </c>
      <c r="BM100" s="59">
        <f t="shared" si="38"/>
        <v>45332</v>
      </c>
      <c r="BN100" s="51">
        <f t="shared" si="45"/>
        <v>44517</v>
      </c>
      <c r="BO100" s="54">
        <f t="shared" si="39"/>
        <v>815</v>
      </c>
      <c r="BP100" s="3" t="s">
        <v>366</v>
      </c>
      <c r="BQ100" s="3" t="s">
        <v>51</v>
      </c>
      <c r="BR100" s="19" t="s">
        <v>1311</v>
      </c>
      <c r="BS100" s="19" t="s">
        <v>2446</v>
      </c>
      <c r="BT100" s="54" t="str">
        <f t="shared" si="40"/>
        <v>Product</v>
      </c>
      <c r="BV100" s="3" t="s">
        <v>366</v>
      </c>
      <c r="BW100" s="3" t="s">
        <v>367</v>
      </c>
      <c r="BX100" s="12" t="s">
        <v>1640</v>
      </c>
      <c r="BY100" s="12" t="s">
        <v>675</v>
      </c>
      <c r="BZ100" s="54" t="str">
        <f t="shared" si="41"/>
        <v>Puspita Parida</v>
      </c>
      <c r="CB100" s="19" t="s">
        <v>485</v>
      </c>
      <c r="CC100" s="3" t="s">
        <v>367</v>
      </c>
      <c r="CD100" s="3" t="s">
        <v>105</v>
      </c>
      <c r="CE100" s="54" t="str">
        <v>Senior QA</v>
      </c>
      <c r="CG100" s="54" t="str">
        <f>IFERROR(_xlfn.XLOOKUP(Hiring!A100,Hiring!A100:A499,Hiring!B100:B499,,0),"Not Found")</f>
        <v>Satyajit Dhal</v>
      </c>
    </row>
    <row r="101" spans="2:85">
      <c r="B101" s="100"/>
      <c r="F101" s="4">
        <v>2.5</v>
      </c>
      <c r="G101" s="52" t="str" cm="1">
        <f t="array" ref="G101">_xlfn.IFS(F101&gt;=4.5,"Excellent",AND(F101&gt;=3.5,F101&lt;=4.4),"Good",F101&lt;3.5,"Needs Improvement")</f>
        <v>Needs Improvement</v>
      </c>
      <c r="I101" s="14">
        <v>30.47</v>
      </c>
      <c r="J101" s="14">
        <v>35.380000000000003</v>
      </c>
      <c r="K101" s="54" t="str">
        <f t="shared" si="23"/>
        <v>Over Budget</v>
      </c>
      <c r="M101" s="18">
        <v>141399</v>
      </c>
      <c r="N101" s="18">
        <v>140917</v>
      </c>
      <c r="O101" s="54" t="str">
        <f t="shared" si="24"/>
        <v>Yes</v>
      </c>
      <c r="Q101" s="18">
        <v>8.76</v>
      </c>
      <c r="R101" s="56" t="str">
        <f t="shared" si="25"/>
        <v>Yes</v>
      </c>
      <c r="W101" s="18" t="s">
        <v>1311</v>
      </c>
      <c r="X101" s="54" t="str">
        <f>VLOOKUP(W101,Employees!$A$1:$B$601,2,FALSE)</f>
        <v>Namita Padhi</v>
      </c>
      <c r="Z101" s="4" t="s">
        <v>369</v>
      </c>
      <c r="AA101" s="54" t="str">
        <f t="shared" si="27"/>
        <v>0100</v>
      </c>
      <c r="AC101" s="4" t="s">
        <v>24</v>
      </c>
      <c r="AD101" s="54" t="str">
        <f t="shared" si="28"/>
        <v>Design</v>
      </c>
      <c r="AF101" s="4" t="s">
        <v>31</v>
      </c>
      <c r="AG101" s="4" t="s">
        <v>24</v>
      </c>
      <c r="AH101" s="4" t="s">
        <v>32</v>
      </c>
      <c r="AI101" s="54" t="str">
        <f t="shared" si="29"/>
        <v>Subhasree Dhal|Design|NilGiri Digitals</v>
      </c>
      <c r="AK101" s="4" t="s">
        <v>31</v>
      </c>
      <c r="AL101" s="38" t="str">
        <f t="shared" si="30"/>
        <v>S.D.</v>
      </c>
      <c r="AN101" s="18" t="s">
        <v>5051</v>
      </c>
      <c r="AO101" s="54" t="str">
        <f t="shared" si="31"/>
        <v>Naukri</v>
      </c>
      <c r="AQ101" s="4" t="s">
        <v>31</v>
      </c>
      <c r="AR101" s="52" t="str">
        <f t="shared" si="32"/>
        <v>NO</v>
      </c>
      <c r="AT101" s="14" t="s">
        <v>1763</v>
      </c>
      <c r="AU101" s="54">
        <f t="shared" si="33"/>
        <v>19</v>
      </c>
      <c r="AW101" s="54">
        <f ca="1">DATEDIF(BI101,TODAY(),"Y")</f>
        <v>4</v>
      </c>
      <c r="AX101" s="54"/>
      <c r="AY101" s="41" t="s">
        <v>5225</v>
      </c>
      <c r="AZ101" s="44">
        <f t="shared" si="34"/>
        <v>45354</v>
      </c>
      <c r="BA101" s="54" t="str">
        <f t="shared" si="35"/>
        <v>3-2024</v>
      </c>
      <c r="BC101" s="15" t="s">
        <v>1918</v>
      </c>
      <c r="BD101" s="13">
        <f t="shared" si="36"/>
        <v>45642</v>
      </c>
      <c r="BE101" s="46" t="s">
        <v>1614</v>
      </c>
      <c r="BF101" s="54" t="str">
        <f t="shared" ca="1" si="37"/>
        <v>Overdue</v>
      </c>
      <c r="BH101" s="4" t="s">
        <v>370</v>
      </c>
      <c r="BI101" s="51">
        <f t="shared" si="42"/>
        <v>44704</v>
      </c>
      <c r="BJ101" s="38">
        <f t="shared" ca="1" si="43"/>
        <v>1105</v>
      </c>
      <c r="BK101" s="38"/>
      <c r="BL101" s="38" t="str">
        <f t="shared" si="44"/>
        <v>No</v>
      </c>
      <c r="BM101" s="59">
        <f t="shared" si="38"/>
        <v>45354</v>
      </c>
      <c r="BN101" s="51">
        <f t="shared" si="45"/>
        <v>44704</v>
      </c>
      <c r="BO101" s="54">
        <f t="shared" si="39"/>
        <v>650</v>
      </c>
      <c r="BP101" s="4" t="s">
        <v>369</v>
      </c>
      <c r="BQ101" s="4" t="s">
        <v>24</v>
      </c>
      <c r="BR101" s="18" t="s">
        <v>1311</v>
      </c>
      <c r="BS101" s="18" t="s">
        <v>2448</v>
      </c>
      <c r="BT101" s="54" t="str">
        <f t="shared" si="40"/>
        <v>Product</v>
      </c>
      <c r="BV101" s="4" t="s">
        <v>369</v>
      </c>
      <c r="BW101" s="4" t="s">
        <v>31</v>
      </c>
      <c r="BX101" s="14" t="s">
        <v>1763</v>
      </c>
      <c r="BY101" s="14" t="s">
        <v>60</v>
      </c>
      <c r="BZ101" s="54" t="str">
        <f t="shared" si="41"/>
        <v>Tanmay Nanda</v>
      </c>
      <c r="CB101" s="18" t="s">
        <v>5224</v>
      </c>
      <c r="CC101" s="4" t="s">
        <v>31</v>
      </c>
      <c r="CD101" s="4" t="s">
        <v>74</v>
      </c>
      <c r="CE101" s="54" t="str">
        <v>Not Found</v>
      </c>
      <c r="CG101" s="54" t="str">
        <f>IFERROR(_xlfn.XLOOKUP(Hiring!A101,Hiring!A101:A500,Hiring!B101:B500,,0),"Not Found")</f>
        <v>Smita Ratha</v>
      </c>
    </row>
    <row r="102" spans="2:85">
      <c r="B102" s="100"/>
      <c r="F102" s="3">
        <v>1.9</v>
      </c>
      <c r="G102" s="52" t="str" cm="1">
        <f t="array" ref="G102">_xlfn.IFS(F102&gt;=4.5,"Excellent",AND(F102&gt;=3.5,F102&lt;=4.4),"Good",F102&lt;3.5,"Needs Improvement")</f>
        <v>Needs Improvement</v>
      </c>
      <c r="I102" s="12">
        <v>149.75</v>
      </c>
      <c r="J102" s="12">
        <v>128.30000000000001</v>
      </c>
      <c r="K102" s="54" t="str">
        <f t="shared" si="23"/>
        <v>Within Budget</v>
      </c>
      <c r="M102" s="19">
        <v>68652</v>
      </c>
      <c r="N102" s="19">
        <v>60954</v>
      </c>
      <c r="O102" s="54" t="str">
        <f t="shared" si="24"/>
        <v>Yes</v>
      </c>
      <c r="Q102" s="19">
        <v>7.77</v>
      </c>
      <c r="R102" s="56" t="str">
        <f t="shared" si="25"/>
        <v>Yes</v>
      </c>
      <c r="W102" s="19" t="s">
        <v>1311</v>
      </c>
      <c r="X102" s="54" t="str">
        <f>VLOOKUP(W102,Employees!$A$1:$B$601,2,FALSE)</f>
        <v>Namita Padhi</v>
      </c>
      <c r="Z102" s="3" t="s">
        <v>371</v>
      </c>
      <c r="AA102" s="54" t="str">
        <f t="shared" si="27"/>
        <v>0101</v>
      </c>
      <c r="AC102" s="3" t="s">
        <v>39</v>
      </c>
      <c r="AD102" s="54" t="str">
        <f t="shared" si="28"/>
        <v>Engineering</v>
      </c>
      <c r="AF102" s="3" t="s">
        <v>372</v>
      </c>
      <c r="AG102" s="3" t="s">
        <v>39</v>
      </c>
      <c r="AH102" s="3" t="s">
        <v>149</v>
      </c>
      <c r="AI102" s="54" t="str">
        <f t="shared" si="29"/>
        <v>Saurav Mahapatra|Engineering|SilverByte Systems</v>
      </c>
      <c r="AK102" s="3" t="s">
        <v>372</v>
      </c>
      <c r="AL102" s="38" t="str">
        <f t="shared" si="30"/>
        <v>S.M.</v>
      </c>
      <c r="AN102" s="19" t="s">
        <v>5023</v>
      </c>
      <c r="AO102" s="54" t="str">
        <f t="shared" si="31"/>
        <v>Linkedln</v>
      </c>
      <c r="AQ102" s="3" t="s">
        <v>372</v>
      </c>
      <c r="AR102" s="52" t="str">
        <f t="shared" si="32"/>
        <v>NO</v>
      </c>
      <c r="AT102" s="12" t="s">
        <v>1709</v>
      </c>
      <c r="AU102" s="54">
        <f t="shared" si="33"/>
        <v>18</v>
      </c>
      <c r="AW102" s="54">
        <f ca="1">DATEDIF(BI102,TODAY(),"Y")</f>
        <v>8</v>
      </c>
      <c r="AX102" s="54"/>
      <c r="AY102" s="40" t="s">
        <v>5227</v>
      </c>
      <c r="AZ102" s="44">
        <f t="shared" si="34"/>
        <v>45080</v>
      </c>
      <c r="BA102" s="54" t="str">
        <f t="shared" si="35"/>
        <v>6-2023</v>
      </c>
      <c r="BC102" s="13" t="s">
        <v>1920</v>
      </c>
      <c r="BD102" s="13">
        <f t="shared" si="36"/>
        <v>45431</v>
      </c>
      <c r="BE102" s="45" t="s">
        <v>1656</v>
      </c>
      <c r="BF102" s="54" t="str">
        <f t="shared" ca="1" si="37"/>
        <v>Overdue</v>
      </c>
      <c r="BH102" s="3" t="s">
        <v>373</v>
      </c>
      <c r="BI102" s="51">
        <f t="shared" si="42"/>
        <v>43176</v>
      </c>
      <c r="BJ102" s="38">
        <f t="shared" ca="1" si="43"/>
        <v>2195</v>
      </c>
      <c r="BK102" s="38"/>
      <c r="BL102" s="38" t="str">
        <f t="shared" si="44"/>
        <v>Q1</v>
      </c>
      <c r="BM102" s="59">
        <f t="shared" si="38"/>
        <v>45080</v>
      </c>
      <c r="BN102" s="51">
        <f t="shared" si="45"/>
        <v>43176</v>
      </c>
      <c r="BO102" s="54">
        <f t="shared" si="39"/>
        <v>1904</v>
      </c>
      <c r="BP102" s="3" t="s">
        <v>371</v>
      </c>
      <c r="BQ102" s="3" t="s">
        <v>39</v>
      </c>
      <c r="BR102" s="19" t="s">
        <v>1311</v>
      </c>
      <c r="BS102" s="19" t="s">
        <v>2451</v>
      </c>
      <c r="BT102" s="54" t="str">
        <f t="shared" si="40"/>
        <v>Product</v>
      </c>
      <c r="BV102" s="3" t="s">
        <v>371</v>
      </c>
      <c r="BW102" s="3" t="s">
        <v>372</v>
      </c>
      <c r="BX102" s="12" t="s">
        <v>1709</v>
      </c>
      <c r="BY102" s="12" t="s">
        <v>459</v>
      </c>
      <c r="BZ102" s="54" t="str">
        <f t="shared" si="41"/>
        <v>Debasmita Prusty</v>
      </c>
      <c r="CB102" s="19" t="s">
        <v>964</v>
      </c>
      <c r="CC102" s="3" t="s">
        <v>372</v>
      </c>
      <c r="CD102" s="3" t="s">
        <v>242</v>
      </c>
      <c r="CE102" s="54" t="str">
        <v>QA Engineer</v>
      </c>
      <c r="CG102" s="54" t="str">
        <f>IFERROR(_xlfn.XLOOKUP(Hiring!A102,Hiring!A102:A501,Hiring!B102:B501,,0),"Not Found")</f>
        <v>Aditya Sahu</v>
      </c>
    </row>
    <row r="103" spans="2:85">
      <c r="B103" s="100"/>
      <c r="F103" s="4">
        <v>3.4</v>
      </c>
      <c r="G103" s="52" t="str" cm="1">
        <f t="array" ref="G103">_xlfn.IFS(F103&gt;=4.5,"Excellent",AND(F103&gt;=3.5,F103&lt;=4.4),"Good",F103&lt;3.5,"Needs Improvement")</f>
        <v>Needs Improvement</v>
      </c>
      <c r="I103" s="14">
        <v>69.56</v>
      </c>
      <c r="J103" s="14">
        <v>80.52</v>
      </c>
      <c r="K103" s="54" t="str">
        <f t="shared" si="23"/>
        <v>Over Budget</v>
      </c>
      <c r="M103" s="18">
        <v>194286</v>
      </c>
      <c r="N103" s="18">
        <v>176308</v>
      </c>
      <c r="O103" s="54" t="str">
        <f t="shared" si="24"/>
        <v>Yes</v>
      </c>
      <c r="Q103" s="18">
        <v>10.65</v>
      </c>
      <c r="R103" s="56" t="str">
        <f t="shared" si="25"/>
        <v>Yes</v>
      </c>
      <c r="W103" s="18" t="s">
        <v>1311</v>
      </c>
      <c r="X103" s="54" t="str">
        <f>VLOOKUP(W103,Employees!$A$1:$B$601,2,FALSE)</f>
        <v>Namita Padhi</v>
      </c>
      <c r="Z103" s="4" t="s">
        <v>374</v>
      </c>
      <c r="AA103" s="54" t="str">
        <f t="shared" si="27"/>
        <v>0102</v>
      </c>
      <c r="AC103" s="4" t="s">
        <v>89</v>
      </c>
      <c r="AD103" s="54" t="str">
        <f t="shared" si="28"/>
        <v>Data Science</v>
      </c>
      <c r="AF103" s="4" t="s">
        <v>375</v>
      </c>
      <c r="AG103" s="4" t="s">
        <v>89</v>
      </c>
      <c r="AH103" s="4" t="s">
        <v>70</v>
      </c>
      <c r="AI103" s="54" t="str">
        <f t="shared" si="29"/>
        <v>Sangita Parida|Data Science|OdishaCode Labs</v>
      </c>
      <c r="AK103" s="4" t="s">
        <v>375</v>
      </c>
      <c r="AL103" s="38" t="str">
        <f t="shared" si="30"/>
        <v>S.P.</v>
      </c>
      <c r="AN103" s="18" t="s">
        <v>5019</v>
      </c>
      <c r="AO103" s="54" t="str">
        <f t="shared" si="31"/>
        <v>Linkedln</v>
      </c>
      <c r="AQ103" s="4" t="s">
        <v>375</v>
      </c>
      <c r="AR103" s="52" t="str">
        <f t="shared" si="32"/>
        <v>NO</v>
      </c>
      <c r="AT103" s="14" t="s">
        <v>1693</v>
      </c>
      <c r="AU103" s="54">
        <f t="shared" si="33"/>
        <v>17</v>
      </c>
      <c r="AW103" s="54">
        <f ca="1">DATEDIF(BI103,TODAY(),"Y")</f>
        <v>3</v>
      </c>
      <c r="AX103" s="54"/>
      <c r="AY103" s="41" t="s">
        <v>2050</v>
      </c>
      <c r="AZ103" s="44">
        <f t="shared" si="34"/>
        <v>45035</v>
      </c>
      <c r="BA103" s="54" t="str">
        <f t="shared" si="35"/>
        <v>4-2023</v>
      </c>
      <c r="BC103" s="15" t="s">
        <v>1923</v>
      </c>
      <c r="BD103" s="13">
        <f t="shared" si="36"/>
        <v>45404</v>
      </c>
      <c r="BE103" s="46" t="s">
        <v>1632</v>
      </c>
      <c r="BF103" s="54" t="str">
        <f t="shared" ca="1" si="37"/>
        <v>Overdue</v>
      </c>
      <c r="BH103" s="4" t="s">
        <v>355</v>
      </c>
      <c r="BI103" s="51">
        <f t="shared" si="42"/>
        <v>44793</v>
      </c>
      <c r="BJ103" s="38">
        <f t="shared" ca="1" si="43"/>
        <v>1040</v>
      </c>
      <c r="BK103" s="38"/>
      <c r="BL103" s="38" t="str">
        <f t="shared" si="44"/>
        <v>No</v>
      </c>
      <c r="BM103" s="59">
        <f t="shared" si="38"/>
        <v>45035</v>
      </c>
      <c r="BN103" s="51">
        <f t="shared" si="45"/>
        <v>44793</v>
      </c>
      <c r="BO103" s="54">
        <f t="shared" si="39"/>
        <v>242</v>
      </c>
      <c r="BP103" s="4" t="s">
        <v>374</v>
      </c>
      <c r="BQ103" s="4" t="s">
        <v>89</v>
      </c>
      <c r="BR103" s="18" t="s">
        <v>1311</v>
      </c>
      <c r="BS103" s="18" t="s">
        <v>2454</v>
      </c>
      <c r="BT103" s="54" t="str">
        <f t="shared" si="40"/>
        <v>Product</v>
      </c>
      <c r="BV103" s="4" t="s">
        <v>374</v>
      </c>
      <c r="BW103" s="4" t="s">
        <v>375</v>
      </c>
      <c r="BX103" s="14" t="s">
        <v>1693</v>
      </c>
      <c r="BY103" s="14" t="s">
        <v>296</v>
      </c>
      <c r="BZ103" s="54" t="str">
        <f t="shared" si="41"/>
        <v>Debasmita Sahoo</v>
      </c>
      <c r="CB103" s="18" t="s">
        <v>932</v>
      </c>
      <c r="CC103" s="4" t="s">
        <v>375</v>
      </c>
      <c r="CD103" s="4" t="s">
        <v>376</v>
      </c>
      <c r="CE103" s="54" t="str">
        <v>Business Developer</v>
      </c>
      <c r="CG103" s="54" t="str">
        <f>IFERROR(_xlfn.XLOOKUP(Hiring!A103,Hiring!A103:A502,Hiring!B103:B502,,0),"Not Found")</f>
        <v>Nirmal Routray</v>
      </c>
    </row>
    <row r="104" spans="2:85">
      <c r="B104" s="100"/>
      <c r="F104" s="3">
        <v>3.8</v>
      </c>
      <c r="G104" s="52" t="str" cm="1">
        <f t="array" ref="G104">_xlfn.IFS(F104&gt;=4.5,"Excellent",AND(F104&gt;=3.5,F104&lt;=4.4),"Good",F104&lt;3.5,"Needs Improvement")</f>
        <v>Good</v>
      </c>
      <c r="I104" s="12"/>
      <c r="J104" s="12">
        <v>34.06</v>
      </c>
      <c r="K104" s="54" t="str">
        <f t="shared" si="23"/>
        <v>Over Budget</v>
      </c>
      <c r="M104" s="19">
        <v>147075</v>
      </c>
      <c r="N104" s="19">
        <v>171663</v>
      </c>
      <c r="O104" s="54" t="str">
        <f t="shared" si="24"/>
        <v>Yes</v>
      </c>
      <c r="Q104" s="19">
        <v>6.82</v>
      </c>
      <c r="R104" s="56" t="str">
        <f t="shared" si="25"/>
        <v>Yes</v>
      </c>
      <c r="W104" s="19" t="s">
        <v>1311</v>
      </c>
      <c r="X104" s="54" t="str">
        <f>VLOOKUP(W104,Employees!$A$1:$B$601,2,FALSE)</f>
        <v>Namita Padhi</v>
      </c>
      <c r="Z104" s="3" t="s">
        <v>377</v>
      </c>
      <c r="AA104" s="54" t="str">
        <f t="shared" si="27"/>
        <v>0103</v>
      </c>
      <c r="AC104" s="3" t="s">
        <v>39</v>
      </c>
      <c r="AD104" s="54" t="str">
        <f t="shared" si="28"/>
        <v>Engineering</v>
      </c>
      <c r="AF104" s="3" t="s">
        <v>378</v>
      </c>
      <c r="AG104" s="3" t="s">
        <v>39</v>
      </c>
      <c r="AH104" s="3" t="s">
        <v>32</v>
      </c>
      <c r="AI104" s="54" t="str">
        <f t="shared" si="29"/>
        <v>Tapas Samal|Engineering|NilGiri Digitals</v>
      </c>
      <c r="AK104" s="3" t="s">
        <v>378</v>
      </c>
      <c r="AL104" s="38" t="str">
        <f t="shared" si="30"/>
        <v>T.S.</v>
      </c>
      <c r="AN104" s="19" t="s">
        <v>5016</v>
      </c>
      <c r="AO104" s="54" t="b">
        <f t="shared" si="31"/>
        <v>0</v>
      </c>
      <c r="AQ104" s="3" t="s">
        <v>378</v>
      </c>
      <c r="AR104" s="52" t="str">
        <f t="shared" si="32"/>
        <v>NO</v>
      </c>
      <c r="AT104" s="12" t="s">
        <v>1699</v>
      </c>
      <c r="AU104" s="54">
        <f t="shared" si="33"/>
        <v>18</v>
      </c>
      <c r="AW104" s="54">
        <f ca="1">DATEDIF(BI104,TODAY(),"Y")</f>
        <v>3</v>
      </c>
      <c r="AX104" s="54"/>
      <c r="AY104" s="40" t="s">
        <v>5231</v>
      </c>
      <c r="AZ104" s="44">
        <f t="shared" si="34"/>
        <v>45462</v>
      </c>
      <c r="BA104" s="54" t="str">
        <f t="shared" si="35"/>
        <v>6-2024</v>
      </c>
      <c r="BC104" s="13" t="s">
        <v>1926</v>
      </c>
      <c r="BD104" s="13">
        <f t="shared" si="36"/>
        <v>45061</v>
      </c>
      <c r="BE104" s="45" t="s">
        <v>1614</v>
      </c>
      <c r="BF104" s="54" t="str">
        <f t="shared" ca="1" si="37"/>
        <v>Overdue</v>
      </c>
      <c r="BH104" s="3" t="s">
        <v>379</v>
      </c>
      <c r="BI104" s="51">
        <f t="shared" si="42"/>
        <v>44792</v>
      </c>
      <c r="BJ104" s="38">
        <f t="shared" ca="1" si="43"/>
        <v>1041</v>
      </c>
      <c r="BK104" s="38"/>
      <c r="BL104" s="38" t="str">
        <f t="shared" si="44"/>
        <v>No</v>
      </c>
      <c r="BM104" s="59">
        <f t="shared" si="38"/>
        <v>45462</v>
      </c>
      <c r="BN104" s="51">
        <f t="shared" si="45"/>
        <v>44792</v>
      </c>
      <c r="BO104" s="54">
        <f t="shared" si="39"/>
        <v>670</v>
      </c>
      <c r="BP104" s="3" t="s">
        <v>377</v>
      </c>
      <c r="BQ104" s="3" t="s">
        <v>39</v>
      </c>
      <c r="BR104" s="19" t="s">
        <v>1311</v>
      </c>
      <c r="BS104" s="19" t="s">
        <v>2456</v>
      </c>
      <c r="BT104" s="54" t="str">
        <f t="shared" si="40"/>
        <v>Product</v>
      </c>
      <c r="BV104" s="3" t="s">
        <v>377</v>
      </c>
      <c r="BW104" s="3" t="s">
        <v>378</v>
      </c>
      <c r="BX104" s="12" t="s">
        <v>1699</v>
      </c>
      <c r="BY104" s="12" t="s">
        <v>993</v>
      </c>
      <c r="BZ104" s="54" t="str">
        <f t="shared" si="41"/>
        <v>Rajan Mishra</v>
      </c>
      <c r="CB104" s="19" t="s">
        <v>5230</v>
      </c>
      <c r="CC104" s="3" t="s">
        <v>378</v>
      </c>
      <c r="CD104" s="3" t="s">
        <v>79</v>
      </c>
      <c r="CE104" s="54" t="str">
        <v>Not Found</v>
      </c>
      <c r="CG104" s="54" t="str">
        <f>IFERROR(_xlfn.XLOOKUP(Hiring!A104,Hiring!A104:A503,Hiring!B104:B503,,0),"Not Found")</f>
        <v>Rajan Ratha</v>
      </c>
    </row>
    <row r="105" spans="2:85">
      <c r="B105" s="100"/>
      <c r="F105" s="4">
        <v>3</v>
      </c>
      <c r="G105" s="52" t="str" cm="1">
        <f t="array" ref="G105">_xlfn.IFS(F105&gt;=4.5,"Excellent",AND(F105&gt;=3.5,F105&lt;=4.4),"Good",F105&lt;3.5,"Needs Improvement")</f>
        <v>Needs Improvement</v>
      </c>
      <c r="I105" s="14">
        <v>138.18</v>
      </c>
      <c r="J105" s="14">
        <v>155.53</v>
      </c>
      <c r="K105" s="54" t="str">
        <f t="shared" si="23"/>
        <v>Over Budget</v>
      </c>
      <c r="M105" s="18">
        <v>116255</v>
      </c>
      <c r="N105" s="18">
        <v>101358</v>
      </c>
      <c r="O105" s="54" t="str">
        <f t="shared" si="24"/>
        <v>Yes</v>
      </c>
      <c r="Q105" s="18">
        <v>7.82</v>
      </c>
      <c r="R105" s="56" t="str">
        <f t="shared" si="25"/>
        <v>Yes</v>
      </c>
      <c r="W105" s="18" t="s">
        <v>1311</v>
      </c>
      <c r="X105" s="54" t="str">
        <f>VLOOKUP(W105,Employees!$A$1:$B$601,2,FALSE)</f>
        <v>Namita Padhi</v>
      </c>
      <c r="Z105" s="4" t="s">
        <v>380</v>
      </c>
      <c r="AA105" s="54" t="str">
        <f t="shared" si="27"/>
        <v>0104</v>
      </c>
      <c r="AC105" s="4" t="s">
        <v>133</v>
      </c>
      <c r="AD105" s="54" t="str">
        <f t="shared" si="28"/>
        <v>Qa</v>
      </c>
      <c r="AF105" s="4" t="s">
        <v>187</v>
      </c>
      <c r="AG105" s="4" t="s">
        <v>133</v>
      </c>
      <c r="AH105" s="4" t="s">
        <v>214</v>
      </c>
      <c r="AI105" s="54" t="str">
        <f t="shared" si="29"/>
        <v>Puspita Nanda|QA|ZeroOneSystems</v>
      </c>
      <c r="AK105" s="4" t="s">
        <v>187</v>
      </c>
      <c r="AL105" s="38" t="str">
        <f t="shared" si="30"/>
        <v>P.N.</v>
      </c>
      <c r="AN105" s="18" t="s">
        <v>5060</v>
      </c>
      <c r="AO105" s="54" t="str">
        <f t="shared" si="31"/>
        <v>Naukri</v>
      </c>
      <c r="AQ105" s="4" t="s">
        <v>187</v>
      </c>
      <c r="AR105" s="52" t="str">
        <f t="shared" si="32"/>
        <v>NO</v>
      </c>
      <c r="AT105" s="14" t="s">
        <v>1663</v>
      </c>
      <c r="AU105" s="54">
        <f t="shared" si="33"/>
        <v>18</v>
      </c>
      <c r="AW105" s="54">
        <f ca="1">DATEDIF(BI105,TODAY(),"Y")</f>
        <v>6</v>
      </c>
      <c r="AX105" s="54"/>
      <c r="AY105" s="41" t="s">
        <v>5234</v>
      </c>
      <c r="AZ105" s="44">
        <f t="shared" si="34"/>
        <v>45469</v>
      </c>
      <c r="BA105" s="54" t="str">
        <f t="shared" si="35"/>
        <v>6-2024</v>
      </c>
      <c r="BC105" s="15" t="s">
        <v>1928</v>
      </c>
      <c r="BD105" s="13">
        <f t="shared" si="36"/>
        <v>44594</v>
      </c>
      <c r="BE105" s="46" t="s">
        <v>1614</v>
      </c>
      <c r="BF105" s="54" t="str">
        <f t="shared" ca="1" si="37"/>
        <v>Overdue</v>
      </c>
      <c r="BH105" s="4" t="s">
        <v>381</v>
      </c>
      <c r="BI105" s="51">
        <f t="shared" si="42"/>
        <v>43957</v>
      </c>
      <c r="BJ105" s="38">
        <f t="shared" ca="1" si="43"/>
        <v>1638</v>
      </c>
      <c r="BK105" s="38"/>
      <c r="BL105" s="38" t="str">
        <f t="shared" si="44"/>
        <v>No</v>
      </c>
      <c r="BM105" s="59">
        <f t="shared" si="38"/>
        <v>45469</v>
      </c>
      <c r="BN105" s="51">
        <f t="shared" si="45"/>
        <v>43957</v>
      </c>
      <c r="BO105" s="54">
        <f t="shared" si="39"/>
        <v>1512</v>
      </c>
      <c r="BP105" s="4" t="s">
        <v>380</v>
      </c>
      <c r="BQ105" s="4" t="s">
        <v>133</v>
      </c>
      <c r="BR105" s="18" t="s">
        <v>1311</v>
      </c>
      <c r="BS105" s="18" t="s">
        <v>2459</v>
      </c>
      <c r="BT105" s="54" t="str">
        <f t="shared" si="40"/>
        <v>Product</v>
      </c>
      <c r="BV105" s="4" t="s">
        <v>380</v>
      </c>
      <c r="BW105" s="4" t="s">
        <v>187</v>
      </c>
      <c r="BX105" s="14" t="s">
        <v>1663</v>
      </c>
      <c r="BY105" s="14" t="s">
        <v>1313</v>
      </c>
      <c r="BZ105" s="54" t="str">
        <f t="shared" si="41"/>
        <v>Rahul Ratha</v>
      </c>
      <c r="CB105" s="18" t="s">
        <v>5233</v>
      </c>
      <c r="CC105" s="4" t="s">
        <v>187</v>
      </c>
      <c r="CD105" s="4" t="s">
        <v>153</v>
      </c>
      <c r="CE105" s="54" t="str">
        <v>Not Found</v>
      </c>
      <c r="CG105" s="54" t="str">
        <f>IFERROR(_xlfn.XLOOKUP(Hiring!A105,Hiring!A105:A504,Hiring!B105:B504,,0),"Not Found")</f>
        <v>Prasant Tripathy</v>
      </c>
    </row>
    <row r="106" spans="2:85">
      <c r="B106" s="100"/>
      <c r="F106" s="3">
        <v>2.5</v>
      </c>
      <c r="G106" s="52" t="str" cm="1">
        <f t="array" ref="G106">_xlfn.IFS(F106&gt;=4.5,"Excellent",AND(F106&gt;=3.5,F106&lt;=4.4),"Good",F106&lt;3.5,"Needs Improvement")</f>
        <v>Needs Improvement</v>
      </c>
      <c r="I106" s="12">
        <v>53.7</v>
      </c>
      <c r="J106" s="12">
        <v>43.35</v>
      </c>
      <c r="K106" s="54" t="str">
        <f t="shared" si="23"/>
        <v>Within Budget</v>
      </c>
      <c r="M106" s="19">
        <v>39261</v>
      </c>
      <c r="N106" s="19">
        <v>36251</v>
      </c>
      <c r="O106" s="54" t="str">
        <f t="shared" si="24"/>
        <v>Yes</v>
      </c>
      <c r="Q106" s="19">
        <v>9.14</v>
      </c>
      <c r="R106" s="56" t="str">
        <f t="shared" si="25"/>
        <v>Yes</v>
      </c>
      <c r="W106" s="19" t="s">
        <v>1311</v>
      </c>
      <c r="X106" s="54" t="str">
        <f>VLOOKUP(W106,Employees!$A$1:$B$601,2,FALSE)</f>
        <v>Namita Padhi</v>
      </c>
      <c r="Z106" s="3" t="s">
        <v>382</v>
      </c>
      <c r="AA106" s="54" t="str">
        <f t="shared" si="27"/>
        <v>0105</v>
      </c>
      <c r="AC106" s="3" t="s">
        <v>84</v>
      </c>
      <c r="AD106" s="54" t="str">
        <f t="shared" si="28"/>
        <v>Hr</v>
      </c>
      <c r="AF106" s="3" t="s">
        <v>383</v>
      </c>
      <c r="AG106" s="3" t="s">
        <v>84</v>
      </c>
      <c r="AH106" s="3" t="s">
        <v>32</v>
      </c>
      <c r="AI106" s="54" t="str">
        <f t="shared" si="29"/>
        <v>Barsha Mahapatra|HR|NilGiri Digitals</v>
      </c>
      <c r="AK106" s="3" t="s">
        <v>383</v>
      </c>
      <c r="AL106" s="38" t="str">
        <f t="shared" si="30"/>
        <v>B.M.</v>
      </c>
      <c r="AN106" s="19" t="s">
        <v>5077</v>
      </c>
      <c r="AO106" s="54" t="b">
        <f t="shared" si="31"/>
        <v>0</v>
      </c>
      <c r="AQ106" s="3" t="s">
        <v>383</v>
      </c>
      <c r="AR106" s="52" t="str">
        <f t="shared" si="32"/>
        <v>NO</v>
      </c>
      <c r="AT106" s="12" t="s">
        <v>1709</v>
      </c>
      <c r="AU106" s="54">
        <f t="shared" si="33"/>
        <v>18</v>
      </c>
      <c r="AW106" s="54">
        <f ca="1">DATEDIF(BI106,TODAY(),"Y")</f>
        <v>4</v>
      </c>
      <c r="AX106" s="54"/>
      <c r="AY106" s="40" t="s">
        <v>1984</v>
      </c>
      <c r="AZ106" s="44">
        <f t="shared" si="34"/>
        <v>45543</v>
      </c>
      <c r="BA106" s="54" t="str">
        <f t="shared" si="35"/>
        <v>9-2024</v>
      </c>
      <c r="BC106" s="13" t="s">
        <v>86</v>
      </c>
      <c r="BD106" s="13">
        <f t="shared" si="36"/>
        <v>45172</v>
      </c>
      <c r="BE106" s="45" t="s">
        <v>1614</v>
      </c>
      <c r="BF106" s="54" t="str">
        <f t="shared" ca="1" si="37"/>
        <v>Overdue</v>
      </c>
      <c r="BH106" s="3" t="s">
        <v>384</v>
      </c>
      <c r="BI106" s="51">
        <f t="shared" si="42"/>
        <v>44437</v>
      </c>
      <c r="BJ106" s="38">
        <f t="shared" ca="1" si="43"/>
        <v>1295</v>
      </c>
      <c r="BK106" s="38"/>
      <c r="BL106" s="38" t="str">
        <f t="shared" si="44"/>
        <v>No</v>
      </c>
      <c r="BM106" s="59">
        <f t="shared" si="38"/>
        <v>45543</v>
      </c>
      <c r="BN106" s="51">
        <f t="shared" si="45"/>
        <v>44437</v>
      </c>
      <c r="BO106" s="54">
        <f t="shared" si="39"/>
        <v>1106</v>
      </c>
      <c r="BP106" s="3" t="s">
        <v>382</v>
      </c>
      <c r="BQ106" s="3" t="s">
        <v>84</v>
      </c>
      <c r="BR106" s="19" t="s">
        <v>1311</v>
      </c>
      <c r="BS106" s="19" t="s">
        <v>2462</v>
      </c>
      <c r="BT106" s="54" t="str">
        <f t="shared" si="40"/>
        <v>Product</v>
      </c>
      <c r="BV106" s="3" t="s">
        <v>382</v>
      </c>
      <c r="BW106" s="3" t="s">
        <v>383</v>
      </c>
      <c r="BX106" s="12" t="s">
        <v>1709</v>
      </c>
      <c r="BY106" s="12" t="s">
        <v>652</v>
      </c>
      <c r="BZ106" s="54" t="str">
        <f t="shared" si="41"/>
        <v>Saurav Biswal</v>
      </c>
      <c r="CB106" s="19" t="s">
        <v>1123</v>
      </c>
      <c r="CC106" s="3" t="s">
        <v>383</v>
      </c>
      <c r="CD106" s="3" t="s">
        <v>138</v>
      </c>
      <c r="CE106" s="54" t="str">
        <v>Talent Acquisition</v>
      </c>
      <c r="CG106" s="54" t="str">
        <f>IFERROR(_xlfn.XLOOKUP(Hiring!A106,Hiring!A106:A505,Hiring!B106:B505,,0),"Not Found")</f>
        <v>Soumya Mohapatra</v>
      </c>
    </row>
    <row r="107" spans="2:85">
      <c r="B107" s="100"/>
      <c r="F107" s="4">
        <v>3.9</v>
      </c>
      <c r="G107" s="52" t="str" cm="1">
        <f t="array" ref="G107">_xlfn.IFS(F107&gt;=4.5,"Excellent",AND(F107&gt;=3.5,F107&lt;=4.4),"Good",F107&lt;3.5,"Needs Improvement")</f>
        <v>Good</v>
      </c>
      <c r="I107" s="14">
        <v>183.88</v>
      </c>
      <c r="J107" s="14">
        <v>214.92</v>
      </c>
      <c r="K107" s="54" t="str">
        <f t="shared" si="23"/>
        <v>Over Budget</v>
      </c>
      <c r="M107" s="18">
        <v>199283</v>
      </c>
      <c r="N107" s="18">
        <v>197317</v>
      </c>
      <c r="O107" s="54" t="str">
        <f t="shared" si="24"/>
        <v>Yes</v>
      </c>
      <c r="Q107" s="18">
        <v>6.8</v>
      </c>
      <c r="R107" s="56" t="str">
        <f t="shared" si="25"/>
        <v>Yes</v>
      </c>
      <c r="W107" s="18" t="s">
        <v>1311</v>
      </c>
      <c r="X107" s="54" t="str">
        <f>VLOOKUP(W107,Employees!$A$1:$B$601,2,FALSE)</f>
        <v>Namita Padhi</v>
      </c>
      <c r="Z107" s="4" t="s">
        <v>385</v>
      </c>
      <c r="AA107" s="54" t="str">
        <f t="shared" si="27"/>
        <v>0106</v>
      </c>
      <c r="AC107" s="4" t="s">
        <v>39</v>
      </c>
      <c r="AD107" s="54" t="str">
        <f t="shared" si="28"/>
        <v>Engineering</v>
      </c>
      <c r="AF107" s="4" t="s">
        <v>386</v>
      </c>
      <c r="AG107" s="4" t="s">
        <v>39</v>
      </c>
      <c r="AH107" s="4" t="s">
        <v>75</v>
      </c>
      <c r="AI107" s="54" t="str">
        <f t="shared" si="29"/>
        <v>Namita Sahoo|Engineering|KalingaTech Pvt Ltd</v>
      </c>
      <c r="AK107" s="4" t="s">
        <v>386</v>
      </c>
      <c r="AL107" s="38" t="str">
        <f t="shared" si="30"/>
        <v>N.S.</v>
      </c>
      <c r="AN107" s="18" t="s">
        <v>5060</v>
      </c>
      <c r="AO107" s="54" t="str">
        <f t="shared" si="31"/>
        <v>Naukri</v>
      </c>
      <c r="AQ107" s="4" t="s">
        <v>386</v>
      </c>
      <c r="AR107" s="52" t="str">
        <f t="shared" si="32"/>
        <v>NO</v>
      </c>
      <c r="AT107" s="14" t="s">
        <v>1653</v>
      </c>
      <c r="AU107" s="54">
        <f t="shared" si="33"/>
        <v>19</v>
      </c>
      <c r="AW107" s="54">
        <f ca="1">DATEDIF(BI107,TODAY(),"Y")</f>
        <v>6</v>
      </c>
      <c r="AX107" s="54"/>
      <c r="AY107" s="41" t="s">
        <v>2018</v>
      </c>
      <c r="AZ107" s="44">
        <f t="shared" si="34"/>
        <v>45617</v>
      </c>
      <c r="BA107" s="54" t="str">
        <f t="shared" si="35"/>
        <v>11-2024</v>
      </c>
      <c r="BC107" s="15" t="s">
        <v>1932</v>
      </c>
      <c r="BD107" s="13">
        <f t="shared" si="36"/>
        <v>44966</v>
      </c>
      <c r="BE107" s="46" t="s">
        <v>1632</v>
      </c>
      <c r="BF107" s="54" t="str">
        <f t="shared" ca="1" si="37"/>
        <v>Overdue</v>
      </c>
      <c r="BH107" s="4" t="s">
        <v>387</v>
      </c>
      <c r="BI107" s="51">
        <f t="shared" si="42"/>
        <v>43996</v>
      </c>
      <c r="BJ107" s="38">
        <f t="shared" ca="1" si="43"/>
        <v>1610</v>
      </c>
      <c r="BK107" s="38"/>
      <c r="BL107" s="38" t="str">
        <f t="shared" si="44"/>
        <v>No</v>
      </c>
      <c r="BM107" s="59">
        <f t="shared" si="38"/>
        <v>45617</v>
      </c>
      <c r="BN107" s="51">
        <f t="shared" si="45"/>
        <v>43996</v>
      </c>
      <c r="BO107" s="54">
        <f t="shared" si="39"/>
        <v>1621</v>
      </c>
      <c r="BP107" s="4" t="s">
        <v>385</v>
      </c>
      <c r="BQ107" s="4" t="s">
        <v>39</v>
      </c>
      <c r="BR107" s="18" t="s">
        <v>1311</v>
      </c>
      <c r="BS107" s="18" t="s">
        <v>2463</v>
      </c>
      <c r="BT107" s="54" t="str">
        <f t="shared" si="40"/>
        <v>Product</v>
      </c>
      <c r="BV107" s="4" t="s">
        <v>385</v>
      </c>
      <c r="BW107" s="4" t="s">
        <v>386</v>
      </c>
      <c r="BX107" s="14" t="s">
        <v>1653</v>
      </c>
      <c r="BY107" s="14" t="s">
        <v>1500</v>
      </c>
      <c r="BZ107" s="54" t="str">
        <f t="shared" si="41"/>
        <v>Satyajit Pattnaik</v>
      </c>
      <c r="CB107" s="18" t="s">
        <v>440</v>
      </c>
      <c r="CC107" s="4" t="s">
        <v>386</v>
      </c>
      <c r="CD107" s="4" t="s">
        <v>109</v>
      </c>
      <c r="CE107" s="54" t="str">
        <v>Brand Manager</v>
      </c>
      <c r="CG107" s="54" t="str">
        <f>IFERROR(_xlfn.XLOOKUP(Hiring!A107,Hiring!A107:A506,Hiring!B107:B506,,0),"Not Found")</f>
        <v>Satyajit Jena</v>
      </c>
    </row>
    <row r="108" spans="2:85">
      <c r="B108" s="100"/>
      <c r="F108" s="3">
        <v>4.3</v>
      </c>
      <c r="G108" s="52" t="str" cm="1">
        <f t="array" ref="G108">_xlfn.IFS(F108&gt;=4.5,"Excellent",AND(F108&gt;=3.5,F108&lt;=4.4),"Good",F108&lt;3.5,"Needs Improvement")</f>
        <v>Good</v>
      </c>
      <c r="I108" s="12">
        <v>41.85</v>
      </c>
      <c r="J108" s="12">
        <v>38.450000000000003</v>
      </c>
      <c r="K108" s="54" t="str">
        <f t="shared" si="23"/>
        <v>Within Budget</v>
      </c>
      <c r="M108" s="19">
        <v>84314</v>
      </c>
      <c r="N108" s="19">
        <v>76892</v>
      </c>
      <c r="O108" s="54" t="str">
        <f t="shared" si="24"/>
        <v>Yes</v>
      </c>
      <c r="Q108" s="19">
        <v>9.85</v>
      </c>
      <c r="R108" s="56" t="str">
        <f t="shared" si="25"/>
        <v>Yes</v>
      </c>
      <c r="W108" s="19" t="s">
        <v>1311</v>
      </c>
      <c r="X108" s="54" t="str">
        <f>VLOOKUP(W108,Employees!$A$1:$B$601,2,FALSE)</f>
        <v>Namita Padhi</v>
      </c>
      <c r="Z108" s="3" t="s">
        <v>388</v>
      </c>
      <c r="AA108" s="54" t="str">
        <f t="shared" si="27"/>
        <v>0107</v>
      </c>
      <c r="AC108" s="3" t="s">
        <v>24</v>
      </c>
      <c r="AD108" s="54" t="str">
        <f t="shared" si="28"/>
        <v>Design</v>
      </c>
      <c r="AF108" s="3" t="s">
        <v>389</v>
      </c>
      <c r="AG108" s="3" t="s">
        <v>24</v>
      </c>
      <c r="AH108" s="3" t="s">
        <v>46</v>
      </c>
      <c r="AI108" s="54" t="str">
        <f t="shared" si="29"/>
        <v>Rahul Prusty|Design|SambalpurNet</v>
      </c>
      <c r="AK108" s="3" t="s">
        <v>389</v>
      </c>
      <c r="AL108" s="38" t="str">
        <f t="shared" si="30"/>
        <v>R.P.</v>
      </c>
      <c r="AN108" s="19" t="s">
        <v>5060</v>
      </c>
      <c r="AO108" s="54" t="str">
        <f t="shared" si="31"/>
        <v>Naukri</v>
      </c>
      <c r="AQ108" s="3" t="s">
        <v>389</v>
      </c>
      <c r="AR108" s="52" t="str">
        <f t="shared" si="32"/>
        <v>NO</v>
      </c>
      <c r="AT108" s="12" t="s">
        <v>1716</v>
      </c>
      <c r="AU108" s="54">
        <f t="shared" si="33"/>
        <v>17</v>
      </c>
      <c r="AW108" s="54">
        <f ca="1">DATEDIF(BI108,TODAY(),"Y")</f>
        <v>4</v>
      </c>
      <c r="AX108" s="54"/>
      <c r="AY108" s="40" t="s">
        <v>523</v>
      </c>
      <c r="AZ108" s="44">
        <f t="shared" si="34"/>
        <v>45213</v>
      </c>
      <c r="BA108" s="54" t="str">
        <f t="shared" si="35"/>
        <v>10-2023</v>
      </c>
      <c r="BC108" s="13" t="s">
        <v>1935</v>
      </c>
      <c r="BD108" s="13">
        <f t="shared" si="36"/>
        <v>44923</v>
      </c>
      <c r="BE108" s="45" t="s">
        <v>1638</v>
      </c>
      <c r="BF108" s="54" t="str">
        <f t="shared" ca="1" si="37"/>
        <v>On Track</v>
      </c>
      <c r="BH108" s="3" t="s">
        <v>293</v>
      </c>
      <c r="BI108" s="51">
        <f t="shared" si="42"/>
        <v>44503</v>
      </c>
      <c r="BJ108" s="38">
        <f t="shared" ca="1" si="43"/>
        <v>1248</v>
      </c>
      <c r="BK108" s="38"/>
      <c r="BL108" s="38" t="str">
        <f t="shared" si="44"/>
        <v>No</v>
      </c>
      <c r="BM108" s="59">
        <f t="shared" si="38"/>
        <v>45213</v>
      </c>
      <c r="BN108" s="51">
        <f t="shared" si="45"/>
        <v>44503</v>
      </c>
      <c r="BO108" s="54">
        <f t="shared" si="39"/>
        <v>710</v>
      </c>
      <c r="BP108" s="3" t="s">
        <v>388</v>
      </c>
      <c r="BQ108" s="3" t="s">
        <v>24</v>
      </c>
      <c r="BR108" s="19" t="s">
        <v>1311</v>
      </c>
      <c r="BS108" s="19" t="s">
        <v>2466</v>
      </c>
      <c r="BT108" s="54" t="str">
        <f t="shared" si="40"/>
        <v>Product</v>
      </c>
      <c r="BV108" s="3" t="s">
        <v>388</v>
      </c>
      <c r="BW108" s="3" t="s">
        <v>389</v>
      </c>
      <c r="BX108" s="12" t="s">
        <v>1716</v>
      </c>
      <c r="BY108" s="12" t="s">
        <v>1056</v>
      </c>
      <c r="BZ108" s="54" t="str">
        <f t="shared" si="41"/>
        <v>Namita Choudhury</v>
      </c>
      <c r="CB108" s="19" t="s">
        <v>881</v>
      </c>
      <c r="CC108" s="3" t="s">
        <v>389</v>
      </c>
      <c r="CD108" s="3" t="s">
        <v>45</v>
      </c>
      <c r="CE108" s="54" t="str">
        <v>Content Strategist</v>
      </c>
      <c r="CG108" s="54" t="str">
        <f>IFERROR(_xlfn.XLOOKUP(Hiring!A108,Hiring!A108:A507,Hiring!B108:B507,,0),"Not Found")</f>
        <v>Priyanka Tripathy</v>
      </c>
    </row>
    <row r="109" spans="2:85">
      <c r="B109" s="100"/>
      <c r="F109" s="4">
        <v>3.7</v>
      </c>
      <c r="G109" s="52" t="str" cm="1">
        <f t="array" ref="G109">_xlfn.IFS(F109&gt;=4.5,"Excellent",AND(F109&gt;=3.5,F109&lt;=4.4),"Good",F109&lt;3.5,"Needs Improvement")</f>
        <v>Good</v>
      </c>
      <c r="I109" s="14">
        <v>25.12</v>
      </c>
      <c r="J109" s="14">
        <v>29.12</v>
      </c>
      <c r="K109" s="54" t="str">
        <f t="shared" si="23"/>
        <v>Over Budget</v>
      </c>
      <c r="M109" s="18">
        <v>53520</v>
      </c>
      <c r="N109" s="18">
        <v>49261</v>
      </c>
      <c r="O109" s="54" t="str">
        <f t="shared" si="24"/>
        <v>Yes</v>
      </c>
      <c r="Q109" s="18">
        <v>6.8</v>
      </c>
      <c r="R109" s="56" t="str">
        <f t="shared" si="25"/>
        <v>Yes</v>
      </c>
      <c r="W109" s="18" t="s">
        <v>1311</v>
      </c>
      <c r="X109" s="54" t="str">
        <f>VLOOKUP(W109,Employees!$A$1:$B$601,2,FALSE)</f>
        <v>Namita Padhi</v>
      </c>
      <c r="Z109" s="4" t="s">
        <v>390</v>
      </c>
      <c r="AA109" s="54" t="str">
        <f t="shared" si="27"/>
        <v>0108</v>
      </c>
      <c r="AC109" s="4" t="s">
        <v>176</v>
      </c>
      <c r="AD109" s="54" t="str">
        <f t="shared" si="28"/>
        <v>Finance</v>
      </c>
      <c r="AF109" s="4" t="s">
        <v>391</v>
      </c>
      <c r="AG109" s="4" t="s">
        <v>176</v>
      </c>
      <c r="AH109" s="4" t="s">
        <v>46</v>
      </c>
      <c r="AI109" s="54" t="str">
        <f t="shared" si="29"/>
        <v>Chinmaya Jena|Finance|SambalpurNet</v>
      </c>
      <c r="AK109" s="4" t="s">
        <v>391</v>
      </c>
      <c r="AL109" s="38" t="str">
        <f t="shared" si="30"/>
        <v>C.J.</v>
      </c>
      <c r="AN109" s="18" t="s">
        <v>5077</v>
      </c>
      <c r="AO109" s="54" t="b">
        <f t="shared" si="31"/>
        <v>0</v>
      </c>
      <c r="AQ109" s="4" t="s">
        <v>391</v>
      </c>
      <c r="AR109" s="52" t="str">
        <f t="shared" si="32"/>
        <v>NO</v>
      </c>
      <c r="AT109" s="14" t="s">
        <v>1709</v>
      </c>
      <c r="AU109" s="54">
        <f t="shared" si="33"/>
        <v>18</v>
      </c>
      <c r="AW109" s="54">
        <f ca="1">DATEDIF(BI109,TODAY(),"Y")</f>
        <v>5</v>
      </c>
      <c r="AX109" s="54"/>
      <c r="AY109" s="41" t="s">
        <v>5239</v>
      </c>
      <c r="AZ109" s="44">
        <f t="shared" si="34"/>
        <v>45640</v>
      </c>
      <c r="BA109" s="54" t="str">
        <f t="shared" si="35"/>
        <v>12-2024</v>
      </c>
      <c r="BC109" s="15" t="s">
        <v>1938</v>
      </c>
      <c r="BD109" s="13">
        <f t="shared" si="36"/>
        <v>45655</v>
      </c>
      <c r="BE109" s="46" t="s">
        <v>1638</v>
      </c>
      <c r="BF109" s="54" t="str">
        <f t="shared" ca="1" si="37"/>
        <v>On Track</v>
      </c>
      <c r="BH109" s="4" t="s">
        <v>392</v>
      </c>
      <c r="BI109" s="51">
        <f t="shared" si="42"/>
        <v>44264</v>
      </c>
      <c r="BJ109" s="38">
        <f t="shared" ca="1" si="43"/>
        <v>1419</v>
      </c>
      <c r="BK109" s="38"/>
      <c r="BL109" s="38" t="str">
        <f t="shared" si="44"/>
        <v>Q1</v>
      </c>
      <c r="BM109" s="59">
        <f t="shared" si="38"/>
        <v>45640</v>
      </c>
      <c r="BN109" s="51">
        <f t="shared" si="45"/>
        <v>44264</v>
      </c>
      <c r="BO109" s="54">
        <f t="shared" si="39"/>
        <v>1376</v>
      </c>
      <c r="BP109" s="4" t="s">
        <v>390</v>
      </c>
      <c r="BQ109" s="4" t="s">
        <v>176</v>
      </c>
      <c r="BR109" s="18" t="s">
        <v>1311</v>
      </c>
      <c r="BS109" s="18" t="s">
        <v>2467</v>
      </c>
      <c r="BT109" s="54" t="str">
        <f t="shared" si="40"/>
        <v>Product</v>
      </c>
      <c r="BV109" s="4" t="s">
        <v>390</v>
      </c>
      <c r="BW109" s="4" t="s">
        <v>391</v>
      </c>
      <c r="BX109" s="14" t="s">
        <v>1709</v>
      </c>
      <c r="BY109" s="14" t="s">
        <v>1318</v>
      </c>
      <c r="BZ109" s="54" t="str">
        <f t="shared" si="41"/>
        <v>Sudhansu Mishra</v>
      </c>
      <c r="CB109" s="18" t="s">
        <v>881</v>
      </c>
      <c r="CC109" s="4" t="s">
        <v>391</v>
      </c>
      <c r="CD109" s="4" t="s">
        <v>177</v>
      </c>
      <c r="CE109" s="54" t="str">
        <v>Content Strategist</v>
      </c>
      <c r="CG109" s="54" t="str">
        <f>IFERROR(_xlfn.XLOOKUP(Hiring!A109,Hiring!A109:A508,Hiring!B109:B508,,0),"Not Found")</f>
        <v>Priyanka Tripathy</v>
      </c>
    </row>
    <row r="110" spans="2:85">
      <c r="B110" s="100"/>
      <c r="F110" s="3">
        <v>3.1</v>
      </c>
      <c r="G110" s="52" t="str" cm="1">
        <f t="array" ref="G110">_xlfn.IFS(F110&gt;=4.5,"Excellent",AND(F110&gt;=3.5,F110&lt;=4.4),"Good",F110&lt;3.5,"Needs Improvement")</f>
        <v>Needs Improvement</v>
      </c>
      <c r="I110" s="12">
        <v>177.92</v>
      </c>
      <c r="J110" s="12">
        <v>191.73</v>
      </c>
      <c r="K110" s="54" t="str">
        <f t="shared" si="23"/>
        <v>Over Budget</v>
      </c>
      <c r="M110" s="19">
        <v>83369</v>
      </c>
      <c r="N110" s="19">
        <v>95674</v>
      </c>
      <c r="O110" s="54" t="str">
        <f t="shared" si="24"/>
        <v>Yes</v>
      </c>
      <c r="Q110" s="19">
        <v>11.02</v>
      </c>
      <c r="R110" s="56" t="str">
        <f t="shared" si="25"/>
        <v>Yes</v>
      </c>
      <c r="W110" s="19" t="s">
        <v>1311</v>
      </c>
      <c r="X110" s="54" t="str">
        <f>VLOOKUP(W110,Employees!$A$1:$B$601,2,FALSE)</f>
        <v>Namita Padhi</v>
      </c>
      <c r="Z110" s="3" t="s">
        <v>393</v>
      </c>
      <c r="AA110" s="54" t="str">
        <f t="shared" si="27"/>
        <v>0109</v>
      </c>
      <c r="AC110" s="3" t="s">
        <v>176</v>
      </c>
      <c r="AD110" s="54" t="str">
        <f t="shared" si="28"/>
        <v>Finance</v>
      </c>
      <c r="AF110" s="3" t="s">
        <v>297</v>
      </c>
      <c r="AG110" s="3" t="s">
        <v>176</v>
      </c>
      <c r="AH110" s="3" t="s">
        <v>70</v>
      </c>
      <c r="AI110" s="54" t="str">
        <f t="shared" si="29"/>
        <v>Debasmita Sahoo|Finance|OdishaCode Labs</v>
      </c>
      <c r="AK110" s="3" t="s">
        <v>297</v>
      </c>
      <c r="AL110" s="38" t="str">
        <f t="shared" si="30"/>
        <v>D.S.</v>
      </c>
      <c r="AN110" s="19" t="s">
        <v>5025</v>
      </c>
      <c r="AO110" s="54" t="b">
        <f t="shared" si="31"/>
        <v>0</v>
      </c>
      <c r="AQ110" s="3" t="s">
        <v>297</v>
      </c>
      <c r="AR110" s="52" t="str">
        <f t="shared" si="32"/>
        <v>NO</v>
      </c>
      <c r="AT110" s="12" t="s">
        <v>1640</v>
      </c>
      <c r="AU110" s="54">
        <f t="shared" si="33"/>
        <v>17</v>
      </c>
      <c r="AW110" s="54">
        <f ca="1">DATEDIF(BI110,TODAY(),"Y")</f>
        <v>7</v>
      </c>
      <c r="AX110" s="54"/>
      <c r="AY110" s="40" t="s">
        <v>1669</v>
      </c>
      <c r="AZ110" s="44">
        <f t="shared" si="34"/>
        <v>44974</v>
      </c>
      <c r="BA110" s="54" t="str">
        <f t="shared" si="35"/>
        <v>2-2023</v>
      </c>
      <c r="BC110" s="13" t="s">
        <v>1941</v>
      </c>
      <c r="BD110" s="13">
        <f t="shared" si="36"/>
        <v>45697</v>
      </c>
      <c r="BE110" s="45" t="s">
        <v>1632</v>
      </c>
      <c r="BF110" s="54" t="str">
        <f t="shared" ca="1" si="37"/>
        <v>Overdue</v>
      </c>
      <c r="BH110" s="3" t="s">
        <v>394</v>
      </c>
      <c r="BI110" s="51">
        <f t="shared" si="42"/>
        <v>43595</v>
      </c>
      <c r="BJ110" s="38">
        <f t="shared" ca="1" si="43"/>
        <v>1896</v>
      </c>
      <c r="BK110" s="38"/>
      <c r="BL110" s="38" t="str">
        <f t="shared" si="44"/>
        <v>No</v>
      </c>
      <c r="BM110" s="59">
        <f t="shared" si="38"/>
        <v>44974</v>
      </c>
      <c r="BN110" s="51">
        <f t="shared" si="45"/>
        <v>43595</v>
      </c>
      <c r="BO110" s="54">
        <f t="shared" si="39"/>
        <v>1379</v>
      </c>
      <c r="BP110" s="3" t="s">
        <v>393</v>
      </c>
      <c r="BQ110" s="3" t="s">
        <v>176</v>
      </c>
      <c r="BR110" s="19" t="s">
        <v>1311</v>
      </c>
      <c r="BS110" s="19" t="s">
        <v>2469</v>
      </c>
      <c r="BT110" s="54" t="str">
        <f t="shared" si="40"/>
        <v>Product</v>
      </c>
      <c r="BV110" s="3" t="s">
        <v>393</v>
      </c>
      <c r="BW110" s="3" t="s">
        <v>297</v>
      </c>
      <c r="BX110" s="12" t="s">
        <v>1640</v>
      </c>
      <c r="BY110" s="12" t="s">
        <v>880</v>
      </c>
      <c r="BZ110" s="54" t="str">
        <f t="shared" si="41"/>
        <v>Priyanka Tripathy</v>
      </c>
      <c r="CB110" s="19" t="s">
        <v>5115</v>
      </c>
      <c r="CC110" s="3" t="s">
        <v>297</v>
      </c>
      <c r="CD110" s="3" t="s">
        <v>359</v>
      </c>
      <c r="CE110" s="54" t="str">
        <v>Not Found</v>
      </c>
      <c r="CG110" s="54" t="str">
        <f>IFERROR(_xlfn.XLOOKUP(Hiring!A110,Hiring!A110:A509,Hiring!B110:B509,,0),"Not Found")</f>
        <v>Debasmita Parida</v>
      </c>
    </row>
    <row r="111" spans="2:85">
      <c r="B111" s="100"/>
      <c r="F111" s="4">
        <v>4</v>
      </c>
      <c r="G111" s="52" t="str" cm="1">
        <f t="array" ref="G111">_xlfn.IFS(F111&gt;=4.5,"Excellent",AND(F111&gt;=3.5,F111&lt;=4.4),"Good",F111&lt;3.5,"Needs Improvement")</f>
        <v>Good</v>
      </c>
      <c r="I111" s="14">
        <v>94.44</v>
      </c>
      <c r="J111" s="14">
        <v>70.27</v>
      </c>
      <c r="K111" s="54" t="str">
        <f t="shared" si="23"/>
        <v>Within Budget</v>
      </c>
      <c r="M111" s="18">
        <v>81126</v>
      </c>
      <c r="N111" s="18">
        <v>74310</v>
      </c>
      <c r="O111" s="54" t="str">
        <f t="shared" si="24"/>
        <v>Yes</v>
      </c>
      <c r="Q111" s="18">
        <v>7.13</v>
      </c>
      <c r="R111" s="56" t="str">
        <f t="shared" si="25"/>
        <v>Yes</v>
      </c>
      <c r="W111" s="18" t="s">
        <v>1311</v>
      </c>
      <c r="X111" s="54" t="str">
        <f>VLOOKUP(W111,Employees!$A$1:$B$601,2,FALSE)</f>
        <v>Namita Padhi</v>
      </c>
      <c r="Z111" s="4" t="s">
        <v>395</v>
      </c>
      <c r="AA111" s="54" t="str">
        <f t="shared" si="27"/>
        <v>0110</v>
      </c>
      <c r="AC111" s="4" t="s">
        <v>133</v>
      </c>
      <c r="AD111" s="54" t="str">
        <f t="shared" si="28"/>
        <v>Qa</v>
      </c>
      <c r="AF111" s="4" t="s">
        <v>354</v>
      </c>
      <c r="AG111" s="4" t="s">
        <v>133</v>
      </c>
      <c r="AH111" s="4" t="s">
        <v>214</v>
      </c>
      <c r="AI111" s="54" t="str">
        <f t="shared" si="29"/>
        <v>Abhishek Parida|QA|ZeroOneSystems</v>
      </c>
      <c r="AK111" s="4" t="s">
        <v>354</v>
      </c>
      <c r="AL111" s="38" t="str">
        <f t="shared" si="30"/>
        <v>A.P.</v>
      </c>
      <c r="AN111" s="18" t="s">
        <v>5060</v>
      </c>
      <c r="AO111" s="54" t="str">
        <f t="shared" si="31"/>
        <v>Naukri</v>
      </c>
      <c r="AQ111" s="4" t="s">
        <v>354</v>
      </c>
      <c r="AR111" s="52" t="str">
        <f t="shared" si="32"/>
        <v>NO</v>
      </c>
      <c r="AT111" s="14" t="s">
        <v>1663</v>
      </c>
      <c r="AU111" s="54">
        <f t="shared" si="33"/>
        <v>18</v>
      </c>
      <c r="AW111" s="54">
        <f ca="1">DATEDIF(BI111,TODAY(),"Y")</f>
        <v>6</v>
      </c>
      <c r="AX111" s="54"/>
      <c r="AY111" s="41" t="s">
        <v>5243</v>
      </c>
      <c r="AZ111" s="44">
        <f t="shared" si="34"/>
        <v>45001</v>
      </c>
      <c r="BA111" s="54" t="str">
        <f t="shared" si="35"/>
        <v>3-2023</v>
      </c>
      <c r="BC111" s="15" t="s">
        <v>1420</v>
      </c>
      <c r="BD111" s="13">
        <f t="shared" si="36"/>
        <v>45413</v>
      </c>
      <c r="BE111" s="46" t="s">
        <v>1638</v>
      </c>
      <c r="BF111" s="54" t="str">
        <f t="shared" ca="1" si="37"/>
        <v>On Track</v>
      </c>
      <c r="BH111" s="4" t="s">
        <v>396</v>
      </c>
      <c r="BI111" s="51">
        <f t="shared" si="42"/>
        <v>43783</v>
      </c>
      <c r="BJ111" s="38">
        <f t="shared" ca="1" si="43"/>
        <v>1762</v>
      </c>
      <c r="BK111" s="38"/>
      <c r="BL111" s="38" t="str">
        <f t="shared" si="44"/>
        <v>No</v>
      </c>
      <c r="BM111" s="59">
        <f t="shared" si="38"/>
        <v>45001</v>
      </c>
      <c r="BN111" s="51">
        <f t="shared" si="45"/>
        <v>43783</v>
      </c>
      <c r="BO111" s="54">
        <f t="shared" si="39"/>
        <v>1218</v>
      </c>
      <c r="BP111" s="4" t="s">
        <v>395</v>
      </c>
      <c r="BQ111" s="4" t="s">
        <v>133</v>
      </c>
      <c r="BR111" s="18" t="s">
        <v>1311</v>
      </c>
      <c r="BS111" s="18" t="s">
        <v>2472</v>
      </c>
      <c r="BT111" s="54" t="str">
        <f t="shared" si="40"/>
        <v>Product</v>
      </c>
      <c r="BV111" s="4" t="s">
        <v>395</v>
      </c>
      <c r="BW111" s="4" t="s">
        <v>354</v>
      </c>
      <c r="BX111" s="14" t="s">
        <v>1663</v>
      </c>
      <c r="BY111" s="14" t="s">
        <v>1019</v>
      </c>
      <c r="BZ111" s="54" t="str">
        <f t="shared" si="41"/>
        <v>Tapas Biswal</v>
      </c>
      <c r="CB111" s="18" t="s">
        <v>5242</v>
      </c>
      <c r="CC111" s="4" t="s">
        <v>354</v>
      </c>
      <c r="CD111" s="4" t="s">
        <v>162</v>
      </c>
      <c r="CE111" s="54" t="str">
        <v>Not Found</v>
      </c>
      <c r="CG111" s="54" t="str">
        <f>IFERROR(_xlfn.XLOOKUP(Hiring!A111,Hiring!A111:A510,Hiring!B111:B510,,0),"Not Found")</f>
        <v>Barsha Jena</v>
      </c>
    </row>
    <row r="112" spans="2:85">
      <c r="B112" s="100"/>
      <c r="F112" s="3">
        <v>4.5</v>
      </c>
      <c r="G112" s="52" t="str" cm="1">
        <f t="array" ref="G112">_xlfn.IFS(F112&gt;=4.5,"Excellent",AND(F112&gt;=3.5,F112&lt;=4.4),"Good",F112&lt;3.5,"Needs Improvement")</f>
        <v>Excellent</v>
      </c>
      <c r="I112" s="12">
        <v>137.82</v>
      </c>
      <c r="J112" s="12">
        <v>119.78</v>
      </c>
      <c r="K112" s="54" t="str">
        <f t="shared" si="23"/>
        <v>Within Budget</v>
      </c>
      <c r="M112" s="19">
        <v>121982</v>
      </c>
      <c r="N112" s="19">
        <v>143450</v>
      </c>
      <c r="O112" s="54" t="str">
        <f t="shared" si="24"/>
        <v>Yes</v>
      </c>
      <c r="Q112" s="19">
        <v>8.41</v>
      </c>
      <c r="R112" s="56" t="str">
        <f t="shared" si="25"/>
        <v>Yes</v>
      </c>
      <c r="W112" s="19" t="s">
        <v>1311</v>
      </c>
      <c r="X112" s="54" t="str">
        <f>VLOOKUP(W112,Employees!$A$1:$B$601,2,FALSE)</f>
        <v>Namita Padhi</v>
      </c>
      <c r="Z112" s="3" t="s">
        <v>397</v>
      </c>
      <c r="AA112" s="54" t="str">
        <f t="shared" si="27"/>
        <v>0111</v>
      </c>
      <c r="AC112" s="3" t="s">
        <v>118</v>
      </c>
      <c r="AD112" s="54" t="str">
        <f t="shared" si="28"/>
        <v>Marketing</v>
      </c>
      <c r="AF112" s="3" t="s">
        <v>398</v>
      </c>
      <c r="AG112" s="3" t="s">
        <v>118</v>
      </c>
      <c r="AH112" s="3" t="s">
        <v>70</v>
      </c>
      <c r="AI112" s="54" t="str">
        <f t="shared" si="29"/>
        <v>Tanmay Prusty|Marketing|OdishaCode Labs</v>
      </c>
      <c r="AK112" s="3" t="s">
        <v>398</v>
      </c>
      <c r="AL112" s="38" t="str">
        <f t="shared" si="30"/>
        <v>T.P.</v>
      </c>
      <c r="AN112" s="19" t="s">
        <v>5016</v>
      </c>
      <c r="AO112" s="54" t="b">
        <f t="shared" si="31"/>
        <v>0</v>
      </c>
      <c r="AQ112" s="3" t="s">
        <v>398</v>
      </c>
      <c r="AR112" s="52" t="str">
        <f t="shared" si="32"/>
        <v>NO</v>
      </c>
      <c r="AT112" s="12" t="s">
        <v>1693</v>
      </c>
      <c r="AU112" s="54">
        <f t="shared" si="33"/>
        <v>17</v>
      </c>
      <c r="AW112" s="54">
        <f ca="1">DATEDIF(BI112,TODAY(),"Y")</f>
        <v>5</v>
      </c>
      <c r="AX112" s="54"/>
      <c r="AY112" s="40" t="s">
        <v>5245</v>
      </c>
      <c r="AZ112" s="44">
        <f t="shared" si="34"/>
        <v>45282</v>
      </c>
      <c r="BA112" s="54" t="str">
        <f t="shared" si="35"/>
        <v>12-2023</v>
      </c>
      <c r="BC112" s="13" t="s">
        <v>1945</v>
      </c>
      <c r="BD112" s="13">
        <f t="shared" si="36"/>
        <v>45546</v>
      </c>
      <c r="BE112" s="45" t="s">
        <v>1656</v>
      </c>
      <c r="BF112" s="54" t="str">
        <f t="shared" ca="1" si="37"/>
        <v>Overdue</v>
      </c>
      <c r="BH112" s="3" t="s">
        <v>399</v>
      </c>
      <c r="BI112" s="51">
        <f t="shared" si="42"/>
        <v>44315</v>
      </c>
      <c r="BJ112" s="38">
        <f t="shared" ca="1" si="43"/>
        <v>1382</v>
      </c>
      <c r="BK112" s="38"/>
      <c r="BL112" s="38" t="str">
        <f t="shared" si="44"/>
        <v>No</v>
      </c>
      <c r="BM112" s="59">
        <f t="shared" si="38"/>
        <v>45282</v>
      </c>
      <c r="BN112" s="51">
        <f t="shared" si="45"/>
        <v>44315</v>
      </c>
      <c r="BO112" s="54">
        <f t="shared" si="39"/>
        <v>967</v>
      </c>
      <c r="BP112" s="3" t="s">
        <v>397</v>
      </c>
      <c r="BQ112" s="3" t="s">
        <v>118</v>
      </c>
      <c r="BR112" s="19" t="s">
        <v>1311</v>
      </c>
      <c r="BS112" s="19" t="s">
        <v>2475</v>
      </c>
      <c r="BT112" s="54" t="str">
        <f t="shared" si="40"/>
        <v>Product</v>
      </c>
      <c r="BV112" s="3" t="s">
        <v>397</v>
      </c>
      <c r="BW112" s="3" t="s">
        <v>398</v>
      </c>
      <c r="BX112" s="12" t="s">
        <v>1693</v>
      </c>
      <c r="BY112" s="12" t="s">
        <v>30</v>
      </c>
      <c r="BZ112" s="54" t="str">
        <f t="shared" si="41"/>
        <v>Subhasree Dhal</v>
      </c>
      <c r="CB112" s="19" t="s">
        <v>561</v>
      </c>
      <c r="CC112" s="3" t="s">
        <v>398</v>
      </c>
      <c r="CD112" s="3" t="s">
        <v>119</v>
      </c>
      <c r="CE112" s="54" t="str">
        <v>Data Analyst</v>
      </c>
      <c r="CG112" s="54" t="str">
        <f>IFERROR(_xlfn.XLOOKUP(Hiring!A112,Hiring!A112:A511,Hiring!B112:B511,,0),"Not Found")</f>
        <v>Soumya Tripathy</v>
      </c>
    </row>
    <row r="113" spans="2:85">
      <c r="B113" s="100"/>
      <c r="F113" s="4">
        <v>4.8</v>
      </c>
      <c r="G113" s="52" t="str" cm="1">
        <f t="array" ref="G113">_xlfn.IFS(F113&gt;=4.5,"Excellent",AND(F113&gt;=3.5,F113&lt;=4.4),"Good",F113&lt;3.5,"Needs Improvement")</f>
        <v>Excellent</v>
      </c>
      <c r="I113" s="14">
        <v>148.06</v>
      </c>
      <c r="J113" s="14">
        <v>118.44</v>
      </c>
      <c r="K113" s="54" t="str">
        <f t="shared" si="23"/>
        <v>Within Budget</v>
      </c>
      <c r="M113" s="18">
        <v>146851</v>
      </c>
      <c r="N113" s="18">
        <v>164077</v>
      </c>
      <c r="O113" s="54" t="str">
        <f t="shared" si="24"/>
        <v>Yes</v>
      </c>
      <c r="Q113" s="18">
        <v>8.86</v>
      </c>
      <c r="R113" s="56" t="str">
        <f t="shared" si="25"/>
        <v>Yes</v>
      </c>
      <c r="W113" s="18" t="s">
        <v>1311</v>
      </c>
      <c r="X113" s="54" t="str">
        <f>VLOOKUP(W113,Employees!$A$1:$B$601,2,FALSE)</f>
        <v>Namita Padhi</v>
      </c>
      <c r="Z113" s="4" t="s">
        <v>400</v>
      </c>
      <c r="AA113" s="54" t="str">
        <f t="shared" si="27"/>
        <v>0112</v>
      </c>
      <c r="AC113" s="4" t="s">
        <v>51</v>
      </c>
      <c r="AD113" s="54" t="str">
        <f t="shared" si="28"/>
        <v>Sales</v>
      </c>
      <c r="AF113" s="4" t="s">
        <v>401</v>
      </c>
      <c r="AG113" s="4" t="s">
        <v>51</v>
      </c>
      <c r="AH113" s="4" t="s">
        <v>114</v>
      </c>
      <c r="AI113" s="54" t="str">
        <f t="shared" si="29"/>
        <v>Namita Mishra|Sales|UtkalSoft Technologies</v>
      </c>
      <c r="AK113" s="4" t="s">
        <v>401</v>
      </c>
      <c r="AL113" s="38" t="str">
        <f t="shared" si="30"/>
        <v>N.M.</v>
      </c>
      <c r="AN113" s="18" t="s">
        <v>5031</v>
      </c>
      <c r="AO113" s="54" t="b">
        <f t="shared" si="31"/>
        <v>0</v>
      </c>
      <c r="AQ113" s="4" t="s">
        <v>401</v>
      </c>
      <c r="AR113" s="52" t="str">
        <f t="shared" si="32"/>
        <v>Mishra</v>
      </c>
      <c r="AT113" s="14" t="s">
        <v>1663</v>
      </c>
      <c r="AU113" s="54">
        <f t="shared" si="33"/>
        <v>18</v>
      </c>
      <c r="AW113" s="54">
        <f ca="1">DATEDIF(BI113,TODAY(),"Y")</f>
        <v>8</v>
      </c>
      <c r="AX113" s="54"/>
      <c r="AY113" s="41" t="s">
        <v>5247</v>
      </c>
      <c r="AZ113" s="44">
        <f t="shared" si="34"/>
        <v>44980</v>
      </c>
      <c r="BA113" s="54" t="str">
        <f t="shared" si="35"/>
        <v>2-2023</v>
      </c>
      <c r="BC113" s="15" t="s">
        <v>1948</v>
      </c>
      <c r="BD113" s="13">
        <f t="shared" si="36"/>
        <v>45579</v>
      </c>
      <c r="BE113" s="46" t="s">
        <v>1614</v>
      </c>
      <c r="BF113" s="54" t="str">
        <f t="shared" ca="1" si="37"/>
        <v>Overdue</v>
      </c>
      <c r="BH113" s="4" t="s">
        <v>402</v>
      </c>
      <c r="BI113" s="51">
        <f t="shared" si="42"/>
        <v>43168</v>
      </c>
      <c r="BJ113" s="38">
        <f t="shared" ca="1" si="43"/>
        <v>2201</v>
      </c>
      <c r="BK113" s="38"/>
      <c r="BL113" s="38" t="str">
        <f t="shared" si="44"/>
        <v>Q1</v>
      </c>
      <c r="BM113" s="59">
        <f t="shared" si="38"/>
        <v>44980</v>
      </c>
      <c r="BN113" s="51">
        <f t="shared" si="45"/>
        <v>43168</v>
      </c>
      <c r="BO113" s="54">
        <f t="shared" si="39"/>
        <v>1812</v>
      </c>
      <c r="BP113" s="4" t="s">
        <v>400</v>
      </c>
      <c r="BQ113" s="4" t="s">
        <v>51</v>
      </c>
      <c r="BR113" s="18" t="s">
        <v>1311</v>
      </c>
      <c r="BS113" s="18" t="s">
        <v>2478</v>
      </c>
      <c r="BT113" s="54" t="str">
        <f t="shared" si="40"/>
        <v>Product</v>
      </c>
      <c r="BV113" s="4" t="s">
        <v>400</v>
      </c>
      <c r="BW113" s="4" t="s">
        <v>401</v>
      </c>
      <c r="BX113" s="14" t="s">
        <v>1663</v>
      </c>
      <c r="BY113" s="14" t="s">
        <v>1144</v>
      </c>
      <c r="BZ113" s="54" t="str">
        <f t="shared" si="41"/>
        <v>Satyajit Pattnaik</v>
      </c>
      <c r="CB113" s="18" t="s">
        <v>1308</v>
      </c>
      <c r="CC113" s="4" t="s">
        <v>401</v>
      </c>
      <c r="CD113" s="4" t="s">
        <v>105</v>
      </c>
      <c r="CE113" s="54" t="str">
        <v>Test Analyst</v>
      </c>
      <c r="CG113" s="54" t="str">
        <f>IFERROR(_xlfn.XLOOKUP(Hiring!A113,Hiring!A113:A512,Hiring!B113:B512,,0),"Not Found")</f>
        <v>Priyanka Pattnaik</v>
      </c>
    </row>
    <row r="114" spans="2:85">
      <c r="B114" s="100"/>
      <c r="F114" s="3">
        <v>3.8</v>
      </c>
      <c r="G114" s="52" t="str" cm="1">
        <f t="array" ref="G114">_xlfn.IFS(F114&gt;=4.5,"Excellent",AND(F114&gt;=3.5,F114&lt;=4.4),"Good",F114&lt;3.5,"Needs Improvement")</f>
        <v>Good</v>
      </c>
      <c r="I114" s="12">
        <v>115.18</v>
      </c>
      <c r="J114" s="12">
        <v>112.73</v>
      </c>
      <c r="K114" s="54" t="str">
        <f t="shared" si="23"/>
        <v>Within Budget</v>
      </c>
      <c r="M114" s="19">
        <v>101709</v>
      </c>
      <c r="N114" s="19">
        <v>111368</v>
      </c>
      <c r="O114" s="54" t="str">
        <f t="shared" si="24"/>
        <v>Yes</v>
      </c>
      <c r="Q114" s="19">
        <v>7.86</v>
      </c>
      <c r="R114" s="56" t="str">
        <f t="shared" si="25"/>
        <v>Yes</v>
      </c>
      <c r="W114" s="19" t="s">
        <v>1311</v>
      </c>
      <c r="X114" s="54" t="str">
        <f>VLOOKUP(W114,Employees!$A$1:$B$601,2,FALSE)</f>
        <v>Namita Padhi</v>
      </c>
      <c r="Z114" s="3" t="s">
        <v>403</v>
      </c>
      <c r="AA114" s="54" t="str">
        <f t="shared" si="27"/>
        <v>0113</v>
      </c>
      <c r="AC114" s="3" t="s">
        <v>118</v>
      </c>
      <c r="AD114" s="54" t="str">
        <f t="shared" si="28"/>
        <v>Marketing</v>
      </c>
      <c r="AF114" s="3" t="s">
        <v>404</v>
      </c>
      <c r="AG114" s="3" t="s">
        <v>118</v>
      </c>
      <c r="AH114" s="3" t="s">
        <v>46</v>
      </c>
      <c r="AI114" s="54" t="str">
        <f t="shared" si="29"/>
        <v>Nirmal Choudhury|Marketing|SambalpurNet</v>
      </c>
      <c r="AK114" s="3" t="s">
        <v>404</v>
      </c>
      <c r="AL114" s="38" t="str">
        <f t="shared" si="30"/>
        <v>N.C.</v>
      </c>
      <c r="AN114" s="19" t="s">
        <v>5016</v>
      </c>
      <c r="AO114" s="54" t="b">
        <f t="shared" si="31"/>
        <v>0</v>
      </c>
      <c r="AQ114" s="3" t="s">
        <v>404</v>
      </c>
      <c r="AR114" s="52" t="str">
        <f t="shared" si="32"/>
        <v>NO</v>
      </c>
      <c r="AT114" s="12" t="s">
        <v>1653</v>
      </c>
      <c r="AU114" s="54">
        <f t="shared" si="33"/>
        <v>19</v>
      </c>
      <c r="AW114" s="54">
        <f ca="1">DATEDIF(BI114,TODAY(),"Y")</f>
        <v>6</v>
      </c>
      <c r="AX114" s="54"/>
      <c r="AY114" s="40" t="s">
        <v>360</v>
      </c>
      <c r="AZ114" s="44">
        <f t="shared" si="34"/>
        <v>45074</v>
      </c>
      <c r="BA114" s="54" t="str">
        <f t="shared" si="35"/>
        <v>5-2023</v>
      </c>
      <c r="BC114" s="13" t="s">
        <v>1582</v>
      </c>
      <c r="BD114" s="13">
        <f t="shared" si="36"/>
        <v>44936</v>
      </c>
      <c r="BE114" s="45" t="s">
        <v>1632</v>
      </c>
      <c r="BF114" s="54" t="str">
        <f t="shared" ca="1" si="37"/>
        <v>Overdue</v>
      </c>
      <c r="BH114" s="3" t="s">
        <v>405</v>
      </c>
      <c r="BI114" s="51">
        <f t="shared" si="42"/>
        <v>43954</v>
      </c>
      <c r="BJ114" s="38">
        <f t="shared" ca="1" si="43"/>
        <v>1640</v>
      </c>
      <c r="BK114" s="38"/>
      <c r="BL114" s="38" t="str">
        <f t="shared" si="44"/>
        <v>No</v>
      </c>
      <c r="BM114" s="59">
        <f t="shared" si="38"/>
        <v>45074</v>
      </c>
      <c r="BN114" s="51">
        <f t="shared" si="45"/>
        <v>43954</v>
      </c>
      <c r="BO114" s="54">
        <f t="shared" si="39"/>
        <v>1120</v>
      </c>
      <c r="BP114" s="3" t="s">
        <v>403</v>
      </c>
      <c r="BQ114" s="3" t="s">
        <v>118</v>
      </c>
      <c r="BR114" s="19" t="s">
        <v>1311</v>
      </c>
      <c r="BS114" s="19" t="s">
        <v>2481</v>
      </c>
      <c r="BT114" s="54" t="str">
        <f t="shared" si="40"/>
        <v>Product</v>
      </c>
      <c r="BV114" s="3" t="s">
        <v>403</v>
      </c>
      <c r="BW114" s="3" t="s">
        <v>404</v>
      </c>
      <c r="BX114" s="12" t="s">
        <v>1653</v>
      </c>
      <c r="BY114" s="12" t="s">
        <v>1525</v>
      </c>
      <c r="BZ114" s="54" t="str">
        <f t="shared" si="41"/>
        <v>Amlan Choudhury</v>
      </c>
      <c r="CB114" s="19" t="s">
        <v>5249</v>
      </c>
      <c r="CC114" s="3" t="s">
        <v>404</v>
      </c>
      <c r="CD114" s="3" t="s">
        <v>181</v>
      </c>
      <c r="CE114" s="54" t="str">
        <v>Not Found</v>
      </c>
      <c r="CG114" s="54" t="str">
        <f>IFERROR(_xlfn.XLOOKUP(Hiring!A114,Hiring!A114:A513,Hiring!B114:B513,,0),"Not Found")</f>
        <v>Ankita Sahoo</v>
      </c>
    </row>
    <row r="115" spans="2:85">
      <c r="B115" s="100"/>
      <c r="F115" s="4">
        <v>0</v>
      </c>
      <c r="G115" s="52" t="str" cm="1">
        <f t="array" ref="G115">_xlfn.IFS(F115&gt;=4.5,"Excellent",AND(F115&gt;=3.5,F115&lt;=4.4),"Good",F115&lt;3.5,"Needs Improvement")</f>
        <v>Needs Improvement</v>
      </c>
      <c r="I115" s="14">
        <v>37.880000000000003</v>
      </c>
      <c r="J115" s="14">
        <v>39.020000000000003</v>
      </c>
      <c r="K115" s="54" t="str">
        <f t="shared" si="23"/>
        <v>Over Budget</v>
      </c>
      <c r="M115" s="18">
        <v>124489</v>
      </c>
      <c r="N115" s="18">
        <v>114487</v>
      </c>
      <c r="O115" s="54" t="str">
        <f t="shared" si="24"/>
        <v>Yes</v>
      </c>
      <c r="Q115" s="18">
        <v>8.59</v>
      </c>
      <c r="R115" s="56" t="str">
        <f t="shared" si="25"/>
        <v>Yes</v>
      </c>
      <c r="W115" s="18" t="s">
        <v>1311</v>
      </c>
      <c r="X115" s="54" t="str">
        <f>VLOOKUP(W115,Employees!$A$1:$B$601,2,FALSE)</f>
        <v>Namita Padhi</v>
      </c>
      <c r="Z115" s="4" t="s">
        <v>406</v>
      </c>
      <c r="AA115" s="54" t="str">
        <f t="shared" si="27"/>
        <v>0114</v>
      </c>
      <c r="AC115" s="4" t="s">
        <v>51</v>
      </c>
      <c r="AD115" s="54" t="str">
        <f t="shared" si="28"/>
        <v>Sales</v>
      </c>
      <c r="AF115" s="4" t="s">
        <v>73</v>
      </c>
      <c r="AG115" s="4" t="s">
        <v>51</v>
      </c>
      <c r="AH115" s="4" t="s">
        <v>65</v>
      </c>
      <c r="AI115" s="54" t="str">
        <f t="shared" si="29"/>
        <v>Sudhansu Dhal|Sales|TributeAI</v>
      </c>
      <c r="AK115" s="4" t="s">
        <v>73</v>
      </c>
      <c r="AL115" s="38" t="str">
        <f t="shared" si="30"/>
        <v>S.D.</v>
      </c>
      <c r="AN115" s="18" t="s">
        <v>5051</v>
      </c>
      <c r="AO115" s="54" t="str">
        <f t="shared" si="31"/>
        <v>Naukri</v>
      </c>
      <c r="AQ115" s="4" t="s">
        <v>73</v>
      </c>
      <c r="AR115" s="52" t="str">
        <f t="shared" si="32"/>
        <v>NO</v>
      </c>
      <c r="AT115" s="14" t="s">
        <v>1705</v>
      </c>
      <c r="AU115" s="54">
        <f t="shared" si="33"/>
        <v>13</v>
      </c>
      <c r="AW115" s="54">
        <f ca="1">DATEDIF(BI115,TODAY(),"Y")</f>
        <v>3</v>
      </c>
      <c r="AX115" s="54"/>
      <c r="AY115" s="41" t="s">
        <v>5251</v>
      </c>
      <c r="AZ115" s="44">
        <f t="shared" si="34"/>
        <v>45050</v>
      </c>
      <c r="BA115" s="54" t="str">
        <f t="shared" si="35"/>
        <v>5-2023</v>
      </c>
      <c r="BC115" s="15" t="s">
        <v>1952</v>
      </c>
      <c r="BD115" s="13">
        <f t="shared" si="36"/>
        <v>45208</v>
      </c>
      <c r="BE115" s="46" t="s">
        <v>1614</v>
      </c>
      <c r="BF115" s="54" t="str">
        <f t="shared" ca="1" si="37"/>
        <v>Overdue</v>
      </c>
      <c r="BH115" s="4" t="s">
        <v>407</v>
      </c>
      <c r="BI115" s="51">
        <f t="shared" si="42"/>
        <v>44983</v>
      </c>
      <c r="BJ115" s="38">
        <f t="shared" ca="1" si="43"/>
        <v>905</v>
      </c>
      <c r="BK115" s="38"/>
      <c r="BL115" s="38" t="str">
        <f t="shared" si="44"/>
        <v>Q1</v>
      </c>
      <c r="BM115" s="59">
        <f t="shared" si="38"/>
        <v>45050</v>
      </c>
      <c r="BN115" s="51">
        <f t="shared" si="45"/>
        <v>44983</v>
      </c>
      <c r="BO115" s="54">
        <f t="shared" si="39"/>
        <v>67</v>
      </c>
      <c r="BP115" s="4" t="s">
        <v>406</v>
      </c>
      <c r="BQ115" s="4" t="s">
        <v>51</v>
      </c>
      <c r="BR115" s="18" t="s">
        <v>1311</v>
      </c>
      <c r="BS115" s="18" t="s">
        <v>2484</v>
      </c>
      <c r="BT115" s="54" t="str">
        <f t="shared" si="40"/>
        <v>Product</v>
      </c>
      <c r="BV115" s="4" t="s">
        <v>406</v>
      </c>
      <c r="BW115" s="4" t="s">
        <v>73</v>
      </c>
      <c r="BX115" s="14" t="s">
        <v>1705</v>
      </c>
      <c r="BY115" s="14" t="s">
        <v>206</v>
      </c>
      <c r="BZ115" s="54" t="str">
        <f t="shared" si="41"/>
        <v>Dibya Prusty</v>
      </c>
      <c r="CB115" s="18" t="s">
        <v>22</v>
      </c>
      <c r="CC115" s="4" t="s">
        <v>73</v>
      </c>
      <c r="CD115" s="4" t="s">
        <v>69</v>
      </c>
      <c r="CE115" s="54" t="str">
        <v>UI Designer</v>
      </c>
      <c r="CG115" s="54" t="str">
        <f>IFERROR(_xlfn.XLOOKUP(Hiring!A115,Hiring!A115:A514,Hiring!B115:B514,,0),"Not Found")</f>
        <v>Ranjit Samal</v>
      </c>
    </row>
    <row r="116" spans="2:85">
      <c r="B116" s="100"/>
      <c r="F116" s="3">
        <v>4.7</v>
      </c>
      <c r="G116" s="52" t="str" cm="1">
        <f t="array" ref="G116">_xlfn.IFS(F116&gt;=4.5,"Excellent",AND(F116&gt;=3.5,F116&lt;=4.4),"Good",F116&lt;3.5,"Needs Improvement")</f>
        <v>Excellent</v>
      </c>
      <c r="I116" s="12"/>
      <c r="J116" s="12">
        <v>122.3</v>
      </c>
      <c r="K116" s="54" t="str">
        <f t="shared" si="23"/>
        <v>Over Budget</v>
      </c>
      <c r="M116" s="19">
        <v>188403</v>
      </c>
      <c r="N116" s="19">
        <v>196368</v>
      </c>
      <c r="O116" s="54" t="str">
        <f t="shared" si="24"/>
        <v>Yes</v>
      </c>
      <c r="Q116" s="19">
        <v>8.2100000000000009</v>
      </c>
      <c r="R116" s="56" t="str">
        <f t="shared" si="25"/>
        <v>Yes</v>
      </c>
      <c r="W116" s="19" t="s">
        <v>1311</v>
      </c>
      <c r="X116" s="54" t="str">
        <f>VLOOKUP(W116,Employees!$A$1:$B$601,2,FALSE)</f>
        <v>Namita Padhi</v>
      </c>
      <c r="Z116" s="3" t="s">
        <v>408</v>
      </c>
      <c r="AA116" s="54" t="str">
        <f t="shared" si="27"/>
        <v>0115</v>
      </c>
      <c r="AC116" s="3" t="s">
        <v>410</v>
      </c>
      <c r="AD116" s="54" t="str">
        <f t="shared" si="28"/>
        <v>Sales</v>
      </c>
      <c r="AF116" s="3" t="s">
        <v>409</v>
      </c>
      <c r="AG116" s="3" t="s">
        <v>410</v>
      </c>
      <c r="AH116" s="3" t="s">
        <v>26</v>
      </c>
      <c r="AI116" s="54" t="str">
        <f t="shared" si="29"/>
        <v>Puspita Behura|sales|InfySoft Bhubaneswar</v>
      </c>
      <c r="AK116" s="3" t="s">
        <v>409</v>
      </c>
      <c r="AL116" s="38" t="str">
        <f t="shared" si="30"/>
        <v>P.B.</v>
      </c>
      <c r="AN116" s="19" t="s">
        <v>5077</v>
      </c>
      <c r="AO116" s="54" t="b">
        <f t="shared" si="31"/>
        <v>0</v>
      </c>
      <c r="AQ116" s="3" t="s">
        <v>409</v>
      </c>
      <c r="AR116" s="52" t="str">
        <f t="shared" si="32"/>
        <v>NO</v>
      </c>
      <c r="AT116" s="12" t="s">
        <v>1646</v>
      </c>
      <c r="AU116" s="54">
        <f t="shared" si="33"/>
        <v>16</v>
      </c>
      <c r="AW116" s="54">
        <f ca="1">DATEDIF(BI116,TODAY(),"Y")</f>
        <v>8</v>
      </c>
      <c r="AX116" s="54"/>
      <c r="AY116" s="40" t="s">
        <v>5101</v>
      </c>
      <c r="AZ116" s="44">
        <f t="shared" si="34"/>
        <v>45479</v>
      </c>
      <c r="BA116" s="54" t="str">
        <f t="shared" si="35"/>
        <v>7-2024</v>
      </c>
      <c r="BC116" s="13" t="s">
        <v>1954</v>
      </c>
      <c r="BD116" s="13">
        <f t="shared" si="36"/>
        <v>44772</v>
      </c>
      <c r="BE116" s="45" t="s">
        <v>1625</v>
      </c>
      <c r="BF116" s="54" t="str">
        <f t="shared" ca="1" si="37"/>
        <v>Overdue</v>
      </c>
      <c r="BH116" s="3" t="s">
        <v>411</v>
      </c>
      <c r="BI116" s="51">
        <f t="shared" si="42"/>
        <v>43220</v>
      </c>
      <c r="BJ116" s="38">
        <f t="shared" ca="1" si="43"/>
        <v>2165</v>
      </c>
      <c r="BK116" s="38"/>
      <c r="BL116" s="38" t="str">
        <f t="shared" si="44"/>
        <v>No</v>
      </c>
      <c r="BM116" s="59">
        <f t="shared" si="38"/>
        <v>45479</v>
      </c>
      <c r="BN116" s="51">
        <f t="shared" si="45"/>
        <v>43220</v>
      </c>
      <c r="BO116" s="54">
        <f t="shared" si="39"/>
        <v>2259</v>
      </c>
      <c r="BP116" s="3" t="s">
        <v>408</v>
      </c>
      <c r="BQ116" s="3" t="s">
        <v>410</v>
      </c>
      <c r="BR116" s="19" t="s">
        <v>1311</v>
      </c>
      <c r="BS116" s="19" t="s">
        <v>2487</v>
      </c>
      <c r="BT116" s="54" t="str">
        <f t="shared" si="40"/>
        <v>Product</v>
      </c>
      <c r="BV116" s="3" t="s">
        <v>408</v>
      </c>
      <c r="BW116" s="3" t="s">
        <v>409</v>
      </c>
      <c r="BX116" s="12" t="s">
        <v>1646</v>
      </c>
      <c r="BY116" s="12" t="s">
        <v>790</v>
      </c>
      <c r="BZ116" s="54" t="str">
        <f t="shared" si="41"/>
        <v>Ranjit Biswal</v>
      </c>
      <c r="CB116" s="19" t="s">
        <v>1320</v>
      </c>
      <c r="CC116" s="3" t="s">
        <v>409</v>
      </c>
      <c r="CD116" s="3" t="s">
        <v>105</v>
      </c>
      <c r="CE116" s="54" t="str">
        <v>Tech Lead</v>
      </c>
      <c r="CG116" s="54" t="str">
        <f>IFERROR(_xlfn.XLOOKUP(Hiring!A116,Hiring!A116:A515,Hiring!B116:B515,,0),"Not Found")</f>
        <v>Aditya Mishra</v>
      </c>
    </row>
    <row r="117" spans="2:85">
      <c r="B117" s="100"/>
      <c r="F117" s="4">
        <v>3.1</v>
      </c>
      <c r="G117" s="52" t="str" cm="1">
        <f t="array" ref="G117">_xlfn.IFS(F117&gt;=4.5,"Excellent",AND(F117&gt;=3.5,F117&lt;=4.4),"Good",F117&lt;3.5,"Needs Improvement")</f>
        <v>Needs Improvement</v>
      </c>
      <c r="I117" s="14">
        <v>109.93</v>
      </c>
      <c r="J117" s="14">
        <v>112.97</v>
      </c>
      <c r="K117" s="54" t="str">
        <f t="shared" si="23"/>
        <v>Over Budget</v>
      </c>
      <c r="M117" s="18"/>
      <c r="N117" s="18">
        <v>93388</v>
      </c>
      <c r="O117" s="54" t="str">
        <f t="shared" si="24"/>
        <v>Yes</v>
      </c>
      <c r="Q117" s="18">
        <v>7.39</v>
      </c>
      <c r="R117" s="56" t="str">
        <f t="shared" si="25"/>
        <v>Yes</v>
      </c>
      <c r="W117" s="18" t="s">
        <v>1311</v>
      </c>
      <c r="X117" s="54" t="str">
        <f>VLOOKUP(W117,Employees!$A$1:$B$601,2,FALSE)</f>
        <v>Namita Padhi</v>
      </c>
      <c r="Z117" s="4" t="s">
        <v>412</v>
      </c>
      <c r="AA117" s="54" t="str">
        <f t="shared" si="27"/>
        <v>0116</v>
      </c>
      <c r="AC117" s="4" t="s">
        <v>414</v>
      </c>
      <c r="AD117" s="54" t="str">
        <f t="shared" si="28"/>
        <v>Devops</v>
      </c>
      <c r="AF117" s="4" t="s">
        <v>413</v>
      </c>
      <c r="AG117" s="4" t="s">
        <v>414</v>
      </c>
      <c r="AH117" s="4" t="s">
        <v>214</v>
      </c>
      <c r="AI117" s="54" t="str">
        <f t="shared" si="29"/>
        <v>Smita Nanda|devops|ZeroOneSystems</v>
      </c>
      <c r="AK117" s="4" t="s">
        <v>413</v>
      </c>
      <c r="AL117" s="38" t="str">
        <f t="shared" si="30"/>
        <v>S.N.</v>
      </c>
      <c r="AN117" s="18" t="s">
        <v>5031</v>
      </c>
      <c r="AO117" s="54" t="b">
        <f t="shared" si="31"/>
        <v>0</v>
      </c>
      <c r="AQ117" s="4" t="s">
        <v>413</v>
      </c>
      <c r="AR117" s="52" t="str">
        <f t="shared" si="32"/>
        <v>NO</v>
      </c>
      <c r="AT117" s="14" t="s">
        <v>1627</v>
      </c>
      <c r="AU117" s="54">
        <f t="shared" si="33"/>
        <v>11</v>
      </c>
      <c r="AW117" s="54">
        <f ca="1">DATEDIF(BI117,TODAY(),"Y")</f>
        <v>8</v>
      </c>
      <c r="AX117" s="54"/>
      <c r="AY117" s="41" t="s">
        <v>1932</v>
      </c>
      <c r="AZ117" s="44">
        <f t="shared" si="34"/>
        <v>44966</v>
      </c>
      <c r="BA117" s="54" t="str">
        <f t="shared" si="35"/>
        <v>2-2023</v>
      </c>
      <c r="BC117" s="15" t="s">
        <v>1835</v>
      </c>
      <c r="BD117" s="13">
        <f t="shared" si="36"/>
        <v>45338</v>
      </c>
      <c r="BE117" s="46" t="s">
        <v>1614</v>
      </c>
      <c r="BF117" s="54" t="str">
        <f t="shared" ca="1" si="37"/>
        <v>Overdue</v>
      </c>
      <c r="BH117" s="4" t="s">
        <v>415</v>
      </c>
      <c r="BI117" s="51">
        <f t="shared" si="42"/>
        <v>43172</v>
      </c>
      <c r="BJ117" s="38">
        <f t="shared" ca="1" si="43"/>
        <v>2199</v>
      </c>
      <c r="BK117" s="38"/>
      <c r="BL117" s="38" t="str">
        <f t="shared" si="44"/>
        <v>Q1</v>
      </c>
      <c r="BM117" s="59">
        <f t="shared" si="38"/>
        <v>44966</v>
      </c>
      <c r="BN117" s="51">
        <f t="shared" si="45"/>
        <v>43172</v>
      </c>
      <c r="BO117" s="54">
        <f t="shared" si="39"/>
        <v>1794</v>
      </c>
      <c r="BP117" s="4" t="s">
        <v>412</v>
      </c>
      <c r="BQ117" s="4" t="s">
        <v>414</v>
      </c>
      <c r="BR117" s="18" t="s">
        <v>1311</v>
      </c>
      <c r="BS117" s="18" t="s">
        <v>2490</v>
      </c>
      <c r="BT117" s="54" t="str">
        <f t="shared" si="40"/>
        <v>Product</v>
      </c>
      <c r="BV117" s="4" t="s">
        <v>412</v>
      </c>
      <c r="BW117" s="4" t="s">
        <v>413</v>
      </c>
      <c r="BX117" s="14" t="s">
        <v>1627</v>
      </c>
      <c r="BY117" s="14" t="s">
        <v>533</v>
      </c>
      <c r="BZ117" s="54" t="str">
        <f t="shared" si="41"/>
        <v>Tanmay Pattnaik</v>
      </c>
      <c r="CB117" s="18" t="s">
        <v>5254</v>
      </c>
      <c r="CC117" s="4" t="s">
        <v>413</v>
      </c>
      <c r="CD117" s="4" t="s">
        <v>17</v>
      </c>
      <c r="CE117" s="54" t="str">
        <v>Not Found</v>
      </c>
      <c r="CG117" s="54" t="str">
        <f>IFERROR(_xlfn.XLOOKUP(Hiring!A117,Hiring!A117:A516,Hiring!B117:B516,,0),"Not Found")</f>
        <v>Jyotirmayee Biswal</v>
      </c>
    </row>
    <row r="118" spans="2:85">
      <c r="B118" s="100"/>
      <c r="F118" s="3">
        <v>3.8</v>
      </c>
      <c r="G118" s="52" t="str" cm="1">
        <f t="array" ref="G118">_xlfn.IFS(F118&gt;=4.5,"Excellent",AND(F118&gt;=3.5,F118&lt;=4.4),"Good",F118&lt;3.5,"Needs Improvement")</f>
        <v>Good</v>
      </c>
      <c r="I118" s="12">
        <v>16.98</v>
      </c>
      <c r="J118" s="12">
        <v>20.63</v>
      </c>
      <c r="K118" s="54" t="str">
        <f t="shared" si="23"/>
        <v>Over Budget</v>
      </c>
      <c r="M118" s="19">
        <v>157274</v>
      </c>
      <c r="N118" s="19">
        <v>169463</v>
      </c>
      <c r="O118" s="54" t="str">
        <f t="shared" si="24"/>
        <v>Yes</v>
      </c>
      <c r="Q118" s="19">
        <v>6.57</v>
      </c>
      <c r="R118" s="56" t="str">
        <f t="shared" si="25"/>
        <v>Yes</v>
      </c>
      <c r="W118" s="19" t="s">
        <v>1311</v>
      </c>
      <c r="X118" s="54" t="str">
        <f>VLOOKUP(W118,Employees!$A$1:$B$601,2,FALSE)</f>
        <v>Namita Padhi</v>
      </c>
      <c r="Z118" s="3" t="s">
        <v>416</v>
      </c>
      <c r="AA118" s="54" t="str">
        <f t="shared" si="27"/>
        <v>0117</v>
      </c>
      <c r="AC118" s="3" t="s">
        <v>24</v>
      </c>
      <c r="AD118" s="54" t="str">
        <f t="shared" si="28"/>
        <v>Design</v>
      </c>
      <c r="AF118" s="3" t="s">
        <v>417</v>
      </c>
      <c r="AG118" s="3" t="s">
        <v>24</v>
      </c>
      <c r="AH118" s="3" t="s">
        <v>214</v>
      </c>
      <c r="AI118" s="54" t="str">
        <f t="shared" si="29"/>
        <v>Dibya Parida|Design|ZeroOneSystems</v>
      </c>
      <c r="AK118" s="3" t="s">
        <v>417</v>
      </c>
      <c r="AL118" s="38" t="str">
        <f t="shared" si="30"/>
        <v>D.P.</v>
      </c>
      <c r="AN118" s="19" t="s">
        <v>5019</v>
      </c>
      <c r="AO118" s="54" t="str">
        <f t="shared" si="31"/>
        <v>Linkedln</v>
      </c>
      <c r="AQ118" s="3" t="s">
        <v>417</v>
      </c>
      <c r="AR118" s="52" t="str">
        <f t="shared" si="32"/>
        <v>NO</v>
      </c>
      <c r="AT118" s="12" t="s">
        <v>1621</v>
      </c>
      <c r="AU118" s="54">
        <f t="shared" si="33"/>
        <v>24</v>
      </c>
      <c r="AW118" s="54">
        <f ca="1">DATEDIF(BI118,TODAY(),"Y")</f>
        <v>8</v>
      </c>
      <c r="AX118" s="54"/>
      <c r="AY118" s="40" t="s">
        <v>5256</v>
      </c>
      <c r="AZ118" s="44">
        <f t="shared" si="34"/>
        <v>45125</v>
      </c>
      <c r="BA118" s="54" t="str">
        <f t="shared" si="35"/>
        <v>7-2023</v>
      </c>
      <c r="BC118" s="13" t="s">
        <v>1743</v>
      </c>
      <c r="BD118" s="13">
        <f t="shared" si="36"/>
        <v>44602</v>
      </c>
      <c r="BE118" s="45" t="s">
        <v>1625</v>
      </c>
      <c r="BF118" s="54" t="str">
        <f t="shared" ca="1" si="37"/>
        <v>Overdue</v>
      </c>
      <c r="BH118" s="3" t="s">
        <v>418</v>
      </c>
      <c r="BI118" s="51">
        <f t="shared" si="42"/>
        <v>43111</v>
      </c>
      <c r="BJ118" s="38">
        <f t="shared" ca="1" si="43"/>
        <v>2242</v>
      </c>
      <c r="BK118" s="38"/>
      <c r="BL118" s="38" t="str">
        <f t="shared" si="44"/>
        <v>Q1</v>
      </c>
      <c r="BM118" s="59">
        <f t="shared" si="38"/>
        <v>45125</v>
      </c>
      <c r="BN118" s="51">
        <f t="shared" si="45"/>
        <v>43111</v>
      </c>
      <c r="BO118" s="54">
        <f t="shared" si="39"/>
        <v>2014</v>
      </c>
      <c r="BP118" s="3" t="s">
        <v>416</v>
      </c>
      <c r="BQ118" s="3" t="s">
        <v>24</v>
      </c>
      <c r="BR118" s="19" t="s">
        <v>1311</v>
      </c>
      <c r="BS118" s="19" t="s">
        <v>2493</v>
      </c>
      <c r="BT118" s="54" t="str">
        <f t="shared" si="40"/>
        <v>Product</v>
      </c>
      <c r="BV118" s="3" t="s">
        <v>416</v>
      </c>
      <c r="BW118" s="3" t="s">
        <v>417</v>
      </c>
      <c r="BX118" s="12" t="s">
        <v>1621</v>
      </c>
      <c r="BY118" s="12" t="s">
        <v>569</v>
      </c>
      <c r="BZ118" s="54" t="str">
        <f t="shared" si="41"/>
        <v>Rahul Parida</v>
      </c>
      <c r="CB118" s="19" t="s">
        <v>141</v>
      </c>
      <c r="CC118" s="3" t="s">
        <v>417</v>
      </c>
      <c r="CD118" s="3" t="s">
        <v>25</v>
      </c>
      <c r="CE118" s="54" t="str">
        <v>HR Executive</v>
      </c>
      <c r="CG118" s="54" t="str">
        <f>IFERROR(_xlfn.XLOOKUP(Hiring!A118,Hiring!A118:A517,Hiring!B118:B517,,0),"Not Found")</f>
        <v>Saurav Routray</v>
      </c>
    </row>
    <row r="119" spans="2:85">
      <c r="B119" s="100"/>
      <c r="F119" s="4">
        <v>2.4</v>
      </c>
      <c r="G119" s="52" t="str" cm="1">
        <f t="array" ref="G119">_xlfn.IFS(F119&gt;=4.5,"Excellent",AND(F119&gt;=3.5,F119&lt;=4.4),"Good",F119&lt;3.5,"Needs Improvement")</f>
        <v>Needs Improvement</v>
      </c>
      <c r="I119" s="14">
        <v>81.36</v>
      </c>
      <c r="J119" s="14">
        <v>62.46</v>
      </c>
      <c r="K119" s="54" t="str">
        <f t="shared" si="23"/>
        <v>Within Budget</v>
      </c>
      <c r="M119" s="18">
        <v>169720</v>
      </c>
      <c r="N119" s="18">
        <v>153319</v>
      </c>
      <c r="O119" s="54" t="str">
        <f t="shared" si="24"/>
        <v>Yes</v>
      </c>
      <c r="Q119" s="18">
        <v>9.36</v>
      </c>
      <c r="R119" s="56" t="str">
        <f t="shared" si="25"/>
        <v>Yes</v>
      </c>
      <c r="W119" s="18" t="s">
        <v>1311</v>
      </c>
      <c r="X119" s="54" t="str">
        <f>VLOOKUP(W119,Employees!$A$1:$B$601,2,FALSE)</f>
        <v>Namita Padhi</v>
      </c>
      <c r="Z119" s="4" t="s">
        <v>419</v>
      </c>
      <c r="AA119" s="54" t="str">
        <f t="shared" si="27"/>
        <v>0118</v>
      </c>
      <c r="AC119" s="4" t="s">
        <v>84</v>
      </c>
      <c r="AD119" s="54" t="str">
        <f t="shared" si="28"/>
        <v>Hr</v>
      </c>
      <c r="AF119" s="4" t="s">
        <v>420</v>
      </c>
      <c r="AG119" s="4" t="s">
        <v>84</v>
      </c>
      <c r="AH119" s="4" t="s">
        <v>75</v>
      </c>
      <c r="AI119" s="54" t="str">
        <f t="shared" si="29"/>
        <v>Satyajit Mishra|HR|KalingaTech Pvt Ltd</v>
      </c>
      <c r="AK119" s="4" t="s">
        <v>420</v>
      </c>
      <c r="AL119" s="38" t="str">
        <f t="shared" si="30"/>
        <v>S.M.</v>
      </c>
      <c r="AN119" s="18" t="s">
        <v>5077</v>
      </c>
      <c r="AO119" s="54" t="b">
        <f t="shared" si="31"/>
        <v>0</v>
      </c>
      <c r="AQ119" s="4" t="s">
        <v>420</v>
      </c>
      <c r="AR119" s="52" t="str">
        <f t="shared" si="32"/>
        <v>Mishra</v>
      </c>
      <c r="AT119" s="14" t="s">
        <v>1640</v>
      </c>
      <c r="AU119" s="54">
        <f t="shared" si="33"/>
        <v>17</v>
      </c>
      <c r="AW119" s="54">
        <f ca="1">DATEDIF(BI119,TODAY(),"Y")</f>
        <v>5</v>
      </c>
      <c r="AX119" s="54"/>
      <c r="AY119" s="41" t="s">
        <v>5258</v>
      </c>
      <c r="AZ119" s="44">
        <f t="shared" si="34"/>
        <v>45245</v>
      </c>
      <c r="BA119" s="54" t="str">
        <f t="shared" si="35"/>
        <v>11-2023</v>
      </c>
      <c r="BC119" s="15" t="s">
        <v>994</v>
      </c>
      <c r="BD119" s="13">
        <f t="shared" si="36"/>
        <v>44843</v>
      </c>
      <c r="BE119" s="46" t="s">
        <v>1656</v>
      </c>
      <c r="BF119" s="54" t="str">
        <f t="shared" ca="1" si="37"/>
        <v>Overdue</v>
      </c>
      <c r="BH119" s="4" t="s">
        <v>421</v>
      </c>
      <c r="BI119" s="51">
        <f t="shared" si="42"/>
        <v>44100</v>
      </c>
      <c r="BJ119" s="38">
        <f t="shared" ca="1" si="43"/>
        <v>1535</v>
      </c>
      <c r="BK119" s="38"/>
      <c r="BL119" s="38" t="str">
        <f t="shared" si="44"/>
        <v>No</v>
      </c>
      <c r="BM119" s="59">
        <f t="shared" si="38"/>
        <v>45245</v>
      </c>
      <c r="BN119" s="51">
        <f t="shared" si="45"/>
        <v>44100</v>
      </c>
      <c r="BO119" s="54">
        <f t="shared" si="39"/>
        <v>1145</v>
      </c>
      <c r="BP119" s="4" t="s">
        <v>419</v>
      </c>
      <c r="BQ119" s="4" t="s">
        <v>84</v>
      </c>
      <c r="BR119" s="18" t="s">
        <v>1311</v>
      </c>
      <c r="BS119" s="18" t="s">
        <v>2496</v>
      </c>
      <c r="BT119" s="54" t="str">
        <f t="shared" si="40"/>
        <v>Product</v>
      </c>
      <c r="BV119" s="4" t="s">
        <v>419</v>
      </c>
      <c r="BW119" s="4" t="s">
        <v>420</v>
      </c>
      <c r="BX119" s="14" t="s">
        <v>1640</v>
      </c>
      <c r="BY119" s="14" t="s">
        <v>1578</v>
      </c>
      <c r="BZ119" s="54" t="str">
        <f t="shared" si="41"/>
        <v>Saurav Ratha</v>
      </c>
      <c r="CB119" s="18" t="s">
        <v>1496</v>
      </c>
      <c r="CC119" s="4" t="s">
        <v>420</v>
      </c>
      <c r="CD119" s="4" t="s">
        <v>204</v>
      </c>
      <c r="CE119" s="54" t="str">
        <v>QA Engineer</v>
      </c>
      <c r="CG119" s="54" t="str">
        <f>IFERROR(_xlfn.XLOOKUP(Hiring!A119,Hiring!A119:A518,Hiring!B119:B518,,0),"Not Found")</f>
        <v>Ipsita Parida</v>
      </c>
    </row>
    <row r="120" spans="2:85">
      <c r="B120" s="100"/>
      <c r="F120" s="3">
        <v>3.3</v>
      </c>
      <c r="G120" s="52" t="str" cm="1">
        <f t="array" ref="G120">_xlfn.IFS(F120&gt;=4.5,"Excellent",AND(F120&gt;=3.5,F120&lt;=4.4),"Good",F120&lt;3.5,"Needs Improvement")</f>
        <v>Needs Improvement</v>
      </c>
      <c r="I120" s="12">
        <v>156.83000000000001</v>
      </c>
      <c r="J120" s="12">
        <v>193.98</v>
      </c>
      <c r="K120" s="54" t="str">
        <f t="shared" si="23"/>
        <v>Over Budget</v>
      </c>
      <c r="M120" s="19">
        <v>51916</v>
      </c>
      <c r="N120" s="19">
        <v>50644</v>
      </c>
      <c r="O120" s="54" t="str">
        <f t="shared" si="24"/>
        <v>Yes</v>
      </c>
      <c r="Q120" s="19">
        <v>9.7799999999999994</v>
      </c>
      <c r="R120" s="56" t="str">
        <f t="shared" si="25"/>
        <v>Yes</v>
      </c>
      <c r="W120" s="19" t="s">
        <v>1311</v>
      </c>
      <c r="X120" s="54" t="str">
        <f>VLOOKUP(W120,Employees!$A$1:$B$601,2,FALSE)</f>
        <v>Namita Padhi</v>
      </c>
      <c r="Z120" s="3" t="s">
        <v>422</v>
      </c>
      <c r="AA120" s="54" t="str">
        <f t="shared" si="27"/>
        <v>0119</v>
      </c>
      <c r="AC120" s="3" t="s">
        <v>51</v>
      </c>
      <c r="AD120" s="54" t="str">
        <f t="shared" si="28"/>
        <v>Sales</v>
      </c>
      <c r="AF120" s="3" t="s">
        <v>398</v>
      </c>
      <c r="AG120" s="3" t="s">
        <v>51</v>
      </c>
      <c r="AH120" s="3" t="s">
        <v>114</v>
      </c>
      <c r="AI120" s="54" t="str">
        <f t="shared" si="29"/>
        <v>Tanmay Prusty|Sales|UtkalSoft Technologies</v>
      </c>
      <c r="AK120" s="3" t="s">
        <v>398</v>
      </c>
      <c r="AL120" s="38" t="str">
        <f t="shared" si="30"/>
        <v>T.P.</v>
      </c>
      <c r="AN120" s="19" t="s">
        <v>5023</v>
      </c>
      <c r="AO120" s="54" t="str">
        <f t="shared" si="31"/>
        <v>Linkedln</v>
      </c>
      <c r="AQ120" s="3" t="s">
        <v>398</v>
      </c>
      <c r="AR120" s="52" t="str">
        <f t="shared" si="32"/>
        <v>NO</v>
      </c>
      <c r="AT120" s="12" t="s">
        <v>1702</v>
      </c>
      <c r="AU120" s="54">
        <f t="shared" si="33"/>
        <v>17</v>
      </c>
      <c r="AW120" s="54">
        <f ca="1">DATEDIF(BI120,TODAY(),"Y")</f>
        <v>8</v>
      </c>
      <c r="AX120" s="54"/>
      <c r="AY120" s="40" t="s">
        <v>2226</v>
      </c>
      <c r="AZ120" s="44">
        <f t="shared" si="34"/>
        <v>45562</v>
      </c>
      <c r="BA120" s="54" t="str">
        <f t="shared" si="35"/>
        <v>9-2024</v>
      </c>
      <c r="BC120" s="13" t="s">
        <v>1961</v>
      </c>
      <c r="BD120" s="13">
        <f t="shared" si="36"/>
        <v>45255</v>
      </c>
      <c r="BE120" s="45" t="s">
        <v>1625</v>
      </c>
      <c r="BF120" s="54" t="str">
        <f t="shared" ca="1" si="37"/>
        <v>Overdue</v>
      </c>
      <c r="BH120" s="3" t="s">
        <v>423</v>
      </c>
      <c r="BI120" s="51">
        <f t="shared" si="42"/>
        <v>43306</v>
      </c>
      <c r="BJ120" s="38">
        <f t="shared" ca="1" si="43"/>
        <v>2103</v>
      </c>
      <c r="BK120" s="38"/>
      <c r="BL120" s="38" t="str">
        <f t="shared" si="44"/>
        <v>No</v>
      </c>
      <c r="BM120" s="59">
        <f t="shared" si="38"/>
        <v>45562</v>
      </c>
      <c r="BN120" s="51">
        <f t="shared" si="45"/>
        <v>43306</v>
      </c>
      <c r="BO120" s="54">
        <f t="shared" si="39"/>
        <v>2256</v>
      </c>
      <c r="BP120" s="3" t="s">
        <v>422</v>
      </c>
      <c r="BQ120" s="3" t="s">
        <v>51</v>
      </c>
      <c r="BR120" s="19" t="s">
        <v>1311</v>
      </c>
      <c r="BS120" s="19" t="s">
        <v>2497</v>
      </c>
      <c r="BT120" s="54" t="str">
        <f t="shared" si="40"/>
        <v>Product</v>
      </c>
      <c r="BV120" s="3" t="s">
        <v>422</v>
      </c>
      <c r="BW120" s="3" t="s">
        <v>398</v>
      </c>
      <c r="BX120" s="12" t="s">
        <v>1702</v>
      </c>
      <c r="BY120" s="12" t="s">
        <v>946</v>
      </c>
      <c r="BZ120" s="54" t="str">
        <f t="shared" si="41"/>
        <v>Puspita Senapati</v>
      </c>
      <c r="CB120" s="19" t="s">
        <v>814</v>
      </c>
      <c r="CC120" s="3" t="s">
        <v>398</v>
      </c>
      <c r="CD120" s="3" t="s">
        <v>105</v>
      </c>
      <c r="CE120" s="54" t="str">
        <v>Business Developer</v>
      </c>
      <c r="CG120" s="54" t="str">
        <f>IFERROR(_xlfn.XLOOKUP(Hiring!A120,Hiring!A120:A519,Hiring!B120:B519,,0),"Not Found")</f>
        <v>Prasant Choudhury</v>
      </c>
    </row>
    <row r="121" spans="2:85">
      <c r="B121" s="100"/>
      <c r="F121" s="4">
        <v>2.5</v>
      </c>
      <c r="G121" s="52" t="str" cm="1">
        <f t="array" ref="G121">_xlfn.IFS(F121&gt;=4.5,"Excellent",AND(F121&gt;=3.5,F121&lt;=4.4),"Good",F121&lt;3.5,"Needs Improvement")</f>
        <v>Needs Improvement</v>
      </c>
      <c r="I121" s="14">
        <v>47.25</v>
      </c>
      <c r="J121" s="14">
        <v>48.33</v>
      </c>
      <c r="K121" s="54" t="str">
        <f t="shared" si="23"/>
        <v>Over Budget</v>
      </c>
      <c r="M121" s="18">
        <v>147477</v>
      </c>
      <c r="N121" s="18">
        <v>173222</v>
      </c>
      <c r="O121" s="54" t="str">
        <f t="shared" si="24"/>
        <v>Yes</v>
      </c>
      <c r="Q121" s="18">
        <v>8.69</v>
      </c>
      <c r="R121" s="56" t="str">
        <f t="shared" si="25"/>
        <v>Yes</v>
      </c>
      <c r="W121" s="18" t="s">
        <v>1311</v>
      </c>
      <c r="X121" s="54" t="str">
        <f>VLOOKUP(W121,Employees!$A$1:$B$601,2,FALSE)</f>
        <v>Namita Padhi</v>
      </c>
      <c r="Z121" s="4" t="s">
        <v>424</v>
      </c>
      <c r="AA121" s="54" t="str">
        <f t="shared" si="27"/>
        <v>0120</v>
      </c>
      <c r="AC121" s="4" t="s">
        <v>24</v>
      </c>
      <c r="AD121" s="54" t="str">
        <f t="shared" si="28"/>
        <v>Design</v>
      </c>
      <c r="AF121" s="4" t="s">
        <v>425</v>
      </c>
      <c r="AG121" s="4" t="s">
        <v>24</v>
      </c>
      <c r="AH121" s="4" t="s">
        <v>70</v>
      </c>
      <c r="AI121" s="54" t="str">
        <f t="shared" si="29"/>
        <v>Sangita Senapati|Design|OdishaCode Labs</v>
      </c>
      <c r="AK121" s="4" t="s">
        <v>425</v>
      </c>
      <c r="AL121" s="38" t="str">
        <f t="shared" si="30"/>
        <v>S.S.</v>
      </c>
      <c r="AN121" s="18" t="s">
        <v>5051</v>
      </c>
      <c r="AO121" s="54" t="str">
        <f t="shared" si="31"/>
        <v>Naukri</v>
      </c>
      <c r="AQ121" s="4" t="s">
        <v>425</v>
      </c>
      <c r="AR121" s="52" t="str">
        <f t="shared" si="32"/>
        <v>NO</v>
      </c>
      <c r="AT121" s="14" t="s">
        <v>1705</v>
      </c>
      <c r="AU121" s="54">
        <f t="shared" si="33"/>
        <v>13</v>
      </c>
      <c r="AW121" s="54">
        <f ca="1">DATEDIF(BI121,TODAY(),"Y")</f>
        <v>3</v>
      </c>
      <c r="AX121" s="54"/>
      <c r="AY121" s="41" t="s">
        <v>5262</v>
      </c>
      <c r="AZ121" s="44">
        <f t="shared" si="34"/>
        <v>45397</v>
      </c>
      <c r="BA121" s="54" t="str">
        <f t="shared" si="35"/>
        <v>4-2024</v>
      </c>
      <c r="BC121" s="15" t="s">
        <v>1963</v>
      </c>
      <c r="BD121" s="13">
        <f t="shared" si="36"/>
        <v>44899</v>
      </c>
      <c r="BE121" s="46" t="s">
        <v>1625</v>
      </c>
      <c r="BF121" s="54" t="str">
        <f t="shared" ca="1" si="37"/>
        <v>Overdue</v>
      </c>
      <c r="BH121" s="4" t="s">
        <v>426</v>
      </c>
      <c r="BI121" s="51">
        <f t="shared" si="42"/>
        <v>44819</v>
      </c>
      <c r="BJ121" s="38">
        <f t="shared" ca="1" si="43"/>
        <v>1022</v>
      </c>
      <c r="BK121" s="38"/>
      <c r="BL121" s="38" t="str">
        <f t="shared" si="44"/>
        <v>No</v>
      </c>
      <c r="BM121" s="59">
        <f t="shared" si="38"/>
        <v>45397</v>
      </c>
      <c r="BN121" s="51">
        <f t="shared" si="45"/>
        <v>44819</v>
      </c>
      <c r="BO121" s="54">
        <f t="shared" si="39"/>
        <v>578</v>
      </c>
      <c r="BP121" s="4" t="s">
        <v>424</v>
      </c>
      <c r="BQ121" s="4" t="s">
        <v>24</v>
      </c>
      <c r="BR121" s="18" t="s">
        <v>1311</v>
      </c>
      <c r="BS121" s="18" t="s">
        <v>2498</v>
      </c>
      <c r="BT121" s="54" t="str">
        <f t="shared" si="40"/>
        <v>Product</v>
      </c>
      <c r="BV121" s="4" t="s">
        <v>424</v>
      </c>
      <c r="BW121" s="4" t="s">
        <v>425</v>
      </c>
      <c r="BX121" s="14" t="s">
        <v>1705</v>
      </c>
      <c r="BY121" s="14" t="s">
        <v>1147</v>
      </c>
      <c r="BZ121" s="54" t="str">
        <f t="shared" si="41"/>
        <v>Jyotirmayee Sahu</v>
      </c>
      <c r="CB121" s="18" t="s">
        <v>5261</v>
      </c>
      <c r="CC121" s="4" t="s">
        <v>425</v>
      </c>
      <c r="CD121" s="4" t="s">
        <v>25</v>
      </c>
      <c r="CE121" s="54" t="str">
        <v>Not Found</v>
      </c>
      <c r="CG121" s="54" t="str">
        <f>IFERROR(_xlfn.XLOOKUP(Hiring!A121,Hiring!A121:A520,Hiring!B121:B520,,0),"Not Found")</f>
        <v>Sangita Tripathy</v>
      </c>
    </row>
    <row r="122" spans="2:85">
      <c r="B122" s="100"/>
      <c r="F122" s="3">
        <v>2.6</v>
      </c>
      <c r="G122" s="52" t="str" cm="1">
        <f t="array" ref="G122">_xlfn.IFS(F122&gt;=4.5,"Excellent",AND(F122&gt;=3.5,F122&lt;=4.4),"Good",F122&lt;3.5,"Needs Improvement")</f>
        <v>Needs Improvement</v>
      </c>
      <c r="I122" s="12">
        <v>110.42</v>
      </c>
      <c r="J122" s="12">
        <v>120.02</v>
      </c>
      <c r="K122" s="54" t="str">
        <f t="shared" si="23"/>
        <v>Over Budget</v>
      </c>
      <c r="M122" s="19">
        <v>23409</v>
      </c>
      <c r="N122" s="19">
        <v>23335</v>
      </c>
      <c r="O122" s="54" t="str">
        <f t="shared" si="24"/>
        <v>Yes</v>
      </c>
      <c r="Q122" s="19">
        <v>8.2899999999999991</v>
      </c>
      <c r="R122" s="56" t="str">
        <f t="shared" si="25"/>
        <v>Yes</v>
      </c>
      <c r="W122" s="19" t="s">
        <v>1311</v>
      </c>
      <c r="X122" s="54" t="str">
        <f>VLOOKUP(W122,Employees!$A$1:$B$601,2,FALSE)</f>
        <v>Namita Padhi</v>
      </c>
      <c r="Z122" s="3" t="s">
        <v>427</v>
      </c>
      <c r="AA122" s="54" t="str">
        <f t="shared" si="27"/>
        <v>0121</v>
      </c>
      <c r="AC122" s="3" t="s">
        <v>118</v>
      </c>
      <c r="AD122" s="54" t="str">
        <f t="shared" si="28"/>
        <v>Marketing</v>
      </c>
      <c r="AF122" s="3" t="s">
        <v>428</v>
      </c>
      <c r="AG122" s="3" t="s">
        <v>118</v>
      </c>
      <c r="AH122" s="3" t="s">
        <v>75</v>
      </c>
      <c r="AI122" s="54" t="str">
        <f t="shared" si="29"/>
        <v>Puspita Pattnaik|Marketing|KalingaTech Pvt Ltd</v>
      </c>
      <c r="AK122" s="3" t="s">
        <v>428</v>
      </c>
      <c r="AL122" s="38" t="str">
        <f t="shared" si="30"/>
        <v>P.P.</v>
      </c>
      <c r="AN122" s="19" t="s">
        <v>5025</v>
      </c>
      <c r="AO122" s="54" t="b">
        <f t="shared" si="31"/>
        <v>0</v>
      </c>
      <c r="AQ122" s="3" t="s">
        <v>428</v>
      </c>
      <c r="AR122" s="52" t="str">
        <f t="shared" si="32"/>
        <v>NO</v>
      </c>
      <c r="AT122" s="12" t="s">
        <v>1640</v>
      </c>
      <c r="AU122" s="54">
        <f t="shared" si="33"/>
        <v>17</v>
      </c>
      <c r="AW122" s="54">
        <f ca="1">DATEDIF(BI122,TODAY(),"Y")</f>
        <v>4</v>
      </c>
      <c r="AX122" s="54"/>
      <c r="AY122" s="40" t="s">
        <v>5264</v>
      </c>
      <c r="AZ122" s="44">
        <f t="shared" si="34"/>
        <v>45608</v>
      </c>
      <c r="BA122" s="54" t="str">
        <f t="shared" si="35"/>
        <v>11-2024</v>
      </c>
      <c r="BC122" s="13" t="s">
        <v>1965</v>
      </c>
      <c r="BD122" s="13">
        <f t="shared" si="36"/>
        <v>44973</v>
      </c>
      <c r="BE122" s="45" t="s">
        <v>1656</v>
      </c>
      <c r="BF122" s="54" t="str">
        <f t="shared" ca="1" si="37"/>
        <v>Overdue</v>
      </c>
      <c r="BH122" s="3" t="s">
        <v>429</v>
      </c>
      <c r="BI122" s="51">
        <f t="shared" si="42"/>
        <v>44682</v>
      </c>
      <c r="BJ122" s="38">
        <f t="shared" ca="1" si="43"/>
        <v>1120</v>
      </c>
      <c r="BK122" s="38"/>
      <c r="BL122" s="38" t="str">
        <f t="shared" si="44"/>
        <v>No</v>
      </c>
      <c r="BM122" s="59">
        <f t="shared" si="38"/>
        <v>45608</v>
      </c>
      <c r="BN122" s="51">
        <f t="shared" si="45"/>
        <v>44682</v>
      </c>
      <c r="BO122" s="54">
        <f t="shared" si="39"/>
        <v>926</v>
      </c>
      <c r="BP122" s="3" t="s">
        <v>427</v>
      </c>
      <c r="BQ122" s="3" t="s">
        <v>118</v>
      </c>
      <c r="BR122" s="19" t="s">
        <v>1311</v>
      </c>
      <c r="BS122" s="19" t="s">
        <v>2500</v>
      </c>
      <c r="BT122" s="54" t="str">
        <f t="shared" si="40"/>
        <v>Product</v>
      </c>
      <c r="BV122" s="3" t="s">
        <v>427</v>
      </c>
      <c r="BW122" s="3" t="s">
        <v>428</v>
      </c>
      <c r="BX122" s="12" t="s">
        <v>1640</v>
      </c>
      <c r="BY122" s="12" t="s">
        <v>492</v>
      </c>
      <c r="BZ122" s="54" t="str">
        <f t="shared" si="41"/>
        <v>Puspita Mahapatra</v>
      </c>
      <c r="CB122" s="19" t="s">
        <v>165</v>
      </c>
      <c r="CC122" s="3" t="s">
        <v>428</v>
      </c>
      <c r="CD122" s="3" t="s">
        <v>119</v>
      </c>
      <c r="CE122" s="54" t="str">
        <v>Tech Lead</v>
      </c>
      <c r="CG122" s="54" t="str">
        <f>IFERROR(_xlfn.XLOOKUP(Hiring!A122,Hiring!A122:A521,Hiring!B122:B521,,0),"Not Found")</f>
        <v>Priyanka Ratha</v>
      </c>
    </row>
    <row r="123" spans="2:85">
      <c r="B123" s="100"/>
      <c r="F123" s="4">
        <v>4.7</v>
      </c>
      <c r="G123" s="52" t="str" cm="1">
        <f t="array" ref="G123">_xlfn.IFS(F123&gt;=4.5,"Excellent",AND(F123&gt;=3.5,F123&lt;=4.4),"Good",F123&lt;3.5,"Needs Improvement")</f>
        <v>Excellent</v>
      </c>
      <c r="I123" s="14">
        <v>170.59</v>
      </c>
      <c r="J123" s="14">
        <v>171.01</v>
      </c>
      <c r="K123" s="54" t="str">
        <f t="shared" si="23"/>
        <v>Over Budget</v>
      </c>
      <c r="M123" s="18">
        <v>112637</v>
      </c>
      <c r="N123" s="18">
        <v>125428</v>
      </c>
      <c r="O123" s="54" t="str">
        <f t="shared" si="24"/>
        <v>Yes</v>
      </c>
      <c r="Q123" s="18">
        <v>6.84</v>
      </c>
      <c r="R123" s="56" t="str">
        <f t="shared" si="25"/>
        <v>Yes</v>
      </c>
      <c r="W123" s="18" t="s">
        <v>1311</v>
      </c>
      <c r="X123" s="54" t="str">
        <f>VLOOKUP(W123,Employees!$A$1:$B$601,2,FALSE)</f>
        <v>Namita Padhi</v>
      </c>
      <c r="Z123" s="4" t="s">
        <v>430</v>
      </c>
      <c r="AA123" s="54" t="str">
        <f t="shared" si="27"/>
        <v>0122</v>
      </c>
      <c r="AC123" s="4" t="s">
        <v>118</v>
      </c>
      <c r="AD123" s="54" t="str">
        <f t="shared" si="28"/>
        <v>Marketing</v>
      </c>
      <c r="AF123" s="4" t="s">
        <v>180</v>
      </c>
      <c r="AG123" s="4" t="s">
        <v>118</v>
      </c>
      <c r="AH123" s="4" t="s">
        <v>214</v>
      </c>
      <c r="AI123" s="54" t="str">
        <f t="shared" si="29"/>
        <v>Saurav Nanda|Marketing|ZeroOneSystems</v>
      </c>
      <c r="AK123" s="4" t="s">
        <v>180</v>
      </c>
      <c r="AL123" s="38" t="str">
        <f t="shared" si="30"/>
        <v>S.N.</v>
      </c>
      <c r="AN123" s="18" t="s">
        <v>5016</v>
      </c>
      <c r="AO123" s="54" t="b">
        <f t="shared" si="31"/>
        <v>0</v>
      </c>
      <c r="AQ123" s="4" t="s">
        <v>180</v>
      </c>
      <c r="AR123" s="52" t="str">
        <f t="shared" si="32"/>
        <v>NO</v>
      </c>
      <c r="AT123" s="14" t="s">
        <v>1699</v>
      </c>
      <c r="AU123" s="54">
        <f t="shared" si="33"/>
        <v>18</v>
      </c>
      <c r="AW123" s="54">
        <f ca="1">DATEDIF(BI123,TODAY(),"Y")</f>
        <v>5</v>
      </c>
      <c r="AX123" s="54"/>
      <c r="AY123" s="41" t="s">
        <v>5266</v>
      </c>
      <c r="AZ123" s="44">
        <f t="shared" si="34"/>
        <v>45040</v>
      </c>
      <c r="BA123" s="54" t="str">
        <f t="shared" si="35"/>
        <v>4-2023</v>
      </c>
      <c r="BC123" s="15" t="s">
        <v>1968</v>
      </c>
      <c r="BD123" s="13">
        <f t="shared" si="36"/>
        <v>45265</v>
      </c>
      <c r="BE123" s="46" t="s">
        <v>1625</v>
      </c>
      <c r="BF123" s="54" t="str">
        <f t="shared" ca="1" si="37"/>
        <v>Overdue</v>
      </c>
      <c r="BH123" s="4" t="s">
        <v>431</v>
      </c>
      <c r="BI123" s="51">
        <f t="shared" si="42"/>
        <v>44156</v>
      </c>
      <c r="BJ123" s="38">
        <f t="shared" ca="1" si="43"/>
        <v>1495</v>
      </c>
      <c r="BK123" s="38"/>
      <c r="BL123" s="38" t="str">
        <f t="shared" si="44"/>
        <v>No</v>
      </c>
      <c r="BM123" s="59">
        <f t="shared" si="38"/>
        <v>45040</v>
      </c>
      <c r="BN123" s="51">
        <f t="shared" si="45"/>
        <v>44156</v>
      </c>
      <c r="BO123" s="54">
        <f t="shared" si="39"/>
        <v>884</v>
      </c>
      <c r="BP123" s="4" t="s">
        <v>430</v>
      </c>
      <c r="BQ123" s="4" t="s">
        <v>118</v>
      </c>
      <c r="BR123" s="18" t="s">
        <v>1311</v>
      </c>
      <c r="BS123" s="18" t="s">
        <v>2502</v>
      </c>
      <c r="BT123" s="54" t="str">
        <f t="shared" si="40"/>
        <v>Product</v>
      </c>
      <c r="BV123" s="4" t="s">
        <v>430</v>
      </c>
      <c r="BW123" s="4" t="s">
        <v>180</v>
      </c>
      <c r="BX123" s="14" t="s">
        <v>1699</v>
      </c>
      <c r="BY123" s="14" t="s">
        <v>1173</v>
      </c>
      <c r="BZ123" s="54" t="str">
        <f t="shared" si="41"/>
        <v>Soumya Jena</v>
      </c>
      <c r="CB123" s="18" t="s">
        <v>966</v>
      </c>
      <c r="CC123" s="4" t="s">
        <v>180</v>
      </c>
      <c r="CD123" s="4" t="s">
        <v>119</v>
      </c>
      <c r="CE123" s="54" t="str">
        <v>Software Engineer</v>
      </c>
      <c r="CG123" s="54" t="str">
        <f>IFERROR(_xlfn.XLOOKUP(Hiring!A123,Hiring!A123:A522,Hiring!B123:B522,,0),"Not Found")</f>
        <v>Aditya Sahoo</v>
      </c>
    </row>
    <row r="124" spans="2:85">
      <c r="B124" s="100"/>
      <c r="F124" s="3">
        <v>1.9</v>
      </c>
      <c r="G124" s="52" t="str" cm="1">
        <f t="array" ref="G124">_xlfn.IFS(F124&gt;=4.5,"Excellent",AND(F124&gt;=3.5,F124&lt;=4.4),"Good",F124&lt;3.5,"Needs Improvement")</f>
        <v>Needs Improvement</v>
      </c>
      <c r="I124" s="12">
        <v>178.06</v>
      </c>
      <c r="J124" s="12">
        <v>133.36000000000001</v>
      </c>
      <c r="K124" s="54" t="str">
        <f t="shared" si="23"/>
        <v>Within Budget</v>
      </c>
      <c r="M124" s="19">
        <v>171826</v>
      </c>
      <c r="N124" s="19">
        <v>150962</v>
      </c>
      <c r="O124" s="54" t="str">
        <f t="shared" si="24"/>
        <v>Yes</v>
      </c>
      <c r="Q124" s="19">
        <v>10.67</v>
      </c>
      <c r="R124" s="56" t="str">
        <f t="shared" si="25"/>
        <v>Yes</v>
      </c>
      <c r="W124" s="19" t="s">
        <v>1311</v>
      </c>
      <c r="X124" s="54" t="str">
        <f>VLOOKUP(W124,Employees!$A$1:$B$601,2,FALSE)</f>
        <v>Namita Padhi</v>
      </c>
      <c r="Z124" s="3" t="s">
        <v>432</v>
      </c>
      <c r="AA124" s="54" t="str">
        <f t="shared" si="27"/>
        <v>0123</v>
      </c>
      <c r="AC124" s="3" t="s">
        <v>89</v>
      </c>
      <c r="AD124" s="54" t="str">
        <f t="shared" si="28"/>
        <v>Data Science</v>
      </c>
      <c r="AF124" s="3" t="s">
        <v>433</v>
      </c>
      <c r="AG124" s="3" t="s">
        <v>89</v>
      </c>
      <c r="AH124" s="3" t="s">
        <v>65</v>
      </c>
      <c r="AI124" s="54" t="str">
        <f t="shared" si="29"/>
        <v>Namita Mahapatra|Data Science|TributeAI</v>
      </c>
      <c r="AK124" s="3" t="s">
        <v>433</v>
      </c>
      <c r="AL124" s="38" t="str">
        <f t="shared" si="30"/>
        <v>N.M.</v>
      </c>
      <c r="AN124" s="19" t="s">
        <v>5077</v>
      </c>
      <c r="AO124" s="54" t="b">
        <f t="shared" si="31"/>
        <v>0</v>
      </c>
      <c r="AQ124" s="3" t="s">
        <v>433</v>
      </c>
      <c r="AR124" s="52" t="str">
        <f t="shared" si="32"/>
        <v>NO</v>
      </c>
      <c r="AT124" s="12" t="s">
        <v>1720</v>
      </c>
      <c r="AU124" s="54">
        <f t="shared" si="33"/>
        <v>10</v>
      </c>
      <c r="AW124" s="54">
        <f ca="1">DATEDIF(BI124,TODAY(),"Y")</f>
        <v>5</v>
      </c>
      <c r="AX124" s="54"/>
      <c r="AY124" s="40" t="s">
        <v>5268</v>
      </c>
      <c r="AZ124" s="44">
        <f t="shared" si="34"/>
        <v>45246</v>
      </c>
      <c r="BA124" s="54" t="str">
        <f t="shared" si="35"/>
        <v>11-2023</v>
      </c>
      <c r="BC124" s="13" t="s">
        <v>1971</v>
      </c>
      <c r="BD124" s="13">
        <f t="shared" si="36"/>
        <v>45498</v>
      </c>
      <c r="BE124" s="45" t="s">
        <v>1656</v>
      </c>
      <c r="BF124" s="54" t="str">
        <f t="shared" ca="1" si="37"/>
        <v>Overdue</v>
      </c>
      <c r="BH124" s="3" t="s">
        <v>332</v>
      </c>
      <c r="BI124" s="51">
        <f t="shared" si="42"/>
        <v>44232</v>
      </c>
      <c r="BJ124" s="38">
        <f t="shared" ca="1" si="43"/>
        <v>1441</v>
      </c>
      <c r="BK124" s="38"/>
      <c r="BL124" s="38" t="str">
        <f t="shared" si="44"/>
        <v>Q1</v>
      </c>
      <c r="BM124" s="59">
        <f t="shared" si="38"/>
        <v>45246</v>
      </c>
      <c r="BN124" s="51">
        <f t="shared" si="45"/>
        <v>44232</v>
      </c>
      <c r="BO124" s="54">
        <f t="shared" si="39"/>
        <v>1014</v>
      </c>
      <c r="BP124" s="3" t="s">
        <v>432</v>
      </c>
      <c r="BQ124" s="3" t="s">
        <v>89</v>
      </c>
      <c r="BR124" s="19" t="s">
        <v>1311</v>
      </c>
      <c r="BS124" s="19" t="s">
        <v>2504</v>
      </c>
      <c r="BT124" s="54" t="str">
        <f t="shared" si="40"/>
        <v>Product</v>
      </c>
      <c r="BV124" s="3" t="s">
        <v>432</v>
      </c>
      <c r="BW124" s="3" t="s">
        <v>433</v>
      </c>
      <c r="BX124" s="12" t="s">
        <v>1720</v>
      </c>
      <c r="BY124" s="12" t="s">
        <v>1525</v>
      </c>
      <c r="BZ124" s="54" t="str">
        <f t="shared" si="41"/>
        <v>Amlan Choudhury</v>
      </c>
      <c r="CB124" s="19" t="s">
        <v>724</v>
      </c>
      <c r="CC124" s="3" t="s">
        <v>433</v>
      </c>
      <c r="CD124" s="3" t="s">
        <v>113</v>
      </c>
      <c r="CE124" s="54" t="str">
        <v>Product Owner</v>
      </c>
      <c r="CG124" s="54" t="str">
        <f>IFERROR(_xlfn.XLOOKUP(Hiring!A124,Hiring!A124:A523,Hiring!B124:B523,,0),"Not Found")</f>
        <v>Rajan Choudhury</v>
      </c>
    </row>
    <row r="125" spans="2:85">
      <c r="B125" s="100"/>
      <c r="F125" s="4">
        <v>3.8</v>
      </c>
      <c r="G125" s="52" t="str" cm="1">
        <f t="array" ref="G125">_xlfn.IFS(F125&gt;=4.5,"Excellent",AND(F125&gt;=3.5,F125&lt;=4.4),"Good",F125&lt;3.5,"Needs Improvement")</f>
        <v>Good</v>
      </c>
      <c r="I125" s="14">
        <v>34.17</v>
      </c>
      <c r="J125" s="14">
        <v>32.31</v>
      </c>
      <c r="K125" s="54" t="str">
        <f t="shared" si="23"/>
        <v>Within Budget</v>
      </c>
      <c r="M125" s="18">
        <v>56525</v>
      </c>
      <c r="N125" s="18">
        <v>65864</v>
      </c>
      <c r="O125" s="54" t="str">
        <f t="shared" si="24"/>
        <v>Yes</v>
      </c>
      <c r="Q125" s="18">
        <v>11.02</v>
      </c>
      <c r="R125" s="56" t="str">
        <f t="shared" si="25"/>
        <v>Yes</v>
      </c>
      <c r="W125" s="18" t="s">
        <v>1311</v>
      </c>
      <c r="X125" s="54" t="str">
        <f>VLOOKUP(W125,Employees!$A$1:$B$601,2,FALSE)</f>
        <v>Namita Padhi</v>
      </c>
      <c r="Z125" s="4" t="s">
        <v>434</v>
      </c>
      <c r="AA125" s="54" t="str">
        <f t="shared" si="27"/>
        <v>0124</v>
      </c>
      <c r="AC125" s="4" t="s">
        <v>176</v>
      </c>
      <c r="AD125" s="54" t="str">
        <f t="shared" si="28"/>
        <v>Finance</v>
      </c>
      <c r="AF125" s="4" t="s">
        <v>435</v>
      </c>
      <c r="AG125" s="4" t="s">
        <v>176</v>
      </c>
      <c r="AH125" s="4" t="s">
        <v>149</v>
      </c>
      <c r="AI125" s="54" t="str">
        <f t="shared" si="29"/>
        <v>Namita Nanda|Finance|SilverByte Systems</v>
      </c>
      <c r="AK125" s="4" t="s">
        <v>435</v>
      </c>
      <c r="AL125" s="38" t="str">
        <f t="shared" si="30"/>
        <v>N.N.</v>
      </c>
      <c r="AN125" s="18" t="s">
        <v>5077</v>
      </c>
      <c r="AO125" s="54" t="b">
        <f t="shared" si="31"/>
        <v>0</v>
      </c>
      <c r="AQ125" s="4" t="s">
        <v>435</v>
      </c>
      <c r="AR125" s="52" t="str">
        <f t="shared" si="32"/>
        <v>NO</v>
      </c>
      <c r="AT125" s="14" t="s">
        <v>1621</v>
      </c>
      <c r="AU125" s="54">
        <f t="shared" si="33"/>
        <v>24</v>
      </c>
      <c r="AW125" s="54">
        <f ca="1">DATEDIF(BI125,TODAY(),"Y")</f>
        <v>2</v>
      </c>
      <c r="AX125" s="54"/>
      <c r="AY125" s="41" t="s">
        <v>5270</v>
      </c>
      <c r="AZ125" s="44">
        <f t="shared" si="34"/>
        <v>45369</v>
      </c>
      <c r="BA125" s="54" t="str">
        <f t="shared" si="35"/>
        <v>3-2024</v>
      </c>
      <c r="BC125" s="15" t="s">
        <v>1713</v>
      </c>
      <c r="BD125" s="13">
        <f t="shared" si="36"/>
        <v>45112</v>
      </c>
      <c r="BE125" s="46" t="s">
        <v>1625</v>
      </c>
      <c r="BF125" s="54" t="str">
        <f t="shared" ca="1" si="37"/>
        <v>Overdue</v>
      </c>
      <c r="BH125" s="4" t="s">
        <v>436</v>
      </c>
      <c r="BI125" s="51">
        <f t="shared" si="42"/>
        <v>45319</v>
      </c>
      <c r="BJ125" s="38">
        <f t="shared" ca="1" si="43"/>
        <v>665</v>
      </c>
      <c r="BK125" s="38"/>
      <c r="BL125" s="38" t="str">
        <f t="shared" si="44"/>
        <v>Q1</v>
      </c>
      <c r="BM125" s="59">
        <f t="shared" si="38"/>
        <v>45369</v>
      </c>
      <c r="BN125" s="51">
        <f t="shared" si="45"/>
        <v>45319</v>
      </c>
      <c r="BO125" s="54">
        <f t="shared" si="39"/>
        <v>50</v>
      </c>
      <c r="BP125" s="4" t="s">
        <v>434</v>
      </c>
      <c r="BQ125" s="4" t="s">
        <v>176</v>
      </c>
      <c r="BR125" s="18" t="s">
        <v>1311</v>
      </c>
      <c r="BS125" s="18" t="s">
        <v>2506</v>
      </c>
      <c r="BT125" s="54" t="str">
        <f t="shared" si="40"/>
        <v>Product</v>
      </c>
      <c r="BV125" s="4" t="s">
        <v>434</v>
      </c>
      <c r="BW125" s="4" t="s">
        <v>435</v>
      </c>
      <c r="BX125" s="14" t="s">
        <v>1621</v>
      </c>
      <c r="BY125" s="14" t="s">
        <v>918</v>
      </c>
      <c r="BZ125" s="54" t="str">
        <f t="shared" si="41"/>
        <v>Nirmal Dhal</v>
      </c>
      <c r="CB125" s="18" t="s">
        <v>263</v>
      </c>
      <c r="CC125" s="4" t="s">
        <v>435</v>
      </c>
      <c r="CD125" s="4" t="s">
        <v>177</v>
      </c>
      <c r="CE125" s="54" t="str">
        <v>Cloud Architect</v>
      </c>
      <c r="CG125" s="54" t="str">
        <f>IFERROR(_xlfn.XLOOKUP(Hiring!A125,Hiring!A125:A524,Hiring!B125:B524,,0),"Not Found")</f>
        <v>Satyajit Choudhury</v>
      </c>
    </row>
    <row r="126" spans="2:85">
      <c r="B126" s="100"/>
      <c r="F126" s="3">
        <v>3.8</v>
      </c>
      <c r="G126" s="52" t="str" cm="1">
        <f t="array" ref="G126">_xlfn.IFS(F126&gt;=4.5,"Excellent",AND(F126&gt;=3.5,F126&lt;=4.4),"Good",F126&lt;3.5,"Needs Improvement")</f>
        <v>Good</v>
      </c>
      <c r="I126" s="12">
        <v>133.43</v>
      </c>
      <c r="J126" s="12">
        <v>145.61000000000001</v>
      </c>
      <c r="K126" s="54" t="str">
        <f t="shared" si="23"/>
        <v>Over Budget</v>
      </c>
      <c r="M126" s="19"/>
      <c r="N126" s="19">
        <v>31856</v>
      </c>
      <c r="O126" s="54" t="str">
        <f t="shared" si="24"/>
        <v>Yes</v>
      </c>
      <c r="Q126" s="19">
        <v>10.88</v>
      </c>
      <c r="R126" s="56" t="str">
        <f t="shared" si="25"/>
        <v>Yes</v>
      </c>
      <c r="W126" s="19" t="s">
        <v>1311</v>
      </c>
      <c r="X126" s="54" t="str">
        <f>VLOOKUP(W126,Employees!$A$1:$B$601,2,FALSE)</f>
        <v>Namita Padhi</v>
      </c>
      <c r="Z126" s="3" t="s">
        <v>437</v>
      </c>
      <c r="AA126" s="54" t="str">
        <f t="shared" si="27"/>
        <v>0125</v>
      </c>
      <c r="AC126" s="3" t="s">
        <v>118</v>
      </c>
      <c r="AD126" s="54" t="str">
        <f t="shared" si="28"/>
        <v>Marketing</v>
      </c>
      <c r="AF126" s="3" t="s">
        <v>413</v>
      </c>
      <c r="AG126" s="3" t="s">
        <v>118</v>
      </c>
      <c r="AH126" s="3" t="s">
        <v>53</v>
      </c>
      <c r="AI126" s="54" t="str">
        <f t="shared" si="29"/>
        <v>Smita Nanda|Marketing|BlueLotus IT</v>
      </c>
      <c r="AK126" s="3" t="s">
        <v>413</v>
      </c>
      <c r="AL126" s="38" t="str">
        <f t="shared" si="30"/>
        <v>S.N.</v>
      </c>
      <c r="AN126" s="19" t="s">
        <v>5060</v>
      </c>
      <c r="AO126" s="54" t="str">
        <f t="shared" si="31"/>
        <v>Naukri</v>
      </c>
      <c r="AQ126" s="3" t="s">
        <v>413</v>
      </c>
      <c r="AR126" s="52" t="str">
        <f t="shared" si="32"/>
        <v>NO</v>
      </c>
      <c r="AT126" s="12" t="s">
        <v>1786</v>
      </c>
      <c r="AU126" s="54">
        <f t="shared" si="33"/>
        <v>15</v>
      </c>
      <c r="AW126" s="54">
        <f ca="1">DATEDIF(BI126,TODAY(),"Y")</f>
        <v>2</v>
      </c>
      <c r="AX126" s="54"/>
      <c r="AY126" s="40" t="s">
        <v>5272</v>
      </c>
      <c r="AZ126" s="44">
        <f t="shared" si="34"/>
        <v>45099</v>
      </c>
      <c r="BA126" s="54" t="str">
        <f t="shared" si="35"/>
        <v>6-2023</v>
      </c>
      <c r="BC126" s="13" t="s">
        <v>1761</v>
      </c>
      <c r="BD126" s="13">
        <f t="shared" si="36"/>
        <v>44877</v>
      </c>
      <c r="BE126" s="45" t="s">
        <v>1625</v>
      </c>
      <c r="BF126" s="54" t="str">
        <f t="shared" ca="1" si="37"/>
        <v>Overdue</v>
      </c>
      <c r="BH126" s="3" t="s">
        <v>438</v>
      </c>
      <c r="BI126" s="51">
        <f t="shared" si="42"/>
        <v>45467</v>
      </c>
      <c r="BJ126" s="38">
        <f t="shared" ca="1" si="43"/>
        <v>560</v>
      </c>
      <c r="BK126" s="38"/>
      <c r="BL126" s="38" t="str">
        <f t="shared" si="44"/>
        <v>No</v>
      </c>
      <c r="BM126" s="59">
        <f t="shared" si="38"/>
        <v>45099</v>
      </c>
      <c r="BN126" s="51">
        <f t="shared" si="45"/>
        <v>45467</v>
      </c>
      <c r="BO126" s="54">
        <f t="shared" si="39"/>
        <v>368</v>
      </c>
      <c r="BP126" s="3" t="s">
        <v>437</v>
      </c>
      <c r="BQ126" s="3" t="s">
        <v>118</v>
      </c>
      <c r="BR126" s="19" t="s">
        <v>1311</v>
      </c>
      <c r="BS126" s="19" t="s">
        <v>2508</v>
      </c>
      <c r="BT126" s="54" t="str">
        <f t="shared" si="40"/>
        <v>Product</v>
      </c>
      <c r="BV126" s="3" t="s">
        <v>437</v>
      </c>
      <c r="BW126" s="3" t="s">
        <v>413</v>
      </c>
      <c r="BX126" s="12" t="s">
        <v>1786</v>
      </c>
      <c r="BY126" s="12" t="s">
        <v>366</v>
      </c>
      <c r="BZ126" s="54" t="str">
        <f t="shared" si="41"/>
        <v>Tapas Padhi</v>
      </c>
      <c r="CB126" s="19" t="s">
        <v>277</v>
      </c>
      <c r="CC126" s="3" t="s">
        <v>413</v>
      </c>
      <c r="CD126" s="3" t="s">
        <v>119</v>
      </c>
      <c r="CE126" s="54" t="str">
        <v>Sales Manager</v>
      </c>
      <c r="CG126" s="54" t="str">
        <f>IFERROR(_xlfn.XLOOKUP(Hiring!A126,Hiring!A126:A525,Hiring!B126:B525,,0),"Not Found")</f>
        <v>Debasmita Routray</v>
      </c>
    </row>
    <row r="127" spans="2:85">
      <c r="B127" s="100"/>
      <c r="F127" s="4">
        <v>3.4</v>
      </c>
      <c r="G127" s="52" t="str" cm="1">
        <f t="array" ref="G127">_xlfn.IFS(F127&gt;=4.5,"Excellent",AND(F127&gt;=3.5,F127&lt;=4.4),"Good",F127&lt;3.5,"Needs Improvement")</f>
        <v>Needs Improvement</v>
      </c>
      <c r="I127" s="14">
        <v>162.87</v>
      </c>
      <c r="J127" s="14">
        <v>168.97</v>
      </c>
      <c r="K127" s="54" t="str">
        <f t="shared" si="23"/>
        <v>Over Budget</v>
      </c>
      <c r="M127" s="18">
        <v>89979</v>
      </c>
      <c r="N127" s="18">
        <v>83009</v>
      </c>
      <c r="O127" s="54" t="str">
        <f t="shared" si="24"/>
        <v>Yes</v>
      </c>
      <c r="Q127" s="18">
        <v>6.62</v>
      </c>
      <c r="R127" s="56" t="str">
        <f t="shared" si="25"/>
        <v>Yes</v>
      </c>
      <c r="W127" s="18" t="s">
        <v>1311</v>
      </c>
      <c r="X127" s="54" t="str">
        <f>VLOOKUP(W127,Employees!$A$1:$B$601,2,FALSE)</f>
        <v>Namita Padhi</v>
      </c>
      <c r="Z127" s="4" t="s">
        <v>439</v>
      </c>
      <c r="AA127" s="54" t="str">
        <f t="shared" si="27"/>
        <v>0126</v>
      </c>
      <c r="AC127" s="4" t="s">
        <v>118</v>
      </c>
      <c r="AD127" s="54" t="str">
        <f t="shared" si="28"/>
        <v>Marketing</v>
      </c>
      <c r="AF127" s="4" t="s">
        <v>440</v>
      </c>
      <c r="AG127" s="4" t="s">
        <v>118</v>
      </c>
      <c r="AH127" s="4" t="s">
        <v>26</v>
      </c>
      <c r="AI127" s="54" t="str">
        <f t="shared" si="29"/>
        <v>Satyajit Jena|Marketing|InfySoft Bhubaneswar</v>
      </c>
      <c r="AK127" s="4" t="s">
        <v>440</v>
      </c>
      <c r="AL127" s="38" t="str">
        <f t="shared" si="30"/>
        <v>S.J.</v>
      </c>
      <c r="AN127" s="18" t="s">
        <v>5077</v>
      </c>
      <c r="AO127" s="54" t="b">
        <f t="shared" si="31"/>
        <v>0</v>
      </c>
      <c r="AQ127" s="4" t="s">
        <v>440</v>
      </c>
      <c r="AR127" s="52" t="str">
        <f t="shared" si="32"/>
        <v>NO</v>
      </c>
      <c r="AT127" s="14" t="s">
        <v>1729</v>
      </c>
      <c r="AU127" s="54">
        <f t="shared" si="33"/>
        <v>18</v>
      </c>
      <c r="AW127" s="54">
        <f ca="1">DATEDIF(BI127,TODAY(),"Y")</f>
        <v>7</v>
      </c>
      <c r="AX127" s="54"/>
      <c r="AY127" s="41" t="s">
        <v>5274</v>
      </c>
      <c r="AZ127" s="44">
        <f t="shared" si="34"/>
        <v>45451</v>
      </c>
      <c r="BA127" s="54" t="str">
        <f t="shared" si="35"/>
        <v>6-2024</v>
      </c>
      <c r="BC127" s="15" t="s">
        <v>1948</v>
      </c>
      <c r="BD127" s="13">
        <f t="shared" si="36"/>
        <v>45579</v>
      </c>
      <c r="BE127" s="46" t="s">
        <v>1614</v>
      </c>
      <c r="BF127" s="54" t="str">
        <f t="shared" ca="1" si="37"/>
        <v>Overdue</v>
      </c>
      <c r="BH127" s="4" t="s">
        <v>441</v>
      </c>
      <c r="BI127" s="51">
        <f t="shared" si="42"/>
        <v>43672</v>
      </c>
      <c r="BJ127" s="38">
        <f t="shared" ca="1" si="43"/>
        <v>1841</v>
      </c>
      <c r="BK127" s="38"/>
      <c r="BL127" s="38" t="str">
        <f t="shared" si="44"/>
        <v>No</v>
      </c>
      <c r="BM127" s="59">
        <f t="shared" si="38"/>
        <v>45451</v>
      </c>
      <c r="BN127" s="51">
        <f t="shared" si="45"/>
        <v>43672</v>
      </c>
      <c r="BO127" s="54">
        <f t="shared" si="39"/>
        <v>1779</v>
      </c>
      <c r="BP127" s="4" t="s">
        <v>439</v>
      </c>
      <c r="BQ127" s="4" t="s">
        <v>118</v>
      </c>
      <c r="BR127" s="18" t="s">
        <v>1311</v>
      </c>
      <c r="BS127" s="18" t="s">
        <v>2510</v>
      </c>
      <c r="BT127" s="54" t="str">
        <f t="shared" si="40"/>
        <v>Product</v>
      </c>
      <c r="BV127" s="4" t="s">
        <v>439</v>
      </c>
      <c r="BW127" s="4" t="s">
        <v>440</v>
      </c>
      <c r="BX127" s="14" t="s">
        <v>1729</v>
      </c>
      <c r="BY127" s="14" t="s">
        <v>876</v>
      </c>
      <c r="BZ127" s="54" t="str">
        <f t="shared" si="41"/>
        <v>Sangita Senapati</v>
      </c>
      <c r="CB127" s="18" t="s">
        <v>1134</v>
      </c>
      <c r="CC127" s="4" t="s">
        <v>440</v>
      </c>
      <c r="CD127" s="4" t="s">
        <v>254</v>
      </c>
      <c r="CE127" s="54" t="str">
        <v>Sales Manager</v>
      </c>
      <c r="CG127" s="54" t="str">
        <f>IFERROR(_xlfn.XLOOKUP(Hiring!A127,Hiring!A127:A526,Hiring!B127:B526,,0),"Not Found")</f>
        <v>Satyajit Biswal</v>
      </c>
    </row>
    <row r="128" spans="2:85">
      <c r="B128" s="100"/>
      <c r="F128" s="3">
        <v>4.4000000000000004</v>
      </c>
      <c r="G128" s="52" t="str" cm="1">
        <f t="array" ref="G128">_xlfn.IFS(F128&gt;=4.5,"Excellent",AND(F128&gt;=3.5,F128&lt;=4.4),"Good",F128&lt;3.5,"Needs Improvement")</f>
        <v>Good</v>
      </c>
      <c r="I128" s="12">
        <v>99.31</v>
      </c>
      <c r="J128" s="12">
        <v>104.49</v>
      </c>
      <c r="K128" s="54" t="str">
        <f t="shared" si="23"/>
        <v>Over Budget</v>
      </c>
      <c r="M128" s="19">
        <v>125594</v>
      </c>
      <c r="N128" s="19">
        <v>113288</v>
      </c>
      <c r="O128" s="54" t="str">
        <f t="shared" si="24"/>
        <v>Yes</v>
      </c>
      <c r="Q128" s="19">
        <v>7.85</v>
      </c>
      <c r="R128" s="56" t="str">
        <f t="shared" si="25"/>
        <v>Yes</v>
      </c>
      <c r="W128" s="19" t="s">
        <v>1311</v>
      </c>
      <c r="X128" s="54" t="str">
        <f>VLOOKUP(W128,Employees!$A$1:$B$601,2,FALSE)</f>
        <v>Namita Padhi</v>
      </c>
      <c r="Z128" s="3" t="s">
        <v>442</v>
      </c>
      <c r="AA128" s="54" t="str">
        <f t="shared" si="27"/>
        <v>0127</v>
      </c>
      <c r="AC128" s="3" t="s">
        <v>39</v>
      </c>
      <c r="AD128" s="54" t="str">
        <f t="shared" si="28"/>
        <v>Engineering</v>
      </c>
      <c r="AF128" s="3" t="s">
        <v>443</v>
      </c>
      <c r="AG128" s="3" t="s">
        <v>39</v>
      </c>
      <c r="AH128" s="3" t="s">
        <v>70</v>
      </c>
      <c r="AI128" s="54" t="str">
        <f t="shared" si="29"/>
        <v>Rajan Mishra|Engineering|OdishaCode Labs</v>
      </c>
      <c r="AK128" s="3" t="s">
        <v>443</v>
      </c>
      <c r="AL128" s="38" t="str">
        <f t="shared" si="30"/>
        <v>R.M.</v>
      </c>
      <c r="AN128" s="19" t="s">
        <v>5019</v>
      </c>
      <c r="AO128" s="54" t="str">
        <f t="shared" si="31"/>
        <v>Linkedln</v>
      </c>
      <c r="AQ128" s="3" t="s">
        <v>443</v>
      </c>
      <c r="AR128" s="52" t="str">
        <f t="shared" si="32"/>
        <v>Mishra</v>
      </c>
      <c r="AT128" s="12" t="s">
        <v>1720</v>
      </c>
      <c r="AU128" s="54">
        <f t="shared" si="33"/>
        <v>10</v>
      </c>
      <c r="AW128" s="54">
        <f ca="1">DATEDIF(BI128,TODAY(),"Y")</f>
        <v>5</v>
      </c>
      <c r="AX128" s="54"/>
      <c r="AY128" s="40" t="s">
        <v>5113</v>
      </c>
      <c r="AZ128" s="44">
        <f t="shared" si="34"/>
        <v>45198</v>
      </c>
      <c r="BA128" s="54" t="str">
        <f t="shared" si="35"/>
        <v>9-2023</v>
      </c>
      <c r="BC128" s="13" t="s">
        <v>1979</v>
      </c>
      <c r="BD128" s="13">
        <f t="shared" si="36"/>
        <v>44366</v>
      </c>
      <c r="BE128" s="45" t="s">
        <v>1625</v>
      </c>
      <c r="BF128" s="54" t="str">
        <f t="shared" ca="1" si="37"/>
        <v>Overdue</v>
      </c>
      <c r="BH128" s="3" t="s">
        <v>444</v>
      </c>
      <c r="BI128" s="51">
        <f t="shared" si="42"/>
        <v>44412</v>
      </c>
      <c r="BJ128" s="38">
        <f t="shared" ca="1" si="43"/>
        <v>1313</v>
      </c>
      <c r="BK128" s="38"/>
      <c r="BL128" s="38" t="str">
        <f t="shared" si="44"/>
        <v>No</v>
      </c>
      <c r="BM128" s="59">
        <f t="shared" si="38"/>
        <v>45198</v>
      </c>
      <c r="BN128" s="51">
        <f t="shared" si="45"/>
        <v>44412</v>
      </c>
      <c r="BO128" s="54">
        <f t="shared" si="39"/>
        <v>786</v>
      </c>
      <c r="BP128" s="3" t="s">
        <v>442</v>
      </c>
      <c r="BQ128" s="3" t="s">
        <v>39</v>
      </c>
      <c r="BR128" s="19" t="s">
        <v>1311</v>
      </c>
      <c r="BS128" s="19" t="s">
        <v>2512</v>
      </c>
      <c r="BT128" s="54" t="str">
        <f t="shared" si="40"/>
        <v>Product</v>
      </c>
      <c r="BV128" s="3" t="s">
        <v>442</v>
      </c>
      <c r="BW128" s="3" t="s">
        <v>443</v>
      </c>
      <c r="BX128" s="12" t="s">
        <v>1720</v>
      </c>
      <c r="BY128" s="12" t="s">
        <v>1517</v>
      </c>
      <c r="BZ128" s="54" t="str">
        <f t="shared" si="41"/>
        <v>Saurav Senapati</v>
      </c>
      <c r="CB128" s="19" t="s">
        <v>5276</v>
      </c>
      <c r="CC128" s="3" t="s">
        <v>443</v>
      </c>
      <c r="CD128" s="3" t="s">
        <v>79</v>
      </c>
      <c r="CE128" s="54" t="str">
        <v>Not Found</v>
      </c>
      <c r="CG128" s="54" t="str">
        <f>IFERROR(_xlfn.XLOOKUP(Hiring!A128,Hiring!A128:A527,Hiring!B128:B527,,0),"Not Found")</f>
        <v>Lipsa Mishra</v>
      </c>
    </row>
    <row r="129" spans="2:85">
      <c r="B129" s="100"/>
      <c r="F129" s="4">
        <v>0</v>
      </c>
      <c r="G129" s="52" t="str" cm="1">
        <f t="array" ref="G129">_xlfn.IFS(F129&gt;=4.5,"Excellent",AND(F129&gt;=3.5,F129&lt;=4.4),"Good",F129&lt;3.5,"Needs Improvement")</f>
        <v>Needs Improvement</v>
      </c>
      <c r="I129" s="14">
        <v>110.31</v>
      </c>
      <c r="J129" s="14">
        <v>78.680000000000007</v>
      </c>
      <c r="K129" s="54" t="str">
        <f t="shared" si="23"/>
        <v>Within Budget</v>
      </c>
      <c r="M129" s="18">
        <v>96107</v>
      </c>
      <c r="N129" s="18">
        <v>106072</v>
      </c>
      <c r="O129" s="54" t="str">
        <f t="shared" si="24"/>
        <v>Yes</v>
      </c>
      <c r="Q129" s="18">
        <v>11.48</v>
      </c>
      <c r="R129" s="56" t="str">
        <f t="shared" si="25"/>
        <v>Yes</v>
      </c>
      <c r="W129" s="18" t="s">
        <v>1311</v>
      </c>
      <c r="X129" s="54" t="str">
        <f>VLOOKUP(W129,Employees!$A$1:$B$601,2,FALSE)</f>
        <v>Namita Padhi</v>
      </c>
      <c r="Z129" s="4" t="s">
        <v>445</v>
      </c>
      <c r="AA129" s="54" t="str">
        <f t="shared" si="27"/>
        <v>0128</v>
      </c>
      <c r="AC129" s="4" t="s">
        <v>118</v>
      </c>
      <c r="AD129" s="54" t="str">
        <f t="shared" si="28"/>
        <v>Marketing</v>
      </c>
      <c r="AF129" s="4" t="s">
        <v>446</v>
      </c>
      <c r="AG129" s="4" t="s">
        <v>118</v>
      </c>
      <c r="AH129" s="4" t="s">
        <v>114</v>
      </c>
      <c r="AI129" s="54" t="str">
        <f t="shared" si="29"/>
        <v>Saurav Dhal|Marketing|UtkalSoft Technologies</v>
      </c>
      <c r="AK129" s="4" t="s">
        <v>446</v>
      </c>
      <c r="AL129" s="38" t="str">
        <f t="shared" si="30"/>
        <v>S.D.</v>
      </c>
      <c r="AN129" s="18" t="s">
        <v>5025</v>
      </c>
      <c r="AO129" s="54" t="b">
        <f t="shared" si="31"/>
        <v>0</v>
      </c>
      <c r="AQ129" s="4" t="s">
        <v>446</v>
      </c>
      <c r="AR129" s="52" t="str">
        <f t="shared" si="32"/>
        <v>NO</v>
      </c>
      <c r="AT129" s="14" t="s">
        <v>1720</v>
      </c>
      <c r="AU129" s="54">
        <f t="shared" si="33"/>
        <v>10</v>
      </c>
      <c r="AW129" s="54">
        <f ca="1">DATEDIF(BI129,TODAY(),"Y")</f>
        <v>6</v>
      </c>
      <c r="AX129" s="54"/>
      <c r="AY129" s="41" t="s">
        <v>5278</v>
      </c>
      <c r="AZ129" s="44">
        <f t="shared" si="34"/>
        <v>45596</v>
      </c>
      <c r="BA129" s="54" t="str">
        <f t="shared" si="35"/>
        <v>10-2024</v>
      </c>
      <c r="BC129" s="15" t="s">
        <v>1982</v>
      </c>
      <c r="BD129" s="13">
        <f t="shared" si="36"/>
        <v>45361</v>
      </c>
      <c r="BE129" s="46" t="s">
        <v>1638</v>
      </c>
      <c r="BF129" s="54" t="str">
        <f t="shared" ca="1" si="37"/>
        <v>On Track</v>
      </c>
      <c r="BH129" s="4" t="s">
        <v>447</v>
      </c>
      <c r="BI129" s="51">
        <f t="shared" si="42"/>
        <v>43897</v>
      </c>
      <c r="BJ129" s="38">
        <f t="shared" ca="1" si="43"/>
        <v>1680</v>
      </c>
      <c r="BK129" s="38"/>
      <c r="BL129" s="38" t="str">
        <f t="shared" si="44"/>
        <v>Q1</v>
      </c>
      <c r="BM129" s="59">
        <f t="shared" si="38"/>
        <v>45596</v>
      </c>
      <c r="BN129" s="51">
        <f t="shared" si="45"/>
        <v>43897</v>
      </c>
      <c r="BO129" s="54">
        <f t="shared" si="39"/>
        <v>1699</v>
      </c>
      <c r="BP129" s="4" t="s">
        <v>445</v>
      </c>
      <c r="BQ129" s="4" t="s">
        <v>118</v>
      </c>
      <c r="BR129" s="18" t="s">
        <v>1311</v>
      </c>
      <c r="BS129" s="18" t="s">
        <v>2515</v>
      </c>
      <c r="BT129" s="54" t="str">
        <f t="shared" si="40"/>
        <v>Product</v>
      </c>
      <c r="BV129" s="4" t="s">
        <v>445</v>
      </c>
      <c r="BW129" s="4" t="s">
        <v>446</v>
      </c>
      <c r="BX129" s="14" t="s">
        <v>1720</v>
      </c>
      <c r="BY129" s="14" t="s">
        <v>131</v>
      </c>
      <c r="BZ129" s="54" t="str">
        <f t="shared" si="41"/>
        <v>Smita Tripathy</v>
      </c>
      <c r="CB129" s="18" t="s">
        <v>404</v>
      </c>
      <c r="CC129" s="4" t="s">
        <v>446</v>
      </c>
      <c r="CD129" s="4" t="s">
        <v>181</v>
      </c>
      <c r="CE129" s="54" t="str">
        <v>Content Strategist</v>
      </c>
      <c r="CG129" s="54" t="str">
        <f>IFERROR(_xlfn.XLOOKUP(Hiring!A129,Hiring!A129:A528,Hiring!B129:B528,,0),"Not Found")</f>
        <v>Nirmal Choudhury</v>
      </c>
    </row>
    <row r="130" spans="2:85">
      <c r="B130" s="100"/>
      <c r="F130" s="3">
        <v>4.5999999999999996</v>
      </c>
      <c r="G130" s="52" t="str" cm="1">
        <f t="array" ref="G130">_xlfn.IFS(F130&gt;=4.5,"Excellent",AND(F130&gt;=3.5,F130&lt;=4.4),"Good",F130&lt;3.5,"Needs Improvement")</f>
        <v>Excellent</v>
      </c>
      <c r="I130" s="12">
        <v>102.06</v>
      </c>
      <c r="J130" s="12">
        <v>124.35</v>
      </c>
      <c r="K130" s="54" t="str">
        <f t="shared" si="23"/>
        <v>Over Budget</v>
      </c>
      <c r="M130" s="19">
        <v>169486</v>
      </c>
      <c r="N130" s="19">
        <v>184551</v>
      </c>
      <c r="O130" s="54" t="str">
        <f t="shared" si="24"/>
        <v>Yes</v>
      </c>
      <c r="Q130" s="19"/>
      <c r="R130" s="56" t="str">
        <f t="shared" si="25"/>
        <v>No</v>
      </c>
      <c r="W130" s="19" t="s">
        <v>1311</v>
      </c>
      <c r="X130" s="54" t="str">
        <f>VLOOKUP(W130,Employees!$A$1:$B$601,2,FALSE)</f>
        <v>Namita Padhi</v>
      </c>
      <c r="Z130" s="3" t="s">
        <v>448</v>
      </c>
      <c r="AA130" s="54" t="str">
        <f t="shared" si="27"/>
        <v>0129</v>
      </c>
      <c r="AC130" s="3" t="s">
        <v>89</v>
      </c>
      <c r="AD130" s="54" t="str">
        <f t="shared" si="28"/>
        <v>Data Science</v>
      </c>
      <c r="AF130" s="3" t="s">
        <v>449</v>
      </c>
      <c r="AG130" s="3" t="s">
        <v>89</v>
      </c>
      <c r="AH130" s="3" t="s">
        <v>46</v>
      </c>
      <c r="AI130" s="54" t="str">
        <f t="shared" si="29"/>
        <v>Debasmita Tripathy|Data Science|SambalpurNet</v>
      </c>
      <c r="AK130" s="3" t="s">
        <v>449</v>
      </c>
      <c r="AL130" s="38" t="str">
        <f t="shared" si="30"/>
        <v>D.T.</v>
      </c>
      <c r="AN130" s="19" t="s">
        <v>5051</v>
      </c>
      <c r="AO130" s="54" t="str">
        <f t="shared" si="31"/>
        <v>Naukri</v>
      </c>
      <c r="AQ130" s="3" t="s">
        <v>449</v>
      </c>
      <c r="AR130" s="52" t="str">
        <f t="shared" si="32"/>
        <v>NO</v>
      </c>
      <c r="AT130" s="12" t="s">
        <v>1663</v>
      </c>
      <c r="AU130" s="54">
        <f t="shared" si="33"/>
        <v>18</v>
      </c>
      <c r="AW130" s="54">
        <f ca="1">DATEDIF(BI130,TODAY(),"Y")</f>
        <v>5</v>
      </c>
      <c r="AX130" s="54"/>
      <c r="AY130" s="40" t="s">
        <v>1713</v>
      </c>
      <c r="AZ130" s="44">
        <f t="shared" si="34"/>
        <v>45112</v>
      </c>
      <c r="BA130" s="54" t="str">
        <f t="shared" si="35"/>
        <v>7-2023</v>
      </c>
      <c r="BC130" s="13" t="s">
        <v>1985</v>
      </c>
      <c r="BD130" s="13">
        <f t="shared" si="36"/>
        <v>45767</v>
      </c>
      <c r="BE130" s="45" t="s">
        <v>1614</v>
      </c>
      <c r="BF130" s="54" t="str">
        <f t="shared" ca="1" si="37"/>
        <v>Overdue</v>
      </c>
      <c r="BH130" s="3" t="s">
        <v>450</v>
      </c>
      <c r="BI130" s="51">
        <f t="shared" si="42"/>
        <v>44093</v>
      </c>
      <c r="BJ130" s="38">
        <f t="shared" ca="1" si="43"/>
        <v>1540</v>
      </c>
      <c r="BK130" s="38"/>
      <c r="BL130" s="38" t="str">
        <f t="shared" si="44"/>
        <v>No</v>
      </c>
      <c r="BM130" s="59">
        <f t="shared" si="38"/>
        <v>45112</v>
      </c>
      <c r="BN130" s="51">
        <f t="shared" si="45"/>
        <v>44093</v>
      </c>
      <c r="BO130" s="54">
        <f t="shared" si="39"/>
        <v>1019</v>
      </c>
      <c r="BP130" s="3" t="s">
        <v>448</v>
      </c>
      <c r="BQ130" s="3" t="s">
        <v>89</v>
      </c>
      <c r="BR130" s="19" t="s">
        <v>1311</v>
      </c>
      <c r="BS130" s="19" t="s">
        <v>2517</v>
      </c>
      <c r="BT130" s="54" t="str">
        <f t="shared" si="40"/>
        <v>Product</v>
      </c>
      <c r="BV130" s="3" t="s">
        <v>448</v>
      </c>
      <c r="BW130" s="3" t="s">
        <v>449</v>
      </c>
      <c r="BX130" s="12" t="s">
        <v>1663</v>
      </c>
      <c r="BY130" s="12" t="s">
        <v>456</v>
      </c>
      <c r="BZ130" s="54" t="str">
        <f t="shared" si="41"/>
        <v>Ipsita Pattnaik</v>
      </c>
      <c r="CB130" s="19" t="s">
        <v>5280</v>
      </c>
      <c r="CC130" s="3" t="s">
        <v>449</v>
      </c>
      <c r="CD130" s="3" t="s">
        <v>221</v>
      </c>
      <c r="CE130" s="54" t="str">
        <v>Not Found</v>
      </c>
      <c r="CG130" s="54" t="str">
        <f>IFERROR(_xlfn.XLOOKUP(Hiring!A130,Hiring!A130:A529,Hiring!B130:B529,,0),"Not Found")</f>
        <v>Nirmal Prusty</v>
      </c>
    </row>
    <row r="131" spans="2:85">
      <c r="B131" s="100"/>
      <c r="F131" s="4">
        <v>1.7</v>
      </c>
      <c r="G131" s="52" t="str" cm="1">
        <f t="array" ref="G131">_xlfn.IFS(F131&gt;=4.5,"Excellent",AND(F131&gt;=3.5,F131&lt;=4.4),"Good",F131&lt;3.5,"Needs Improvement")</f>
        <v>Needs Improvement</v>
      </c>
      <c r="I131" s="14">
        <v>102.54</v>
      </c>
      <c r="J131" s="14">
        <v>114.98</v>
      </c>
      <c r="K131" s="54" t="str">
        <f t="shared" ref="K131:K194" si="46">IF(J131&gt;I131,"Over Budget","Within Budget")</f>
        <v>Over Budget</v>
      </c>
      <c r="M131" s="18">
        <v>0</v>
      </c>
      <c r="N131" s="18">
        <v>0</v>
      </c>
      <c r="O131" s="54" t="str">
        <f t="shared" si="24"/>
        <v>No</v>
      </c>
      <c r="Q131" s="18">
        <v>9.64</v>
      </c>
      <c r="R131" s="56" t="str">
        <f t="shared" ref="R131:R194" si="47">IF(ISBLANK(Q131),"No","Yes")</f>
        <v>Yes</v>
      </c>
      <c r="W131" s="18" t="s">
        <v>195</v>
      </c>
      <c r="X131" s="54" t="str">
        <f>VLOOKUP(W131,Employees!$A$1:$B$601,2,FALSE)</f>
        <v>Sangita Jena</v>
      </c>
      <c r="Z131" s="4" t="s">
        <v>451</v>
      </c>
      <c r="AA131" s="54" t="str">
        <f t="shared" ref="AA131:AA194" si="48">RIGHT(Z131,4)</f>
        <v>0130</v>
      </c>
      <c r="AC131" s="4" t="s">
        <v>176</v>
      </c>
      <c r="AD131" s="54" t="str">
        <f t="shared" ref="AD131:AD194" si="49">PROPER(AC131)</f>
        <v>Finance</v>
      </c>
      <c r="AF131" s="4" t="s">
        <v>452</v>
      </c>
      <c r="AG131" s="4" t="s">
        <v>176</v>
      </c>
      <c r="AH131" s="4" t="s">
        <v>149</v>
      </c>
      <c r="AI131" s="54" t="str">
        <f t="shared" ref="AI131:AI194" si="50">_xlfn.CONCAT(AF131,"|",AG131,"|",AH131)</f>
        <v>Lipsa Nanda|Finance|SilverByte Systems</v>
      </c>
      <c r="AK131" s="4" t="s">
        <v>452</v>
      </c>
      <c r="AL131" s="38" t="str">
        <f t="shared" ref="AL131:AL194" si="51">LEFT(AK131,1)&amp;"."&amp;MID(AK131,FIND(" ",AK131)+1,1)&amp;"."</f>
        <v>L.N.</v>
      </c>
      <c r="AN131" s="18" t="s">
        <v>5077</v>
      </c>
      <c r="AO131" s="54" t="b">
        <f t="shared" ref="AO131:AO194" si="52">IF(UPPER(AN131)="linkedin","Linkedln",IF(UPPER(AN131)="naukri","Naukri"))</f>
        <v>0</v>
      </c>
      <c r="AQ131" s="4" t="s">
        <v>452</v>
      </c>
      <c r="AR131" s="52" t="str">
        <f t="shared" ref="AR131:AR194" si="53">IF(ISNUMBER(SEARCH("Mishra",AQ131)),"Mishra","NO")</f>
        <v>NO</v>
      </c>
      <c r="AT131" s="14" t="s">
        <v>1609</v>
      </c>
      <c r="AU131" s="54">
        <f t="shared" ref="AU131:AU194" si="54">LEN(AT131)</f>
        <v>22</v>
      </c>
      <c r="AW131" s="54">
        <f ca="1">DATEDIF(BI131,TODAY(),"Y")</f>
        <v>3</v>
      </c>
      <c r="AX131" s="54"/>
      <c r="AY131" s="41" t="s">
        <v>5282</v>
      </c>
      <c r="AZ131" s="44">
        <f t="shared" ref="AZ131:AZ194" si="55">DATE(RIGHT(AY131,4),MID(AY131,4,2),LEFT(AY131,2))</f>
        <v>45026</v>
      </c>
      <c r="BA131" s="54" t="str">
        <f t="shared" ref="BA131:BA194" si="56">MONTH(AZ131)&amp;"-"&amp;YEAR(AZ131)</f>
        <v>4-2023</v>
      </c>
      <c r="BC131" s="15" t="s">
        <v>1988</v>
      </c>
      <c r="BD131" s="13">
        <f t="shared" ref="BD131:BD194" si="57">DATE(RIGHT(BC131,4),MID(BC131,4,2),LEFT(BC131,2))</f>
        <v>45514</v>
      </c>
      <c r="BE131" s="46" t="s">
        <v>1614</v>
      </c>
      <c r="BF131" s="54" t="str">
        <f t="shared" ref="BF131:BF194" ca="1" si="58">IF(AND(BD131&lt;TODAY(),BE131&lt;&gt;"Completed"),"Overdue","On Track")</f>
        <v>Overdue</v>
      </c>
      <c r="BH131" s="4" t="s">
        <v>453</v>
      </c>
      <c r="BI131" s="51">
        <f t="shared" si="42"/>
        <v>45025</v>
      </c>
      <c r="BJ131" s="38">
        <f t="shared" ca="1" si="43"/>
        <v>875</v>
      </c>
      <c r="BK131" s="38"/>
      <c r="BL131" s="38" t="str">
        <f t="shared" si="44"/>
        <v>No</v>
      </c>
      <c r="BM131" s="59">
        <f t="shared" ref="BM131:BM194" si="59">DATE(RIGHT(AY131,4),MID(AY131,4,2),LEFT(AY131,2))</f>
        <v>45026</v>
      </c>
      <c r="BN131" s="51">
        <f t="shared" si="45"/>
        <v>45025</v>
      </c>
      <c r="BO131" s="54">
        <f t="shared" ref="BO131:BO194" si="60">ABS(BN131-BM131)</f>
        <v>1</v>
      </c>
      <c r="BP131" s="4" t="s">
        <v>451</v>
      </c>
      <c r="BQ131" s="4" t="s">
        <v>176</v>
      </c>
      <c r="BR131" s="18" t="s">
        <v>195</v>
      </c>
      <c r="BS131" s="18" t="s">
        <v>2518</v>
      </c>
      <c r="BT131" s="54" t="str">
        <f t="shared" ref="BT131:BT194" si="61">VLOOKUP(BR131,$BP$2:$BQ$601,2,FALSE)</f>
        <v>Engineering</v>
      </c>
      <c r="BV131" s="4" t="s">
        <v>451</v>
      </c>
      <c r="BW131" s="4" t="s">
        <v>452</v>
      </c>
      <c r="BX131" s="14" t="s">
        <v>1609</v>
      </c>
      <c r="BY131" s="14" t="s">
        <v>21</v>
      </c>
      <c r="BZ131" s="54" t="str">
        <f t="shared" ref="BZ131:BZ194" si="62">VLOOKUP(BY131,$BV$2:$BW$601,2,FALSE)</f>
        <v>Ranjit Samal</v>
      </c>
      <c r="CB131" s="18" t="s">
        <v>435</v>
      </c>
      <c r="CC131" s="4" t="s">
        <v>452</v>
      </c>
      <c r="CD131" s="4" t="s">
        <v>177</v>
      </c>
      <c r="CE131" s="54" t="str">
        <v>Finance Analyst</v>
      </c>
      <c r="CG131" s="54" t="str">
        <f>IFERROR(_xlfn.XLOOKUP(Hiring!A131,Hiring!A131:A530,Hiring!B131:B530,,0),"Not Found")</f>
        <v>Namita Nanda</v>
      </c>
    </row>
    <row r="132" spans="2:85">
      <c r="B132" s="100"/>
      <c r="F132" s="3">
        <v>1.7</v>
      </c>
      <c r="G132" s="52" t="str" cm="1">
        <f t="array" ref="G132">_xlfn.IFS(F132&gt;=4.5,"Excellent",AND(F132&gt;=3.5,F132&lt;=4.4),"Good",F132&lt;3.5,"Needs Improvement")</f>
        <v>Needs Improvement</v>
      </c>
      <c r="I132" s="12">
        <v>46.16</v>
      </c>
      <c r="J132" s="12">
        <v>56.05</v>
      </c>
      <c r="K132" s="54" t="str">
        <f t="shared" si="46"/>
        <v>Over Budget</v>
      </c>
      <c r="M132" s="19">
        <v>107912</v>
      </c>
      <c r="N132" s="19">
        <v>116465</v>
      </c>
      <c r="O132" s="54" t="str">
        <f t="shared" ref="O132:O195" si="63">IF(M132&lt;&gt;N132,"Yes","No")</f>
        <v>Yes</v>
      </c>
      <c r="Q132" s="19">
        <v>10.99</v>
      </c>
      <c r="R132" s="56" t="str">
        <f t="shared" si="47"/>
        <v>Yes</v>
      </c>
      <c r="W132" s="19" t="s">
        <v>195</v>
      </c>
      <c r="X132" s="54" t="str">
        <f>VLOOKUP(W132,Employees!$A$1:$B$601,2,FALSE)</f>
        <v>Sangita Jena</v>
      </c>
      <c r="Z132" s="3" t="s">
        <v>454</v>
      </c>
      <c r="AA132" s="54" t="str">
        <f t="shared" si="48"/>
        <v>0131</v>
      </c>
      <c r="AC132" s="3" t="s">
        <v>118</v>
      </c>
      <c r="AD132" s="54" t="str">
        <f t="shared" si="49"/>
        <v>Marketing</v>
      </c>
      <c r="AF132" s="3" t="s">
        <v>435</v>
      </c>
      <c r="AG132" s="3" t="s">
        <v>118</v>
      </c>
      <c r="AH132" s="3" t="s">
        <v>32</v>
      </c>
      <c r="AI132" s="54" t="str">
        <f t="shared" si="50"/>
        <v>Namita Nanda|Marketing|NilGiri Digitals</v>
      </c>
      <c r="AK132" s="3" t="s">
        <v>435</v>
      </c>
      <c r="AL132" s="38" t="str">
        <f t="shared" si="51"/>
        <v>N.N.</v>
      </c>
      <c r="AN132" s="19" t="s">
        <v>5051</v>
      </c>
      <c r="AO132" s="54" t="str">
        <f t="shared" si="52"/>
        <v>Naukri</v>
      </c>
      <c r="AQ132" s="3" t="s">
        <v>435</v>
      </c>
      <c r="AR132" s="52" t="str">
        <f t="shared" si="53"/>
        <v>NO</v>
      </c>
      <c r="AT132" s="12" t="s">
        <v>1646</v>
      </c>
      <c r="AU132" s="54">
        <f t="shared" si="54"/>
        <v>16</v>
      </c>
      <c r="AW132" s="54">
        <f ca="1">DATEDIF(BI132,TODAY(),"Y")</f>
        <v>8</v>
      </c>
      <c r="AX132" s="54"/>
      <c r="AY132" s="40" t="s">
        <v>5284</v>
      </c>
      <c r="AZ132" s="44">
        <f t="shared" si="55"/>
        <v>45264</v>
      </c>
      <c r="BA132" s="54" t="str">
        <f t="shared" si="56"/>
        <v>12-2023</v>
      </c>
      <c r="BC132" s="13" t="s">
        <v>1869</v>
      </c>
      <c r="BD132" s="13">
        <f t="shared" si="57"/>
        <v>44911</v>
      </c>
      <c r="BE132" s="45" t="s">
        <v>1656</v>
      </c>
      <c r="BF132" s="54" t="str">
        <f t="shared" ca="1" si="58"/>
        <v>Overdue</v>
      </c>
      <c r="BH132" s="3" t="s">
        <v>455</v>
      </c>
      <c r="BI132" s="51">
        <f t="shared" ref="BI132:BI195" si="64">IF(LEN(LEFT(BH132,FIND("-",BH132)-1))=4,DATE(LEFT(BH132,4),MID(BH132,6,2),RIGHT(BH132,2)),DATE(RIGHT(BH132,4),MID(BH132,4,2),LEFT(BH132,2)))</f>
        <v>43237</v>
      </c>
      <c r="BJ132" s="38">
        <f t="shared" ref="BJ132:BJ195" ca="1" si="65">NETWORKDAYS(BI132,TODAY())</f>
        <v>2152</v>
      </c>
      <c r="BK132" s="38"/>
      <c r="BL132" s="38" t="str">
        <f t="shared" ref="BL132:BL195" si="66">IF(MONTH(BI132)&lt;=3,"Q1","No")</f>
        <v>No</v>
      </c>
      <c r="BM132" s="59">
        <f t="shared" si="59"/>
        <v>45264</v>
      </c>
      <c r="BN132" s="51">
        <f t="shared" ref="BN132:BN195" si="67">IF(LEN(LEFT(BH132,FIND("-",BH132)-1))=4,DATE(LEFT(BH132,4),MID(BH132,6,2),RIGHT(BH132,2)),DATE(RIGHT(BH132,4),MID(BH132,4,2),LEFT(BH132,2)))</f>
        <v>43237</v>
      </c>
      <c r="BO132" s="54">
        <f t="shared" si="60"/>
        <v>2027</v>
      </c>
      <c r="BP132" s="3" t="s">
        <v>454</v>
      </c>
      <c r="BQ132" s="3" t="s">
        <v>118</v>
      </c>
      <c r="BR132" s="19" t="s">
        <v>195</v>
      </c>
      <c r="BS132" s="19" t="s">
        <v>2520</v>
      </c>
      <c r="BT132" s="54" t="str">
        <f t="shared" si="61"/>
        <v>Engineering</v>
      </c>
      <c r="BV132" s="3" t="s">
        <v>454</v>
      </c>
      <c r="BW132" s="3" t="s">
        <v>435</v>
      </c>
      <c r="BX132" s="12" t="s">
        <v>1646</v>
      </c>
      <c r="BY132" s="12" t="s">
        <v>890</v>
      </c>
      <c r="BZ132" s="54" t="str">
        <f t="shared" si="62"/>
        <v>Amlan Behura</v>
      </c>
      <c r="CB132" s="19" t="s">
        <v>148</v>
      </c>
      <c r="CC132" s="3" t="s">
        <v>435</v>
      </c>
      <c r="CD132" s="3" t="s">
        <v>254</v>
      </c>
      <c r="CE132" s="54" t="str">
        <v>Product Owner</v>
      </c>
      <c r="CG132" s="54" t="str">
        <f>IFERROR(_xlfn.XLOOKUP(Hiring!A132,Hiring!A132:A531,Hiring!B132:B531,,0),"Not Found")</f>
        <v>Soumya Senapati</v>
      </c>
    </row>
    <row r="133" spans="2:85">
      <c r="B133" s="100"/>
      <c r="F133" s="4">
        <v>3.2</v>
      </c>
      <c r="G133" s="52" t="str" cm="1">
        <f t="array" ref="G133">_xlfn.IFS(F133&gt;=4.5,"Excellent",AND(F133&gt;=3.5,F133&lt;=4.4),"Good",F133&lt;3.5,"Needs Improvement")</f>
        <v>Needs Improvement</v>
      </c>
      <c r="I133" s="14">
        <v>72.27</v>
      </c>
      <c r="J133" s="14">
        <v>75.400000000000006</v>
      </c>
      <c r="K133" s="54" t="str">
        <f t="shared" si="46"/>
        <v>Over Budget</v>
      </c>
      <c r="M133" s="18">
        <v>45296</v>
      </c>
      <c r="N133" s="18">
        <v>45681</v>
      </c>
      <c r="O133" s="54" t="str">
        <f t="shared" si="63"/>
        <v>Yes</v>
      </c>
      <c r="Q133" s="18">
        <v>8.6999999999999993</v>
      </c>
      <c r="R133" s="56" t="str">
        <f t="shared" si="47"/>
        <v>Yes</v>
      </c>
      <c r="W133" s="18" t="s">
        <v>195</v>
      </c>
      <c r="X133" s="54" t="str">
        <f>VLOOKUP(W133,Employees!$A$1:$B$601,2,FALSE)</f>
        <v>Sangita Jena</v>
      </c>
      <c r="Z133" s="4" t="s">
        <v>456</v>
      </c>
      <c r="AA133" s="54" t="str">
        <f t="shared" si="48"/>
        <v>0132</v>
      </c>
      <c r="AC133" s="4" t="s">
        <v>24</v>
      </c>
      <c r="AD133" s="54" t="str">
        <f t="shared" si="49"/>
        <v>Design</v>
      </c>
      <c r="AF133" s="4" t="s">
        <v>457</v>
      </c>
      <c r="AG133" s="4" t="s">
        <v>24</v>
      </c>
      <c r="AH133" s="4" t="s">
        <v>149</v>
      </c>
      <c r="AI133" s="54" t="str">
        <f t="shared" si="50"/>
        <v>Ipsita Pattnaik|Design|SilverByte Systems</v>
      </c>
      <c r="AK133" s="4" t="s">
        <v>457</v>
      </c>
      <c r="AL133" s="38" t="str">
        <f t="shared" si="51"/>
        <v>I.P.</v>
      </c>
      <c r="AN133" s="18" t="s">
        <v>5025</v>
      </c>
      <c r="AO133" s="54" t="b">
        <f t="shared" si="52"/>
        <v>0</v>
      </c>
      <c r="AQ133" s="4" t="s">
        <v>457</v>
      </c>
      <c r="AR133" s="52" t="str">
        <f t="shared" si="53"/>
        <v>NO</v>
      </c>
      <c r="AT133" s="14" t="s">
        <v>1702</v>
      </c>
      <c r="AU133" s="54">
        <f t="shared" si="54"/>
        <v>17</v>
      </c>
      <c r="AW133" s="54">
        <f ca="1">DATEDIF(BI133,TODAY(),"Y")</f>
        <v>8</v>
      </c>
      <c r="AX133" s="54"/>
      <c r="AY133" s="41" t="s">
        <v>5286</v>
      </c>
      <c r="AZ133" s="44">
        <f t="shared" si="55"/>
        <v>45468</v>
      </c>
      <c r="BA133" s="54" t="str">
        <f t="shared" si="56"/>
        <v>6-2024</v>
      </c>
      <c r="BC133" s="15" t="s">
        <v>1822</v>
      </c>
      <c r="BD133" s="13">
        <f t="shared" si="57"/>
        <v>44539</v>
      </c>
      <c r="BE133" s="46" t="s">
        <v>1614</v>
      </c>
      <c r="BF133" s="54" t="str">
        <f t="shared" ca="1" si="58"/>
        <v>Overdue</v>
      </c>
      <c r="BH133" s="4" t="s">
        <v>458</v>
      </c>
      <c r="BI133" s="51">
        <f t="shared" si="64"/>
        <v>43154</v>
      </c>
      <c r="BJ133" s="38">
        <f t="shared" ca="1" si="65"/>
        <v>2211</v>
      </c>
      <c r="BK133" s="38"/>
      <c r="BL133" s="38" t="str">
        <f t="shared" si="66"/>
        <v>Q1</v>
      </c>
      <c r="BM133" s="59">
        <f t="shared" si="59"/>
        <v>45468</v>
      </c>
      <c r="BN133" s="51">
        <f t="shared" si="67"/>
        <v>43154</v>
      </c>
      <c r="BO133" s="54">
        <f t="shared" si="60"/>
        <v>2314</v>
      </c>
      <c r="BP133" s="4" t="s">
        <v>456</v>
      </c>
      <c r="BQ133" s="4" t="s">
        <v>24</v>
      </c>
      <c r="BR133" s="18" t="s">
        <v>195</v>
      </c>
      <c r="BS133" s="18" t="s">
        <v>2523</v>
      </c>
      <c r="BT133" s="54" t="str">
        <f t="shared" si="61"/>
        <v>Engineering</v>
      </c>
      <c r="BV133" s="4" t="s">
        <v>456</v>
      </c>
      <c r="BW133" s="4" t="s">
        <v>457</v>
      </c>
      <c r="BX133" s="14" t="s">
        <v>1702</v>
      </c>
      <c r="BY133" s="14" t="s">
        <v>844</v>
      </c>
      <c r="BZ133" s="54" t="str">
        <f t="shared" si="62"/>
        <v>Rajan Samal</v>
      </c>
      <c r="CB133" s="18" t="s">
        <v>203</v>
      </c>
      <c r="CC133" s="4" t="s">
        <v>457</v>
      </c>
      <c r="CD133" s="4" t="s">
        <v>74</v>
      </c>
      <c r="CE133" s="54" t="str">
        <v>HR Manager</v>
      </c>
      <c r="CG133" s="54" t="str">
        <f>IFERROR(_xlfn.XLOOKUP(Hiring!A133,Hiring!A133:A532,Hiring!B133:B532,,0),"Not Found")</f>
        <v>Nirmal Padhi</v>
      </c>
    </row>
    <row r="134" spans="2:85">
      <c r="B134" s="100"/>
      <c r="F134" s="3">
        <v>2.9</v>
      </c>
      <c r="G134" s="52" t="str" cm="1">
        <f t="array" ref="G134">_xlfn.IFS(F134&gt;=4.5,"Excellent",AND(F134&gt;=3.5,F134&lt;=4.4),"Good",F134&lt;3.5,"Needs Improvement")</f>
        <v>Needs Improvement</v>
      </c>
      <c r="I134" s="12">
        <v>192.55</v>
      </c>
      <c r="J134" s="12">
        <v>214.4</v>
      </c>
      <c r="K134" s="54" t="str">
        <f t="shared" si="46"/>
        <v>Over Budget</v>
      </c>
      <c r="M134" s="19"/>
      <c r="N134" s="19">
        <v>125751</v>
      </c>
      <c r="O134" s="54" t="str">
        <f t="shared" si="63"/>
        <v>Yes</v>
      </c>
      <c r="Q134" s="19">
        <v>7.47</v>
      </c>
      <c r="R134" s="56" t="str">
        <f t="shared" si="47"/>
        <v>Yes</v>
      </c>
      <c r="W134" s="19" t="s">
        <v>195</v>
      </c>
      <c r="X134" s="54" t="str">
        <f>VLOOKUP(W134,Employees!$A$1:$B$601,2,FALSE)</f>
        <v>Sangita Jena</v>
      </c>
      <c r="Z134" s="3" t="s">
        <v>459</v>
      </c>
      <c r="AA134" s="54" t="str">
        <f t="shared" si="48"/>
        <v>0133</v>
      </c>
      <c r="AC134" s="3" t="s">
        <v>118</v>
      </c>
      <c r="AD134" s="54" t="str">
        <f t="shared" si="49"/>
        <v>Marketing</v>
      </c>
      <c r="AF134" s="3" t="s">
        <v>460</v>
      </c>
      <c r="AG134" s="3" t="s">
        <v>118</v>
      </c>
      <c r="AH134" s="3" t="s">
        <v>18</v>
      </c>
      <c r="AI134" s="54" t="str">
        <f t="shared" si="50"/>
        <v>Debasmita Prusty|Marketing|CoastalDev Studio</v>
      </c>
      <c r="AK134" s="3" t="s">
        <v>460</v>
      </c>
      <c r="AL134" s="38" t="str">
        <f t="shared" si="51"/>
        <v>D.P.</v>
      </c>
      <c r="AN134" s="19" t="s">
        <v>5025</v>
      </c>
      <c r="AO134" s="54" t="b">
        <f t="shared" si="52"/>
        <v>0</v>
      </c>
      <c r="AQ134" s="3" t="s">
        <v>460</v>
      </c>
      <c r="AR134" s="52" t="str">
        <f t="shared" si="53"/>
        <v>NO</v>
      </c>
      <c r="AT134" s="12" t="s">
        <v>1702</v>
      </c>
      <c r="AU134" s="54">
        <f t="shared" si="54"/>
        <v>17</v>
      </c>
      <c r="AW134" s="54">
        <f ca="1">DATEDIF(BI134,TODAY(),"Y")</f>
        <v>7</v>
      </c>
      <c r="AX134" s="54"/>
      <c r="AY134" s="40" t="s">
        <v>2018</v>
      </c>
      <c r="AZ134" s="44">
        <f t="shared" si="55"/>
        <v>45617</v>
      </c>
      <c r="BA134" s="54" t="str">
        <f t="shared" si="56"/>
        <v>11-2024</v>
      </c>
      <c r="BC134" s="13" t="s">
        <v>1723</v>
      </c>
      <c r="BD134" s="13">
        <f t="shared" si="57"/>
        <v>44730</v>
      </c>
      <c r="BE134" s="45" t="s">
        <v>1625</v>
      </c>
      <c r="BF134" s="54" t="str">
        <f t="shared" ca="1" si="58"/>
        <v>Overdue</v>
      </c>
      <c r="BH134" s="3" t="s">
        <v>461</v>
      </c>
      <c r="BI134" s="51">
        <f t="shared" si="64"/>
        <v>43363</v>
      </c>
      <c r="BJ134" s="38">
        <f t="shared" ca="1" si="65"/>
        <v>2062</v>
      </c>
      <c r="BK134" s="38"/>
      <c r="BL134" s="38" t="str">
        <f t="shared" si="66"/>
        <v>No</v>
      </c>
      <c r="BM134" s="59">
        <f t="shared" si="59"/>
        <v>45617</v>
      </c>
      <c r="BN134" s="51">
        <f t="shared" si="67"/>
        <v>43363</v>
      </c>
      <c r="BO134" s="54">
        <f t="shared" si="60"/>
        <v>2254</v>
      </c>
      <c r="BP134" s="3" t="s">
        <v>459</v>
      </c>
      <c r="BQ134" s="3" t="s">
        <v>118</v>
      </c>
      <c r="BR134" s="19" t="s">
        <v>195</v>
      </c>
      <c r="BS134" s="19" t="s">
        <v>2525</v>
      </c>
      <c r="BT134" s="54" t="str">
        <f t="shared" si="61"/>
        <v>Engineering</v>
      </c>
      <c r="BV134" s="3" t="s">
        <v>459</v>
      </c>
      <c r="BW134" s="3" t="s">
        <v>460</v>
      </c>
      <c r="BX134" s="12" t="s">
        <v>1702</v>
      </c>
      <c r="BY134" s="12" t="s">
        <v>1311</v>
      </c>
      <c r="BZ134" s="54" t="str">
        <f t="shared" si="62"/>
        <v>Namita Padhi</v>
      </c>
      <c r="CB134" s="19" t="s">
        <v>1041</v>
      </c>
      <c r="CC134" s="3" t="s">
        <v>460</v>
      </c>
      <c r="CD134" s="3" t="s">
        <v>119</v>
      </c>
      <c r="CE134" s="54" t="str">
        <v>Finance Analyst</v>
      </c>
      <c r="CG134" s="54" t="str">
        <f>IFERROR(_xlfn.XLOOKUP(Hiring!A134,Hiring!A134:A533,Hiring!B134:B533,,0),"Not Found")</f>
        <v>Ranjit Pattnaik</v>
      </c>
    </row>
    <row r="135" spans="2:85">
      <c r="B135" s="100"/>
      <c r="F135" s="4">
        <v>2.6</v>
      </c>
      <c r="G135" s="52" t="str" cm="1">
        <f t="array" ref="G135">_xlfn.IFS(F135&gt;=4.5,"Excellent",AND(F135&gt;=3.5,F135&lt;=4.4),"Good",F135&lt;3.5,"Needs Improvement")</f>
        <v>Needs Improvement</v>
      </c>
      <c r="I135" s="14">
        <v>69.989999999999995</v>
      </c>
      <c r="J135" s="14">
        <v>54.54</v>
      </c>
      <c r="K135" s="54" t="str">
        <f t="shared" si="46"/>
        <v>Within Budget</v>
      </c>
      <c r="M135" s="18">
        <v>137677</v>
      </c>
      <c r="N135" s="18">
        <v>158305</v>
      </c>
      <c r="O135" s="54" t="str">
        <f t="shared" si="63"/>
        <v>Yes</v>
      </c>
      <c r="Q135" s="18">
        <v>8.52</v>
      </c>
      <c r="R135" s="56" t="str">
        <f t="shared" si="47"/>
        <v>Yes</v>
      </c>
      <c r="W135" s="18" t="s">
        <v>195</v>
      </c>
      <c r="X135" s="54" t="str">
        <f>VLOOKUP(W135,Employees!$A$1:$B$601,2,FALSE)</f>
        <v>Sangita Jena</v>
      </c>
      <c r="Z135" s="4" t="s">
        <v>462</v>
      </c>
      <c r="AA135" s="54" t="str">
        <f t="shared" si="48"/>
        <v>0134</v>
      </c>
      <c r="AC135" s="4" t="s">
        <v>133</v>
      </c>
      <c r="AD135" s="54" t="str">
        <f t="shared" si="49"/>
        <v>Qa</v>
      </c>
      <c r="AF135" s="4" t="s">
        <v>404</v>
      </c>
      <c r="AG135" s="4" t="s">
        <v>133</v>
      </c>
      <c r="AH135" s="4" t="s">
        <v>53</v>
      </c>
      <c r="AI135" s="54" t="str">
        <f t="shared" si="50"/>
        <v>Nirmal Choudhury|QA|BlueLotus IT</v>
      </c>
      <c r="AK135" s="4" t="s">
        <v>404</v>
      </c>
      <c r="AL135" s="38" t="str">
        <f t="shared" si="51"/>
        <v>N.C.</v>
      </c>
      <c r="AN135" s="18" t="s">
        <v>5060</v>
      </c>
      <c r="AO135" s="54" t="str">
        <f t="shared" si="52"/>
        <v>Naukri</v>
      </c>
      <c r="AQ135" s="4" t="s">
        <v>404</v>
      </c>
      <c r="AR135" s="52" t="str">
        <f t="shared" si="53"/>
        <v>NO</v>
      </c>
      <c r="AT135" s="14" t="s">
        <v>1702</v>
      </c>
      <c r="AU135" s="54">
        <f t="shared" si="54"/>
        <v>17</v>
      </c>
      <c r="AW135" s="54">
        <f ca="1">DATEDIF(BI135,TODAY(),"Y")</f>
        <v>4</v>
      </c>
      <c r="AX135" s="54"/>
      <c r="AY135" s="41" t="s">
        <v>5289</v>
      </c>
      <c r="AZ135" s="44">
        <f t="shared" si="55"/>
        <v>45257</v>
      </c>
      <c r="BA135" s="54" t="str">
        <f t="shared" si="56"/>
        <v>11-2023</v>
      </c>
      <c r="BC135" s="15" t="s">
        <v>1995</v>
      </c>
      <c r="BD135" s="13">
        <f t="shared" si="57"/>
        <v>45370</v>
      </c>
      <c r="BE135" s="46" t="s">
        <v>1625</v>
      </c>
      <c r="BF135" s="54" t="str">
        <f t="shared" ca="1" si="58"/>
        <v>Overdue</v>
      </c>
      <c r="BH135" s="4" t="s">
        <v>463</v>
      </c>
      <c r="BI135" s="51">
        <f t="shared" si="64"/>
        <v>44556</v>
      </c>
      <c r="BJ135" s="38">
        <f t="shared" ca="1" si="65"/>
        <v>1210</v>
      </c>
      <c r="BK135" s="38"/>
      <c r="BL135" s="38" t="str">
        <f t="shared" si="66"/>
        <v>No</v>
      </c>
      <c r="BM135" s="59">
        <f t="shared" si="59"/>
        <v>45257</v>
      </c>
      <c r="BN135" s="51">
        <f t="shared" si="67"/>
        <v>44556</v>
      </c>
      <c r="BO135" s="54">
        <f t="shared" si="60"/>
        <v>701</v>
      </c>
      <c r="BP135" s="4" t="s">
        <v>462</v>
      </c>
      <c r="BQ135" s="4" t="s">
        <v>133</v>
      </c>
      <c r="BR135" s="18" t="s">
        <v>195</v>
      </c>
      <c r="BS135" s="18" t="s">
        <v>2527</v>
      </c>
      <c r="BT135" s="54" t="str">
        <f t="shared" si="61"/>
        <v>Engineering</v>
      </c>
      <c r="BV135" s="4" t="s">
        <v>462</v>
      </c>
      <c r="BW135" s="4" t="s">
        <v>404</v>
      </c>
      <c r="BX135" s="14" t="s">
        <v>1702</v>
      </c>
      <c r="BY135" s="14" t="s">
        <v>252</v>
      </c>
      <c r="BZ135" s="54" t="str">
        <f t="shared" si="62"/>
        <v>Debasmita Samal</v>
      </c>
      <c r="CB135" s="18" t="s">
        <v>1128</v>
      </c>
      <c r="CC135" s="4" t="s">
        <v>404</v>
      </c>
      <c r="CD135" s="4" t="s">
        <v>162</v>
      </c>
      <c r="CE135" s="54" t="str">
        <v>Account Manager</v>
      </c>
      <c r="CG135" s="54" t="str">
        <f>IFERROR(_xlfn.XLOOKUP(Hiring!A135,Hiring!A135:A534,Hiring!B135:B534,,0),"Not Found")</f>
        <v>Debasmita Jena</v>
      </c>
    </row>
    <row r="136" spans="2:85">
      <c r="B136" s="100"/>
      <c r="F136" s="3">
        <v>1.9</v>
      </c>
      <c r="G136" s="52" t="str" cm="1">
        <f t="array" ref="G136">_xlfn.IFS(F136&gt;=4.5,"Excellent",AND(F136&gt;=3.5,F136&lt;=4.4),"Good",F136&lt;3.5,"Needs Improvement")</f>
        <v>Needs Improvement</v>
      </c>
      <c r="I136" s="12">
        <v>94.74</v>
      </c>
      <c r="J136" s="12">
        <v>101.99</v>
      </c>
      <c r="K136" s="54" t="str">
        <f t="shared" si="46"/>
        <v>Over Budget</v>
      </c>
      <c r="M136" s="19">
        <v>173360</v>
      </c>
      <c r="N136" s="19">
        <v>190181</v>
      </c>
      <c r="O136" s="54" t="str">
        <f t="shared" si="63"/>
        <v>Yes</v>
      </c>
      <c r="Q136" s="19">
        <v>10.72</v>
      </c>
      <c r="R136" s="56" t="str">
        <f t="shared" si="47"/>
        <v>Yes</v>
      </c>
      <c r="W136" s="19" t="s">
        <v>195</v>
      </c>
      <c r="X136" s="54" t="str">
        <f>VLOOKUP(W136,Employees!$A$1:$B$601,2,FALSE)</f>
        <v>Sangita Jena</v>
      </c>
      <c r="Z136" s="3" t="s">
        <v>464</v>
      </c>
      <c r="AA136" s="54" t="str">
        <f t="shared" si="48"/>
        <v>0135</v>
      </c>
      <c r="AC136" s="3" t="s">
        <v>118</v>
      </c>
      <c r="AD136" s="54" t="str">
        <f t="shared" si="49"/>
        <v>Marketing</v>
      </c>
      <c r="AF136" s="3" t="s">
        <v>465</v>
      </c>
      <c r="AG136" s="3" t="s">
        <v>118</v>
      </c>
      <c r="AH136" s="3" t="s">
        <v>46</v>
      </c>
      <c r="AI136" s="54" t="str">
        <f t="shared" si="50"/>
        <v>Rahul Mishra|Marketing|SambalpurNet</v>
      </c>
      <c r="AK136" s="3" t="s">
        <v>465</v>
      </c>
      <c r="AL136" s="38" t="str">
        <f t="shared" si="51"/>
        <v>R.M.</v>
      </c>
      <c r="AN136" s="19" t="s">
        <v>5031</v>
      </c>
      <c r="AO136" s="54" t="b">
        <f t="shared" si="52"/>
        <v>0</v>
      </c>
      <c r="AQ136" s="3" t="s">
        <v>465</v>
      </c>
      <c r="AR136" s="52" t="str">
        <f t="shared" si="53"/>
        <v>Mishra</v>
      </c>
      <c r="AT136" s="12" t="s">
        <v>1792</v>
      </c>
      <c r="AU136" s="54">
        <f t="shared" si="54"/>
        <v>19</v>
      </c>
      <c r="AW136" s="54">
        <f ca="1">DATEDIF(BI136,TODAY(),"Y")</f>
        <v>7</v>
      </c>
      <c r="AX136" s="54"/>
      <c r="AY136" s="40" t="s">
        <v>1683</v>
      </c>
      <c r="AZ136" s="44">
        <f t="shared" si="55"/>
        <v>44969</v>
      </c>
      <c r="BA136" s="54" t="str">
        <f t="shared" si="56"/>
        <v>2-2023</v>
      </c>
      <c r="BC136" s="13" t="s">
        <v>1997</v>
      </c>
      <c r="BD136" s="13">
        <f t="shared" si="57"/>
        <v>45680</v>
      </c>
      <c r="BE136" s="45" t="s">
        <v>1625</v>
      </c>
      <c r="BF136" s="54" t="str">
        <f t="shared" ca="1" si="58"/>
        <v>Overdue</v>
      </c>
      <c r="BH136" s="3" t="s">
        <v>466</v>
      </c>
      <c r="BI136" s="51">
        <f t="shared" si="64"/>
        <v>43527</v>
      </c>
      <c r="BJ136" s="38">
        <f t="shared" ca="1" si="65"/>
        <v>1945</v>
      </c>
      <c r="BK136" s="38"/>
      <c r="BL136" s="38" t="str">
        <f t="shared" si="66"/>
        <v>Q1</v>
      </c>
      <c r="BM136" s="59">
        <f t="shared" si="59"/>
        <v>44969</v>
      </c>
      <c r="BN136" s="51">
        <f t="shared" si="67"/>
        <v>43527</v>
      </c>
      <c r="BO136" s="54">
        <f t="shared" si="60"/>
        <v>1442</v>
      </c>
      <c r="BP136" s="3" t="s">
        <v>464</v>
      </c>
      <c r="BQ136" s="3" t="s">
        <v>118</v>
      </c>
      <c r="BR136" s="19" t="s">
        <v>195</v>
      </c>
      <c r="BS136" s="19" t="s">
        <v>2530</v>
      </c>
      <c r="BT136" s="54" t="str">
        <f t="shared" si="61"/>
        <v>Engineering</v>
      </c>
      <c r="BV136" s="3" t="s">
        <v>464</v>
      </c>
      <c r="BW136" s="3" t="s">
        <v>465</v>
      </c>
      <c r="BX136" s="12" t="s">
        <v>1792</v>
      </c>
      <c r="BY136" s="12" t="s">
        <v>473</v>
      </c>
      <c r="BZ136" s="54" t="str">
        <f t="shared" si="62"/>
        <v>Priyanka Behura</v>
      </c>
      <c r="CB136" s="19" t="s">
        <v>196</v>
      </c>
      <c r="CC136" s="3" t="s">
        <v>465</v>
      </c>
      <c r="CD136" s="3" t="s">
        <v>119</v>
      </c>
      <c r="CE136" s="54" t="str">
        <v>Senior Developer</v>
      </c>
      <c r="CG136" s="54" t="str">
        <f>IFERROR(_xlfn.XLOOKUP(Hiring!A136,Hiring!A136:A535,Hiring!B136:B535,,0),"Not Found")</f>
        <v>Sangita Jena</v>
      </c>
    </row>
    <row r="137" spans="2:85">
      <c r="B137" s="100"/>
      <c r="F137" s="4">
        <v>1.6</v>
      </c>
      <c r="G137" s="52" t="str" cm="1">
        <f t="array" ref="G137">_xlfn.IFS(F137&gt;=4.5,"Excellent",AND(F137&gt;=3.5,F137&lt;=4.4),"Good",F137&lt;3.5,"Needs Improvement")</f>
        <v>Needs Improvement</v>
      </c>
      <c r="I137" s="14">
        <v>66.63</v>
      </c>
      <c r="J137" s="14">
        <v>81.34</v>
      </c>
      <c r="K137" s="54" t="str">
        <f t="shared" si="46"/>
        <v>Over Budget</v>
      </c>
      <c r="M137" s="18"/>
      <c r="N137" s="18">
        <v>37281</v>
      </c>
      <c r="O137" s="54" t="str">
        <f t="shared" si="63"/>
        <v>Yes</v>
      </c>
      <c r="Q137" s="18">
        <v>7.96</v>
      </c>
      <c r="R137" s="56" t="str">
        <f t="shared" si="47"/>
        <v>Yes</v>
      </c>
      <c r="W137" s="18" t="s">
        <v>195</v>
      </c>
      <c r="X137" s="54" t="str">
        <f>VLOOKUP(W137,Employees!$A$1:$B$601,2,FALSE)</f>
        <v>Sangita Jena</v>
      </c>
      <c r="Z137" s="4" t="s">
        <v>467</v>
      </c>
      <c r="AA137" s="54" t="str">
        <f t="shared" si="48"/>
        <v>0136</v>
      </c>
      <c r="AC137" s="4" t="s">
        <v>89</v>
      </c>
      <c r="AD137" s="54" t="str">
        <f t="shared" si="49"/>
        <v>Data Science</v>
      </c>
      <c r="AF137" s="4" t="s">
        <v>468</v>
      </c>
      <c r="AG137" s="4" t="s">
        <v>89</v>
      </c>
      <c r="AH137" s="4" t="s">
        <v>172</v>
      </c>
      <c r="AI137" s="54" t="str">
        <f t="shared" si="50"/>
        <v>Dibya Behura|Data Science|TechNova Solutions</v>
      </c>
      <c r="AK137" s="4" t="s">
        <v>468</v>
      </c>
      <c r="AL137" s="38" t="str">
        <f t="shared" si="51"/>
        <v>D.B.</v>
      </c>
      <c r="AN137" s="18" t="s">
        <v>5019</v>
      </c>
      <c r="AO137" s="54" t="str">
        <f t="shared" si="52"/>
        <v>Linkedln</v>
      </c>
      <c r="AQ137" s="4" t="s">
        <v>468</v>
      </c>
      <c r="AR137" s="52" t="str">
        <f t="shared" si="53"/>
        <v>NO</v>
      </c>
      <c r="AT137" s="14" t="s">
        <v>1705</v>
      </c>
      <c r="AU137" s="54">
        <f t="shared" si="54"/>
        <v>13</v>
      </c>
      <c r="AW137" s="54">
        <f ca="1">DATEDIF(BI137,TODAY(),"Y")</f>
        <v>3</v>
      </c>
      <c r="AX137" s="54"/>
      <c r="AY137" s="41" t="s">
        <v>5293</v>
      </c>
      <c r="AZ137" s="44">
        <f t="shared" si="55"/>
        <v>45607</v>
      </c>
      <c r="BA137" s="54" t="str">
        <f t="shared" si="56"/>
        <v>11-2024</v>
      </c>
      <c r="BC137" s="15" t="s">
        <v>676</v>
      </c>
      <c r="BD137" s="13">
        <f t="shared" si="57"/>
        <v>45409</v>
      </c>
      <c r="BE137" s="46" t="s">
        <v>1614</v>
      </c>
      <c r="BF137" s="54" t="str">
        <f t="shared" ca="1" si="58"/>
        <v>Overdue</v>
      </c>
      <c r="BH137" s="4" t="s">
        <v>469</v>
      </c>
      <c r="BI137" s="51">
        <f t="shared" si="64"/>
        <v>44823</v>
      </c>
      <c r="BJ137" s="38">
        <f t="shared" ca="1" si="65"/>
        <v>1020</v>
      </c>
      <c r="BK137" s="38"/>
      <c r="BL137" s="38" t="str">
        <f t="shared" si="66"/>
        <v>No</v>
      </c>
      <c r="BM137" s="59">
        <f t="shared" si="59"/>
        <v>45607</v>
      </c>
      <c r="BN137" s="51">
        <f t="shared" si="67"/>
        <v>44823</v>
      </c>
      <c r="BO137" s="54">
        <f t="shared" si="60"/>
        <v>784</v>
      </c>
      <c r="BP137" s="4" t="s">
        <v>467</v>
      </c>
      <c r="BQ137" s="4" t="s">
        <v>89</v>
      </c>
      <c r="BR137" s="18" t="s">
        <v>195</v>
      </c>
      <c r="BS137" s="18" t="s">
        <v>2532</v>
      </c>
      <c r="BT137" s="54" t="str">
        <f t="shared" si="61"/>
        <v>Engineering</v>
      </c>
      <c r="BV137" s="4" t="s">
        <v>467</v>
      </c>
      <c r="BW137" s="4" t="s">
        <v>468</v>
      </c>
      <c r="BX137" s="14" t="s">
        <v>1705</v>
      </c>
      <c r="BY137" s="14" t="s">
        <v>1253</v>
      </c>
      <c r="BZ137" s="54" t="str">
        <f t="shared" si="62"/>
        <v>Sangita Mahapatra</v>
      </c>
      <c r="CB137" s="18" t="s">
        <v>5292</v>
      </c>
      <c r="CC137" s="4" t="s">
        <v>468</v>
      </c>
      <c r="CD137" s="4" t="s">
        <v>376</v>
      </c>
      <c r="CE137" s="54" t="str">
        <v>Not Found</v>
      </c>
      <c r="CG137" s="54" t="str">
        <f>IFERROR(_xlfn.XLOOKUP(Hiring!A137,Hiring!A137:A536,Hiring!B137:B536,,0),"Not Found")</f>
        <v>Chinmaya Choudhury</v>
      </c>
    </row>
    <row r="138" spans="2:85">
      <c r="B138" s="100"/>
      <c r="F138" s="3">
        <v>1.7</v>
      </c>
      <c r="G138" s="52" t="str" cm="1">
        <f t="array" ref="G138">_xlfn.IFS(F138&gt;=4.5,"Excellent",AND(F138&gt;=3.5,F138&lt;=4.4),"Good",F138&lt;3.5,"Needs Improvement")</f>
        <v>Needs Improvement</v>
      </c>
      <c r="I138" s="12">
        <v>98.63</v>
      </c>
      <c r="J138" s="12">
        <v>89.41</v>
      </c>
      <c r="K138" s="54" t="str">
        <f t="shared" si="46"/>
        <v>Within Budget</v>
      </c>
      <c r="M138" s="19"/>
      <c r="N138" s="19">
        <v>100742</v>
      </c>
      <c r="O138" s="54" t="str">
        <f t="shared" si="63"/>
        <v>Yes</v>
      </c>
      <c r="Q138" s="19">
        <v>8.49</v>
      </c>
      <c r="R138" s="56" t="str">
        <f t="shared" si="47"/>
        <v>Yes</v>
      </c>
      <c r="W138" s="19" t="s">
        <v>195</v>
      </c>
      <c r="X138" s="54" t="str">
        <f>VLOOKUP(W138,Employees!$A$1:$B$601,2,FALSE)</f>
        <v>Sangita Jena</v>
      </c>
      <c r="Z138" s="3" t="s">
        <v>470</v>
      </c>
      <c r="AA138" s="54" t="str">
        <f t="shared" si="48"/>
        <v>0137</v>
      </c>
      <c r="AC138" s="3" t="s">
        <v>176</v>
      </c>
      <c r="AD138" s="54" t="str">
        <f t="shared" si="49"/>
        <v>Finance</v>
      </c>
      <c r="AF138" s="3" t="s">
        <v>471</v>
      </c>
      <c r="AG138" s="3" t="s">
        <v>176</v>
      </c>
      <c r="AH138" s="3" t="s">
        <v>149</v>
      </c>
      <c r="AI138" s="54" t="str">
        <f t="shared" si="50"/>
        <v>Saurav Sahoo|Finance|SilverByte Systems</v>
      </c>
      <c r="AK138" s="3" t="s">
        <v>471</v>
      </c>
      <c r="AL138" s="38" t="str">
        <f t="shared" si="51"/>
        <v>S.S.</v>
      </c>
      <c r="AN138" s="19" t="s">
        <v>5023</v>
      </c>
      <c r="AO138" s="54" t="str">
        <f t="shared" si="52"/>
        <v>Linkedln</v>
      </c>
      <c r="AQ138" s="3" t="s">
        <v>471</v>
      </c>
      <c r="AR138" s="52" t="str">
        <f t="shared" si="53"/>
        <v>NO</v>
      </c>
      <c r="AT138" s="12" t="s">
        <v>1763</v>
      </c>
      <c r="AU138" s="54">
        <f t="shared" si="54"/>
        <v>19</v>
      </c>
      <c r="AW138" s="54">
        <f ca="1">DATEDIF(BI138,TODAY(),"Y")</f>
        <v>3</v>
      </c>
      <c r="AX138" s="54"/>
      <c r="AY138" s="40" t="s">
        <v>5295</v>
      </c>
      <c r="AZ138" s="44">
        <f t="shared" si="55"/>
        <v>45183</v>
      </c>
      <c r="BA138" s="54" t="str">
        <f t="shared" si="56"/>
        <v>9-2023</v>
      </c>
      <c r="BC138" s="13" t="s">
        <v>1982</v>
      </c>
      <c r="BD138" s="13">
        <f t="shared" si="57"/>
        <v>45361</v>
      </c>
      <c r="BE138" s="45" t="s">
        <v>1656</v>
      </c>
      <c r="BF138" s="54" t="str">
        <f t="shared" ca="1" si="58"/>
        <v>Overdue</v>
      </c>
      <c r="BH138" s="3" t="s">
        <v>472</v>
      </c>
      <c r="BI138" s="51">
        <f t="shared" si="64"/>
        <v>44878</v>
      </c>
      <c r="BJ138" s="38">
        <f t="shared" ca="1" si="65"/>
        <v>980</v>
      </c>
      <c r="BK138" s="38"/>
      <c r="BL138" s="38" t="str">
        <f t="shared" si="66"/>
        <v>No</v>
      </c>
      <c r="BM138" s="59">
        <f t="shared" si="59"/>
        <v>45183</v>
      </c>
      <c r="BN138" s="51">
        <f t="shared" si="67"/>
        <v>44878</v>
      </c>
      <c r="BO138" s="54">
        <f t="shared" si="60"/>
        <v>305</v>
      </c>
      <c r="BP138" s="3" t="s">
        <v>470</v>
      </c>
      <c r="BQ138" s="3" t="s">
        <v>176</v>
      </c>
      <c r="BR138" s="19" t="s">
        <v>195</v>
      </c>
      <c r="BS138" s="19" t="s">
        <v>2533</v>
      </c>
      <c r="BT138" s="54" t="str">
        <f t="shared" si="61"/>
        <v>Engineering</v>
      </c>
      <c r="BV138" s="3" t="s">
        <v>470</v>
      </c>
      <c r="BW138" s="3" t="s">
        <v>471</v>
      </c>
      <c r="BX138" s="12" t="s">
        <v>1763</v>
      </c>
      <c r="BY138" s="12" t="s">
        <v>1429</v>
      </c>
      <c r="BZ138" s="54" t="str">
        <f t="shared" si="62"/>
        <v>Satyajit Samal</v>
      </c>
      <c r="CB138" s="19" t="s">
        <v>865</v>
      </c>
      <c r="CC138" s="3" t="s">
        <v>471</v>
      </c>
      <c r="CD138" s="3" t="s">
        <v>359</v>
      </c>
      <c r="CE138" s="54" t="str">
        <v>Design Lead</v>
      </c>
      <c r="CG138" s="54" t="str">
        <f>IFERROR(_xlfn.XLOOKUP(Hiring!A138,Hiring!A138:A537,Hiring!B138:B537,,0),"Not Found")</f>
        <v>Aditya Ratha</v>
      </c>
    </row>
    <row r="139" spans="2:85">
      <c r="B139" s="100"/>
      <c r="F139" s="4">
        <v>2.4</v>
      </c>
      <c r="G139" s="52" t="str" cm="1">
        <f t="array" ref="G139">_xlfn.IFS(F139&gt;=4.5,"Excellent",AND(F139&gt;=3.5,F139&lt;=4.4),"Good",F139&lt;3.5,"Needs Improvement")</f>
        <v>Needs Improvement</v>
      </c>
      <c r="I139" s="14">
        <v>9.77</v>
      </c>
      <c r="J139" s="14">
        <v>12.45</v>
      </c>
      <c r="K139" s="54" t="str">
        <f t="shared" si="46"/>
        <v>Over Budget</v>
      </c>
      <c r="M139" s="18">
        <v>37830</v>
      </c>
      <c r="N139" s="18">
        <v>43288</v>
      </c>
      <c r="O139" s="54" t="str">
        <f t="shared" si="63"/>
        <v>Yes</v>
      </c>
      <c r="Q139" s="18">
        <v>8.0500000000000007</v>
      </c>
      <c r="R139" s="56" t="str">
        <f t="shared" si="47"/>
        <v>Yes</v>
      </c>
      <c r="W139" s="18" t="s">
        <v>195</v>
      </c>
      <c r="X139" s="54" t="str">
        <f>VLOOKUP(W139,Employees!$A$1:$B$601,2,FALSE)</f>
        <v>Sangita Jena</v>
      </c>
      <c r="Z139" s="4" t="s">
        <v>473</v>
      </c>
      <c r="AA139" s="54" t="str">
        <f t="shared" si="48"/>
        <v>0138</v>
      </c>
      <c r="AC139" s="4" t="s">
        <v>63</v>
      </c>
      <c r="AD139" s="54" t="str">
        <f t="shared" si="49"/>
        <v>Product</v>
      </c>
      <c r="AF139" s="4" t="s">
        <v>272</v>
      </c>
      <c r="AG139" s="4" t="s">
        <v>63</v>
      </c>
      <c r="AH139" s="4" t="s">
        <v>18</v>
      </c>
      <c r="AI139" s="54" t="str">
        <f t="shared" si="50"/>
        <v>Priyanka Behura|Product|CoastalDev Studio</v>
      </c>
      <c r="AK139" s="4" t="s">
        <v>272</v>
      </c>
      <c r="AL139" s="38" t="str">
        <f t="shared" si="51"/>
        <v>P.B.</v>
      </c>
      <c r="AN139" s="18" t="s">
        <v>5051</v>
      </c>
      <c r="AO139" s="54" t="str">
        <f t="shared" si="52"/>
        <v>Naukri</v>
      </c>
      <c r="AQ139" s="4" t="s">
        <v>272</v>
      </c>
      <c r="AR139" s="52" t="str">
        <f t="shared" si="53"/>
        <v>NO</v>
      </c>
      <c r="AT139" s="14" t="s">
        <v>1627</v>
      </c>
      <c r="AU139" s="54">
        <f t="shared" si="54"/>
        <v>11</v>
      </c>
      <c r="AW139" s="54">
        <f ca="1">DATEDIF(BI139,TODAY(),"Y")</f>
        <v>2</v>
      </c>
      <c r="AX139" s="54"/>
      <c r="AY139" s="41" t="s">
        <v>1589</v>
      </c>
      <c r="AZ139" s="44">
        <f t="shared" si="55"/>
        <v>44938</v>
      </c>
      <c r="BA139" s="54" t="str">
        <f t="shared" si="56"/>
        <v>1-2023</v>
      </c>
      <c r="BC139" s="15" t="s">
        <v>2002</v>
      </c>
      <c r="BD139" s="13">
        <f t="shared" si="57"/>
        <v>45180</v>
      </c>
      <c r="BE139" s="46" t="s">
        <v>1625</v>
      </c>
      <c r="BF139" s="54" t="str">
        <f t="shared" ca="1" si="58"/>
        <v>Overdue</v>
      </c>
      <c r="BH139" s="4" t="s">
        <v>474</v>
      </c>
      <c r="BI139" s="51">
        <f t="shared" si="64"/>
        <v>45314</v>
      </c>
      <c r="BJ139" s="38">
        <f t="shared" ca="1" si="65"/>
        <v>669</v>
      </c>
      <c r="BK139" s="38"/>
      <c r="BL139" s="38" t="str">
        <f t="shared" si="66"/>
        <v>Q1</v>
      </c>
      <c r="BM139" s="59">
        <f t="shared" si="59"/>
        <v>44938</v>
      </c>
      <c r="BN139" s="51">
        <f t="shared" si="67"/>
        <v>45314</v>
      </c>
      <c r="BO139" s="54">
        <f t="shared" si="60"/>
        <v>376</v>
      </c>
      <c r="BP139" s="4" t="s">
        <v>473</v>
      </c>
      <c r="BQ139" s="4" t="s">
        <v>63</v>
      </c>
      <c r="BR139" s="18" t="s">
        <v>195</v>
      </c>
      <c r="BS139" s="18" t="s">
        <v>2535</v>
      </c>
      <c r="BT139" s="54" t="str">
        <f t="shared" si="61"/>
        <v>Engineering</v>
      </c>
      <c r="BV139" s="4" t="s">
        <v>473</v>
      </c>
      <c r="BW139" s="4" t="s">
        <v>272</v>
      </c>
      <c r="BX139" s="14" t="s">
        <v>1627</v>
      </c>
      <c r="BY139" s="14" t="s">
        <v>1174</v>
      </c>
      <c r="BZ139" s="54" t="str">
        <f t="shared" si="62"/>
        <v>Aditya Samal</v>
      </c>
      <c r="CB139" s="18" t="s">
        <v>739</v>
      </c>
      <c r="CC139" s="4" t="s">
        <v>272</v>
      </c>
      <c r="CD139" s="4" t="s">
        <v>64</v>
      </c>
      <c r="CE139" s="54" t="str">
        <v>Sales Manager</v>
      </c>
      <c r="CG139" s="54" t="str">
        <f>IFERROR(_xlfn.XLOOKUP(Hiring!A139,Hiring!A139:A538,Hiring!B139:B538,,0),"Not Found")</f>
        <v>Tanmay Behura</v>
      </c>
    </row>
    <row r="140" spans="2:85">
      <c r="B140" s="100"/>
      <c r="F140" s="3">
        <v>0</v>
      </c>
      <c r="G140" s="52" t="str" cm="1">
        <f t="array" ref="G140">_xlfn.IFS(F140&gt;=4.5,"Excellent",AND(F140&gt;=3.5,F140&lt;=4.4),"Good",F140&lt;3.5,"Needs Improvement")</f>
        <v>Needs Improvement</v>
      </c>
      <c r="I140" s="12">
        <v>13.77</v>
      </c>
      <c r="J140" s="12">
        <v>10.08</v>
      </c>
      <c r="K140" s="54" t="str">
        <f t="shared" si="46"/>
        <v>Within Budget</v>
      </c>
      <c r="M140" s="19">
        <v>59525</v>
      </c>
      <c r="N140" s="19">
        <v>56276</v>
      </c>
      <c r="O140" s="54" t="str">
        <f t="shared" si="63"/>
        <v>Yes</v>
      </c>
      <c r="Q140" s="19">
        <v>9.7200000000000006</v>
      </c>
      <c r="R140" s="56" t="str">
        <f t="shared" si="47"/>
        <v>Yes</v>
      </c>
      <c r="W140" s="19" t="s">
        <v>195</v>
      </c>
      <c r="X140" s="54" t="str">
        <f>VLOOKUP(W140,Employees!$A$1:$B$601,2,FALSE)</f>
        <v>Sangita Jena</v>
      </c>
      <c r="Z140" s="3" t="s">
        <v>475</v>
      </c>
      <c r="AA140" s="54" t="str">
        <f t="shared" si="48"/>
        <v>0139</v>
      </c>
      <c r="AC140" s="3" t="s">
        <v>257</v>
      </c>
      <c r="AD140" s="54" t="str">
        <f t="shared" si="49"/>
        <v>Design</v>
      </c>
      <c r="AF140" s="3" t="s">
        <v>476</v>
      </c>
      <c r="AG140" s="3" t="s">
        <v>257</v>
      </c>
      <c r="AH140" s="3" t="s">
        <v>114</v>
      </c>
      <c r="AI140" s="54" t="str">
        <f t="shared" si="50"/>
        <v>Prasant Pattnaik|design|UtkalSoft Technologies</v>
      </c>
      <c r="AK140" s="3" t="s">
        <v>476</v>
      </c>
      <c r="AL140" s="38" t="str">
        <f t="shared" si="51"/>
        <v>P.P.</v>
      </c>
      <c r="AN140" s="19" t="s">
        <v>5060</v>
      </c>
      <c r="AO140" s="54" t="str">
        <f t="shared" si="52"/>
        <v>Naukri</v>
      </c>
      <c r="AQ140" s="3" t="s">
        <v>476</v>
      </c>
      <c r="AR140" s="52" t="str">
        <f t="shared" si="53"/>
        <v>NO</v>
      </c>
      <c r="AT140" s="12" t="s">
        <v>1720</v>
      </c>
      <c r="AU140" s="54">
        <f t="shared" si="54"/>
        <v>10</v>
      </c>
      <c r="AW140" s="54">
        <f ca="1">DATEDIF(BI140,TODAY(),"Y")</f>
        <v>2</v>
      </c>
      <c r="AX140" s="54"/>
      <c r="AY140" s="40" t="s">
        <v>5174</v>
      </c>
      <c r="AZ140" s="44">
        <f t="shared" si="55"/>
        <v>45621</v>
      </c>
      <c r="BA140" s="54" t="str">
        <f t="shared" si="56"/>
        <v>11-2024</v>
      </c>
      <c r="BC140" s="13" t="s">
        <v>2005</v>
      </c>
      <c r="BD140" s="13">
        <f t="shared" si="57"/>
        <v>45140</v>
      </c>
      <c r="BE140" s="45" t="s">
        <v>1656</v>
      </c>
      <c r="BF140" s="54" t="str">
        <f t="shared" ca="1" si="58"/>
        <v>Overdue</v>
      </c>
      <c r="BH140" s="3" t="s">
        <v>477</v>
      </c>
      <c r="BI140" s="51">
        <f t="shared" si="64"/>
        <v>45328</v>
      </c>
      <c r="BJ140" s="38">
        <f t="shared" ca="1" si="65"/>
        <v>659</v>
      </c>
      <c r="BK140" s="38"/>
      <c r="BL140" s="38" t="str">
        <f t="shared" si="66"/>
        <v>Q1</v>
      </c>
      <c r="BM140" s="59">
        <f t="shared" si="59"/>
        <v>45621</v>
      </c>
      <c r="BN140" s="51">
        <f t="shared" si="67"/>
        <v>45328</v>
      </c>
      <c r="BO140" s="54">
        <f t="shared" si="60"/>
        <v>293</v>
      </c>
      <c r="BP140" s="3" t="s">
        <v>475</v>
      </c>
      <c r="BQ140" s="3" t="s">
        <v>257</v>
      </c>
      <c r="BR140" s="19" t="s">
        <v>195</v>
      </c>
      <c r="BS140" s="19" t="s">
        <v>2538</v>
      </c>
      <c r="BT140" s="54" t="str">
        <f t="shared" si="61"/>
        <v>Engineering</v>
      </c>
      <c r="BV140" s="3" t="s">
        <v>475</v>
      </c>
      <c r="BW140" s="3" t="s">
        <v>476</v>
      </c>
      <c r="BX140" s="12" t="s">
        <v>1720</v>
      </c>
      <c r="BY140" s="12" t="s">
        <v>1025</v>
      </c>
      <c r="BZ140" s="54" t="str">
        <f t="shared" si="62"/>
        <v>Aditya Dhal</v>
      </c>
      <c r="CB140" s="19" t="s">
        <v>1344</v>
      </c>
      <c r="CC140" s="3" t="s">
        <v>476</v>
      </c>
      <c r="CD140" s="3" t="s">
        <v>45</v>
      </c>
      <c r="CE140" s="54" t="str">
        <v>Accountant</v>
      </c>
      <c r="CG140" s="54" t="str">
        <f>IFERROR(_xlfn.XLOOKUP(Hiring!A140,Hiring!A140:A539,Hiring!B140:B539,,0),"Not Found")</f>
        <v>Rahul Biswal</v>
      </c>
    </row>
    <row r="141" spans="2:85">
      <c r="B141" s="100"/>
      <c r="F141" s="4">
        <v>2.8</v>
      </c>
      <c r="G141" s="52" t="str" cm="1">
        <f t="array" ref="G141">_xlfn.IFS(F141&gt;=4.5,"Excellent",AND(F141&gt;=3.5,F141&lt;=4.4),"Good",F141&lt;3.5,"Needs Improvement")</f>
        <v>Needs Improvement</v>
      </c>
      <c r="I141" s="14">
        <v>104.39</v>
      </c>
      <c r="J141" s="14">
        <v>81.61</v>
      </c>
      <c r="K141" s="54" t="str">
        <f t="shared" si="46"/>
        <v>Within Budget</v>
      </c>
      <c r="M141" s="18">
        <v>97621</v>
      </c>
      <c r="N141" s="18">
        <v>87811</v>
      </c>
      <c r="O141" s="54" t="str">
        <f t="shared" si="63"/>
        <v>Yes</v>
      </c>
      <c r="Q141" s="18">
        <v>6.88</v>
      </c>
      <c r="R141" s="56" t="str">
        <f t="shared" si="47"/>
        <v>Yes</v>
      </c>
      <c r="W141" s="18" t="s">
        <v>195</v>
      </c>
      <c r="X141" s="54" t="str">
        <f>VLOOKUP(W141,Employees!$A$1:$B$601,2,FALSE)</f>
        <v>Sangita Jena</v>
      </c>
      <c r="Z141" s="4" t="s">
        <v>478</v>
      </c>
      <c r="AA141" s="54" t="str">
        <f t="shared" si="48"/>
        <v>0140</v>
      </c>
      <c r="AC141" s="4" t="s">
        <v>84</v>
      </c>
      <c r="AD141" s="54" t="str">
        <f t="shared" si="49"/>
        <v>Hr</v>
      </c>
      <c r="AF141" s="4" t="s">
        <v>479</v>
      </c>
      <c r="AG141" s="4" t="s">
        <v>84</v>
      </c>
      <c r="AH141" s="4" t="s">
        <v>114</v>
      </c>
      <c r="AI141" s="54" t="str">
        <f t="shared" si="50"/>
        <v>Puspita Routray|HR|UtkalSoft Technologies</v>
      </c>
      <c r="AK141" s="4" t="s">
        <v>479</v>
      </c>
      <c r="AL141" s="38" t="str">
        <f t="shared" si="51"/>
        <v>P.R.</v>
      </c>
      <c r="AN141" s="18" t="s">
        <v>5019</v>
      </c>
      <c r="AO141" s="54" t="str">
        <f t="shared" si="52"/>
        <v>Linkedln</v>
      </c>
      <c r="AQ141" s="4" t="s">
        <v>479</v>
      </c>
      <c r="AR141" s="52" t="str">
        <f t="shared" si="53"/>
        <v>NO</v>
      </c>
      <c r="AT141" s="14" t="s">
        <v>1699</v>
      </c>
      <c r="AU141" s="54">
        <f t="shared" si="54"/>
        <v>18</v>
      </c>
      <c r="AW141" s="54">
        <f ca="1">DATEDIF(BI141,TODAY(),"Y")</f>
        <v>2</v>
      </c>
      <c r="AX141" s="54"/>
      <c r="AY141" s="41" t="s">
        <v>5300</v>
      </c>
      <c r="AZ141" s="44">
        <f t="shared" si="55"/>
        <v>44952</v>
      </c>
      <c r="BA141" s="54" t="str">
        <f t="shared" si="56"/>
        <v>1-2023</v>
      </c>
      <c r="BC141" s="15" t="s">
        <v>1824</v>
      </c>
      <c r="BD141" s="13">
        <f t="shared" si="57"/>
        <v>45060</v>
      </c>
      <c r="BE141" s="46" t="s">
        <v>1656</v>
      </c>
      <c r="BF141" s="54" t="str">
        <f t="shared" ca="1" si="58"/>
        <v>Overdue</v>
      </c>
      <c r="BH141" s="4" t="s">
        <v>480</v>
      </c>
      <c r="BI141" s="51">
        <f t="shared" si="64"/>
        <v>45195</v>
      </c>
      <c r="BJ141" s="38">
        <f t="shared" ca="1" si="65"/>
        <v>754</v>
      </c>
      <c r="BK141" s="38"/>
      <c r="BL141" s="38" t="str">
        <f t="shared" si="66"/>
        <v>No</v>
      </c>
      <c r="BM141" s="59">
        <f t="shared" si="59"/>
        <v>44952</v>
      </c>
      <c r="BN141" s="51">
        <f t="shared" si="67"/>
        <v>45195</v>
      </c>
      <c r="BO141" s="54">
        <f t="shared" si="60"/>
        <v>243</v>
      </c>
      <c r="BP141" s="4" t="s">
        <v>478</v>
      </c>
      <c r="BQ141" s="4" t="s">
        <v>84</v>
      </c>
      <c r="BR141" s="18" t="s">
        <v>195</v>
      </c>
      <c r="BS141" s="18" t="s">
        <v>2540</v>
      </c>
      <c r="BT141" s="54" t="str">
        <f t="shared" si="61"/>
        <v>Engineering</v>
      </c>
      <c r="BV141" s="4" t="s">
        <v>478</v>
      </c>
      <c r="BW141" s="4" t="s">
        <v>479</v>
      </c>
      <c r="BX141" s="14" t="s">
        <v>1699</v>
      </c>
      <c r="BY141" s="14" t="s">
        <v>892</v>
      </c>
      <c r="BZ141" s="54" t="str">
        <f t="shared" si="62"/>
        <v>Tanmay Pattnaik</v>
      </c>
      <c r="CB141" s="18" t="s">
        <v>5299</v>
      </c>
      <c r="CC141" s="4" t="s">
        <v>479</v>
      </c>
      <c r="CD141" s="4" t="s">
        <v>85</v>
      </c>
      <c r="CE141" s="54" t="str">
        <v>Not Found</v>
      </c>
      <c r="CG141" s="54" t="str">
        <f>IFERROR(_xlfn.XLOOKUP(Hiring!A141,Hiring!A141:A540,Hiring!B141:B540,,0),"Not Found")</f>
        <v>Smita Sahoo</v>
      </c>
    </row>
    <row r="142" spans="2:85">
      <c r="B142" s="100"/>
      <c r="F142" s="3">
        <v>4.2</v>
      </c>
      <c r="G142" s="52" t="str" cm="1">
        <f t="array" ref="G142">_xlfn.IFS(F142&gt;=4.5,"Excellent",AND(F142&gt;=3.5,F142&lt;=4.4),"Good",F142&lt;3.5,"Needs Improvement")</f>
        <v>Good</v>
      </c>
      <c r="I142" s="12">
        <v>134.94</v>
      </c>
      <c r="J142" s="12">
        <v>125.68</v>
      </c>
      <c r="K142" s="54" t="str">
        <f t="shared" si="46"/>
        <v>Within Budget</v>
      </c>
      <c r="M142" s="19">
        <v>65414</v>
      </c>
      <c r="N142" s="19">
        <v>72810</v>
      </c>
      <c r="O142" s="54" t="str">
        <f t="shared" si="63"/>
        <v>Yes</v>
      </c>
      <c r="Q142" s="19">
        <v>9.65</v>
      </c>
      <c r="R142" s="56" t="str">
        <f t="shared" si="47"/>
        <v>Yes</v>
      </c>
      <c r="W142" s="19" t="s">
        <v>195</v>
      </c>
      <c r="X142" s="54" t="str">
        <f>VLOOKUP(W142,Employees!$A$1:$B$601,2,FALSE)</f>
        <v>Sangita Jena</v>
      </c>
      <c r="Z142" s="3" t="s">
        <v>481</v>
      </c>
      <c r="AA142" s="54" t="str">
        <f t="shared" si="48"/>
        <v>0141</v>
      </c>
      <c r="AC142" s="3" t="s">
        <v>89</v>
      </c>
      <c r="AD142" s="54" t="str">
        <f t="shared" si="49"/>
        <v>Data Science</v>
      </c>
      <c r="AF142" s="3" t="s">
        <v>482</v>
      </c>
      <c r="AG142" s="3" t="s">
        <v>89</v>
      </c>
      <c r="AH142" s="3" t="s">
        <v>149</v>
      </c>
      <c r="AI142" s="54" t="str">
        <f t="shared" si="50"/>
        <v>Alka Senapati|Data Science|SilverByte Systems</v>
      </c>
      <c r="AK142" s="3" t="s">
        <v>482</v>
      </c>
      <c r="AL142" s="38" t="str">
        <f t="shared" si="51"/>
        <v>A.S.</v>
      </c>
      <c r="AN142" s="19" t="s">
        <v>5060</v>
      </c>
      <c r="AO142" s="54" t="str">
        <f t="shared" si="52"/>
        <v>Naukri</v>
      </c>
      <c r="AQ142" s="3" t="s">
        <v>482</v>
      </c>
      <c r="AR142" s="52" t="str">
        <f t="shared" si="53"/>
        <v>NO</v>
      </c>
      <c r="AT142" s="12" t="s">
        <v>1653</v>
      </c>
      <c r="AU142" s="54">
        <f t="shared" si="54"/>
        <v>19</v>
      </c>
      <c r="AW142" s="54">
        <f ca="1">DATEDIF(BI142,TODAY(),"Y")</f>
        <v>5</v>
      </c>
      <c r="AX142" s="54"/>
      <c r="AY142" s="40" t="s">
        <v>5303</v>
      </c>
      <c r="AZ142" s="44">
        <f t="shared" si="55"/>
        <v>45402</v>
      </c>
      <c r="BA142" s="54" t="str">
        <f t="shared" si="56"/>
        <v>4-2024</v>
      </c>
      <c r="BC142" s="13" t="s">
        <v>2009</v>
      </c>
      <c r="BD142" s="13">
        <f t="shared" si="57"/>
        <v>44904</v>
      </c>
      <c r="BE142" s="45" t="s">
        <v>1638</v>
      </c>
      <c r="BF142" s="54" t="str">
        <f t="shared" ca="1" si="58"/>
        <v>On Track</v>
      </c>
      <c r="BH142" s="3" t="s">
        <v>483</v>
      </c>
      <c r="BI142" s="51">
        <f t="shared" si="64"/>
        <v>44244</v>
      </c>
      <c r="BJ142" s="38">
        <f t="shared" ca="1" si="65"/>
        <v>1433</v>
      </c>
      <c r="BK142" s="38"/>
      <c r="BL142" s="38" t="str">
        <f t="shared" si="66"/>
        <v>Q1</v>
      </c>
      <c r="BM142" s="59">
        <f t="shared" si="59"/>
        <v>45402</v>
      </c>
      <c r="BN142" s="51">
        <f t="shared" si="67"/>
        <v>44244</v>
      </c>
      <c r="BO142" s="54">
        <f t="shared" si="60"/>
        <v>1158</v>
      </c>
      <c r="BP142" s="3" t="s">
        <v>481</v>
      </c>
      <c r="BQ142" s="3" t="s">
        <v>89</v>
      </c>
      <c r="BR142" s="19" t="s">
        <v>195</v>
      </c>
      <c r="BS142" s="19" t="s">
        <v>2543</v>
      </c>
      <c r="BT142" s="54" t="str">
        <f t="shared" si="61"/>
        <v>Engineering</v>
      </c>
      <c r="BV142" s="3" t="s">
        <v>481</v>
      </c>
      <c r="BW142" s="3" t="s">
        <v>482</v>
      </c>
      <c r="BX142" s="12" t="s">
        <v>1653</v>
      </c>
      <c r="BY142" s="12" t="s">
        <v>393</v>
      </c>
      <c r="BZ142" s="54" t="str">
        <f t="shared" si="62"/>
        <v>Debasmita Sahoo</v>
      </c>
      <c r="CB142" s="19" t="s">
        <v>5302</v>
      </c>
      <c r="CC142" s="3" t="s">
        <v>482</v>
      </c>
      <c r="CD142" s="3" t="s">
        <v>90</v>
      </c>
      <c r="CE142" s="54" t="str">
        <v>Not Found</v>
      </c>
      <c r="CG142" s="54" t="str">
        <f>IFERROR(_xlfn.XLOOKUP(Hiring!A142,Hiring!A142:A541,Hiring!B142:B541,,0),"Not Found")</f>
        <v>Sangita Sahoo</v>
      </c>
    </row>
    <row r="143" spans="2:85">
      <c r="B143" s="100"/>
      <c r="F143" s="4">
        <v>4</v>
      </c>
      <c r="G143" s="52" t="str" cm="1">
        <f t="array" ref="G143">_xlfn.IFS(F143&gt;=4.5,"Excellent",AND(F143&gt;=3.5,F143&lt;=4.4),"Good",F143&lt;3.5,"Needs Improvement")</f>
        <v>Good</v>
      </c>
      <c r="I143" s="14">
        <v>131.41999999999999</v>
      </c>
      <c r="J143" s="14">
        <v>107.59</v>
      </c>
      <c r="K143" s="54" t="str">
        <f t="shared" si="46"/>
        <v>Within Budget</v>
      </c>
      <c r="M143" s="18"/>
      <c r="N143" s="18">
        <v>121538</v>
      </c>
      <c r="O143" s="54" t="str">
        <f t="shared" si="63"/>
        <v>Yes</v>
      </c>
      <c r="Q143" s="18">
        <v>11.14</v>
      </c>
      <c r="R143" s="56" t="str">
        <f t="shared" si="47"/>
        <v>Yes</v>
      </c>
      <c r="W143" s="18" t="s">
        <v>195</v>
      </c>
      <c r="X143" s="54" t="str">
        <f>VLOOKUP(W143,Employees!$A$1:$B$601,2,FALSE)</f>
        <v>Sangita Jena</v>
      </c>
      <c r="Z143" s="4" t="s">
        <v>484</v>
      </c>
      <c r="AA143" s="54" t="str">
        <f t="shared" si="48"/>
        <v>0142</v>
      </c>
      <c r="AC143" s="4" t="s">
        <v>133</v>
      </c>
      <c r="AD143" s="54" t="str">
        <f t="shared" si="49"/>
        <v>Qa</v>
      </c>
      <c r="AF143" s="4" t="s">
        <v>485</v>
      </c>
      <c r="AG143" s="4" t="s">
        <v>133</v>
      </c>
      <c r="AH143" s="4" t="s">
        <v>70</v>
      </c>
      <c r="AI143" s="54" t="str">
        <f t="shared" si="50"/>
        <v>Satyajit Dhal|QA|OdishaCode Labs</v>
      </c>
      <c r="AK143" s="4" t="s">
        <v>485</v>
      </c>
      <c r="AL143" s="38" t="str">
        <f t="shared" si="51"/>
        <v>S.D.</v>
      </c>
      <c r="AN143" s="18" t="s">
        <v>5019</v>
      </c>
      <c r="AO143" s="54" t="str">
        <f t="shared" si="52"/>
        <v>Linkedln</v>
      </c>
      <c r="AQ143" s="4" t="s">
        <v>485</v>
      </c>
      <c r="AR143" s="52" t="str">
        <f t="shared" si="53"/>
        <v>NO</v>
      </c>
      <c r="AT143" s="14" t="s">
        <v>1720</v>
      </c>
      <c r="AU143" s="54">
        <f t="shared" si="54"/>
        <v>10</v>
      </c>
      <c r="AW143" s="54">
        <f ca="1">DATEDIF(BI143,TODAY(),"Y")</f>
        <v>6</v>
      </c>
      <c r="AX143" s="54"/>
      <c r="AY143" s="41" t="s">
        <v>2005</v>
      </c>
      <c r="AZ143" s="44">
        <f t="shared" si="55"/>
        <v>45140</v>
      </c>
      <c r="BA143" s="54" t="str">
        <f t="shared" si="56"/>
        <v>8-2023</v>
      </c>
      <c r="BC143" s="15" t="s">
        <v>2013</v>
      </c>
      <c r="BD143" s="13">
        <f t="shared" si="57"/>
        <v>45802</v>
      </c>
      <c r="BE143" s="46" t="s">
        <v>1656</v>
      </c>
      <c r="BF143" s="54" t="str">
        <f t="shared" ca="1" si="58"/>
        <v>Overdue</v>
      </c>
      <c r="BH143" s="4" t="s">
        <v>487</v>
      </c>
      <c r="BI143" s="51">
        <f t="shared" si="64"/>
        <v>43820</v>
      </c>
      <c r="BJ143" s="38">
        <f t="shared" ca="1" si="65"/>
        <v>1735</v>
      </c>
      <c r="BK143" s="38"/>
      <c r="BL143" s="38" t="str">
        <f t="shared" si="66"/>
        <v>No</v>
      </c>
      <c r="BM143" s="59">
        <f t="shared" si="59"/>
        <v>45140</v>
      </c>
      <c r="BN143" s="51">
        <f t="shared" si="67"/>
        <v>43820</v>
      </c>
      <c r="BO143" s="54">
        <f t="shared" si="60"/>
        <v>1320</v>
      </c>
      <c r="BP143" s="4" t="s">
        <v>484</v>
      </c>
      <c r="BQ143" s="4" t="s">
        <v>133</v>
      </c>
      <c r="BR143" s="18" t="s">
        <v>195</v>
      </c>
      <c r="BS143" s="18" t="s">
        <v>2544</v>
      </c>
      <c r="BT143" s="54" t="str">
        <f t="shared" si="61"/>
        <v>Engineering</v>
      </c>
      <c r="BV143" s="4" t="s">
        <v>484</v>
      </c>
      <c r="BW143" s="4" t="s">
        <v>485</v>
      </c>
      <c r="BX143" s="14" t="s">
        <v>1720</v>
      </c>
      <c r="BY143" s="14" t="s">
        <v>991</v>
      </c>
      <c r="BZ143" s="54" t="str">
        <f t="shared" si="62"/>
        <v>Lipsa Routray</v>
      </c>
      <c r="CB143" s="18" t="s">
        <v>5305</v>
      </c>
      <c r="CC143" s="4" t="s">
        <v>485</v>
      </c>
      <c r="CD143" s="4" t="s">
        <v>486</v>
      </c>
      <c r="CE143" s="54" t="str">
        <v>Not Found</v>
      </c>
      <c r="CG143" s="54" t="str">
        <f>IFERROR(_xlfn.XLOOKUP(Hiring!A143,Hiring!A143:A542,Hiring!B143:B542,,0),"Not Found")</f>
        <v>Nirmal Mahapatra</v>
      </c>
    </row>
    <row r="144" spans="2:85">
      <c r="B144" s="100"/>
      <c r="F144" s="3">
        <v>1.7</v>
      </c>
      <c r="G144" s="52" t="str" cm="1">
        <f t="array" ref="G144">_xlfn.IFS(F144&gt;=4.5,"Excellent",AND(F144&gt;=3.5,F144&lt;=4.4),"Good",F144&lt;3.5,"Needs Improvement")</f>
        <v>Needs Improvement</v>
      </c>
      <c r="I144" s="12">
        <v>188.15</v>
      </c>
      <c r="J144" s="12">
        <v>206.8</v>
      </c>
      <c r="K144" s="54" t="str">
        <f t="shared" si="46"/>
        <v>Over Budget</v>
      </c>
      <c r="M144" s="19"/>
      <c r="N144" s="19">
        <v>87088</v>
      </c>
      <c r="O144" s="54" t="str">
        <f t="shared" si="63"/>
        <v>Yes</v>
      </c>
      <c r="Q144" s="19">
        <v>10.71</v>
      </c>
      <c r="R144" s="56" t="str">
        <f t="shared" si="47"/>
        <v>Yes</v>
      </c>
      <c r="W144" s="19" t="s">
        <v>195</v>
      </c>
      <c r="X144" s="54" t="str">
        <f>VLOOKUP(W144,Employees!$A$1:$B$601,2,FALSE)</f>
        <v>Sangita Jena</v>
      </c>
      <c r="Z144" s="3" t="s">
        <v>488</v>
      </c>
      <c r="AA144" s="54" t="str">
        <f t="shared" si="48"/>
        <v>0143</v>
      </c>
      <c r="AC144" s="3" t="s">
        <v>16</v>
      </c>
      <c r="AD144" s="54" t="str">
        <f t="shared" si="49"/>
        <v>Devops</v>
      </c>
      <c r="AF144" s="3" t="s">
        <v>375</v>
      </c>
      <c r="AG144" s="3" t="s">
        <v>16</v>
      </c>
      <c r="AH144" s="3" t="s">
        <v>46</v>
      </c>
      <c r="AI144" s="54" t="str">
        <f t="shared" si="50"/>
        <v>Sangita Parida|DevOps|SambalpurNet</v>
      </c>
      <c r="AK144" s="3" t="s">
        <v>375</v>
      </c>
      <c r="AL144" s="38" t="str">
        <f t="shared" si="51"/>
        <v>S.P.</v>
      </c>
      <c r="AN144" s="19" t="s">
        <v>5025</v>
      </c>
      <c r="AO144" s="54" t="b">
        <f t="shared" si="52"/>
        <v>0</v>
      </c>
      <c r="AQ144" s="3" t="s">
        <v>375</v>
      </c>
      <c r="AR144" s="52" t="str">
        <f t="shared" si="53"/>
        <v>NO</v>
      </c>
      <c r="AT144" s="12" t="s">
        <v>1763</v>
      </c>
      <c r="AU144" s="54">
        <f t="shared" si="54"/>
        <v>19</v>
      </c>
      <c r="AW144" s="54">
        <f ca="1">DATEDIF(BI144,TODAY(),"Y")</f>
        <v>4</v>
      </c>
      <c r="AX144" s="54"/>
      <c r="AY144" s="40" t="s">
        <v>1272</v>
      </c>
      <c r="AZ144" s="44">
        <f t="shared" si="55"/>
        <v>45177</v>
      </c>
      <c r="BA144" s="54" t="str">
        <f t="shared" si="56"/>
        <v>9-2023</v>
      </c>
      <c r="BC144" s="13" t="s">
        <v>2016</v>
      </c>
      <c r="BD144" s="13">
        <f t="shared" si="57"/>
        <v>44838</v>
      </c>
      <c r="BE144" s="45" t="s">
        <v>1656</v>
      </c>
      <c r="BF144" s="54" t="str">
        <f t="shared" ca="1" si="58"/>
        <v>Overdue</v>
      </c>
      <c r="BH144" s="3" t="s">
        <v>489</v>
      </c>
      <c r="BI144" s="51">
        <f t="shared" si="64"/>
        <v>44500</v>
      </c>
      <c r="BJ144" s="38">
        <f t="shared" ca="1" si="65"/>
        <v>1250</v>
      </c>
      <c r="BK144" s="38"/>
      <c r="BL144" s="38" t="str">
        <f t="shared" si="66"/>
        <v>No</v>
      </c>
      <c r="BM144" s="59">
        <f t="shared" si="59"/>
        <v>45177</v>
      </c>
      <c r="BN144" s="51">
        <f t="shared" si="67"/>
        <v>44500</v>
      </c>
      <c r="BO144" s="54">
        <f t="shared" si="60"/>
        <v>677</v>
      </c>
      <c r="BP144" s="3" t="s">
        <v>488</v>
      </c>
      <c r="BQ144" s="3" t="s">
        <v>16</v>
      </c>
      <c r="BR144" s="19" t="s">
        <v>195</v>
      </c>
      <c r="BS144" s="19" t="s">
        <v>2547</v>
      </c>
      <c r="BT144" s="54" t="str">
        <f t="shared" si="61"/>
        <v>Engineering</v>
      </c>
      <c r="BV144" s="3" t="s">
        <v>488</v>
      </c>
      <c r="BW144" s="3" t="s">
        <v>375</v>
      </c>
      <c r="BX144" s="12" t="s">
        <v>1763</v>
      </c>
      <c r="BY144" s="12" t="s">
        <v>1315</v>
      </c>
      <c r="BZ144" s="54" t="str">
        <f t="shared" si="62"/>
        <v>Satyajit Biswal</v>
      </c>
      <c r="CB144" s="19" t="s">
        <v>5307</v>
      </c>
      <c r="CC144" s="3" t="s">
        <v>375</v>
      </c>
      <c r="CD144" s="3" t="s">
        <v>98</v>
      </c>
      <c r="CE144" s="54" t="str">
        <v>Not Found</v>
      </c>
      <c r="CG144" s="54" t="str">
        <f>IFERROR(_xlfn.XLOOKUP(Hiring!A144,Hiring!A144:A543,Hiring!B144:B543,,0),"Not Found")</f>
        <v>Jyotirmayee Choudhury</v>
      </c>
    </row>
    <row r="145" spans="2:85">
      <c r="B145" s="100"/>
      <c r="F145" s="4">
        <v>2.1</v>
      </c>
      <c r="G145" s="52" t="str" cm="1">
        <f t="array" ref="G145">_xlfn.IFS(F145&gt;=4.5,"Excellent",AND(F145&gt;=3.5,F145&lt;=4.4),"Good",F145&lt;3.5,"Needs Improvement")</f>
        <v>Needs Improvement</v>
      </c>
      <c r="I145" s="14">
        <v>106.36</v>
      </c>
      <c r="J145" s="14">
        <v>129.38</v>
      </c>
      <c r="K145" s="54" t="str">
        <f t="shared" si="46"/>
        <v>Over Budget</v>
      </c>
      <c r="M145" s="18">
        <v>151011</v>
      </c>
      <c r="N145" s="18">
        <v>168283</v>
      </c>
      <c r="O145" s="54" t="str">
        <f t="shared" si="63"/>
        <v>Yes</v>
      </c>
      <c r="Q145" s="18">
        <v>8.8000000000000007</v>
      </c>
      <c r="R145" s="56" t="str">
        <f t="shared" si="47"/>
        <v>Yes</v>
      </c>
      <c r="W145" s="18" t="s">
        <v>195</v>
      </c>
      <c r="X145" s="54" t="str">
        <f>VLOOKUP(W145,Employees!$A$1:$B$601,2,FALSE)</f>
        <v>Sangita Jena</v>
      </c>
      <c r="Z145" s="4" t="s">
        <v>490</v>
      </c>
      <c r="AA145" s="54" t="str">
        <f t="shared" si="48"/>
        <v>0144</v>
      </c>
      <c r="AC145" s="4" t="s">
        <v>133</v>
      </c>
      <c r="AD145" s="54" t="str">
        <f t="shared" si="49"/>
        <v>Qa</v>
      </c>
      <c r="AF145" s="4" t="s">
        <v>468</v>
      </c>
      <c r="AG145" s="4" t="s">
        <v>133</v>
      </c>
      <c r="AH145" s="4" t="s">
        <v>26</v>
      </c>
      <c r="AI145" s="54" t="str">
        <f t="shared" si="50"/>
        <v>Dibya Behura|QA|InfySoft Bhubaneswar</v>
      </c>
      <c r="AK145" s="4" t="s">
        <v>468</v>
      </c>
      <c r="AL145" s="38" t="str">
        <f t="shared" si="51"/>
        <v>D.B.</v>
      </c>
      <c r="AN145" s="18" t="s">
        <v>5060</v>
      </c>
      <c r="AO145" s="54" t="str">
        <f t="shared" si="52"/>
        <v>Naukri</v>
      </c>
      <c r="AQ145" s="4" t="s">
        <v>468</v>
      </c>
      <c r="AR145" s="52" t="str">
        <f t="shared" si="53"/>
        <v>NO</v>
      </c>
      <c r="AT145" s="14" t="s">
        <v>1786</v>
      </c>
      <c r="AU145" s="54">
        <f t="shared" si="54"/>
        <v>15</v>
      </c>
      <c r="AW145" s="54">
        <f ca="1">DATEDIF(BI145,TODAY(),"Y")</f>
        <v>6</v>
      </c>
      <c r="AX145" s="54"/>
      <c r="AY145" s="41" t="s">
        <v>5309</v>
      </c>
      <c r="AZ145" s="44">
        <f t="shared" si="55"/>
        <v>45242</v>
      </c>
      <c r="BA145" s="54" t="str">
        <f t="shared" si="56"/>
        <v>11-2023</v>
      </c>
      <c r="BC145" s="15" t="s">
        <v>2019</v>
      </c>
      <c r="BD145" s="13">
        <f t="shared" si="57"/>
        <v>45870</v>
      </c>
      <c r="BE145" s="46" t="s">
        <v>1614</v>
      </c>
      <c r="BF145" s="54" t="str">
        <f t="shared" ca="1" si="58"/>
        <v>Overdue</v>
      </c>
      <c r="BH145" s="4" t="s">
        <v>491</v>
      </c>
      <c r="BI145" s="51">
        <f t="shared" si="64"/>
        <v>43932</v>
      </c>
      <c r="BJ145" s="38">
        <f t="shared" ca="1" si="65"/>
        <v>1655</v>
      </c>
      <c r="BK145" s="38"/>
      <c r="BL145" s="38" t="str">
        <f t="shared" si="66"/>
        <v>No</v>
      </c>
      <c r="BM145" s="59">
        <f t="shared" si="59"/>
        <v>45242</v>
      </c>
      <c r="BN145" s="51">
        <f t="shared" si="67"/>
        <v>43932</v>
      </c>
      <c r="BO145" s="54">
        <f t="shared" si="60"/>
        <v>1310</v>
      </c>
      <c r="BP145" s="4" t="s">
        <v>490</v>
      </c>
      <c r="BQ145" s="4" t="s">
        <v>133</v>
      </c>
      <c r="BR145" s="18" t="s">
        <v>195</v>
      </c>
      <c r="BS145" s="18" t="s">
        <v>2550</v>
      </c>
      <c r="BT145" s="54" t="str">
        <f t="shared" si="61"/>
        <v>Engineering</v>
      </c>
      <c r="BV145" s="4" t="s">
        <v>490</v>
      </c>
      <c r="BW145" s="4" t="s">
        <v>468</v>
      </c>
      <c r="BX145" s="14" t="s">
        <v>1786</v>
      </c>
      <c r="BY145" s="14" t="s">
        <v>911</v>
      </c>
      <c r="BZ145" s="54" t="str">
        <f t="shared" si="62"/>
        <v>Subhasree Jena</v>
      </c>
      <c r="CB145" s="18" t="s">
        <v>1447</v>
      </c>
      <c r="CC145" s="4" t="s">
        <v>468</v>
      </c>
      <c r="CD145" s="4" t="s">
        <v>153</v>
      </c>
      <c r="CE145" s="54" t="str">
        <v>Finance Analyst</v>
      </c>
      <c r="CG145" s="54" t="str">
        <f>IFERROR(_xlfn.XLOOKUP(Hiring!A145,Hiring!A145:A544,Hiring!B145:B544,,0),"Not Found")</f>
        <v>Ankita Choudhury</v>
      </c>
    </row>
    <row r="146" spans="2:85">
      <c r="B146" s="100"/>
      <c r="F146" s="3">
        <v>3</v>
      </c>
      <c r="G146" s="52" t="str" cm="1">
        <f t="array" ref="G146">_xlfn.IFS(F146&gt;=4.5,"Excellent",AND(F146&gt;=3.5,F146&lt;=4.4),"Good",F146&lt;3.5,"Needs Improvement")</f>
        <v>Needs Improvement</v>
      </c>
      <c r="I146" s="12">
        <v>56.48</v>
      </c>
      <c r="J146" s="12">
        <v>60.67</v>
      </c>
      <c r="K146" s="54" t="str">
        <f t="shared" si="46"/>
        <v>Over Budget</v>
      </c>
      <c r="M146" s="19">
        <v>109021</v>
      </c>
      <c r="N146" s="19">
        <v>96585</v>
      </c>
      <c r="O146" s="54" t="str">
        <f t="shared" si="63"/>
        <v>Yes</v>
      </c>
      <c r="Q146" s="19">
        <v>7.46</v>
      </c>
      <c r="R146" s="56" t="str">
        <f t="shared" si="47"/>
        <v>Yes</v>
      </c>
      <c r="W146" s="19" t="s">
        <v>195</v>
      </c>
      <c r="X146" s="54" t="str">
        <f>VLOOKUP(W146,Employees!$A$1:$B$601,2,FALSE)</f>
        <v>Sangita Jena</v>
      </c>
      <c r="Z146" s="3" t="s">
        <v>492</v>
      </c>
      <c r="AA146" s="54" t="str">
        <f t="shared" si="48"/>
        <v>0145</v>
      </c>
      <c r="AC146" s="3" t="s">
        <v>493</v>
      </c>
      <c r="AD146" s="54" t="str">
        <f t="shared" si="49"/>
        <v>Marketing</v>
      </c>
      <c r="AF146" s="3" t="s">
        <v>82</v>
      </c>
      <c r="AG146" s="3" t="s">
        <v>493</v>
      </c>
      <c r="AH146" s="3" t="s">
        <v>114</v>
      </c>
      <c r="AI146" s="54" t="str">
        <f t="shared" si="50"/>
        <v>Puspita Mahapatra|marketing|UtkalSoft Technologies</v>
      </c>
      <c r="AK146" s="3" t="s">
        <v>82</v>
      </c>
      <c r="AL146" s="38" t="str">
        <f t="shared" si="51"/>
        <v>P.M.</v>
      </c>
      <c r="AN146" s="19" t="s">
        <v>5016</v>
      </c>
      <c r="AO146" s="54" t="b">
        <f t="shared" si="52"/>
        <v>0</v>
      </c>
      <c r="AQ146" s="3" t="s">
        <v>82</v>
      </c>
      <c r="AR146" s="52" t="str">
        <f t="shared" si="53"/>
        <v>NO</v>
      </c>
      <c r="AT146" s="12" t="s">
        <v>1621</v>
      </c>
      <c r="AU146" s="54">
        <f t="shared" si="54"/>
        <v>24</v>
      </c>
      <c r="AW146" s="54">
        <f ca="1">DATEDIF(BI146,TODAY(),"Y")</f>
        <v>2</v>
      </c>
      <c r="AX146" s="54"/>
      <c r="AY146" s="40" t="s">
        <v>5198</v>
      </c>
      <c r="AZ146" s="44">
        <f t="shared" si="55"/>
        <v>45150</v>
      </c>
      <c r="BA146" s="54" t="str">
        <f t="shared" si="56"/>
        <v>8-2023</v>
      </c>
      <c r="BC146" s="13" t="s">
        <v>2022</v>
      </c>
      <c r="BD146" s="13">
        <f t="shared" si="57"/>
        <v>44565</v>
      </c>
      <c r="BE146" s="45" t="s">
        <v>1625</v>
      </c>
      <c r="BF146" s="54" t="str">
        <f t="shared" ca="1" si="58"/>
        <v>Overdue</v>
      </c>
      <c r="BH146" s="3" t="s">
        <v>494</v>
      </c>
      <c r="BI146" s="51">
        <f t="shared" si="64"/>
        <v>45164</v>
      </c>
      <c r="BJ146" s="38">
        <f t="shared" ca="1" si="65"/>
        <v>775</v>
      </c>
      <c r="BK146" s="38"/>
      <c r="BL146" s="38" t="str">
        <f t="shared" si="66"/>
        <v>No</v>
      </c>
      <c r="BM146" s="59">
        <f t="shared" si="59"/>
        <v>45150</v>
      </c>
      <c r="BN146" s="51">
        <f t="shared" si="67"/>
        <v>45164</v>
      </c>
      <c r="BO146" s="54">
        <f t="shared" si="60"/>
        <v>14</v>
      </c>
      <c r="BP146" s="3" t="s">
        <v>492</v>
      </c>
      <c r="BQ146" s="3" t="s">
        <v>493</v>
      </c>
      <c r="BR146" s="19" t="s">
        <v>195</v>
      </c>
      <c r="BS146" s="19" t="s">
        <v>2552</v>
      </c>
      <c r="BT146" s="54" t="str">
        <f t="shared" si="61"/>
        <v>Engineering</v>
      </c>
      <c r="BV146" s="3" t="s">
        <v>492</v>
      </c>
      <c r="BW146" s="3" t="s">
        <v>82</v>
      </c>
      <c r="BX146" s="12" t="s">
        <v>1621</v>
      </c>
      <c r="BY146" s="12" t="s">
        <v>1269</v>
      </c>
      <c r="BZ146" s="54" t="str">
        <f t="shared" si="62"/>
        <v>Soumya Padhi</v>
      </c>
      <c r="CB146" s="19" t="s">
        <v>217</v>
      </c>
      <c r="CC146" s="3" t="s">
        <v>82</v>
      </c>
      <c r="CD146" s="3" t="s">
        <v>254</v>
      </c>
      <c r="CE146" s="54" t="str">
        <v>Business Developer</v>
      </c>
      <c r="CG146" s="54" t="str">
        <f>IFERROR(_xlfn.XLOOKUP(Hiring!A146,Hiring!A146:A545,Hiring!B146:B545,,0),"Not Found")</f>
        <v>Sangita Biswal</v>
      </c>
    </row>
    <row r="147" spans="2:85">
      <c r="B147" s="100"/>
      <c r="F147" s="4">
        <v>2.2000000000000002</v>
      </c>
      <c r="G147" s="52" t="str" cm="1">
        <f t="array" ref="G147">_xlfn.IFS(F147&gt;=4.5,"Excellent",AND(F147&gt;=3.5,F147&lt;=4.4),"Good",F147&lt;3.5,"Needs Improvement")</f>
        <v>Needs Improvement</v>
      </c>
      <c r="I147" s="14">
        <v>116.82</v>
      </c>
      <c r="J147" s="14">
        <v>100.79</v>
      </c>
      <c r="K147" s="54" t="str">
        <f t="shared" si="46"/>
        <v>Within Budget</v>
      </c>
      <c r="M147" s="18">
        <v>57764</v>
      </c>
      <c r="N147" s="18">
        <v>67947</v>
      </c>
      <c r="O147" s="54" t="str">
        <f t="shared" si="63"/>
        <v>Yes</v>
      </c>
      <c r="Q147" s="18">
        <v>11.49</v>
      </c>
      <c r="R147" s="56" t="str">
        <f t="shared" si="47"/>
        <v>Yes</v>
      </c>
      <c r="W147" s="18" t="s">
        <v>195</v>
      </c>
      <c r="X147" s="54" t="str">
        <f>VLOOKUP(W147,Employees!$A$1:$B$601,2,FALSE)</f>
        <v>Sangita Jena</v>
      </c>
      <c r="Z147" s="4" t="s">
        <v>495</v>
      </c>
      <c r="AA147" s="54" t="str">
        <f t="shared" si="48"/>
        <v>0146</v>
      </c>
      <c r="AC147" s="4" t="s">
        <v>39</v>
      </c>
      <c r="AD147" s="54" t="str">
        <f t="shared" si="49"/>
        <v>Engineering</v>
      </c>
      <c r="AF147" s="4" t="s">
        <v>496</v>
      </c>
      <c r="AG147" s="4" t="s">
        <v>39</v>
      </c>
      <c r="AH147" s="4" t="s">
        <v>114</v>
      </c>
      <c r="AI147" s="54" t="str">
        <f t="shared" si="50"/>
        <v>Alka Choudhury|Engineering|UtkalSoft Technologies</v>
      </c>
      <c r="AK147" s="4" t="s">
        <v>496</v>
      </c>
      <c r="AL147" s="38" t="str">
        <f t="shared" si="51"/>
        <v>A.C.</v>
      </c>
      <c r="AN147" s="18" t="s">
        <v>5060</v>
      </c>
      <c r="AO147" s="54" t="str">
        <f t="shared" si="52"/>
        <v>Naukri</v>
      </c>
      <c r="AQ147" s="4" t="s">
        <v>496</v>
      </c>
      <c r="AR147" s="52" t="str">
        <f t="shared" si="53"/>
        <v>NO</v>
      </c>
      <c r="AT147" s="14" t="s">
        <v>1729</v>
      </c>
      <c r="AU147" s="54">
        <f t="shared" si="54"/>
        <v>18</v>
      </c>
      <c r="AW147" s="54">
        <f ca="1">DATEDIF(BI147,TODAY(),"Y")</f>
        <v>5</v>
      </c>
      <c r="AX147" s="54"/>
      <c r="AY147" s="41" t="s">
        <v>5312</v>
      </c>
      <c r="AZ147" s="44">
        <f t="shared" si="55"/>
        <v>45457</v>
      </c>
      <c r="BA147" s="54" t="str">
        <f t="shared" si="56"/>
        <v>6-2024</v>
      </c>
      <c r="BC147" s="15" t="s">
        <v>2024</v>
      </c>
      <c r="BD147" s="13">
        <f t="shared" si="57"/>
        <v>44879</v>
      </c>
      <c r="BE147" s="46" t="s">
        <v>1656</v>
      </c>
      <c r="BF147" s="54" t="str">
        <f t="shared" ca="1" si="58"/>
        <v>Overdue</v>
      </c>
      <c r="BH147" s="4" t="s">
        <v>497</v>
      </c>
      <c r="BI147" s="51">
        <f t="shared" si="64"/>
        <v>44297</v>
      </c>
      <c r="BJ147" s="38">
        <f t="shared" ca="1" si="65"/>
        <v>1395</v>
      </c>
      <c r="BK147" s="38"/>
      <c r="BL147" s="38" t="str">
        <f t="shared" si="66"/>
        <v>No</v>
      </c>
      <c r="BM147" s="59">
        <f t="shared" si="59"/>
        <v>45457</v>
      </c>
      <c r="BN147" s="51">
        <f t="shared" si="67"/>
        <v>44297</v>
      </c>
      <c r="BO147" s="54">
        <f t="shared" si="60"/>
        <v>1160</v>
      </c>
      <c r="BP147" s="4" t="s">
        <v>495</v>
      </c>
      <c r="BQ147" s="4" t="s">
        <v>39</v>
      </c>
      <c r="BR147" s="18" t="s">
        <v>195</v>
      </c>
      <c r="BS147" s="18" t="s">
        <v>2555</v>
      </c>
      <c r="BT147" s="54" t="str">
        <f t="shared" si="61"/>
        <v>Engineering</v>
      </c>
      <c r="BV147" s="4" t="s">
        <v>495</v>
      </c>
      <c r="BW147" s="4" t="s">
        <v>496</v>
      </c>
      <c r="BX147" s="14" t="s">
        <v>1729</v>
      </c>
      <c r="BY147" s="14" t="s">
        <v>1446</v>
      </c>
      <c r="BZ147" s="54" t="str">
        <f t="shared" si="62"/>
        <v>Ankita Choudhury</v>
      </c>
      <c r="CB147" s="18" t="s">
        <v>579</v>
      </c>
      <c r="CC147" s="4" t="s">
        <v>496</v>
      </c>
      <c r="CD147" s="4" t="s">
        <v>197</v>
      </c>
      <c r="CE147" s="54" t="str">
        <v>Design Lead</v>
      </c>
      <c r="CG147" s="54" t="str">
        <f>IFERROR(_xlfn.XLOOKUP(Hiring!A147,Hiring!A147:A546,Hiring!B147:B546,,0),"Not Found")</f>
        <v>Ipsita Mohapatra</v>
      </c>
    </row>
    <row r="148" spans="2:85">
      <c r="B148" s="100"/>
      <c r="F148" s="3">
        <v>4.8</v>
      </c>
      <c r="G148" s="52" t="str" cm="1">
        <f t="array" ref="G148">_xlfn.IFS(F148&gt;=4.5,"Excellent",AND(F148&gt;=3.5,F148&lt;=4.4),"Good",F148&lt;3.5,"Needs Improvement")</f>
        <v>Excellent</v>
      </c>
      <c r="I148" s="12">
        <v>20.89</v>
      </c>
      <c r="J148" s="12">
        <v>22.54</v>
      </c>
      <c r="K148" s="54" t="str">
        <f t="shared" si="46"/>
        <v>Over Budget</v>
      </c>
      <c r="M148" s="19"/>
      <c r="N148" s="19">
        <v>25417</v>
      </c>
      <c r="O148" s="54" t="str">
        <f t="shared" si="63"/>
        <v>Yes</v>
      </c>
      <c r="Q148" s="19">
        <v>7.7</v>
      </c>
      <c r="R148" s="56" t="str">
        <f t="shared" si="47"/>
        <v>Yes</v>
      </c>
      <c r="W148" s="19" t="s">
        <v>195</v>
      </c>
      <c r="X148" s="54" t="str">
        <f>VLOOKUP(W148,Employees!$A$1:$B$601,2,FALSE)</f>
        <v>Sangita Jena</v>
      </c>
      <c r="Z148" s="3" t="s">
        <v>498</v>
      </c>
      <c r="AA148" s="54" t="str">
        <f t="shared" si="48"/>
        <v>0147</v>
      </c>
      <c r="AC148" s="3" t="s">
        <v>16</v>
      </c>
      <c r="AD148" s="54" t="str">
        <f t="shared" si="49"/>
        <v>Devops</v>
      </c>
      <c r="AF148" s="3" t="s">
        <v>499</v>
      </c>
      <c r="AG148" s="3" t="s">
        <v>16</v>
      </c>
      <c r="AH148" s="3" t="s">
        <v>53</v>
      </c>
      <c r="AI148" s="54" t="str">
        <f t="shared" si="50"/>
        <v>Chinmaya Samal|DevOps|BlueLotus IT</v>
      </c>
      <c r="AK148" s="3" t="s">
        <v>499</v>
      </c>
      <c r="AL148" s="38" t="str">
        <f t="shared" si="51"/>
        <v>C.S.</v>
      </c>
      <c r="AN148" s="19" t="s">
        <v>5025</v>
      </c>
      <c r="AO148" s="54" t="b">
        <f t="shared" si="52"/>
        <v>0</v>
      </c>
      <c r="AQ148" s="3" t="s">
        <v>499</v>
      </c>
      <c r="AR148" s="52" t="str">
        <f t="shared" si="53"/>
        <v>NO</v>
      </c>
      <c r="AT148" s="12" t="s">
        <v>1621</v>
      </c>
      <c r="AU148" s="54">
        <f t="shared" si="54"/>
        <v>24</v>
      </c>
      <c r="AW148" s="54">
        <f ca="1">DATEDIF(BI148,TODAY(),"Y")</f>
        <v>5</v>
      </c>
      <c r="AX148" s="54"/>
      <c r="AY148" s="40" t="s">
        <v>5315</v>
      </c>
      <c r="AZ148" s="44">
        <f t="shared" si="55"/>
        <v>45428</v>
      </c>
      <c r="BA148" s="54" t="str">
        <f t="shared" si="56"/>
        <v>5-2024</v>
      </c>
      <c r="BC148" s="13" t="s">
        <v>2027</v>
      </c>
      <c r="BD148" s="13">
        <f t="shared" si="57"/>
        <v>44711</v>
      </c>
      <c r="BE148" s="45" t="s">
        <v>1614</v>
      </c>
      <c r="BF148" s="54" t="str">
        <f t="shared" ca="1" si="58"/>
        <v>Overdue</v>
      </c>
      <c r="BH148" s="3" t="s">
        <v>500</v>
      </c>
      <c r="BI148" s="51">
        <f t="shared" si="64"/>
        <v>44286</v>
      </c>
      <c r="BJ148" s="38">
        <f t="shared" ca="1" si="65"/>
        <v>1403</v>
      </c>
      <c r="BK148" s="38"/>
      <c r="BL148" s="38" t="str">
        <f t="shared" si="66"/>
        <v>Q1</v>
      </c>
      <c r="BM148" s="59">
        <f t="shared" si="59"/>
        <v>45428</v>
      </c>
      <c r="BN148" s="51">
        <f t="shared" si="67"/>
        <v>44286</v>
      </c>
      <c r="BO148" s="54">
        <f t="shared" si="60"/>
        <v>1142</v>
      </c>
      <c r="BP148" s="3" t="s">
        <v>498</v>
      </c>
      <c r="BQ148" s="3" t="s">
        <v>16</v>
      </c>
      <c r="BR148" s="19" t="s">
        <v>195</v>
      </c>
      <c r="BS148" s="19" t="s">
        <v>2556</v>
      </c>
      <c r="BT148" s="54" t="str">
        <f t="shared" si="61"/>
        <v>Engineering</v>
      </c>
      <c r="BV148" s="3" t="s">
        <v>498</v>
      </c>
      <c r="BW148" s="3" t="s">
        <v>499</v>
      </c>
      <c r="BX148" s="12" t="s">
        <v>1621</v>
      </c>
      <c r="BY148" s="12" t="s">
        <v>965</v>
      </c>
      <c r="BZ148" s="54" t="str">
        <f t="shared" si="62"/>
        <v>Aditya Sahoo</v>
      </c>
      <c r="CB148" s="19" t="s">
        <v>5314</v>
      </c>
      <c r="CC148" s="3" t="s">
        <v>499</v>
      </c>
      <c r="CD148" s="3" t="s">
        <v>123</v>
      </c>
      <c r="CE148" s="54" t="str">
        <v>Not Found</v>
      </c>
      <c r="CG148" s="54" t="str">
        <f>IFERROR(_xlfn.XLOOKUP(Hiring!A148,Hiring!A148:A547,Hiring!B148:B547,,0),"Not Found")</f>
        <v>Tanmay Dhal</v>
      </c>
    </row>
    <row r="149" spans="2:85">
      <c r="B149" s="100"/>
      <c r="F149" s="4">
        <v>1.5</v>
      </c>
      <c r="G149" s="52" t="str" cm="1">
        <f t="array" ref="G149">_xlfn.IFS(F149&gt;=4.5,"Excellent",AND(F149&gt;=3.5,F149&lt;=4.4),"Good",F149&lt;3.5,"Needs Improvement")</f>
        <v>Needs Improvement</v>
      </c>
      <c r="I149" s="14">
        <v>20.85</v>
      </c>
      <c r="J149" s="14">
        <v>22.33</v>
      </c>
      <c r="K149" s="54" t="str">
        <f t="shared" si="46"/>
        <v>Over Budget</v>
      </c>
      <c r="M149" s="18">
        <v>73258</v>
      </c>
      <c r="N149" s="18">
        <v>81460</v>
      </c>
      <c r="O149" s="54" t="str">
        <f t="shared" si="63"/>
        <v>Yes</v>
      </c>
      <c r="Q149" s="18">
        <v>10.59</v>
      </c>
      <c r="R149" s="56" t="str">
        <f t="shared" si="47"/>
        <v>Yes</v>
      </c>
      <c r="W149" s="18" t="s">
        <v>195</v>
      </c>
      <c r="X149" s="54" t="str">
        <f>VLOOKUP(W149,Employees!$A$1:$B$601,2,FALSE)</f>
        <v>Sangita Jena</v>
      </c>
      <c r="Z149" s="4" t="s">
        <v>501</v>
      </c>
      <c r="AA149" s="54" t="str">
        <f t="shared" si="48"/>
        <v>0148</v>
      </c>
      <c r="AC149" s="4" t="s">
        <v>503</v>
      </c>
      <c r="AD149" s="54" t="str">
        <f t="shared" si="49"/>
        <v>Data Science</v>
      </c>
      <c r="AF149" s="4" t="s">
        <v>502</v>
      </c>
      <c r="AG149" s="4" t="s">
        <v>503</v>
      </c>
      <c r="AH149" s="4" t="s">
        <v>26</v>
      </c>
      <c r="AI149" s="54" t="str">
        <f t="shared" si="50"/>
        <v>Rajan Dhal|data science|InfySoft Bhubaneswar</v>
      </c>
      <c r="AK149" s="4" t="s">
        <v>502</v>
      </c>
      <c r="AL149" s="38" t="str">
        <f t="shared" si="51"/>
        <v>R.D.</v>
      </c>
      <c r="AN149" s="18" t="s">
        <v>5019</v>
      </c>
      <c r="AO149" s="54" t="str">
        <f t="shared" si="52"/>
        <v>Linkedln</v>
      </c>
      <c r="AQ149" s="4" t="s">
        <v>502</v>
      </c>
      <c r="AR149" s="52" t="str">
        <f t="shared" si="53"/>
        <v>NO</v>
      </c>
      <c r="AT149" s="14" t="s">
        <v>1702</v>
      </c>
      <c r="AU149" s="54">
        <f t="shared" si="54"/>
        <v>17</v>
      </c>
      <c r="AW149" s="54">
        <f ca="1">DATEDIF(BI149,TODAY(),"Y")</f>
        <v>6</v>
      </c>
      <c r="AX149" s="54"/>
      <c r="AY149" s="41" t="s">
        <v>5318</v>
      </c>
      <c r="AZ149" s="44">
        <f t="shared" si="55"/>
        <v>45476</v>
      </c>
      <c r="BA149" s="54" t="str">
        <f t="shared" si="56"/>
        <v>7-2024</v>
      </c>
      <c r="BC149" s="15" t="s">
        <v>2029</v>
      </c>
      <c r="BD149" s="13">
        <f t="shared" si="57"/>
        <v>45718</v>
      </c>
      <c r="BE149" s="46" t="s">
        <v>1632</v>
      </c>
      <c r="BF149" s="54" t="str">
        <f t="shared" ca="1" si="58"/>
        <v>Overdue</v>
      </c>
      <c r="BH149" s="4" t="s">
        <v>504</v>
      </c>
      <c r="BI149" s="51">
        <f t="shared" si="64"/>
        <v>43724</v>
      </c>
      <c r="BJ149" s="38">
        <f t="shared" ca="1" si="65"/>
        <v>1805</v>
      </c>
      <c r="BK149" s="38"/>
      <c r="BL149" s="38" t="str">
        <f t="shared" si="66"/>
        <v>No</v>
      </c>
      <c r="BM149" s="59">
        <f t="shared" si="59"/>
        <v>45476</v>
      </c>
      <c r="BN149" s="51">
        <f t="shared" si="67"/>
        <v>43724</v>
      </c>
      <c r="BO149" s="54">
        <f t="shared" si="60"/>
        <v>1752</v>
      </c>
      <c r="BP149" s="4" t="s">
        <v>501</v>
      </c>
      <c r="BQ149" s="4" t="s">
        <v>503</v>
      </c>
      <c r="BR149" s="18" t="s">
        <v>195</v>
      </c>
      <c r="BS149" s="18" t="s">
        <v>2559</v>
      </c>
      <c r="BT149" s="54" t="str">
        <f t="shared" si="61"/>
        <v>Engineering</v>
      </c>
      <c r="BV149" s="4" t="s">
        <v>501</v>
      </c>
      <c r="BW149" s="4" t="s">
        <v>502</v>
      </c>
      <c r="BX149" s="14" t="s">
        <v>1702</v>
      </c>
      <c r="BY149" s="14" t="s">
        <v>1288</v>
      </c>
      <c r="BZ149" s="54" t="str">
        <f t="shared" si="62"/>
        <v>Jyotirmayee Samal</v>
      </c>
      <c r="CB149" s="18" t="s">
        <v>5317</v>
      </c>
      <c r="CC149" s="4" t="s">
        <v>502</v>
      </c>
      <c r="CD149" s="4" t="s">
        <v>221</v>
      </c>
      <c r="CE149" s="54" t="str">
        <v>Not Found</v>
      </c>
      <c r="CG149" s="54" t="str">
        <f>IFERROR(_xlfn.XLOOKUP(Hiring!A149,Hiring!A149:A548,Hiring!B149:B548,,0),"Not Found")</f>
        <v>Lipsa Dhal</v>
      </c>
    </row>
    <row r="150" spans="2:85">
      <c r="B150" s="100"/>
      <c r="F150" s="3">
        <v>4</v>
      </c>
      <c r="G150" s="52" t="str" cm="1">
        <f t="array" ref="G150">_xlfn.IFS(F150&gt;=4.5,"Excellent",AND(F150&gt;=3.5,F150&lt;=4.4),"Good",F150&lt;3.5,"Needs Improvement")</f>
        <v>Good</v>
      </c>
      <c r="I150" s="12">
        <v>67.650000000000006</v>
      </c>
      <c r="J150" s="12">
        <v>74.28</v>
      </c>
      <c r="K150" s="54" t="str">
        <f t="shared" si="46"/>
        <v>Over Budget</v>
      </c>
      <c r="M150" s="19">
        <v>171679</v>
      </c>
      <c r="N150" s="19">
        <v>151095</v>
      </c>
      <c r="O150" s="54" t="str">
        <f t="shared" si="63"/>
        <v>Yes</v>
      </c>
      <c r="Q150" s="19">
        <v>11.46</v>
      </c>
      <c r="R150" s="56" t="str">
        <f t="shared" si="47"/>
        <v>Yes</v>
      </c>
      <c r="W150" s="19" t="s">
        <v>195</v>
      </c>
      <c r="X150" s="54" t="str">
        <f>VLOOKUP(W150,Employees!$A$1:$B$601,2,FALSE)</f>
        <v>Sangita Jena</v>
      </c>
      <c r="Z150" s="3" t="s">
        <v>505</v>
      </c>
      <c r="AA150" s="54" t="str">
        <f t="shared" si="48"/>
        <v>0149</v>
      </c>
      <c r="AC150" s="3" t="s">
        <v>84</v>
      </c>
      <c r="AD150" s="54" t="str">
        <f t="shared" si="49"/>
        <v>Hr</v>
      </c>
      <c r="AF150" s="3" t="s">
        <v>506</v>
      </c>
      <c r="AG150" s="3" t="s">
        <v>84</v>
      </c>
      <c r="AH150" s="3" t="s">
        <v>32</v>
      </c>
      <c r="AI150" s="54" t="str">
        <f t="shared" si="50"/>
        <v>Chinmaya Mahapatra|HR|NilGiri Digitals</v>
      </c>
      <c r="AK150" s="3" t="s">
        <v>506</v>
      </c>
      <c r="AL150" s="38" t="str">
        <f t="shared" si="51"/>
        <v>C.M.</v>
      </c>
      <c r="AN150" s="19" t="s">
        <v>5051</v>
      </c>
      <c r="AO150" s="54" t="str">
        <f t="shared" si="52"/>
        <v>Naukri</v>
      </c>
      <c r="AQ150" s="3" t="s">
        <v>506</v>
      </c>
      <c r="AR150" s="52" t="str">
        <f t="shared" si="53"/>
        <v>NO</v>
      </c>
      <c r="AT150" s="12" t="s">
        <v>1702</v>
      </c>
      <c r="AU150" s="54">
        <f t="shared" si="54"/>
        <v>17</v>
      </c>
      <c r="AW150" s="54">
        <f ca="1">DATEDIF(BI150,TODAY(),"Y")</f>
        <v>5</v>
      </c>
      <c r="AX150" s="54"/>
      <c r="AY150" s="40" t="s">
        <v>5320</v>
      </c>
      <c r="AZ150" s="44">
        <f t="shared" si="55"/>
        <v>45620</v>
      </c>
      <c r="BA150" s="54" t="str">
        <f t="shared" si="56"/>
        <v>11-2024</v>
      </c>
      <c r="BC150" s="13" t="s">
        <v>2032</v>
      </c>
      <c r="BD150" s="13">
        <f t="shared" si="57"/>
        <v>44745</v>
      </c>
      <c r="BE150" s="45" t="s">
        <v>1638</v>
      </c>
      <c r="BF150" s="54" t="str">
        <f t="shared" ca="1" si="58"/>
        <v>On Track</v>
      </c>
      <c r="BH150" s="3" t="s">
        <v>507</v>
      </c>
      <c r="BI150" s="51">
        <f t="shared" si="64"/>
        <v>44141</v>
      </c>
      <c r="BJ150" s="38">
        <f t="shared" ca="1" si="65"/>
        <v>1506</v>
      </c>
      <c r="BK150" s="38"/>
      <c r="BL150" s="38" t="str">
        <f t="shared" si="66"/>
        <v>No</v>
      </c>
      <c r="BM150" s="59">
        <f t="shared" si="59"/>
        <v>45620</v>
      </c>
      <c r="BN150" s="51">
        <f t="shared" si="67"/>
        <v>44141</v>
      </c>
      <c r="BO150" s="54">
        <f t="shared" si="60"/>
        <v>1479</v>
      </c>
      <c r="BP150" s="3" t="s">
        <v>505</v>
      </c>
      <c r="BQ150" s="3" t="s">
        <v>84</v>
      </c>
      <c r="BR150" s="19" t="s">
        <v>195</v>
      </c>
      <c r="BS150" s="19" t="s">
        <v>2560</v>
      </c>
      <c r="BT150" s="54" t="str">
        <f t="shared" si="61"/>
        <v>Engineering</v>
      </c>
      <c r="BV150" s="3" t="s">
        <v>505</v>
      </c>
      <c r="BW150" s="3" t="s">
        <v>506</v>
      </c>
      <c r="BX150" s="12" t="s">
        <v>1702</v>
      </c>
      <c r="BY150" s="12" t="s">
        <v>1382</v>
      </c>
      <c r="BZ150" s="54" t="str">
        <f t="shared" si="62"/>
        <v>Tapas Choudhury</v>
      </c>
      <c r="CB150" s="19" t="s">
        <v>1587</v>
      </c>
      <c r="CC150" s="3" t="s">
        <v>506</v>
      </c>
      <c r="CD150" s="3" t="s">
        <v>138</v>
      </c>
      <c r="CE150" s="54" t="str">
        <v>Product Manager</v>
      </c>
      <c r="CG150" s="54" t="str">
        <f>IFERROR(_xlfn.XLOOKUP(Hiring!A150,Hiring!A150:A549,Hiring!B150:B549,,0),"Not Found")</f>
        <v>Priyanka Nanda</v>
      </c>
    </row>
    <row r="151" spans="2:85">
      <c r="B151" s="100"/>
      <c r="F151" s="4">
        <v>4.4000000000000004</v>
      </c>
      <c r="G151" s="52" t="str" cm="1">
        <f t="array" ref="G151">_xlfn.IFS(F151&gt;=4.5,"Excellent",AND(F151&gt;=3.5,F151&lt;=4.4),"Good",F151&lt;3.5,"Needs Improvement")</f>
        <v>Good</v>
      </c>
      <c r="I151" s="14">
        <v>108.65</v>
      </c>
      <c r="J151" s="14">
        <v>136.65</v>
      </c>
      <c r="K151" s="54" t="str">
        <f t="shared" si="46"/>
        <v>Over Budget</v>
      </c>
      <c r="M151" s="18">
        <v>125384</v>
      </c>
      <c r="N151" s="18">
        <v>135933</v>
      </c>
      <c r="O151" s="54" t="str">
        <f t="shared" si="63"/>
        <v>Yes</v>
      </c>
      <c r="Q151" s="18">
        <v>8.17</v>
      </c>
      <c r="R151" s="56" t="str">
        <f t="shared" si="47"/>
        <v>Yes</v>
      </c>
      <c r="W151" s="18" t="s">
        <v>195</v>
      </c>
      <c r="X151" s="54" t="str">
        <f>VLOOKUP(W151,Employees!$A$1:$B$601,2,FALSE)</f>
        <v>Sangita Jena</v>
      </c>
      <c r="Z151" s="4" t="s">
        <v>508</v>
      </c>
      <c r="AA151" s="54" t="str">
        <f t="shared" si="48"/>
        <v>0150</v>
      </c>
      <c r="AC151" s="4" t="s">
        <v>51</v>
      </c>
      <c r="AD151" s="54" t="str">
        <f t="shared" si="49"/>
        <v>Sales</v>
      </c>
      <c r="AF151" s="4" t="s">
        <v>509</v>
      </c>
      <c r="AG151" s="4" t="s">
        <v>51</v>
      </c>
      <c r="AH151" s="4" t="s">
        <v>18</v>
      </c>
      <c r="AI151" s="54" t="str">
        <f t="shared" si="50"/>
        <v>Priyanka Biswal|Sales|CoastalDev Studio</v>
      </c>
      <c r="AK151" s="4" t="s">
        <v>509</v>
      </c>
      <c r="AL151" s="38" t="str">
        <f t="shared" si="51"/>
        <v>P.B.</v>
      </c>
      <c r="AN151" s="18" t="s">
        <v>5031</v>
      </c>
      <c r="AO151" s="54" t="b">
        <f t="shared" si="52"/>
        <v>0</v>
      </c>
      <c r="AQ151" s="4" t="s">
        <v>509</v>
      </c>
      <c r="AR151" s="52" t="str">
        <f t="shared" si="53"/>
        <v>NO</v>
      </c>
      <c r="AT151" s="14" t="s">
        <v>1705</v>
      </c>
      <c r="AU151" s="54">
        <f t="shared" si="54"/>
        <v>13</v>
      </c>
      <c r="AW151" s="54">
        <f ca="1">DATEDIF(BI151,TODAY(),"Y")</f>
        <v>2</v>
      </c>
      <c r="AX151" s="54"/>
      <c r="AY151" s="41" t="s">
        <v>5322</v>
      </c>
      <c r="AZ151" s="44">
        <f t="shared" si="55"/>
        <v>45168</v>
      </c>
      <c r="BA151" s="54" t="str">
        <f t="shared" si="56"/>
        <v>8-2023</v>
      </c>
      <c r="BC151" s="15" t="s">
        <v>2035</v>
      </c>
      <c r="BD151" s="13">
        <f t="shared" si="57"/>
        <v>45133</v>
      </c>
      <c r="BE151" s="46" t="s">
        <v>1625</v>
      </c>
      <c r="BF151" s="54" t="str">
        <f t="shared" ca="1" si="58"/>
        <v>Overdue</v>
      </c>
      <c r="BH151" s="4" t="s">
        <v>510</v>
      </c>
      <c r="BI151" s="51">
        <f t="shared" si="64"/>
        <v>45247</v>
      </c>
      <c r="BJ151" s="38">
        <f t="shared" ca="1" si="65"/>
        <v>716</v>
      </c>
      <c r="BK151" s="38"/>
      <c r="BL151" s="38" t="str">
        <f t="shared" si="66"/>
        <v>No</v>
      </c>
      <c r="BM151" s="59">
        <f t="shared" si="59"/>
        <v>45168</v>
      </c>
      <c r="BN151" s="51">
        <f t="shared" si="67"/>
        <v>45247</v>
      </c>
      <c r="BO151" s="54">
        <f t="shared" si="60"/>
        <v>79</v>
      </c>
      <c r="BP151" s="4" t="s">
        <v>508</v>
      </c>
      <c r="BQ151" s="4" t="s">
        <v>51</v>
      </c>
      <c r="BR151" s="18" t="s">
        <v>195</v>
      </c>
      <c r="BS151" s="18" t="s">
        <v>2563</v>
      </c>
      <c r="BT151" s="54" t="str">
        <f t="shared" si="61"/>
        <v>Engineering</v>
      </c>
      <c r="BV151" s="4" t="s">
        <v>508</v>
      </c>
      <c r="BW151" s="4" t="s">
        <v>509</v>
      </c>
      <c r="BX151" s="14" t="s">
        <v>1705</v>
      </c>
      <c r="BY151" s="14" t="s">
        <v>979</v>
      </c>
      <c r="BZ151" s="54" t="str">
        <f t="shared" si="62"/>
        <v>Tanmay Biswal</v>
      </c>
      <c r="CB151" s="18" t="s">
        <v>730</v>
      </c>
      <c r="CC151" s="4" t="s">
        <v>509</v>
      </c>
      <c r="CD151" s="4" t="s">
        <v>52</v>
      </c>
      <c r="CE151" s="54" t="str">
        <v>QA Engineer</v>
      </c>
      <c r="CG151" s="54" t="str">
        <f>IFERROR(_xlfn.XLOOKUP(Hiring!A151,Hiring!A151:A550,Hiring!B151:B550,,0),"Not Found")</f>
        <v>Satyajit Ratha</v>
      </c>
    </row>
    <row r="152" spans="2:85">
      <c r="B152" s="100"/>
      <c r="F152" s="3">
        <v>3.3</v>
      </c>
      <c r="G152" s="52" t="str" cm="1">
        <f t="array" ref="G152">_xlfn.IFS(F152&gt;=4.5,"Excellent",AND(F152&gt;=3.5,F152&lt;=4.4),"Good",F152&lt;3.5,"Needs Improvement")</f>
        <v>Needs Improvement</v>
      </c>
      <c r="I152" s="12">
        <v>105.59</v>
      </c>
      <c r="J152" s="12">
        <v>88.3</v>
      </c>
      <c r="K152" s="54" t="str">
        <f t="shared" si="46"/>
        <v>Within Budget</v>
      </c>
      <c r="M152" s="19">
        <v>191122</v>
      </c>
      <c r="N152" s="19">
        <v>174309</v>
      </c>
      <c r="O152" s="54" t="str">
        <f t="shared" si="63"/>
        <v>Yes</v>
      </c>
      <c r="Q152" s="19">
        <v>6.63</v>
      </c>
      <c r="R152" s="56" t="str">
        <f t="shared" si="47"/>
        <v>Yes</v>
      </c>
      <c r="W152" s="19" t="s">
        <v>195</v>
      </c>
      <c r="X152" s="54" t="str">
        <f>VLOOKUP(W152,Employees!$A$1:$B$601,2,FALSE)</f>
        <v>Sangita Jena</v>
      </c>
      <c r="Z152" s="3" t="s">
        <v>511</v>
      </c>
      <c r="AA152" s="54" t="str">
        <f t="shared" si="48"/>
        <v>0151</v>
      </c>
      <c r="AC152" s="3" t="s">
        <v>84</v>
      </c>
      <c r="AD152" s="54" t="str">
        <f t="shared" si="49"/>
        <v>Hr</v>
      </c>
      <c r="AF152" s="3" t="s">
        <v>512</v>
      </c>
      <c r="AG152" s="3" t="s">
        <v>84</v>
      </c>
      <c r="AH152" s="3" t="s">
        <v>70</v>
      </c>
      <c r="AI152" s="54" t="str">
        <f t="shared" si="50"/>
        <v>Lipsa Ratha|HR|OdishaCode Labs</v>
      </c>
      <c r="AK152" s="3" t="s">
        <v>512</v>
      </c>
      <c r="AL152" s="38" t="str">
        <f t="shared" si="51"/>
        <v>L.R.</v>
      </c>
      <c r="AN152" s="19" t="s">
        <v>5023</v>
      </c>
      <c r="AO152" s="54" t="str">
        <f t="shared" si="52"/>
        <v>Linkedln</v>
      </c>
      <c r="AQ152" s="3" t="s">
        <v>512</v>
      </c>
      <c r="AR152" s="52" t="str">
        <f t="shared" si="53"/>
        <v>NO</v>
      </c>
      <c r="AT152" s="12" t="s">
        <v>1709</v>
      </c>
      <c r="AU152" s="54">
        <f t="shared" si="54"/>
        <v>18</v>
      </c>
      <c r="AW152" s="54">
        <f ca="1">DATEDIF(BI152,TODAY(),"Y")</f>
        <v>7</v>
      </c>
      <c r="AX152" s="54"/>
      <c r="AY152" s="40" t="s">
        <v>5324</v>
      </c>
      <c r="AZ152" s="44">
        <f t="shared" si="55"/>
        <v>45359</v>
      </c>
      <c r="BA152" s="54" t="str">
        <f t="shared" si="56"/>
        <v>3-2024</v>
      </c>
      <c r="BC152" s="13" t="s">
        <v>2038</v>
      </c>
      <c r="BD152" s="13">
        <f t="shared" si="57"/>
        <v>45537</v>
      </c>
      <c r="BE152" s="45" t="s">
        <v>1632</v>
      </c>
      <c r="BF152" s="54" t="str">
        <f t="shared" ca="1" si="58"/>
        <v>Overdue</v>
      </c>
      <c r="BH152" s="3" t="s">
        <v>466</v>
      </c>
      <c r="BI152" s="51">
        <f t="shared" si="64"/>
        <v>43527</v>
      </c>
      <c r="BJ152" s="38">
        <f t="shared" ca="1" si="65"/>
        <v>1945</v>
      </c>
      <c r="BK152" s="38"/>
      <c r="BL152" s="38" t="str">
        <f t="shared" si="66"/>
        <v>Q1</v>
      </c>
      <c r="BM152" s="59">
        <f t="shared" si="59"/>
        <v>45359</v>
      </c>
      <c r="BN152" s="51">
        <f t="shared" si="67"/>
        <v>43527</v>
      </c>
      <c r="BO152" s="54">
        <f t="shared" si="60"/>
        <v>1832</v>
      </c>
      <c r="BP152" s="3" t="s">
        <v>511</v>
      </c>
      <c r="BQ152" s="3" t="s">
        <v>84</v>
      </c>
      <c r="BR152" s="19" t="s">
        <v>195</v>
      </c>
      <c r="BS152" s="19" t="s">
        <v>2564</v>
      </c>
      <c r="BT152" s="54" t="str">
        <f t="shared" si="61"/>
        <v>Engineering</v>
      </c>
      <c r="BV152" s="3" t="s">
        <v>511</v>
      </c>
      <c r="BW152" s="3" t="s">
        <v>512</v>
      </c>
      <c r="BX152" s="12" t="s">
        <v>1709</v>
      </c>
      <c r="BY152" s="12" t="s">
        <v>400</v>
      </c>
      <c r="BZ152" s="54" t="str">
        <f t="shared" si="62"/>
        <v>Namita Mishra</v>
      </c>
      <c r="CB152" s="19" t="s">
        <v>440</v>
      </c>
      <c r="CC152" s="3" t="s">
        <v>512</v>
      </c>
      <c r="CD152" s="3" t="s">
        <v>204</v>
      </c>
      <c r="CE152" s="54" t="str">
        <v>Brand Manager</v>
      </c>
      <c r="CG152" s="54" t="str">
        <f>IFERROR(_xlfn.XLOOKUP(Hiring!A152,Hiring!A152:A551,Hiring!B152:B551,,0),"Not Found")</f>
        <v>Satyajit Jena</v>
      </c>
    </row>
    <row r="153" spans="2:85">
      <c r="B153" s="100"/>
      <c r="F153" s="4">
        <v>3.7</v>
      </c>
      <c r="G153" s="52" t="str" cm="1">
        <f t="array" ref="G153">_xlfn.IFS(F153&gt;=4.5,"Excellent",AND(F153&gt;=3.5,F153&lt;=4.4),"Good",F153&lt;3.5,"Needs Improvement")</f>
        <v>Good</v>
      </c>
      <c r="I153" s="14">
        <v>64.87</v>
      </c>
      <c r="J153" s="14">
        <v>52.07</v>
      </c>
      <c r="K153" s="54" t="str">
        <f t="shared" si="46"/>
        <v>Within Budget</v>
      </c>
      <c r="M153" s="18">
        <v>122000</v>
      </c>
      <c r="N153" s="18">
        <v>138371</v>
      </c>
      <c r="O153" s="54" t="str">
        <f t="shared" si="63"/>
        <v>Yes</v>
      </c>
      <c r="Q153" s="18">
        <v>10.63</v>
      </c>
      <c r="R153" s="56" t="str">
        <f t="shared" si="47"/>
        <v>Yes</v>
      </c>
      <c r="W153" s="18" t="s">
        <v>195</v>
      </c>
      <c r="X153" s="54" t="str">
        <f>VLOOKUP(W153,Employees!$A$1:$B$601,2,FALSE)</f>
        <v>Sangita Jena</v>
      </c>
      <c r="Z153" s="4" t="s">
        <v>513</v>
      </c>
      <c r="AA153" s="54" t="str">
        <f t="shared" si="48"/>
        <v>0152</v>
      </c>
      <c r="AC153" s="4" t="s">
        <v>39</v>
      </c>
      <c r="AD153" s="54" t="str">
        <f t="shared" si="49"/>
        <v>Engineering</v>
      </c>
      <c r="AF153" s="4" t="s">
        <v>283</v>
      </c>
      <c r="AG153" s="4" t="s">
        <v>39</v>
      </c>
      <c r="AH153" s="4" t="s">
        <v>70</v>
      </c>
      <c r="AI153" s="54" t="str">
        <f t="shared" si="50"/>
        <v>Jyotirmayee Mishra|Engineering|OdishaCode Labs</v>
      </c>
      <c r="AK153" s="4" t="s">
        <v>283</v>
      </c>
      <c r="AL153" s="38" t="str">
        <f t="shared" si="51"/>
        <v>J.M.</v>
      </c>
      <c r="AN153" s="18" t="s">
        <v>5077</v>
      </c>
      <c r="AO153" s="54" t="b">
        <f t="shared" si="52"/>
        <v>0</v>
      </c>
      <c r="AQ153" s="4" t="s">
        <v>283</v>
      </c>
      <c r="AR153" s="52" t="str">
        <f t="shared" si="53"/>
        <v>Mishra</v>
      </c>
      <c r="AT153" s="14" t="s">
        <v>1699</v>
      </c>
      <c r="AU153" s="54">
        <f t="shared" si="54"/>
        <v>18</v>
      </c>
      <c r="AW153" s="54">
        <f ca="1">DATEDIF(BI153,TODAY(),"Y")</f>
        <v>3</v>
      </c>
      <c r="AX153" s="54"/>
      <c r="AY153" s="41" t="s">
        <v>5326</v>
      </c>
      <c r="AZ153" s="44">
        <f t="shared" si="55"/>
        <v>45105</v>
      </c>
      <c r="BA153" s="54" t="str">
        <f t="shared" si="56"/>
        <v>6-2023</v>
      </c>
      <c r="BC153" s="15" t="s">
        <v>671</v>
      </c>
      <c r="BD153" s="13">
        <f t="shared" si="57"/>
        <v>44873</v>
      </c>
      <c r="BE153" s="46" t="s">
        <v>1656</v>
      </c>
      <c r="BF153" s="54" t="str">
        <f t="shared" ca="1" si="58"/>
        <v>Overdue</v>
      </c>
      <c r="BH153" s="4" t="s">
        <v>514</v>
      </c>
      <c r="BI153" s="51">
        <f t="shared" si="64"/>
        <v>44816</v>
      </c>
      <c r="BJ153" s="38">
        <f t="shared" ca="1" si="65"/>
        <v>1025</v>
      </c>
      <c r="BK153" s="38"/>
      <c r="BL153" s="38" t="str">
        <f t="shared" si="66"/>
        <v>No</v>
      </c>
      <c r="BM153" s="59">
        <f t="shared" si="59"/>
        <v>45105</v>
      </c>
      <c r="BN153" s="51">
        <f t="shared" si="67"/>
        <v>44816</v>
      </c>
      <c r="BO153" s="54">
        <f t="shared" si="60"/>
        <v>289</v>
      </c>
      <c r="BP153" s="4" t="s">
        <v>513</v>
      </c>
      <c r="BQ153" s="4" t="s">
        <v>39</v>
      </c>
      <c r="BR153" s="18" t="s">
        <v>195</v>
      </c>
      <c r="BS153" s="18" t="s">
        <v>2566</v>
      </c>
      <c r="BT153" s="54" t="str">
        <f t="shared" si="61"/>
        <v>Engineering</v>
      </c>
      <c r="BV153" s="4" t="s">
        <v>513</v>
      </c>
      <c r="BW153" s="4" t="s">
        <v>283</v>
      </c>
      <c r="BX153" s="14" t="s">
        <v>1699</v>
      </c>
      <c r="BY153" s="14" t="s">
        <v>664</v>
      </c>
      <c r="BZ153" s="54" t="str">
        <f t="shared" si="62"/>
        <v>Amlan Nanda</v>
      </c>
      <c r="CB153" s="18" t="s">
        <v>1518</v>
      </c>
      <c r="CC153" s="4" t="s">
        <v>283</v>
      </c>
      <c r="CD153" s="4" t="s">
        <v>242</v>
      </c>
      <c r="CE153" s="54" t="str">
        <v>Cloud Architect</v>
      </c>
      <c r="CG153" s="54" t="str">
        <f>IFERROR(_xlfn.XLOOKUP(Hiring!A153,Hiring!A153:A552,Hiring!B153:B552,,0),"Not Found")</f>
        <v>Saurav Senapati</v>
      </c>
    </row>
    <row r="154" spans="2:85">
      <c r="B154" s="100"/>
      <c r="F154" s="3">
        <v>3</v>
      </c>
      <c r="G154" s="52" t="str" cm="1">
        <f t="array" ref="G154">_xlfn.IFS(F154&gt;=4.5,"Excellent",AND(F154&gt;=3.5,F154&lt;=4.4),"Good",F154&lt;3.5,"Needs Improvement")</f>
        <v>Needs Improvement</v>
      </c>
      <c r="I154" s="12">
        <v>193.1</v>
      </c>
      <c r="J154" s="12">
        <v>156.16</v>
      </c>
      <c r="K154" s="54" t="str">
        <f t="shared" si="46"/>
        <v>Within Budget</v>
      </c>
      <c r="M154" s="19">
        <v>39699</v>
      </c>
      <c r="N154" s="19">
        <v>35759</v>
      </c>
      <c r="O154" s="54" t="str">
        <f t="shared" si="63"/>
        <v>Yes</v>
      </c>
      <c r="Q154" s="19">
        <v>8.06</v>
      </c>
      <c r="R154" s="56" t="str">
        <f t="shared" si="47"/>
        <v>Yes</v>
      </c>
      <c r="W154" s="19" t="s">
        <v>195</v>
      </c>
      <c r="X154" s="54" t="str">
        <f>VLOOKUP(W154,Employees!$A$1:$B$601,2,FALSE)</f>
        <v>Sangita Jena</v>
      </c>
      <c r="Z154" s="3" t="s">
        <v>515</v>
      </c>
      <c r="AA154" s="54" t="str">
        <f t="shared" si="48"/>
        <v>0153</v>
      </c>
      <c r="AC154" s="3" t="s">
        <v>118</v>
      </c>
      <c r="AD154" s="54" t="str">
        <f t="shared" si="49"/>
        <v>Marketing</v>
      </c>
      <c r="AF154" s="3" t="s">
        <v>516</v>
      </c>
      <c r="AG154" s="3" t="s">
        <v>118</v>
      </c>
      <c r="AH154" s="3" t="s">
        <v>18</v>
      </c>
      <c r="AI154" s="54" t="str">
        <f t="shared" si="50"/>
        <v>Soumya Padhi|Marketing|CoastalDev Studio</v>
      </c>
      <c r="AK154" s="3" t="s">
        <v>516</v>
      </c>
      <c r="AL154" s="38" t="str">
        <f t="shared" si="51"/>
        <v>S.P.</v>
      </c>
      <c r="AN154" s="19" t="s">
        <v>5077</v>
      </c>
      <c r="AO154" s="54" t="b">
        <f t="shared" si="52"/>
        <v>0</v>
      </c>
      <c r="AQ154" s="3" t="s">
        <v>516</v>
      </c>
      <c r="AR154" s="52" t="str">
        <f t="shared" si="53"/>
        <v>NO</v>
      </c>
      <c r="AT154" s="12" t="s">
        <v>1609</v>
      </c>
      <c r="AU154" s="54">
        <f t="shared" si="54"/>
        <v>22</v>
      </c>
      <c r="AW154" s="54">
        <f ca="1">DATEDIF(BI154,TODAY(),"Y")</f>
        <v>7</v>
      </c>
      <c r="AX154" s="54"/>
      <c r="AY154" s="40" t="s">
        <v>948</v>
      </c>
      <c r="AZ154" s="44">
        <f t="shared" si="55"/>
        <v>45356</v>
      </c>
      <c r="BA154" s="54" t="str">
        <f t="shared" si="56"/>
        <v>3-2024</v>
      </c>
      <c r="BC154" s="13" t="s">
        <v>2042</v>
      </c>
      <c r="BD154" s="13">
        <f t="shared" si="57"/>
        <v>45131</v>
      </c>
      <c r="BE154" s="45" t="s">
        <v>1614</v>
      </c>
      <c r="BF154" s="54" t="str">
        <f t="shared" ca="1" si="58"/>
        <v>Overdue</v>
      </c>
      <c r="BH154" s="3" t="s">
        <v>517</v>
      </c>
      <c r="BI154" s="51">
        <f t="shared" si="64"/>
        <v>43398</v>
      </c>
      <c r="BJ154" s="38">
        <f t="shared" ca="1" si="65"/>
        <v>2037</v>
      </c>
      <c r="BK154" s="38"/>
      <c r="BL154" s="38" t="str">
        <f t="shared" si="66"/>
        <v>No</v>
      </c>
      <c r="BM154" s="59">
        <f t="shared" si="59"/>
        <v>45356</v>
      </c>
      <c r="BN154" s="51">
        <f t="shared" si="67"/>
        <v>43398</v>
      </c>
      <c r="BO154" s="54">
        <f t="shared" si="60"/>
        <v>1958</v>
      </c>
      <c r="BP154" s="3" t="s">
        <v>515</v>
      </c>
      <c r="BQ154" s="3" t="s">
        <v>118</v>
      </c>
      <c r="BR154" s="19" t="s">
        <v>195</v>
      </c>
      <c r="BS154" s="19" t="s">
        <v>2569</v>
      </c>
      <c r="BT154" s="54" t="str">
        <f t="shared" si="61"/>
        <v>Engineering</v>
      </c>
      <c r="BV154" s="3" t="s">
        <v>515</v>
      </c>
      <c r="BW154" s="3" t="s">
        <v>516</v>
      </c>
      <c r="BX154" s="12" t="s">
        <v>1609</v>
      </c>
      <c r="BY154" s="12" t="s">
        <v>1130</v>
      </c>
      <c r="BZ154" s="54" t="str">
        <f t="shared" si="62"/>
        <v>Alka Biswal</v>
      </c>
      <c r="CB154" s="19" t="s">
        <v>1153</v>
      </c>
      <c r="CC154" s="3" t="s">
        <v>516</v>
      </c>
      <c r="CD154" s="3" t="s">
        <v>254</v>
      </c>
      <c r="CE154" s="54" t="str">
        <v>Design Lead</v>
      </c>
      <c r="CG154" s="54" t="str">
        <f>IFERROR(_xlfn.XLOOKUP(Hiring!A154,Hiring!A154:A553,Hiring!B154:B553,,0),"Not Found")</f>
        <v>Tapas Ratha</v>
      </c>
    </row>
    <row r="155" spans="2:85">
      <c r="B155" s="100"/>
      <c r="F155" s="4">
        <v>2.2000000000000002</v>
      </c>
      <c r="G155" s="52" t="str" cm="1">
        <f t="array" ref="G155">_xlfn.IFS(F155&gt;=4.5,"Excellent",AND(F155&gt;=3.5,F155&lt;=4.4),"Good",F155&lt;3.5,"Needs Improvement")</f>
        <v>Needs Improvement</v>
      </c>
      <c r="I155" s="14">
        <v>25.02</v>
      </c>
      <c r="J155" s="14">
        <v>29.27</v>
      </c>
      <c r="K155" s="54" t="str">
        <f t="shared" si="46"/>
        <v>Over Budget</v>
      </c>
      <c r="M155" s="18">
        <v>203800</v>
      </c>
      <c r="N155" s="18">
        <v>190853</v>
      </c>
      <c r="O155" s="54" t="str">
        <f t="shared" si="63"/>
        <v>Yes</v>
      </c>
      <c r="Q155" s="18">
        <v>11.44</v>
      </c>
      <c r="R155" s="56" t="str">
        <f t="shared" si="47"/>
        <v>Yes</v>
      </c>
      <c r="W155" s="18" t="s">
        <v>195</v>
      </c>
      <c r="X155" s="54" t="str">
        <f>VLOOKUP(W155,Employees!$A$1:$B$601,2,FALSE)</f>
        <v>Sangita Jena</v>
      </c>
      <c r="Z155" s="4" t="s">
        <v>518</v>
      </c>
      <c r="AA155" s="54" t="str">
        <f t="shared" si="48"/>
        <v>0154</v>
      </c>
      <c r="AC155" s="4" t="s">
        <v>89</v>
      </c>
      <c r="AD155" s="54" t="str">
        <f t="shared" si="49"/>
        <v>Data Science</v>
      </c>
      <c r="AF155" s="4" t="s">
        <v>519</v>
      </c>
      <c r="AG155" s="4" t="s">
        <v>89</v>
      </c>
      <c r="AH155" s="4" t="s">
        <v>172</v>
      </c>
      <c r="AI155" s="54" t="str">
        <f t="shared" si="50"/>
        <v>Tanmay Sahu|Data Science|TechNova Solutions</v>
      </c>
      <c r="AK155" s="4" t="s">
        <v>519</v>
      </c>
      <c r="AL155" s="38" t="str">
        <f t="shared" si="51"/>
        <v>T.S.</v>
      </c>
      <c r="AN155" s="18" t="s">
        <v>5016</v>
      </c>
      <c r="AO155" s="54" t="b">
        <f t="shared" si="52"/>
        <v>0</v>
      </c>
      <c r="AQ155" s="4" t="s">
        <v>519</v>
      </c>
      <c r="AR155" s="52" t="str">
        <f t="shared" si="53"/>
        <v>NO</v>
      </c>
      <c r="AT155" s="14" t="s">
        <v>1786</v>
      </c>
      <c r="AU155" s="54">
        <f t="shared" si="54"/>
        <v>15</v>
      </c>
      <c r="AW155" s="54">
        <f ca="1">DATEDIF(BI155,TODAY(),"Y")</f>
        <v>5</v>
      </c>
      <c r="AX155" s="54"/>
      <c r="AY155" s="41" t="s">
        <v>5329</v>
      </c>
      <c r="AZ155" s="44">
        <f t="shared" si="55"/>
        <v>45194</v>
      </c>
      <c r="BA155" s="54" t="str">
        <f t="shared" si="56"/>
        <v>9-2023</v>
      </c>
      <c r="BC155" s="15" t="s">
        <v>1984</v>
      </c>
      <c r="BD155" s="13">
        <f t="shared" si="57"/>
        <v>45543</v>
      </c>
      <c r="BE155" s="46" t="s">
        <v>1625</v>
      </c>
      <c r="BF155" s="54" t="str">
        <f t="shared" ca="1" si="58"/>
        <v>Overdue</v>
      </c>
      <c r="BH155" s="4" t="s">
        <v>520</v>
      </c>
      <c r="BI155" s="51">
        <f t="shared" si="64"/>
        <v>44222</v>
      </c>
      <c r="BJ155" s="38">
        <f t="shared" ca="1" si="65"/>
        <v>1449</v>
      </c>
      <c r="BK155" s="38"/>
      <c r="BL155" s="38" t="str">
        <f t="shared" si="66"/>
        <v>Q1</v>
      </c>
      <c r="BM155" s="59">
        <f t="shared" si="59"/>
        <v>45194</v>
      </c>
      <c r="BN155" s="51">
        <f t="shared" si="67"/>
        <v>44222</v>
      </c>
      <c r="BO155" s="54">
        <f t="shared" si="60"/>
        <v>972</v>
      </c>
      <c r="BP155" s="4" t="s">
        <v>518</v>
      </c>
      <c r="BQ155" s="4" t="s">
        <v>89</v>
      </c>
      <c r="BR155" s="18" t="s">
        <v>195</v>
      </c>
      <c r="BS155" s="18" t="s">
        <v>2571</v>
      </c>
      <c r="BT155" s="54" t="str">
        <f t="shared" si="61"/>
        <v>Engineering</v>
      </c>
      <c r="BV155" s="4" t="s">
        <v>518</v>
      </c>
      <c r="BW155" s="4" t="s">
        <v>519</v>
      </c>
      <c r="BX155" s="14" t="s">
        <v>1786</v>
      </c>
      <c r="BY155" s="14" t="s">
        <v>1398</v>
      </c>
      <c r="BZ155" s="54" t="str">
        <f t="shared" si="62"/>
        <v>Barsha Pattnaik</v>
      </c>
      <c r="CB155" s="18" t="s">
        <v>1391</v>
      </c>
      <c r="CC155" s="4" t="s">
        <v>519</v>
      </c>
      <c r="CD155" s="4" t="s">
        <v>113</v>
      </c>
      <c r="CE155" s="54" t="str">
        <v>BI Developer</v>
      </c>
      <c r="CG155" s="54" t="str">
        <f>IFERROR(_xlfn.XLOOKUP(Hiring!A155,Hiring!A155:A554,Hiring!B155:B554,,0),"Not Found")</f>
        <v>Rahul Behura</v>
      </c>
    </row>
    <row r="156" spans="2:85">
      <c r="B156" s="100"/>
      <c r="F156" s="3">
        <v>2.1</v>
      </c>
      <c r="G156" s="52" t="str" cm="1">
        <f t="array" ref="G156">_xlfn.IFS(F156&gt;=4.5,"Excellent",AND(F156&gt;=3.5,F156&lt;=4.4),"Good",F156&lt;3.5,"Needs Improvement")</f>
        <v>Needs Improvement</v>
      </c>
      <c r="I156" s="12"/>
      <c r="J156" s="12">
        <v>68.290000000000006</v>
      </c>
      <c r="K156" s="54" t="str">
        <f t="shared" si="46"/>
        <v>Over Budget</v>
      </c>
      <c r="M156" s="19"/>
      <c r="N156" s="19">
        <v>57397</v>
      </c>
      <c r="O156" s="54" t="str">
        <f t="shared" si="63"/>
        <v>Yes</v>
      </c>
      <c r="Q156" s="19">
        <v>10.19</v>
      </c>
      <c r="R156" s="56" t="str">
        <f t="shared" si="47"/>
        <v>Yes</v>
      </c>
      <c r="W156" s="19" t="s">
        <v>195</v>
      </c>
      <c r="X156" s="54" t="str">
        <f>VLOOKUP(W156,Employees!$A$1:$B$601,2,FALSE)</f>
        <v>Sangita Jena</v>
      </c>
      <c r="Z156" s="3" t="s">
        <v>521</v>
      </c>
      <c r="AA156" s="54" t="str">
        <f t="shared" si="48"/>
        <v>0155</v>
      </c>
      <c r="AC156" s="3" t="s">
        <v>39</v>
      </c>
      <c r="AD156" s="54" t="str">
        <f t="shared" si="49"/>
        <v>Engineering</v>
      </c>
      <c r="AF156" s="3" t="s">
        <v>522</v>
      </c>
      <c r="AG156" s="3" t="s">
        <v>39</v>
      </c>
      <c r="AH156" s="3" t="s">
        <v>32</v>
      </c>
      <c r="AI156" s="54" t="str">
        <f t="shared" si="50"/>
        <v>Jyotirmayee Prusty|Engineering|NilGiri Digitals</v>
      </c>
      <c r="AK156" s="3" t="s">
        <v>522</v>
      </c>
      <c r="AL156" s="38" t="str">
        <f t="shared" si="51"/>
        <v>J.P.</v>
      </c>
      <c r="AN156" s="19" t="s">
        <v>5031</v>
      </c>
      <c r="AO156" s="54" t="b">
        <f t="shared" si="52"/>
        <v>0</v>
      </c>
      <c r="AQ156" s="3" t="s">
        <v>522</v>
      </c>
      <c r="AR156" s="52" t="str">
        <f t="shared" si="53"/>
        <v>NO</v>
      </c>
      <c r="AT156" s="12" t="s">
        <v>1705</v>
      </c>
      <c r="AU156" s="54">
        <f t="shared" si="54"/>
        <v>13</v>
      </c>
      <c r="AW156" s="54">
        <f ca="1">DATEDIF(BI156,TODAY(),"Y")</f>
        <v>2</v>
      </c>
      <c r="AX156" s="54"/>
      <c r="AY156" s="40" t="s">
        <v>1683</v>
      </c>
      <c r="AZ156" s="44">
        <f t="shared" si="55"/>
        <v>44969</v>
      </c>
      <c r="BA156" s="54" t="str">
        <f t="shared" si="56"/>
        <v>2-2023</v>
      </c>
      <c r="BC156" s="13" t="s">
        <v>2047</v>
      </c>
      <c r="BD156" s="13">
        <f t="shared" si="57"/>
        <v>44391</v>
      </c>
      <c r="BE156" s="45" t="s">
        <v>1625</v>
      </c>
      <c r="BF156" s="54" t="str">
        <f t="shared" ca="1" si="58"/>
        <v>Overdue</v>
      </c>
      <c r="BH156" s="3" t="s">
        <v>523</v>
      </c>
      <c r="BI156" s="51">
        <f t="shared" si="64"/>
        <v>45213</v>
      </c>
      <c r="BJ156" s="38">
        <f t="shared" ca="1" si="65"/>
        <v>740</v>
      </c>
      <c r="BK156" s="38"/>
      <c r="BL156" s="38" t="str">
        <f t="shared" si="66"/>
        <v>No</v>
      </c>
      <c r="BM156" s="59">
        <f t="shared" si="59"/>
        <v>44969</v>
      </c>
      <c r="BN156" s="51">
        <f t="shared" si="67"/>
        <v>45213</v>
      </c>
      <c r="BO156" s="54">
        <f t="shared" si="60"/>
        <v>244</v>
      </c>
      <c r="BP156" s="3" t="s">
        <v>521</v>
      </c>
      <c r="BQ156" s="3" t="s">
        <v>39</v>
      </c>
      <c r="BR156" s="19" t="s">
        <v>195</v>
      </c>
      <c r="BS156" s="19" t="s">
        <v>2574</v>
      </c>
      <c r="BT156" s="54" t="str">
        <f t="shared" si="61"/>
        <v>Engineering</v>
      </c>
      <c r="BV156" s="3" t="s">
        <v>521</v>
      </c>
      <c r="BW156" s="3" t="s">
        <v>522</v>
      </c>
      <c r="BX156" s="12" t="s">
        <v>1705</v>
      </c>
      <c r="BY156" s="12" t="s">
        <v>1122</v>
      </c>
      <c r="BZ156" s="54" t="str">
        <f t="shared" si="62"/>
        <v>Soumya Mohapatra</v>
      </c>
      <c r="CB156" s="19" t="s">
        <v>334</v>
      </c>
      <c r="CC156" s="3" t="s">
        <v>522</v>
      </c>
      <c r="CD156" s="3" t="s">
        <v>242</v>
      </c>
      <c r="CE156" s="54" t="str">
        <v>DevOps Engineer</v>
      </c>
      <c r="CG156" s="54" t="str">
        <f>IFERROR(_xlfn.XLOOKUP(Hiring!A156,Hiring!A156:A555,Hiring!B156:B555,,0),"Not Found")</f>
        <v>Ipsita Ratha</v>
      </c>
    </row>
    <row r="157" spans="2:85">
      <c r="B157" s="100"/>
      <c r="F157" s="4">
        <v>3.2</v>
      </c>
      <c r="G157" s="52" t="str" cm="1">
        <f t="array" ref="G157">_xlfn.IFS(F157&gt;=4.5,"Excellent",AND(F157&gt;=3.5,F157&lt;=4.4),"Good",F157&lt;3.5,"Needs Improvement")</f>
        <v>Needs Improvement</v>
      </c>
      <c r="I157" s="14">
        <v>62.87</v>
      </c>
      <c r="J157" s="14">
        <v>51.85</v>
      </c>
      <c r="K157" s="54" t="str">
        <f t="shared" si="46"/>
        <v>Within Budget</v>
      </c>
      <c r="M157" s="18">
        <v>190417</v>
      </c>
      <c r="N157" s="18"/>
      <c r="O157" s="54" t="str">
        <f t="shared" si="63"/>
        <v>Yes</v>
      </c>
      <c r="Q157" s="18">
        <v>8.19</v>
      </c>
      <c r="R157" s="56" t="str">
        <f t="shared" si="47"/>
        <v>Yes</v>
      </c>
      <c r="W157" s="18" t="s">
        <v>195</v>
      </c>
      <c r="X157" s="54" t="str">
        <f>VLOOKUP(W157,Employees!$A$1:$B$601,2,FALSE)</f>
        <v>Sangita Jena</v>
      </c>
      <c r="Z157" s="4" t="s">
        <v>524</v>
      </c>
      <c r="AA157" s="54" t="str">
        <f t="shared" si="48"/>
        <v>0156</v>
      </c>
      <c r="AC157" s="4" t="s">
        <v>51</v>
      </c>
      <c r="AD157" s="54" t="str">
        <f t="shared" si="49"/>
        <v>Sales</v>
      </c>
      <c r="AF157" s="4" t="s">
        <v>525</v>
      </c>
      <c r="AG157" s="4" t="s">
        <v>51</v>
      </c>
      <c r="AH157" s="4" t="s">
        <v>75</v>
      </c>
      <c r="AI157" s="54" t="str">
        <f t="shared" si="50"/>
        <v>Ranjit Mohapatra|Sales|KalingaTech Pvt Ltd</v>
      </c>
      <c r="AK157" s="4" t="s">
        <v>525</v>
      </c>
      <c r="AL157" s="38" t="str">
        <f t="shared" si="51"/>
        <v>R.M.</v>
      </c>
      <c r="AN157" s="18" t="s">
        <v>5025</v>
      </c>
      <c r="AO157" s="54" t="b">
        <f t="shared" si="52"/>
        <v>0</v>
      </c>
      <c r="AQ157" s="4" t="s">
        <v>525</v>
      </c>
      <c r="AR157" s="52" t="str">
        <f t="shared" si="53"/>
        <v>NO</v>
      </c>
      <c r="AT157" s="14" t="s">
        <v>1739</v>
      </c>
      <c r="AU157" s="54">
        <f t="shared" si="54"/>
        <v>10</v>
      </c>
      <c r="AW157" s="54">
        <f ca="1">DATEDIF(BI157,TODAY(),"Y")</f>
        <v>6</v>
      </c>
      <c r="AX157" s="54"/>
      <c r="AY157" s="41" t="s">
        <v>5333</v>
      </c>
      <c r="AZ157" s="44">
        <f t="shared" si="55"/>
        <v>45571</v>
      </c>
      <c r="BA157" s="54" t="str">
        <f t="shared" si="56"/>
        <v>10-2024</v>
      </c>
      <c r="BC157" s="15" t="s">
        <v>1149</v>
      </c>
      <c r="BD157" s="13">
        <f t="shared" si="57"/>
        <v>45042</v>
      </c>
      <c r="BE157" s="46" t="s">
        <v>1638</v>
      </c>
      <c r="BF157" s="54" t="str">
        <f t="shared" ca="1" si="58"/>
        <v>On Track</v>
      </c>
      <c r="BH157" s="4" t="s">
        <v>526</v>
      </c>
      <c r="BI157" s="51">
        <f t="shared" si="64"/>
        <v>43916</v>
      </c>
      <c r="BJ157" s="38">
        <f t="shared" ca="1" si="65"/>
        <v>1667</v>
      </c>
      <c r="BK157" s="38"/>
      <c r="BL157" s="38" t="str">
        <f t="shared" si="66"/>
        <v>Q1</v>
      </c>
      <c r="BM157" s="59">
        <f t="shared" si="59"/>
        <v>45571</v>
      </c>
      <c r="BN157" s="51">
        <f t="shared" si="67"/>
        <v>43916</v>
      </c>
      <c r="BO157" s="54">
        <f t="shared" si="60"/>
        <v>1655</v>
      </c>
      <c r="BP157" s="4" t="s">
        <v>524</v>
      </c>
      <c r="BQ157" s="4" t="s">
        <v>51</v>
      </c>
      <c r="BR157" s="18" t="s">
        <v>195</v>
      </c>
      <c r="BS157" s="18" t="s">
        <v>2577</v>
      </c>
      <c r="BT157" s="54" t="str">
        <f t="shared" si="61"/>
        <v>Engineering</v>
      </c>
      <c r="BV157" s="4" t="s">
        <v>524</v>
      </c>
      <c r="BW157" s="4" t="s">
        <v>525</v>
      </c>
      <c r="BX157" s="14" t="s">
        <v>1739</v>
      </c>
      <c r="BY157" s="14" t="s">
        <v>1111</v>
      </c>
      <c r="BZ157" s="54" t="str">
        <f t="shared" si="62"/>
        <v>Amlan Sahoo</v>
      </c>
      <c r="CB157" s="18" t="s">
        <v>5332</v>
      </c>
      <c r="CC157" s="4" t="s">
        <v>525</v>
      </c>
      <c r="CD157" s="4" t="s">
        <v>69</v>
      </c>
      <c r="CE157" s="54" t="str">
        <v>Not Found</v>
      </c>
      <c r="CG157" s="54" t="str">
        <f>IFERROR(_xlfn.XLOOKUP(Hiring!A157,Hiring!A157:A556,Hiring!B157:B556,,0),"Not Found")</f>
        <v>Smita Parida</v>
      </c>
    </row>
    <row r="158" spans="2:85">
      <c r="B158" s="100"/>
      <c r="F158" s="3">
        <v>2.1</v>
      </c>
      <c r="G158" s="52" t="str" cm="1">
        <f t="array" ref="G158">_xlfn.IFS(F158&gt;=4.5,"Excellent",AND(F158&gt;=3.5,F158&lt;=4.4),"Good",F158&lt;3.5,"Needs Improvement")</f>
        <v>Needs Improvement</v>
      </c>
      <c r="I158" s="12">
        <v>82.63</v>
      </c>
      <c r="J158" s="12">
        <v>61.5</v>
      </c>
      <c r="K158" s="54" t="str">
        <f t="shared" si="46"/>
        <v>Within Budget</v>
      </c>
      <c r="M158" s="19">
        <v>95940</v>
      </c>
      <c r="N158" s="19">
        <v>109108</v>
      </c>
      <c r="O158" s="54" t="str">
        <f t="shared" si="63"/>
        <v>Yes</v>
      </c>
      <c r="Q158" s="19">
        <v>9.48</v>
      </c>
      <c r="R158" s="56" t="str">
        <f t="shared" si="47"/>
        <v>Yes</v>
      </c>
      <c r="W158" s="19" t="s">
        <v>195</v>
      </c>
      <c r="X158" s="54" t="str">
        <f>VLOOKUP(W158,Employees!$A$1:$B$601,2,FALSE)</f>
        <v>Sangita Jena</v>
      </c>
      <c r="Z158" s="3" t="s">
        <v>527</v>
      </c>
      <c r="AA158" s="54" t="str">
        <f t="shared" si="48"/>
        <v>0157</v>
      </c>
      <c r="AC158" s="3" t="s">
        <v>133</v>
      </c>
      <c r="AD158" s="54" t="str">
        <f t="shared" si="49"/>
        <v>Qa</v>
      </c>
      <c r="AF158" s="3" t="s">
        <v>528</v>
      </c>
      <c r="AG158" s="3" t="s">
        <v>133</v>
      </c>
      <c r="AH158" s="3" t="s">
        <v>75</v>
      </c>
      <c r="AI158" s="54" t="str">
        <f t="shared" si="50"/>
        <v>Ankita Prusty|QA|KalingaTech Pvt Ltd</v>
      </c>
      <c r="AK158" s="3" t="s">
        <v>528</v>
      </c>
      <c r="AL158" s="38" t="str">
        <f t="shared" si="51"/>
        <v>A.P.</v>
      </c>
      <c r="AN158" s="19" t="s">
        <v>5031</v>
      </c>
      <c r="AO158" s="54" t="b">
        <f t="shared" si="52"/>
        <v>0</v>
      </c>
      <c r="AQ158" s="3" t="s">
        <v>528</v>
      </c>
      <c r="AR158" s="52" t="str">
        <f t="shared" si="53"/>
        <v>NO</v>
      </c>
      <c r="AT158" s="12" t="s">
        <v>1621</v>
      </c>
      <c r="AU158" s="54">
        <f t="shared" si="54"/>
        <v>24</v>
      </c>
      <c r="AW158" s="54">
        <f ca="1">DATEDIF(BI158,TODAY(),"Y")</f>
        <v>8</v>
      </c>
      <c r="AX158" s="54"/>
      <c r="AY158" s="40" t="s">
        <v>1703</v>
      </c>
      <c r="AZ158" s="44">
        <f t="shared" si="55"/>
        <v>45283</v>
      </c>
      <c r="BA158" s="54" t="str">
        <f t="shared" si="56"/>
        <v>12-2023</v>
      </c>
      <c r="BC158" s="13" t="s">
        <v>872</v>
      </c>
      <c r="BD158" s="13">
        <f t="shared" si="57"/>
        <v>45174</v>
      </c>
      <c r="BE158" s="45" t="s">
        <v>1625</v>
      </c>
      <c r="BF158" s="54" t="str">
        <f t="shared" ca="1" si="58"/>
        <v>Overdue</v>
      </c>
      <c r="BH158" s="3" t="s">
        <v>529</v>
      </c>
      <c r="BI158" s="51">
        <f t="shared" si="64"/>
        <v>43124</v>
      </c>
      <c r="BJ158" s="38">
        <f t="shared" ca="1" si="65"/>
        <v>2233</v>
      </c>
      <c r="BK158" s="38"/>
      <c r="BL158" s="38" t="str">
        <f t="shared" si="66"/>
        <v>Q1</v>
      </c>
      <c r="BM158" s="59">
        <f t="shared" si="59"/>
        <v>45283</v>
      </c>
      <c r="BN158" s="51">
        <f t="shared" si="67"/>
        <v>43124</v>
      </c>
      <c r="BO158" s="54">
        <f t="shared" si="60"/>
        <v>2159</v>
      </c>
      <c r="BP158" s="3" t="s">
        <v>527</v>
      </c>
      <c r="BQ158" s="3" t="s">
        <v>133</v>
      </c>
      <c r="BR158" s="19" t="s">
        <v>195</v>
      </c>
      <c r="BS158" s="19" t="s">
        <v>2580</v>
      </c>
      <c r="BT158" s="54" t="str">
        <f t="shared" si="61"/>
        <v>Engineering</v>
      </c>
      <c r="BV158" s="3" t="s">
        <v>527</v>
      </c>
      <c r="BW158" s="3" t="s">
        <v>528</v>
      </c>
      <c r="BX158" s="12" t="s">
        <v>1621</v>
      </c>
      <c r="BY158" s="12" t="s">
        <v>1398</v>
      </c>
      <c r="BZ158" s="54" t="str">
        <f t="shared" si="62"/>
        <v>Barsha Pattnaik</v>
      </c>
      <c r="CB158" s="19" t="s">
        <v>175</v>
      </c>
      <c r="CC158" s="3" t="s">
        <v>528</v>
      </c>
      <c r="CD158" s="3" t="s">
        <v>486</v>
      </c>
      <c r="CE158" s="54" t="str">
        <v>Finance Analyst</v>
      </c>
      <c r="CG158" s="54" t="str">
        <f>IFERROR(_xlfn.XLOOKUP(Hiring!A158,Hiring!A158:A557,Hiring!B158:B557,,0),"Not Found")</f>
        <v>Saurav Biswal</v>
      </c>
    </row>
    <row r="159" spans="2:85">
      <c r="B159" s="100"/>
      <c r="F159" s="4">
        <v>1.9</v>
      </c>
      <c r="G159" s="52" t="str" cm="1">
        <f t="array" ref="G159">_xlfn.IFS(F159&gt;=4.5,"Excellent",AND(F159&gt;=3.5,F159&lt;=4.4),"Good",F159&lt;3.5,"Needs Improvement")</f>
        <v>Needs Improvement</v>
      </c>
      <c r="I159" s="14">
        <v>75.2</v>
      </c>
      <c r="J159" s="14">
        <v>85.22</v>
      </c>
      <c r="K159" s="54" t="str">
        <f t="shared" si="46"/>
        <v>Over Budget</v>
      </c>
      <c r="M159" s="18">
        <v>163103</v>
      </c>
      <c r="N159" s="18">
        <v>186548</v>
      </c>
      <c r="O159" s="54" t="str">
        <f t="shared" si="63"/>
        <v>Yes</v>
      </c>
      <c r="Q159" s="18">
        <v>9.35</v>
      </c>
      <c r="R159" s="56" t="str">
        <f t="shared" si="47"/>
        <v>Yes</v>
      </c>
      <c r="W159" s="18" t="s">
        <v>195</v>
      </c>
      <c r="X159" s="54" t="str">
        <f>VLOOKUP(W159,Employees!$A$1:$B$601,2,FALSE)</f>
        <v>Sangita Jena</v>
      </c>
      <c r="Z159" s="4" t="s">
        <v>530</v>
      </c>
      <c r="AA159" s="54" t="str">
        <f t="shared" si="48"/>
        <v>0158</v>
      </c>
      <c r="AC159" s="4" t="s">
        <v>176</v>
      </c>
      <c r="AD159" s="54" t="str">
        <f t="shared" si="49"/>
        <v>Finance</v>
      </c>
      <c r="AF159" s="4" t="s">
        <v>531</v>
      </c>
      <c r="AG159" s="4" t="s">
        <v>176</v>
      </c>
      <c r="AH159" s="4" t="s">
        <v>53</v>
      </c>
      <c r="AI159" s="54" t="str">
        <f t="shared" si="50"/>
        <v>Debasmita Pattnaik|Finance|BlueLotus IT</v>
      </c>
      <c r="AK159" s="4" t="s">
        <v>531</v>
      </c>
      <c r="AL159" s="38" t="str">
        <f t="shared" si="51"/>
        <v>D.P.</v>
      </c>
      <c r="AN159" s="18" t="s">
        <v>5016</v>
      </c>
      <c r="AO159" s="54" t="b">
        <f t="shared" si="52"/>
        <v>0</v>
      </c>
      <c r="AQ159" s="4" t="s">
        <v>531</v>
      </c>
      <c r="AR159" s="52" t="str">
        <f t="shared" si="53"/>
        <v>NO</v>
      </c>
      <c r="AT159" s="14" t="s">
        <v>1763</v>
      </c>
      <c r="AU159" s="54">
        <f t="shared" si="54"/>
        <v>19</v>
      </c>
      <c r="AW159" s="54">
        <f ca="1">DATEDIF(BI159,TODAY(),"Y")</f>
        <v>4</v>
      </c>
      <c r="AX159" s="54"/>
      <c r="AY159" s="41" t="s">
        <v>1889</v>
      </c>
      <c r="AZ159" s="44">
        <f t="shared" si="55"/>
        <v>45309</v>
      </c>
      <c r="BA159" s="54" t="str">
        <f t="shared" si="56"/>
        <v>1-2024</v>
      </c>
      <c r="BC159" s="15" t="s">
        <v>2053</v>
      </c>
      <c r="BD159" s="13">
        <f t="shared" si="57"/>
        <v>44574</v>
      </c>
      <c r="BE159" s="46" t="s">
        <v>1632</v>
      </c>
      <c r="BF159" s="54" t="str">
        <f t="shared" ca="1" si="58"/>
        <v>Overdue</v>
      </c>
      <c r="BH159" s="4" t="s">
        <v>532</v>
      </c>
      <c r="BI159" s="51">
        <f t="shared" si="64"/>
        <v>44708</v>
      </c>
      <c r="BJ159" s="38">
        <f t="shared" ca="1" si="65"/>
        <v>1101</v>
      </c>
      <c r="BK159" s="38"/>
      <c r="BL159" s="38" t="str">
        <f t="shared" si="66"/>
        <v>No</v>
      </c>
      <c r="BM159" s="59">
        <f t="shared" si="59"/>
        <v>45309</v>
      </c>
      <c r="BN159" s="51">
        <f t="shared" si="67"/>
        <v>44708</v>
      </c>
      <c r="BO159" s="54">
        <f t="shared" si="60"/>
        <v>601</v>
      </c>
      <c r="BP159" s="4" t="s">
        <v>530</v>
      </c>
      <c r="BQ159" s="4" t="s">
        <v>176</v>
      </c>
      <c r="BR159" s="18" t="s">
        <v>195</v>
      </c>
      <c r="BS159" s="18" t="s">
        <v>2583</v>
      </c>
      <c r="BT159" s="54" t="str">
        <f t="shared" si="61"/>
        <v>Engineering</v>
      </c>
      <c r="BV159" s="4" t="s">
        <v>530</v>
      </c>
      <c r="BW159" s="4" t="s">
        <v>531</v>
      </c>
      <c r="BX159" s="14" t="s">
        <v>1763</v>
      </c>
      <c r="BY159" s="14" t="s">
        <v>363</v>
      </c>
      <c r="BZ159" s="54" t="str">
        <f t="shared" si="62"/>
        <v>Jyotirmayee Nanda</v>
      </c>
      <c r="CB159" s="18" t="s">
        <v>476</v>
      </c>
      <c r="CC159" s="4" t="s">
        <v>531</v>
      </c>
      <c r="CD159" s="4" t="s">
        <v>359</v>
      </c>
      <c r="CE159" s="54" t="str">
        <v>Design Lead</v>
      </c>
      <c r="CG159" s="54" t="str">
        <f>IFERROR(_xlfn.XLOOKUP(Hiring!A159,Hiring!A159:A558,Hiring!B159:B558,,0),"Not Found")</f>
        <v>Prasant Pattnaik</v>
      </c>
    </row>
    <row r="160" spans="2:85">
      <c r="B160" s="100"/>
      <c r="F160" s="3">
        <v>3.6</v>
      </c>
      <c r="G160" s="52" t="str" cm="1">
        <f t="array" ref="G160">_xlfn.IFS(F160&gt;=4.5,"Excellent",AND(F160&gt;=3.5,F160&lt;=4.4),"Good",F160&lt;3.5,"Needs Improvement")</f>
        <v>Good</v>
      </c>
      <c r="I160" s="12">
        <v>103.93</v>
      </c>
      <c r="J160" s="12">
        <v>75.47</v>
      </c>
      <c r="K160" s="54" t="str">
        <f t="shared" si="46"/>
        <v>Within Budget</v>
      </c>
      <c r="M160" s="19"/>
      <c r="N160" s="19">
        <v>92818</v>
      </c>
      <c r="O160" s="54" t="str">
        <f t="shared" si="63"/>
        <v>Yes</v>
      </c>
      <c r="Q160" s="19">
        <v>8.9</v>
      </c>
      <c r="R160" s="56" t="str">
        <f t="shared" si="47"/>
        <v>Yes</v>
      </c>
      <c r="W160" s="19" t="s">
        <v>195</v>
      </c>
      <c r="X160" s="54" t="str">
        <f>VLOOKUP(W160,Employees!$A$1:$B$601,2,FALSE)</f>
        <v>Sangita Jena</v>
      </c>
      <c r="Z160" s="3" t="s">
        <v>533</v>
      </c>
      <c r="AA160" s="54" t="str">
        <f t="shared" si="48"/>
        <v>0159</v>
      </c>
      <c r="AC160" s="3" t="s">
        <v>24</v>
      </c>
      <c r="AD160" s="54" t="str">
        <f t="shared" si="49"/>
        <v>Design</v>
      </c>
      <c r="AF160" s="3" t="s">
        <v>534</v>
      </c>
      <c r="AG160" s="3" t="s">
        <v>24</v>
      </c>
      <c r="AH160" s="3" t="s">
        <v>46</v>
      </c>
      <c r="AI160" s="54" t="str">
        <f t="shared" si="50"/>
        <v>Tanmay Pattnaik|Design|SambalpurNet</v>
      </c>
      <c r="AK160" s="3" t="s">
        <v>534</v>
      </c>
      <c r="AL160" s="38" t="str">
        <f t="shared" si="51"/>
        <v>T.P.</v>
      </c>
      <c r="AN160" s="19" t="s">
        <v>5077</v>
      </c>
      <c r="AO160" s="54" t="b">
        <f t="shared" si="52"/>
        <v>0</v>
      </c>
      <c r="AQ160" s="3" t="s">
        <v>534</v>
      </c>
      <c r="AR160" s="52" t="str">
        <f t="shared" si="53"/>
        <v>NO</v>
      </c>
      <c r="AT160" s="12" t="s">
        <v>1621</v>
      </c>
      <c r="AU160" s="54">
        <f t="shared" si="54"/>
        <v>24</v>
      </c>
      <c r="AW160" s="54">
        <f ca="1">DATEDIF(BI160,TODAY(),"Y")</f>
        <v>7</v>
      </c>
      <c r="AX160" s="54"/>
      <c r="AY160" s="40" t="s">
        <v>1970</v>
      </c>
      <c r="AZ160" s="44">
        <f t="shared" si="55"/>
        <v>45425</v>
      </c>
      <c r="BA160" s="54" t="str">
        <f t="shared" si="56"/>
        <v>5-2024</v>
      </c>
      <c r="BC160" s="13" t="s">
        <v>2055</v>
      </c>
      <c r="BD160" s="13">
        <f t="shared" si="57"/>
        <v>45765</v>
      </c>
      <c r="BE160" s="45" t="s">
        <v>1625</v>
      </c>
      <c r="BF160" s="54" t="str">
        <f t="shared" ca="1" si="58"/>
        <v>Overdue</v>
      </c>
      <c r="BH160" s="3" t="s">
        <v>535</v>
      </c>
      <c r="BI160" s="51">
        <f t="shared" si="64"/>
        <v>43360</v>
      </c>
      <c r="BJ160" s="38">
        <f t="shared" ca="1" si="65"/>
        <v>2065</v>
      </c>
      <c r="BK160" s="38"/>
      <c r="BL160" s="38" t="str">
        <f t="shared" si="66"/>
        <v>No</v>
      </c>
      <c r="BM160" s="59">
        <f t="shared" si="59"/>
        <v>45425</v>
      </c>
      <c r="BN160" s="51">
        <f t="shared" si="67"/>
        <v>43360</v>
      </c>
      <c r="BO160" s="54">
        <f t="shared" si="60"/>
        <v>2065</v>
      </c>
      <c r="BP160" s="3" t="s">
        <v>533</v>
      </c>
      <c r="BQ160" s="3" t="s">
        <v>24</v>
      </c>
      <c r="BR160" s="19" t="s">
        <v>195</v>
      </c>
      <c r="BS160" s="19" t="s">
        <v>2586</v>
      </c>
      <c r="BT160" s="54" t="str">
        <f t="shared" si="61"/>
        <v>Engineering</v>
      </c>
      <c r="BV160" s="3" t="s">
        <v>533</v>
      </c>
      <c r="BW160" s="3" t="s">
        <v>534</v>
      </c>
      <c r="BX160" s="12" t="s">
        <v>1621</v>
      </c>
      <c r="BY160" s="12" t="s">
        <v>234</v>
      </c>
      <c r="BZ160" s="54" t="str">
        <f t="shared" si="62"/>
        <v>Jyotirmayee Dhal</v>
      </c>
      <c r="CB160" s="19" t="s">
        <v>300</v>
      </c>
      <c r="CC160" s="3" t="s">
        <v>534</v>
      </c>
      <c r="CD160" s="3" t="s">
        <v>45</v>
      </c>
      <c r="CE160" s="54" t="str">
        <v>Test Analyst</v>
      </c>
      <c r="CG160" s="54" t="str">
        <f>IFERROR(_xlfn.XLOOKUP(Hiring!A160,Hiring!A160:A559,Hiring!B160:B559,,0),"Not Found")</f>
        <v>Ipsita Mishra</v>
      </c>
    </row>
    <row r="161" spans="2:85">
      <c r="B161" s="100"/>
      <c r="F161" s="4">
        <v>3.3</v>
      </c>
      <c r="G161" s="52" t="str" cm="1">
        <f t="array" ref="G161">_xlfn.IFS(F161&gt;=4.5,"Excellent",AND(F161&gt;=3.5,F161&lt;=4.4),"Good",F161&lt;3.5,"Needs Improvement")</f>
        <v>Needs Improvement</v>
      </c>
      <c r="I161" s="14">
        <v>70.09</v>
      </c>
      <c r="J161" s="14">
        <v>76.61</v>
      </c>
      <c r="K161" s="54" t="str">
        <f t="shared" si="46"/>
        <v>Over Budget</v>
      </c>
      <c r="M161" s="18"/>
      <c r="N161" s="18">
        <v>38221</v>
      </c>
      <c r="O161" s="54" t="str">
        <f t="shared" si="63"/>
        <v>Yes</v>
      </c>
      <c r="Q161" s="18">
        <v>9.26</v>
      </c>
      <c r="R161" s="56" t="str">
        <f t="shared" si="47"/>
        <v>Yes</v>
      </c>
      <c r="W161" s="18" t="s">
        <v>195</v>
      </c>
      <c r="X161" s="54" t="str">
        <f>VLOOKUP(W161,Employees!$A$1:$B$601,2,FALSE)</f>
        <v>Sangita Jena</v>
      </c>
      <c r="Z161" s="4" t="s">
        <v>536</v>
      </c>
      <c r="AA161" s="54" t="str">
        <f t="shared" si="48"/>
        <v>0160</v>
      </c>
      <c r="AC161" s="4" t="s">
        <v>24</v>
      </c>
      <c r="AD161" s="54" t="str">
        <f t="shared" si="49"/>
        <v>Design</v>
      </c>
      <c r="AF161" s="4" t="s">
        <v>289</v>
      </c>
      <c r="AG161" s="4" t="s">
        <v>24</v>
      </c>
      <c r="AH161" s="4" t="s">
        <v>75</v>
      </c>
      <c r="AI161" s="54" t="str">
        <f t="shared" si="50"/>
        <v>Sudhansu Senapati|Design|KalingaTech Pvt Ltd</v>
      </c>
      <c r="AK161" s="4" t="s">
        <v>289</v>
      </c>
      <c r="AL161" s="38" t="str">
        <f t="shared" si="51"/>
        <v>S.S.</v>
      </c>
      <c r="AN161" s="18" t="s">
        <v>5077</v>
      </c>
      <c r="AO161" s="54" t="b">
        <f t="shared" si="52"/>
        <v>0</v>
      </c>
      <c r="AQ161" s="4" t="s">
        <v>289</v>
      </c>
      <c r="AR161" s="52" t="str">
        <f t="shared" si="53"/>
        <v>NO</v>
      </c>
      <c r="AT161" s="14" t="s">
        <v>1705</v>
      </c>
      <c r="AU161" s="54">
        <f t="shared" si="54"/>
        <v>13</v>
      </c>
      <c r="AW161" s="54">
        <f ca="1">DATEDIF(BI161,TODAY(),"Y")</f>
        <v>5</v>
      </c>
      <c r="AX161" s="54"/>
      <c r="AY161" s="41" t="s">
        <v>5339</v>
      </c>
      <c r="AZ161" s="44">
        <f t="shared" si="55"/>
        <v>45564</v>
      </c>
      <c r="BA161" s="54" t="str">
        <f t="shared" si="56"/>
        <v>9-2024</v>
      </c>
      <c r="BC161" s="15" t="s">
        <v>2057</v>
      </c>
      <c r="BD161" s="13">
        <f t="shared" si="57"/>
        <v>44657</v>
      </c>
      <c r="BE161" s="46" t="s">
        <v>1656</v>
      </c>
      <c r="BF161" s="54" t="str">
        <f t="shared" ca="1" si="58"/>
        <v>Overdue</v>
      </c>
      <c r="BH161" s="4" t="s">
        <v>537</v>
      </c>
      <c r="BI161" s="51">
        <f t="shared" si="64"/>
        <v>44082</v>
      </c>
      <c r="BJ161" s="38">
        <f t="shared" ca="1" si="65"/>
        <v>1549</v>
      </c>
      <c r="BK161" s="38"/>
      <c r="BL161" s="38" t="str">
        <f t="shared" si="66"/>
        <v>No</v>
      </c>
      <c r="BM161" s="59">
        <f t="shared" si="59"/>
        <v>45564</v>
      </c>
      <c r="BN161" s="51">
        <f t="shared" si="67"/>
        <v>44082</v>
      </c>
      <c r="BO161" s="54">
        <f t="shared" si="60"/>
        <v>1482</v>
      </c>
      <c r="BP161" s="4" t="s">
        <v>536</v>
      </c>
      <c r="BQ161" s="4" t="s">
        <v>24</v>
      </c>
      <c r="BR161" s="18" t="s">
        <v>195</v>
      </c>
      <c r="BS161" s="18" t="s">
        <v>2588</v>
      </c>
      <c r="BT161" s="54" t="str">
        <f t="shared" si="61"/>
        <v>Engineering</v>
      </c>
      <c r="BV161" s="4" t="s">
        <v>536</v>
      </c>
      <c r="BW161" s="4" t="s">
        <v>289</v>
      </c>
      <c r="BX161" s="14" t="s">
        <v>1705</v>
      </c>
      <c r="BY161" s="14" t="s">
        <v>1074</v>
      </c>
      <c r="BZ161" s="54" t="str">
        <f t="shared" si="62"/>
        <v>Lipsa Prusty</v>
      </c>
      <c r="CB161" s="18" t="s">
        <v>5338</v>
      </c>
      <c r="CC161" s="4" t="s">
        <v>289</v>
      </c>
      <c r="CD161" s="4" t="s">
        <v>45</v>
      </c>
      <c r="CE161" s="54" t="str">
        <v>Not Found</v>
      </c>
      <c r="CG161" s="54" t="str">
        <f>IFERROR(_xlfn.XLOOKUP(Hiring!A161,Hiring!A161:A560,Hiring!B161:B560,,0),"Not Found")</f>
        <v>Satyajit Mohapatra</v>
      </c>
    </row>
    <row r="162" spans="2:85">
      <c r="B162" s="100"/>
      <c r="F162" s="3">
        <v>3.5</v>
      </c>
      <c r="G162" s="52" t="str" cm="1">
        <f t="array" ref="G162">_xlfn.IFS(F162&gt;=4.5,"Excellent",AND(F162&gt;=3.5,F162&lt;=4.4),"Good",F162&lt;3.5,"Needs Improvement")</f>
        <v>Good</v>
      </c>
      <c r="I162" s="12">
        <v>19.989999999999998</v>
      </c>
      <c r="J162" s="12">
        <v>15.38</v>
      </c>
      <c r="K162" s="54" t="str">
        <f t="shared" si="46"/>
        <v>Within Budget</v>
      </c>
      <c r="M162" s="19"/>
      <c r="N162" s="19">
        <v>68751</v>
      </c>
      <c r="O162" s="54" t="str">
        <f t="shared" si="63"/>
        <v>Yes</v>
      </c>
      <c r="Q162" s="19">
        <v>8.15</v>
      </c>
      <c r="R162" s="56" t="str">
        <f t="shared" si="47"/>
        <v>Yes</v>
      </c>
      <c r="W162" s="19" t="s">
        <v>195</v>
      </c>
      <c r="X162" s="54" t="str">
        <f>VLOOKUP(W162,Employees!$A$1:$B$601,2,FALSE)</f>
        <v>Sangita Jena</v>
      </c>
      <c r="Z162" s="3" t="s">
        <v>538</v>
      </c>
      <c r="AA162" s="54" t="str">
        <f t="shared" si="48"/>
        <v>0161</v>
      </c>
      <c r="AC162" s="3" t="s">
        <v>84</v>
      </c>
      <c r="AD162" s="54" t="str">
        <f t="shared" si="49"/>
        <v>Hr</v>
      </c>
      <c r="AF162" s="3" t="s">
        <v>539</v>
      </c>
      <c r="AG162" s="3" t="s">
        <v>84</v>
      </c>
      <c r="AH162" s="3" t="s">
        <v>75</v>
      </c>
      <c r="AI162" s="54" t="str">
        <f t="shared" si="50"/>
        <v>Tapas Behura|HR|KalingaTech Pvt Ltd</v>
      </c>
      <c r="AK162" s="3" t="s">
        <v>539</v>
      </c>
      <c r="AL162" s="38" t="str">
        <f t="shared" si="51"/>
        <v>T.B.</v>
      </c>
      <c r="AN162" s="19" t="s">
        <v>5023</v>
      </c>
      <c r="AO162" s="54" t="str">
        <f t="shared" si="52"/>
        <v>Linkedln</v>
      </c>
      <c r="AQ162" s="3" t="s">
        <v>539</v>
      </c>
      <c r="AR162" s="52" t="str">
        <f t="shared" si="53"/>
        <v>NO</v>
      </c>
      <c r="AT162" s="12" t="s">
        <v>1699</v>
      </c>
      <c r="AU162" s="54">
        <f t="shared" si="54"/>
        <v>18</v>
      </c>
      <c r="AW162" s="54">
        <f ca="1">DATEDIF(BI162,TODAY(),"Y")</f>
        <v>6</v>
      </c>
      <c r="AX162" s="54"/>
      <c r="AY162" s="40" t="s">
        <v>5342</v>
      </c>
      <c r="AZ162" s="44">
        <f t="shared" si="55"/>
        <v>45313</v>
      </c>
      <c r="BA162" s="54" t="str">
        <f t="shared" si="56"/>
        <v>1-2024</v>
      </c>
      <c r="BC162" s="13" t="s">
        <v>2060</v>
      </c>
      <c r="BD162" s="13">
        <f t="shared" si="57"/>
        <v>44727</v>
      </c>
      <c r="BE162" s="45" t="s">
        <v>1638</v>
      </c>
      <c r="BF162" s="54" t="str">
        <f t="shared" ca="1" si="58"/>
        <v>On Track</v>
      </c>
      <c r="BH162" s="3" t="s">
        <v>540</v>
      </c>
      <c r="BI162" s="51">
        <f t="shared" si="64"/>
        <v>43733</v>
      </c>
      <c r="BJ162" s="38">
        <f t="shared" ca="1" si="65"/>
        <v>1798</v>
      </c>
      <c r="BK162" s="38"/>
      <c r="BL162" s="38" t="str">
        <f t="shared" si="66"/>
        <v>No</v>
      </c>
      <c r="BM162" s="59">
        <f t="shared" si="59"/>
        <v>45313</v>
      </c>
      <c r="BN162" s="51">
        <f t="shared" si="67"/>
        <v>43733</v>
      </c>
      <c r="BO162" s="54">
        <f t="shared" si="60"/>
        <v>1580</v>
      </c>
      <c r="BP162" s="3" t="s">
        <v>538</v>
      </c>
      <c r="BQ162" s="3" t="s">
        <v>84</v>
      </c>
      <c r="BR162" s="19" t="s">
        <v>195</v>
      </c>
      <c r="BS162" s="19" t="s">
        <v>2591</v>
      </c>
      <c r="BT162" s="54" t="str">
        <f t="shared" si="61"/>
        <v>Engineering</v>
      </c>
      <c r="BV162" s="3" t="s">
        <v>538</v>
      </c>
      <c r="BW162" s="3" t="s">
        <v>539</v>
      </c>
      <c r="BX162" s="12" t="s">
        <v>1699</v>
      </c>
      <c r="BY162" s="12" t="s">
        <v>475</v>
      </c>
      <c r="BZ162" s="54" t="str">
        <f t="shared" si="62"/>
        <v>Prasant Pattnaik</v>
      </c>
      <c r="CB162" s="19" t="s">
        <v>5341</v>
      </c>
      <c r="CC162" s="3" t="s">
        <v>539</v>
      </c>
      <c r="CD162" s="3" t="s">
        <v>204</v>
      </c>
      <c r="CE162" s="54" t="str">
        <v>Not Found</v>
      </c>
      <c r="CG162" s="54" t="str">
        <f>IFERROR(_xlfn.XLOOKUP(Hiring!A162,Hiring!A162:A561,Hiring!B162:B561,,0),"Not Found")</f>
        <v>Chinmaya Sahoo</v>
      </c>
    </row>
    <row r="163" spans="2:85">
      <c r="B163" s="100"/>
      <c r="F163" s="4">
        <v>1.7</v>
      </c>
      <c r="G163" s="52" t="str" cm="1">
        <f t="array" ref="G163">_xlfn.IFS(F163&gt;=4.5,"Excellent",AND(F163&gt;=3.5,F163&lt;=4.4),"Good",F163&lt;3.5,"Needs Improvement")</f>
        <v>Needs Improvement</v>
      </c>
      <c r="I163" s="14">
        <v>103.78</v>
      </c>
      <c r="J163" s="14">
        <v>74.87</v>
      </c>
      <c r="K163" s="54" t="str">
        <f t="shared" si="46"/>
        <v>Within Budget</v>
      </c>
      <c r="M163" s="18"/>
      <c r="N163" s="18">
        <v>28172</v>
      </c>
      <c r="O163" s="54" t="str">
        <f t="shared" si="63"/>
        <v>Yes</v>
      </c>
      <c r="Q163" s="18">
        <v>8.85</v>
      </c>
      <c r="R163" s="56" t="str">
        <f t="shared" si="47"/>
        <v>Yes</v>
      </c>
      <c r="W163" s="18" t="s">
        <v>195</v>
      </c>
      <c r="X163" s="54" t="str">
        <f>VLOOKUP(W163,Employees!$A$1:$B$601,2,FALSE)</f>
        <v>Sangita Jena</v>
      </c>
      <c r="Z163" s="4" t="s">
        <v>541</v>
      </c>
      <c r="AA163" s="54" t="str">
        <f t="shared" si="48"/>
        <v>0162</v>
      </c>
      <c r="AC163" s="4" t="s">
        <v>51</v>
      </c>
      <c r="AD163" s="54" t="str">
        <f t="shared" si="49"/>
        <v>Sales</v>
      </c>
      <c r="AF163" s="4" t="s">
        <v>542</v>
      </c>
      <c r="AG163" s="4" t="s">
        <v>51</v>
      </c>
      <c r="AH163" s="4" t="s">
        <v>75</v>
      </c>
      <c r="AI163" s="54" t="str">
        <f t="shared" si="50"/>
        <v>Saurav Padhi|Sales|KalingaTech Pvt Ltd</v>
      </c>
      <c r="AK163" s="4" t="s">
        <v>542</v>
      </c>
      <c r="AL163" s="38" t="str">
        <f t="shared" si="51"/>
        <v>S.P.</v>
      </c>
      <c r="AN163" s="18" t="s">
        <v>5023</v>
      </c>
      <c r="AO163" s="54" t="str">
        <f t="shared" si="52"/>
        <v>Linkedln</v>
      </c>
      <c r="AQ163" s="4" t="s">
        <v>542</v>
      </c>
      <c r="AR163" s="52" t="str">
        <f t="shared" si="53"/>
        <v>NO</v>
      </c>
      <c r="AT163" s="14" t="s">
        <v>1763</v>
      </c>
      <c r="AU163" s="54">
        <f t="shared" si="54"/>
        <v>19</v>
      </c>
      <c r="AW163" s="54">
        <f ca="1">DATEDIF(BI163,TODAY(),"Y")</f>
        <v>7</v>
      </c>
      <c r="AX163" s="54"/>
      <c r="AY163" s="41" t="s">
        <v>5345</v>
      </c>
      <c r="AZ163" s="44">
        <f t="shared" si="55"/>
        <v>45063</v>
      </c>
      <c r="BA163" s="54" t="str">
        <f t="shared" si="56"/>
        <v>5-2023</v>
      </c>
      <c r="BC163" s="15" t="s">
        <v>2064</v>
      </c>
      <c r="BD163" s="13">
        <f t="shared" si="57"/>
        <v>45237</v>
      </c>
      <c r="BE163" s="46" t="s">
        <v>1625</v>
      </c>
      <c r="BF163" s="54" t="str">
        <f t="shared" ca="1" si="58"/>
        <v>Overdue</v>
      </c>
      <c r="BH163" s="4" t="s">
        <v>543</v>
      </c>
      <c r="BI163" s="51">
        <f t="shared" si="64"/>
        <v>43625</v>
      </c>
      <c r="BJ163" s="38">
        <f t="shared" ca="1" si="65"/>
        <v>1875</v>
      </c>
      <c r="BK163" s="38"/>
      <c r="BL163" s="38" t="str">
        <f t="shared" si="66"/>
        <v>No</v>
      </c>
      <c r="BM163" s="59">
        <f t="shared" si="59"/>
        <v>45063</v>
      </c>
      <c r="BN163" s="51">
        <f t="shared" si="67"/>
        <v>43625</v>
      </c>
      <c r="BO163" s="54">
        <f t="shared" si="60"/>
        <v>1438</v>
      </c>
      <c r="BP163" s="4" t="s">
        <v>541</v>
      </c>
      <c r="BQ163" s="4" t="s">
        <v>51</v>
      </c>
      <c r="BR163" s="18" t="s">
        <v>195</v>
      </c>
      <c r="BS163" s="18" t="s">
        <v>2593</v>
      </c>
      <c r="BT163" s="54" t="str">
        <f t="shared" si="61"/>
        <v>Engineering</v>
      </c>
      <c r="BV163" s="4" t="s">
        <v>541</v>
      </c>
      <c r="BW163" s="4" t="s">
        <v>542</v>
      </c>
      <c r="BX163" s="14" t="s">
        <v>1763</v>
      </c>
      <c r="BY163" s="14" t="s">
        <v>1009</v>
      </c>
      <c r="BZ163" s="54" t="str">
        <f t="shared" si="62"/>
        <v>Namita Mohapatra</v>
      </c>
      <c r="CB163" s="18" t="s">
        <v>5344</v>
      </c>
      <c r="CC163" s="4" t="s">
        <v>542</v>
      </c>
      <c r="CD163" s="4" t="s">
        <v>69</v>
      </c>
      <c r="CE163" s="54" t="str">
        <v>Not Found</v>
      </c>
      <c r="CG163" s="54" t="str">
        <f>IFERROR(_xlfn.XLOOKUP(Hiring!A163,Hiring!A163:A562,Hiring!B163:B562,,0),"Not Found")</f>
        <v>Prasant Jena</v>
      </c>
    </row>
    <row r="164" spans="2:85">
      <c r="B164" s="100"/>
      <c r="F164" s="3">
        <v>4.7</v>
      </c>
      <c r="G164" s="52" t="str" cm="1">
        <f t="array" ref="G164">_xlfn.IFS(F164&gt;=4.5,"Excellent",AND(F164&gt;=3.5,F164&lt;=4.4),"Good",F164&lt;3.5,"Needs Improvement")</f>
        <v>Excellent</v>
      </c>
      <c r="I164" s="12">
        <v>77.27</v>
      </c>
      <c r="J164" s="12">
        <v>79.81</v>
      </c>
      <c r="K164" s="54" t="str">
        <f t="shared" si="46"/>
        <v>Over Budget</v>
      </c>
      <c r="M164" s="19">
        <v>37221</v>
      </c>
      <c r="N164" s="19">
        <v>37684</v>
      </c>
      <c r="O164" s="54" t="str">
        <f t="shared" si="63"/>
        <v>Yes</v>
      </c>
      <c r="Q164" s="19">
        <v>10.76</v>
      </c>
      <c r="R164" s="56" t="str">
        <f t="shared" si="47"/>
        <v>Yes</v>
      </c>
      <c r="W164" s="19" t="s">
        <v>195</v>
      </c>
      <c r="X164" s="54" t="str">
        <f>VLOOKUP(W164,Employees!$A$1:$B$601,2,FALSE)</f>
        <v>Sangita Jena</v>
      </c>
      <c r="Z164" s="3" t="s">
        <v>544</v>
      </c>
      <c r="AA164" s="54" t="str">
        <f t="shared" si="48"/>
        <v>0163</v>
      </c>
      <c r="AC164" s="3" t="s">
        <v>176</v>
      </c>
      <c r="AD164" s="54" t="str">
        <f t="shared" si="49"/>
        <v>Finance</v>
      </c>
      <c r="AF164" s="3" t="s">
        <v>545</v>
      </c>
      <c r="AG164" s="3" t="s">
        <v>176</v>
      </c>
      <c r="AH164" s="3" t="s">
        <v>172</v>
      </c>
      <c r="AI164" s="54" t="str">
        <f t="shared" si="50"/>
        <v>Sudhansu Prusty|Finance|TechNova Solutions</v>
      </c>
      <c r="AK164" s="3" t="s">
        <v>545</v>
      </c>
      <c r="AL164" s="38" t="str">
        <f t="shared" si="51"/>
        <v>S.P.</v>
      </c>
      <c r="AN164" s="19" t="s">
        <v>5060</v>
      </c>
      <c r="AO164" s="54" t="str">
        <f t="shared" si="52"/>
        <v>Naukri</v>
      </c>
      <c r="AQ164" s="3" t="s">
        <v>545</v>
      </c>
      <c r="AR164" s="52" t="str">
        <f t="shared" si="53"/>
        <v>NO</v>
      </c>
      <c r="AT164" s="12" t="s">
        <v>1609</v>
      </c>
      <c r="AU164" s="54">
        <f t="shared" si="54"/>
        <v>22</v>
      </c>
      <c r="AW164" s="54">
        <f ca="1">DATEDIF(BI164,TODAY(),"Y")</f>
        <v>7</v>
      </c>
      <c r="AX164" s="54"/>
      <c r="AY164" s="40" t="s">
        <v>5347</v>
      </c>
      <c r="AZ164" s="44">
        <f t="shared" si="55"/>
        <v>44970</v>
      </c>
      <c r="BA164" s="54" t="str">
        <f t="shared" si="56"/>
        <v>2-2023</v>
      </c>
      <c r="BC164" s="13" t="s">
        <v>889</v>
      </c>
      <c r="BD164" s="13">
        <f t="shared" si="57"/>
        <v>45411</v>
      </c>
      <c r="BE164" s="45" t="s">
        <v>1625</v>
      </c>
      <c r="BF164" s="54" t="str">
        <f t="shared" ca="1" si="58"/>
        <v>Overdue</v>
      </c>
      <c r="BH164" s="3" t="s">
        <v>546</v>
      </c>
      <c r="BI164" s="51">
        <f t="shared" si="64"/>
        <v>43583</v>
      </c>
      <c r="BJ164" s="38">
        <f t="shared" ca="1" si="65"/>
        <v>1905</v>
      </c>
      <c r="BK164" s="38"/>
      <c r="BL164" s="38" t="str">
        <f t="shared" si="66"/>
        <v>No</v>
      </c>
      <c r="BM164" s="59">
        <f t="shared" si="59"/>
        <v>44970</v>
      </c>
      <c r="BN164" s="51">
        <f t="shared" si="67"/>
        <v>43583</v>
      </c>
      <c r="BO164" s="54">
        <f t="shared" si="60"/>
        <v>1387</v>
      </c>
      <c r="BP164" s="3" t="s">
        <v>544</v>
      </c>
      <c r="BQ164" s="3" t="s">
        <v>176</v>
      </c>
      <c r="BR164" s="19" t="s">
        <v>195</v>
      </c>
      <c r="BS164" s="19" t="s">
        <v>2596</v>
      </c>
      <c r="BT164" s="54" t="str">
        <f t="shared" si="61"/>
        <v>Engineering</v>
      </c>
      <c r="BV164" s="3" t="s">
        <v>544</v>
      </c>
      <c r="BW164" s="3" t="s">
        <v>545</v>
      </c>
      <c r="BX164" s="12" t="s">
        <v>1609</v>
      </c>
      <c r="BY164" s="12" t="s">
        <v>1545</v>
      </c>
      <c r="BZ164" s="54" t="str">
        <f t="shared" si="62"/>
        <v>Abhishek Senapati</v>
      </c>
      <c r="CB164" s="19" t="s">
        <v>180</v>
      </c>
      <c r="CC164" s="3" t="s">
        <v>545</v>
      </c>
      <c r="CD164" s="3" t="s">
        <v>359</v>
      </c>
      <c r="CE164" s="54" t="str">
        <v>Content Strategist</v>
      </c>
      <c r="CG164" s="54" t="str">
        <f>IFERROR(_xlfn.XLOOKUP(Hiring!A164,Hiring!A164:A563,Hiring!B164:B563,,0),"Not Found")</f>
        <v>Saurav Nanda</v>
      </c>
    </row>
    <row r="165" spans="2:85">
      <c r="B165" s="100"/>
      <c r="F165" s="4">
        <v>3.2</v>
      </c>
      <c r="G165" s="52" t="str" cm="1">
        <f t="array" ref="G165">_xlfn.IFS(F165&gt;=4.5,"Excellent",AND(F165&gt;=3.5,F165&lt;=4.4),"Good",F165&lt;3.5,"Needs Improvement")</f>
        <v>Needs Improvement</v>
      </c>
      <c r="I165" s="14">
        <v>114.31</v>
      </c>
      <c r="J165" s="14">
        <v>83.02</v>
      </c>
      <c r="K165" s="54" t="str">
        <f t="shared" si="46"/>
        <v>Within Budget</v>
      </c>
      <c r="M165" s="18">
        <v>85009</v>
      </c>
      <c r="N165" s="18">
        <v>84702</v>
      </c>
      <c r="O165" s="54" t="str">
        <f t="shared" si="63"/>
        <v>Yes</v>
      </c>
      <c r="Q165" s="18">
        <v>9.4</v>
      </c>
      <c r="R165" s="56" t="str">
        <f t="shared" si="47"/>
        <v>Yes</v>
      </c>
      <c r="W165" s="18" t="s">
        <v>195</v>
      </c>
      <c r="X165" s="54" t="str">
        <f>VLOOKUP(W165,Employees!$A$1:$B$601,2,FALSE)</f>
        <v>Sangita Jena</v>
      </c>
      <c r="Z165" s="4" t="s">
        <v>547</v>
      </c>
      <c r="AA165" s="54" t="str">
        <f t="shared" si="48"/>
        <v>0164</v>
      </c>
      <c r="AC165" s="4" t="s">
        <v>84</v>
      </c>
      <c r="AD165" s="54" t="str">
        <f t="shared" si="49"/>
        <v>Hr</v>
      </c>
      <c r="AF165" s="4" t="s">
        <v>548</v>
      </c>
      <c r="AG165" s="4" t="s">
        <v>84</v>
      </c>
      <c r="AH165" s="4" t="s">
        <v>214</v>
      </c>
      <c r="AI165" s="54" t="str">
        <f t="shared" si="50"/>
        <v>Barsha Pattnaik|HR|ZeroOneSystems</v>
      </c>
      <c r="AK165" s="4" t="s">
        <v>548</v>
      </c>
      <c r="AL165" s="38" t="str">
        <f t="shared" si="51"/>
        <v>B.P.</v>
      </c>
      <c r="AN165" s="18" t="s">
        <v>5016</v>
      </c>
      <c r="AO165" s="54" t="b">
        <f t="shared" si="52"/>
        <v>0</v>
      </c>
      <c r="AQ165" s="4" t="s">
        <v>548</v>
      </c>
      <c r="AR165" s="52" t="str">
        <f t="shared" si="53"/>
        <v>NO</v>
      </c>
      <c r="AT165" s="14" t="s">
        <v>1653</v>
      </c>
      <c r="AU165" s="54">
        <f t="shared" si="54"/>
        <v>19</v>
      </c>
      <c r="AW165" s="54">
        <f ca="1">DATEDIF(BI165,TODAY(),"Y")</f>
        <v>7</v>
      </c>
      <c r="AX165" s="54"/>
      <c r="AY165" s="41" t="s">
        <v>5078</v>
      </c>
      <c r="AZ165" s="44">
        <f t="shared" si="55"/>
        <v>45222</v>
      </c>
      <c r="BA165" s="54" t="str">
        <f t="shared" si="56"/>
        <v>10-2023</v>
      </c>
      <c r="BC165" s="15" t="s">
        <v>191</v>
      </c>
      <c r="BD165" s="13">
        <f t="shared" si="57"/>
        <v>45148</v>
      </c>
      <c r="BE165" s="46" t="s">
        <v>1614</v>
      </c>
      <c r="BF165" s="54" t="str">
        <f t="shared" ca="1" si="58"/>
        <v>Overdue</v>
      </c>
      <c r="BH165" s="4" t="s">
        <v>549</v>
      </c>
      <c r="BI165" s="51">
        <f t="shared" si="64"/>
        <v>43394</v>
      </c>
      <c r="BJ165" s="38">
        <f t="shared" ca="1" si="65"/>
        <v>2040</v>
      </c>
      <c r="BK165" s="38"/>
      <c r="BL165" s="38" t="str">
        <f t="shared" si="66"/>
        <v>No</v>
      </c>
      <c r="BM165" s="59">
        <f t="shared" si="59"/>
        <v>45222</v>
      </c>
      <c r="BN165" s="51">
        <f t="shared" si="67"/>
        <v>43394</v>
      </c>
      <c r="BO165" s="54">
        <f t="shared" si="60"/>
        <v>1828</v>
      </c>
      <c r="BP165" s="4" t="s">
        <v>547</v>
      </c>
      <c r="BQ165" s="4" t="s">
        <v>84</v>
      </c>
      <c r="BR165" s="18" t="s">
        <v>195</v>
      </c>
      <c r="BS165" s="18" t="s">
        <v>2599</v>
      </c>
      <c r="BT165" s="54" t="str">
        <f t="shared" si="61"/>
        <v>Engineering</v>
      </c>
      <c r="BV165" s="4" t="s">
        <v>547</v>
      </c>
      <c r="BW165" s="4" t="s">
        <v>548</v>
      </c>
      <c r="BX165" s="14" t="s">
        <v>1653</v>
      </c>
      <c r="BY165" s="14" t="s">
        <v>667</v>
      </c>
      <c r="BZ165" s="54" t="str">
        <f t="shared" si="62"/>
        <v>Chinmaya Dhal</v>
      </c>
      <c r="CB165" s="18" t="s">
        <v>5091</v>
      </c>
      <c r="CC165" s="4" t="s">
        <v>548</v>
      </c>
      <c r="CD165" s="4" t="s">
        <v>204</v>
      </c>
      <c r="CE165" s="54" t="str">
        <v>Not Found</v>
      </c>
      <c r="CG165" s="54" t="str">
        <f>IFERROR(_xlfn.XLOOKUP(Hiring!A165,Hiring!A165:A564,Hiring!B165:B564,,0),"Not Found")</f>
        <v>Debasmita Mohapatra</v>
      </c>
    </row>
    <row r="166" spans="2:85">
      <c r="B166" s="100"/>
      <c r="F166" s="3">
        <v>3.2</v>
      </c>
      <c r="G166" s="52" t="str" cm="1">
        <f t="array" ref="G166">_xlfn.IFS(F166&gt;=4.5,"Excellent",AND(F166&gt;=3.5,F166&lt;=4.4),"Good",F166&lt;3.5,"Needs Improvement")</f>
        <v>Needs Improvement</v>
      </c>
      <c r="I166" s="12">
        <v>194.04</v>
      </c>
      <c r="J166" s="12">
        <v>183.1</v>
      </c>
      <c r="K166" s="54" t="str">
        <f t="shared" si="46"/>
        <v>Within Budget</v>
      </c>
      <c r="M166" s="19">
        <v>29977</v>
      </c>
      <c r="N166" s="19">
        <v>32365</v>
      </c>
      <c r="O166" s="54" t="str">
        <f t="shared" si="63"/>
        <v>Yes</v>
      </c>
      <c r="Q166" s="19">
        <v>10.26</v>
      </c>
      <c r="R166" s="56" t="str">
        <f t="shared" si="47"/>
        <v>Yes</v>
      </c>
      <c r="W166" s="19" t="s">
        <v>195</v>
      </c>
      <c r="X166" s="54" t="str">
        <f>VLOOKUP(W166,Employees!$A$1:$B$601,2,FALSE)</f>
        <v>Sangita Jena</v>
      </c>
      <c r="Z166" s="3" t="s">
        <v>550</v>
      </c>
      <c r="AA166" s="54" t="str">
        <f t="shared" si="48"/>
        <v>0165</v>
      </c>
      <c r="AC166" s="3" t="s">
        <v>51</v>
      </c>
      <c r="AD166" s="54" t="str">
        <f t="shared" si="49"/>
        <v>Sales</v>
      </c>
      <c r="AF166" s="3" t="s">
        <v>551</v>
      </c>
      <c r="AG166" s="3" t="s">
        <v>51</v>
      </c>
      <c r="AH166" s="3" t="s">
        <v>46</v>
      </c>
      <c r="AI166" s="54" t="str">
        <f t="shared" si="50"/>
        <v>Ipsita Choudhury|Sales|SambalpurNet</v>
      </c>
      <c r="AK166" s="3" t="s">
        <v>551</v>
      </c>
      <c r="AL166" s="38" t="str">
        <f t="shared" si="51"/>
        <v>I.C.</v>
      </c>
      <c r="AN166" s="19" t="s">
        <v>5060</v>
      </c>
      <c r="AO166" s="54" t="str">
        <f t="shared" si="52"/>
        <v>Naukri</v>
      </c>
      <c r="AQ166" s="3" t="s">
        <v>551</v>
      </c>
      <c r="AR166" s="52" t="str">
        <f t="shared" si="53"/>
        <v>NO</v>
      </c>
      <c r="AT166" s="12" t="s">
        <v>1663</v>
      </c>
      <c r="AU166" s="54">
        <f t="shared" si="54"/>
        <v>18</v>
      </c>
      <c r="AW166" s="54">
        <f ca="1">DATEDIF(BI166,TODAY(),"Y")</f>
        <v>4</v>
      </c>
      <c r="AX166" s="54"/>
      <c r="AY166" s="40" t="s">
        <v>1731</v>
      </c>
      <c r="AZ166" s="44">
        <f t="shared" si="55"/>
        <v>45453</v>
      </c>
      <c r="BA166" s="54" t="str">
        <f t="shared" si="56"/>
        <v>6-2024</v>
      </c>
      <c r="BC166" s="13" t="s">
        <v>1679</v>
      </c>
      <c r="BD166" s="13">
        <f t="shared" si="57"/>
        <v>45052</v>
      </c>
      <c r="BE166" s="45" t="s">
        <v>1625</v>
      </c>
      <c r="BF166" s="54" t="str">
        <f t="shared" ca="1" si="58"/>
        <v>Overdue</v>
      </c>
      <c r="BH166" s="3" t="s">
        <v>552</v>
      </c>
      <c r="BI166" s="51">
        <f t="shared" si="64"/>
        <v>44450</v>
      </c>
      <c r="BJ166" s="38">
        <f t="shared" ca="1" si="65"/>
        <v>1285</v>
      </c>
      <c r="BK166" s="38"/>
      <c r="BL166" s="38" t="str">
        <f t="shared" si="66"/>
        <v>No</v>
      </c>
      <c r="BM166" s="59">
        <f t="shared" si="59"/>
        <v>45453</v>
      </c>
      <c r="BN166" s="51">
        <f t="shared" si="67"/>
        <v>44450</v>
      </c>
      <c r="BO166" s="54">
        <f t="shared" si="60"/>
        <v>1003</v>
      </c>
      <c r="BP166" s="3" t="s">
        <v>550</v>
      </c>
      <c r="BQ166" s="3" t="s">
        <v>51</v>
      </c>
      <c r="BR166" s="19" t="s">
        <v>195</v>
      </c>
      <c r="BS166" s="19" t="s">
        <v>2602</v>
      </c>
      <c r="BT166" s="54" t="str">
        <f t="shared" si="61"/>
        <v>Engineering</v>
      </c>
      <c r="BV166" s="3" t="s">
        <v>550</v>
      </c>
      <c r="BW166" s="3" t="s">
        <v>551</v>
      </c>
      <c r="BX166" s="12" t="s">
        <v>1663</v>
      </c>
      <c r="BY166" s="12" t="s">
        <v>936</v>
      </c>
      <c r="BZ166" s="54" t="str">
        <f t="shared" si="62"/>
        <v>Sangita Mishra</v>
      </c>
      <c r="CB166" s="19" t="s">
        <v>1566</v>
      </c>
      <c r="CC166" s="3" t="s">
        <v>551</v>
      </c>
      <c r="CD166" s="3" t="s">
        <v>105</v>
      </c>
      <c r="CE166" s="54" t="str">
        <v>Sr DevOps</v>
      </c>
      <c r="CG166" s="54" t="str">
        <f>IFERROR(_xlfn.XLOOKUP(Hiring!A166,Hiring!A166:A565,Hiring!B166:B565,,0),"Not Found")</f>
        <v>Prasant Routray</v>
      </c>
    </row>
    <row r="167" spans="2:85">
      <c r="B167" s="100"/>
      <c r="F167" s="4">
        <v>4.5</v>
      </c>
      <c r="G167" s="52" t="str" cm="1">
        <f t="array" ref="G167">_xlfn.IFS(F167&gt;=4.5,"Excellent",AND(F167&gt;=3.5,F167&lt;=4.4),"Good",F167&lt;3.5,"Needs Improvement")</f>
        <v>Excellent</v>
      </c>
      <c r="I167" s="14">
        <v>162.41999999999999</v>
      </c>
      <c r="J167" s="14">
        <v>115.21</v>
      </c>
      <c r="K167" s="54" t="str">
        <f t="shared" si="46"/>
        <v>Within Budget</v>
      </c>
      <c r="M167" s="18"/>
      <c r="N167" s="18">
        <v>122697</v>
      </c>
      <c r="O167" s="54" t="str">
        <f t="shared" si="63"/>
        <v>Yes</v>
      </c>
      <c r="Q167" s="18">
        <v>6.64</v>
      </c>
      <c r="R167" s="56" t="str">
        <f t="shared" si="47"/>
        <v>Yes</v>
      </c>
      <c r="W167" s="18" t="s">
        <v>195</v>
      </c>
      <c r="X167" s="54" t="str">
        <f>VLOOKUP(W167,Employees!$A$1:$B$601,2,FALSE)</f>
        <v>Sangita Jena</v>
      </c>
      <c r="Z167" s="4" t="s">
        <v>553</v>
      </c>
      <c r="AA167" s="54" t="str">
        <f t="shared" si="48"/>
        <v>0166</v>
      </c>
      <c r="AC167" s="4" t="s">
        <v>51</v>
      </c>
      <c r="AD167" s="54" t="str">
        <f t="shared" si="49"/>
        <v>Sales</v>
      </c>
      <c r="AF167" s="4" t="s">
        <v>554</v>
      </c>
      <c r="AG167" s="4" t="s">
        <v>51</v>
      </c>
      <c r="AH167" s="4" t="s">
        <v>214</v>
      </c>
      <c r="AI167" s="54" t="str">
        <f t="shared" si="50"/>
        <v>Barsha Parida|Sales|ZeroOneSystems</v>
      </c>
      <c r="AK167" s="4" t="s">
        <v>554</v>
      </c>
      <c r="AL167" s="38" t="str">
        <f t="shared" si="51"/>
        <v>B.P.</v>
      </c>
      <c r="AN167" s="18" t="s">
        <v>5031</v>
      </c>
      <c r="AO167" s="54" t="b">
        <f t="shared" si="52"/>
        <v>0</v>
      </c>
      <c r="AQ167" s="4" t="s">
        <v>554</v>
      </c>
      <c r="AR167" s="52" t="str">
        <f t="shared" si="53"/>
        <v>NO</v>
      </c>
      <c r="AT167" s="14" t="s">
        <v>1609</v>
      </c>
      <c r="AU167" s="54">
        <f t="shared" si="54"/>
        <v>22</v>
      </c>
      <c r="AW167" s="54">
        <f ca="1">DATEDIF(BI167,TODAY(),"Y")</f>
        <v>7</v>
      </c>
      <c r="AX167" s="54"/>
      <c r="AY167" s="41" t="s">
        <v>1577</v>
      </c>
      <c r="AZ167" s="44">
        <f t="shared" si="55"/>
        <v>45034</v>
      </c>
      <c r="BA167" s="54" t="str">
        <f t="shared" si="56"/>
        <v>4-2023</v>
      </c>
      <c r="BC167" s="15" t="s">
        <v>1805</v>
      </c>
      <c r="BD167" s="13">
        <f t="shared" si="57"/>
        <v>45301</v>
      </c>
      <c r="BE167" s="46" t="s">
        <v>1656</v>
      </c>
      <c r="BF167" s="54" t="str">
        <f t="shared" ca="1" si="58"/>
        <v>Overdue</v>
      </c>
      <c r="BH167" s="4" t="s">
        <v>555</v>
      </c>
      <c r="BI167" s="51">
        <f t="shared" si="64"/>
        <v>43338</v>
      </c>
      <c r="BJ167" s="38">
        <f t="shared" ca="1" si="65"/>
        <v>2080</v>
      </c>
      <c r="BK167" s="38"/>
      <c r="BL167" s="38" t="str">
        <f t="shared" si="66"/>
        <v>No</v>
      </c>
      <c r="BM167" s="59">
        <f t="shared" si="59"/>
        <v>45034</v>
      </c>
      <c r="BN167" s="51">
        <f t="shared" si="67"/>
        <v>43338</v>
      </c>
      <c r="BO167" s="54">
        <f t="shared" si="60"/>
        <v>1696</v>
      </c>
      <c r="BP167" s="4" t="s">
        <v>553</v>
      </c>
      <c r="BQ167" s="4" t="s">
        <v>51</v>
      </c>
      <c r="BR167" s="18" t="s">
        <v>195</v>
      </c>
      <c r="BS167" s="18" t="s">
        <v>2605</v>
      </c>
      <c r="BT167" s="54" t="str">
        <f t="shared" si="61"/>
        <v>Engineering</v>
      </c>
      <c r="BV167" s="4" t="s">
        <v>553</v>
      </c>
      <c r="BW167" s="4" t="s">
        <v>554</v>
      </c>
      <c r="BX167" s="14" t="s">
        <v>1609</v>
      </c>
      <c r="BY167" s="14" t="s">
        <v>189</v>
      </c>
      <c r="BZ167" s="54" t="str">
        <f t="shared" si="62"/>
        <v>Chinmaya Biswal</v>
      </c>
      <c r="CB167" s="18" t="s">
        <v>904</v>
      </c>
      <c r="CC167" s="4" t="s">
        <v>554</v>
      </c>
      <c r="CD167" s="4" t="s">
        <v>69</v>
      </c>
      <c r="CE167" s="54" t="str">
        <v>Visual Designer</v>
      </c>
      <c r="CG167" s="54" t="str">
        <f>IFERROR(_xlfn.XLOOKUP(Hiring!A167,Hiring!A167:A566,Hiring!B167:B566,,0),"Not Found")</f>
        <v>Sangita Choudhury</v>
      </c>
    </row>
    <row r="168" spans="2:85">
      <c r="B168" s="100"/>
      <c r="F168" s="3">
        <v>3.9</v>
      </c>
      <c r="G168" s="52" t="str" cm="1">
        <f t="array" ref="G168">_xlfn.IFS(F168&gt;=4.5,"Excellent",AND(F168&gt;=3.5,F168&lt;=4.4),"Good",F168&lt;3.5,"Needs Improvement")</f>
        <v>Good</v>
      </c>
      <c r="I168" s="12">
        <v>120.2</v>
      </c>
      <c r="J168" s="12">
        <v>146.55000000000001</v>
      </c>
      <c r="K168" s="54" t="str">
        <f t="shared" si="46"/>
        <v>Over Budget</v>
      </c>
      <c r="M168" s="19">
        <v>103613</v>
      </c>
      <c r="N168" s="19">
        <v>120512</v>
      </c>
      <c r="O168" s="54" t="str">
        <f t="shared" si="63"/>
        <v>Yes</v>
      </c>
      <c r="Q168" s="19">
        <v>9.5500000000000007</v>
      </c>
      <c r="R168" s="56" t="str">
        <f t="shared" si="47"/>
        <v>Yes</v>
      </c>
      <c r="W168" s="19" t="s">
        <v>195</v>
      </c>
      <c r="X168" s="54" t="str">
        <f>VLOOKUP(W168,Employees!$A$1:$B$601,2,FALSE)</f>
        <v>Sangita Jena</v>
      </c>
      <c r="Z168" s="3" t="s">
        <v>556</v>
      </c>
      <c r="AA168" s="54" t="str">
        <f t="shared" si="48"/>
        <v>0167</v>
      </c>
      <c r="AC168" s="3" t="s">
        <v>558</v>
      </c>
      <c r="AD168" s="54" t="str">
        <f t="shared" si="49"/>
        <v>Finance</v>
      </c>
      <c r="AF168" s="3" t="s">
        <v>557</v>
      </c>
      <c r="AG168" s="3" t="s">
        <v>558</v>
      </c>
      <c r="AH168" s="3" t="s">
        <v>65</v>
      </c>
      <c r="AI168" s="54" t="str">
        <f t="shared" si="50"/>
        <v>Lipsa Biswal|finance|TributeAI</v>
      </c>
      <c r="AK168" s="3" t="s">
        <v>557</v>
      </c>
      <c r="AL168" s="38" t="str">
        <f t="shared" si="51"/>
        <v>L.B.</v>
      </c>
      <c r="AN168" s="19" t="s">
        <v>5077</v>
      </c>
      <c r="AO168" s="54" t="b">
        <f t="shared" si="52"/>
        <v>0</v>
      </c>
      <c r="AQ168" s="3" t="s">
        <v>557</v>
      </c>
      <c r="AR168" s="52" t="str">
        <f t="shared" si="53"/>
        <v>NO</v>
      </c>
      <c r="AT168" s="12" t="s">
        <v>1627</v>
      </c>
      <c r="AU168" s="54">
        <f t="shared" si="54"/>
        <v>11</v>
      </c>
      <c r="AW168" s="54">
        <f ca="1">DATEDIF(BI168,TODAY(),"Y")</f>
        <v>7</v>
      </c>
      <c r="AX168" s="54"/>
      <c r="AY168" s="40" t="s">
        <v>5352</v>
      </c>
      <c r="AZ168" s="44">
        <f t="shared" si="55"/>
        <v>45592</v>
      </c>
      <c r="BA168" s="54" t="str">
        <f t="shared" si="56"/>
        <v>10-2024</v>
      </c>
      <c r="BC168" s="13" t="s">
        <v>2072</v>
      </c>
      <c r="BD168" s="13">
        <f t="shared" si="57"/>
        <v>45782</v>
      </c>
      <c r="BE168" s="45" t="s">
        <v>1632</v>
      </c>
      <c r="BF168" s="54" t="str">
        <f t="shared" ca="1" si="58"/>
        <v>Overdue</v>
      </c>
      <c r="BH168" s="3" t="s">
        <v>559</v>
      </c>
      <c r="BI168" s="51">
        <f t="shared" si="64"/>
        <v>43644</v>
      </c>
      <c r="BJ168" s="38">
        <f t="shared" ca="1" si="65"/>
        <v>1861</v>
      </c>
      <c r="BK168" s="38"/>
      <c r="BL168" s="38" t="str">
        <f t="shared" si="66"/>
        <v>No</v>
      </c>
      <c r="BM168" s="59">
        <f t="shared" si="59"/>
        <v>45592</v>
      </c>
      <c r="BN168" s="51">
        <f t="shared" si="67"/>
        <v>43644</v>
      </c>
      <c r="BO168" s="54">
        <f t="shared" si="60"/>
        <v>1948</v>
      </c>
      <c r="BP168" s="3" t="s">
        <v>556</v>
      </c>
      <c r="BQ168" s="3" t="s">
        <v>558</v>
      </c>
      <c r="BR168" s="19" t="s">
        <v>195</v>
      </c>
      <c r="BS168" s="19" t="s">
        <v>2608</v>
      </c>
      <c r="BT168" s="54" t="str">
        <f t="shared" si="61"/>
        <v>Engineering</v>
      </c>
      <c r="BV168" s="3" t="s">
        <v>556</v>
      </c>
      <c r="BW168" s="3" t="s">
        <v>557</v>
      </c>
      <c r="BX168" s="12" t="s">
        <v>1627</v>
      </c>
      <c r="BY168" s="12" t="s">
        <v>612</v>
      </c>
      <c r="BZ168" s="54" t="str">
        <f t="shared" si="62"/>
        <v>Ankita Parida</v>
      </c>
      <c r="CB168" s="19" t="s">
        <v>306</v>
      </c>
      <c r="CC168" s="3" t="s">
        <v>557</v>
      </c>
      <c r="CD168" s="3" t="s">
        <v>359</v>
      </c>
      <c r="CE168" s="54" t="str">
        <v>Account Manager</v>
      </c>
      <c r="CG168" s="54" t="str">
        <f>IFERROR(_xlfn.XLOOKUP(Hiring!A168,Hiring!A168:A567,Hiring!B168:B567,,0),"Not Found")</f>
        <v>Bikash Behura</v>
      </c>
    </row>
    <row r="169" spans="2:85">
      <c r="B169" s="100"/>
      <c r="F169" s="4">
        <v>3</v>
      </c>
      <c r="G169" s="52" t="str" cm="1">
        <f t="array" ref="G169">_xlfn.IFS(F169&gt;=4.5,"Excellent",AND(F169&gt;=3.5,F169&lt;=4.4),"Good",F169&lt;3.5,"Needs Improvement")</f>
        <v>Needs Improvement</v>
      </c>
      <c r="I169" s="14">
        <v>51.62</v>
      </c>
      <c r="J169" s="14">
        <v>38.119999999999997</v>
      </c>
      <c r="K169" s="54" t="str">
        <f t="shared" si="46"/>
        <v>Within Budget</v>
      </c>
      <c r="M169" s="18">
        <v>0</v>
      </c>
      <c r="N169" s="18">
        <v>0</v>
      </c>
      <c r="O169" s="54" t="str">
        <f t="shared" si="63"/>
        <v>No</v>
      </c>
      <c r="Q169" s="18">
        <v>7.83</v>
      </c>
      <c r="R169" s="56" t="str">
        <f t="shared" si="47"/>
        <v>Yes</v>
      </c>
      <c r="W169" s="18" t="s">
        <v>195</v>
      </c>
      <c r="X169" s="54" t="str">
        <f>VLOOKUP(W169,Employees!$A$1:$B$601,2,FALSE)</f>
        <v>Sangita Jena</v>
      </c>
      <c r="Z169" s="4" t="s">
        <v>560</v>
      </c>
      <c r="AA169" s="54" t="str">
        <f t="shared" si="48"/>
        <v>0168</v>
      </c>
      <c r="AC169" s="4" t="s">
        <v>89</v>
      </c>
      <c r="AD169" s="54" t="str">
        <f t="shared" si="49"/>
        <v>Data Science</v>
      </c>
      <c r="AF169" s="4" t="s">
        <v>561</v>
      </c>
      <c r="AG169" s="4" t="s">
        <v>89</v>
      </c>
      <c r="AH169" s="4" t="s">
        <v>18</v>
      </c>
      <c r="AI169" s="54" t="str">
        <f t="shared" si="50"/>
        <v>Soumya Tripathy|Data Science|CoastalDev Studio</v>
      </c>
      <c r="AK169" s="4" t="s">
        <v>561</v>
      </c>
      <c r="AL169" s="38" t="str">
        <f t="shared" si="51"/>
        <v>S.T.</v>
      </c>
      <c r="AN169" s="18" t="s">
        <v>5023</v>
      </c>
      <c r="AO169" s="54" t="str">
        <f t="shared" si="52"/>
        <v>Linkedln</v>
      </c>
      <c r="AQ169" s="4" t="s">
        <v>561</v>
      </c>
      <c r="AR169" s="52" t="str">
        <f t="shared" si="53"/>
        <v>NO</v>
      </c>
      <c r="AT169" s="14" t="s">
        <v>1699</v>
      </c>
      <c r="AU169" s="54">
        <f t="shared" si="54"/>
        <v>18</v>
      </c>
      <c r="AW169" s="54">
        <f ca="1">DATEDIF(BI169,TODAY(),"Y")</f>
        <v>4</v>
      </c>
      <c r="AX169" s="54"/>
      <c r="AY169" s="41" t="s">
        <v>1789</v>
      </c>
      <c r="AZ169" s="44">
        <f t="shared" si="55"/>
        <v>45291</v>
      </c>
      <c r="BA169" s="54" t="str">
        <f t="shared" si="56"/>
        <v>12-2023</v>
      </c>
      <c r="BC169" s="15" t="s">
        <v>2074</v>
      </c>
      <c r="BD169" s="13">
        <f t="shared" si="57"/>
        <v>44491</v>
      </c>
      <c r="BE169" s="46" t="s">
        <v>1614</v>
      </c>
      <c r="BF169" s="54" t="str">
        <f t="shared" ca="1" si="58"/>
        <v>Overdue</v>
      </c>
      <c r="BH169" s="4" t="s">
        <v>562</v>
      </c>
      <c r="BI169" s="51">
        <f t="shared" si="64"/>
        <v>44446</v>
      </c>
      <c r="BJ169" s="38">
        <f t="shared" ca="1" si="65"/>
        <v>1289</v>
      </c>
      <c r="BK169" s="38"/>
      <c r="BL169" s="38" t="str">
        <f t="shared" si="66"/>
        <v>No</v>
      </c>
      <c r="BM169" s="59">
        <f t="shared" si="59"/>
        <v>45291</v>
      </c>
      <c r="BN169" s="51">
        <f t="shared" si="67"/>
        <v>44446</v>
      </c>
      <c r="BO169" s="54">
        <f t="shared" si="60"/>
        <v>845</v>
      </c>
      <c r="BP169" s="4" t="s">
        <v>560</v>
      </c>
      <c r="BQ169" s="4" t="s">
        <v>89</v>
      </c>
      <c r="BR169" s="18" t="s">
        <v>195</v>
      </c>
      <c r="BS169" s="18" t="s">
        <v>2610</v>
      </c>
      <c r="BT169" s="54" t="str">
        <f t="shared" si="61"/>
        <v>Engineering</v>
      </c>
      <c r="BV169" s="4" t="s">
        <v>560</v>
      </c>
      <c r="BW169" s="4" t="s">
        <v>561</v>
      </c>
      <c r="BX169" s="14" t="s">
        <v>1699</v>
      </c>
      <c r="BY169" s="14" t="s">
        <v>380</v>
      </c>
      <c r="BZ169" s="54" t="str">
        <f t="shared" si="62"/>
        <v>Puspita Nanda</v>
      </c>
      <c r="CB169" s="18" t="s">
        <v>5354</v>
      </c>
      <c r="CC169" s="4" t="s">
        <v>561</v>
      </c>
      <c r="CD169" s="4" t="s">
        <v>90</v>
      </c>
      <c r="CE169" s="54" t="str">
        <v>Not Found</v>
      </c>
      <c r="CG169" s="54" t="str">
        <f>IFERROR(_xlfn.XLOOKUP(Hiring!A169,Hiring!A169:A568,Hiring!B169:B568,,0),"Not Found")</f>
        <v>Jyotirmayee Routray</v>
      </c>
    </row>
    <row r="170" spans="2:85">
      <c r="B170" s="100"/>
      <c r="F170" s="3">
        <v>2.4</v>
      </c>
      <c r="G170" s="52" t="str" cm="1">
        <f t="array" ref="G170">_xlfn.IFS(F170&gt;=4.5,"Excellent",AND(F170&gt;=3.5,F170&lt;=4.4),"Good",F170&lt;3.5,"Needs Improvement")</f>
        <v>Needs Improvement</v>
      </c>
      <c r="I170" s="12">
        <v>120.39</v>
      </c>
      <c r="J170" s="12">
        <v>139.30000000000001</v>
      </c>
      <c r="K170" s="54" t="str">
        <f t="shared" si="46"/>
        <v>Over Budget</v>
      </c>
      <c r="M170" s="19"/>
      <c r="N170" s="19">
        <v>138859</v>
      </c>
      <c r="O170" s="54" t="str">
        <f t="shared" si="63"/>
        <v>Yes</v>
      </c>
      <c r="Q170" s="19">
        <v>8.2100000000000009</v>
      </c>
      <c r="R170" s="56" t="str">
        <f t="shared" si="47"/>
        <v>Yes</v>
      </c>
      <c r="W170" s="19" t="s">
        <v>195</v>
      </c>
      <c r="X170" s="54" t="str">
        <f>VLOOKUP(W170,Employees!$A$1:$B$601,2,FALSE)</f>
        <v>Sangita Jena</v>
      </c>
      <c r="Z170" s="3" t="s">
        <v>563</v>
      </c>
      <c r="AA170" s="54" t="str">
        <f t="shared" si="48"/>
        <v>0169</v>
      </c>
      <c r="AC170" s="3" t="s">
        <v>89</v>
      </c>
      <c r="AD170" s="54" t="str">
        <f t="shared" si="49"/>
        <v>Data Science</v>
      </c>
      <c r="AF170" s="3" t="s">
        <v>564</v>
      </c>
      <c r="AG170" s="3" t="s">
        <v>89</v>
      </c>
      <c r="AH170" s="3" t="s">
        <v>18</v>
      </c>
      <c r="AI170" s="54" t="str">
        <f t="shared" si="50"/>
        <v>Lipsa Pattnaik|Data Science|CoastalDev Studio</v>
      </c>
      <c r="AK170" s="3" t="s">
        <v>564</v>
      </c>
      <c r="AL170" s="38" t="str">
        <f t="shared" si="51"/>
        <v>L.P.</v>
      </c>
      <c r="AN170" s="19" t="s">
        <v>5016</v>
      </c>
      <c r="AO170" s="54" t="b">
        <f t="shared" si="52"/>
        <v>0</v>
      </c>
      <c r="AQ170" s="3" t="s">
        <v>564</v>
      </c>
      <c r="AR170" s="52" t="str">
        <f t="shared" si="53"/>
        <v>NO</v>
      </c>
      <c r="AT170" s="12" t="s">
        <v>1699</v>
      </c>
      <c r="AU170" s="54">
        <f t="shared" si="54"/>
        <v>18</v>
      </c>
      <c r="AW170" s="54">
        <f ca="1">DATEDIF(BI170,TODAY(),"Y")</f>
        <v>3</v>
      </c>
      <c r="AX170" s="54"/>
      <c r="AY170" s="40" t="s">
        <v>5127</v>
      </c>
      <c r="AZ170" s="44">
        <f t="shared" si="55"/>
        <v>45325</v>
      </c>
      <c r="BA170" s="54" t="str">
        <f t="shared" si="56"/>
        <v>2-2024</v>
      </c>
      <c r="BC170" s="13" t="s">
        <v>2077</v>
      </c>
      <c r="BD170" s="13">
        <f t="shared" si="57"/>
        <v>44597</v>
      </c>
      <c r="BE170" s="45" t="s">
        <v>1632</v>
      </c>
      <c r="BF170" s="54" t="str">
        <f t="shared" ca="1" si="58"/>
        <v>Overdue</v>
      </c>
      <c r="BH170" s="3" t="s">
        <v>565</v>
      </c>
      <c r="BI170" s="51">
        <f t="shared" si="64"/>
        <v>44984</v>
      </c>
      <c r="BJ170" s="38">
        <f t="shared" ca="1" si="65"/>
        <v>905</v>
      </c>
      <c r="BK170" s="38"/>
      <c r="BL170" s="38" t="str">
        <f t="shared" si="66"/>
        <v>Q1</v>
      </c>
      <c r="BM170" s="59">
        <f t="shared" si="59"/>
        <v>45325</v>
      </c>
      <c r="BN170" s="51">
        <f t="shared" si="67"/>
        <v>44984</v>
      </c>
      <c r="BO170" s="54">
        <f t="shared" si="60"/>
        <v>341</v>
      </c>
      <c r="BP170" s="3" t="s">
        <v>563</v>
      </c>
      <c r="BQ170" s="3" t="s">
        <v>89</v>
      </c>
      <c r="BR170" s="19" t="s">
        <v>195</v>
      </c>
      <c r="BS170" s="19" t="s">
        <v>2613</v>
      </c>
      <c r="BT170" s="54" t="str">
        <f t="shared" si="61"/>
        <v>Engineering</v>
      </c>
      <c r="BV170" s="3" t="s">
        <v>563</v>
      </c>
      <c r="BW170" s="3" t="s">
        <v>564</v>
      </c>
      <c r="BX170" s="12" t="s">
        <v>1699</v>
      </c>
      <c r="BY170" s="12" t="s">
        <v>530</v>
      </c>
      <c r="BZ170" s="54" t="str">
        <f t="shared" si="62"/>
        <v>Debasmita Pattnaik</v>
      </c>
      <c r="CB170" s="19" t="s">
        <v>31</v>
      </c>
      <c r="CC170" s="3" t="s">
        <v>564</v>
      </c>
      <c r="CD170" s="3" t="s">
        <v>90</v>
      </c>
      <c r="CE170" s="54" t="str">
        <v>SRE</v>
      </c>
      <c r="CG170" s="54" t="str">
        <f>IFERROR(_xlfn.XLOOKUP(Hiring!A170,Hiring!A170:A569,Hiring!B170:B569,,0),"Not Found")</f>
        <v>Subhasree Dhal</v>
      </c>
    </row>
    <row r="171" spans="2:85">
      <c r="B171" s="100"/>
      <c r="F171" s="4">
        <v>0</v>
      </c>
      <c r="G171" s="52" t="str" cm="1">
        <f t="array" ref="G171">_xlfn.IFS(F171&gt;=4.5,"Excellent",AND(F171&gt;=3.5,F171&lt;=4.4),"Good",F171&lt;3.5,"Needs Improvement")</f>
        <v>Needs Improvement</v>
      </c>
      <c r="I171" s="14">
        <v>35.75</v>
      </c>
      <c r="J171" s="14">
        <v>33.840000000000003</v>
      </c>
      <c r="K171" s="54" t="str">
        <f t="shared" si="46"/>
        <v>Within Budget</v>
      </c>
      <c r="M171" s="18"/>
      <c r="N171" s="18">
        <v>183772</v>
      </c>
      <c r="O171" s="54" t="str">
        <f t="shared" si="63"/>
        <v>Yes</v>
      </c>
      <c r="Q171" s="18">
        <v>6.8</v>
      </c>
      <c r="R171" s="56" t="str">
        <f t="shared" si="47"/>
        <v>Yes</v>
      </c>
      <c r="W171" s="18" t="s">
        <v>195</v>
      </c>
      <c r="X171" s="54" t="str">
        <f>VLOOKUP(W171,Employees!$A$1:$B$601,2,FALSE)</f>
        <v>Sangita Jena</v>
      </c>
      <c r="Z171" s="4" t="s">
        <v>566</v>
      </c>
      <c r="AA171" s="54" t="str">
        <f t="shared" si="48"/>
        <v>0170</v>
      </c>
      <c r="AC171" s="4" t="s">
        <v>51</v>
      </c>
      <c r="AD171" s="54" t="str">
        <f t="shared" si="49"/>
        <v>Sales</v>
      </c>
      <c r="AF171" s="4" t="s">
        <v>567</v>
      </c>
      <c r="AG171" s="4" t="s">
        <v>51</v>
      </c>
      <c r="AH171" s="4" t="s">
        <v>65</v>
      </c>
      <c r="AI171" s="54" t="str">
        <f t="shared" si="50"/>
        <v>Abhishek Sahu|Sales|TributeAI</v>
      </c>
      <c r="AK171" s="4" t="s">
        <v>567</v>
      </c>
      <c r="AL171" s="38" t="str">
        <f t="shared" si="51"/>
        <v>A.S.</v>
      </c>
      <c r="AN171" s="18" t="s">
        <v>5019</v>
      </c>
      <c r="AO171" s="54" t="str">
        <f t="shared" si="52"/>
        <v>Linkedln</v>
      </c>
      <c r="AQ171" s="4" t="s">
        <v>567</v>
      </c>
      <c r="AR171" s="52" t="str">
        <f t="shared" si="53"/>
        <v>NO</v>
      </c>
      <c r="AT171" s="14" t="s">
        <v>1709</v>
      </c>
      <c r="AU171" s="54">
        <f t="shared" si="54"/>
        <v>18</v>
      </c>
      <c r="AW171" s="54">
        <f ca="1">DATEDIF(BI171,TODAY(),"Y")</f>
        <v>6</v>
      </c>
      <c r="AX171" s="54"/>
      <c r="AY171" s="41" t="s">
        <v>1435</v>
      </c>
      <c r="AZ171" s="44">
        <f t="shared" si="55"/>
        <v>45465</v>
      </c>
      <c r="BA171" s="54" t="str">
        <f t="shared" si="56"/>
        <v>6-2024</v>
      </c>
      <c r="BC171" s="15" t="s">
        <v>1384</v>
      </c>
      <c r="BD171" s="13">
        <f t="shared" si="57"/>
        <v>44642</v>
      </c>
      <c r="BE171" s="46" t="s">
        <v>1638</v>
      </c>
      <c r="BF171" s="54" t="str">
        <f t="shared" ca="1" si="58"/>
        <v>On Track</v>
      </c>
      <c r="BH171" s="4" t="s">
        <v>568</v>
      </c>
      <c r="BI171" s="51">
        <f t="shared" si="64"/>
        <v>44002</v>
      </c>
      <c r="BJ171" s="38">
        <f t="shared" ca="1" si="65"/>
        <v>1605</v>
      </c>
      <c r="BK171" s="38"/>
      <c r="BL171" s="38" t="str">
        <f t="shared" si="66"/>
        <v>No</v>
      </c>
      <c r="BM171" s="59">
        <f t="shared" si="59"/>
        <v>45465</v>
      </c>
      <c r="BN171" s="51">
        <f t="shared" si="67"/>
        <v>44002</v>
      </c>
      <c r="BO171" s="54">
        <f t="shared" si="60"/>
        <v>1463</v>
      </c>
      <c r="BP171" s="4" t="s">
        <v>566</v>
      </c>
      <c r="BQ171" s="4" t="s">
        <v>51</v>
      </c>
      <c r="BR171" s="18" t="s">
        <v>195</v>
      </c>
      <c r="BS171" s="18" t="s">
        <v>2615</v>
      </c>
      <c r="BT171" s="54" t="str">
        <f t="shared" si="61"/>
        <v>Engineering</v>
      </c>
      <c r="BV171" s="4" t="s">
        <v>566</v>
      </c>
      <c r="BW171" s="4" t="s">
        <v>567</v>
      </c>
      <c r="BX171" s="14" t="s">
        <v>1709</v>
      </c>
      <c r="BY171" s="14" t="s">
        <v>999</v>
      </c>
      <c r="BZ171" s="54" t="str">
        <f t="shared" si="62"/>
        <v>Subhasree Pattnaik</v>
      </c>
      <c r="CB171" s="18" t="s">
        <v>5357</v>
      </c>
      <c r="CC171" s="4" t="s">
        <v>567</v>
      </c>
      <c r="CD171" s="4" t="s">
        <v>69</v>
      </c>
      <c r="CE171" s="54" t="str">
        <v>Not Found</v>
      </c>
      <c r="CG171" s="54" t="str">
        <f>IFERROR(_xlfn.XLOOKUP(Hiring!A171,Hiring!A171:A570,Hiring!B171:B570,,0),"Not Found")</f>
        <v>Sangita Prusty</v>
      </c>
    </row>
    <row r="172" spans="2:85">
      <c r="B172" s="100"/>
      <c r="F172" s="3">
        <v>2.5</v>
      </c>
      <c r="G172" s="52" t="str" cm="1">
        <f t="array" ref="G172">_xlfn.IFS(F172&gt;=4.5,"Excellent",AND(F172&gt;=3.5,F172&lt;=4.4),"Good",F172&lt;3.5,"Needs Improvement")</f>
        <v>Needs Improvement</v>
      </c>
      <c r="I172" s="12"/>
      <c r="J172" s="12">
        <v>30.93</v>
      </c>
      <c r="K172" s="54" t="str">
        <f t="shared" si="46"/>
        <v>Over Budget</v>
      </c>
      <c r="M172" s="19">
        <v>153566</v>
      </c>
      <c r="N172" s="19">
        <v>179364</v>
      </c>
      <c r="O172" s="54" t="str">
        <f t="shared" si="63"/>
        <v>Yes</v>
      </c>
      <c r="Q172" s="19">
        <v>7.19</v>
      </c>
      <c r="R172" s="56" t="str">
        <f t="shared" si="47"/>
        <v>Yes</v>
      </c>
      <c r="W172" s="19" t="s">
        <v>195</v>
      </c>
      <c r="X172" s="54" t="str">
        <f>VLOOKUP(W172,Employees!$A$1:$B$601,2,FALSE)</f>
        <v>Sangita Jena</v>
      </c>
      <c r="Z172" s="3" t="s">
        <v>569</v>
      </c>
      <c r="AA172" s="54" t="str">
        <f t="shared" si="48"/>
        <v>0171</v>
      </c>
      <c r="AC172" s="3" t="s">
        <v>39</v>
      </c>
      <c r="AD172" s="54" t="str">
        <f t="shared" si="49"/>
        <v>Engineering</v>
      </c>
      <c r="AF172" s="3" t="s">
        <v>570</v>
      </c>
      <c r="AG172" s="3" t="s">
        <v>39</v>
      </c>
      <c r="AH172" s="3" t="s">
        <v>53</v>
      </c>
      <c r="AI172" s="54" t="str">
        <f t="shared" si="50"/>
        <v>Rahul Parida|Engineering|BlueLotus IT</v>
      </c>
      <c r="AK172" s="3" t="s">
        <v>570</v>
      </c>
      <c r="AL172" s="38" t="str">
        <f t="shared" si="51"/>
        <v>R.P.</v>
      </c>
      <c r="AN172" s="19" t="s">
        <v>5016</v>
      </c>
      <c r="AO172" s="54" t="b">
        <f t="shared" si="52"/>
        <v>0</v>
      </c>
      <c r="AQ172" s="3" t="s">
        <v>570</v>
      </c>
      <c r="AR172" s="52" t="str">
        <f t="shared" si="53"/>
        <v>NO</v>
      </c>
      <c r="AT172" s="12" t="s">
        <v>1705</v>
      </c>
      <c r="AU172" s="54">
        <f t="shared" si="54"/>
        <v>13</v>
      </c>
      <c r="AW172" s="54">
        <f ca="1">DATEDIF(BI172,TODAY(),"Y")</f>
        <v>3</v>
      </c>
      <c r="AX172" s="54"/>
      <c r="AY172" s="40" t="s">
        <v>1764</v>
      </c>
      <c r="AZ172" s="44">
        <f t="shared" si="55"/>
        <v>45365</v>
      </c>
      <c r="BA172" s="54" t="str">
        <f t="shared" si="56"/>
        <v>3-2024</v>
      </c>
      <c r="BC172" s="13" t="s">
        <v>2082</v>
      </c>
      <c r="BD172" s="13">
        <f t="shared" si="57"/>
        <v>44378</v>
      </c>
      <c r="BE172" s="45" t="s">
        <v>1632</v>
      </c>
      <c r="BF172" s="54" t="str">
        <f t="shared" ca="1" si="58"/>
        <v>Overdue</v>
      </c>
      <c r="BH172" s="3" t="s">
        <v>571</v>
      </c>
      <c r="BI172" s="51">
        <f t="shared" si="64"/>
        <v>45017</v>
      </c>
      <c r="BJ172" s="38">
        <f t="shared" ca="1" si="65"/>
        <v>880</v>
      </c>
      <c r="BK172" s="38"/>
      <c r="BL172" s="38" t="str">
        <f t="shared" si="66"/>
        <v>No</v>
      </c>
      <c r="BM172" s="59">
        <f t="shared" si="59"/>
        <v>45365</v>
      </c>
      <c r="BN172" s="51">
        <f t="shared" si="67"/>
        <v>45017</v>
      </c>
      <c r="BO172" s="54">
        <f t="shared" si="60"/>
        <v>348</v>
      </c>
      <c r="BP172" s="3" t="s">
        <v>569</v>
      </c>
      <c r="BQ172" s="3" t="s">
        <v>39</v>
      </c>
      <c r="BR172" s="19" t="s">
        <v>195</v>
      </c>
      <c r="BS172" s="19" t="s">
        <v>2618</v>
      </c>
      <c r="BT172" s="54" t="str">
        <f t="shared" si="61"/>
        <v>Engineering</v>
      </c>
      <c r="BV172" s="3" t="s">
        <v>569</v>
      </c>
      <c r="BW172" s="3" t="s">
        <v>570</v>
      </c>
      <c r="BX172" s="12" t="s">
        <v>1705</v>
      </c>
      <c r="BY172" s="12" t="s">
        <v>249</v>
      </c>
      <c r="BZ172" s="54" t="str">
        <f t="shared" si="62"/>
        <v>Aditya Choudhury</v>
      </c>
      <c r="CB172" s="19" t="s">
        <v>1128</v>
      </c>
      <c r="CC172" s="3" t="s">
        <v>570</v>
      </c>
      <c r="CD172" s="3" t="s">
        <v>109</v>
      </c>
      <c r="CE172" s="54" t="str">
        <v>Account Manager</v>
      </c>
      <c r="CG172" s="54" t="str">
        <f>IFERROR(_xlfn.XLOOKUP(Hiring!A172,Hiring!A172:A571,Hiring!B172:B571,,0),"Not Found")</f>
        <v>Debasmita Jena</v>
      </c>
    </row>
    <row r="173" spans="2:85">
      <c r="B173" s="100"/>
      <c r="F173" s="4">
        <v>1.6</v>
      </c>
      <c r="G173" s="52" t="str" cm="1">
        <f t="array" ref="G173">_xlfn.IFS(F173&gt;=4.5,"Excellent",AND(F173&gt;=3.5,F173&lt;=4.4),"Good",F173&lt;3.5,"Needs Improvement")</f>
        <v>Needs Improvement</v>
      </c>
      <c r="I173" s="14">
        <v>107.65</v>
      </c>
      <c r="J173" s="14">
        <v>114.34</v>
      </c>
      <c r="K173" s="54" t="str">
        <f t="shared" si="46"/>
        <v>Over Budget</v>
      </c>
      <c r="M173" s="18">
        <v>144178</v>
      </c>
      <c r="N173" s="18">
        <v>133051</v>
      </c>
      <c r="O173" s="54" t="str">
        <f t="shared" si="63"/>
        <v>Yes</v>
      </c>
      <c r="Q173" s="18">
        <v>9.0299999999999994</v>
      </c>
      <c r="R173" s="56" t="str">
        <f t="shared" si="47"/>
        <v>Yes</v>
      </c>
      <c r="W173" s="18" t="s">
        <v>195</v>
      </c>
      <c r="X173" s="54" t="str">
        <f>VLOOKUP(W173,Employees!$A$1:$B$601,2,FALSE)</f>
        <v>Sangita Jena</v>
      </c>
      <c r="Z173" s="4" t="s">
        <v>572</v>
      </c>
      <c r="AA173" s="54" t="str">
        <f t="shared" si="48"/>
        <v>0172</v>
      </c>
      <c r="AC173" s="4" t="s">
        <v>84</v>
      </c>
      <c r="AD173" s="54" t="str">
        <f t="shared" si="49"/>
        <v>Hr</v>
      </c>
      <c r="AF173" s="4" t="s">
        <v>573</v>
      </c>
      <c r="AG173" s="4" t="s">
        <v>84</v>
      </c>
      <c r="AH173" s="4" t="s">
        <v>214</v>
      </c>
      <c r="AI173" s="54" t="str">
        <f t="shared" si="50"/>
        <v>Alka Sahoo|HR|ZeroOneSystems</v>
      </c>
      <c r="AK173" s="4" t="s">
        <v>573</v>
      </c>
      <c r="AL173" s="38" t="str">
        <f t="shared" si="51"/>
        <v>A.S.</v>
      </c>
      <c r="AN173" s="18" t="s">
        <v>5051</v>
      </c>
      <c r="AO173" s="54" t="str">
        <f t="shared" si="52"/>
        <v>Naukri</v>
      </c>
      <c r="AQ173" s="4" t="s">
        <v>573</v>
      </c>
      <c r="AR173" s="52" t="str">
        <f t="shared" si="53"/>
        <v>NO</v>
      </c>
      <c r="AT173" s="14" t="s">
        <v>1709</v>
      </c>
      <c r="AU173" s="54">
        <f t="shared" si="54"/>
        <v>18</v>
      </c>
      <c r="AW173" s="54">
        <f ca="1">DATEDIF(BI173,TODAY(),"Y")</f>
        <v>3</v>
      </c>
      <c r="AX173" s="54"/>
      <c r="AY173" s="41" t="s">
        <v>5127</v>
      </c>
      <c r="AZ173" s="44">
        <f t="shared" si="55"/>
        <v>45325</v>
      </c>
      <c r="BA173" s="54" t="str">
        <f t="shared" si="56"/>
        <v>2-2024</v>
      </c>
      <c r="BC173" s="15" t="s">
        <v>674</v>
      </c>
      <c r="BD173" s="13">
        <f t="shared" si="57"/>
        <v>45454</v>
      </c>
      <c r="BE173" s="46" t="s">
        <v>1656</v>
      </c>
      <c r="BF173" s="54" t="str">
        <f t="shared" ca="1" si="58"/>
        <v>Overdue</v>
      </c>
      <c r="BH173" s="4" t="s">
        <v>574</v>
      </c>
      <c r="BI173" s="51">
        <f t="shared" si="64"/>
        <v>44942</v>
      </c>
      <c r="BJ173" s="38">
        <f t="shared" ca="1" si="65"/>
        <v>935</v>
      </c>
      <c r="BK173" s="38"/>
      <c r="BL173" s="38" t="str">
        <f t="shared" si="66"/>
        <v>Q1</v>
      </c>
      <c r="BM173" s="59">
        <f t="shared" si="59"/>
        <v>45325</v>
      </c>
      <c r="BN173" s="51">
        <f t="shared" si="67"/>
        <v>44942</v>
      </c>
      <c r="BO173" s="54">
        <f t="shared" si="60"/>
        <v>383</v>
      </c>
      <c r="BP173" s="4" t="s">
        <v>572</v>
      </c>
      <c r="BQ173" s="4" t="s">
        <v>84</v>
      </c>
      <c r="BR173" s="18" t="s">
        <v>195</v>
      </c>
      <c r="BS173" s="18" t="s">
        <v>2621</v>
      </c>
      <c r="BT173" s="54" t="str">
        <f t="shared" si="61"/>
        <v>Engineering</v>
      </c>
      <c r="BV173" s="4" t="s">
        <v>572</v>
      </c>
      <c r="BW173" s="4" t="s">
        <v>573</v>
      </c>
      <c r="BX173" s="14" t="s">
        <v>1709</v>
      </c>
      <c r="BY173" s="14" t="s">
        <v>265</v>
      </c>
      <c r="BZ173" s="54" t="str">
        <f t="shared" si="62"/>
        <v>Nirmal Sahoo</v>
      </c>
      <c r="CB173" s="18" t="s">
        <v>5196</v>
      </c>
      <c r="CC173" s="4" t="s">
        <v>573</v>
      </c>
      <c r="CD173" s="4" t="s">
        <v>204</v>
      </c>
      <c r="CE173" s="54" t="str">
        <v>Not Found</v>
      </c>
      <c r="CG173" s="54" t="str">
        <f>IFERROR(_xlfn.XLOOKUP(Hiring!A173,Hiring!A173:A572,Hiring!B173:B572,,0),"Not Found")</f>
        <v>Bikash Pattnaik</v>
      </c>
    </row>
    <row r="174" spans="2:85">
      <c r="B174" s="100"/>
      <c r="F174" s="3">
        <v>2.8</v>
      </c>
      <c r="G174" s="52" t="str" cm="1">
        <f t="array" ref="G174">_xlfn.IFS(F174&gt;=4.5,"Excellent",AND(F174&gt;=3.5,F174&lt;=4.4),"Good",F174&lt;3.5,"Needs Improvement")</f>
        <v>Needs Improvement</v>
      </c>
      <c r="I174" s="12">
        <v>186.74</v>
      </c>
      <c r="J174" s="12">
        <v>168.33</v>
      </c>
      <c r="K174" s="54" t="str">
        <f t="shared" si="46"/>
        <v>Within Budget</v>
      </c>
      <c r="M174" s="19">
        <v>36700</v>
      </c>
      <c r="N174" s="19">
        <v>42371</v>
      </c>
      <c r="O174" s="54" t="str">
        <f t="shared" si="63"/>
        <v>Yes</v>
      </c>
      <c r="Q174" s="19">
        <v>10.4</v>
      </c>
      <c r="R174" s="56" t="str">
        <f t="shared" si="47"/>
        <v>Yes</v>
      </c>
      <c r="W174" s="19" t="s">
        <v>861</v>
      </c>
      <c r="X174" s="54" t="str">
        <f>VLOOKUP(W174,Employees!$A$1:$B$601,2,FALSE)</f>
        <v>Smita Mohapatra</v>
      </c>
      <c r="Z174" s="3" t="s">
        <v>575</v>
      </c>
      <c r="AA174" s="54" t="str">
        <f t="shared" si="48"/>
        <v>0173</v>
      </c>
      <c r="AC174" s="3" t="s">
        <v>133</v>
      </c>
      <c r="AD174" s="54" t="str">
        <f t="shared" si="49"/>
        <v>Qa</v>
      </c>
      <c r="AF174" s="3" t="s">
        <v>576</v>
      </c>
      <c r="AG174" s="3" t="s">
        <v>133</v>
      </c>
      <c r="AH174" s="3" t="s">
        <v>18</v>
      </c>
      <c r="AI174" s="54" t="str">
        <f t="shared" si="50"/>
        <v>Prasant Samal|QA|CoastalDev Studio</v>
      </c>
      <c r="AK174" s="3" t="s">
        <v>576</v>
      </c>
      <c r="AL174" s="38" t="str">
        <f t="shared" si="51"/>
        <v>P.S.</v>
      </c>
      <c r="AN174" s="19" t="s">
        <v>5023</v>
      </c>
      <c r="AO174" s="54" t="str">
        <f t="shared" si="52"/>
        <v>Linkedln</v>
      </c>
      <c r="AQ174" s="3" t="s">
        <v>576</v>
      </c>
      <c r="AR174" s="52" t="str">
        <f t="shared" si="53"/>
        <v>NO</v>
      </c>
      <c r="AT174" s="12" t="s">
        <v>1739</v>
      </c>
      <c r="AU174" s="54">
        <f t="shared" si="54"/>
        <v>10</v>
      </c>
      <c r="AW174" s="54">
        <f ca="1">DATEDIF(BI174,TODAY(),"Y")</f>
        <v>3</v>
      </c>
      <c r="AX174" s="54"/>
      <c r="AY174" s="40" t="s">
        <v>1920</v>
      </c>
      <c r="AZ174" s="44">
        <f t="shared" si="55"/>
        <v>45431</v>
      </c>
      <c r="BA174" s="54" t="str">
        <f t="shared" si="56"/>
        <v>5-2024</v>
      </c>
      <c r="BC174" s="13" t="s">
        <v>596</v>
      </c>
      <c r="BD174" s="13">
        <f t="shared" si="57"/>
        <v>44753</v>
      </c>
      <c r="BE174" s="45" t="s">
        <v>1614</v>
      </c>
      <c r="BF174" s="54" t="str">
        <f t="shared" ca="1" si="58"/>
        <v>Overdue</v>
      </c>
      <c r="BH174" s="3" t="s">
        <v>577</v>
      </c>
      <c r="BI174" s="51">
        <f t="shared" si="64"/>
        <v>44947</v>
      </c>
      <c r="BJ174" s="38">
        <f t="shared" ca="1" si="65"/>
        <v>930</v>
      </c>
      <c r="BK174" s="38"/>
      <c r="BL174" s="38" t="str">
        <f t="shared" si="66"/>
        <v>Q1</v>
      </c>
      <c r="BM174" s="59">
        <f t="shared" si="59"/>
        <v>45431</v>
      </c>
      <c r="BN174" s="51">
        <f t="shared" si="67"/>
        <v>44947</v>
      </c>
      <c r="BO174" s="54">
        <f t="shared" si="60"/>
        <v>484</v>
      </c>
      <c r="BP174" s="3" t="s">
        <v>575</v>
      </c>
      <c r="BQ174" s="3" t="s">
        <v>133</v>
      </c>
      <c r="BR174" s="19" t="s">
        <v>861</v>
      </c>
      <c r="BS174" s="19" t="s">
        <v>2623</v>
      </c>
      <c r="BT174" s="54" t="str">
        <f t="shared" si="61"/>
        <v>Product</v>
      </c>
      <c r="BV174" s="3" t="s">
        <v>575</v>
      </c>
      <c r="BW174" s="3" t="s">
        <v>576</v>
      </c>
      <c r="BX174" s="12" t="s">
        <v>1739</v>
      </c>
      <c r="BY174" s="12" t="s">
        <v>1370</v>
      </c>
      <c r="BZ174" s="54" t="str">
        <f t="shared" si="62"/>
        <v>Sudhansu Senapati</v>
      </c>
      <c r="CB174" s="19" t="s">
        <v>5361</v>
      </c>
      <c r="CC174" s="3" t="s">
        <v>576</v>
      </c>
      <c r="CD174" s="3" t="s">
        <v>162</v>
      </c>
      <c r="CE174" s="54" t="str">
        <v>Not Found</v>
      </c>
      <c r="CG174" s="54" t="str">
        <f>IFERROR(_xlfn.XLOOKUP(Hiring!A174,Hiring!A174:A573,Hiring!B174:B573,,0),"Not Found")</f>
        <v>Bikash Tripathy</v>
      </c>
    </row>
    <row r="175" spans="2:85">
      <c r="B175" s="100"/>
      <c r="F175" s="4">
        <v>4.0999999999999996</v>
      </c>
      <c r="G175" s="52" t="str" cm="1">
        <f t="array" ref="G175">_xlfn.IFS(F175&gt;=4.5,"Excellent",AND(F175&gt;=3.5,F175&lt;=4.4),"Good",F175&lt;3.5,"Needs Improvement")</f>
        <v>Good</v>
      </c>
      <c r="I175" s="14">
        <v>148.62</v>
      </c>
      <c r="J175" s="14">
        <v>150.35</v>
      </c>
      <c r="K175" s="54" t="str">
        <f t="shared" si="46"/>
        <v>Over Budget</v>
      </c>
      <c r="M175" s="18">
        <v>56814</v>
      </c>
      <c r="N175" s="18">
        <v>54730</v>
      </c>
      <c r="O175" s="54" t="str">
        <f t="shared" si="63"/>
        <v>Yes</v>
      </c>
      <c r="Q175" s="18">
        <v>6.89</v>
      </c>
      <c r="R175" s="56" t="str">
        <f t="shared" si="47"/>
        <v>Yes</v>
      </c>
      <c r="W175" s="18" t="s">
        <v>861</v>
      </c>
      <c r="X175" s="54" t="str">
        <f>VLOOKUP(W175,Employees!$A$1:$B$601,2,FALSE)</f>
        <v>Smita Mohapatra</v>
      </c>
      <c r="Z175" s="4" t="s">
        <v>578</v>
      </c>
      <c r="AA175" s="54" t="str">
        <f t="shared" si="48"/>
        <v>0174</v>
      </c>
      <c r="AC175" s="4" t="s">
        <v>24</v>
      </c>
      <c r="AD175" s="54" t="str">
        <f t="shared" si="49"/>
        <v>Design</v>
      </c>
      <c r="AF175" s="4" t="s">
        <v>579</v>
      </c>
      <c r="AG175" s="4" t="s">
        <v>24</v>
      </c>
      <c r="AH175" s="4" t="s">
        <v>114</v>
      </c>
      <c r="AI175" s="54" t="str">
        <f t="shared" si="50"/>
        <v>Ipsita Mohapatra|Design|UtkalSoft Technologies</v>
      </c>
      <c r="AK175" s="4" t="s">
        <v>579</v>
      </c>
      <c r="AL175" s="38" t="str">
        <f t="shared" si="51"/>
        <v>I.M.</v>
      </c>
      <c r="AN175" s="18" t="s">
        <v>5031</v>
      </c>
      <c r="AO175" s="54" t="b">
        <f t="shared" si="52"/>
        <v>0</v>
      </c>
      <c r="AQ175" s="4" t="s">
        <v>579</v>
      </c>
      <c r="AR175" s="52" t="str">
        <f t="shared" si="53"/>
        <v>NO</v>
      </c>
      <c r="AT175" s="14" t="s">
        <v>1763</v>
      </c>
      <c r="AU175" s="54">
        <f t="shared" si="54"/>
        <v>19</v>
      </c>
      <c r="AW175" s="54">
        <f ca="1">DATEDIF(BI175,TODAY(),"Y")</f>
        <v>8</v>
      </c>
      <c r="AX175" s="54"/>
      <c r="AY175" s="41" t="s">
        <v>5363</v>
      </c>
      <c r="AZ175" s="44">
        <f t="shared" si="55"/>
        <v>45002</v>
      </c>
      <c r="BA175" s="54" t="str">
        <f t="shared" si="56"/>
        <v>3-2023</v>
      </c>
      <c r="BC175" s="15" t="s">
        <v>2088</v>
      </c>
      <c r="BD175" s="13">
        <f t="shared" si="57"/>
        <v>45341</v>
      </c>
      <c r="BE175" s="46" t="s">
        <v>1614</v>
      </c>
      <c r="BF175" s="54" t="str">
        <f t="shared" ca="1" si="58"/>
        <v>Overdue</v>
      </c>
      <c r="BH175" s="4" t="s">
        <v>580</v>
      </c>
      <c r="BI175" s="51">
        <f t="shared" si="64"/>
        <v>43310</v>
      </c>
      <c r="BJ175" s="38">
        <f t="shared" ca="1" si="65"/>
        <v>2100</v>
      </c>
      <c r="BK175" s="38"/>
      <c r="BL175" s="38" t="str">
        <f t="shared" si="66"/>
        <v>No</v>
      </c>
      <c r="BM175" s="59">
        <f t="shared" si="59"/>
        <v>45002</v>
      </c>
      <c r="BN175" s="51">
        <f t="shared" si="67"/>
        <v>43310</v>
      </c>
      <c r="BO175" s="54">
        <f t="shared" si="60"/>
        <v>1692</v>
      </c>
      <c r="BP175" s="4" t="s">
        <v>578</v>
      </c>
      <c r="BQ175" s="4" t="s">
        <v>24</v>
      </c>
      <c r="BR175" s="18" t="s">
        <v>861</v>
      </c>
      <c r="BS175" s="18" t="s">
        <v>2625</v>
      </c>
      <c r="BT175" s="54" t="str">
        <f t="shared" si="61"/>
        <v>Product</v>
      </c>
      <c r="BV175" s="4" t="s">
        <v>578</v>
      </c>
      <c r="BW175" s="4" t="s">
        <v>579</v>
      </c>
      <c r="BX175" s="14" t="s">
        <v>1763</v>
      </c>
      <c r="BY175" s="14" t="s">
        <v>1490</v>
      </c>
      <c r="BZ175" s="54" t="str">
        <f t="shared" si="62"/>
        <v>Ranjit Jena</v>
      </c>
      <c r="CB175" s="18" t="s">
        <v>1145</v>
      </c>
      <c r="CC175" s="4" t="s">
        <v>579</v>
      </c>
      <c r="CD175" s="4" t="s">
        <v>45</v>
      </c>
      <c r="CE175" s="54" t="str">
        <v>Design Lead</v>
      </c>
      <c r="CG175" s="54" t="str">
        <f>IFERROR(_xlfn.XLOOKUP(Hiring!A175,Hiring!A175:A574,Hiring!B175:B574,,0),"Not Found")</f>
        <v>Satyajit Pattnaik</v>
      </c>
    </row>
    <row r="176" spans="2:85">
      <c r="B176" s="100"/>
      <c r="F176" s="3">
        <v>4.5999999999999996</v>
      </c>
      <c r="G176" s="52" t="str" cm="1">
        <f t="array" ref="G176">_xlfn.IFS(F176&gt;=4.5,"Excellent",AND(F176&gt;=3.5,F176&lt;=4.4),"Good",F176&lt;3.5,"Needs Improvement")</f>
        <v>Excellent</v>
      </c>
      <c r="I176" s="12">
        <v>118.1</v>
      </c>
      <c r="J176" s="12">
        <v>108.39</v>
      </c>
      <c r="K176" s="54" t="str">
        <f t="shared" si="46"/>
        <v>Within Budget</v>
      </c>
      <c r="M176" s="19">
        <v>216621</v>
      </c>
      <c r="N176" s="19">
        <v>194025</v>
      </c>
      <c r="O176" s="54" t="str">
        <f t="shared" si="63"/>
        <v>Yes</v>
      </c>
      <c r="Q176" s="19"/>
      <c r="R176" s="56" t="str">
        <f t="shared" si="47"/>
        <v>No</v>
      </c>
      <c r="W176" s="19" t="s">
        <v>861</v>
      </c>
      <c r="X176" s="54" t="str">
        <f>VLOOKUP(W176,Employees!$A$1:$B$601,2,FALSE)</f>
        <v>Smita Mohapatra</v>
      </c>
      <c r="Z176" s="3" t="s">
        <v>581</v>
      </c>
      <c r="AA176" s="54" t="str">
        <f t="shared" si="48"/>
        <v>0175</v>
      </c>
      <c r="AC176" s="3" t="s">
        <v>51</v>
      </c>
      <c r="AD176" s="54" t="str">
        <f t="shared" si="49"/>
        <v>Sales</v>
      </c>
      <c r="AF176" s="3" t="s">
        <v>582</v>
      </c>
      <c r="AG176" s="3" t="s">
        <v>51</v>
      </c>
      <c r="AH176" s="3" t="s">
        <v>149</v>
      </c>
      <c r="AI176" s="54" t="str">
        <f t="shared" si="50"/>
        <v>Dibya Ratha|Sales|SilverByte Systems</v>
      </c>
      <c r="AK176" s="3" t="s">
        <v>582</v>
      </c>
      <c r="AL176" s="38" t="str">
        <f t="shared" si="51"/>
        <v>D.R.</v>
      </c>
      <c r="AN176" s="19" t="s">
        <v>5019</v>
      </c>
      <c r="AO176" s="54" t="str">
        <f t="shared" si="52"/>
        <v>Linkedln</v>
      </c>
      <c r="AQ176" s="3" t="s">
        <v>582</v>
      </c>
      <c r="AR176" s="52" t="str">
        <f t="shared" si="53"/>
        <v>NO</v>
      </c>
      <c r="AT176" s="12" t="s">
        <v>1693</v>
      </c>
      <c r="AU176" s="54">
        <f t="shared" si="54"/>
        <v>17</v>
      </c>
      <c r="AW176" s="54">
        <f ca="1">DATEDIF(BI176,TODAY(),"Y")</f>
        <v>6</v>
      </c>
      <c r="AX176" s="54"/>
      <c r="AY176" s="40" t="s">
        <v>869</v>
      </c>
      <c r="AZ176" s="44">
        <f t="shared" si="55"/>
        <v>45438</v>
      </c>
      <c r="BA176" s="54" t="str">
        <f t="shared" si="56"/>
        <v>5-2024</v>
      </c>
      <c r="BC176" s="13" t="s">
        <v>1926</v>
      </c>
      <c r="BD176" s="13">
        <f t="shared" si="57"/>
        <v>45061</v>
      </c>
      <c r="BE176" s="45" t="s">
        <v>1656</v>
      </c>
      <c r="BF176" s="54" t="str">
        <f t="shared" ca="1" si="58"/>
        <v>Overdue</v>
      </c>
      <c r="BH176" s="3" t="s">
        <v>583</v>
      </c>
      <c r="BI176" s="51">
        <f t="shared" si="64"/>
        <v>43762</v>
      </c>
      <c r="BJ176" s="38">
        <f t="shared" ca="1" si="65"/>
        <v>1777</v>
      </c>
      <c r="BK176" s="38"/>
      <c r="BL176" s="38" t="str">
        <f t="shared" si="66"/>
        <v>No</v>
      </c>
      <c r="BM176" s="59">
        <f t="shared" si="59"/>
        <v>45438</v>
      </c>
      <c r="BN176" s="51">
        <f t="shared" si="67"/>
        <v>43762</v>
      </c>
      <c r="BO176" s="54">
        <f t="shared" si="60"/>
        <v>1676</v>
      </c>
      <c r="BP176" s="3" t="s">
        <v>581</v>
      </c>
      <c r="BQ176" s="3" t="s">
        <v>51</v>
      </c>
      <c r="BR176" s="19" t="s">
        <v>861</v>
      </c>
      <c r="BS176" s="19" t="s">
        <v>2626</v>
      </c>
      <c r="BT176" s="54" t="str">
        <f t="shared" si="61"/>
        <v>Product</v>
      </c>
      <c r="BV176" s="3" t="s">
        <v>581</v>
      </c>
      <c r="BW176" s="3" t="s">
        <v>582</v>
      </c>
      <c r="BX176" s="12" t="s">
        <v>1693</v>
      </c>
      <c r="BY176" s="12" t="s">
        <v>13</v>
      </c>
      <c r="BZ176" s="54" t="str">
        <f t="shared" si="62"/>
        <v>Priyanka Jena</v>
      </c>
      <c r="CB176" s="19" t="s">
        <v>1125</v>
      </c>
      <c r="CC176" s="3" t="s">
        <v>582</v>
      </c>
      <c r="CD176" s="3" t="s">
        <v>52</v>
      </c>
      <c r="CE176" s="54" t="str">
        <v>Digital Marketer</v>
      </c>
      <c r="CG176" s="54" t="str">
        <f>IFERROR(_xlfn.XLOOKUP(Hiring!A176,Hiring!A176:A575,Hiring!B176:B575,,0),"Not Found")</f>
        <v>Priyanka Samal</v>
      </c>
    </row>
    <row r="177" spans="2:85">
      <c r="B177" s="100"/>
      <c r="F177" s="4">
        <v>2.9</v>
      </c>
      <c r="G177" s="52" t="str" cm="1">
        <f t="array" ref="G177">_xlfn.IFS(F177&gt;=4.5,"Excellent",AND(F177&gt;=3.5,F177&lt;=4.4),"Good",F177&lt;3.5,"Needs Improvement")</f>
        <v>Needs Improvement</v>
      </c>
      <c r="I177" s="14">
        <v>52.97</v>
      </c>
      <c r="J177" s="14">
        <v>66.63</v>
      </c>
      <c r="K177" s="54" t="str">
        <f t="shared" si="46"/>
        <v>Over Budget</v>
      </c>
      <c r="M177" s="18">
        <v>91485</v>
      </c>
      <c r="N177" s="18">
        <v>97376</v>
      </c>
      <c r="O177" s="54" t="str">
        <f t="shared" si="63"/>
        <v>Yes</v>
      </c>
      <c r="Q177" s="18">
        <v>8.1300000000000008</v>
      </c>
      <c r="R177" s="56" t="str">
        <f t="shared" si="47"/>
        <v>Yes</v>
      </c>
      <c r="W177" s="18" t="s">
        <v>861</v>
      </c>
      <c r="X177" s="54" t="str">
        <f>VLOOKUP(W177,Employees!$A$1:$B$601,2,FALSE)</f>
        <v>Smita Mohapatra</v>
      </c>
      <c r="Z177" s="4" t="s">
        <v>584</v>
      </c>
      <c r="AA177" s="54" t="str">
        <f t="shared" si="48"/>
        <v>0176</v>
      </c>
      <c r="AC177" s="4" t="s">
        <v>133</v>
      </c>
      <c r="AD177" s="54" t="str">
        <f t="shared" si="49"/>
        <v>Qa</v>
      </c>
      <c r="AF177" s="4" t="s">
        <v>213</v>
      </c>
      <c r="AG177" s="4" t="s">
        <v>133</v>
      </c>
      <c r="AH177" s="4" t="s">
        <v>65</v>
      </c>
      <c r="AI177" s="54" t="str">
        <f t="shared" si="50"/>
        <v>Puspita Jena|QA|TributeAI</v>
      </c>
      <c r="AK177" s="4" t="s">
        <v>213</v>
      </c>
      <c r="AL177" s="38" t="str">
        <f t="shared" si="51"/>
        <v>P.J.</v>
      </c>
      <c r="AN177" s="18" t="s">
        <v>5060</v>
      </c>
      <c r="AO177" s="54" t="str">
        <f t="shared" si="52"/>
        <v>Naukri</v>
      </c>
      <c r="AQ177" s="4" t="s">
        <v>213</v>
      </c>
      <c r="AR177" s="52" t="str">
        <f t="shared" si="53"/>
        <v>NO</v>
      </c>
      <c r="AT177" s="14" t="s">
        <v>1702</v>
      </c>
      <c r="AU177" s="54">
        <f t="shared" si="54"/>
        <v>17</v>
      </c>
      <c r="AW177" s="54">
        <f ca="1">DATEDIF(BI177,TODAY(),"Y")</f>
        <v>3</v>
      </c>
      <c r="AX177" s="54"/>
      <c r="AY177" s="41" t="s">
        <v>1636</v>
      </c>
      <c r="AZ177" s="44">
        <f t="shared" si="55"/>
        <v>45127</v>
      </c>
      <c r="BA177" s="54" t="str">
        <f t="shared" si="56"/>
        <v>7-2023</v>
      </c>
      <c r="BC177" s="15" t="s">
        <v>1106</v>
      </c>
      <c r="BD177" s="13">
        <f t="shared" si="57"/>
        <v>45056</v>
      </c>
      <c r="BE177" s="46" t="s">
        <v>1632</v>
      </c>
      <c r="BF177" s="54" t="str">
        <f t="shared" ca="1" si="58"/>
        <v>Overdue</v>
      </c>
      <c r="BH177" s="4" t="s">
        <v>585</v>
      </c>
      <c r="BI177" s="51">
        <f t="shared" si="64"/>
        <v>44995</v>
      </c>
      <c r="BJ177" s="38">
        <f t="shared" ca="1" si="65"/>
        <v>896</v>
      </c>
      <c r="BK177" s="38"/>
      <c r="BL177" s="38" t="str">
        <f t="shared" si="66"/>
        <v>Q1</v>
      </c>
      <c r="BM177" s="59">
        <f t="shared" si="59"/>
        <v>45127</v>
      </c>
      <c r="BN177" s="51">
        <f t="shared" si="67"/>
        <v>44995</v>
      </c>
      <c r="BO177" s="54">
        <f t="shared" si="60"/>
        <v>132</v>
      </c>
      <c r="BP177" s="4" t="s">
        <v>584</v>
      </c>
      <c r="BQ177" s="4" t="s">
        <v>133</v>
      </c>
      <c r="BR177" s="18" t="s">
        <v>861</v>
      </c>
      <c r="BS177" s="18" t="s">
        <v>2627</v>
      </c>
      <c r="BT177" s="54" t="str">
        <f t="shared" si="61"/>
        <v>Product</v>
      </c>
      <c r="BV177" s="4" t="s">
        <v>584</v>
      </c>
      <c r="BW177" s="4" t="s">
        <v>213</v>
      </c>
      <c r="BX177" s="14" t="s">
        <v>1702</v>
      </c>
      <c r="BY177" s="14" t="s">
        <v>437</v>
      </c>
      <c r="BZ177" s="54" t="str">
        <f t="shared" si="62"/>
        <v>Smita Nanda</v>
      </c>
      <c r="CB177" s="18" t="s">
        <v>132</v>
      </c>
      <c r="CC177" s="4" t="s">
        <v>213</v>
      </c>
      <c r="CD177" s="4" t="s">
        <v>134</v>
      </c>
      <c r="CE177" s="54" t="str">
        <v>Test Analyst</v>
      </c>
      <c r="CG177" s="54" t="str">
        <f>IFERROR(_xlfn.XLOOKUP(Hiring!A177,Hiring!A177:A576,Hiring!B177:B576,,0),"Not Found")</f>
        <v>Smita Tripathy</v>
      </c>
    </row>
    <row r="178" spans="2:85">
      <c r="B178" s="100"/>
      <c r="F178" s="3">
        <v>4.3</v>
      </c>
      <c r="G178" s="52" t="str" cm="1">
        <f t="array" ref="G178">_xlfn.IFS(F178&gt;=4.5,"Excellent",AND(F178&gt;=3.5,F178&lt;=4.4),"Good",F178&lt;3.5,"Needs Improvement")</f>
        <v>Good</v>
      </c>
      <c r="I178" s="12">
        <v>146.19</v>
      </c>
      <c r="J178" s="12">
        <v>139.30000000000001</v>
      </c>
      <c r="K178" s="54" t="str">
        <f t="shared" si="46"/>
        <v>Within Budget</v>
      </c>
      <c r="M178" s="19">
        <v>26088</v>
      </c>
      <c r="N178" s="19">
        <v>28026</v>
      </c>
      <c r="O178" s="54" t="str">
        <f t="shared" si="63"/>
        <v>Yes</v>
      </c>
      <c r="Q178" s="19">
        <v>10</v>
      </c>
      <c r="R178" s="56" t="str">
        <f t="shared" si="47"/>
        <v>Yes</v>
      </c>
      <c r="W178" s="19" t="s">
        <v>861</v>
      </c>
      <c r="X178" s="54" t="str">
        <f>VLOOKUP(W178,Employees!$A$1:$B$601,2,FALSE)</f>
        <v>Smita Mohapatra</v>
      </c>
      <c r="Z178" s="3" t="s">
        <v>586</v>
      </c>
      <c r="AA178" s="54" t="str">
        <f t="shared" si="48"/>
        <v>0177</v>
      </c>
      <c r="AC178" s="3" t="s">
        <v>84</v>
      </c>
      <c r="AD178" s="54" t="str">
        <f t="shared" si="49"/>
        <v>Hr</v>
      </c>
      <c r="AF178" s="3" t="s">
        <v>512</v>
      </c>
      <c r="AG178" s="3" t="s">
        <v>84</v>
      </c>
      <c r="AH178" s="3" t="s">
        <v>18</v>
      </c>
      <c r="AI178" s="54" t="str">
        <f t="shared" si="50"/>
        <v>Lipsa Ratha|HR|CoastalDev Studio</v>
      </c>
      <c r="AK178" s="3" t="s">
        <v>512</v>
      </c>
      <c r="AL178" s="38" t="str">
        <f t="shared" si="51"/>
        <v>L.R.</v>
      </c>
      <c r="AN178" s="19" t="s">
        <v>5051</v>
      </c>
      <c r="AO178" s="54" t="str">
        <f t="shared" si="52"/>
        <v>Naukri</v>
      </c>
      <c r="AQ178" s="3" t="s">
        <v>512</v>
      </c>
      <c r="AR178" s="52" t="str">
        <f t="shared" si="53"/>
        <v>NO</v>
      </c>
      <c r="AT178" s="12" t="s">
        <v>1627</v>
      </c>
      <c r="AU178" s="54">
        <f t="shared" si="54"/>
        <v>11</v>
      </c>
      <c r="AW178" s="54">
        <f ca="1">DATEDIF(BI178,TODAY(),"Y")</f>
        <v>6</v>
      </c>
      <c r="AX178" s="54"/>
      <c r="AY178" s="40" t="s">
        <v>5367</v>
      </c>
      <c r="AZ178" s="44">
        <f t="shared" si="55"/>
        <v>45239</v>
      </c>
      <c r="BA178" s="54" t="str">
        <f t="shared" si="56"/>
        <v>11-2023</v>
      </c>
      <c r="BC178" s="13" t="s">
        <v>1982</v>
      </c>
      <c r="BD178" s="13">
        <f t="shared" si="57"/>
        <v>45361</v>
      </c>
      <c r="BE178" s="45" t="s">
        <v>1614</v>
      </c>
      <c r="BF178" s="54" t="str">
        <f t="shared" ca="1" si="58"/>
        <v>Overdue</v>
      </c>
      <c r="BH178" s="3" t="s">
        <v>587</v>
      </c>
      <c r="BI178" s="51">
        <f t="shared" si="64"/>
        <v>43696</v>
      </c>
      <c r="BJ178" s="38">
        <f t="shared" ca="1" si="65"/>
        <v>1825</v>
      </c>
      <c r="BK178" s="38"/>
      <c r="BL178" s="38" t="str">
        <f t="shared" si="66"/>
        <v>No</v>
      </c>
      <c r="BM178" s="59">
        <f t="shared" si="59"/>
        <v>45239</v>
      </c>
      <c r="BN178" s="51">
        <f t="shared" si="67"/>
        <v>43696</v>
      </c>
      <c r="BO178" s="54">
        <f t="shared" si="60"/>
        <v>1543</v>
      </c>
      <c r="BP178" s="3" t="s">
        <v>586</v>
      </c>
      <c r="BQ178" s="3" t="s">
        <v>84</v>
      </c>
      <c r="BR178" s="19" t="s">
        <v>861</v>
      </c>
      <c r="BS178" s="19" t="s">
        <v>2628</v>
      </c>
      <c r="BT178" s="54" t="str">
        <f t="shared" si="61"/>
        <v>Product</v>
      </c>
      <c r="BV178" s="3" t="s">
        <v>586</v>
      </c>
      <c r="BW178" s="3" t="s">
        <v>512</v>
      </c>
      <c r="BX178" s="12" t="s">
        <v>1627</v>
      </c>
      <c r="BY178" s="12" t="s">
        <v>903</v>
      </c>
      <c r="BZ178" s="54" t="str">
        <f t="shared" si="62"/>
        <v>Sangita Choudhury</v>
      </c>
      <c r="CB178" s="19" t="s">
        <v>5317</v>
      </c>
      <c r="CC178" s="3" t="s">
        <v>512</v>
      </c>
      <c r="CD178" s="3" t="s">
        <v>85</v>
      </c>
      <c r="CE178" s="54" t="str">
        <v>Not Found</v>
      </c>
      <c r="CG178" s="54" t="str">
        <f>IFERROR(_xlfn.XLOOKUP(Hiring!A178,Hiring!A178:A577,Hiring!B178:B577,,0),"Not Found")</f>
        <v>Lipsa Dhal</v>
      </c>
    </row>
    <row r="179" spans="2:85">
      <c r="B179" s="100"/>
      <c r="F179" s="4">
        <v>4.7</v>
      </c>
      <c r="G179" s="52" t="str" cm="1">
        <f t="array" ref="G179">_xlfn.IFS(F179&gt;=4.5,"Excellent",AND(F179&gt;=3.5,F179&lt;=4.4),"Good",F179&lt;3.5,"Needs Improvement")</f>
        <v>Excellent</v>
      </c>
      <c r="I179" s="14">
        <v>96.79</v>
      </c>
      <c r="J179" s="14">
        <v>93.91</v>
      </c>
      <c r="K179" s="54" t="str">
        <f t="shared" si="46"/>
        <v>Within Budget</v>
      </c>
      <c r="M179" s="18">
        <v>0</v>
      </c>
      <c r="N179" s="18">
        <v>0</v>
      </c>
      <c r="O179" s="54" t="str">
        <f t="shared" si="63"/>
        <v>No</v>
      </c>
      <c r="Q179" s="18">
        <v>8.58</v>
      </c>
      <c r="R179" s="56" t="str">
        <f t="shared" si="47"/>
        <v>Yes</v>
      </c>
      <c r="W179" s="18" t="s">
        <v>861</v>
      </c>
      <c r="X179" s="54" t="str">
        <f>VLOOKUP(W179,Employees!$A$1:$B$601,2,FALSE)</f>
        <v>Smita Mohapatra</v>
      </c>
      <c r="Z179" s="4" t="s">
        <v>588</v>
      </c>
      <c r="AA179" s="54" t="str">
        <f t="shared" si="48"/>
        <v>0178</v>
      </c>
      <c r="AC179" s="4" t="s">
        <v>118</v>
      </c>
      <c r="AD179" s="54" t="str">
        <f t="shared" si="49"/>
        <v>Marketing</v>
      </c>
      <c r="AF179" s="4" t="s">
        <v>589</v>
      </c>
      <c r="AG179" s="4" t="s">
        <v>118</v>
      </c>
      <c r="AH179" s="4" t="s">
        <v>214</v>
      </c>
      <c r="AI179" s="54" t="str">
        <f t="shared" si="50"/>
        <v>Lipsa Routray|Marketing|ZeroOneSystems</v>
      </c>
      <c r="AK179" s="4" t="s">
        <v>589</v>
      </c>
      <c r="AL179" s="38" t="str">
        <f t="shared" si="51"/>
        <v>L.R.</v>
      </c>
      <c r="AN179" s="18" t="s">
        <v>5016</v>
      </c>
      <c r="AO179" s="54" t="b">
        <f t="shared" si="52"/>
        <v>0</v>
      </c>
      <c r="AQ179" s="4" t="s">
        <v>589</v>
      </c>
      <c r="AR179" s="52" t="str">
        <f t="shared" si="53"/>
        <v>NO</v>
      </c>
      <c r="AT179" s="14" t="s">
        <v>1693</v>
      </c>
      <c r="AU179" s="54">
        <f t="shared" si="54"/>
        <v>17</v>
      </c>
      <c r="AW179" s="54">
        <f ca="1">DATEDIF(BI179,TODAY(),"Y")</f>
        <v>2</v>
      </c>
      <c r="AX179" s="54"/>
      <c r="AY179" s="41" t="s">
        <v>5370</v>
      </c>
      <c r="AZ179" s="44">
        <f t="shared" si="55"/>
        <v>45109</v>
      </c>
      <c r="BA179" s="54" t="str">
        <f t="shared" si="56"/>
        <v>7-2023</v>
      </c>
      <c r="BC179" s="15" t="s">
        <v>590</v>
      </c>
      <c r="BD179" s="13">
        <f t="shared" si="57"/>
        <v>45288</v>
      </c>
      <c r="BE179" s="46" t="s">
        <v>1625</v>
      </c>
      <c r="BF179" s="54" t="str">
        <f t="shared" ca="1" si="58"/>
        <v>Overdue</v>
      </c>
      <c r="BH179" s="4" t="s">
        <v>590</v>
      </c>
      <c r="BI179" s="51">
        <f t="shared" si="64"/>
        <v>45288</v>
      </c>
      <c r="BJ179" s="38">
        <f t="shared" ca="1" si="65"/>
        <v>687</v>
      </c>
      <c r="BK179" s="38"/>
      <c r="BL179" s="38" t="str">
        <f t="shared" si="66"/>
        <v>No</v>
      </c>
      <c r="BM179" s="59">
        <f t="shared" si="59"/>
        <v>45109</v>
      </c>
      <c r="BN179" s="51">
        <f t="shared" si="67"/>
        <v>45288</v>
      </c>
      <c r="BO179" s="54">
        <f t="shared" si="60"/>
        <v>179</v>
      </c>
      <c r="BP179" s="4" t="s">
        <v>588</v>
      </c>
      <c r="BQ179" s="4" t="s">
        <v>118</v>
      </c>
      <c r="BR179" s="18" t="s">
        <v>861</v>
      </c>
      <c r="BS179" s="18" t="s">
        <v>2630</v>
      </c>
      <c r="BT179" s="54" t="str">
        <f t="shared" si="61"/>
        <v>Product</v>
      </c>
      <c r="BV179" s="4" t="s">
        <v>588</v>
      </c>
      <c r="BW179" s="4" t="s">
        <v>589</v>
      </c>
      <c r="BX179" s="14" t="s">
        <v>1693</v>
      </c>
      <c r="BY179" s="14" t="s">
        <v>926</v>
      </c>
      <c r="BZ179" s="54" t="str">
        <f t="shared" si="62"/>
        <v>Alka Nanda</v>
      </c>
      <c r="CB179" s="18" t="s">
        <v>5369</v>
      </c>
      <c r="CC179" s="4" t="s">
        <v>589</v>
      </c>
      <c r="CD179" s="4" t="s">
        <v>119</v>
      </c>
      <c r="CE179" s="54" t="str">
        <v>Not Found</v>
      </c>
      <c r="CG179" s="54" t="str">
        <f>IFERROR(_xlfn.XLOOKUP(Hiring!A179,Hiring!A179:A578,Hiring!B179:B578,,0),"Not Found")</f>
        <v>Rajan Sahoo</v>
      </c>
    </row>
    <row r="180" spans="2:85">
      <c r="B180" s="100"/>
      <c r="F180" s="3">
        <v>3.5</v>
      </c>
      <c r="G180" s="52" t="str" cm="1">
        <f t="array" ref="G180">_xlfn.IFS(F180&gt;=4.5,"Excellent",AND(F180&gt;=3.5,F180&lt;=4.4),"Good",F180&lt;3.5,"Needs Improvement")</f>
        <v>Good</v>
      </c>
      <c r="I180" s="12">
        <v>89.27</v>
      </c>
      <c r="J180" s="12">
        <v>94.31</v>
      </c>
      <c r="K180" s="54" t="str">
        <f t="shared" si="46"/>
        <v>Over Budget</v>
      </c>
      <c r="M180" s="19">
        <v>48886</v>
      </c>
      <c r="N180" s="19">
        <v>56805</v>
      </c>
      <c r="O180" s="54" t="str">
        <f t="shared" si="63"/>
        <v>Yes</v>
      </c>
      <c r="Q180" s="19">
        <v>10.91</v>
      </c>
      <c r="R180" s="56" t="str">
        <f t="shared" si="47"/>
        <v>Yes</v>
      </c>
      <c r="W180" s="19" t="s">
        <v>861</v>
      </c>
      <c r="X180" s="54" t="str">
        <f>VLOOKUP(W180,Employees!$A$1:$B$601,2,FALSE)</f>
        <v>Smita Mohapatra</v>
      </c>
      <c r="Z180" s="3" t="s">
        <v>591</v>
      </c>
      <c r="AA180" s="54" t="str">
        <f t="shared" si="48"/>
        <v>0179</v>
      </c>
      <c r="AC180" s="3" t="s">
        <v>118</v>
      </c>
      <c r="AD180" s="54" t="str">
        <f t="shared" si="49"/>
        <v>Marketing</v>
      </c>
      <c r="AF180" s="3" t="s">
        <v>592</v>
      </c>
      <c r="AG180" s="3" t="s">
        <v>118</v>
      </c>
      <c r="AH180" s="3" t="s">
        <v>32</v>
      </c>
      <c r="AI180" s="54" t="str">
        <f t="shared" si="50"/>
        <v>Satyajit Nanda|Marketing|NilGiri Digitals</v>
      </c>
      <c r="AK180" s="3" t="s">
        <v>592</v>
      </c>
      <c r="AL180" s="38" t="str">
        <f t="shared" si="51"/>
        <v>S.N.</v>
      </c>
      <c r="AN180" s="19" t="s">
        <v>5016</v>
      </c>
      <c r="AO180" s="54" t="b">
        <f t="shared" si="52"/>
        <v>0</v>
      </c>
      <c r="AQ180" s="3" t="s">
        <v>592</v>
      </c>
      <c r="AR180" s="52" t="str">
        <f t="shared" si="53"/>
        <v>NO</v>
      </c>
      <c r="AT180" s="12" t="s">
        <v>1720</v>
      </c>
      <c r="AU180" s="54">
        <f t="shared" si="54"/>
        <v>10</v>
      </c>
      <c r="AW180" s="54">
        <f ca="1">DATEDIF(BI180,TODAY(),"Y")</f>
        <v>4</v>
      </c>
      <c r="AX180" s="54"/>
      <c r="AY180" s="40" t="s">
        <v>1922</v>
      </c>
      <c r="AZ180" s="44">
        <f t="shared" si="55"/>
        <v>45041</v>
      </c>
      <c r="BA180" s="54" t="str">
        <f t="shared" si="56"/>
        <v>4-2023</v>
      </c>
      <c r="BC180" s="13" t="s">
        <v>2097</v>
      </c>
      <c r="BD180" s="13">
        <f t="shared" si="57"/>
        <v>44691</v>
      </c>
      <c r="BE180" s="45" t="s">
        <v>1632</v>
      </c>
      <c r="BF180" s="54" t="str">
        <f t="shared" ca="1" si="58"/>
        <v>Overdue</v>
      </c>
      <c r="BH180" s="3" t="s">
        <v>593</v>
      </c>
      <c r="BI180" s="51">
        <f t="shared" si="64"/>
        <v>44525</v>
      </c>
      <c r="BJ180" s="38">
        <f t="shared" ca="1" si="65"/>
        <v>1232</v>
      </c>
      <c r="BK180" s="38"/>
      <c r="BL180" s="38" t="str">
        <f t="shared" si="66"/>
        <v>No</v>
      </c>
      <c r="BM180" s="59">
        <f t="shared" si="59"/>
        <v>45041</v>
      </c>
      <c r="BN180" s="51">
        <f t="shared" si="67"/>
        <v>44525</v>
      </c>
      <c r="BO180" s="54">
        <f t="shared" si="60"/>
        <v>516</v>
      </c>
      <c r="BP180" s="3" t="s">
        <v>591</v>
      </c>
      <c r="BQ180" s="3" t="s">
        <v>118</v>
      </c>
      <c r="BR180" s="19" t="s">
        <v>861</v>
      </c>
      <c r="BS180" s="19" t="s">
        <v>2631</v>
      </c>
      <c r="BT180" s="54" t="str">
        <f t="shared" si="61"/>
        <v>Product</v>
      </c>
      <c r="BV180" s="3" t="s">
        <v>591</v>
      </c>
      <c r="BW180" s="3" t="s">
        <v>592</v>
      </c>
      <c r="BX180" s="12" t="s">
        <v>1720</v>
      </c>
      <c r="BY180" s="12" t="s">
        <v>652</v>
      </c>
      <c r="BZ180" s="54" t="str">
        <f t="shared" si="62"/>
        <v>Saurav Biswal</v>
      </c>
      <c r="CB180" s="19" t="s">
        <v>1153</v>
      </c>
      <c r="CC180" s="3" t="s">
        <v>592</v>
      </c>
      <c r="CD180" s="3" t="s">
        <v>119</v>
      </c>
      <c r="CE180" s="54" t="str">
        <v>Design Lead</v>
      </c>
      <c r="CG180" s="54" t="str">
        <f>IFERROR(_xlfn.XLOOKUP(Hiring!A180,Hiring!A180:A579,Hiring!B180:B579,,0),"Not Found")</f>
        <v>Tapas Ratha</v>
      </c>
    </row>
    <row r="181" spans="2:85">
      <c r="B181" s="100"/>
      <c r="F181" s="4">
        <v>1.6</v>
      </c>
      <c r="G181" s="52" t="str" cm="1">
        <f t="array" ref="G181">_xlfn.IFS(F181&gt;=4.5,"Excellent",AND(F181&gt;=3.5,F181&lt;=4.4),"Good",F181&lt;3.5,"Needs Improvement")</f>
        <v>Needs Improvement</v>
      </c>
      <c r="I181" s="14">
        <v>68.459999999999994</v>
      </c>
      <c r="J181" s="14">
        <v>77.569999999999993</v>
      </c>
      <c r="K181" s="54" t="str">
        <f t="shared" si="46"/>
        <v>Over Budget</v>
      </c>
      <c r="M181" s="18"/>
      <c r="N181" s="18">
        <v>28878</v>
      </c>
      <c r="O181" s="54" t="str">
        <f t="shared" si="63"/>
        <v>Yes</v>
      </c>
      <c r="Q181" s="18">
        <v>9.6</v>
      </c>
      <c r="R181" s="56" t="str">
        <f t="shared" si="47"/>
        <v>Yes</v>
      </c>
      <c r="W181" s="18" t="s">
        <v>861</v>
      </c>
      <c r="X181" s="54" t="str">
        <f>VLOOKUP(W181,Employees!$A$1:$B$601,2,FALSE)</f>
        <v>Smita Mohapatra</v>
      </c>
      <c r="Z181" s="4" t="s">
        <v>594</v>
      </c>
      <c r="AA181" s="54" t="str">
        <f t="shared" si="48"/>
        <v>0180</v>
      </c>
      <c r="AC181" s="4" t="s">
        <v>63</v>
      </c>
      <c r="AD181" s="54" t="str">
        <f t="shared" si="49"/>
        <v>Product</v>
      </c>
      <c r="AF181" s="4" t="s">
        <v>595</v>
      </c>
      <c r="AG181" s="4" t="s">
        <v>63</v>
      </c>
      <c r="AH181" s="4" t="s">
        <v>149</v>
      </c>
      <c r="AI181" s="54" t="str">
        <f t="shared" si="50"/>
        <v>Abhishek Pattnaik|Product|SilverByte Systems</v>
      </c>
      <c r="AK181" s="4" t="s">
        <v>595</v>
      </c>
      <c r="AL181" s="38" t="str">
        <f t="shared" si="51"/>
        <v>A.P.</v>
      </c>
      <c r="AN181" s="18" t="s">
        <v>5060</v>
      </c>
      <c r="AO181" s="54" t="str">
        <f t="shared" si="52"/>
        <v>Naukri</v>
      </c>
      <c r="AQ181" s="4" t="s">
        <v>595</v>
      </c>
      <c r="AR181" s="52" t="str">
        <f t="shared" si="53"/>
        <v>NO</v>
      </c>
      <c r="AT181" s="14" t="s">
        <v>1672</v>
      </c>
      <c r="AU181" s="54">
        <f t="shared" si="54"/>
        <v>19</v>
      </c>
      <c r="AW181" s="54">
        <f ca="1">DATEDIF(BI181,TODAY(),"Y")</f>
        <v>4</v>
      </c>
      <c r="AX181" s="54"/>
      <c r="AY181" s="41" t="s">
        <v>5374</v>
      </c>
      <c r="AZ181" s="44">
        <f t="shared" si="55"/>
        <v>45021</v>
      </c>
      <c r="BA181" s="54" t="str">
        <f t="shared" si="56"/>
        <v>4-2023</v>
      </c>
      <c r="BC181" s="15" t="s">
        <v>156</v>
      </c>
      <c r="BD181" s="13">
        <f t="shared" si="57"/>
        <v>44874</v>
      </c>
      <c r="BE181" s="46" t="s">
        <v>1625</v>
      </c>
      <c r="BF181" s="54" t="str">
        <f t="shared" ca="1" si="58"/>
        <v>Overdue</v>
      </c>
      <c r="BH181" s="4" t="s">
        <v>596</v>
      </c>
      <c r="BI181" s="51">
        <f t="shared" si="64"/>
        <v>44753</v>
      </c>
      <c r="BJ181" s="38">
        <f t="shared" ca="1" si="65"/>
        <v>1070</v>
      </c>
      <c r="BK181" s="38"/>
      <c r="BL181" s="38" t="str">
        <f t="shared" si="66"/>
        <v>No</v>
      </c>
      <c r="BM181" s="59">
        <f t="shared" si="59"/>
        <v>45021</v>
      </c>
      <c r="BN181" s="51">
        <f t="shared" si="67"/>
        <v>44753</v>
      </c>
      <c r="BO181" s="54">
        <f t="shared" si="60"/>
        <v>268</v>
      </c>
      <c r="BP181" s="4" t="s">
        <v>594</v>
      </c>
      <c r="BQ181" s="4" t="s">
        <v>63</v>
      </c>
      <c r="BR181" s="18" t="s">
        <v>861</v>
      </c>
      <c r="BS181" s="18" t="s">
        <v>2634</v>
      </c>
      <c r="BT181" s="54" t="str">
        <f t="shared" si="61"/>
        <v>Product</v>
      </c>
      <c r="BV181" s="4" t="s">
        <v>594</v>
      </c>
      <c r="BW181" s="4" t="s">
        <v>595</v>
      </c>
      <c r="BX181" s="14" t="s">
        <v>1672</v>
      </c>
      <c r="BY181" s="14" t="s">
        <v>1370</v>
      </c>
      <c r="BZ181" s="54" t="str">
        <f t="shared" si="62"/>
        <v>Sudhansu Senapati</v>
      </c>
      <c r="CB181" s="18" t="s">
        <v>5373</v>
      </c>
      <c r="CC181" s="4" t="s">
        <v>595</v>
      </c>
      <c r="CD181" s="4" t="s">
        <v>64</v>
      </c>
      <c r="CE181" s="54" t="str">
        <v>Not Found</v>
      </c>
      <c r="CG181" s="54" t="str">
        <f>IFERROR(_xlfn.XLOOKUP(Hiring!A181,Hiring!A181:A580,Hiring!B181:B580,,0),"Not Found")</f>
        <v>Lipsa Parida</v>
      </c>
    </row>
    <row r="182" spans="2:85">
      <c r="B182" s="100"/>
      <c r="F182" s="3">
        <v>2.8</v>
      </c>
      <c r="G182" s="52" t="str" cm="1">
        <f t="array" ref="G182">_xlfn.IFS(F182&gt;=4.5,"Excellent",AND(F182&gt;=3.5,F182&lt;=4.4),"Good",F182&lt;3.5,"Needs Improvement")</f>
        <v>Needs Improvement</v>
      </c>
      <c r="I182" s="12">
        <v>184.28</v>
      </c>
      <c r="J182" s="12">
        <v>219.46</v>
      </c>
      <c r="K182" s="54" t="str">
        <f t="shared" si="46"/>
        <v>Over Budget</v>
      </c>
      <c r="M182" s="19">
        <v>92756</v>
      </c>
      <c r="N182" s="19"/>
      <c r="O182" s="54" t="str">
        <f t="shared" si="63"/>
        <v>Yes</v>
      </c>
      <c r="Q182" s="19">
        <v>11.34</v>
      </c>
      <c r="R182" s="56" t="str">
        <f t="shared" si="47"/>
        <v>Yes</v>
      </c>
      <c r="W182" s="19" t="s">
        <v>861</v>
      </c>
      <c r="X182" s="54" t="str">
        <f>VLOOKUP(W182,Employees!$A$1:$B$601,2,FALSE)</f>
        <v>Smita Mohapatra</v>
      </c>
      <c r="Z182" s="3" t="s">
        <v>597</v>
      </c>
      <c r="AA182" s="54" t="str">
        <f t="shared" si="48"/>
        <v>0181</v>
      </c>
      <c r="AC182" s="3" t="s">
        <v>133</v>
      </c>
      <c r="AD182" s="54" t="str">
        <f t="shared" si="49"/>
        <v>Qa</v>
      </c>
      <c r="AF182" s="3" t="s">
        <v>598</v>
      </c>
      <c r="AG182" s="3" t="s">
        <v>133</v>
      </c>
      <c r="AH182" s="3" t="s">
        <v>26</v>
      </c>
      <c r="AI182" s="54" t="str">
        <f t="shared" si="50"/>
        <v>Ipsita Samal|QA|InfySoft Bhubaneswar</v>
      </c>
      <c r="AK182" s="3" t="s">
        <v>598</v>
      </c>
      <c r="AL182" s="38" t="str">
        <f t="shared" si="51"/>
        <v>I.S.</v>
      </c>
      <c r="AN182" s="19" t="s">
        <v>5077</v>
      </c>
      <c r="AO182" s="54" t="b">
        <f t="shared" si="52"/>
        <v>0</v>
      </c>
      <c r="AQ182" s="3" t="s">
        <v>598</v>
      </c>
      <c r="AR182" s="52" t="str">
        <f t="shared" si="53"/>
        <v>NO</v>
      </c>
      <c r="AT182" s="12" t="s">
        <v>1640</v>
      </c>
      <c r="AU182" s="54">
        <f t="shared" si="54"/>
        <v>17</v>
      </c>
      <c r="AW182" s="54">
        <f ca="1">DATEDIF(BI182,TODAY(),"Y")</f>
        <v>8</v>
      </c>
      <c r="AX182" s="54"/>
      <c r="AY182" s="40" t="s">
        <v>5333</v>
      </c>
      <c r="AZ182" s="44">
        <f t="shared" si="55"/>
        <v>45571</v>
      </c>
      <c r="BA182" s="54" t="str">
        <f t="shared" si="56"/>
        <v>10-2024</v>
      </c>
      <c r="BC182" s="13" t="s">
        <v>2100</v>
      </c>
      <c r="BD182" s="13">
        <f t="shared" si="57"/>
        <v>44392</v>
      </c>
      <c r="BE182" s="45" t="s">
        <v>1656</v>
      </c>
      <c r="BF182" s="54" t="str">
        <f t="shared" ca="1" si="58"/>
        <v>Overdue</v>
      </c>
      <c r="BH182" s="3" t="s">
        <v>599</v>
      </c>
      <c r="BI182" s="51">
        <f t="shared" si="64"/>
        <v>43249</v>
      </c>
      <c r="BJ182" s="38">
        <f t="shared" ca="1" si="65"/>
        <v>2144</v>
      </c>
      <c r="BK182" s="38"/>
      <c r="BL182" s="38" t="str">
        <f t="shared" si="66"/>
        <v>No</v>
      </c>
      <c r="BM182" s="59">
        <f t="shared" si="59"/>
        <v>45571</v>
      </c>
      <c r="BN182" s="51">
        <f t="shared" si="67"/>
        <v>43249</v>
      </c>
      <c r="BO182" s="54">
        <f t="shared" si="60"/>
        <v>2322</v>
      </c>
      <c r="BP182" s="3" t="s">
        <v>597</v>
      </c>
      <c r="BQ182" s="3" t="s">
        <v>133</v>
      </c>
      <c r="BR182" s="19" t="s">
        <v>861</v>
      </c>
      <c r="BS182" s="19" t="s">
        <v>2637</v>
      </c>
      <c r="BT182" s="54" t="str">
        <f t="shared" si="61"/>
        <v>Product</v>
      </c>
      <c r="BV182" s="3" t="s">
        <v>597</v>
      </c>
      <c r="BW182" s="3" t="s">
        <v>598</v>
      </c>
      <c r="BX182" s="12" t="s">
        <v>1640</v>
      </c>
      <c r="BY182" s="12" t="s">
        <v>953</v>
      </c>
      <c r="BZ182" s="54" t="str">
        <f t="shared" si="62"/>
        <v>Ankita Pattnaik</v>
      </c>
      <c r="CB182" s="19" t="s">
        <v>650</v>
      </c>
      <c r="CC182" s="3" t="s">
        <v>598</v>
      </c>
      <c r="CD182" s="3" t="s">
        <v>162</v>
      </c>
      <c r="CE182" s="54" t="str">
        <v>Test Analyst</v>
      </c>
      <c r="CG182" s="54" t="str">
        <f>IFERROR(_xlfn.XLOOKUP(Hiring!A182,Hiring!A182:A581,Hiring!B182:B581,,0),"Not Found")</f>
        <v>Puspita Parida</v>
      </c>
    </row>
    <row r="183" spans="2:85">
      <c r="B183" s="100"/>
      <c r="F183" s="4">
        <v>2.1</v>
      </c>
      <c r="G183" s="52" t="str" cm="1">
        <f t="array" ref="G183">_xlfn.IFS(F183&gt;=4.5,"Excellent",AND(F183&gt;=3.5,F183&lt;=4.4),"Good",F183&lt;3.5,"Needs Improvement")</f>
        <v>Needs Improvement</v>
      </c>
      <c r="I183" s="14">
        <v>54.07</v>
      </c>
      <c r="J183" s="14">
        <v>49.84</v>
      </c>
      <c r="K183" s="54" t="str">
        <f t="shared" si="46"/>
        <v>Within Budget</v>
      </c>
      <c r="M183" s="18">
        <v>67079</v>
      </c>
      <c r="N183" s="18">
        <v>66558</v>
      </c>
      <c r="O183" s="54" t="str">
        <f t="shared" si="63"/>
        <v>Yes</v>
      </c>
      <c r="Q183" s="18">
        <v>9.51</v>
      </c>
      <c r="R183" s="56" t="str">
        <f t="shared" si="47"/>
        <v>Yes</v>
      </c>
      <c r="W183" s="18" t="s">
        <v>861</v>
      </c>
      <c r="X183" s="54" t="str">
        <f>VLOOKUP(W183,Employees!$A$1:$B$601,2,FALSE)</f>
        <v>Smita Mohapatra</v>
      </c>
      <c r="Z183" s="4" t="s">
        <v>600</v>
      </c>
      <c r="AA183" s="54" t="str">
        <f t="shared" si="48"/>
        <v>0182</v>
      </c>
      <c r="AC183" s="4" t="s">
        <v>63</v>
      </c>
      <c r="AD183" s="54" t="str">
        <f t="shared" si="49"/>
        <v>Product</v>
      </c>
      <c r="AF183" s="4" t="s">
        <v>601</v>
      </c>
      <c r="AG183" s="4" t="s">
        <v>63</v>
      </c>
      <c r="AH183" s="4" t="s">
        <v>214</v>
      </c>
      <c r="AI183" s="54" t="str">
        <f t="shared" si="50"/>
        <v>Priyanka Mishra|Product|ZeroOneSystems</v>
      </c>
      <c r="AK183" s="4" t="s">
        <v>601</v>
      </c>
      <c r="AL183" s="38" t="str">
        <f t="shared" si="51"/>
        <v>P.M.</v>
      </c>
      <c r="AN183" s="18" t="s">
        <v>5016</v>
      </c>
      <c r="AO183" s="54" t="b">
        <f t="shared" si="52"/>
        <v>0</v>
      </c>
      <c r="AQ183" s="4" t="s">
        <v>601</v>
      </c>
      <c r="AR183" s="52" t="str">
        <f t="shared" si="53"/>
        <v>Mishra</v>
      </c>
      <c r="AT183" s="14" t="s">
        <v>1763</v>
      </c>
      <c r="AU183" s="54">
        <f t="shared" si="54"/>
        <v>19</v>
      </c>
      <c r="AW183" s="54">
        <f ca="1">DATEDIF(BI183,TODAY(),"Y")</f>
        <v>4</v>
      </c>
      <c r="AX183" s="54"/>
      <c r="AY183" s="41" t="s">
        <v>2088</v>
      </c>
      <c r="AZ183" s="44">
        <f t="shared" si="55"/>
        <v>45341</v>
      </c>
      <c r="BA183" s="54" t="str">
        <f t="shared" si="56"/>
        <v>2-2024</v>
      </c>
      <c r="BC183" s="15" t="s">
        <v>2102</v>
      </c>
      <c r="BD183" s="13">
        <f t="shared" si="57"/>
        <v>45176</v>
      </c>
      <c r="BE183" s="46" t="s">
        <v>1625</v>
      </c>
      <c r="BF183" s="54" t="str">
        <f t="shared" ca="1" si="58"/>
        <v>Overdue</v>
      </c>
      <c r="BH183" s="4" t="s">
        <v>602</v>
      </c>
      <c r="BI183" s="51">
        <f t="shared" si="64"/>
        <v>44784</v>
      </c>
      <c r="BJ183" s="38">
        <f t="shared" ca="1" si="65"/>
        <v>1047</v>
      </c>
      <c r="BK183" s="38"/>
      <c r="BL183" s="38" t="str">
        <f t="shared" si="66"/>
        <v>No</v>
      </c>
      <c r="BM183" s="59">
        <f t="shared" si="59"/>
        <v>45341</v>
      </c>
      <c r="BN183" s="51">
        <f t="shared" si="67"/>
        <v>44784</v>
      </c>
      <c r="BO183" s="54">
        <f t="shared" si="60"/>
        <v>557</v>
      </c>
      <c r="BP183" s="4" t="s">
        <v>600</v>
      </c>
      <c r="BQ183" s="4" t="s">
        <v>63</v>
      </c>
      <c r="BR183" s="18" t="s">
        <v>861</v>
      </c>
      <c r="BS183" s="18" t="s">
        <v>2639</v>
      </c>
      <c r="BT183" s="54" t="str">
        <f t="shared" si="61"/>
        <v>Product</v>
      </c>
      <c r="BV183" s="4" t="s">
        <v>600</v>
      </c>
      <c r="BW183" s="4" t="s">
        <v>601</v>
      </c>
      <c r="BX183" s="14" t="s">
        <v>1763</v>
      </c>
      <c r="BY183" s="14" t="s">
        <v>1552</v>
      </c>
      <c r="BZ183" s="54" t="str">
        <f t="shared" si="62"/>
        <v>Ipsita Dhal</v>
      </c>
      <c r="CB183" s="18" t="s">
        <v>1308</v>
      </c>
      <c r="CC183" s="4" t="s">
        <v>601</v>
      </c>
      <c r="CD183" s="4" t="s">
        <v>225</v>
      </c>
      <c r="CE183" s="54" t="str">
        <v>Test Analyst</v>
      </c>
      <c r="CG183" s="54" t="str">
        <f>IFERROR(_xlfn.XLOOKUP(Hiring!A183,Hiring!A183:A582,Hiring!B183:B582,,0),"Not Found")</f>
        <v>Priyanka Pattnaik</v>
      </c>
    </row>
    <row r="184" spans="2:85">
      <c r="B184" s="100"/>
      <c r="F184" s="3">
        <v>4.0999999999999996</v>
      </c>
      <c r="G184" s="52" t="str" cm="1">
        <f t="array" ref="G184">_xlfn.IFS(F184&gt;=4.5,"Excellent",AND(F184&gt;=3.5,F184&lt;=4.4),"Good",F184&lt;3.5,"Needs Improvement")</f>
        <v>Good</v>
      </c>
      <c r="I184" s="12">
        <v>72.95</v>
      </c>
      <c r="J184" s="12">
        <v>63.3</v>
      </c>
      <c r="K184" s="54" t="str">
        <f t="shared" si="46"/>
        <v>Within Budget</v>
      </c>
      <c r="M184" s="19">
        <v>183242</v>
      </c>
      <c r="N184" s="19">
        <v>159697</v>
      </c>
      <c r="O184" s="54" t="str">
        <f t="shared" si="63"/>
        <v>Yes</v>
      </c>
      <c r="Q184" s="19">
        <v>8.58</v>
      </c>
      <c r="R184" s="56" t="str">
        <f t="shared" si="47"/>
        <v>Yes</v>
      </c>
      <c r="W184" s="19" t="s">
        <v>861</v>
      </c>
      <c r="X184" s="54" t="str">
        <f>VLOOKUP(W184,Employees!$A$1:$B$601,2,FALSE)</f>
        <v>Smita Mohapatra</v>
      </c>
      <c r="Z184" s="3" t="s">
        <v>603</v>
      </c>
      <c r="AA184" s="54" t="str">
        <f t="shared" si="48"/>
        <v>0183</v>
      </c>
      <c r="AC184" s="3" t="s">
        <v>16</v>
      </c>
      <c r="AD184" s="54" t="str">
        <f t="shared" si="49"/>
        <v>Devops</v>
      </c>
      <c r="AF184" s="3" t="s">
        <v>604</v>
      </c>
      <c r="AG184" s="3" t="s">
        <v>16</v>
      </c>
      <c r="AH184" s="3" t="s">
        <v>46</v>
      </c>
      <c r="AI184" s="54" t="str">
        <f t="shared" si="50"/>
        <v>Jyotirmayee Mahapatra|DevOps|SambalpurNet</v>
      </c>
      <c r="AK184" s="3" t="s">
        <v>604</v>
      </c>
      <c r="AL184" s="38" t="str">
        <f t="shared" si="51"/>
        <v>J.M.</v>
      </c>
      <c r="AN184" s="19" t="s">
        <v>5060</v>
      </c>
      <c r="AO184" s="54" t="str">
        <f t="shared" si="52"/>
        <v>Naukri</v>
      </c>
      <c r="AQ184" s="3" t="s">
        <v>604</v>
      </c>
      <c r="AR184" s="52" t="str">
        <f t="shared" si="53"/>
        <v>NO</v>
      </c>
      <c r="AT184" s="12" t="s">
        <v>1699</v>
      </c>
      <c r="AU184" s="54">
        <f t="shared" si="54"/>
        <v>18</v>
      </c>
      <c r="AW184" s="54">
        <f ca="1">DATEDIF(BI184,TODAY(),"Y")</f>
        <v>3</v>
      </c>
      <c r="AX184" s="54"/>
      <c r="AY184" s="40" t="s">
        <v>5378</v>
      </c>
      <c r="AZ184" s="44">
        <f t="shared" si="55"/>
        <v>45279</v>
      </c>
      <c r="BA184" s="54" t="str">
        <f t="shared" si="56"/>
        <v>12-2023</v>
      </c>
      <c r="BC184" s="13" t="s">
        <v>2104</v>
      </c>
      <c r="BD184" s="13">
        <f t="shared" si="57"/>
        <v>44673</v>
      </c>
      <c r="BE184" s="45" t="s">
        <v>1632</v>
      </c>
      <c r="BF184" s="54" t="str">
        <f t="shared" ca="1" si="58"/>
        <v>Overdue</v>
      </c>
      <c r="BH184" s="3" t="s">
        <v>605</v>
      </c>
      <c r="BI184" s="51">
        <f t="shared" si="64"/>
        <v>45089</v>
      </c>
      <c r="BJ184" s="38">
        <f t="shared" ca="1" si="65"/>
        <v>830</v>
      </c>
      <c r="BK184" s="38"/>
      <c r="BL184" s="38" t="str">
        <f t="shared" si="66"/>
        <v>No</v>
      </c>
      <c r="BM184" s="59">
        <f t="shared" si="59"/>
        <v>45279</v>
      </c>
      <c r="BN184" s="51">
        <f t="shared" si="67"/>
        <v>45089</v>
      </c>
      <c r="BO184" s="54">
        <f t="shared" si="60"/>
        <v>190</v>
      </c>
      <c r="BP184" s="3" t="s">
        <v>603</v>
      </c>
      <c r="BQ184" s="3" t="s">
        <v>16</v>
      </c>
      <c r="BR184" s="19" t="s">
        <v>861</v>
      </c>
      <c r="BS184" s="19" t="s">
        <v>2642</v>
      </c>
      <c r="BT184" s="54" t="str">
        <f t="shared" si="61"/>
        <v>Product</v>
      </c>
      <c r="BV184" s="3" t="s">
        <v>603</v>
      </c>
      <c r="BW184" s="3" t="s">
        <v>604</v>
      </c>
      <c r="BX184" s="12" t="s">
        <v>1699</v>
      </c>
      <c r="BY184" s="12" t="s">
        <v>873</v>
      </c>
      <c r="BZ184" s="54" t="str">
        <f t="shared" si="62"/>
        <v>Rajan Mahapatra</v>
      </c>
      <c r="CB184" s="19" t="s">
        <v>5314</v>
      </c>
      <c r="CC184" s="3" t="s">
        <v>604</v>
      </c>
      <c r="CD184" s="3" t="s">
        <v>123</v>
      </c>
      <c r="CE184" s="54" t="str">
        <v>Not Found</v>
      </c>
      <c r="CG184" s="54" t="str">
        <f>IFERROR(_xlfn.XLOOKUP(Hiring!A184,Hiring!A184:A583,Hiring!B184:B583,,0),"Not Found")</f>
        <v>Tanmay Dhal</v>
      </c>
    </row>
    <row r="185" spans="2:85">
      <c r="B185" s="100"/>
      <c r="F185" s="4">
        <v>4.8</v>
      </c>
      <c r="G185" s="52" t="str" cm="1">
        <f t="array" ref="G185">_xlfn.IFS(F185&gt;=4.5,"Excellent",AND(F185&gt;=3.5,F185&lt;=4.4),"Good",F185&lt;3.5,"Needs Improvement")</f>
        <v>Excellent</v>
      </c>
      <c r="I185" s="14">
        <v>164.7</v>
      </c>
      <c r="J185" s="14">
        <v>187.17</v>
      </c>
      <c r="K185" s="54" t="str">
        <f t="shared" si="46"/>
        <v>Over Budget</v>
      </c>
      <c r="M185" s="18"/>
      <c r="N185" s="18">
        <v>186358</v>
      </c>
      <c r="O185" s="54" t="str">
        <f t="shared" si="63"/>
        <v>Yes</v>
      </c>
      <c r="Q185" s="18">
        <v>9.67</v>
      </c>
      <c r="R185" s="56" t="str">
        <f t="shared" si="47"/>
        <v>Yes</v>
      </c>
      <c r="W185" s="18" t="s">
        <v>861</v>
      </c>
      <c r="X185" s="54" t="str">
        <f>VLOOKUP(W185,Employees!$A$1:$B$601,2,FALSE)</f>
        <v>Smita Mohapatra</v>
      </c>
      <c r="Z185" s="4" t="s">
        <v>606</v>
      </c>
      <c r="AA185" s="54" t="str">
        <f t="shared" si="48"/>
        <v>0184</v>
      </c>
      <c r="AC185" s="4" t="s">
        <v>84</v>
      </c>
      <c r="AD185" s="54" t="str">
        <f t="shared" si="49"/>
        <v>Hr</v>
      </c>
      <c r="AF185" s="4" t="s">
        <v>607</v>
      </c>
      <c r="AG185" s="4" t="s">
        <v>84</v>
      </c>
      <c r="AH185" s="4" t="s">
        <v>18</v>
      </c>
      <c r="AI185" s="54" t="str">
        <f t="shared" si="50"/>
        <v>Ranjit Sahoo|HR|CoastalDev Studio</v>
      </c>
      <c r="AK185" s="4" t="s">
        <v>607</v>
      </c>
      <c r="AL185" s="38" t="str">
        <f t="shared" si="51"/>
        <v>R.S.</v>
      </c>
      <c r="AN185" s="18" t="s">
        <v>5051</v>
      </c>
      <c r="AO185" s="54" t="str">
        <f t="shared" si="52"/>
        <v>Naukri</v>
      </c>
      <c r="AQ185" s="4" t="s">
        <v>607</v>
      </c>
      <c r="AR185" s="52" t="str">
        <f t="shared" si="53"/>
        <v>NO</v>
      </c>
      <c r="AT185" s="14" t="s">
        <v>1621</v>
      </c>
      <c r="AU185" s="54">
        <f t="shared" si="54"/>
        <v>24</v>
      </c>
      <c r="AW185" s="54">
        <f ca="1">DATEDIF(BI185,TODAY(),"Y")</f>
        <v>5</v>
      </c>
      <c r="AX185" s="54"/>
      <c r="AY185" s="41" t="s">
        <v>1874</v>
      </c>
      <c r="AZ185" s="44">
        <f t="shared" si="55"/>
        <v>44949</v>
      </c>
      <c r="BA185" s="54" t="str">
        <f t="shared" si="56"/>
        <v>1-2023</v>
      </c>
      <c r="BC185" s="15" t="s">
        <v>2107</v>
      </c>
      <c r="BD185" s="13">
        <f t="shared" si="57"/>
        <v>44842</v>
      </c>
      <c r="BE185" s="46" t="s">
        <v>1625</v>
      </c>
      <c r="BF185" s="54" t="str">
        <f t="shared" ca="1" si="58"/>
        <v>Overdue</v>
      </c>
      <c r="BH185" s="4" t="s">
        <v>608</v>
      </c>
      <c r="BI185" s="51">
        <f t="shared" si="64"/>
        <v>44230</v>
      </c>
      <c r="BJ185" s="38">
        <f t="shared" ca="1" si="65"/>
        <v>1443</v>
      </c>
      <c r="BK185" s="38"/>
      <c r="BL185" s="38" t="str">
        <f t="shared" si="66"/>
        <v>Q1</v>
      </c>
      <c r="BM185" s="59">
        <f t="shared" si="59"/>
        <v>44949</v>
      </c>
      <c r="BN185" s="51">
        <f t="shared" si="67"/>
        <v>44230</v>
      </c>
      <c r="BO185" s="54">
        <f t="shared" si="60"/>
        <v>719</v>
      </c>
      <c r="BP185" s="4" t="s">
        <v>606</v>
      </c>
      <c r="BQ185" s="4" t="s">
        <v>84</v>
      </c>
      <c r="BR185" s="18" t="s">
        <v>861</v>
      </c>
      <c r="BS185" s="18" t="s">
        <v>2645</v>
      </c>
      <c r="BT185" s="54" t="str">
        <f t="shared" si="61"/>
        <v>Product</v>
      </c>
      <c r="BV185" s="4" t="s">
        <v>606</v>
      </c>
      <c r="BW185" s="4" t="s">
        <v>607</v>
      </c>
      <c r="BX185" s="14" t="s">
        <v>1621</v>
      </c>
      <c r="BY185" s="14" t="s">
        <v>1586</v>
      </c>
      <c r="BZ185" s="54" t="str">
        <f t="shared" si="62"/>
        <v>Priyanka Nanda</v>
      </c>
      <c r="CB185" s="18" t="s">
        <v>1460</v>
      </c>
      <c r="CC185" s="4" t="s">
        <v>607</v>
      </c>
      <c r="CD185" s="4" t="s">
        <v>204</v>
      </c>
      <c r="CE185" s="54" t="str">
        <v>Sales Manager</v>
      </c>
      <c r="CG185" s="54" t="str">
        <f>IFERROR(_xlfn.XLOOKUP(Hiring!A185,Hiring!A185:A584,Hiring!B185:B584,,0),"Not Found")</f>
        <v>Soumya Prusty</v>
      </c>
    </row>
    <row r="186" spans="2:85">
      <c r="B186" s="100"/>
      <c r="F186" s="3">
        <v>4</v>
      </c>
      <c r="G186" s="52" t="str" cm="1">
        <f t="array" ref="G186">_xlfn.IFS(F186&gt;=4.5,"Excellent",AND(F186&gt;=3.5,F186&lt;=4.4),"Good",F186&lt;3.5,"Needs Improvement")</f>
        <v>Good</v>
      </c>
      <c r="I186" s="12">
        <v>162.29</v>
      </c>
      <c r="J186" s="12">
        <v>172.94</v>
      </c>
      <c r="K186" s="54" t="str">
        <f t="shared" si="46"/>
        <v>Over Budget</v>
      </c>
      <c r="M186" s="19"/>
      <c r="N186" s="19">
        <v>105022</v>
      </c>
      <c r="O186" s="54" t="str">
        <f t="shared" si="63"/>
        <v>Yes</v>
      </c>
      <c r="Q186" s="19">
        <v>11.44</v>
      </c>
      <c r="R186" s="56" t="str">
        <f t="shared" si="47"/>
        <v>Yes</v>
      </c>
      <c r="W186" s="19" t="s">
        <v>861</v>
      </c>
      <c r="X186" s="54" t="str">
        <f>VLOOKUP(W186,Employees!$A$1:$B$601,2,FALSE)</f>
        <v>Smita Mohapatra</v>
      </c>
      <c r="Z186" s="3" t="s">
        <v>609</v>
      </c>
      <c r="AA186" s="54" t="str">
        <f t="shared" si="48"/>
        <v>0185</v>
      </c>
      <c r="AC186" s="3" t="s">
        <v>84</v>
      </c>
      <c r="AD186" s="54" t="str">
        <f t="shared" si="49"/>
        <v>Hr</v>
      </c>
      <c r="AF186" s="3" t="s">
        <v>409</v>
      </c>
      <c r="AG186" s="3" t="s">
        <v>84</v>
      </c>
      <c r="AH186" s="3" t="s">
        <v>46</v>
      </c>
      <c r="AI186" s="54" t="str">
        <f t="shared" si="50"/>
        <v>Puspita Behura|HR|SambalpurNet</v>
      </c>
      <c r="AK186" s="3" t="s">
        <v>409</v>
      </c>
      <c r="AL186" s="38" t="str">
        <f t="shared" si="51"/>
        <v>P.B.</v>
      </c>
      <c r="AN186" s="19" t="s">
        <v>5077</v>
      </c>
      <c r="AO186" s="54" t="b">
        <f t="shared" si="52"/>
        <v>0</v>
      </c>
      <c r="AQ186" s="3" t="s">
        <v>409</v>
      </c>
      <c r="AR186" s="52" t="str">
        <f t="shared" si="53"/>
        <v>NO</v>
      </c>
      <c r="AT186" s="12" t="s">
        <v>1693</v>
      </c>
      <c r="AU186" s="54">
        <f t="shared" si="54"/>
        <v>17</v>
      </c>
      <c r="AW186" s="54">
        <f ca="1">DATEDIF(BI186,TODAY(),"Y")</f>
        <v>7</v>
      </c>
      <c r="AX186" s="54"/>
      <c r="AY186" s="40" t="s">
        <v>773</v>
      </c>
      <c r="AZ186" s="44">
        <f t="shared" si="55"/>
        <v>45059</v>
      </c>
      <c r="BA186" s="54" t="str">
        <f t="shared" si="56"/>
        <v>5-2023</v>
      </c>
      <c r="BC186" s="13" t="s">
        <v>2110</v>
      </c>
      <c r="BD186" s="13">
        <f t="shared" si="57"/>
        <v>45078</v>
      </c>
      <c r="BE186" s="45" t="s">
        <v>1638</v>
      </c>
      <c r="BF186" s="54" t="str">
        <f t="shared" ca="1" si="58"/>
        <v>On Track</v>
      </c>
      <c r="BH186" s="3" t="s">
        <v>610</v>
      </c>
      <c r="BI186" s="51">
        <f t="shared" si="64"/>
        <v>43686</v>
      </c>
      <c r="BJ186" s="38">
        <f t="shared" ca="1" si="65"/>
        <v>1831</v>
      </c>
      <c r="BK186" s="38"/>
      <c r="BL186" s="38" t="str">
        <f t="shared" si="66"/>
        <v>No</v>
      </c>
      <c r="BM186" s="59">
        <f t="shared" si="59"/>
        <v>45059</v>
      </c>
      <c r="BN186" s="51">
        <f t="shared" si="67"/>
        <v>43686</v>
      </c>
      <c r="BO186" s="54">
        <f t="shared" si="60"/>
        <v>1373</v>
      </c>
      <c r="BP186" s="3" t="s">
        <v>609</v>
      </c>
      <c r="BQ186" s="3" t="s">
        <v>84</v>
      </c>
      <c r="BR186" s="19" t="s">
        <v>861</v>
      </c>
      <c r="BS186" s="19" t="s">
        <v>2647</v>
      </c>
      <c r="BT186" s="54" t="str">
        <f t="shared" si="61"/>
        <v>Product</v>
      </c>
      <c r="BV186" s="3" t="s">
        <v>609</v>
      </c>
      <c r="BW186" s="3" t="s">
        <v>409</v>
      </c>
      <c r="BX186" s="12" t="s">
        <v>1693</v>
      </c>
      <c r="BY186" s="12" t="s">
        <v>1025</v>
      </c>
      <c r="BZ186" s="54" t="str">
        <f t="shared" si="62"/>
        <v>Aditya Dhal</v>
      </c>
      <c r="CB186" s="19" t="s">
        <v>5179</v>
      </c>
      <c r="CC186" s="3" t="s">
        <v>409</v>
      </c>
      <c r="CD186" s="3" t="s">
        <v>138</v>
      </c>
      <c r="CE186" s="54" t="str">
        <v>Not Found</v>
      </c>
      <c r="CG186" s="54" t="str">
        <f>IFERROR(_xlfn.XLOOKUP(Hiring!A186,Hiring!A186:A585,Hiring!B186:B585,,0),"Not Found")</f>
        <v>Rajan Mohapatra</v>
      </c>
    </row>
    <row r="187" spans="2:85">
      <c r="B187" s="100"/>
      <c r="F187" s="4">
        <v>4</v>
      </c>
      <c r="G187" s="52" t="str" cm="1">
        <f t="array" ref="G187">_xlfn.IFS(F187&gt;=4.5,"Excellent",AND(F187&gt;=3.5,F187&lt;=4.4),"Good",F187&lt;3.5,"Needs Improvement")</f>
        <v>Good</v>
      </c>
      <c r="I187" s="14"/>
      <c r="J187" s="14">
        <v>134.93</v>
      </c>
      <c r="K187" s="54" t="str">
        <f t="shared" si="46"/>
        <v>Over Budget</v>
      </c>
      <c r="M187" s="18"/>
      <c r="N187" s="18">
        <v>147764</v>
      </c>
      <c r="O187" s="54" t="str">
        <f t="shared" si="63"/>
        <v>Yes</v>
      </c>
      <c r="Q187" s="18">
        <v>8.1999999999999993</v>
      </c>
      <c r="R187" s="56" t="str">
        <f t="shared" si="47"/>
        <v>Yes</v>
      </c>
      <c r="W187" s="18" t="s">
        <v>861</v>
      </c>
      <c r="X187" s="54" t="str">
        <f>VLOOKUP(W187,Employees!$A$1:$B$601,2,FALSE)</f>
        <v>Smita Mohapatra</v>
      </c>
      <c r="Z187" s="4" t="s">
        <v>611</v>
      </c>
      <c r="AA187" s="54" t="str">
        <f t="shared" si="48"/>
        <v>0186</v>
      </c>
      <c r="AC187" s="4" t="s">
        <v>176</v>
      </c>
      <c r="AD187" s="54" t="str">
        <f t="shared" si="49"/>
        <v>Finance</v>
      </c>
      <c r="AF187" s="4" t="s">
        <v>328</v>
      </c>
      <c r="AG187" s="4" t="s">
        <v>176</v>
      </c>
      <c r="AH187" s="4" t="s">
        <v>18</v>
      </c>
      <c r="AI187" s="54" t="str">
        <f t="shared" si="50"/>
        <v>Prasant Biswal|Finance|CoastalDev Studio</v>
      </c>
      <c r="AK187" s="4" t="s">
        <v>328</v>
      </c>
      <c r="AL187" s="38" t="str">
        <f t="shared" si="51"/>
        <v>P.B.</v>
      </c>
      <c r="AN187" s="18" t="s">
        <v>5060</v>
      </c>
      <c r="AO187" s="54" t="str">
        <f t="shared" si="52"/>
        <v>Naukri</v>
      </c>
      <c r="AQ187" s="4" t="s">
        <v>328</v>
      </c>
      <c r="AR187" s="52" t="str">
        <f t="shared" si="53"/>
        <v>NO</v>
      </c>
      <c r="AT187" s="14" t="s">
        <v>1609</v>
      </c>
      <c r="AU187" s="54">
        <f t="shared" si="54"/>
        <v>22</v>
      </c>
      <c r="AW187" s="54">
        <f ca="1">DATEDIF(BI187,TODAY(),"Y")</f>
        <v>5</v>
      </c>
      <c r="AX187" s="54"/>
      <c r="AY187" s="41" t="s">
        <v>889</v>
      </c>
      <c r="AZ187" s="44">
        <f t="shared" si="55"/>
        <v>45411</v>
      </c>
      <c r="BA187" s="54" t="str">
        <f t="shared" si="56"/>
        <v>4-2024</v>
      </c>
      <c r="BC187" s="15" t="s">
        <v>1952</v>
      </c>
      <c r="BD187" s="13">
        <f t="shared" si="57"/>
        <v>45208</v>
      </c>
      <c r="BE187" s="46" t="s">
        <v>1632</v>
      </c>
      <c r="BF187" s="54" t="str">
        <f t="shared" ca="1" si="58"/>
        <v>Overdue</v>
      </c>
      <c r="BH187" s="4" t="s">
        <v>500</v>
      </c>
      <c r="BI187" s="51">
        <f t="shared" si="64"/>
        <v>44286</v>
      </c>
      <c r="BJ187" s="38">
        <f t="shared" ca="1" si="65"/>
        <v>1403</v>
      </c>
      <c r="BK187" s="38"/>
      <c r="BL187" s="38" t="str">
        <f t="shared" si="66"/>
        <v>Q1</v>
      </c>
      <c r="BM187" s="59">
        <f t="shared" si="59"/>
        <v>45411</v>
      </c>
      <c r="BN187" s="51">
        <f t="shared" si="67"/>
        <v>44286</v>
      </c>
      <c r="BO187" s="54">
        <f t="shared" si="60"/>
        <v>1125</v>
      </c>
      <c r="BP187" s="4" t="s">
        <v>611</v>
      </c>
      <c r="BQ187" s="4" t="s">
        <v>176</v>
      </c>
      <c r="BR187" s="18" t="s">
        <v>861</v>
      </c>
      <c r="BS187" s="18" t="s">
        <v>2649</v>
      </c>
      <c r="BT187" s="54" t="str">
        <f t="shared" si="61"/>
        <v>Product</v>
      </c>
      <c r="BV187" s="4" t="s">
        <v>611</v>
      </c>
      <c r="BW187" s="4" t="s">
        <v>328</v>
      </c>
      <c r="BX187" s="14" t="s">
        <v>1609</v>
      </c>
      <c r="BY187" s="14" t="s">
        <v>636</v>
      </c>
      <c r="BZ187" s="54" t="str">
        <f t="shared" si="62"/>
        <v>Tanmay Choudhury</v>
      </c>
      <c r="CB187" s="18" t="s">
        <v>5382</v>
      </c>
      <c r="CC187" s="4" t="s">
        <v>328</v>
      </c>
      <c r="CD187" s="4" t="s">
        <v>359</v>
      </c>
      <c r="CE187" s="54" t="str">
        <v>Not Found</v>
      </c>
      <c r="CG187" s="54" t="str">
        <f>IFERROR(_xlfn.XLOOKUP(Hiring!A187,Hiring!A187:A586,Hiring!B187:B586,,0),"Not Found")</f>
        <v>Debasmita Nanda</v>
      </c>
    </row>
    <row r="188" spans="2:85">
      <c r="B188" s="100"/>
      <c r="F188" s="3">
        <v>3.2</v>
      </c>
      <c r="G188" s="52" t="str" cm="1">
        <f t="array" ref="G188">_xlfn.IFS(F188&gt;=4.5,"Excellent",AND(F188&gt;=3.5,F188&lt;=4.4),"Good",F188&lt;3.5,"Needs Improvement")</f>
        <v>Needs Improvement</v>
      </c>
      <c r="I188" s="12">
        <v>175.43</v>
      </c>
      <c r="J188" s="12">
        <v>130.16999999999999</v>
      </c>
      <c r="K188" s="54" t="str">
        <f t="shared" si="46"/>
        <v>Within Budget</v>
      </c>
      <c r="M188" s="19">
        <v>156877</v>
      </c>
      <c r="N188" s="19">
        <v>156702</v>
      </c>
      <c r="O188" s="54" t="str">
        <f t="shared" si="63"/>
        <v>Yes</v>
      </c>
      <c r="Q188" s="19">
        <v>7.96</v>
      </c>
      <c r="R188" s="56" t="str">
        <f t="shared" si="47"/>
        <v>Yes</v>
      </c>
      <c r="W188" s="19" t="s">
        <v>861</v>
      </c>
      <c r="X188" s="54" t="str">
        <f>VLOOKUP(W188,Employees!$A$1:$B$601,2,FALSE)</f>
        <v>Smita Mohapatra</v>
      </c>
      <c r="Z188" s="3" t="s">
        <v>612</v>
      </c>
      <c r="AA188" s="54" t="str">
        <f t="shared" si="48"/>
        <v>0187</v>
      </c>
      <c r="AC188" s="3" t="s">
        <v>39</v>
      </c>
      <c r="AD188" s="54" t="str">
        <f t="shared" si="49"/>
        <v>Engineering</v>
      </c>
      <c r="AF188" s="3" t="s">
        <v>613</v>
      </c>
      <c r="AG188" s="3" t="s">
        <v>39</v>
      </c>
      <c r="AH188" s="3" t="s">
        <v>172</v>
      </c>
      <c r="AI188" s="54" t="str">
        <f t="shared" si="50"/>
        <v>Ankita Parida|Engineering|TechNova Solutions</v>
      </c>
      <c r="AK188" s="3" t="s">
        <v>613</v>
      </c>
      <c r="AL188" s="38" t="str">
        <f t="shared" si="51"/>
        <v>A.P.</v>
      </c>
      <c r="AN188" s="19" t="s">
        <v>5060</v>
      </c>
      <c r="AO188" s="54" t="str">
        <f t="shared" si="52"/>
        <v>Naukri</v>
      </c>
      <c r="AQ188" s="3" t="s">
        <v>613</v>
      </c>
      <c r="AR188" s="52" t="str">
        <f t="shared" si="53"/>
        <v>NO</v>
      </c>
      <c r="AT188" s="12" t="s">
        <v>1739</v>
      </c>
      <c r="AU188" s="54">
        <f t="shared" si="54"/>
        <v>10</v>
      </c>
      <c r="AW188" s="54">
        <f ca="1">DATEDIF(BI188,TODAY(),"Y")</f>
        <v>3</v>
      </c>
      <c r="AX188" s="54"/>
      <c r="AY188" s="40" t="s">
        <v>1937</v>
      </c>
      <c r="AZ188" s="44">
        <f t="shared" si="55"/>
        <v>45540</v>
      </c>
      <c r="BA188" s="54" t="str">
        <f t="shared" si="56"/>
        <v>9-2024</v>
      </c>
      <c r="BC188" s="13" t="s">
        <v>2113</v>
      </c>
      <c r="BD188" s="13">
        <f t="shared" si="57"/>
        <v>45304</v>
      </c>
      <c r="BE188" s="45" t="s">
        <v>1625</v>
      </c>
      <c r="BF188" s="54" t="str">
        <f t="shared" ca="1" si="58"/>
        <v>Overdue</v>
      </c>
      <c r="BH188" s="3" t="s">
        <v>614</v>
      </c>
      <c r="BI188" s="51">
        <f t="shared" si="64"/>
        <v>45005</v>
      </c>
      <c r="BJ188" s="38">
        <f t="shared" ca="1" si="65"/>
        <v>890</v>
      </c>
      <c r="BK188" s="38"/>
      <c r="BL188" s="38" t="str">
        <f t="shared" si="66"/>
        <v>Q1</v>
      </c>
      <c r="BM188" s="59">
        <f t="shared" si="59"/>
        <v>45540</v>
      </c>
      <c r="BN188" s="51">
        <f t="shared" si="67"/>
        <v>45005</v>
      </c>
      <c r="BO188" s="54">
        <f t="shared" si="60"/>
        <v>535</v>
      </c>
      <c r="BP188" s="3" t="s">
        <v>612</v>
      </c>
      <c r="BQ188" s="3" t="s">
        <v>39</v>
      </c>
      <c r="BR188" s="19" t="s">
        <v>861</v>
      </c>
      <c r="BS188" s="19" t="s">
        <v>2650</v>
      </c>
      <c r="BT188" s="54" t="str">
        <f t="shared" si="61"/>
        <v>Product</v>
      </c>
      <c r="BV188" s="3" t="s">
        <v>612</v>
      </c>
      <c r="BW188" s="3" t="s">
        <v>613</v>
      </c>
      <c r="BX188" s="12" t="s">
        <v>1739</v>
      </c>
      <c r="BY188" s="12" t="s">
        <v>1307</v>
      </c>
      <c r="BZ188" s="54" t="str">
        <f t="shared" si="62"/>
        <v>Priyanka Pattnaik</v>
      </c>
      <c r="CB188" s="19" t="s">
        <v>187</v>
      </c>
      <c r="CC188" s="3" t="s">
        <v>613</v>
      </c>
      <c r="CD188" s="3" t="s">
        <v>197</v>
      </c>
      <c r="CE188" s="54" t="str">
        <v>Cloud Architect</v>
      </c>
      <c r="CG188" s="54" t="str">
        <f>IFERROR(_xlfn.XLOOKUP(Hiring!A188,Hiring!A188:A587,Hiring!B188:B587,,0),"Not Found")</f>
        <v>Puspita Nanda</v>
      </c>
    </row>
    <row r="189" spans="2:85">
      <c r="B189" s="100"/>
      <c r="F189" s="4">
        <v>0</v>
      </c>
      <c r="G189" s="52" t="str" cm="1">
        <f t="array" ref="G189">_xlfn.IFS(F189&gt;=4.5,"Excellent",AND(F189&gt;=3.5,F189&lt;=4.4),"Good",F189&lt;3.5,"Needs Improvement")</f>
        <v>Needs Improvement</v>
      </c>
      <c r="I189" s="14">
        <v>24.1</v>
      </c>
      <c r="J189" s="14">
        <v>24.79</v>
      </c>
      <c r="K189" s="54" t="str">
        <f t="shared" si="46"/>
        <v>Over Budget</v>
      </c>
      <c r="M189" s="18"/>
      <c r="N189" s="18">
        <v>162104</v>
      </c>
      <c r="O189" s="54" t="str">
        <f t="shared" si="63"/>
        <v>Yes</v>
      </c>
      <c r="Q189" s="18">
        <v>9.5399999999999991</v>
      </c>
      <c r="R189" s="56" t="str">
        <f t="shared" si="47"/>
        <v>Yes</v>
      </c>
      <c r="W189" s="18" t="s">
        <v>861</v>
      </c>
      <c r="X189" s="54" t="str">
        <f>VLOOKUP(W189,Employees!$A$1:$B$601,2,FALSE)</f>
        <v>Smita Mohapatra</v>
      </c>
      <c r="Z189" s="4" t="s">
        <v>615</v>
      </c>
      <c r="AA189" s="54" t="str">
        <f t="shared" si="48"/>
        <v>0188</v>
      </c>
      <c r="AC189" s="4" t="s">
        <v>118</v>
      </c>
      <c r="AD189" s="54" t="str">
        <f t="shared" si="49"/>
        <v>Marketing</v>
      </c>
      <c r="AF189" s="4" t="s">
        <v>616</v>
      </c>
      <c r="AG189" s="4" t="s">
        <v>118</v>
      </c>
      <c r="AH189" s="4" t="s">
        <v>46</v>
      </c>
      <c r="AI189" s="54" t="str">
        <f t="shared" si="50"/>
        <v>Dibya Jena|Marketing|SambalpurNet</v>
      </c>
      <c r="AK189" s="4" t="s">
        <v>616</v>
      </c>
      <c r="AL189" s="38" t="str">
        <f t="shared" si="51"/>
        <v>D.J.</v>
      </c>
      <c r="AN189" s="18" t="s">
        <v>5060</v>
      </c>
      <c r="AO189" s="54" t="str">
        <f t="shared" si="52"/>
        <v>Naukri</v>
      </c>
      <c r="AQ189" s="4" t="s">
        <v>616</v>
      </c>
      <c r="AR189" s="52" t="str">
        <f t="shared" si="53"/>
        <v>NO</v>
      </c>
      <c r="AT189" s="14" t="s">
        <v>1609</v>
      </c>
      <c r="AU189" s="54">
        <f t="shared" si="54"/>
        <v>22</v>
      </c>
      <c r="AW189" s="54">
        <f ca="1">DATEDIF(BI189,TODAY(),"Y")</f>
        <v>4</v>
      </c>
      <c r="AX189" s="54"/>
      <c r="AY189" s="41" t="s">
        <v>709</v>
      </c>
      <c r="AZ189" s="44">
        <f t="shared" si="55"/>
        <v>45171</v>
      </c>
      <c r="BA189" s="54" t="str">
        <f t="shared" si="56"/>
        <v>9-2023</v>
      </c>
      <c r="BC189" s="15" t="s">
        <v>2116</v>
      </c>
      <c r="BD189" s="13">
        <f t="shared" si="57"/>
        <v>45202</v>
      </c>
      <c r="BE189" s="46" t="s">
        <v>1656</v>
      </c>
      <c r="BF189" s="54" t="str">
        <f t="shared" ca="1" si="58"/>
        <v>Overdue</v>
      </c>
      <c r="BH189" s="4" t="s">
        <v>617</v>
      </c>
      <c r="BI189" s="51">
        <f t="shared" si="64"/>
        <v>44435</v>
      </c>
      <c r="BJ189" s="38">
        <f t="shared" ca="1" si="65"/>
        <v>1296</v>
      </c>
      <c r="BK189" s="38"/>
      <c r="BL189" s="38" t="str">
        <f t="shared" si="66"/>
        <v>No</v>
      </c>
      <c r="BM189" s="59">
        <f t="shared" si="59"/>
        <v>45171</v>
      </c>
      <c r="BN189" s="51">
        <f t="shared" si="67"/>
        <v>44435</v>
      </c>
      <c r="BO189" s="54">
        <f t="shared" si="60"/>
        <v>736</v>
      </c>
      <c r="BP189" s="4" t="s">
        <v>615</v>
      </c>
      <c r="BQ189" s="4" t="s">
        <v>118</v>
      </c>
      <c r="BR189" s="18" t="s">
        <v>861</v>
      </c>
      <c r="BS189" s="18" t="s">
        <v>2651</v>
      </c>
      <c r="BT189" s="54" t="str">
        <f t="shared" si="61"/>
        <v>Product</v>
      </c>
      <c r="BV189" s="4" t="s">
        <v>615</v>
      </c>
      <c r="BW189" s="4" t="s">
        <v>616</v>
      </c>
      <c r="BX189" s="14" t="s">
        <v>1609</v>
      </c>
      <c r="BY189" s="14" t="s">
        <v>1124</v>
      </c>
      <c r="BZ189" s="54" t="str">
        <f t="shared" si="62"/>
        <v>Priyanka Samal</v>
      </c>
      <c r="CB189" s="18" t="s">
        <v>1351</v>
      </c>
      <c r="CC189" s="4" t="s">
        <v>616</v>
      </c>
      <c r="CD189" s="4" t="s">
        <v>254</v>
      </c>
      <c r="CE189" s="54" t="str">
        <v>Talent Acquisition</v>
      </c>
      <c r="CG189" s="54" t="str">
        <f>IFERROR(_xlfn.XLOOKUP(Hiring!A189,Hiring!A189:A588,Hiring!B189:B588,,0),"Not Found")</f>
        <v>Sangita Behura</v>
      </c>
    </row>
    <row r="190" spans="2:85">
      <c r="B190" s="100"/>
      <c r="F190" s="3">
        <v>2.9</v>
      </c>
      <c r="G190" s="52" t="str" cm="1">
        <f t="array" ref="G190">_xlfn.IFS(F190&gt;=4.5,"Excellent",AND(F190&gt;=3.5,F190&lt;=4.4),"Good",F190&lt;3.5,"Needs Improvement")</f>
        <v>Needs Improvement</v>
      </c>
      <c r="I190" s="12">
        <v>150.52000000000001</v>
      </c>
      <c r="J190" s="12">
        <v>135.43</v>
      </c>
      <c r="K190" s="54" t="str">
        <f t="shared" si="46"/>
        <v>Within Budget</v>
      </c>
      <c r="M190" s="19">
        <v>197635</v>
      </c>
      <c r="N190" s="19">
        <v>183875</v>
      </c>
      <c r="O190" s="54" t="str">
        <f t="shared" si="63"/>
        <v>Yes</v>
      </c>
      <c r="Q190" s="19">
        <v>6.67</v>
      </c>
      <c r="R190" s="56" t="str">
        <f t="shared" si="47"/>
        <v>Yes</v>
      </c>
      <c r="W190" s="19" t="s">
        <v>861</v>
      </c>
      <c r="X190" s="54" t="str">
        <f>VLOOKUP(W190,Employees!$A$1:$B$601,2,FALSE)</f>
        <v>Smita Mohapatra</v>
      </c>
      <c r="Z190" s="3" t="s">
        <v>618</v>
      </c>
      <c r="AA190" s="54" t="str">
        <f t="shared" si="48"/>
        <v>0189</v>
      </c>
      <c r="AC190" s="3" t="s">
        <v>118</v>
      </c>
      <c r="AD190" s="54" t="str">
        <f t="shared" si="49"/>
        <v>Marketing</v>
      </c>
      <c r="AF190" s="3" t="s">
        <v>449</v>
      </c>
      <c r="AG190" s="3" t="s">
        <v>118</v>
      </c>
      <c r="AH190" s="3" t="s">
        <v>75</v>
      </c>
      <c r="AI190" s="54" t="str">
        <f t="shared" si="50"/>
        <v>Debasmita Tripathy|Marketing|KalingaTech Pvt Ltd</v>
      </c>
      <c r="AK190" s="3" t="s">
        <v>449</v>
      </c>
      <c r="AL190" s="38" t="str">
        <f t="shared" si="51"/>
        <v>D.T.</v>
      </c>
      <c r="AN190" s="19" t="s">
        <v>5025</v>
      </c>
      <c r="AO190" s="54" t="b">
        <f t="shared" si="52"/>
        <v>0</v>
      </c>
      <c r="AQ190" s="3" t="s">
        <v>449</v>
      </c>
      <c r="AR190" s="52" t="str">
        <f t="shared" si="53"/>
        <v>NO</v>
      </c>
      <c r="AT190" s="12" t="s">
        <v>1705</v>
      </c>
      <c r="AU190" s="54">
        <f t="shared" si="54"/>
        <v>13</v>
      </c>
      <c r="AW190" s="54">
        <f ca="1">DATEDIF(BI190,TODAY(),"Y")</f>
        <v>3</v>
      </c>
      <c r="AX190" s="54"/>
      <c r="AY190" s="40" t="s">
        <v>1891</v>
      </c>
      <c r="AZ190" s="44">
        <f t="shared" si="55"/>
        <v>44987</v>
      </c>
      <c r="BA190" s="54" t="str">
        <f t="shared" si="56"/>
        <v>3-2023</v>
      </c>
      <c r="BC190" s="13" t="s">
        <v>2027</v>
      </c>
      <c r="BD190" s="13">
        <f t="shared" si="57"/>
        <v>44711</v>
      </c>
      <c r="BE190" s="45" t="s">
        <v>1656</v>
      </c>
      <c r="BF190" s="54" t="str">
        <f t="shared" ca="1" si="58"/>
        <v>Overdue</v>
      </c>
      <c r="BH190" s="3" t="s">
        <v>619</v>
      </c>
      <c r="BI190" s="51">
        <f t="shared" si="64"/>
        <v>45096</v>
      </c>
      <c r="BJ190" s="38">
        <f t="shared" ca="1" si="65"/>
        <v>825</v>
      </c>
      <c r="BK190" s="38"/>
      <c r="BL190" s="38" t="str">
        <f t="shared" si="66"/>
        <v>No</v>
      </c>
      <c r="BM190" s="59">
        <f t="shared" si="59"/>
        <v>44987</v>
      </c>
      <c r="BN190" s="51">
        <f t="shared" si="67"/>
        <v>45096</v>
      </c>
      <c r="BO190" s="54">
        <f t="shared" si="60"/>
        <v>109</v>
      </c>
      <c r="BP190" s="3" t="s">
        <v>618</v>
      </c>
      <c r="BQ190" s="3" t="s">
        <v>118</v>
      </c>
      <c r="BR190" s="19" t="s">
        <v>861</v>
      </c>
      <c r="BS190" s="19" t="s">
        <v>2654</v>
      </c>
      <c r="BT190" s="54" t="str">
        <f t="shared" si="61"/>
        <v>Product</v>
      </c>
      <c r="BV190" s="3" t="s">
        <v>618</v>
      </c>
      <c r="BW190" s="3" t="s">
        <v>449</v>
      </c>
      <c r="BX190" s="12" t="s">
        <v>1705</v>
      </c>
      <c r="BY190" s="12" t="s">
        <v>406</v>
      </c>
      <c r="BZ190" s="54" t="str">
        <f t="shared" si="62"/>
        <v>Sudhansu Dhal</v>
      </c>
      <c r="CB190" s="19" t="s">
        <v>996</v>
      </c>
      <c r="CC190" s="3" t="s">
        <v>449</v>
      </c>
      <c r="CD190" s="3" t="s">
        <v>254</v>
      </c>
      <c r="CE190" s="54" t="str">
        <v>Product Manager</v>
      </c>
      <c r="CG190" s="54" t="str">
        <f>IFERROR(_xlfn.XLOOKUP(Hiring!A190,Hiring!A190:A589,Hiring!B190:B589,,0),"Not Found")</f>
        <v>Ranjit Padhi</v>
      </c>
    </row>
    <row r="191" spans="2:85">
      <c r="B191" s="100"/>
      <c r="F191" s="4">
        <v>2.6</v>
      </c>
      <c r="G191" s="52" t="str" cm="1">
        <f t="array" ref="G191">_xlfn.IFS(F191&gt;=4.5,"Excellent",AND(F191&gt;=3.5,F191&lt;=4.4),"Good",F191&lt;3.5,"Needs Improvement")</f>
        <v>Needs Improvement</v>
      </c>
      <c r="I191" s="14">
        <v>149.08000000000001</v>
      </c>
      <c r="J191" s="14">
        <v>120.27</v>
      </c>
      <c r="K191" s="54" t="str">
        <f t="shared" si="46"/>
        <v>Within Budget</v>
      </c>
      <c r="M191" s="18">
        <v>63129</v>
      </c>
      <c r="N191" s="18">
        <v>66349</v>
      </c>
      <c r="O191" s="54" t="str">
        <f t="shared" si="63"/>
        <v>Yes</v>
      </c>
      <c r="Q191" s="18">
        <v>11.42</v>
      </c>
      <c r="R191" s="56" t="str">
        <f t="shared" si="47"/>
        <v>Yes</v>
      </c>
      <c r="W191" s="18" t="s">
        <v>861</v>
      </c>
      <c r="X191" s="54" t="str">
        <f>VLOOKUP(W191,Employees!$A$1:$B$601,2,FALSE)</f>
        <v>Smita Mohapatra</v>
      </c>
      <c r="Z191" s="4" t="s">
        <v>620</v>
      </c>
      <c r="AA191" s="54" t="str">
        <f t="shared" si="48"/>
        <v>0190</v>
      </c>
      <c r="AC191" s="4" t="s">
        <v>39</v>
      </c>
      <c r="AD191" s="54" t="str">
        <f t="shared" si="49"/>
        <v>Engineering</v>
      </c>
      <c r="AF191" s="4" t="s">
        <v>196</v>
      </c>
      <c r="AG191" s="4" t="s">
        <v>39</v>
      </c>
      <c r="AH191" s="4" t="s">
        <v>75</v>
      </c>
      <c r="AI191" s="54" t="str">
        <f t="shared" si="50"/>
        <v>Sangita Jena|Engineering|KalingaTech Pvt Ltd</v>
      </c>
      <c r="AK191" s="4" t="s">
        <v>196</v>
      </c>
      <c r="AL191" s="38" t="str">
        <f t="shared" si="51"/>
        <v>S.J.</v>
      </c>
      <c r="AN191" s="18" t="s">
        <v>5023</v>
      </c>
      <c r="AO191" s="54" t="str">
        <f t="shared" si="52"/>
        <v>Linkedln</v>
      </c>
      <c r="AQ191" s="4" t="s">
        <v>196</v>
      </c>
      <c r="AR191" s="52" t="str">
        <f t="shared" si="53"/>
        <v>NO</v>
      </c>
      <c r="AT191" s="14" t="s">
        <v>1702</v>
      </c>
      <c r="AU191" s="54">
        <f t="shared" si="54"/>
        <v>17</v>
      </c>
      <c r="AW191" s="54">
        <f ca="1">DATEDIF(BI191,TODAY(),"Y")</f>
        <v>6</v>
      </c>
      <c r="AX191" s="54"/>
      <c r="AY191" s="41" t="s">
        <v>5387</v>
      </c>
      <c r="AZ191" s="44">
        <f t="shared" si="55"/>
        <v>45182</v>
      </c>
      <c r="BA191" s="54" t="str">
        <f t="shared" si="56"/>
        <v>9-2023</v>
      </c>
      <c r="BC191" s="15" t="s">
        <v>1798</v>
      </c>
      <c r="BD191" s="13">
        <f t="shared" si="57"/>
        <v>44914</v>
      </c>
      <c r="BE191" s="46" t="s">
        <v>1632</v>
      </c>
      <c r="BF191" s="54" t="str">
        <f t="shared" ca="1" si="58"/>
        <v>Overdue</v>
      </c>
      <c r="BH191" s="4" t="s">
        <v>621</v>
      </c>
      <c r="BI191" s="51">
        <f t="shared" si="64"/>
        <v>44051</v>
      </c>
      <c r="BJ191" s="38">
        <f t="shared" ca="1" si="65"/>
        <v>1570</v>
      </c>
      <c r="BK191" s="38"/>
      <c r="BL191" s="38" t="str">
        <f t="shared" si="66"/>
        <v>No</v>
      </c>
      <c r="BM191" s="59">
        <f t="shared" si="59"/>
        <v>45182</v>
      </c>
      <c r="BN191" s="51">
        <f t="shared" si="67"/>
        <v>44051</v>
      </c>
      <c r="BO191" s="54">
        <f t="shared" si="60"/>
        <v>1131</v>
      </c>
      <c r="BP191" s="4" t="s">
        <v>620</v>
      </c>
      <c r="BQ191" s="4" t="s">
        <v>39</v>
      </c>
      <c r="BR191" s="18" t="s">
        <v>861</v>
      </c>
      <c r="BS191" s="18" t="s">
        <v>2656</v>
      </c>
      <c r="BT191" s="54" t="str">
        <f t="shared" si="61"/>
        <v>Product</v>
      </c>
      <c r="BV191" s="4" t="s">
        <v>620</v>
      </c>
      <c r="BW191" s="4" t="s">
        <v>196</v>
      </c>
      <c r="BX191" s="14" t="s">
        <v>1702</v>
      </c>
      <c r="BY191" s="14" t="s">
        <v>1285</v>
      </c>
      <c r="BZ191" s="54" t="str">
        <f t="shared" si="62"/>
        <v>Nirmal Mohapatra</v>
      </c>
      <c r="CB191" s="18" t="s">
        <v>1386</v>
      </c>
      <c r="CC191" s="4" t="s">
        <v>196</v>
      </c>
      <c r="CD191" s="4" t="s">
        <v>40</v>
      </c>
      <c r="CE191" s="54" t="str">
        <v>Junior Developer</v>
      </c>
      <c r="CG191" s="54" t="str">
        <f>IFERROR(_xlfn.XLOOKUP(Hiring!A191,Hiring!A191:A590,Hiring!B191:B590,,0),"Not Found")</f>
        <v>Abhishek Prusty</v>
      </c>
    </row>
    <row r="192" spans="2:85">
      <c r="B192" s="100"/>
      <c r="F192" s="3">
        <v>1.6</v>
      </c>
      <c r="G192" s="52" t="str" cm="1">
        <f t="array" ref="G192">_xlfn.IFS(F192&gt;=4.5,"Excellent",AND(F192&gt;=3.5,F192&lt;=4.4),"Good",F192&lt;3.5,"Needs Improvement")</f>
        <v>Needs Improvement</v>
      </c>
      <c r="I192" s="12">
        <v>116.07</v>
      </c>
      <c r="J192" s="12">
        <v>99.73</v>
      </c>
      <c r="K192" s="54" t="str">
        <f t="shared" si="46"/>
        <v>Within Budget</v>
      </c>
      <c r="M192" s="19">
        <v>126503</v>
      </c>
      <c r="N192" s="19">
        <v>125280</v>
      </c>
      <c r="O192" s="54" t="str">
        <f t="shared" si="63"/>
        <v>Yes</v>
      </c>
      <c r="Q192" s="19">
        <v>11.33</v>
      </c>
      <c r="R192" s="56" t="str">
        <f t="shared" si="47"/>
        <v>Yes</v>
      </c>
      <c r="W192" s="19" t="s">
        <v>861</v>
      </c>
      <c r="X192" s="54" t="str">
        <f>VLOOKUP(W192,Employees!$A$1:$B$601,2,FALSE)</f>
        <v>Smita Mohapatra</v>
      </c>
      <c r="Z192" s="3" t="s">
        <v>622</v>
      </c>
      <c r="AA192" s="54" t="str">
        <f t="shared" si="48"/>
        <v>0191</v>
      </c>
      <c r="AC192" s="3" t="s">
        <v>410</v>
      </c>
      <c r="AD192" s="54" t="str">
        <f t="shared" si="49"/>
        <v>Sales</v>
      </c>
      <c r="AF192" s="3" t="s">
        <v>200</v>
      </c>
      <c r="AG192" s="3" t="s">
        <v>410</v>
      </c>
      <c r="AH192" s="3" t="s">
        <v>214</v>
      </c>
      <c r="AI192" s="54" t="str">
        <f t="shared" si="50"/>
        <v>Rahul Ratha|sales|ZeroOneSystems</v>
      </c>
      <c r="AK192" s="3" t="s">
        <v>200</v>
      </c>
      <c r="AL192" s="38" t="str">
        <f t="shared" si="51"/>
        <v>R.R.</v>
      </c>
      <c r="AN192" s="19" t="s">
        <v>5051</v>
      </c>
      <c r="AO192" s="54" t="str">
        <f t="shared" si="52"/>
        <v>Naukri</v>
      </c>
      <c r="AQ192" s="3" t="s">
        <v>200</v>
      </c>
      <c r="AR192" s="52" t="str">
        <f t="shared" si="53"/>
        <v>NO</v>
      </c>
      <c r="AT192" s="12" t="s">
        <v>1720</v>
      </c>
      <c r="AU192" s="54">
        <f t="shared" si="54"/>
        <v>10</v>
      </c>
      <c r="AW192" s="54">
        <f ca="1">DATEDIF(BI192,TODAY(),"Y")</f>
        <v>6</v>
      </c>
      <c r="AX192" s="54"/>
      <c r="AY192" s="40" t="s">
        <v>1636</v>
      </c>
      <c r="AZ192" s="44">
        <f t="shared" si="55"/>
        <v>45127</v>
      </c>
      <c r="BA192" s="54" t="str">
        <f t="shared" si="56"/>
        <v>7-2023</v>
      </c>
      <c r="BC192" s="13" t="s">
        <v>2122</v>
      </c>
      <c r="BD192" s="13">
        <f t="shared" si="57"/>
        <v>44518</v>
      </c>
      <c r="BE192" s="45" t="s">
        <v>1625</v>
      </c>
      <c r="BF192" s="54" t="str">
        <f t="shared" ca="1" si="58"/>
        <v>Overdue</v>
      </c>
      <c r="BH192" s="3" t="s">
        <v>623</v>
      </c>
      <c r="BI192" s="51">
        <f t="shared" si="64"/>
        <v>43937</v>
      </c>
      <c r="BJ192" s="38">
        <f t="shared" ca="1" si="65"/>
        <v>1652</v>
      </c>
      <c r="BK192" s="38"/>
      <c r="BL192" s="38" t="str">
        <f t="shared" si="66"/>
        <v>No</v>
      </c>
      <c r="BM192" s="59">
        <f t="shared" si="59"/>
        <v>45127</v>
      </c>
      <c r="BN192" s="51">
        <f t="shared" si="67"/>
        <v>43937</v>
      </c>
      <c r="BO192" s="54">
        <f t="shared" si="60"/>
        <v>1190</v>
      </c>
      <c r="BP192" s="3" t="s">
        <v>622</v>
      </c>
      <c r="BQ192" s="3" t="s">
        <v>410</v>
      </c>
      <c r="BR192" s="19" t="s">
        <v>861</v>
      </c>
      <c r="BS192" s="19" t="s">
        <v>2657</v>
      </c>
      <c r="BT192" s="54" t="str">
        <f t="shared" si="61"/>
        <v>Product</v>
      </c>
      <c r="BV192" s="3" t="s">
        <v>622</v>
      </c>
      <c r="BW192" s="3" t="s">
        <v>200</v>
      </c>
      <c r="BX192" s="12" t="s">
        <v>1720</v>
      </c>
      <c r="BY192" s="12" t="s">
        <v>179</v>
      </c>
      <c r="BZ192" s="54" t="str">
        <f t="shared" si="62"/>
        <v>Saurav Nanda</v>
      </c>
      <c r="CB192" s="19" t="s">
        <v>122</v>
      </c>
      <c r="CC192" s="3" t="s">
        <v>200</v>
      </c>
      <c r="CD192" s="3" t="s">
        <v>52</v>
      </c>
      <c r="CE192" s="54" t="str">
        <v>Sr DevOps</v>
      </c>
      <c r="CG192" s="54" t="str">
        <f>IFERROR(_xlfn.XLOOKUP(Hiring!A192,Hiring!A192:A591,Hiring!B192:B591,,0),"Not Found")</f>
        <v>Sudhansu Choudhury</v>
      </c>
    </row>
    <row r="193" spans="2:85">
      <c r="B193" s="100"/>
      <c r="F193" s="4">
        <v>4.5</v>
      </c>
      <c r="G193" s="52" t="str" cm="1">
        <f t="array" ref="G193">_xlfn.IFS(F193&gt;=4.5,"Excellent",AND(F193&gt;=3.5,F193&lt;=4.4),"Good",F193&lt;3.5,"Needs Improvement")</f>
        <v>Excellent</v>
      </c>
      <c r="I193" s="14">
        <v>169.07</v>
      </c>
      <c r="J193" s="14">
        <v>203.8</v>
      </c>
      <c r="K193" s="54" t="str">
        <f t="shared" si="46"/>
        <v>Over Budget</v>
      </c>
      <c r="M193" s="18">
        <v>124301</v>
      </c>
      <c r="N193" s="18">
        <v>138187</v>
      </c>
      <c r="O193" s="54" t="str">
        <f t="shared" si="63"/>
        <v>Yes</v>
      </c>
      <c r="Q193" s="18">
        <v>10.79</v>
      </c>
      <c r="R193" s="56" t="str">
        <f t="shared" si="47"/>
        <v>Yes</v>
      </c>
      <c r="W193" s="18" t="s">
        <v>861</v>
      </c>
      <c r="X193" s="54" t="str">
        <f>VLOOKUP(W193,Employees!$A$1:$B$601,2,FALSE)</f>
        <v>Smita Mohapatra</v>
      </c>
      <c r="Z193" s="4" t="s">
        <v>624</v>
      </c>
      <c r="AA193" s="54" t="str">
        <f t="shared" si="48"/>
        <v>0192</v>
      </c>
      <c r="AC193" s="4" t="s">
        <v>16</v>
      </c>
      <c r="AD193" s="54" t="str">
        <f t="shared" si="49"/>
        <v>Devops</v>
      </c>
      <c r="AF193" s="4" t="s">
        <v>625</v>
      </c>
      <c r="AG193" s="4" t="s">
        <v>16</v>
      </c>
      <c r="AH193" s="4" t="s">
        <v>149</v>
      </c>
      <c r="AI193" s="54" t="str">
        <f t="shared" si="50"/>
        <v>Ankita Pattnaik|DevOps|SilverByte Systems</v>
      </c>
      <c r="AK193" s="4" t="s">
        <v>625</v>
      </c>
      <c r="AL193" s="38" t="str">
        <f t="shared" si="51"/>
        <v>A.P.</v>
      </c>
      <c r="AN193" s="18" t="s">
        <v>5077</v>
      </c>
      <c r="AO193" s="54" t="b">
        <f t="shared" si="52"/>
        <v>0</v>
      </c>
      <c r="AQ193" s="4" t="s">
        <v>625</v>
      </c>
      <c r="AR193" s="52" t="str">
        <f t="shared" si="53"/>
        <v>NO</v>
      </c>
      <c r="AT193" s="14" t="s">
        <v>1792</v>
      </c>
      <c r="AU193" s="54">
        <f t="shared" si="54"/>
        <v>19</v>
      </c>
      <c r="AW193" s="54">
        <f ca="1">DATEDIF(BI193,TODAY(),"Y")</f>
        <v>3</v>
      </c>
      <c r="AX193" s="54"/>
      <c r="AY193" s="41" t="s">
        <v>1197</v>
      </c>
      <c r="AZ193" s="44">
        <f t="shared" si="55"/>
        <v>45197</v>
      </c>
      <c r="BA193" s="54" t="str">
        <f t="shared" si="56"/>
        <v>9-2023</v>
      </c>
      <c r="BC193" s="15" t="s">
        <v>819</v>
      </c>
      <c r="BD193" s="13">
        <f t="shared" si="57"/>
        <v>45023</v>
      </c>
      <c r="BE193" s="46" t="s">
        <v>1632</v>
      </c>
      <c r="BF193" s="54" t="str">
        <f t="shared" ca="1" si="58"/>
        <v>Overdue</v>
      </c>
      <c r="BH193" s="4" t="s">
        <v>626</v>
      </c>
      <c r="BI193" s="51">
        <f t="shared" si="64"/>
        <v>45031</v>
      </c>
      <c r="BJ193" s="38">
        <f t="shared" ca="1" si="65"/>
        <v>870</v>
      </c>
      <c r="BK193" s="38"/>
      <c r="BL193" s="38" t="str">
        <f t="shared" si="66"/>
        <v>No</v>
      </c>
      <c r="BM193" s="59">
        <f t="shared" si="59"/>
        <v>45197</v>
      </c>
      <c r="BN193" s="51">
        <f t="shared" si="67"/>
        <v>45031</v>
      </c>
      <c r="BO193" s="54">
        <f t="shared" si="60"/>
        <v>166</v>
      </c>
      <c r="BP193" s="4" t="s">
        <v>624</v>
      </c>
      <c r="BQ193" s="4" t="s">
        <v>16</v>
      </c>
      <c r="BR193" s="18" t="s">
        <v>861</v>
      </c>
      <c r="BS193" s="18" t="s">
        <v>2659</v>
      </c>
      <c r="BT193" s="54" t="str">
        <f t="shared" si="61"/>
        <v>Product</v>
      </c>
      <c r="BV193" s="4" t="s">
        <v>624</v>
      </c>
      <c r="BW193" s="4" t="s">
        <v>625</v>
      </c>
      <c r="BX193" s="14" t="s">
        <v>1792</v>
      </c>
      <c r="BY193" s="14" t="s">
        <v>850</v>
      </c>
      <c r="BZ193" s="54" t="str">
        <f t="shared" si="62"/>
        <v>Subhasree Samal</v>
      </c>
      <c r="CB193" s="18" t="s">
        <v>662</v>
      </c>
      <c r="CC193" s="4" t="s">
        <v>625</v>
      </c>
      <c r="CD193" s="4" t="s">
        <v>335</v>
      </c>
      <c r="CE193" s="54" t="str">
        <v>Brand Manager</v>
      </c>
      <c r="CG193" s="54" t="str">
        <f>IFERROR(_xlfn.XLOOKUP(Hiring!A193,Hiring!A193:A592,Hiring!B193:B592,,0),"Not Found")</f>
        <v>Chinmaya Mishra</v>
      </c>
    </row>
    <row r="194" spans="2:85">
      <c r="B194" s="100"/>
      <c r="F194" s="3">
        <v>2.1</v>
      </c>
      <c r="G194" s="52" t="str" cm="1">
        <f t="array" ref="G194">_xlfn.IFS(F194&gt;=4.5,"Excellent",AND(F194&gt;=3.5,F194&lt;=4.4),"Good",F194&lt;3.5,"Needs Improvement")</f>
        <v>Needs Improvement</v>
      </c>
      <c r="I194" s="12">
        <v>18.09</v>
      </c>
      <c r="J194" s="12">
        <v>23.39</v>
      </c>
      <c r="K194" s="54" t="str">
        <f t="shared" si="46"/>
        <v>Over Budget</v>
      </c>
      <c r="M194" s="19">
        <v>32545</v>
      </c>
      <c r="N194" s="19">
        <v>35593</v>
      </c>
      <c r="O194" s="54" t="str">
        <f t="shared" si="63"/>
        <v>Yes</v>
      </c>
      <c r="Q194" s="19">
        <v>7.82</v>
      </c>
      <c r="R194" s="56" t="str">
        <f t="shared" si="47"/>
        <v>Yes</v>
      </c>
      <c r="W194" s="19" t="s">
        <v>861</v>
      </c>
      <c r="X194" s="54" t="str">
        <f>VLOOKUP(W194,Employees!$A$1:$B$601,2,FALSE)</f>
        <v>Smita Mohapatra</v>
      </c>
      <c r="Z194" s="3" t="s">
        <v>627</v>
      </c>
      <c r="AA194" s="54" t="str">
        <f t="shared" si="48"/>
        <v>0193</v>
      </c>
      <c r="AC194" s="3" t="s">
        <v>84</v>
      </c>
      <c r="AD194" s="54" t="str">
        <f t="shared" si="49"/>
        <v>Hr</v>
      </c>
      <c r="AF194" s="3" t="s">
        <v>628</v>
      </c>
      <c r="AG194" s="3" t="s">
        <v>84</v>
      </c>
      <c r="AH194" s="3" t="s">
        <v>75</v>
      </c>
      <c r="AI194" s="54" t="str">
        <f t="shared" si="50"/>
        <v>Subhasree Parida|HR|KalingaTech Pvt Ltd</v>
      </c>
      <c r="AK194" s="3" t="s">
        <v>628</v>
      </c>
      <c r="AL194" s="38" t="str">
        <f t="shared" si="51"/>
        <v>S.P.</v>
      </c>
      <c r="AN194" s="19" t="s">
        <v>5060</v>
      </c>
      <c r="AO194" s="54" t="str">
        <f t="shared" si="52"/>
        <v>Naukri</v>
      </c>
      <c r="AQ194" s="3" t="s">
        <v>628</v>
      </c>
      <c r="AR194" s="52" t="str">
        <f t="shared" si="53"/>
        <v>NO</v>
      </c>
      <c r="AT194" s="12" t="s">
        <v>1699</v>
      </c>
      <c r="AU194" s="54">
        <f t="shared" si="54"/>
        <v>18</v>
      </c>
      <c r="AW194" s="54">
        <f ca="1">DATEDIF(BI194,TODAY(),"Y")</f>
        <v>5</v>
      </c>
      <c r="AX194" s="54"/>
      <c r="AY194" s="40" t="s">
        <v>5391</v>
      </c>
      <c r="AZ194" s="44">
        <f t="shared" si="55"/>
        <v>45211</v>
      </c>
      <c r="BA194" s="54" t="str">
        <f t="shared" si="56"/>
        <v>10-2023</v>
      </c>
      <c r="BC194" s="13" t="s">
        <v>2127</v>
      </c>
      <c r="BD194" s="13">
        <f t="shared" si="57"/>
        <v>44898</v>
      </c>
      <c r="BE194" s="45" t="s">
        <v>1632</v>
      </c>
      <c r="BF194" s="54" t="str">
        <f t="shared" ca="1" si="58"/>
        <v>Overdue</v>
      </c>
      <c r="BH194" s="3" t="s">
        <v>629</v>
      </c>
      <c r="BI194" s="51">
        <f t="shared" si="64"/>
        <v>44060</v>
      </c>
      <c r="BJ194" s="38">
        <f t="shared" ca="1" si="65"/>
        <v>1565</v>
      </c>
      <c r="BK194" s="38"/>
      <c r="BL194" s="38" t="str">
        <f t="shared" si="66"/>
        <v>No</v>
      </c>
      <c r="BM194" s="59">
        <f t="shared" si="59"/>
        <v>45211</v>
      </c>
      <c r="BN194" s="51">
        <f t="shared" si="67"/>
        <v>44060</v>
      </c>
      <c r="BO194" s="54">
        <f t="shared" si="60"/>
        <v>1151</v>
      </c>
      <c r="BP194" s="3" t="s">
        <v>627</v>
      </c>
      <c r="BQ194" s="3" t="s">
        <v>84</v>
      </c>
      <c r="BR194" s="19" t="s">
        <v>861</v>
      </c>
      <c r="BS194" s="19" t="s">
        <v>2661</v>
      </c>
      <c r="BT194" s="54" t="str">
        <f t="shared" si="61"/>
        <v>Product</v>
      </c>
      <c r="BV194" s="3" t="s">
        <v>627</v>
      </c>
      <c r="BW194" s="3" t="s">
        <v>628</v>
      </c>
      <c r="BX194" s="12" t="s">
        <v>1699</v>
      </c>
      <c r="BY194" s="12" t="s">
        <v>515</v>
      </c>
      <c r="BZ194" s="54" t="str">
        <f t="shared" si="62"/>
        <v>Soumya Padhi</v>
      </c>
      <c r="CB194" s="19" t="s">
        <v>1347</v>
      </c>
      <c r="CC194" s="3" t="s">
        <v>628</v>
      </c>
      <c r="CD194" s="3" t="s">
        <v>204</v>
      </c>
      <c r="CE194" s="54" t="str">
        <v>Brand Manager</v>
      </c>
      <c r="CG194" s="54" t="str">
        <f>IFERROR(_xlfn.XLOOKUP(Hiring!A194,Hiring!A194:A593,Hiring!B194:B593,,0),"Not Found")</f>
        <v>Prasant Mohapatra</v>
      </c>
    </row>
    <row r="195" spans="2:85">
      <c r="B195" s="100"/>
      <c r="F195" s="4">
        <v>3.1</v>
      </c>
      <c r="G195" s="52" t="str" cm="1">
        <f t="array" ref="G195">_xlfn.IFS(F195&gt;=4.5,"Excellent",AND(F195&gt;=3.5,F195&lt;=4.4),"Good",F195&lt;3.5,"Needs Improvement")</f>
        <v>Needs Improvement</v>
      </c>
      <c r="I195" s="14">
        <v>123.7</v>
      </c>
      <c r="J195" s="14">
        <v>111.46</v>
      </c>
      <c r="K195" s="54" t="str">
        <f t="shared" ref="K195:K201" si="68">IF(J195&gt;I195,"Over Budget","Within Budget")</f>
        <v>Within Budget</v>
      </c>
      <c r="M195" s="18">
        <v>64903</v>
      </c>
      <c r="N195" s="18">
        <v>69626</v>
      </c>
      <c r="O195" s="54" t="str">
        <f t="shared" si="63"/>
        <v>Yes</v>
      </c>
      <c r="Q195" s="18">
        <v>11.41</v>
      </c>
      <c r="R195" s="56" t="str">
        <f t="shared" ref="R195:R258" si="69">IF(ISBLANK(Q195),"No","Yes")</f>
        <v>Yes</v>
      </c>
      <c r="W195" s="18" t="s">
        <v>861</v>
      </c>
      <c r="X195" s="54" t="str">
        <f>VLOOKUP(W195,Employees!$A$1:$B$601,2,FALSE)</f>
        <v>Smita Mohapatra</v>
      </c>
      <c r="Z195" s="4" t="s">
        <v>630</v>
      </c>
      <c r="AA195" s="54" t="str">
        <f t="shared" ref="AA195:AA258" si="70">RIGHT(Z195,4)</f>
        <v>0194</v>
      </c>
      <c r="AC195" s="4" t="s">
        <v>118</v>
      </c>
      <c r="AD195" s="54" t="str">
        <f t="shared" ref="AD195:AD258" si="71">PROPER(AC195)</f>
        <v>Marketing</v>
      </c>
      <c r="AF195" s="4" t="s">
        <v>631</v>
      </c>
      <c r="AG195" s="4" t="s">
        <v>118</v>
      </c>
      <c r="AH195" s="4" t="s">
        <v>149</v>
      </c>
      <c r="AI195" s="54" t="str">
        <f t="shared" ref="AI195:AI258" si="72">_xlfn.CONCAT(AF195,"|",AG195,"|",AH195)</f>
        <v>Nirmal Mishra|Marketing|SilverByte Systems</v>
      </c>
      <c r="AK195" s="4" t="s">
        <v>631</v>
      </c>
      <c r="AL195" s="38" t="str">
        <f t="shared" ref="AL195:AL258" si="73">LEFT(AK195,1)&amp;"."&amp;MID(AK195,FIND(" ",AK195)+1,1)&amp;"."</f>
        <v>N.M.</v>
      </c>
      <c r="AN195" s="18" t="s">
        <v>5051</v>
      </c>
      <c r="AO195" s="54" t="str">
        <f t="shared" ref="AO195:AO258" si="74">IF(UPPER(AN195)="linkedin","Linkedln",IF(UPPER(AN195)="naukri","Naukri"))</f>
        <v>Naukri</v>
      </c>
      <c r="AQ195" s="4" t="s">
        <v>631</v>
      </c>
      <c r="AR195" s="52" t="str">
        <f t="shared" ref="AR195:AR258" si="75">IF(ISNUMBER(SEARCH("Mishra",AQ195)),"Mishra","NO")</f>
        <v>Mishra</v>
      </c>
      <c r="AT195" s="14" t="s">
        <v>1729</v>
      </c>
      <c r="AU195" s="54">
        <f t="shared" ref="AU195:AU201" si="76">LEN(AT195)</f>
        <v>18</v>
      </c>
      <c r="AW195" s="54">
        <f ca="1">DATEDIF(BI195,TODAY(),"Y")</f>
        <v>3</v>
      </c>
      <c r="AX195" s="54"/>
      <c r="AY195" s="41" t="s">
        <v>5352</v>
      </c>
      <c r="AZ195" s="44">
        <f t="shared" ref="AZ195:AZ258" si="77">DATE(RIGHT(AY195,4),MID(AY195,4,2),LEFT(AY195,2))</f>
        <v>45592</v>
      </c>
      <c r="BA195" s="54" t="str">
        <f t="shared" ref="BA195:BA258" si="78">MONTH(AZ195)&amp;"-"&amp;YEAR(AZ195)</f>
        <v>10-2024</v>
      </c>
      <c r="BC195" s="15" t="s">
        <v>920</v>
      </c>
      <c r="BD195" s="13">
        <f t="shared" ref="BD195:BD201" si="79">DATE(RIGHT(BC195,4),MID(BC195,4,2),LEFT(BC195,2))</f>
        <v>45372</v>
      </c>
      <c r="BE195" s="46" t="s">
        <v>1632</v>
      </c>
      <c r="BF195" s="54" t="str">
        <f t="shared" ref="BF195:BF201" ca="1" si="80">IF(AND(BD195&lt;TODAY(),BE195&lt;&gt;"Completed"),"Overdue","On Track")</f>
        <v>Overdue</v>
      </c>
      <c r="BH195" s="4" t="s">
        <v>632</v>
      </c>
      <c r="BI195" s="51">
        <f t="shared" si="64"/>
        <v>44880</v>
      </c>
      <c r="BJ195" s="38">
        <f t="shared" ca="1" si="65"/>
        <v>979</v>
      </c>
      <c r="BK195" s="38"/>
      <c r="BL195" s="38" t="str">
        <f t="shared" si="66"/>
        <v>No</v>
      </c>
      <c r="BM195" s="59">
        <f t="shared" ref="BM195:BM258" si="81">DATE(RIGHT(AY195,4),MID(AY195,4,2),LEFT(AY195,2))</f>
        <v>45592</v>
      </c>
      <c r="BN195" s="51">
        <f t="shared" si="67"/>
        <v>44880</v>
      </c>
      <c r="BO195" s="54">
        <f t="shared" ref="BO195:BO258" si="82">ABS(BN195-BM195)</f>
        <v>712</v>
      </c>
      <c r="BP195" s="4" t="s">
        <v>630</v>
      </c>
      <c r="BQ195" s="4" t="s">
        <v>118</v>
      </c>
      <c r="BR195" s="18" t="s">
        <v>861</v>
      </c>
      <c r="BS195" s="18" t="s">
        <v>2664</v>
      </c>
      <c r="BT195" s="54" t="str">
        <f t="shared" ref="BT195:BT258" si="83">VLOOKUP(BR195,$BP$2:$BQ$601,2,FALSE)</f>
        <v>Product</v>
      </c>
      <c r="BV195" s="4" t="s">
        <v>630</v>
      </c>
      <c r="BW195" s="4" t="s">
        <v>631</v>
      </c>
      <c r="BX195" s="14" t="s">
        <v>1729</v>
      </c>
      <c r="BY195" s="14" t="s">
        <v>1085</v>
      </c>
      <c r="BZ195" s="54" t="str">
        <f t="shared" ref="BZ195:BZ258" si="84">VLOOKUP(BY195,$BV$2:$BW$601,2,FALSE)</f>
        <v>Satyajit Sahoo</v>
      </c>
      <c r="CB195" s="18" t="s">
        <v>5393</v>
      </c>
      <c r="CC195" s="4" t="s">
        <v>631</v>
      </c>
      <c r="CD195" s="4" t="s">
        <v>181</v>
      </c>
      <c r="CE195" s="54" t="str">
        <v>Not Found</v>
      </c>
      <c r="CG195" s="54" t="str">
        <f>IFERROR(_xlfn.XLOOKUP(Hiring!A195,Hiring!A195:A594,Hiring!B195:B594,,0),"Not Found")</f>
        <v>Priyanka Padhi</v>
      </c>
    </row>
    <row r="196" spans="2:85">
      <c r="B196" s="100"/>
      <c r="F196" s="3">
        <v>4.2</v>
      </c>
      <c r="G196" s="52" t="str" cm="1">
        <f t="array" ref="G196">_xlfn.IFS(F196&gt;=4.5,"Excellent",AND(F196&gt;=3.5,F196&lt;=4.4),"Good",F196&lt;3.5,"Needs Improvement")</f>
        <v>Good</v>
      </c>
      <c r="I196" s="12">
        <v>198.32</v>
      </c>
      <c r="J196" s="12">
        <v>158.27000000000001</v>
      </c>
      <c r="K196" s="54" t="str">
        <f t="shared" si="68"/>
        <v>Within Budget</v>
      </c>
      <c r="M196" s="19">
        <v>98279</v>
      </c>
      <c r="N196" s="19">
        <v>86397</v>
      </c>
      <c r="O196" s="54" t="str">
        <f t="shared" ref="O196:O259" si="85">IF(M196&lt;&gt;N196,"Yes","No")</f>
        <v>Yes</v>
      </c>
      <c r="Q196" s="19">
        <v>10.09</v>
      </c>
      <c r="R196" s="56" t="str">
        <f t="shared" si="69"/>
        <v>Yes</v>
      </c>
      <c r="W196" s="19" t="s">
        <v>861</v>
      </c>
      <c r="X196" s="54" t="str">
        <f>VLOOKUP(W196,Employees!$A$1:$B$601,2,FALSE)</f>
        <v>Smita Mohapatra</v>
      </c>
      <c r="Z196" s="3" t="s">
        <v>633</v>
      </c>
      <c r="AA196" s="54" t="str">
        <f t="shared" si="70"/>
        <v>0195</v>
      </c>
      <c r="AC196" s="3" t="s">
        <v>39</v>
      </c>
      <c r="AD196" s="54" t="str">
        <f t="shared" si="71"/>
        <v>Engineering</v>
      </c>
      <c r="AF196" s="3" t="s">
        <v>634</v>
      </c>
      <c r="AG196" s="3" t="s">
        <v>39</v>
      </c>
      <c r="AH196" s="3" t="s">
        <v>149</v>
      </c>
      <c r="AI196" s="54" t="str">
        <f t="shared" si="72"/>
        <v>Abhishek Padhi|Engineering|SilverByte Systems</v>
      </c>
      <c r="AK196" s="3" t="s">
        <v>634</v>
      </c>
      <c r="AL196" s="38" t="str">
        <f t="shared" si="73"/>
        <v>A.P.</v>
      </c>
      <c r="AN196" s="19" t="s">
        <v>5023</v>
      </c>
      <c r="AO196" s="54" t="str">
        <f t="shared" si="74"/>
        <v>Linkedln</v>
      </c>
      <c r="AQ196" s="3" t="s">
        <v>634</v>
      </c>
      <c r="AR196" s="52" t="str">
        <f t="shared" si="75"/>
        <v>NO</v>
      </c>
      <c r="AT196" s="12" t="s">
        <v>1672</v>
      </c>
      <c r="AU196" s="54">
        <f t="shared" si="76"/>
        <v>19</v>
      </c>
      <c r="AW196" s="54">
        <f ca="1">DATEDIF(BI196,TODAY(),"Y")</f>
        <v>3</v>
      </c>
      <c r="AX196" s="54"/>
      <c r="AY196" s="40" t="s">
        <v>5396</v>
      </c>
      <c r="AZ196" s="44">
        <f t="shared" si="77"/>
        <v>45503</v>
      </c>
      <c r="BA196" s="54" t="str">
        <f t="shared" si="78"/>
        <v>7-2024</v>
      </c>
      <c r="BC196" s="13" t="s">
        <v>2131</v>
      </c>
      <c r="BD196" s="13">
        <f t="shared" si="79"/>
        <v>45220</v>
      </c>
      <c r="BE196" s="45" t="s">
        <v>1625</v>
      </c>
      <c r="BF196" s="54" t="str">
        <f t="shared" ca="1" si="80"/>
        <v>Overdue</v>
      </c>
      <c r="BH196" s="3" t="s">
        <v>635</v>
      </c>
      <c r="BI196" s="51">
        <f t="shared" ref="BI196:BI259" si="86">IF(LEN(LEFT(BH196,FIND("-",BH196)-1))=4,DATE(LEFT(BH196,4),MID(BH196,6,2),RIGHT(BH196,2)),DATE(RIGHT(BH196,4),MID(BH196,4,2),LEFT(BH196,2)))</f>
        <v>44917</v>
      </c>
      <c r="BJ196" s="38">
        <f t="shared" ref="BJ196:BJ259" ca="1" si="87">NETWORKDAYS(BI196,TODAY())</f>
        <v>952</v>
      </c>
      <c r="BK196" s="38"/>
      <c r="BL196" s="38" t="str">
        <f t="shared" ref="BL196:BL259" si="88">IF(MONTH(BI196)&lt;=3,"Q1","No")</f>
        <v>No</v>
      </c>
      <c r="BM196" s="59">
        <f t="shared" si="81"/>
        <v>45503</v>
      </c>
      <c r="BN196" s="51">
        <f t="shared" ref="BN196:BN259" si="89">IF(LEN(LEFT(BH196,FIND("-",BH196)-1))=4,DATE(LEFT(BH196,4),MID(BH196,6,2),RIGHT(BH196,2)),DATE(RIGHT(BH196,4),MID(BH196,4,2),LEFT(BH196,2)))</f>
        <v>44917</v>
      </c>
      <c r="BO196" s="54">
        <f t="shared" si="82"/>
        <v>586</v>
      </c>
      <c r="BP196" s="3" t="s">
        <v>633</v>
      </c>
      <c r="BQ196" s="3" t="s">
        <v>39</v>
      </c>
      <c r="BR196" s="19" t="s">
        <v>861</v>
      </c>
      <c r="BS196" s="19" t="s">
        <v>2666</v>
      </c>
      <c r="BT196" s="54" t="str">
        <f t="shared" si="83"/>
        <v>Product</v>
      </c>
      <c r="BV196" s="3" t="s">
        <v>633</v>
      </c>
      <c r="BW196" s="3" t="s">
        <v>634</v>
      </c>
      <c r="BX196" s="12" t="s">
        <v>1672</v>
      </c>
      <c r="BY196" s="12" t="s">
        <v>1513</v>
      </c>
      <c r="BZ196" s="54" t="str">
        <f t="shared" si="84"/>
        <v>Sangita Mahapatra</v>
      </c>
      <c r="CB196" s="19" t="s">
        <v>5395</v>
      </c>
      <c r="CC196" s="3" t="s">
        <v>634</v>
      </c>
      <c r="CD196" s="3" t="s">
        <v>79</v>
      </c>
      <c r="CE196" s="54" t="str">
        <v>Not Found</v>
      </c>
      <c r="CG196" s="54" t="str">
        <f>IFERROR(_xlfn.XLOOKUP(Hiring!A196,Hiring!A196:A595,Hiring!B196:B595,,0),"Not Found")</f>
        <v>Abhishek Dhal</v>
      </c>
    </row>
    <row r="197" spans="2:85">
      <c r="B197" s="100"/>
      <c r="F197" s="4">
        <v>4.9000000000000004</v>
      </c>
      <c r="G197" s="52" t="str" cm="1">
        <f t="array" ref="G197">_xlfn.IFS(F197&gt;=4.5,"Excellent",AND(F197&gt;=3.5,F197&lt;=4.4),"Good",F197&lt;3.5,"Needs Improvement")</f>
        <v>Excellent</v>
      </c>
      <c r="I197" s="14">
        <v>135.26</v>
      </c>
      <c r="J197" s="14">
        <v>118.26</v>
      </c>
      <c r="K197" s="54" t="str">
        <f t="shared" si="68"/>
        <v>Within Budget</v>
      </c>
      <c r="M197" s="18"/>
      <c r="N197" s="18">
        <v>59002</v>
      </c>
      <c r="O197" s="54" t="str">
        <f t="shared" si="85"/>
        <v>Yes</v>
      </c>
      <c r="Q197" s="18">
        <v>10.46</v>
      </c>
      <c r="R197" s="56" t="str">
        <f t="shared" si="69"/>
        <v>Yes</v>
      </c>
      <c r="W197" s="18" t="s">
        <v>861</v>
      </c>
      <c r="X197" s="54" t="str">
        <f>VLOOKUP(W197,Employees!$A$1:$B$601,2,FALSE)</f>
        <v>Smita Mohapatra</v>
      </c>
      <c r="Z197" s="4" t="s">
        <v>636</v>
      </c>
      <c r="AA197" s="54" t="str">
        <f t="shared" si="70"/>
        <v>0196</v>
      </c>
      <c r="AC197" s="4" t="s">
        <v>16</v>
      </c>
      <c r="AD197" s="54" t="str">
        <f t="shared" si="71"/>
        <v>Devops</v>
      </c>
      <c r="AF197" s="4" t="s">
        <v>637</v>
      </c>
      <c r="AG197" s="4" t="s">
        <v>16</v>
      </c>
      <c r="AH197" s="4" t="s">
        <v>172</v>
      </c>
      <c r="AI197" s="54" t="str">
        <f t="shared" si="72"/>
        <v>Tanmay Choudhury|DevOps|TechNova Solutions</v>
      </c>
      <c r="AK197" s="4" t="s">
        <v>637</v>
      </c>
      <c r="AL197" s="38" t="str">
        <f t="shared" si="73"/>
        <v>T.C.</v>
      </c>
      <c r="AN197" s="18" t="s">
        <v>5060</v>
      </c>
      <c r="AO197" s="54" t="str">
        <f t="shared" si="74"/>
        <v>Naukri</v>
      </c>
      <c r="AQ197" s="4" t="s">
        <v>637</v>
      </c>
      <c r="AR197" s="52" t="str">
        <f t="shared" si="75"/>
        <v>NO</v>
      </c>
      <c r="AT197" s="14" t="s">
        <v>1792</v>
      </c>
      <c r="AU197" s="54">
        <f t="shared" si="76"/>
        <v>19</v>
      </c>
      <c r="AW197" s="54">
        <f ca="1">DATEDIF(BI197,TODAY(),"Y")</f>
        <v>4</v>
      </c>
      <c r="AX197" s="54"/>
      <c r="AY197" s="41" t="s">
        <v>5399</v>
      </c>
      <c r="AZ197" s="44">
        <f t="shared" si="77"/>
        <v>45418</v>
      </c>
      <c r="BA197" s="54" t="str">
        <f t="shared" si="78"/>
        <v>5-2024</v>
      </c>
      <c r="BC197" s="15" t="s">
        <v>2134</v>
      </c>
      <c r="BD197" s="13">
        <f t="shared" si="79"/>
        <v>44850</v>
      </c>
      <c r="BE197" s="46" t="s">
        <v>1614</v>
      </c>
      <c r="BF197" s="54" t="str">
        <f t="shared" ca="1" si="80"/>
        <v>Overdue</v>
      </c>
      <c r="BH197" s="4" t="s">
        <v>593</v>
      </c>
      <c r="BI197" s="51">
        <f t="shared" si="86"/>
        <v>44525</v>
      </c>
      <c r="BJ197" s="38">
        <f t="shared" ca="1" si="87"/>
        <v>1232</v>
      </c>
      <c r="BK197" s="38"/>
      <c r="BL197" s="38" t="str">
        <f t="shared" si="88"/>
        <v>No</v>
      </c>
      <c r="BM197" s="59">
        <f t="shared" si="81"/>
        <v>45418</v>
      </c>
      <c r="BN197" s="51">
        <f t="shared" si="89"/>
        <v>44525</v>
      </c>
      <c r="BO197" s="54">
        <f t="shared" si="82"/>
        <v>893</v>
      </c>
      <c r="BP197" s="4" t="s">
        <v>636</v>
      </c>
      <c r="BQ197" s="4" t="s">
        <v>16</v>
      </c>
      <c r="BR197" s="18" t="s">
        <v>861</v>
      </c>
      <c r="BS197" s="18" t="s">
        <v>2668</v>
      </c>
      <c r="BT197" s="54" t="str">
        <f t="shared" si="83"/>
        <v>Product</v>
      </c>
      <c r="BV197" s="4" t="s">
        <v>636</v>
      </c>
      <c r="BW197" s="4" t="s">
        <v>637</v>
      </c>
      <c r="BX197" s="14" t="s">
        <v>1792</v>
      </c>
      <c r="BY197" s="14" t="s">
        <v>749</v>
      </c>
      <c r="BZ197" s="54" t="str">
        <f t="shared" si="84"/>
        <v>Alka Pattnaik</v>
      </c>
      <c r="CB197" s="18" t="s">
        <v>5398</v>
      </c>
      <c r="CC197" s="4" t="s">
        <v>637</v>
      </c>
      <c r="CD197" s="4" t="s">
        <v>98</v>
      </c>
      <c r="CE197" s="54" t="str">
        <v>Not Found</v>
      </c>
      <c r="CG197" s="54" t="str">
        <f>IFERROR(_xlfn.XLOOKUP(Hiring!A197,Hiring!A197:A596,Hiring!B197:B596,,0),"Not Found")</f>
        <v>Dibya Choudhury</v>
      </c>
    </row>
    <row r="198" spans="2:85">
      <c r="B198" s="100"/>
      <c r="F198" s="3">
        <v>3.9</v>
      </c>
      <c r="G198" s="52" t="str" cm="1">
        <f t="array" ref="G198">_xlfn.IFS(F198&gt;=4.5,"Excellent",AND(F198&gt;=3.5,F198&lt;=4.4),"Good",F198&lt;3.5,"Needs Improvement")</f>
        <v>Good</v>
      </c>
      <c r="I198" s="12">
        <v>148.24</v>
      </c>
      <c r="J198" s="12">
        <v>168.85</v>
      </c>
      <c r="K198" s="54" t="str">
        <f t="shared" si="68"/>
        <v>Over Budget</v>
      </c>
      <c r="M198" s="19">
        <v>83897</v>
      </c>
      <c r="N198" s="19">
        <v>77128</v>
      </c>
      <c r="O198" s="54" t="str">
        <f t="shared" si="85"/>
        <v>Yes</v>
      </c>
      <c r="Q198" s="19">
        <v>7.5</v>
      </c>
      <c r="R198" s="56" t="str">
        <f t="shared" si="69"/>
        <v>Yes</v>
      </c>
      <c r="W198" s="19" t="s">
        <v>861</v>
      </c>
      <c r="X198" s="54" t="str">
        <f>VLOOKUP(W198,Employees!$A$1:$B$601,2,FALSE)</f>
        <v>Smita Mohapatra</v>
      </c>
      <c r="Z198" s="3" t="s">
        <v>638</v>
      </c>
      <c r="AA198" s="54" t="str">
        <f t="shared" si="70"/>
        <v>0197</v>
      </c>
      <c r="AC198" s="3" t="s">
        <v>39</v>
      </c>
      <c r="AD198" s="54" t="str">
        <f t="shared" si="71"/>
        <v>Engineering</v>
      </c>
      <c r="AF198" s="3" t="s">
        <v>129</v>
      </c>
      <c r="AG198" s="3" t="s">
        <v>39</v>
      </c>
      <c r="AH198" s="3" t="s">
        <v>214</v>
      </c>
      <c r="AI198" s="54" t="str">
        <f t="shared" si="72"/>
        <v>Barsha Choudhury|Engineering|ZeroOneSystems</v>
      </c>
      <c r="AK198" s="3" t="s">
        <v>129</v>
      </c>
      <c r="AL198" s="38" t="str">
        <f t="shared" si="73"/>
        <v>B.C.</v>
      </c>
      <c r="AN198" s="19" t="s">
        <v>5016</v>
      </c>
      <c r="AO198" s="54" t="b">
        <f t="shared" si="74"/>
        <v>0</v>
      </c>
      <c r="AQ198" s="3" t="s">
        <v>129</v>
      </c>
      <c r="AR198" s="52" t="str">
        <f t="shared" si="75"/>
        <v>NO</v>
      </c>
      <c r="AT198" s="12" t="s">
        <v>1663</v>
      </c>
      <c r="AU198" s="54">
        <f t="shared" si="76"/>
        <v>18</v>
      </c>
      <c r="AW198" s="54">
        <f ca="1">DATEDIF(BI198,TODAY(),"Y")</f>
        <v>6</v>
      </c>
      <c r="AX198" s="54"/>
      <c r="AY198" s="40" t="s">
        <v>5402</v>
      </c>
      <c r="AZ198" s="44">
        <f t="shared" si="77"/>
        <v>45487</v>
      </c>
      <c r="BA198" s="54" t="str">
        <f t="shared" si="78"/>
        <v>7-2024</v>
      </c>
      <c r="BC198" s="13" t="s">
        <v>2137</v>
      </c>
      <c r="BD198" s="13">
        <f t="shared" si="79"/>
        <v>44387</v>
      </c>
      <c r="BE198" s="45" t="s">
        <v>1632</v>
      </c>
      <c r="BF198" s="54" t="str">
        <f t="shared" ca="1" si="80"/>
        <v>Overdue</v>
      </c>
      <c r="BH198" s="3" t="s">
        <v>639</v>
      </c>
      <c r="BI198" s="51">
        <f t="shared" si="86"/>
        <v>43883</v>
      </c>
      <c r="BJ198" s="38">
        <f t="shared" ca="1" si="87"/>
        <v>1690</v>
      </c>
      <c r="BK198" s="38"/>
      <c r="BL198" s="38" t="str">
        <f t="shared" si="88"/>
        <v>Q1</v>
      </c>
      <c r="BM198" s="59">
        <f t="shared" si="81"/>
        <v>45487</v>
      </c>
      <c r="BN198" s="51">
        <f t="shared" si="89"/>
        <v>43883</v>
      </c>
      <c r="BO198" s="54">
        <f t="shared" si="82"/>
        <v>1604</v>
      </c>
      <c r="BP198" s="3" t="s">
        <v>638</v>
      </c>
      <c r="BQ198" s="3" t="s">
        <v>39</v>
      </c>
      <c r="BR198" s="19" t="s">
        <v>861</v>
      </c>
      <c r="BS198" s="19" t="s">
        <v>2669</v>
      </c>
      <c r="BT198" s="54" t="str">
        <f t="shared" si="83"/>
        <v>Product</v>
      </c>
      <c r="BV198" s="3" t="s">
        <v>638</v>
      </c>
      <c r="BW198" s="3" t="s">
        <v>129</v>
      </c>
      <c r="BX198" s="12" t="s">
        <v>1663</v>
      </c>
      <c r="BY198" s="12" t="s">
        <v>898</v>
      </c>
      <c r="BZ198" s="54" t="str">
        <f t="shared" si="84"/>
        <v>Tapas Sahu</v>
      </c>
      <c r="CB198" s="19" t="s">
        <v>5401</v>
      </c>
      <c r="CC198" s="3" t="s">
        <v>129</v>
      </c>
      <c r="CD198" s="3" t="s">
        <v>109</v>
      </c>
      <c r="CE198" s="54" t="str">
        <v>Not Found</v>
      </c>
      <c r="CG198" s="54" t="str">
        <f>IFERROR(_xlfn.XLOOKUP(Hiring!A198,Hiring!A198:A597,Hiring!B198:B597,,0),"Not Found")</f>
        <v>Tapas Senapati</v>
      </c>
    </row>
    <row r="199" spans="2:85">
      <c r="B199" s="100"/>
      <c r="F199" s="4">
        <v>2.7</v>
      </c>
      <c r="G199" s="52" t="str" cm="1">
        <f t="array" ref="G199">_xlfn.IFS(F199&gt;=4.5,"Excellent",AND(F199&gt;=3.5,F199&lt;=4.4),"Good",F199&lt;3.5,"Needs Improvement")</f>
        <v>Needs Improvement</v>
      </c>
      <c r="I199" s="14"/>
      <c r="J199" s="14">
        <v>164.3</v>
      </c>
      <c r="K199" s="54" t="str">
        <f t="shared" si="68"/>
        <v>Over Budget</v>
      </c>
      <c r="M199" s="18"/>
      <c r="N199" s="18">
        <v>139359</v>
      </c>
      <c r="O199" s="54" t="str">
        <f t="shared" si="85"/>
        <v>Yes</v>
      </c>
      <c r="Q199" s="18">
        <v>9.4</v>
      </c>
      <c r="R199" s="56" t="str">
        <f t="shared" si="69"/>
        <v>Yes</v>
      </c>
      <c r="W199" s="18" t="s">
        <v>861</v>
      </c>
      <c r="X199" s="54" t="str">
        <f>VLOOKUP(W199,Employees!$A$1:$B$601,2,FALSE)</f>
        <v>Smita Mohapatra</v>
      </c>
      <c r="Z199" s="4" t="s">
        <v>640</v>
      </c>
      <c r="AA199" s="54" t="str">
        <f t="shared" si="70"/>
        <v>0198</v>
      </c>
      <c r="AC199" s="4" t="s">
        <v>24</v>
      </c>
      <c r="AD199" s="54" t="str">
        <f t="shared" si="71"/>
        <v>Design</v>
      </c>
      <c r="AF199" s="4" t="s">
        <v>641</v>
      </c>
      <c r="AG199" s="4" t="s">
        <v>24</v>
      </c>
      <c r="AH199" s="4" t="s">
        <v>18</v>
      </c>
      <c r="AI199" s="54" t="str">
        <f t="shared" si="72"/>
        <v>Amlan Senapati|Design|CoastalDev Studio</v>
      </c>
      <c r="AK199" s="4" t="s">
        <v>641</v>
      </c>
      <c r="AL199" s="38" t="str">
        <f t="shared" si="73"/>
        <v>A.S.</v>
      </c>
      <c r="AN199" s="18" t="s">
        <v>5031</v>
      </c>
      <c r="AO199" s="54" t="b">
        <f t="shared" si="74"/>
        <v>0</v>
      </c>
      <c r="AQ199" s="4" t="s">
        <v>641</v>
      </c>
      <c r="AR199" s="52" t="str">
        <f t="shared" si="75"/>
        <v>NO</v>
      </c>
      <c r="AT199" s="14" t="s">
        <v>1663</v>
      </c>
      <c r="AU199" s="54">
        <f t="shared" si="76"/>
        <v>18</v>
      </c>
      <c r="AW199" s="54">
        <f ca="1">DATEDIF(BI199,TODAY(),"Y")</f>
        <v>4</v>
      </c>
      <c r="AX199" s="54"/>
      <c r="AY199" s="41" t="s">
        <v>5405</v>
      </c>
      <c r="AZ199" s="44">
        <f t="shared" si="77"/>
        <v>44946</v>
      </c>
      <c r="BA199" s="54" t="str">
        <f t="shared" si="78"/>
        <v>1-2023</v>
      </c>
      <c r="BC199" s="15" t="s">
        <v>2085</v>
      </c>
      <c r="BD199" s="13">
        <f t="shared" si="79"/>
        <v>44528</v>
      </c>
      <c r="BE199" s="46" t="s">
        <v>1625</v>
      </c>
      <c r="BF199" s="54" t="str">
        <f t="shared" ca="1" si="80"/>
        <v>Overdue</v>
      </c>
      <c r="BH199" s="4" t="s">
        <v>642</v>
      </c>
      <c r="BI199" s="51">
        <f t="shared" si="86"/>
        <v>44669</v>
      </c>
      <c r="BJ199" s="38">
        <f t="shared" ca="1" si="87"/>
        <v>1130</v>
      </c>
      <c r="BK199" s="38"/>
      <c r="BL199" s="38" t="str">
        <f t="shared" si="88"/>
        <v>No</v>
      </c>
      <c r="BM199" s="59">
        <f t="shared" si="81"/>
        <v>44946</v>
      </c>
      <c r="BN199" s="51">
        <f t="shared" si="89"/>
        <v>44669</v>
      </c>
      <c r="BO199" s="54">
        <f t="shared" si="82"/>
        <v>277</v>
      </c>
      <c r="BP199" s="4" t="s">
        <v>640</v>
      </c>
      <c r="BQ199" s="4" t="s">
        <v>24</v>
      </c>
      <c r="BR199" s="18" t="s">
        <v>861</v>
      </c>
      <c r="BS199" s="18" t="s">
        <v>2671</v>
      </c>
      <c r="BT199" s="54" t="str">
        <f t="shared" si="83"/>
        <v>Product</v>
      </c>
      <c r="BV199" s="4" t="s">
        <v>640</v>
      </c>
      <c r="BW199" s="4" t="s">
        <v>641</v>
      </c>
      <c r="BX199" s="14" t="s">
        <v>1663</v>
      </c>
      <c r="BY199" s="14" t="s">
        <v>121</v>
      </c>
      <c r="BZ199" s="54" t="str">
        <f t="shared" si="84"/>
        <v>Sudhansu Choudhury</v>
      </c>
      <c r="CB199" s="18" t="s">
        <v>5404</v>
      </c>
      <c r="CC199" s="4" t="s">
        <v>641</v>
      </c>
      <c r="CD199" s="4" t="s">
        <v>74</v>
      </c>
      <c r="CE199" s="54" t="str">
        <v>Not Found</v>
      </c>
      <c r="CG199" s="54" t="str">
        <f>IFERROR(_xlfn.XLOOKUP(Hiring!A199,Hiring!A199:A598,Hiring!B199:B598,,0),"Not Found")</f>
        <v>Sangita Mohapatra</v>
      </c>
    </row>
    <row r="200" spans="2:85">
      <c r="B200" s="100"/>
      <c r="F200" s="3">
        <v>2.7</v>
      </c>
      <c r="G200" s="52" t="str" cm="1">
        <f t="array" ref="G200">_xlfn.IFS(F200&gt;=4.5,"Excellent",AND(F200&gt;=3.5,F200&lt;=4.4),"Good",F200&lt;3.5,"Needs Improvement")</f>
        <v>Needs Improvement</v>
      </c>
      <c r="I200" s="12">
        <v>15.66</v>
      </c>
      <c r="J200" s="12">
        <v>20.07</v>
      </c>
      <c r="K200" s="54" t="str">
        <f t="shared" si="68"/>
        <v>Over Budget</v>
      </c>
      <c r="M200" s="19"/>
      <c r="N200" s="19">
        <v>145177</v>
      </c>
      <c r="O200" s="54" t="str">
        <f t="shared" si="85"/>
        <v>Yes</v>
      </c>
      <c r="Q200" s="19">
        <v>6.63</v>
      </c>
      <c r="R200" s="56" t="str">
        <f t="shared" si="69"/>
        <v>Yes</v>
      </c>
      <c r="W200" s="19" t="s">
        <v>861</v>
      </c>
      <c r="X200" s="54" t="str">
        <f>VLOOKUP(W200,Employees!$A$1:$B$601,2,FALSE)</f>
        <v>Smita Mohapatra</v>
      </c>
      <c r="Z200" s="3" t="s">
        <v>643</v>
      </c>
      <c r="AA200" s="54" t="str">
        <f t="shared" si="70"/>
        <v>0199</v>
      </c>
      <c r="AC200" s="3" t="s">
        <v>84</v>
      </c>
      <c r="AD200" s="54" t="str">
        <f t="shared" si="71"/>
        <v>Hr</v>
      </c>
      <c r="AF200" s="3" t="s">
        <v>644</v>
      </c>
      <c r="AG200" s="3" t="s">
        <v>84</v>
      </c>
      <c r="AH200" s="3" t="s">
        <v>172</v>
      </c>
      <c r="AI200" s="54" t="str">
        <f t="shared" si="72"/>
        <v>Alka Tripathy|HR|TechNova Solutions</v>
      </c>
      <c r="AK200" s="3" t="s">
        <v>644</v>
      </c>
      <c r="AL200" s="38" t="str">
        <f t="shared" si="73"/>
        <v>A.T.</v>
      </c>
      <c r="AN200" s="19" t="s">
        <v>5060</v>
      </c>
      <c r="AO200" s="54" t="str">
        <f t="shared" si="74"/>
        <v>Naukri</v>
      </c>
      <c r="AQ200" s="3" t="s">
        <v>644</v>
      </c>
      <c r="AR200" s="52" t="str">
        <f t="shared" si="75"/>
        <v>NO</v>
      </c>
      <c r="AT200" s="12" t="s">
        <v>1729</v>
      </c>
      <c r="AU200" s="54">
        <f t="shared" si="76"/>
        <v>18</v>
      </c>
      <c r="AW200" s="54">
        <f ca="1">DATEDIF(BI200,TODAY(),"Y")</f>
        <v>2</v>
      </c>
      <c r="AX200" s="54"/>
      <c r="AY200" s="40" t="s">
        <v>1660</v>
      </c>
      <c r="AZ200" s="44">
        <f t="shared" si="77"/>
        <v>45496</v>
      </c>
      <c r="BA200" s="54" t="str">
        <f t="shared" si="78"/>
        <v>7-2024</v>
      </c>
      <c r="BC200" s="13" t="s">
        <v>2141</v>
      </c>
      <c r="BD200" s="13">
        <f t="shared" si="79"/>
        <v>44607</v>
      </c>
      <c r="BE200" s="45" t="s">
        <v>1632</v>
      </c>
      <c r="BF200" s="54" t="str">
        <f t="shared" ca="1" si="80"/>
        <v>Overdue</v>
      </c>
      <c r="BH200" s="3" t="s">
        <v>645</v>
      </c>
      <c r="BI200" s="51">
        <f t="shared" si="86"/>
        <v>45234</v>
      </c>
      <c r="BJ200" s="38">
        <f t="shared" ca="1" si="87"/>
        <v>725</v>
      </c>
      <c r="BK200" s="38"/>
      <c r="BL200" s="38" t="str">
        <f t="shared" si="88"/>
        <v>No</v>
      </c>
      <c r="BM200" s="59">
        <f t="shared" si="81"/>
        <v>45496</v>
      </c>
      <c r="BN200" s="51">
        <f t="shared" si="89"/>
        <v>45234</v>
      </c>
      <c r="BO200" s="54">
        <f t="shared" si="82"/>
        <v>262</v>
      </c>
      <c r="BP200" s="3" t="s">
        <v>643</v>
      </c>
      <c r="BQ200" s="3" t="s">
        <v>84</v>
      </c>
      <c r="BR200" s="19" t="s">
        <v>861</v>
      </c>
      <c r="BS200" s="19" t="s">
        <v>2673</v>
      </c>
      <c r="BT200" s="54" t="str">
        <f t="shared" si="83"/>
        <v>Product</v>
      </c>
      <c r="BV200" s="3" t="s">
        <v>643</v>
      </c>
      <c r="BW200" s="3" t="s">
        <v>644</v>
      </c>
      <c r="BX200" s="12" t="s">
        <v>1729</v>
      </c>
      <c r="BY200" s="12" t="s">
        <v>296</v>
      </c>
      <c r="BZ200" s="54" t="str">
        <f t="shared" si="84"/>
        <v>Debasmita Sahoo</v>
      </c>
      <c r="CB200" s="19" t="s">
        <v>5299</v>
      </c>
      <c r="CC200" s="3" t="s">
        <v>644</v>
      </c>
      <c r="CD200" s="3" t="s">
        <v>204</v>
      </c>
      <c r="CE200" s="54" t="str">
        <v>Not Found</v>
      </c>
      <c r="CG200" s="54" t="str">
        <f>IFERROR(_xlfn.XLOOKUP(Hiring!A200,Hiring!A200:A599,Hiring!B200:B599,,0),"Not Found")</f>
        <v>Smita Sahoo</v>
      </c>
    </row>
    <row r="201" spans="2:85">
      <c r="B201" s="100"/>
      <c r="F201" s="4">
        <v>4.8</v>
      </c>
      <c r="G201" s="52" t="str" cm="1">
        <f t="array" ref="G201">_xlfn.IFS(F201&gt;=4.5,"Excellent",AND(F201&gt;=3.5,F201&lt;=4.4),"Good",F201&lt;3.5,"Needs Improvement")</f>
        <v>Excellent</v>
      </c>
      <c r="I201" s="14">
        <v>199.84</v>
      </c>
      <c r="J201" s="14">
        <v>173.85</v>
      </c>
      <c r="K201" s="54" t="str">
        <f t="shared" si="68"/>
        <v>Within Budget</v>
      </c>
      <c r="M201" s="18">
        <v>36261</v>
      </c>
      <c r="N201" s="18">
        <v>41670</v>
      </c>
      <c r="O201" s="54" t="str">
        <f t="shared" si="85"/>
        <v>Yes</v>
      </c>
      <c r="Q201" s="18">
        <v>9.8800000000000008</v>
      </c>
      <c r="R201" s="56" t="str">
        <f t="shared" si="69"/>
        <v>Yes</v>
      </c>
      <c r="W201" s="18" t="s">
        <v>861</v>
      </c>
      <c r="X201" s="54" t="str">
        <f>VLOOKUP(W201,Employees!$A$1:$B$601,2,FALSE)</f>
        <v>Smita Mohapatra</v>
      </c>
      <c r="Z201" s="4" t="s">
        <v>646</v>
      </c>
      <c r="AA201" s="54" t="str">
        <f t="shared" si="70"/>
        <v>0200</v>
      </c>
      <c r="AC201" s="4" t="s">
        <v>24</v>
      </c>
      <c r="AD201" s="54" t="str">
        <f t="shared" si="71"/>
        <v>Design</v>
      </c>
      <c r="AF201" s="4" t="s">
        <v>647</v>
      </c>
      <c r="AG201" s="4" t="s">
        <v>24</v>
      </c>
      <c r="AH201" s="4" t="s">
        <v>32</v>
      </c>
      <c r="AI201" s="54" t="str">
        <f t="shared" si="72"/>
        <v>Ipsita Prusty|Design|NilGiri Digitals</v>
      </c>
      <c r="AK201" s="4" t="s">
        <v>647</v>
      </c>
      <c r="AL201" s="38" t="str">
        <f t="shared" si="73"/>
        <v>I.P.</v>
      </c>
      <c r="AN201" s="18" t="s">
        <v>5051</v>
      </c>
      <c r="AO201" s="54" t="str">
        <f t="shared" si="74"/>
        <v>Naukri</v>
      </c>
      <c r="AQ201" s="4" t="s">
        <v>647</v>
      </c>
      <c r="AR201" s="52" t="str">
        <f t="shared" si="75"/>
        <v>NO</v>
      </c>
      <c r="AT201" s="14" t="s">
        <v>1653</v>
      </c>
      <c r="AU201" s="54">
        <f t="shared" si="76"/>
        <v>19</v>
      </c>
      <c r="AW201" s="54">
        <f ca="1">DATEDIF(BI201,TODAY(),"Y")</f>
        <v>6</v>
      </c>
      <c r="AX201" s="54"/>
      <c r="AY201" s="41" t="s">
        <v>1995</v>
      </c>
      <c r="AZ201" s="44">
        <f t="shared" si="77"/>
        <v>45370</v>
      </c>
      <c r="BA201" s="54" t="str">
        <f t="shared" si="78"/>
        <v>3-2024</v>
      </c>
      <c r="BC201" s="15" t="s">
        <v>2144</v>
      </c>
      <c r="BD201" s="13">
        <f t="shared" si="79"/>
        <v>45593</v>
      </c>
      <c r="BE201" s="46" t="s">
        <v>1638</v>
      </c>
      <c r="BF201" s="54" t="str">
        <f t="shared" ca="1" si="80"/>
        <v>On Track</v>
      </c>
      <c r="BH201" s="4" t="s">
        <v>648</v>
      </c>
      <c r="BI201" s="51">
        <f t="shared" si="86"/>
        <v>43754</v>
      </c>
      <c r="BJ201" s="38">
        <f t="shared" ca="1" si="87"/>
        <v>1783</v>
      </c>
      <c r="BK201" s="38"/>
      <c r="BL201" s="38" t="str">
        <f t="shared" si="88"/>
        <v>No</v>
      </c>
      <c r="BM201" s="59">
        <f t="shared" si="81"/>
        <v>45370</v>
      </c>
      <c r="BN201" s="51">
        <f t="shared" si="89"/>
        <v>43754</v>
      </c>
      <c r="BO201" s="54">
        <f t="shared" si="82"/>
        <v>1616</v>
      </c>
      <c r="BP201" s="4" t="s">
        <v>646</v>
      </c>
      <c r="BQ201" s="4" t="s">
        <v>24</v>
      </c>
      <c r="BR201" s="18" t="s">
        <v>861</v>
      </c>
      <c r="BS201" s="18" t="s">
        <v>2674</v>
      </c>
      <c r="BT201" s="54" t="str">
        <f t="shared" si="83"/>
        <v>Product</v>
      </c>
      <c r="BV201" s="4" t="s">
        <v>646</v>
      </c>
      <c r="BW201" s="4" t="s">
        <v>647</v>
      </c>
      <c r="BX201" s="14" t="s">
        <v>1653</v>
      </c>
      <c r="BY201" s="14" t="s">
        <v>834</v>
      </c>
      <c r="BZ201" s="54" t="str">
        <f t="shared" si="84"/>
        <v>Prasant Padhi</v>
      </c>
      <c r="CB201" s="18" t="s">
        <v>996</v>
      </c>
      <c r="CC201" s="4" t="s">
        <v>647</v>
      </c>
      <c r="CD201" s="4" t="s">
        <v>25</v>
      </c>
      <c r="CE201" s="54" t="str">
        <v>Product Manager</v>
      </c>
      <c r="CG201" s="54" t="str">
        <f>IFERROR(_xlfn.XLOOKUP(Hiring!A201,Hiring!A201:A600,Hiring!B201:B600,,0),"Not Found")</f>
        <v>Ranjit Padhi</v>
      </c>
    </row>
    <row r="202" spans="2:85">
      <c r="B202" s="100"/>
      <c r="F202" s="3">
        <v>4.2</v>
      </c>
      <c r="G202" s="52" t="str" cm="1">
        <f t="array" ref="G202">_xlfn.IFS(F202&gt;=4.5,"Excellent",AND(F202&gt;=3.5,F202&lt;=4.4),"Good",F202&lt;3.5,"Needs Improvement")</f>
        <v>Good</v>
      </c>
      <c r="M202" s="19">
        <v>115429</v>
      </c>
      <c r="N202" s="19">
        <v>120201</v>
      </c>
      <c r="O202" s="54" t="str">
        <f t="shared" si="85"/>
        <v>Yes</v>
      </c>
      <c r="Q202" s="19">
        <v>11.48</v>
      </c>
      <c r="R202" s="56" t="str">
        <f t="shared" si="69"/>
        <v>Yes</v>
      </c>
      <c r="W202" s="19" t="s">
        <v>861</v>
      </c>
      <c r="X202" s="54" t="str">
        <f>VLOOKUP(W202,Employees!$A$1:$B$601,2,FALSE)</f>
        <v>Smita Mohapatra</v>
      </c>
      <c r="Z202" s="3" t="s">
        <v>649</v>
      </c>
      <c r="AA202" s="54" t="str">
        <f t="shared" si="70"/>
        <v>0201</v>
      </c>
      <c r="AC202" s="3" t="s">
        <v>133</v>
      </c>
      <c r="AD202" s="54" t="str">
        <f t="shared" si="71"/>
        <v>Qa</v>
      </c>
      <c r="AF202" s="3" t="s">
        <v>650</v>
      </c>
      <c r="AG202" s="3" t="s">
        <v>133</v>
      </c>
      <c r="AH202" s="3" t="s">
        <v>53</v>
      </c>
      <c r="AI202" s="54" t="str">
        <f t="shared" si="72"/>
        <v>Puspita Parida|QA|BlueLotus IT</v>
      </c>
      <c r="AK202" s="3" t="s">
        <v>650</v>
      </c>
      <c r="AL202" s="38" t="str">
        <f t="shared" si="73"/>
        <v>P.P.</v>
      </c>
      <c r="AN202" s="19" t="s">
        <v>5031</v>
      </c>
      <c r="AO202" s="54" t="b">
        <f t="shared" si="74"/>
        <v>0</v>
      </c>
      <c r="AQ202" s="3" t="s">
        <v>650</v>
      </c>
      <c r="AR202" s="52" t="str">
        <f t="shared" si="75"/>
        <v>NO</v>
      </c>
      <c r="AW202" s="54">
        <f ca="1">DATEDIF(BI202,TODAY(),"Y")</f>
        <v>5</v>
      </c>
      <c r="AX202" s="54"/>
      <c r="AY202" s="40" t="s">
        <v>1805</v>
      </c>
      <c r="AZ202" s="44">
        <f t="shared" si="77"/>
        <v>45301</v>
      </c>
      <c r="BA202" s="54" t="str">
        <f t="shared" si="78"/>
        <v>1-2024</v>
      </c>
      <c r="BH202" s="3" t="s">
        <v>651</v>
      </c>
      <c r="BI202" s="51">
        <f t="shared" si="86"/>
        <v>44172</v>
      </c>
      <c r="BJ202" s="38">
        <f t="shared" ca="1" si="87"/>
        <v>1485</v>
      </c>
      <c r="BK202" s="38"/>
      <c r="BL202" s="38" t="str">
        <f t="shared" si="88"/>
        <v>No</v>
      </c>
      <c r="BM202" s="59">
        <f t="shared" si="81"/>
        <v>45301</v>
      </c>
      <c r="BN202" s="51">
        <f t="shared" si="89"/>
        <v>44172</v>
      </c>
      <c r="BO202" s="54">
        <f t="shared" si="82"/>
        <v>1129</v>
      </c>
      <c r="BP202" s="3" t="s">
        <v>649</v>
      </c>
      <c r="BQ202" s="3" t="s">
        <v>133</v>
      </c>
      <c r="BR202" s="19" t="s">
        <v>861</v>
      </c>
      <c r="BS202" s="19" t="s">
        <v>2676</v>
      </c>
      <c r="BT202" s="54" t="str">
        <f t="shared" si="83"/>
        <v>Product</v>
      </c>
      <c r="BV202" s="3" t="s">
        <v>649</v>
      </c>
      <c r="BW202" s="3" t="s">
        <v>650</v>
      </c>
      <c r="CB202" s="19" t="s">
        <v>1396</v>
      </c>
      <c r="CC202" s="3" t="s">
        <v>650</v>
      </c>
      <c r="CD202" s="3" t="s">
        <v>134</v>
      </c>
      <c r="CE202" s="54" t="str">
        <v>DevOps Engineer</v>
      </c>
      <c r="CG202" s="54" t="str">
        <f>IFERROR(_xlfn.XLOOKUP(Hiring!A202,Hiring!A202:A601,Hiring!B202:B601,,0),"Not Found")</f>
        <v>Dibya Mishra</v>
      </c>
    </row>
    <row r="203" spans="2:85">
      <c r="B203" s="100"/>
      <c r="F203" s="4">
        <v>1.7</v>
      </c>
      <c r="G203" s="52" t="str" cm="1">
        <f t="array" ref="G203">_xlfn.IFS(F203&gt;=4.5,"Excellent",AND(F203&gt;=3.5,F203&lt;=4.4),"Good",F203&lt;3.5,"Needs Improvement")</f>
        <v>Needs Improvement</v>
      </c>
      <c r="M203" s="18">
        <v>37627</v>
      </c>
      <c r="N203" s="18">
        <v>36100</v>
      </c>
      <c r="O203" s="54" t="str">
        <f t="shared" si="85"/>
        <v>Yes</v>
      </c>
      <c r="Q203" s="18">
        <v>9.07</v>
      </c>
      <c r="R203" s="56" t="str">
        <f t="shared" si="69"/>
        <v>Yes</v>
      </c>
      <c r="W203" s="18" t="s">
        <v>861</v>
      </c>
      <c r="X203" s="54" t="str">
        <f>VLOOKUP(W203,Employees!$A$1:$B$601,2,FALSE)</f>
        <v>Smita Mohapatra</v>
      </c>
      <c r="Z203" s="4" t="s">
        <v>652</v>
      </c>
      <c r="AA203" s="54" t="str">
        <f t="shared" si="70"/>
        <v>0202</v>
      </c>
      <c r="AC203" s="4" t="s">
        <v>63</v>
      </c>
      <c r="AD203" s="54" t="str">
        <f t="shared" si="71"/>
        <v>Product</v>
      </c>
      <c r="AF203" s="4" t="s">
        <v>175</v>
      </c>
      <c r="AG203" s="4" t="s">
        <v>63</v>
      </c>
      <c r="AH203" s="4" t="s">
        <v>70</v>
      </c>
      <c r="AI203" s="54" t="str">
        <f t="shared" si="72"/>
        <v>Saurav Biswal|Product|OdishaCode Labs</v>
      </c>
      <c r="AK203" s="4" t="s">
        <v>175</v>
      </c>
      <c r="AL203" s="38" t="str">
        <f t="shared" si="73"/>
        <v>S.B.</v>
      </c>
      <c r="AN203" s="18" t="s">
        <v>5031</v>
      </c>
      <c r="AO203" s="54" t="b">
        <f t="shared" si="74"/>
        <v>0</v>
      </c>
      <c r="AQ203" s="4" t="s">
        <v>175</v>
      </c>
      <c r="AR203" s="52" t="str">
        <f t="shared" si="75"/>
        <v>NO</v>
      </c>
      <c r="AW203" s="54">
        <f ca="1">DATEDIF(BI203,TODAY(),"Y")</f>
        <v>2</v>
      </c>
      <c r="AX203" s="54"/>
      <c r="AY203" s="41" t="s">
        <v>5410</v>
      </c>
      <c r="AZ203" s="44">
        <f t="shared" si="77"/>
        <v>45316</v>
      </c>
      <c r="BA203" s="54" t="str">
        <f t="shared" si="78"/>
        <v>1-2024</v>
      </c>
      <c r="BH203" s="4" t="s">
        <v>653</v>
      </c>
      <c r="BI203" s="51">
        <f t="shared" si="86"/>
        <v>45388</v>
      </c>
      <c r="BJ203" s="38">
        <f t="shared" ca="1" si="87"/>
        <v>615</v>
      </c>
      <c r="BK203" s="38"/>
      <c r="BL203" s="38" t="str">
        <f t="shared" si="88"/>
        <v>No</v>
      </c>
      <c r="BM203" s="59">
        <f t="shared" si="81"/>
        <v>45316</v>
      </c>
      <c r="BN203" s="51">
        <f t="shared" si="89"/>
        <v>45388</v>
      </c>
      <c r="BO203" s="54">
        <f t="shared" si="82"/>
        <v>72</v>
      </c>
      <c r="BP203" s="4" t="s">
        <v>652</v>
      </c>
      <c r="BQ203" s="4" t="s">
        <v>63</v>
      </c>
      <c r="BR203" s="18" t="s">
        <v>861</v>
      </c>
      <c r="BS203" s="18" t="s">
        <v>2677</v>
      </c>
      <c r="BT203" s="54" t="str">
        <f t="shared" si="83"/>
        <v>Product</v>
      </c>
      <c r="BV203" s="4" t="s">
        <v>652</v>
      </c>
      <c r="BW203" s="4" t="s">
        <v>175</v>
      </c>
      <c r="CB203" s="18" t="s">
        <v>865</v>
      </c>
      <c r="CC203" s="4" t="s">
        <v>175</v>
      </c>
      <c r="CD203" s="4" t="s">
        <v>225</v>
      </c>
      <c r="CE203" s="54" t="str">
        <v>Design Lead</v>
      </c>
      <c r="CG203" s="54" t="str">
        <f>IFERROR(_xlfn.XLOOKUP(Hiring!A203,Hiring!A203:A602,Hiring!B203:B602,,0),"Not Found")</f>
        <v>Aditya Ratha</v>
      </c>
    </row>
    <row r="204" spans="2:85">
      <c r="B204" s="100"/>
      <c r="F204" s="3">
        <v>4.5999999999999996</v>
      </c>
      <c r="G204" s="52" t="str" cm="1">
        <f t="array" ref="G204">_xlfn.IFS(F204&gt;=4.5,"Excellent",AND(F204&gt;=3.5,F204&lt;=4.4),"Good",F204&lt;3.5,"Needs Improvement")</f>
        <v>Excellent</v>
      </c>
      <c r="M204" s="19">
        <v>72581</v>
      </c>
      <c r="N204" s="19">
        <v>65429</v>
      </c>
      <c r="O204" s="54" t="str">
        <f t="shared" si="85"/>
        <v>Yes</v>
      </c>
      <c r="Q204" s="19">
        <v>8.92</v>
      </c>
      <c r="R204" s="56" t="str">
        <f t="shared" si="69"/>
        <v>Yes</v>
      </c>
      <c r="W204" s="19" t="s">
        <v>861</v>
      </c>
      <c r="X204" s="54" t="str">
        <f>VLOOKUP(W204,Employees!$A$1:$B$601,2,FALSE)</f>
        <v>Smita Mohapatra</v>
      </c>
      <c r="Z204" s="3" t="s">
        <v>654</v>
      </c>
      <c r="AA204" s="54" t="str">
        <f t="shared" si="70"/>
        <v>0203</v>
      </c>
      <c r="AC204" s="3" t="s">
        <v>84</v>
      </c>
      <c r="AD204" s="54" t="str">
        <f t="shared" si="71"/>
        <v>Hr</v>
      </c>
      <c r="AF204" s="3" t="s">
        <v>655</v>
      </c>
      <c r="AG204" s="3" t="s">
        <v>84</v>
      </c>
      <c r="AH204" s="3" t="s">
        <v>114</v>
      </c>
      <c r="AI204" s="54" t="str">
        <f t="shared" si="72"/>
        <v>Ipsita Behura|HR|UtkalSoft Technologies</v>
      </c>
      <c r="AK204" s="3" t="s">
        <v>655</v>
      </c>
      <c r="AL204" s="38" t="str">
        <f t="shared" si="73"/>
        <v>I.B.</v>
      </c>
      <c r="AN204" s="19" t="s">
        <v>5016</v>
      </c>
      <c r="AO204" s="54" t="b">
        <f t="shared" si="74"/>
        <v>0</v>
      </c>
      <c r="AQ204" s="3" t="s">
        <v>655</v>
      </c>
      <c r="AR204" s="52" t="str">
        <f t="shared" si="75"/>
        <v>NO</v>
      </c>
      <c r="AW204" s="54">
        <f ca="1">DATEDIF(BI204,TODAY(),"Y")</f>
        <v>7</v>
      </c>
      <c r="AX204" s="54"/>
      <c r="AY204" s="40" t="s">
        <v>1217</v>
      </c>
      <c r="AZ204" s="44">
        <f t="shared" si="77"/>
        <v>45310</v>
      </c>
      <c r="BA204" s="54" t="str">
        <f t="shared" si="78"/>
        <v>1-2024</v>
      </c>
      <c r="BH204" s="3" t="s">
        <v>656</v>
      </c>
      <c r="BI204" s="51">
        <f t="shared" si="86"/>
        <v>43590</v>
      </c>
      <c r="BJ204" s="38">
        <f t="shared" ca="1" si="87"/>
        <v>1900</v>
      </c>
      <c r="BK204" s="38"/>
      <c r="BL204" s="38" t="str">
        <f t="shared" si="88"/>
        <v>No</v>
      </c>
      <c r="BM204" s="59">
        <f t="shared" si="81"/>
        <v>45310</v>
      </c>
      <c r="BN204" s="51">
        <f t="shared" si="89"/>
        <v>43590</v>
      </c>
      <c r="BO204" s="54">
        <f t="shared" si="82"/>
        <v>1720</v>
      </c>
      <c r="BP204" s="3" t="s">
        <v>654</v>
      </c>
      <c r="BQ204" s="3" t="s">
        <v>84</v>
      </c>
      <c r="BR204" s="19" t="s">
        <v>861</v>
      </c>
      <c r="BS204" s="19" t="s">
        <v>2679</v>
      </c>
      <c r="BT204" s="54" t="str">
        <f t="shared" si="83"/>
        <v>Product</v>
      </c>
      <c r="BV204" s="3" t="s">
        <v>654</v>
      </c>
      <c r="BW204" s="3" t="s">
        <v>655</v>
      </c>
      <c r="CB204" s="19" t="s">
        <v>702</v>
      </c>
      <c r="CC204" s="3" t="s">
        <v>655</v>
      </c>
      <c r="CD204" s="3" t="s">
        <v>204</v>
      </c>
      <c r="CE204" s="54" t="str">
        <v>DevOps Engineer</v>
      </c>
      <c r="CG204" s="54" t="str">
        <f>IFERROR(_xlfn.XLOOKUP(Hiring!A204,Hiring!A204:A603,Hiring!B204:B603,,0),"Not Found")</f>
        <v>Sangita Samal</v>
      </c>
    </row>
    <row r="205" spans="2:85">
      <c r="B205" s="100"/>
      <c r="F205" s="4">
        <v>3.8</v>
      </c>
      <c r="G205" s="52" t="str" cm="1">
        <f t="array" ref="G205">_xlfn.IFS(F205&gt;=4.5,"Excellent",AND(F205&gt;=3.5,F205&lt;=4.4),"Good",F205&lt;3.5,"Needs Improvement")</f>
        <v>Good</v>
      </c>
      <c r="M205" s="18">
        <v>160253</v>
      </c>
      <c r="N205" s="18">
        <v>151768</v>
      </c>
      <c r="O205" s="54" t="str">
        <f t="shared" si="85"/>
        <v>Yes</v>
      </c>
      <c r="Q205" s="18">
        <v>6.62</v>
      </c>
      <c r="R205" s="56" t="str">
        <f t="shared" si="69"/>
        <v>Yes</v>
      </c>
      <c r="W205" s="18" t="s">
        <v>861</v>
      </c>
      <c r="X205" s="54" t="str">
        <f>VLOOKUP(W205,Employees!$A$1:$B$601,2,FALSE)</f>
        <v>Smita Mohapatra</v>
      </c>
      <c r="Z205" s="4" t="s">
        <v>657</v>
      </c>
      <c r="AA205" s="54" t="str">
        <f t="shared" si="70"/>
        <v>0204</v>
      </c>
      <c r="AC205" s="4" t="s">
        <v>39</v>
      </c>
      <c r="AD205" s="54" t="str">
        <f t="shared" si="71"/>
        <v>Engineering</v>
      </c>
      <c r="AF205" s="4" t="s">
        <v>658</v>
      </c>
      <c r="AG205" s="4" t="s">
        <v>39</v>
      </c>
      <c r="AH205" s="4" t="s">
        <v>53</v>
      </c>
      <c r="AI205" s="54" t="str">
        <f t="shared" si="72"/>
        <v>Abhishek Mohapatra|Engineering|BlueLotus IT</v>
      </c>
      <c r="AK205" s="4" t="s">
        <v>658</v>
      </c>
      <c r="AL205" s="38" t="str">
        <f t="shared" si="73"/>
        <v>A.M.</v>
      </c>
      <c r="AN205" s="18" t="s">
        <v>5019</v>
      </c>
      <c r="AO205" s="54" t="str">
        <f t="shared" si="74"/>
        <v>Linkedln</v>
      </c>
      <c r="AQ205" s="4" t="s">
        <v>658</v>
      </c>
      <c r="AR205" s="52" t="str">
        <f t="shared" si="75"/>
        <v>NO</v>
      </c>
      <c r="AW205" s="54">
        <f ca="1">DATEDIF(BI205,TODAY(),"Y")</f>
        <v>8</v>
      </c>
      <c r="AX205" s="54"/>
      <c r="AY205" s="41" t="s">
        <v>48</v>
      </c>
      <c r="AZ205" s="44">
        <f t="shared" si="77"/>
        <v>45128</v>
      </c>
      <c r="BA205" s="54" t="str">
        <f t="shared" si="78"/>
        <v>7-2023</v>
      </c>
      <c r="BH205" s="4" t="s">
        <v>163</v>
      </c>
      <c r="BI205" s="51">
        <f t="shared" si="86"/>
        <v>43149</v>
      </c>
      <c r="BJ205" s="38">
        <f t="shared" ca="1" si="87"/>
        <v>2215</v>
      </c>
      <c r="BK205" s="38"/>
      <c r="BL205" s="38" t="str">
        <f t="shared" si="88"/>
        <v>Q1</v>
      </c>
      <c r="BM205" s="59">
        <f t="shared" si="81"/>
        <v>45128</v>
      </c>
      <c r="BN205" s="51">
        <f t="shared" si="89"/>
        <v>43149</v>
      </c>
      <c r="BO205" s="54">
        <f t="shared" si="82"/>
        <v>1979</v>
      </c>
      <c r="BP205" s="4" t="s">
        <v>657</v>
      </c>
      <c r="BQ205" s="4" t="s">
        <v>39</v>
      </c>
      <c r="BR205" s="18" t="s">
        <v>861</v>
      </c>
      <c r="BS205" s="18" t="s">
        <v>2681</v>
      </c>
      <c r="BT205" s="54" t="str">
        <f t="shared" si="83"/>
        <v>Product</v>
      </c>
      <c r="BV205" s="4" t="s">
        <v>657</v>
      </c>
      <c r="BW205" s="4" t="s">
        <v>658</v>
      </c>
      <c r="CB205" s="18" t="s">
        <v>5413</v>
      </c>
      <c r="CC205" s="4" t="s">
        <v>658</v>
      </c>
      <c r="CD205" s="4" t="s">
        <v>242</v>
      </c>
      <c r="CE205" s="54" t="str">
        <v>Not Found</v>
      </c>
      <c r="CG205" s="54" t="str">
        <f>IFERROR(_xlfn.XLOOKUP(Hiring!A205,Hiring!A205:A604,Hiring!B205:B604,,0),"Not Found")</f>
        <v>Rajan Tripathy</v>
      </c>
    </row>
    <row r="206" spans="2:85">
      <c r="B206" s="100"/>
      <c r="F206" s="3">
        <v>4.9000000000000004</v>
      </c>
      <c r="G206" s="52" t="str" cm="1">
        <f t="array" ref="G206">_xlfn.IFS(F206&gt;=4.5,"Excellent",AND(F206&gt;=3.5,F206&lt;=4.4),"Good",F206&lt;3.5,"Needs Improvement")</f>
        <v>Excellent</v>
      </c>
      <c r="M206" s="19"/>
      <c r="N206" s="19">
        <v>83576</v>
      </c>
      <c r="O206" s="54" t="str">
        <f t="shared" si="85"/>
        <v>Yes</v>
      </c>
      <c r="Q206" s="19">
        <v>11.34</v>
      </c>
      <c r="R206" s="56" t="str">
        <f t="shared" si="69"/>
        <v>Yes</v>
      </c>
      <c r="W206" s="19" t="s">
        <v>861</v>
      </c>
      <c r="X206" s="54" t="str">
        <f>VLOOKUP(W206,Employees!$A$1:$B$601,2,FALSE)</f>
        <v>Smita Mohapatra</v>
      </c>
      <c r="Z206" s="3" t="s">
        <v>659</v>
      </c>
      <c r="AA206" s="54" t="str">
        <f t="shared" si="70"/>
        <v>0205</v>
      </c>
      <c r="AC206" s="3" t="s">
        <v>89</v>
      </c>
      <c r="AD206" s="54" t="str">
        <f t="shared" si="71"/>
        <v>Data Science</v>
      </c>
      <c r="AF206" s="3" t="s">
        <v>446</v>
      </c>
      <c r="AG206" s="3" t="s">
        <v>89</v>
      </c>
      <c r="AH206" s="3" t="s">
        <v>53</v>
      </c>
      <c r="AI206" s="54" t="str">
        <f t="shared" si="72"/>
        <v>Saurav Dhal|Data Science|BlueLotus IT</v>
      </c>
      <c r="AK206" s="3" t="s">
        <v>446</v>
      </c>
      <c r="AL206" s="38" t="str">
        <f t="shared" si="73"/>
        <v>S.D.</v>
      </c>
      <c r="AN206" s="19" t="s">
        <v>5051</v>
      </c>
      <c r="AO206" s="54" t="str">
        <f t="shared" si="74"/>
        <v>Naukri</v>
      </c>
      <c r="AQ206" s="3" t="s">
        <v>446</v>
      </c>
      <c r="AR206" s="52" t="str">
        <f t="shared" si="75"/>
        <v>NO</v>
      </c>
      <c r="AW206" s="54">
        <f ca="1">DATEDIF(BI206,TODAY(),"Y")</f>
        <v>8</v>
      </c>
      <c r="AX206" s="54"/>
      <c r="AY206" s="40" t="s">
        <v>5324</v>
      </c>
      <c r="AZ206" s="44">
        <f t="shared" si="77"/>
        <v>45359</v>
      </c>
      <c r="BA206" s="54" t="str">
        <f t="shared" si="78"/>
        <v>3-2024</v>
      </c>
      <c r="BH206" s="3" t="s">
        <v>660</v>
      </c>
      <c r="BI206" s="51">
        <f t="shared" si="86"/>
        <v>43298</v>
      </c>
      <c r="BJ206" s="38">
        <f t="shared" ca="1" si="87"/>
        <v>2109</v>
      </c>
      <c r="BK206" s="38"/>
      <c r="BL206" s="38" t="str">
        <f t="shared" si="88"/>
        <v>No</v>
      </c>
      <c r="BM206" s="59">
        <f t="shared" si="81"/>
        <v>45359</v>
      </c>
      <c r="BN206" s="51">
        <f t="shared" si="89"/>
        <v>43298</v>
      </c>
      <c r="BO206" s="54">
        <f t="shared" si="82"/>
        <v>2061</v>
      </c>
      <c r="BP206" s="3" t="s">
        <v>659</v>
      </c>
      <c r="BQ206" s="3" t="s">
        <v>89</v>
      </c>
      <c r="BR206" s="19" t="s">
        <v>861</v>
      </c>
      <c r="BS206" s="19" t="s">
        <v>2682</v>
      </c>
      <c r="BT206" s="54" t="str">
        <f t="shared" si="83"/>
        <v>Product</v>
      </c>
      <c r="BV206" s="3" t="s">
        <v>659</v>
      </c>
      <c r="BW206" s="3" t="s">
        <v>446</v>
      </c>
      <c r="CB206" s="19" t="s">
        <v>1086</v>
      </c>
      <c r="CC206" s="3" t="s">
        <v>446</v>
      </c>
      <c r="CD206" s="3" t="s">
        <v>90</v>
      </c>
      <c r="CE206" s="54" t="str">
        <v>SRE</v>
      </c>
      <c r="CG206" s="54" t="str">
        <f>IFERROR(_xlfn.XLOOKUP(Hiring!A206,Hiring!A206:A605,Hiring!B206:B605,,0),"Not Found")</f>
        <v>Satyajit Sahoo</v>
      </c>
    </row>
    <row r="207" spans="2:85">
      <c r="B207" s="100"/>
      <c r="F207" s="4">
        <v>3</v>
      </c>
      <c r="G207" s="52" t="str" cm="1">
        <f t="array" ref="G207">_xlfn.IFS(F207&gt;=4.5,"Excellent",AND(F207&gt;=3.5,F207&lt;=4.4),"Good",F207&lt;3.5,"Needs Improvement")</f>
        <v>Needs Improvement</v>
      </c>
      <c r="M207" s="18">
        <v>112699</v>
      </c>
      <c r="N207" s="18">
        <v>130549</v>
      </c>
      <c r="O207" s="54" t="str">
        <f t="shared" si="85"/>
        <v>Yes</v>
      </c>
      <c r="Q207" s="18">
        <v>7.53</v>
      </c>
      <c r="R207" s="56" t="str">
        <f t="shared" si="69"/>
        <v>Yes</v>
      </c>
      <c r="W207" s="18" t="s">
        <v>861</v>
      </c>
      <c r="X207" s="54" t="str">
        <f>VLOOKUP(W207,Employees!$A$1:$B$601,2,FALSE)</f>
        <v>Smita Mohapatra</v>
      </c>
      <c r="Z207" s="4" t="s">
        <v>661</v>
      </c>
      <c r="AA207" s="54" t="str">
        <f t="shared" si="70"/>
        <v>0206</v>
      </c>
      <c r="AC207" s="4" t="s">
        <v>118</v>
      </c>
      <c r="AD207" s="54" t="str">
        <f t="shared" si="71"/>
        <v>Marketing</v>
      </c>
      <c r="AF207" s="4" t="s">
        <v>662</v>
      </c>
      <c r="AG207" s="4" t="s">
        <v>118</v>
      </c>
      <c r="AH207" s="4" t="s">
        <v>70</v>
      </c>
      <c r="AI207" s="54" t="str">
        <f t="shared" si="72"/>
        <v>Chinmaya Mishra|Marketing|OdishaCode Labs</v>
      </c>
      <c r="AK207" s="4" t="s">
        <v>662</v>
      </c>
      <c r="AL207" s="38" t="str">
        <f t="shared" si="73"/>
        <v>C.M.</v>
      </c>
      <c r="AN207" s="18" t="s">
        <v>5019</v>
      </c>
      <c r="AO207" s="54" t="str">
        <f t="shared" si="74"/>
        <v>Linkedln</v>
      </c>
      <c r="AQ207" s="4" t="s">
        <v>662</v>
      </c>
      <c r="AR207" s="52" t="str">
        <f t="shared" si="75"/>
        <v>Mishra</v>
      </c>
      <c r="AW207" s="54">
        <f ca="1">DATEDIF(BI207,TODAY(),"Y")</f>
        <v>7</v>
      </c>
      <c r="AX207" s="54"/>
      <c r="AY207" s="41" t="s">
        <v>5416</v>
      </c>
      <c r="AZ207" s="44">
        <f t="shared" si="77"/>
        <v>45045</v>
      </c>
      <c r="BA207" s="54" t="str">
        <f t="shared" si="78"/>
        <v>4-2023</v>
      </c>
      <c r="BH207" s="4" t="s">
        <v>663</v>
      </c>
      <c r="BI207" s="51">
        <f t="shared" si="86"/>
        <v>43499</v>
      </c>
      <c r="BJ207" s="38">
        <f t="shared" ca="1" si="87"/>
        <v>1965</v>
      </c>
      <c r="BK207" s="38"/>
      <c r="BL207" s="38" t="str">
        <f t="shared" si="88"/>
        <v>Q1</v>
      </c>
      <c r="BM207" s="59">
        <f t="shared" si="81"/>
        <v>45045</v>
      </c>
      <c r="BN207" s="51">
        <f t="shared" si="89"/>
        <v>43499</v>
      </c>
      <c r="BO207" s="54">
        <f t="shared" si="82"/>
        <v>1546</v>
      </c>
      <c r="BP207" s="4" t="s">
        <v>661</v>
      </c>
      <c r="BQ207" s="4" t="s">
        <v>118</v>
      </c>
      <c r="BR207" s="18" t="s">
        <v>861</v>
      </c>
      <c r="BS207" s="18" t="s">
        <v>2683</v>
      </c>
      <c r="BT207" s="54" t="str">
        <f t="shared" si="83"/>
        <v>Product</v>
      </c>
      <c r="BV207" s="4" t="s">
        <v>661</v>
      </c>
      <c r="BW207" s="4" t="s">
        <v>662</v>
      </c>
      <c r="CB207" s="18" t="s">
        <v>1267</v>
      </c>
      <c r="CC207" s="4" t="s">
        <v>662</v>
      </c>
      <c r="CD207" s="4" t="s">
        <v>254</v>
      </c>
      <c r="CE207" s="54" t="str">
        <v>Account Manager</v>
      </c>
      <c r="CG207" s="54" t="str">
        <f>IFERROR(_xlfn.XLOOKUP(Hiring!A207,Hiring!A207:A606,Hiring!B207:B606,,0),"Not Found")</f>
        <v>Amlan Routray</v>
      </c>
    </row>
    <row r="208" spans="2:85">
      <c r="B208" s="100"/>
      <c r="F208" s="3">
        <v>2</v>
      </c>
      <c r="G208" s="52" t="str" cm="1">
        <f t="array" ref="G208">_xlfn.IFS(F208&gt;=4.5,"Excellent",AND(F208&gt;=3.5,F208&lt;=4.4),"Good",F208&lt;3.5,"Needs Improvement")</f>
        <v>Needs Improvement</v>
      </c>
      <c r="M208" s="19">
        <v>163621</v>
      </c>
      <c r="N208" s="19">
        <v>182779</v>
      </c>
      <c r="O208" s="54" t="str">
        <f t="shared" si="85"/>
        <v>Yes</v>
      </c>
      <c r="Q208" s="19">
        <v>6.89</v>
      </c>
      <c r="R208" s="56" t="str">
        <f t="shared" si="69"/>
        <v>Yes</v>
      </c>
      <c r="W208" s="19" t="s">
        <v>861</v>
      </c>
      <c r="X208" s="54" t="str">
        <f>VLOOKUP(W208,Employees!$A$1:$B$601,2,FALSE)</f>
        <v>Smita Mohapatra</v>
      </c>
      <c r="Z208" s="3" t="s">
        <v>664</v>
      </c>
      <c r="AA208" s="54" t="str">
        <f t="shared" si="70"/>
        <v>0207</v>
      </c>
      <c r="AC208" s="3" t="s">
        <v>16</v>
      </c>
      <c r="AD208" s="54" t="str">
        <f t="shared" si="71"/>
        <v>Devops</v>
      </c>
      <c r="AF208" s="3" t="s">
        <v>665</v>
      </c>
      <c r="AG208" s="3" t="s">
        <v>16</v>
      </c>
      <c r="AH208" s="3" t="s">
        <v>18</v>
      </c>
      <c r="AI208" s="54" t="str">
        <f t="shared" si="72"/>
        <v>Amlan Nanda|DevOps|CoastalDev Studio</v>
      </c>
      <c r="AK208" s="3" t="s">
        <v>665</v>
      </c>
      <c r="AL208" s="38" t="str">
        <f t="shared" si="73"/>
        <v>A.N.</v>
      </c>
      <c r="AN208" s="19" t="s">
        <v>5023</v>
      </c>
      <c r="AO208" s="54" t="str">
        <f t="shared" si="74"/>
        <v>Linkedln</v>
      </c>
      <c r="AQ208" s="3" t="s">
        <v>665</v>
      </c>
      <c r="AR208" s="52" t="str">
        <f t="shared" si="75"/>
        <v>NO</v>
      </c>
      <c r="AW208" s="54">
        <f ca="1">DATEDIF(BI208,TODAY(),"Y")</f>
        <v>7</v>
      </c>
      <c r="AX208" s="54"/>
      <c r="AY208" s="40" t="s">
        <v>1938</v>
      </c>
      <c r="AZ208" s="44">
        <f t="shared" si="77"/>
        <v>45655</v>
      </c>
      <c r="BA208" s="54" t="str">
        <f t="shared" si="78"/>
        <v>12-2024</v>
      </c>
      <c r="BH208" s="3" t="s">
        <v>666</v>
      </c>
      <c r="BI208" s="51">
        <f t="shared" si="86"/>
        <v>43691</v>
      </c>
      <c r="BJ208" s="38">
        <f t="shared" ca="1" si="87"/>
        <v>1828</v>
      </c>
      <c r="BK208" s="38"/>
      <c r="BL208" s="38" t="str">
        <f t="shared" si="88"/>
        <v>No</v>
      </c>
      <c r="BM208" s="59">
        <f t="shared" si="81"/>
        <v>45655</v>
      </c>
      <c r="BN208" s="51">
        <f t="shared" si="89"/>
        <v>43691</v>
      </c>
      <c r="BO208" s="54">
        <f t="shared" si="82"/>
        <v>1964</v>
      </c>
      <c r="BP208" s="3" t="s">
        <v>664</v>
      </c>
      <c r="BQ208" s="3" t="s">
        <v>16</v>
      </c>
      <c r="BR208" s="19" t="s">
        <v>861</v>
      </c>
      <c r="BS208" s="19" t="s">
        <v>2686</v>
      </c>
      <c r="BT208" s="54" t="str">
        <f t="shared" si="83"/>
        <v>Product</v>
      </c>
      <c r="BV208" s="3" t="s">
        <v>664</v>
      </c>
      <c r="BW208" s="3" t="s">
        <v>665</v>
      </c>
      <c r="CB208" s="19" t="s">
        <v>5418</v>
      </c>
      <c r="CC208" s="3" t="s">
        <v>665</v>
      </c>
      <c r="CD208" s="3" t="s">
        <v>98</v>
      </c>
      <c r="CE208" s="54" t="str">
        <v>Not Found</v>
      </c>
      <c r="CG208" s="54" t="str">
        <f>IFERROR(_xlfn.XLOOKUP(Hiring!A208,Hiring!A208:A607,Hiring!B208:B607,,0),"Not Found")</f>
        <v>Tapas Pattnaik</v>
      </c>
    </row>
    <row r="209" spans="2:85">
      <c r="B209" s="100"/>
      <c r="F209" s="4">
        <v>2.4</v>
      </c>
      <c r="G209" s="52" t="str" cm="1">
        <f t="array" ref="G209">_xlfn.IFS(F209&gt;=4.5,"Excellent",AND(F209&gt;=3.5,F209&lt;=4.4),"Good",F209&lt;3.5,"Needs Improvement")</f>
        <v>Needs Improvement</v>
      </c>
      <c r="M209" s="18"/>
      <c r="N209" s="18">
        <v>163521</v>
      </c>
      <c r="O209" s="54" t="str">
        <f t="shared" si="85"/>
        <v>Yes</v>
      </c>
      <c r="Q209" s="18">
        <v>9.9600000000000009</v>
      </c>
      <c r="R209" s="56" t="str">
        <f t="shared" si="69"/>
        <v>Yes</v>
      </c>
      <c r="W209" s="18" t="s">
        <v>861</v>
      </c>
      <c r="X209" s="54" t="str">
        <f>VLOOKUP(W209,Employees!$A$1:$B$601,2,FALSE)</f>
        <v>Smita Mohapatra</v>
      </c>
      <c r="Z209" s="4" t="s">
        <v>667</v>
      </c>
      <c r="AA209" s="54" t="str">
        <f t="shared" si="70"/>
        <v>0208</v>
      </c>
      <c r="AC209" s="4" t="s">
        <v>51</v>
      </c>
      <c r="AD209" s="54" t="str">
        <f t="shared" si="71"/>
        <v>Sales</v>
      </c>
      <c r="AF209" s="4" t="s">
        <v>668</v>
      </c>
      <c r="AG209" s="4" t="s">
        <v>51</v>
      </c>
      <c r="AH209" s="4" t="s">
        <v>214</v>
      </c>
      <c r="AI209" s="54" t="str">
        <f t="shared" si="72"/>
        <v>Chinmaya Dhal|Sales|ZeroOneSystems</v>
      </c>
      <c r="AK209" s="4" t="s">
        <v>668</v>
      </c>
      <c r="AL209" s="38" t="str">
        <f t="shared" si="73"/>
        <v>C.D.</v>
      </c>
      <c r="AN209" s="18" t="s">
        <v>5031</v>
      </c>
      <c r="AO209" s="54" t="b">
        <f t="shared" si="74"/>
        <v>0</v>
      </c>
      <c r="AQ209" s="4" t="s">
        <v>668</v>
      </c>
      <c r="AR209" s="52" t="str">
        <f t="shared" si="75"/>
        <v>NO</v>
      </c>
      <c r="AW209" s="54">
        <f ca="1">DATEDIF(BI209,TODAY(),"Y")</f>
        <v>2</v>
      </c>
      <c r="AX209" s="54"/>
      <c r="AY209" s="41" t="s">
        <v>5420</v>
      </c>
      <c r="AZ209" s="44">
        <f t="shared" si="77"/>
        <v>45401</v>
      </c>
      <c r="BA209" s="54" t="str">
        <f t="shared" si="78"/>
        <v>4-2024</v>
      </c>
      <c r="BH209" s="4" t="s">
        <v>669</v>
      </c>
      <c r="BI209" s="51">
        <f t="shared" si="86"/>
        <v>45394</v>
      </c>
      <c r="BJ209" s="38">
        <f t="shared" ca="1" si="87"/>
        <v>611</v>
      </c>
      <c r="BK209" s="38"/>
      <c r="BL209" s="38" t="str">
        <f t="shared" si="88"/>
        <v>No</v>
      </c>
      <c r="BM209" s="59">
        <f t="shared" si="81"/>
        <v>45401</v>
      </c>
      <c r="BN209" s="51">
        <f t="shared" si="89"/>
        <v>45394</v>
      </c>
      <c r="BO209" s="54">
        <f t="shared" si="82"/>
        <v>7</v>
      </c>
      <c r="BP209" s="4" t="s">
        <v>667</v>
      </c>
      <c r="BQ209" s="4" t="s">
        <v>51</v>
      </c>
      <c r="BR209" s="18" t="s">
        <v>861</v>
      </c>
      <c r="BS209" s="18" t="s">
        <v>2688</v>
      </c>
      <c r="BT209" s="54" t="str">
        <f t="shared" si="83"/>
        <v>Product</v>
      </c>
      <c r="BV209" s="4" t="s">
        <v>667</v>
      </c>
      <c r="BW209" s="4" t="s">
        <v>668</v>
      </c>
      <c r="CB209" s="18" t="s">
        <v>862</v>
      </c>
      <c r="CC209" s="4" t="s">
        <v>668</v>
      </c>
      <c r="CD209" s="4" t="s">
        <v>69</v>
      </c>
      <c r="CE209" s="54" t="str">
        <v>Associate PM</v>
      </c>
      <c r="CG209" s="54" t="str">
        <f>IFERROR(_xlfn.XLOOKUP(Hiring!A209,Hiring!A209:A608,Hiring!B209:B608,,0),"Not Found")</f>
        <v>Smita Mohapatra</v>
      </c>
    </row>
    <row r="210" spans="2:85">
      <c r="B210" s="100"/>
      <c r="F210" s="3">
        <v>4.9000000000000004</v>
      </c>
      <c r="G210" s="52" t="str" cm="1">
        <f t="array" ref="G210">_xlfn.IFS(F210&gt;=4.5,"Excellent",AND(F210&gt;=3.5,F210&lt;=4.4),"Good",F210&lt;3.5,"Needs Improvement")</f>
        <v>Excellent</v>
      </c>
      <c r="M210" s="19">
        <v>0</v>
      </c>
      <c r="N210" s="19">
        <v>0</v>
      </c>
      <c r="O210" s="54" t="str">
        <f t="shared" si="85"/>
        <v>No</v>
      </c>
      <c r="Q210" s="19">
        <v>6.86</v>
      </c>
      <c r="R210" s="56" t="str">
        <f t="shared" si="69"/>
        <v>Yes</v>
      </c>
      <c r="W210" s="19" t="s">
        <v>861</v>
      </c>
      <c r="X210" s="54" t="str">
        <f>VLOOKUP(W210,Employees!$A$1:$B$601,2,FALSE)</f>
        <v>Smita Mohapatra</v>
      </c>
      <c r="Z210" s="3" t="s">
        <v>670</v>
      </c>
      <c r="AA210" s="54" t="str">
        <f t="shared" si="70"/>
        <v>0209</v>
      </c>
      <c r="AC210" s="3" t="s">
        <v>51</v>
      </c>
      <c r="AD210" s="54" t="str">
        <f t="shared" si="71"/>
        <v>Sales</v>
      </c>
      <c r="AF210" s="3" t="s">
        <v>425</v>
      </c>
      <c r="AG210" s="3" t="s">
        <v>51</v>
      </c>
      <c r="AH210" s="3" t="s">
        <v>149</v>
      </c>
      <c r="AI210" s="54" t="str">
        <f t="shared" si="72"/>
        <v>Sangita Senapati|Sales|SilverByte Systems</v>
      </c>
      <c r="AK210" s="3" t="s">
        <v>425</v>
      </c>
      <c r="AL210" s="38" t="str">
        <f t="shared" si="73"/>
        <v>S.S.</v>
      </c>
      <c r="AN210" s="19" t="s">
        <v>5060</v>
      </c>
      <c r="AO210" s="54" t="str">
        <f t="shared" si="74"/>
        <v>Naukri</v>
      </c>
      <c r="AQ210" s="3" t="s">
        <v>425</v>
      </c>
      <c r="AR210" s="52" t="str">
        <f t="shared" si="75"/>
        <v>NO</v>
      </c>
      <c r="AW210" s="54">
        <f ca="1">DATEDIF(BI210,TODAY(),"Y")</f>
        <v>3</v>
      </c>
      <c r="AX210" s="54"/>
      <c r="AY210" s="40" t="s">
        <v>5423</v>
      </c>
      <c r="AZ210" s="44">
        <f t="shared" si="77"/>
        <v>45445</v>
      </c>
      <c r="BA210" s="54" t="str">
        <f t="shared" si="78"/>
        <v>6-2024</v>
      </c>
      <c r="BH210" s="3" t="s">
        <v>671</v>
      </c>
      <c r="BI210" s="51">
        <f t="shared" si="86"/>
        <v>44873</v>
      </c>
      <c r="BJ210" s="38">
        <f t="shared" ca="1" si="87"/>
        <v>984</v>
      </c>
      <c r="BK210" s="38"/>
      <c r="BL210" s="38" t="str">
        <f t="shared" si="88"/>
        <v>No</v>
      </c>
      <c r="BM210" s="59">
        <f t="shared" si="81"/>
        <v>45445</v>
      </c>
      <c r="BN210" s="51">
        <f t="shared" si="89"/>
        <v>44873</v>
      </c>
      <c r="BO210" s="54">
        <f t="shared" si="82"/>
        <v>572</v>
      </c>
      <c r="BP210" s="3" t="s">
        <v>670</v>
      </c>
      <c r="BQ210" s="3" t="s">
        <v>51</v>
      </c>
      <c r="BR210" s="19" t="s">
        <v>861</v>
      </c>
      <c r="BS210" s="19" t="s">
        <v>2689</v>
      </c>
      <c r="BT210" s="54" t="str">
        <f t="shared" si="83"/>
        <v>Product</v>
      </c>
      <c r="BV210" s="3" t="s">
        <v>670</v>
      </c>
      <c r="BW210" s="3" t="s">
        <v>425</v>
      </c>
      <c r="CB210" s="19" t="s">
        <v>5422</v>
      </c>
      <c r="CC210" s="3" t="s">
        <v>425</v>
      </c>
      <c r="CD210" s="3" t="s">
        <v>69</v>
      </c>
      <c r="CE210" s="54" t="str">
        <v>Not Found</v>
      </c>
      <c r="CG210" s="54" t="str">
        <f>IFERROR(_xlfn.XLOOKUP(Hiring!A210,Hiring!A210:A609,Hiring!B210:B609,,0),"Not Found")</f>
        <v>Amlan Mohapatra</v>
      </c>
    </row>
    <row r="211" spans="2:85">
      <c r="B211" s="100"/>
      <c r="F211" s="4">
        <v>4.5</v>
      </c>
      <c r="G211" s="52" t="str" cm="1">
        <f t="array" ref="G211">_xlfn.IFS(F211&gt;=4.5,"Excellent",AND(F211&gt;=3.5,F211&lt;=4.4),"Good",F211&lt;3.5,"Needs Improvement")</f>
        <v>Excellent</v>
      </c>
      <c r="M211" s="18">
        <v>189090</v>
      </c>
      <c r="N211" s="18">
        <v>189767</v>
      </c>
      <c r="O211" s="54" t="str">
        <f t="shared" si="85"/>
        <v>Yes</v>
      </c>
      <c r="Q211" s="18">
        <v>10.89</v>
      </c>
      <c r="R211" s="56" t="str">
        <f t="shared" si="69"/>
        <v>Yes</v>
      </c>
      <c r="W211" s="18" t="s">
        <v>861</v>
      </c>
      <c r="X211" s="54" t="str">
        <f>VLOOKUP(W211,Employees!$A$1:$B$601,2,FALSE)</f>
        <v>Smita Mohapatra</v>
      </c>
      <c r="Z211" s="4" t="s">
        <v>672</v>
      </c>
      <c r="AA211" s="54" t="str">
        <f t="shared" si="70"/>
        <v>0210</v>
      </c>
      <c r="AC211" s="4" t="s">
        <v>51</v>
      </c>
      <c r="AD211" s="54" t="str">
        <f t="shared" si="71"/>
        <v>Sales</v>
      </c>
      <c r="AF211" s="4" t="s">
        <v>673</v>
      </c>
      <c r="AG211" s="4" t="s">
        <v>51</v>
      </c>
      <c r="AH211" s="4" t="s">
        <v>32</v>
      </c>
      <c r="AI211" s="54" t="str">
        <f t="shared" si="72"/>
        <v>Sudhansu Mishra|Sales|NilGiri Digitals</v>
      </c>
      <c r="AK211" s="4" t="s">
        <v>673</v>
      </c>
      <c r="AL211" s="38" t="str">
        <f t="shared" si="73"/>
        <v>S.M.</v>
      </c>
      <c r="AN211" s="18" t="s">
        <v>5016</v>
      </c>
      <c r="AO211" s="54" t="b">
        <f t="shared" si="74"/>
        <v>0</v>
      </c>
      <c r="AQ211" s="4" t="s">
        <v>673</v>
      </c>
      <c r="AR211" s="52" t="str">
        <f t="shared" si="75"/>
        <v>Mishra</v>
      </c>
      <c r="AW211" s="54">
        <f ca="1">DATEDIF(BI211,TODAY(),"Y")</f>
        <v>2</v>
      </c>
      <c r="AX211" s="54"/>
      <c r="AY211" s="41" t="s">
        <v>5145</v>
      </c>
      <c r="AZ211" s="44">
        <f t="shared" si="77"/>
        <v>45232</v>
      </c>
      <c r="BA211" s="54" t="str">
        <f t="shared" si="78"/>
        <v>11-2023</v>
      </c>
      <c r="BH211" s="4" t="s">
        <v>674</v>
      </c>
      <c r="BI211" s="51">
        <f t="shared" si="86"/>
        <v>45454</v>
      </c>
      <c r="BJ211" s="38">
        <f t="shared" ca="1" si="87"/>
        <v>569</v>
      </c>
      <c r="BK211" s="38"/>
      <c r="BL211" s="38" t="str">
        <f t="shared" si="88"/>
        <v>No</v>
      </c>
      <c r="BM211" s="59">
        <f t="shared" si="81"/>
        <v>45232</v>
      </c>
      <c r="BN211" s="51">
        <f t="shared" si="89"/>
        <v>45454</v>
      </c>
      <c r="BO211" s="54">
        <f t="shared" si="82"/>
        <v>222</v>
      </c>
      <c r="BP211" s="4" t="s">
        <v>672</v>
      </c>
      <c r="BQ211" s="4" t="s">
        <v>51</v>
      </c>
      <c r="BR211" s="18" t="s">
        <v>861</v>
      </c>
      <c r="BS211" s="18" t="s">
        <v>2692</v>
      </c>
      <c r="BT211" s="54" t="str">
        <f t="shared" si="83"/>
        <v>Product</v>
      </c>
      <c r="BV211" s="4" t="s">
        <v>672</v>
      </c>
      <c r="BW211" s="4" t="s">
        <v>673</v>
      </c>
      <c r="CB211" s="18" t="s">
        <v>845</v>
      </c>
      <c r="CC211" s="4" t="s">
        <v>673</v>
      </c>
      <c r="CD211" s="4" t="s">
        <v>105</v>
      </c>
      <c r="CE211" s="54" t="str">
        <v>Data Analyst</v>
      </c>
      <c r="CG211" s="54" t="str">
        <f>IFERROR(_xlfn.XLOOKUP(Hiring!A211,Hiring!A211:A610,Hiring!B211:B610,,0),"Not Found")</f>
        <v>Rajan Samal</v>
      </c>
    </row>
    <row r="212" spans="2:85">
      <c r="B212" s="100"/>
      <c r="F212" s="3">
        <v>2.2000000000000002</v>
      </c>
      <c r="G212" s="52" t="str" cm="1">
        <f t="array" ref="G212">_xlfn.IFS(F212&gt;=4.5,"Excellent",AND(F212&gt;=3.5,F212&lt;=4.4),"Good",F212&lt;3.5,"Needs Improvement")</f>
        <v>Needs Improvement</v>
      </c>
      <c r="M212" s="19">
        <v>61221</v>
      </c>
      <c r="N212" s="19">
        <v>68492</v>
      </c>
      <c r="O212" s="54" t="str">
        <f t="shared" si="85"/>
        <v>Yes</v>
      </c>
      <c r="Q212" s="19">
        <v>8.02</v>
      </c>
      <c r="R212" s="56" t="str">
        <f t="shared" si="69"/>
        <v>Yes</v>
      </c>
      <c r="W212" s="19" t="s">
        <v>861</v>
      </c>
      <c r="X212" s="54" t="str">
        <f>VLOOKUP(W212,Employees!$A$1:$B$601,2,FALSE)</f>
        <v>Smita Mohapatra</v>
      </c>
      <c r="Z212" s="3" t="s">
        <v>675</v>
      </c>
      <c r="AA212" s="54" t="str">
        <f t="shared" si="70"/>
        <v>0211</v>
      </c>
      <c r="AC212" s="3" t="s">
        <v>63</v>
      </c>
      <c r="AD212" s="54" t="str">
        <f t="shared" si="71"/>
        <v>Product</v>
      </c>
      <c r="AF212" s="3" t="s">
        <v>650</v>
      </c>
      <c r="AG212" s="3" t="s">
        <v>63</v>
      </c>
      <c r="AH212" s="3" t="s">
        <v>75</v>
      </c>
      <c r="AI212" s="54" t="str">
        <f t="shared" si="72"/>
        <v>Puspita Parida|Product|KalingaTech Pvt Ltd</v>
      </c>
      <c r="AK212" s="3" t="s">
        <v>650</v>
      </c>
      <c r="AL212" s="38" t="str">
        <f t="shared" si="73"/>
        <v>P.P.</v>
      </c>
      <c r="AN212" s="19" t="s">
        <v>5025</v>
      </c>
      <c r="AO212" s="54" t="b">
        <f t="shared" si="74"/>
        <v>0</v>
      </c>
      <c r="AQ212" s="3" t="s">
        <v>650</v>
      </c>
      <c r="AR212" s="52" t="str">
        <f t="shared" si="75"/>
        <v>NO</v>
      </c>
      <c r="AW212" s="54">
        <f ca="1">DATEDIF(BI212,TODAY(),"Y")</f>
        <v>2</v>
      </c>
      <c r="AX212" s="54"/>
      <c r="AY212" s="40" t="s">
        <v>5427</v>
      </c>
      <c r="AZ212" s="44">
        <f t="shared" si="77"/>
        <v>45636</v>
      </c>
      <c r="BA212" s="54" t="str">
        <f t="shared" si="78"/>
        <v>12-2024</v>
      </c>
      <c r="BH212" s="3" t="s">
        <v>676</v>
      </c>
      <c r="BI212" s="51">
        <f t="shared" si="86"/>
        <v>45409</v>
      </c>
      <c r="BJ212" s="38">
        <f t="shared" ca="1" si="87"/>
        <v>600</v>
      </c>
      <c r="BK212" s="38"/>
      <c r="BL212" s="38" t="str">
        <f t="shared" si="88"/>
        <v>No</v>
      </c>
      <c r="BM212" s="59">
        <f t="shared" si="81"/>
        <v>45636</v>
      </c>
      <c r="BN212" s="51">
        <f t="shared" si="89"/>
        <v>45409</v>
      </c>
      <c r="BO212" s="54">
        <f t="shared" si="82"/>
        <v>227</v>
      </c>
      <c r="BP212" s="3" t="s">
        <v>675</v>
      </c>
      <c r="BQ212" s="3" t="s">
        <v>63</v>
      </c>
      <c r="BR212" s="19" t="s">
        <v>861</v>
      </c>
      <c r="BS212" s="19" t="s">
        <v>2695</v>
      </c>
      <c r="BT212" s="54" t="str">
        <f t="shared" si="83"/>
        <v>Product</v>
      </c>
      <c r="BV212" s="3" t="s">
        <v>675</v>
      </c>
      <c r="BW212" s="3" t="s">
        <v>650</v>
      </c>
      <c r="CB212" s="19" t="s">
        <v>5426</v>
      </c>
      <c r="CC212" s="3" t="s">
        <v>650</v>
      </c>
      <c r="CD212" s="3" t="s">
        <v>64</v>
      </c>
      <c r="CE212" s="54" t="str">
        <v>Not Found</v>
      </c>
      <c r="CG212" s="54" t="str">
        <f>IFERROR(_xlfn.XLOOKUP(Hiring!A212,Hiring!A212:A611,Hiring!B212:B611,,0),"Not Found")</f>
        <v>Aditya Tripathy</v>
      </c>
    </row>
    <row r="213" spans="2:85">
      <c r="B213" s="100"/>
      <c r="F213" s="4">
        <v>3.8</v>
      </c>
      <c r="G213" s="52" t="str" cm="1">
        <f t="array" ref="G213">_xlfn.IFS(F213&gt;=4.5,"Excellent",AND(F213&gt;=3.5,F213&lt;=4.4),"Good",F213&lt;3.5,"Needs Improvement")</f>
        <v>Good</v>
      </c>
      <c r="M213" s="18">
        <v>163252</v>
      </c>
      <c r="N213" s="18">
        <v>189452</v>
      </c>
      <c r="O213" s="54" t="str">
        <f t="shared" si="85"/>
        <v>Yes</v>
      </c>
      <c r="Q213" s="18">
        <v>9.83</v>
      </c>
      <c r="R213" s="56" t="str">
        <f t="shared" si="69"/>
        <v>Yes</v>
      </c>
      <c r="W213" s="18" t="s">
        <v>861</v>
      </c>
      <c r="X213" s="54" t="str">
        <f>VLOOKUP(W213,Employees!$A$1:$B$601,2,FALSE)</f>
        <v>Smita Mohapatra</v>
      </c>
      <c r="Z213" s="4" t="s">
        <v>677</v>
      </c>
      <c r="AA213" s="54" t="str">
        <f t="shared" si="70"/>
        <v>0212</v>
      </c>
      <c r="AC213" s="4" t="s">
        <v>16</v>
      </c>
      <c r="AD213" s="54" t="str">
        <f t="shared" si="71"/>
        <v>Devops</v>
      </c>
      <c r="AF213" s="4" t="s">
        <v>678</v>
      </c>
      <c r="AG213" s="4" t="s">
        <v>16</v>
      </c>
      <c r="AH213" s="4" t="s">
        <v>18</v>
      </c>
      <c r="AI213" s="54" t="str">
        <f t="shared" si="72"/>
        <v>Saurav Sahu|DevOps|CoastalDev Studio</v>
      </c>
      <c r="AK213" s="4" t="s">
        <v>678</v>
      </c>
      <c r="AL213" s="38" t="str">
        <f t="shared" si="73"/>
        <v>S.S.</v>
      </c>
      <c r="AN213" s="18" t="s">
        <v>5060</v>
      </c>
      <c r="AO213" s="54" t="str">
        <f t="shared" si="74"/>
        <v>Naukri</v>
      </c>
      <c r="AQ213" s="4" t="s">
        <v>678</v>
      </c>
      <c r="AR213" s="52" t="str">
        <f t="shared" si="75"/>
        <v>NO</v>
      </c>
      <c r="AW213" s="54">
        <f ca="1">DATEDIF(BI213,TODAY(),"Y")</f>
        <v>7</v>
      </c>
      <c r="AX213" s="54"/>
      <c r="AY213" s="41" t="s">
        <v>5430</v>
      </c>
      <c r="AZ213" s="44">
        <f t="shared" si="77"/>
        <v>45250</v>
      </c>
      <c r="BA213" s="54" t="str">
        <f t="shared" si="78"/>
        <v>11-2023</v>
      </c>
      <c r="BH213" s="4" t="s">
        <v>679</v>
      </c>
      <c r="BI213" s="51">
        <f t="shared" si="86"/>
        <v>43505</v>
      </c>
      <c r="BJ213" s="38">
        <f t="shared" ca="1" si="87"/>
        <v>1960</v>
      </c>
      <c r="BK213" s="38"/>
      <c r="BL213" s="38" t="str">
        <f t="shared" si="88"/>
        <v>Q1</v>
      </c>
      <c r="BM213" s="59">
        <f t="shared" si="81"/>
        <v>45250</v>
      </c>
      <c r="BN213" s="51">
        <f t="shared" si="89"/>
        <v>43505</v>
      </c>
      <c r="BO213" s="54">
        <f t="shared" si="82"/>
        <v>1745</v>
      </c>
      <c r="BP213" s="4" t="s">
        <v>677</v>
      </c>
      <c r="BQ213" s="4" t="s">
        <v>16</v>
      </c>
      <c r="BR213" s="18" t="s">
        <v>861</v>
      </c>
      <c r="BS213" s="18" t="s">
        <v>2697</v>
      </c>
      <c r="BT213" s="54" t="str">
        <f t="shared" si="83"/>
        <v>Product</v>
      </c>
      <c r="BV213" s="4" t="s">
        <v>677</v>
      </c>
      <c r="BW213" s="4" t="s">
        <v>678</v>
      </c>
      <c r="CB213" s="18" t="s">
        <v>5429</v>
      </c>
      <c r="CC213" s="4" t="s">
        <v>678</v>
      </c>
      <c r="CD213" s="4" t="s">
        <v>17</v>
      </c>
      <c r="CE213" s="54" t="str">
        <v>Not Found</v>
      </c>
      <c r="CG213" s="54" t="str">
        <f>IFERROR(_xlfn.XLOOKUP(Hiring!A213,Hiring!A213:A612,Hiring!B213:B612,,0),"Not Found")</f>
        <v>Nirmal Senapati</v>
      </c>
    </row>
    <row r="214" spans="2:85">
      <c r="B214" s="100"/>
      <c r="F214" s="3">
        <v>2.2000000000000002</v>
      </c>
      <c r="G214" s="52" t="str" cm="1">
        <f t="array" ref="G214">_xlfn.IFS(F214&gt;=4.5,"Excellent",AND(F214&gt;=3.5,F214&lt;=4.4),"Good",F214&lt;3.5,"Needs Improvement")</f>
        <v>Needs Improvement</v>
      </c>
      <c r="M214" s="19"/>
      <c r="N214" s="19">
        <v>166025</v>
      </c>
      <c r="O214" s="54" t="str">
        <f t="shared" si="85"/>
        <v>Yes</v>
      </c>
      <c r="Q214" s="19">
        <v>8.1300000000000008</v>
      </c>
      <c r="R214" s="56" t="str">
        <f t="shared" si="69"/>
        <v>Yes</v>
      </c>
      <c r="W214" s="19" t="s">
        <v>861</v>
      </c>
      <c r="X214" s="54" t="str">
        <f>VLOOKUP(W214,Employees!$A$1:$B$601,2,FALSE)</f>
        <v>Smita Mohapatra</v>
      </c>
      <c r="Z214" s="3" t="s">
        <v>680</v>
      </c>
      <c r="AA214" s="54" t="str">
        <f t="shared" si="70"/>
        <v>0213</v>
      </c>
      <c r="AC214" s="3" t="s">
        <v>24</v>
      </c>
      <c r="AD214" s="54" t="str">
        <f t="shared" si="71"/>
        <v>Design</v>
      </c>
      <c r="AF214" s="3" t="s">
        <v>681</v>
      </c>
      <c r="AG214" s="3" t="s">
        <v>24</v>
      </c>
      <c r="AH214" s="3" t="s">
        <v>114</v>
      </c>
      <c r="AI214" s="54" t="str">
        <f t="shared" si="72"/>
        <v>Namita Prusty|Design|UtkalSoft Technologies</v>
      </c>
      <c r="AK214" s="3" t="s">
        <v>681</v>
      </c>
      <c r="AL214" s="38" t="str">
        <f t="shared" si="73"/>
        <v>N.P.</v>
      </c>
      <c r="AN214" s="19" t="s">
        <v>5025</v>
      </c>
      <c r="AO214" s="54" t="b">
        <f t="shared" si="74"/>
        <v>0</v>
      </c>
      <c r="AQ214" s="3" t="s">
        <v>681</v>
      </c>
      <c r="AR214" s="52" t="str">
        <f t="shared" si="75"/>
        <v>NO</v>
      </c>
      <c r="AW214" s="54">
        <f ca="1">DATEDIF(BI214,TODAY(),"Y")</f>
        <v>4</v>
      </c>
      <c r="AX214" s="54"/>
      <c r="AY214" s="40" t="s">
        <v>5432</v>
      </c>
      <c r="AZ214" s="44">
        <f t="shared" si="77"/>
        <v>45340</v>
      </c>
      <c r="BA214" s="54" t="str">
        <f t="shared" si="78"/>
        <v>2-2024</v>
      </c>
      <c r="BH214" s="3" t="s">
        <v>682</v>
      </c>
      <c r="BI214" s="51">
        <f t="shared" si="86"/>
        <v>44423</v>
      </c>
      <c r="BJ214" s="38">
        <f t="shared" ca="1" si="87"/>
        <v>1305</v>
      </c>
      <c r="BK214" s="38"/>
      <c r="BL214" s="38" t="str">
        <f t="shared" si="88"/>
        <v>No</v>
      </c>
      <c r="BM214" s="59">
        <f t="shared" si="81"/>
        <v>45340</v>
      </c>
      <c r="BN214" s="51">
        <f t="shared" si="89"/>
        <v>44423</v>
      </c>
      <c r="BO214" s="54">
        <f t="shared" si="82"/>
        <v>917</v>
      </c>
      <c r="BP214" s="3" t="s">
        <v>680</v>
      </c>
      <c r="BQ214" s="3" t="s">
        <v>24</v>
      </c>
      <c r="BR214" s="19" t="s">
        <v>861</v>
      </c>
      <c r="BS214" s="19" t="s">
        <v>2699</v>
      </c>
      <c r="BT214" s="54" t="str">
        <f t="shared" si="83"/>
        <v>Product</v>
      </c>
      <c r="BV214" s="3" t="s">
        <v>680</v>
      </c>
      <c r="BW214" s="3" t="s">
        <v>681</v>
      </c>
      <c r="CB214" s="19" t="s">
        <v>947</v>
      </c>
      <c r="CC214" s="3" t="s">
        <v>681</v>
      </c>
      <c r="CD214" s="3" t="s">
        <v>25</v>
      </c>
      <c r="CE214" s="54" t="str">
        <v>UI Designer</v>
      </c>
      <c r="CG214" s="54" t="str">
        <f>IFERROR(_xlfn.XLOOKUP(Hiring!A214,Hiring!A214:A613,Hiring!B214:B613,,0),"Not Found")</f>
        <v>Puspita Senapati</v>
      </c>
    </row>
    <row r="215" spans="2:85">
      <c r="B215" s="100"/>
      <c r="F215" s="4">
        <v>4.7</v>
      </c>
      <c r="G215" s="52" t="str" cm="1">
        <f t="array" ref="G215">_xlfn.IFS(F215&gt;=4.5,"Excellent",AND(F215&gt;=3.5,F215&lt;=4.4),"Good",F215&lt;3.5,"Needs Improvement")</f>
        <v>Excellent</v>
      </c>
      <c r="M215" s="18">
        <v>143661</v>
      </c>
      <c r="N215" s="18">
        <v>162815</v>
      </c>
      <c r="O215" s="54" t="str">
        <f t="shared" si="85"/>
        <v>Yes</v>
      </c>
      <c r="Q215" s="18">
        <v>7.23</v>
      </c>
      <c r="R215" s="56" t="str">
        <f t="shared" si="69"/>
        <v>Yes</v>
      </c>
      <c r="W215" s="18" t="s">
        <v>861</v>
      </c>
      <c r="X215" s="54" t="str">
        <f>VLOOKUP(W215,Employees!$A$1:$B$601,2,FALSE)</f>
        <v>Smita Mohapatra</v>
      </c>
      <c r="Z215" s="4" t="s">
        <v>683</v>
      </c>
      <c r="AA215" s="54" t="str">
        <f t="shared" si="70"/>
        <v>0214</v>
      </c>
      <c r="AC215" s="4" t="s">
        <v>24</v>
      </c>
      <c r="AD215" s="54" t="str">
        <f t="shared" si="71"/>
        <v>Design</v>
      </c>
      <c r="AF215" s="4" t="s">
        <v>684</v>
      </c>
      <c r="AG215" s="4" t="s">
        <v>24</v>
      </c>
      <c r="AH215" s="4" t="s">
        <v>70</v>
      </c>
      <c r="AI215" s="54" t="str">
        <f t="shared" si="72"/>
        <v>Chinmaya Behura|Design|OdishaCode Labs</v>
      </c>
      <c r="AK215" s="4" t="s">
        <v>684</v>
      </c>
      <c r="AL215" s="38" t="str">
        <f t="shared" si="73"/>
        <v>C.B.</v>
      </c>
      <c r="AN215" s="18" t="s">
        <v>5031</v>
      </c>
      <c r="AO215" s="54" t="b">
        <f t="shared" si="74"/>
        <v>0</v>
      </c>
      <c r="AQ215" s="4" t="s">
        <v>684</v>
      </c>
      <c r="AR215" s="52" t="str">
        <f t="shared" si="75"/>
        <v>NO</v>
      </c>
      <c r="AW215" s="54">
        <f ca="1">DATEDIF(BI215,TODAY(),"Y")</f>
        <v>4</v>
      </c>
      <c r="AX215" s="54"/>
      <c r="AY215" s="41" t="s">
        <v>5203</v>
      </c>
      <c r="AZ215" s="44">
        <f t="shared" si="77"/>
        <v>45051</v>
      </c>
      <c r="BA215" s="54" t="str">
        <f t="shared" si="78"/>
        <v>5-2023</v>
      </c>
      <c r="BH215" s="4" t="s">
        <v>685</v>
      </c>
      <c r="BI215" s="51">
        <f t="shared" si="86"/>
        <v>44546</v>
      </c>
      <c r="BJ215" s="38">
        <f t="shared" ca="1" si="87"/>
        <v>1217</v>
      </c>
      <c r="BK215" s="38"/>
      <c r="BL215" s="38" t="str">
        <f t="shared" si="88"/>
        <v>No</v>
      </c>
      <c r="BM215" s="59">
        <f t="shared" si="81"/>
        <v>45051</v>
      </c>
      <c r="BN215" s="51">
        <f t="shared" si="89"/>
        <v>44546</v>
      </c>
      <c r="BO215" s="54">
        <f t="shared" si="82"/>
        <v>505</v>
      </c>
      <c r="BP215" s="4" t="s">
        <v>683</v>
      </c>
      <c r="BQ215" s="4" t="s">
        <v>24</v>
      </c>
      <c r="BR215" s="18" t="s">
        <v>861</v>
      </c>
      <c r="BS215" s="18" t="s">
        <v>2702</v>
      </c>
      <c r="BT215" s="54" t="str">
        <f t="shared" si="83"/>
        <v>Product</v>
      </c>
      <c r="BV215" s="4" t="s">
        <v>683</v>
      </c>
      <c r="BW215" s="4" t="s">
        <v>684</v>
      </c>
      <c r="CB215" s="18" t="s">
        <v>1308</v>
      </c>
      <c r="CC215" s="4" t="s">
        <v>684</v>
      </c>
      <c r="CD215" s="4" t="s">
        <v>94</v>
      </c>
      <c r="CE215" s="54" t="str">
        <v>Test Analyst</v>
      </c>
      <c r="CG215" s="54" t="str">
        <f>IFERROR(_xlfn.XLOOKUP(Hiring!A215,Hiring!A215:A614,Hiring!B215:B614,,0),"Not Found")</f>
        <v>Priyanka Pattnaik</v>
      </c>
    </row>
    <row r="216" spans="2:85">
      <c r="B216" s="100"/>
      <c r="F216" s="3">
        <v>3</v>
      </c>
      <c r="G216" s="52" t="str" cm="1">
        <f t="array" ref="G216">_xlfn.IFS(F216&gt;=4.5,"Excellent",AND(F216&gt;=3.5,F216&lt;=4.4),"Good",F216&lt;3.5,"Needs Improvement")</f>
        <v>Needs Improvement</v>
      </c>
      <c r="M216" s="19">
        <v>176973</v>
      </c>
      <c r="N216" s="19">
        <v>187838</v>
      </c>
      <c r="O216" s="54" t="str">
        <f t="shared" si="85"/>
        <v>Yes</v>
      </c>
      <c r="Q216" s="19">
        <v>7.28</v>
      </c>
      <c r="R216" s="56" t="str">
        <f t="shared" si="69"/>
        <v>Yes</v>
      </c>
      <c r="W216" s="19" t="s">
        <v>861</v>
      </c>
      <c r="X216" s="54" t="str">
        <f>VLOOKUP(W216,Employees!$A$1:$B$601,2,FALSE)</f>
        <v>Smita Mohapatra</v>
      </c>
      <c r="Z216" s="3" t="s">
        <v>686</v>
      </c>
      <c r="AA216" s="54" t="str">
        <f t="shared" si="70"/>
        <v>0215</v>
      </c>
      <c r="AC216" s="3" t="s">
        <v>24</v>
      </c>
      <c r="AD216" s="54" t="str">
        <f t="shared" si="71"/>
        <v>Design</v>
      </c>
      <c r="AF216" s="3" t="s">
        <v>554</v>
      </c>
      <c r="AG216" s="3" t="s">
        <v>24</v>
      </c>
      <c r="AH216" s="3" t="s">
        <v>70</v>
      </c>
      <c r="AI216" s="54" t="str">
        <f t="shared" si="72"/>
        <v>Barsha Parida|Design|OdishaCode Labs</v>
      </c>
      <c r="AK216" s="3" t="s">
        <v>554</v>
      </c>
      <c r="AL216" s="38" t="str">
        <f t="shared" si="73"/>
        <v>B.P.</v>
      </c>
      <c r="AN216" s="19" t="s">
        <v>5016</v>
      </c>
      <c r="AO216" s="54" t="b">
        <f t="shared" si="74"/>
        <v>0</v>
      </c>
      <c r="AQ216" s="3" t="s">
        <v>554</v>
      </c>
      <c r="AR216" s="52" t="str">
        <f t="shared" si="75"/>
        <v>NO</v>
      </c>
      <c r="AW216" s="54">
        <f ca="1">DATEDIF(BI216,TODAY(),"Y")</f>
        <v>7</v>
      </c>
      <c r="AX216" s="54"/>
      <c r="AY216" s="40" t="s">
        <v>5435</v>
      </c>
      <c r="AZ216" s="44">
        <f t="shared" si="77"/>
        <v>45489</v>
      </c>
      <c r="BA216" s="54" t="str">
        <f t="shared" si="78"/>
        <v>7-2024</v>
      </c>
      <c r="BH216" s="3" t="s">
        <v>687</v>
      </c>
      <c r="BI216" s="51">
        <f t="shared" si="86"/>
        <v>43682</v>
      </c>
      <c r="BJ216" s="38">
        <f t="shared" ca="1" si="87"/>
        <v>1835</v>
      </c>
      <c r="BK216" s="38"/>
      <c r="BL216" s="38" t="str">
        <f t="shared" si="88"/>
        <v>No</v>
      </c>
      <c r="BM216" s="59">
        <f t="shared" si="81"/>
        <v>45489</v>
      </c>
      <c r="BN216" s="51">
        <f t="shared" si="89"/>
        <v>43682</v>
      </c>
      <c r="BO216" s="54">
        <f t="shared" si="82"/>
        <v>1807</v>
      </c>
      <c r="BP216" s="3" t="s">
        <v>686</v>
      </c>
      <c r="BQ216" s="3" t="s">
        <v>24</v>
      </c>
      <c r="BR216" s="19" t="s">
        <v>861</v>
      </c>
      <c r="BS216" s="19" t="s">
        <v>2705</v>
      </c>
      <c r="BT216" s="54" t="str">
        <f t="shared" si="83"/>
        <v>Product</v>
      </c>
      <c r="BV216" s="3" t="s">
        <v>686</v>
      </c>
      <c r="BW216" s="3" t="s">
        <v>554</v>
      </c>
      <c r="CB216" s="19" t="s">
        <v>1123</v>
      </c>
      <c r="CC216" s="3" t="s">
        <v>554</v>
      </c>
      <c r="CD216" s="3" t="s">
        <v>74</v>
      </c>
      <c r="CE216" s="54" t="str">
        <v>Talent Acquisition</v>
      </c>
      <c r="CG216" s="54" t="str">
        <f>IFERROR(_xlfn.XLOOKUP(Hiring!A216,Hiring!A216:A615,Hiring!B216:B615,,0),"Not Found")</f>
        <v>Soumya Mohapatra</v>
      </c>
    </row>
    <row r="217" spans="2:85">
      <c r="B217" s="100"/>
      <c r="F217" s="4">
        <v>3.7</v>
      </c>
      <c r="G217" s="52" t="str" cm="1">
        <f t="array" ref="G217">_xlfn.IFS(F217&gt;=4.5,"Excellent",AND(F217&gt;=3.5,F217&lt;=4.4),"Good",F217&lt;3.5,"Needs Improvement")</f>
        <v>Good</v>
      </c>
      <c r="M217" s="18">
        <v>112096</v>
      </c>
      <c r="N217" s="18">
        <v>119294</v>
      </c>
      <c r="O217" s="54" t="str">
        <f t="shared" si="85"/>
        <v>Yes</v>
      </c>
      <c r="Q217" s="18">
        <v>7.15</v>
      </c>
      <c r="R217" s="56" t="str">
        <f t="shared" si="69"/>
        <v>Yes</v>
      </c>
      <c r="W217" s="18" t="s">
        <v>677</v>
      </c>
      <c r="X217" s="54" t="str">
        <f>VLOOKUP(W217,Employees!$A$1:$B$601,2,FALSE)</f>
        <v>Saurav Sahu</v>
      </c>
      <c r="Z217" s="4" t="s">
        <v>688</v>
      </c>
      <c r="AA217" s="54" t="str">
        <f t="shared" si="70"/>
        <v>0216</v>
      </c>
      <c r="AC217" s="4" t="s">
        <v>16</v>
      </c>
      <c r="AD217" s="54" t="str">
        <f t="shared" si="71"/>
        <v>Devops</v>
      </c>
      <c r="AF217" s="4" t="s">
        <v>689</v>
      </c>
      <c r="AG217" s="4" t="s">
        <v>16</v>
      </c>
      <c r="AH217" s="4" t="s">
        <v>75</v>
      </c>
      <c r="AI217" s="54" t="str">
        <f t="shared" si="72"/>
        <v>Abhishek Nanda|DevOps|KalingaTech Pvt Ltd</v>
      </c>
      <c r="AK217" s="4" t="s">
        <v>689</v>
      </c>
      <c r="AL217" s="38" t="str">
        <f t="shared" si="73"/>
        <v>A.N.</v>
      </c>
      <c r="AN217" s="18" t="s">
        <v>5031</v>
      </c>
      <c r="AO217" s="54" t="b">
        <f t="shared" si="74"/>
        <v>0</v>
      </c>
      <c r="AQ217" s="4" t="s">
        <v>689</v>
      </c>
      <c r="AR217" s="52" t="str">
        <f t="shared" si="75"/>
        <v>NO</v>
      </c>
      <c r="AW217" s="54">
        <f ca="1">DATEDIF(BI217,TODAY(),"Y")</f>
        <v>4</v>
      </c>
      <c r="AX217" s="54"/>
      <c r="AY217" s="41" t="s">
        <v>1801</v>
      </c>
      <c r="AZ217" s="44">
        <f t="shared" si="77"/>
        <v>45191</v>
      </c>
      <c r="BA217" s="54" t="str">
        <f t="shared" si="78"/>
        <v>9-2023</v>
      </c>
      <c r="BH217" s="4" t="s">
        <v>690</v>
      </c>
      <c r="BI217" s="51">
        <f t="shared" si="86"/>
        <v>44511</v>
      </c>
      <c r="BJ217" s="38">
        <f t="shared" ca="1" si="87"/>
        <v>1242</v>
      </c>
      <c r="BK217" s="38"/>
      <c r="BL217" s="38" t="str">
        <f t="shared" si="88"/>
        <v>No</v>
      </c>
      <c r="BM217" s="59">
        <f t="shared" si="81"/>
        <v>45191</v>
      </c>
      <c r="BN217" s="51">
        <f t="shared" si="89"/>
        <v>44511</v>
      </c>
      <c r="BO217" s="54">
        <f t="shared" si="82"/>
        <v>680</v>
      </c>
      <c r="BP217" s="4" t="s">
        <v>688</v>
      </c>
      <c r="BQ217" s="4" t="s">
        <v>16</v>
      </c>
      <c r="BR217" s="18" t="s">
        <v>677</v>
      </c>
      <c r="BS217" s="18" t="s">
        <v>2707</v>
      </c>
      <c r="BT217" s="54" t="str">
        <f t="shared" si="83"/>
        <v>DevOps</v>
      </c>
      <c r="BV217" s="4" t="s">
        <v>688</v>
      </c>
      <c r="BW217" s="4" t="s">
        <v>689</v>
      </c>
      <c r="CB217" s="18" t="s">
        <v>5437</v>
      </c>
      <c r="CC217" s="4" t="s">
        <v>689</v>
      </c>
      <c r="CD217" s="4" t="s">
        <v>123</v>
      </c>
      <c r="CE217" s="54" t="str">
        <v>Not Found</v>
      </c>
      <c r="CG217" s="54" t="str">
        <f>IFERROR(_xlfn.XLOOKUP(Hiring!A217,Hiring!A217:A616,Hiring!B217:B616,,0),"Not Found")</f>
        <v>Puspita Sahoo</v>
      </c>
    </row>
    <row r="218" spans="2:85">
      <c r="B218" s="100"/>
      <c r="F218" s="3">
        <v>1.6</v>
      </c>
      <c r="G218" s="52" t="str" cm="1">
        <f t="array" ref="G218">_xlfn.IFS(F218&gt;=4.5,"Excellent",AND(F218&gt;=3.5,F218&lt;=4.4),"Good",F218&lt;3.5,"Needs Improvement")</f>
        <v>Needs Improvement</v>
      </c>
      <c r="M218" s="19">
        <v>40641</v>
      </c>
      <c r="N218" s="19">
        <v>36846</v>
      </c>
      <c r="O218" s="54" t="str">
        <f t="shared" si="85"/>
        <v>Yes</v>
      </c>
      <c r="Q218" s="19">
        <v>8.66</v>
      </c>
      <c r="R218" s="56" t="str">
        <f t="shared" si="69"/>
        <v>Yes</v>
      </c>
      <c r="W218" s="19" t="s">
        <v>677</v>
      </c>
      <c r="X218" s="54" t="str">
        <f>VLOOKUP(W218,Employees!$A$1:$B$601,2,FALSE)</f>
        <v>Saurav Sahu</v>
      </c>
      <c r="Z218" s="3" t="s">
        <v>691</v>
      </c>
      <c r="AA218" s="54" t="str">
        <f t="shared" si="70"/>
        <v>0217</v>
      </c>
      <c r="AC218" s="3" t="s">
        <v>16</v>
      </c>
      <c r="AD218" s="54" t="str">
        <f t="shared" si="71"/>
        <v>Devops</v>
      </c>
      <c r="AF218" s="3" t="s">
        <v>692</v>
      </c>
      <c r="AG218" s="3" t="s">
        <v>16</v>
      </c>
      <c r="AH218" s="3" t="s">
        <v>114</v>
      </c>
      <c r="AI218" s="54" t="str">
        <f t="shared" si="72"/>
        <v>Sudhansu Pattnaik|DevOps|UtkalSoft Technologies</v>
      </c>
      <c r="AK218" s="3" t="s">
        <v>692</v>
      </c>
      <c r="AL218" s="38" t="str">
        <f t="shared" si="73"/>
        <v>S.P.</v>
      </c>
      <c r="AN218" s="19" t="s">
        <v>5077</v>
      </c>
      <c r="AO218" s="54" t="b">
        <f t="shared" si="74"/>
        <v>0</v>
      </c>
      <c r="AQ218" s="3" t="s">
        <v>692</v>
      </c>
      <c r="AR218" s="52" t="str">
        <f t="shared" si="75"/>
        <v>NO</v>
      </c>
      <c r="AW218" s="54">
        <f ca="1">DATEDIF(BI218,TODAY(),"Y")</f>
        <v>7</v>
      </c>
      <c r="AX218" s="54"/>
      <c r="AY218" s="40" t="s">
        <v>5439</v>
      </c>
      <c r="AZ218" s="44">
        <f t="shared" si="77"/>
        <v>45226</v>
      </c>
      <c r="BA218" s="54" t="str">
        <f t="shared" si="78"/>
        <v>10-2023</v>
      </c>
      <c r="BH218" s="3" t="s">
        <v>693</v>
      </c>
      <c r="BI218" s="51">
        <f t="shared" si="86"/>
        <v>43431</v>
      </c>
      <c r="BJ218" s="38">
        <f t="shared" ca="1" si="87"/>
        <v>2014</v>
      </c>
      <c r="BK218" s="38"/>
      <c r="BL218" s="38" t="str">
        <f t="shared" si="88"/>
        <v>No</v>
      </c>
      <c r="BM218" s="59">
        <f t="shared" si="81"/>
        <v>45226</v>
      </c>
      <c r="BN218" s="51">
        <f t="shared" si="89"/>
        <v>43431</v>
      </c>
      <c r="BO218" s="54">
        <f t="shared" si="82"/>
        <v>1795</v>
      </c>
      <c r="BP218" s="3" t="s">
        <v>691</v>
      </c>
      <c r="BQ218" s="3" t="s">
        <v>16</v>
      </c>
      <c r="BR218" s="19" t="s">
        <v>677</v>
      </c>
      <c r="BS218" s="19" t="s">
        <v>2708</v>
      </c>
      <c r="BT218" s="54" t="str">
        <f t="shared" si="83"/>
        <v>DevOps</v>
      </c>
      <c r="BV218" s="3" t="s">
        <v>691</v>
      </c>
      <c r="BW218" s="3" t="s">
        <v>692</v>
      </c>
      <c r="CB218" s="19" t="s">
        <v>253</v>
      </c>
      <c r="CC218" s="3" t="s">
        <v>692</v>
      </c>
      <c r="CD218" s="3" t="s">
        <v>123</v>
      </c>
      <c r="CE218" s="54" t="str">
        <v>Brand Manager</v>
      </c>
      <c r="CG218" s="54" t="str">
        <f>IFERROR(_xlfn.XLOOKUP(Hiring!A218,Hiring!A218:A617,Hiring!B218:B617,,0),"Not Found")</f>
        <v>Debasmita Samal</v>
      </c>
    </row>
    <row r="219" spans="2:85">
      <c r="B219" s="100"/>
      <c r="F219" s="4">
        <v>4.4000000000000004</v>
      </c>
      <c r="G219" s="52" t="str" cm="1">
        <f t="array" ref="G219">_xlfn.IFS(F219&gt;=4.5,"Excellent",AND(F219&gt;=3.5,F219&lt;=4.4),"Good",F219&lt;3.5,"Needs Improvement")</f>
        <v>Good</v>
      </c>
      <c r="M219" s="18">
        <v>30159</v>
      </c>
      <c r="N219" s="18">
        <v>35014</v>
      </c>
      <c r="O219" s="54" t="str">
        <f t="shared" si="85"/>
        <v>Yes</v>
      </c>
      <c r="Q219" s="18">
        <v>7.29</v>
      </c>
      <c r="R219" s="56" t="str">
        <f t="shared" si="69"/>
        <v>Yes</v>
      </c>
      <c r="W219" s="18" t="s">
        <v>677</v>
      </c>
      <c r="X219" s="54" t="str">
        <f>VLOOKUP(W219,Employees!$A$1:$B$601,2,FALSE)</f>
        <v>Saurav Sahu</v>
      </c>
      <c r="Z219" s="4" t="s">
        <v>694</v>
      </c>
      <c r="AA219" s="54" t="str">
        <f t="shared" si="70"/>
        <v>0218</v>
      </c>
      <c r="AC219" s="4" t="s">
        <v>118</v>
      </c>
      <c r="AD219" s="54" t="str">
        <f t="shared" si="71"/>
        <v>Marketing</v>
      </c>
      <c r="AF219" s="4" t="s">
        <v>570</v>
      </c>
      <c r="AG219" s="4" t="s">
        <v>118</v>
      </c>
      <c r="AH219" s="4" t="s">
        <v>149</v>
      </c>
      <c r="AI219" s="54" t="str">
        <f t="shared" si="72"/>
        <v>Rahul Parida|Marketing|SilverByte Systems</v>
      </c>
      <c r="AK219" s="4" t="s">
        <v>570</v>
      </c>
      <c r="AL219" s="38" t="str">
        <f t="shared" si="73"/>
        <v>R.P.</v>
      </c>
      <c r="AN219" s="18" t="s">
        <v>5023</v>
      </c>
      <c r="AO219" s="54" t="str">
        <f t="shared" si="74"/>
        <v>Linkedln</v>
      </c>
      <c r="AQ219" s="4" t="s">
        <v>570</v>
      </c>
      <c r="AR219" s="52" t="str">
        <f t="shared" si="75"/>
        <v>NO</v>
      </c>
      <c r="AW219" s="54">
        <f ca="1">DATEDIF(BI219,TODAY(),"Y")</f>
        <v>7</v>
      </c>
      <c r="AX219" s="54"/>
      <c r="AY219" s="41" t="s">
        <v>5441</v>
      </c>
      <c r="AZ219" s="44">
        <f t="shared" si="77"/>
        <v>45087</v>
      </c>
      <c r="BA219" s="54" t="str">
        <f t="shared" si="78"/>
        <v>6-2023</v>
      </c>
      <c r="BH219" s="4" t="s">
        <v>695</v>
      </c>
      <c r="BI219" s="51">
        <f t="shared" si="86"/>
        <v>43492</v>
      </c>
      <c r="BJ219" s="38">
        <f t="shared" ca="1" si="87"/>
        <v>1970</v>
      </c>
      <c r="BK219" s="38"/>
      <c r="BL219" s="38" t="str">
        <f t="shared" si="88"/>
        <v>Q1</v>
      </c>
      <c r="BM219" s="59">
        <f t="shared" si="81"/>
        <v>45087</v>
      </c>
      <c r="BN219" s="51">
        <f t="shared" si="89"/>
        <v>43492</v>
      </c>
      <c r="BO219" s="54">
        <f t="shared" si="82"/>
        <v>1595</v>
      </c>
      <c r="BP219" s="4" t="s">
        <v>694</v>
      </c>
      <c r="BQ219" s="4" t="s">
        <v>118</v>
      </c>
      <c r="BR219" s="18" t="s">
        <v>677</v>
      </c>
      <c r="BS219" s="18" t="s">
        <v>2711</v>
      </c>
      <c r="BT219" s="54" t="str">
        <f t="shared" si="83"/>
        <v>DevOps</v>
      </c>
      <c r="BV219" s="4" t="s">
        <v>694</v>
      </c>
      <c r="BW219" s="4" t="s">
        <v>570</v>
      </c>
      <c r="CB219" s="18" t="s">
        <v>1482</v>
      </c>
      <c r="CC219" s="4" t="s">
        <v>570</v>
      </c>
      <c r="CD219" s="4" t="s">
        <v>181</v>
      </c>
      <c r="CE219" s="54" t="str">
        <v>QA Lead</v>
      </c>
      <c r="CG219" s="54" t="str">
        <f>IFERROR(_xlfn.XLOOKUP(Hiring!A219,Hiring!A219:A618,Hiring!B219:B618,,0),"Not Found")</f>
        <v>Lipsa Samal</v>
      </c>
    </row>
    <row r="220" spans="2:85">
      <c r="B220" s="100"/>
      <c r="F220" s="3">
        <v>3.7</v>
      </c>
      <c r="G220" s="52" t="str" cm="1">
        <f t="array" ref="G220">_xlfn.IFS(F220&gt;=4.5,"Excellent",AND(F220&gt;=3.5,F220&lt;=4.4),"Good",F220&lt;3.5,"Needs Improvement")</f>
        <v>Good</v>
      </c>
      <c r="M220" s="19">
        <v>197255</v>
      </c>
      <c r="N220" s="19">
        <v>188798</v>
      </c>
      <c r="O220" s="54" t="str">
        <f t="shared" si="85"/>
        <v>Yes</v>
      </c>
      <c r="Q220" s="19">
        <v>7.18</v>
      </c>
      <c r="R220" s="56" t="str">
        <f t="shared" si="69"/>
        <v>Yes</v>
      </c>
      <c r="W220" s="19" t="s">
        <v>677</v>
      </c>
      <c r="X220" s="54" t="str">
        <f>VLOOKUP(W220,Employees!$A$1:$B$601,2,FALSE)</f>
        <v>Saurav Sahu</v>
      </c>
      <c r="Z220" s="3" t="s">
        <v>696</v>
      </c>
      <c r="AA220" s="54" t="str">
        <f t="shared" si="70"/>
        <v>0219</v>
      </c>
      <c r="AC220" s="3" t="s">
        <v>16</v>
      </c>
      <c r="AD220" s="54" t="str">
        <f t="shared" si="71"/>
        <v>Devops</v>
      </c>
      <c r="AF220" s="3" t="s">
        <v>446</v>
      </c>
      <c r="AG220" s="3" t="s">
        <v>16</v>
      </c>
      <c r="AH220" s="3" t="s">
        <v>114</v>
      </c>
      <c r="AI220" s="54" t="str">
        <f t="shared" si="72"/>
        <v>Saurav Dhal|DevOps|UtkalSoft Technologies</v>
      </c>
      <c r="AK220" s="3" t="s">
        <v>446</v>
      </c>
      <c r="AL220" s="38" t="str">
        <f t="shared" si="73"/>
        <v>S.D.</v>
      </c>
      <c r="AN220" s="19" t="s">
        <v>5023</v>
      </c>
      <c r="AO220" s="54" t="str">
        <f t="shared" si="74"/>
        <v>Linkedln</v>
      </c>
      <c r="AQ220" s="3" t="s">
        <v>446</v>
      </c>
      <c r="AR220" s="52" t="str">
        <f t="shared" si="75"/>
        <v>NO</v>
      </c>
      <c r="AW220" s="54">
        <f ca="1">DATEDIF(BI220,TODAY(),"Y")</f>
        <v>3</v>
      </c>
      <c r="AX220" s="54"/>
      <c r="AY220" s="40" t="s">
        <v>796</v>
      </c>
      <c r="AZ220" s="44">
        <f t="shared" si="77"/>
        <v>45345</v>
      </c>
      <c r="BA220" s="54" t="str">
        <f t="shared" si="78"/>
        <v>2-2024</v>
      </c>
      <c r="BH220" s="3" t="s">
        <v>697</v>
      </c>
      <c r="BI220" s="51">
        <f t="shared" si="86"/>
        <v>45020</v>
      </c>
      <c r="BJ220" s="38">
        <f t="shared" ca="1" si="87"/>
        <v>879</v>
      </c>
      <c r="BK220" s="38"/>
      <c r="BL220" s="38" t="str">
        <f t="shared" si="88"/>
        <v>No</v>
      </c>
      <c r="BM220" s="59">
        <f t="shared" si="81"/>
        <v>45345</v>
      </c>
      <c r="BN220" s="51">
        <f t="shared" si="89"/>
        <v>45020</v>
      </c>
      <c r="BO220" s="54">
        <f t="shared" si="82"/>
        <v>325</v>
      </c>
      <c r="BP220" s="3" t="s">
        <v>696</v>
      </c>
      <c r="BQ220" s="3" t="s">
        <v>16</v>
      </c>
      <c r="BR220" s="19" t="s">
        <v>677</v>
      </c>
      <c r="BS220" s="19" t="s">
        <v>2713</v>
      </c>
      <c r="BT220" s="54" t="str">
        <f t="shared" si="83"/>
        <v>DevOps</v>
      </c>
      <c r="BV220" s="3" t="s">
        <v>696</v>
      </c>
      <c r="BW220" s="3" t="s">
        <v>446</v>
      </c>
      <c r="CB220" s="19" t="s">
        <v>5443</v>
      </c>
      <c r="CC220" s="3" t="s">
        <v>446</v>
      </c>
      <c r="CD220" s="3" t="s">
        <v>335</v>
      </c>
      <c r="CE220" s="54" t="str">
        <v>Not Found</v>
      </c>
      <c r="CG220" s="54" t="str">
        <f>IFERROR(_xlfn.XLOOKUP(Hiring!A220,Hiring!A220:A619,Hiring!B220:B619,,0),"Not Found")</f>
        <v>Smita Samal</v>
      </c>
    </row>
    <row r="221" spans="2:85">
      <c r="B221" s="100"/>
      <c r="F221" s="4">
        <v>3.4</v>
      </c>
      <c r="G221" s="52" t="str" cm="1">
        <f t="array" ref="G221">_xlfn.IFS(F221&gt;=4.5,"Excellent",AND(F221&gt;=3.5,F221&lt;=4.4),"Good",F221&lt;3.5,"Needs Improvement")</f>
        <v>Needs Improvement</v>
      </c>
      <c r="M221" s="18">
        <v>24536</v>
      </c>
      <c r="N221" s="18">
        <v>26259</v>
      </c>
      <c r="O221" s="54" t="str">
        <f t="shared" si="85"/>
        <v>Yes</v>
      </c>
      <c r="Q221" s="18">
        <v>10.44</v>
      </c>
      <c r="R221" s="56" t="str">
        <f t="shared" si="69"/>
        <v>Yes</v>
      </c>
      <c r="W221" s="18" t="s">
        <v>677</v>
      </c>
      <c r="X221" s="54" t="str">
        <f>VLOOKUP(W221,Employees!$A$1:$B$601,2,FALSE)</f>
        <v>Saurav Sahu</v>
      </c>
      <c r="Z221" s="4" t="s">
        <v>698</v>
      </c>
      <c r="AA221" s="54" t="str">
        <f t="shared" si="70"/>
        <v>0220</v>
      </c>
      <c r="AC221" s="4" t="s">
        <v>84</v>
      </c>
      <c r="AD221" s="54" t="str">
        <f t="shared" si="71"/>
        <v>Hr</v>
      </c>
      <c r="AF221" s="4" t="s">
        <v>699</v>
      </c>
      <c r="AG221" s="4" t="s">
        <v>84</v>
      </c>
      <c r="AH221" s="4" t="s">
        <v>26</v>
      </c>
      <c r="AI221" s="54" t="str">
        <f t="shared" si="72"/>
        <v>Ipsita Sahu|HR|InfySoft Bhubaneswar</v>
      </c>
      <c r="AK221" s="4" t="s">
        <v>699</v>
      </c>
      <c r="AL221" s="38" t="str">
        <f t="shared" si="73"/>
        <v>I.S.</v>
      </c>
      <c r="AN221" s="18" t="s">
        <v>5077</v>
      </c>
      <c r="AO221" s="54" t="b">
        <f t="shared" si="74"/>
        <v>0</v>
      </c>
      <c r="AQ221" s="4" t="s">
        <v>699</v>
      </c>
      <c r="AR221" s="52" t="str">
        <f t="shared" si="75"/>
        <v>NO</v>
      </c>
      <c r="AW221" s="54">
        <f ca="1">DATEDIF(BI221,TODAY(),"Y")</f>
        <v>7</v>
      </c>
      <c r="AX221" s="54"/>
      <c r="AY221" s="41" t="s">
        <v>1746</v>
      </c>
      <c r="AZ221" s="44">
        <f t="shared" si="77"/>
        <v>45113</v>
      </c>
      <c r="BA221" s="54" t="str">
        <f t="shared" si="78"/>
        <v>7-2023</v>
      </c>
      <c r="BH221" s="4" t="s">
        <v>700</v>
      </c>
      <c r="BI221" s="51">
        <f t="shared" si="86"/>
        <v>43352</v>
      </c>
      <c r="BJ221" s="38">
        <f t="shared" ca="1" si="87"/>
        <v>2070</v>
      </c>
      <c r="BK221" s="38"/>
      <c r="BL221" s="38" t="str">
        <f t="shared" si="88"/>
        <v>No</v>
      </c>
      <c r="BM221" s="59">
        <f t="shared" si="81"/>
        <v>45113</v>
      </c>
      <c r="BN221" s="51">
        <f t="shared" si="89"/>
        <v>43352</v>
      </c>
      <c r="BO221" s="54">
        <f t="shared" si="82"/>
        <v>1761</v>
      </c>
      <c r="BP221" s="4" t="s">
        <v>698</v>
      </c>
      <c r="BQ221" s="4" t="s">
        <v>84</v>
      </c>
      <c r="BR221" s="18" t="s">
        <v>677</v>
      </c>
      <c r="BS221" s="18" t="s">
        <v>2715</v>
      </c>
      <c r="BT221" s="54" t="str">
        <f t="shared" si="83"/>
        <v>DevOps</v>
      </c>
      <c r="BV221" s="4" t="s">
        <v>698</v>
      </c>
      <c r="BW221" s="4" t="s">
        <v>699</v>
      </c>
      <c r="CB221" s="18" t="s">
        <v>699</v>
      </c>
      <c r="CC221" s="4" t="s">
        <v>699</v>
      </c>
      <c r="CD221" s="4" t="s">
        <v>138</v>
      </c>
      <c r="CE221" s="54" t="str">
        <v>HR Executive</v>
      </c>
      <c r="CG221" s="54" t="str">
        <f>IFERROR(_xlfn.XLOOKUP(Hiring!A221,Hiring!A221:A620,Hiring!B221:B620,,0),"Not Found")</f>
        <v>Ipsita Sahu</v>
      </c>
    </row>
    <row r="222" spans="2:85">
      <c r="B222" s="100"/>
      <c r="F222" s="3">
        <v>2.2000000000000002</v>
      </c>
      <c r="G222" s="52" t="str" cm="1">
        <f t="array" ref="G222">_xlfn.IFS(F222&gt;=4.5,"Excellent",AND(F222&gt;=3.5,F222&lt;=4.4),"Good",F222&lt;3.5,"Needs Improvement")</f>
        <v>Needs Improvement</v>
      </c>
      <c r="M222" s="19">
        <v>159246</v>
      </c>
      <c r="N222" s="19">
        <v>147437</v>
      </c>
      <c r="O222" s="54" t="str">
        <f t="shared" si="85"/>
        <v>Yes</v>
      </c>
      <c r="Q222" s="19">
        <v>6.51</v>
      </c>
      <c r="R222" s="56" t="str">
        <f t="shared" si="69"/>
        <v>Yes</v>
      </c>
      <c r="W222" s="19" t="s">
        <v>677</v>
      </c>
      <c r="X222" s="54" t="str">
        <f>VLOOKUP(W222,Employees!$A$1:$B$601,2,FALSE)</f>
        <v>Saurav Sahu</v>
      </c>
      <c r="Z222" s="3" t="s">
        <v>701</v>
      </c>
      <c r="AA222" s="54" t="str">
        <f t="shared" si="70"/>
        <v>0221</v>
      </c>
      <c r="AC222" s="3" t="s">
        <v>16</v>
      </c>
      <c r="AD222" s="54" t="str">
        <f t="shared" si="71"/>
        <v>Devops</v>
      </c>
      <c r="AF222" s="3" t="s">
        <v>702</v>
      </c>
      <c r="AG222" s="3" t="s">
        <v>16</v>
      </c>
      <c r="AH222" s="3" t="s">
        <v>32</v>
      </c>
      <c r="AI222" s="54" t="str">
        <f t="shared" si="72"/>
        <v>Sangita Samal|DevOps|NilGiri Digitals</v>
      </c>
      <c r="AK222" s="3" t="s">
        <v>702</v>
      </c>
      <c r="AL222" s="38" t="str">
        <f t="shared" si="73"/>
        <v>S.S.</v>
      </c>
      <c r="AN222" s="19" t="s">
        <v>5023</v>
      </c>
      <c r="AO222" s="54" t="str">
        <f t="shared" si="74"/>
        <v>Linkedln</v>
      </c>
      <c r="AQ222" s="3" t="s">
        <v>702</v>
      </c>
      <c r="AR222" s="52" t="str">
        <f t="shared" si="75"/>
        <v>NO</v>
      </c>
      <c r="AW222" s="54">
        <f ca="1">DATEDIF(BI222,TODAY(),"Y")</f>
        <v>4</v>
      </c>
      <c r="AX222" s="54"/>
      <c r="AY222" s="40" t="s">
        <v>5092</v>
      </c>
      <c r="AZ222" s="44">
        <f t="shared" si="77"/>
        <v>45067</v>
      </c>
      <c r="BA222" s="54" t="str">
        <f t="shared" si="78"/>
        <v>5-2023</v>
      </c>
      <c r="BH222" s="3" t="s">
        <v>368</v>
      </c>
      <c r="BI222" s="51">
        <f t="shared" si="86"/>
        <v>44517</v>
      </c>
      <c r="BJ222" s="38">
        <f t="shared" ca="1" si="87"/>
        <v>1238</v>
      </c>
      <c r="BK222" s="38"/>
      <c r="BL222" s="38" t="str">
        <f t="shared" si="88"/>
        <v>No</v>
      </c>
      <c r="BM222" s="59">
        <f t="shared" si="81"/>
        <v>45067</v>
      </c>
      <c r="BN222" s="51">
        <f t="shared" si="89"/>
        <v>44517</v>
      </c>
      <c r="BO222" s="54">
        <f t="shared" si="82"/>
        <v>550</v>
      </c>
      <c r="BP222" s="3" t="s">
        <v>701</v>
      </c>
      <c r="BQ222" s="3" t="s">
        <v>16</v>
      </c>
      <c r="BR222" s="19" t="s">
        <v>677</v>
      </c>
      <c r="BS222" s="19" t="s">
        <v>2717</v>
      </c>
      <c r="BT222" s="54" t="str">
        <f t="shared" si="83"/>
        <v>DevOps</v>
      </c>
      <c r="BV222" s="3" t="s">
        <v>701</v>
      </c>
      <c r="BW222" s="3" t="s">
        <v>702</v>
      </c>
      <c r="CB222" s="19" t="s">
        <v>5446</v>
      </c>
      <c r="CC222" s="3" t="s">
        <v>702</v>
      </c>
      <c r="CD222" s="3" t="s">
        <v>335</v>
      </c>
      <c r="CE222" s="54" t="str">
        <v>Not Found</v>
      </c>
      <c r="CG222" s="54" t="str">
        <f>IFERROR(_xlfn.XLOOKUP(Hiring!A222,Hiring!A222:A621,Hiring!B222:B621,,0),"Not Found")</f>
        <v>Bikash Mohapatra</v>
      </c>
    </row>
    <row r="223" spans="2:85">
      <c r="B223" s="100"/>
      <c r="F223" s="4">
        <v>4.2</v>
      </c>
      <c r="G223" s="52" t="str" cm="1">
        <f t="array" ref="G223">_xlfn.IFS(F223&gt;=4.5,"Excellent",AND(F223&gt;=3.5,F223&lt;=4.4),"Good",F223&lt;3.5,"Needs Improvement")</f>
        <v>Good</v>
      </c>
      <c r="M223" s="18"/>
      <c r="N223" s="18">
        <v>57939</v>
      </c>
      <c r="O223" s="54" t="str">
        <f t="shared" si="85"/>
        <v>Yes</v>
      </c>
      <c r="Q223" s="18">
        <v>6.61</v>
      </c>
      <c r="R223" s="56" t="str">
        <f t="shared" si="69"/>
        <v>Yes</v>
      </c>
      <c r="W223" s="18" t="s">
        <v>677</v>
      </c>
      <c r="X223" s="54" t="str">
        <f>VLOOKUP(W223,Employees!$A$1:$B$601,2,FALSE)</f>
        <v>Saurav Sahu</v>
      </c>
      <c r="Z223" s="4" t="s">
        <v>703</v>
      </c>
      <c r="AA223" s="54" t="str">
        <f t="shared" si="70"/>
        <v>0222</v>
      </c>
      <c r="AC223" s="4" t="s">
        <v>89</v>
      </c>
      <c r="AD223" s="54" t="str">
        <f t="shared" si="71"/>
        <v>Data Science</v>
      </c>
      <c r="AF223" s="4" t="s">
        <v>561</v>
      </c>
      <c r="AG223" s="4" t="s">
        <v>89</v>
      </c>
      <c r="AH223" s="4" t="s">
        <v>70</v>
      </c>
      <c r="AI223" s="54" t="str">
        <f t="shared" si="72"/>
        <v>Soumya Tripathy|Data Science|OdishaCode Labs</v>
      </c>
      <c r="AK223" s="4" t="s">
        <v>561</v>
      </c>
      <c r="AL223" s="38" t="str">
        <f t="shared" si="73"/>
        <v>S.T.</v>
      </c>
      <c r="AN223" s="18" t="s">
        <v>5019</v>
      </c>
      <c r="AO223" s="54" t="str">
        <f t="shared" si="74"/>
        <v>Linkedln</v>
      </c>
      <c r="AQ223" s="4" t="s">
        <v>561</v>
      </c>
      <c r="AR223" s="52" t="str">
        <f t="shared" si="75"/>
        <v>NO</v>
      </c>
      <c r="AW223" s="54">
        <f ca="1">DATEDIF(BI223,TODAY(),"Y")</f>
        <v>3</v>
      </c>
      <c r="AX223" s="54"/>
      <c r="AY223" s="41" t="s">
        <v>5448</v>
      </c>
      <c r="AZ223" s="44">
        <f t="shared" si="77"/>
        <v>45289</v>
      </c>
      <c r="BA223" s="54" t="str">
        <f t="shared" si="78"/>
        <v>12-2023</v>
      </c>
      <c r="BH223" s="4" t="s">
        <v>704</v>
      </c>
      <c r="BI223" s="51">
        <f t="shared" si="86"/>
        <v>45118</v>
      </c>
      <c r="BJ223" s="38">
        <f t="shared" ca="1" si="87"/>
        <v>809</v>
      </c>
      <c r="BK223" s="38"/>
      <c r="BL223" s="38" t="str">
        <f t="shared" si="88"/>
        <v>No</v>
      </c>
      <c r="BM223" s="59">
        <f t="shared" si="81"/>
        <v>45289</v>
      </c>
      <c r="BN223" s="51">
        <f t="shared" si="89"/>
        <v>45118</v>
      </c>
      <c r="BO223" s="54">
        <f t="shared" si="82"/>
        <v>171</v>
      </c>
      <c r="BP223" s="4" t="s">
        <v>703</v>
      </c>
      <c r="BQ223" s="4" t="s">
        <v>89</v>
      </c>
      <c r="BR223" s="18" t="s">
        <v>677</v>
      </c>
      <c r="BS223" s="18" t="s">
        <v>2718</v>
      </c>
      <c r="BT223" s="54" t="str">
        <f t="shared" si="83"/>
        <v>DevOps</v>
      </c>
      <c r="BV223" s="4" t="s">
        <v>703</v>
      </c>
      <c r="BW223" s="4" t="s">
        <v>561</v>
      </c>
      <c r="CB223" s="18" t="s">
        <v>702</v>
      </c>
      <c r="CC223" s="4" t="s">
        <v>561</v>
      </c>
      <c r="CD223" s="4" t="s">
        <v>113</v>
      </c>
      <c r="CE223" s="54" t="str">
        <v>DevOps Engineer</v>
      </c>
      <c r="CG223" s="54" t="str">
        <f>IFERROR(_xlfn.XLOOKUP(Hiring!A223,Hiring!A223:A622,Hiring!B223:B622,,0),"Not Found")</f>
        <v>Sangita Samal</v>
      </c>
    </row>
    <row r="224" spans="2:85">
      <c r="B224" s="100"/>
      <c r="F224" s="3">
        <v>4.8</v>
      </c>
      <c r="G224" s="52" t="str" cm="1">
        <f t="array" ref="G224">_xlfn.IFS(F224&gt;=4.5,"Excellent",AND(F224&gt;=3.5,F224&lt;=4.4),"Good",F224&lt;3.5,"Needs Improvement")</f>
        <v>Excellent</v>
      </c>
      <c r="M224" s="19"/>
      <c r="N224" s="19">
        <v>36472</v>
      </c>
      <c r="O224" s="54" t="str">
        <f t="shared" si="85"/>
        <v>Yes</v>
      </c>
      <c r="Q224" s="19">
        <v>9.6300000000000008</v>
      </c>
      <c r="R224" s="56" t="str">
        <f t="shared" si="69"/>
        <v>Yes</v>
      </c>
      <c r="W224" s="19" t="s">
        <v>677</v>
      </c>
      <c r="X224" s="54" t="str">
        <f>VLOOKUP(W224,Employees!$A$1:$B$601,2,FALSE)</f>
        <v>Saurav Sahu</v>
      </c>
      <c r="Z224" s="3" t="s">
        <v>705</v>
      </c>
      <c r="AA224" s="54" t="str">
        <f t="shared" si="70"/>
        <v>0223</v>
      </c>
      <c r="AC224" s="3" t="s">
        <v>39</v>
      </c>
      <c r="AD224" s="54" t="str">
        <f t="shared" si="71"/>
        <v>Engineering</v>
      </c>
      <c r="AF224" s="3" t="s">
        <v>706</v>
      </c>
      <c r="AG224" s="3" t="s">
        <v>39</v>
      </c>
      <c r="AH224" s="3" t="s">
        <v>32</v>
      </c>
      <c r="AI224" s="54" t="str">
        <f t="shared" si="72"/>
        <v>Puspita Ratha|Engineering|NilGiri Digitals</v>
      </c>
      <c r="AK224" s="3" t="s">
        <v>706</v>
      </c>
      <c r="AL224" s="38" t="str">
        <f t="shared" si="73"/>
        <v>P.R.</v>
      </c>
      <c r="AN224" s="19" t="s">
        <v>5016</v>
      </c>
      <c r="AO224" s="54" t="b">
        <f t="shared" si="74"/>
        <v>0</v>
      </c>
      <c r="AQ224" s="3" t="s">
        <v>706</v>
      </c>
      <c r="AR224" s="52" t="str">
        <f t="shared" si="75"/>
        <v>NO</v>
      </c>
      <c r="AW224" s="54">
        <f ca="1">DATEDIF(BI224,TODAY(),"Y")</f>
        <v>6</v>
      </c>
      <c r="AX224" s="54"/>
      <c r="AY224" s="40" t="s">
        <v>5451</v>
      </c>
      <c r="AZ224" s="44">
        <f t="shared" si="77"/>
        <v>45598</v>
      </c>
      <c r="BA224" s="54" t="str">
        <f t="shared" si="78"/>
        <v>11-2024</v>
      </c>
      <c r="BH224" s="3" t="s">
        <v>707</v>
      </c>
      <c r="BI224" s="51">
        <f t="shared" si="86"/>
        <v>43865</v>
      </c>
      <c r="BJ224" s="38">
        <f t="shared" ca="1" si="87"/>
        <v>1704</v>
      </c>
      <c r="BK224" s="38"/>
      <c r="BL224" s="38" t="str">
        <f t="shared" si="88"/>
        <v>Q1</v>
      </c>
      <c r="BM224" s="59">
        <f t="shared" si="81"/>
        <v>45598</v>
      </c>
      <c r="BN224" s="51">
        <f t="shared" si="89"/>
        <v>43865</v>
      </c>
      <c r="BO224" s="54">
        <f t="shared" si="82"/>
        <v>1733</v>
      </c>
      <c r="BP224" s="3" t="s">
        <v>705</v>
      </c>
      <c r="BQ224" s="3" t="s">
        <v>39</v>
      </c>
      <c r="BR224" s="19" t="s">
        <v>677</v>
      </c>
      <c r="BS224" s="19" t="s">
        <v>2720</v>
      </c>
      <c r="BT224" s="54" t="str">
        <f t="shared" si="83"/>
        <v>DevOps</v>
      </c>
      <c r="BV224" s="3" t="s">
        <v>705</v>
      </c>
      <c r="BW224" s="3" t="s">
        <v>706</v>
      </c>
      <c r="CB224" s="19" t="s">
        <v>5450</v>
      </c>
      <c r="CC224" s="3" t="s">
        <v>706</v>
      </c>
      <c r="CD224" s="3" t="s">
        <v>242</v>
      </c>
      <c r="CE224" s="54" t="str">
        <v>Not Found</v>
      </c>
      <c r="CG224" s="54" t="str">
        <f>IFERROR(_xlfn.XLOOKUP(Hiring!A224,Hiring!A224:A623,Hiring!B224:B623,,0),"Not Found")</f>
        <v>Puspita Mishra</v>
      </c>
    </row>
    <row r="225" spans="2:85">
      <c r="B225" s="100"/>
      <c r="F225" s="4">
        <v>2.1</v>
      </c>
      <c r="G225" s="52" t="str" cm="1">
        <f t="array" ref="G225">_xlfn.IFS(F225&gt;=4.5,"Excellent",AND(F225&gt;=3.5,F225&lt;=4.4),"Good",F225&lt;3.5,"Needs Improvement")</f>
        <v>Needs Improvement</v>
      </c>
      <c r="M225" s="18">
        <v>54026</v>
      </c>
      <c r="N225" s="18">
        <v>59904</v>
      </c>
      <c r="O225" s="54" t="str">
        <f t="shared" si="85"/>
        <v>Yes</v>
      </c>
      <c r="Q225" s="18">
        <v>10.130000000000001</v>
      </c>
      <c r="R225" s="56" t="str">
        <f t="shared" si="69"/>
        <v>Yes</v>
      </c>
      <c r="W225" s="18" t="s">
        <v>677</v>
      </c>
      <c r="X225" s="54" t="str">
        <f>VLOOKUP(W225,Employees!$A$1:$B$601,2,FALSE)</f>
        <v>Saurav Sahu</v>
      </c>
      <c r="Z225" s="4" t="s">
        <v>708</v>
      </c>
      <c r="AA225" s="54" t="str">
        <f t="shared" si="70"/>
        <v>0224</v>
      </c>
      <c r="AC225" s="4" t="s">
        <v>89</v>
      </c>
      <c r="AD225" s="54" t="str">
        <f t="shared" si="71"/>
        <v>Data Science</v>
      </c>
      <c r="AF225" s="4" t="s">
        <v>354</v>
      </c>
      <c r="AG225" s="4" t="s">
        <v>89</v>
      </c>
      <c r="AH225" s="4" t="s">
        <v>46</v>
      </c>
      <c r="AI225" s="54" t="str">
        <f t="shared" si="72"/>
        <v>Abhishek Parida|Data Science|SambalpurNet</v>
      </c>
      <c r="AK225" s="4" t="s">
        <v>354</v>
      </c>
      <c r="AL225" s="38" t="str">
        <f t="shared" si="73"/>
        <v>A.P.</v>
      </c>
      <c r="AN225" s="18" t="s">
        <v>5077</v>
      </c>
      <c r="AO225" s="54" t="b">
        <f t="shared" si="74"/>
        <v>0</v>
      </c>
      <c r="AQ225" s="4" t="s">
        <v>354</v>
      </c>
      <c r="AR225" s="52" t="str">
        <f t="shared" si="75"/>
        <v>NO</v>
      </c>
      <c r="AW225" s="54">
        <f ca="1">DATEDIF(BI225,TODAY(),"Y")</f>
        <v>2</v>
      </c>
      <c r="AX225" s="54"/>
      <c r="AY225" s="41" t="s">
        <v>5453</v>
      </c>
      <c r="AZ225" s="44">
        <f t="shared" si="77"/>
        <v>45152</v>
      </c>
      <c r="BA225" s="54" t="str">
        <f t="shared" si="78"/>
        <v>8-2023</v>
      </c>
      <c r="BH225" s="4" t="s">
        <v>709</v>
      </c>
      <c r="BI225" s="51">
        <f t="shared" si="86"/>
        <v>45171</v>
      </c>
      <c r="BJ225" s="38">
        <f t="shared" ca="1" si="87"/>
        <v>770</v>
      </c>
      <c r="BK225" s="38"/>
      <c r="BL225" s="38" t="str">
        <f t="shared" si="88"/>
        <v>No</v>
      </c>
      <c r="BM225" s="59">
        <f t="shared" si="81"/>
        <v>45152</v>
      </c>
      <c r="BN225" s="51">
        <f t="shared" si="89"/>
        <v>45171</v>
      </c>
      <c r="BO225" s="54">
        <f t="shared" si="82"/>
        <v>19</v>
      </c>
      <c r="BP225" s="4" t="s">
        <v>708</v>
      </c>
      <c r="BQ225" s="4" t="s">
        <v>89</v>
      </c>
      <c r="BR225" s="18" t="s">
        <v>677</v>
      </c>
      <c r="BS225" s="18" t="s">
        <v>2721</v>
      </c>
      <c r="BT225" s="54" t="str">
        <f t="shared" si="83"/>
        <v>DevOps</v>
      </c>
      <c r="BV225" s="4" t="s">
        <v>708</v>
      </c>
      <c r="BW225" s="4" t="s">
        <v>354</v>
      </c>
      <c r="CB225" s="18" t="s">
        <v>628</v>
      </c>
      <c r="CC225" s="4" t="s">
        <v>354</v>
      </c>
      <c r="CD225" s="4" t="s">
        <v>221</v>
      </c>
      <c r="CE225" s="54" t="str">
        <v>HR Manager</v>
      </c>
      <c r="CG225" s="54" t="str">
        <f>IFERROR(_xlfn.XLOOKUP(Hiring!A225,Hiring!A225:A624,Hiring!B225:B624,,0),"Not Found")</f>
        <v>Subhasree Parida</v>
      </c>
    </row>
    <row r="226" spans="2:85">
      <c r="B226" s="100"/>
      <c r="F226" s="3">
        <v>1.7</v>
      </c>
      <c r="G226" s="52" t="str" cm="1">
        <f t="array" ref="G226">_xlfn.IFS(F226&gt;=4.5,"Excellent",AND(F226&gt;=3.5,F226&lt;=4.4),"Good",F226&lt;3.5,"Needs Improvement")</f>
        <v>Needs Improvement</v>
      </c>
      <c r="M226" s="19">
        <v>174794</v>
      </c>
      <c r="N226" s="19">
        <v>156756</v>
      </c>
      <c r="O226" s="54" t="str">
        <f t="shared" si="85"/>
        <v>Yes</v>
      </c>
      <c r="Q226" s="19">
        <v>8.0399999999999991</v>
      </c>
      <c r="R226" s="56" t="str">
        <f t="shared" si="69"/>
        <v>Yes</v>
      </c>
      <c r="W226" s="19" t="s">
        <v>677</v>
      </c>
      <c r="X226" s="54" t="str">
        <f>VLOOKUP(W226,Employees!$A$1:$B$601,2,FALSE)</f>
        <v>Saurav Sahu</v>
      </c>
      <c r="Z226" s="3" t="s">
        <v>710</v>
      </c>
      <c r="AA226" s="54" t="str">
        <f t="shared" si="70"/>
        <v>0225</v>
      </c>
      <c r="AC226" s="3" t="s">
        <v>24</v>
      </c>
      <c r="AD226" s="54" t="str">
        <f t="shared" si="71"/>
        <v>Design</v>
      </c>
      <c r="AF226" s="3" t="s">
        <v>37</v>
      </c>
      <c r="AG226" s="3" t="s">
        <v>24</v>
      </c>
      <c r="AH226" s="3" t="s">
        <v>53</v>
      </c>
      <c r="AI226" s="54" t="str">
        <f t="shared" si="72"/>
        <v>Bikash Jena|Design|BlueLotus IT</v>
      </c>
      <c r="AK226" s="3" t="s">
        <v>37</v>
      </c>
      <c r="AL226" s="38" t="str">
        <f t="shared" si="73"/>
        <v>B.J.</v>
      </c>
      <c r="AN226" s="19" t="s">
        <v>5077</v>
      </c>
      <c r="AO226" s="54" t="b">
        <f t="shared" si="74"/>
        <v>0</v>
      </c>
      <c r="AQ226" s="3" t="s">
        <v>37</v>
      </c>
      <c r="AR226" s="52" t="str">
        <f t="shared" si="75"/>
        <v>NO</v>
      </c>
      <c r="AW226" s="54">
        <f ca="1">DATEDIF(BI226,TODAY(),"Y")</f>
        <v>3</v>
      </c>
      <c r="AX226" s="54"/>
      <c r="AY226" s="40" t="s">
        <v>258</v>
      </c>
      <c r="AZ226" s="44">
        <f t="shared" si="77"/>
        <v>44955</v>
      </c>
      <c r="BA226" s="54" t="str">
        <f t="shared" si="78"/>
        <v>1-2023</v>
      </c>
      <c r="BH226" s="3" t="s">
        <v>711</v>
      </c>
      <c r="BI226" s="51">
        <f t="shared" si="86"/>
        <v>44932</v>
      </c>
      <c r="BJ226" s="38">
        <f t="shared" ca="1" si="87"/>
        <v>941</v>
      </c>
      <c r="BK226" s="38"/>
      <c r="BL226" s="38" t="str">
        <f t="shared" si="88"/>
        <v>Q1</v>
      </c>
      <c r="BM226" s="59">
        <f t="shared" si="81"/>
        <v>44955</v>
      </c>
      <c r="BN226" s="51">
        <f t="shared" si="89"/>
        <v>44932</v>
      </c>
      <c r="BO226" s="54">
        <f t="shared" si="82"/>
        <v>23</v>
      </c>
      <c r="BP226" s="3" t="s">
        <v>710</v>
      </c>
      <c r="BQ226" s="3" t="s">
        <v>24</v>
      </c>
      <c r="BR226" s="19" t="s">
        <v>677</v>
      </c>
      <c r="BS226" s="19" t="s">
        <v>2722</v>
      </c>
      <c r="BT226" s="54" t="str">
        <f t="shared" si="83"/>
        <v>DevOps</v>
      </c>
      <c r="BV226" s="3" t="s">
        <v>710</v>
      </c>
      <c r="BW226" s="3" t="s">
        <v>37</v>
      </c>
      <c r="CB226" s="19" t="s">
        <v>601</v>
      </c>
      <c r="CC226" s="3" t="s">
        <v>37</v>
      </c>
      <c r="CD226" s="3" t="s">
        <v>74</v>
      </c>
      <c r="CE226" s="54" t="str">
        <v>Product Manager</v>
      </c>
      <c r="CG226" s="54" t="str">
        <f>IFERROR(_xlfn.XLOOKUP(Hiring!A226,Hiring!A226:A625,Hiring!B226:B625,,0),"Not Found")</f>
        <v>Priyanka Mishra</v>
      </c>
    </row>
    <row r="227" spans="2:85">
      <c r="B227" s="100"/>
      <c r="F227" s="4">
        <v>1.8</v>
      </c>
      <c r="G227" s="52" t="str" cm="1">
        <f t="array" ref="G227">_xlfn.IFS(F227&gt;=4.5,"Excellent",AND(F227&gt;=3.5,F227&lt;=4.4),"Good",F227&lt;3.5,"Needs Improvement")</f>
        <v>Needs Improvement</v>
      </c>
      <c r="M227" s="18">
        <v>143449</v>
      </c>
      <c r="N227" s="18">
        <v>146574</v>
      </c>
      <c r="O227" s="54" t="str">
        <f t="shared" si="85"/>
        <v>Yes</v>
      </c>
      <c r="Q227" s="18">
        <v>10.25</v>
      </c>
      <c r="R227" s="56" t="str">
        <f t="shared" si="69"/>
        <v>Yes</v>
      </c>
      <c r="W227" s="18" t="s">
        <v>677</v>
      </c>
      <c r="X227" s="54" t="str">
        <f>VLOOKUP(W227,Employees!$A$1:$B$601,2,FALSE)</f>
        <v>Saurav Sahu</v>
      </c>
      <c r="Z227" s="4" t="s">
        <v>712</v>
      </c>
      <c r="AA227" s="54" t="str">
        <f t="shared" si="70"/>
        <v>0226</v>
      </c>
      <c r="AC227" s="4" t="s">
        <v>118</v>
      </c>
      <c r="AD227" s="54" t="str">
        <f t="shared" si="71"/>
        <v>Marketing</v>
      </c>
      <c r="AF227" s="4" t="s">
        <v>539</v>
      </c>
      <c r="AG227" s="4" t="s">
        <v>118</v>
      </c>
      <c r="AH227" s="4" t="s">
        <v>149</v>
      </c>
      <c r="AI227" s="54" t="str">
        <f t="shared" si="72"/>
        <v>Tapas Behura|Marketing|SilverByte Systems</v>
      </c>
      <c r="AK227" s="4" t="s">
        <v>539</v>
      </c>
      <c r="AL227" s="38" t="str">
        <f t="shared" si="73"/>
        <v>T.B.</v>
      </c>
      <c r="AN227" s="18" t="s">
        <v>5016</v>
      </c>
      <c r="AO227" s="54" t="b">
        <f t="shared" si="74"/>
        <v>0</v>
      </c>
      <c r="AQ227" s="4" t="s">
        <v>539</v>
      </c>
      <c r="AR227" s="52" t="str">
        <f t="shared" si="75"/>
        <v>NO</v>
      </c>
      <c r="AW227" s="54">
        <f ca="1">DATEDIF(BI227,TODAY(),"Y")</f>
        <v>5</v>
      </c>
      <c r="AX227" s="54"/>
      <c r="AY227" s="41" t="s">
        <v>5456</v>
      </c>
      <c r="AZ227" s="44">
        <f t="shared" si="77"/>
        <v>45331</v>
      </c>
      <c r="BA227" s="54" t="str">
        <f t="shared" si="78"/>
        <v>2-2024</v>
      </c>
      <c r="BH227" s="4" t="s">
        <v>713</v>
      </c>
      <c r="BI227" s="51">
        <f t="shared" si="86"/>
        <v>44400</v>
      </c>
      <c r="BJ227" s="38">
        <f t="shared" ca="1" si="87"/>
        <v>1321</v>
      </c>
      <c r="BK227" s="38"/>
      <c r="BL227" s="38" t="str">
        <f t="shared" si="88"/>
        <v>No</v>
      </c>
      <c r="BM227" s="59">
        <f t="shared" si="81"/>
        <v>45331</v>
      </c>
      <c r="BN227" s="51">
        <f t="shared" si="89"/>
        <v>44400</v>
      </c>
      <c r="BO227" s="54">
        <f t="shared" si="82"/>
        <v>931</v>
      </c>
      <c r="BP227" s="4" t="s">
        <v>712</v>
      </c>
      <c r="BQ227" s="4" t="s">
        <v>118</v>
      </c>
      <c r="BR227" s="18" t="s">
        <v>677</v>
      </c>
      <c r="BS227" s="18" t="s">
        <v>2723</v>
      </c>
      <c r="BT227" s="54" t="str">
        <f t="shared" si="83"/>
        <v>DevOps</v>
      </c>
      <c r="BV227" s="4" t="s">
        <v>712</v>
      </c>
      <c r="BW227" s="4" t="s">
        <v>539</v>
      </c>
      <c r="CB227" s="18" t="s">
        <v>772</v>
      </c>
      <c r="CC227" s="4" t="s">
        <v>539</v>
      </c>
      <c r="CD227" s="4" t="s">
        <v>181</v>
      </c>
      <c r="CE227" s="54" t="str">
        <v>Brand Manager</v>
      </c>
      <c r="CG227" s="54" t="str">
        <f>IFERROR(_xlfn.XLOOKUP(Hiring!A227,Hiring!A227:A626,Hiring!B227:B626,,0),"Not Found")</f>
        <v>Nirmal Tripathy</v>
      </c>
    </row>
    <row r="228" spans="2:85">
      <c r="B228" s="100"/>
      <c r="F228" s="3">
        <v>3.5</v>
      </c>
      <c r="G228" s="52" t="str" cm="1">
        <f t="array" ref="G228">_xlfn.IFS(F228&gt;=4.5,"Excellent",AND(F228&gt;=3.5,F228&lt;=4.4),"Good",F228&lt;3.5,"Needs Improvement")</f>
        <v>Good</v>
      </c>
      <c r="M228" s="19">
        <v>133679</v>
      </c>
      <c r="N228" s="19">
        <v>134598</v>
      </c>
      <c r="O228" s="54" t="str">
        <f t="shared" si="85"/>
        <v>Yes</v>
      </c>
      <c r="Q228" s="19">
        <v>7.5</v>
      </c>
      <c r="R228" s="56" t="str">
        <f t="shared" si="69"/>
        <v>Yes</v>
      </c>
      <c r="W228" s="19" t="s">
        <v>677</v>
      </c>
      <c r="X228" s="54" t="str">
        <f>VLOOKUP(W228,Employees!$A$1:$B$601,2,FALSE)</f>
        <v>Saurav Sahu</v>
      </c>
      <c r="Z228" s="3" t="s">
        <v>714</v>
      </c>
      <c r="AA228" s="54" t="str">
        <f t="shared" si="70"/>
        <v>0227</v>
      </c>
      <c r="AC228" s="3" t="s">
        <v>63</v>
      </c>
      <c r="AD228" s="54" t="str">
        <f t="shared" si="71"/>
        <v>Product</v>
      </c>
      <c r="AF228" s="3" t="s">
        <v>715</v>
      </c>
      <c r="AG228" s="3" t="s">
        <v>63</v>
      </c>
      <c r="AH228" s="3" t="s">
        <v>32</v>
      </c>
      <c r="AI228" s="54" t="str">
        <f t="shared" si="72"/>
        <v>Namita Tripathy|Product|NilGiri Digitals</v>
      </c>
      <c r="AK228" s="3" t="s">
        <v>715</v>
      </c>
      <c r="AL228" s="38" t="str">
        <f t="shared" si="73"/>
        <v>N.T.</v>
      </c>
      <c r="AN228" s="19" t="s">
        <v>5019</v>
      </c>
      <c r="AO228" s="54" t="str">
        <f t="shared" si="74"/>
        <v>Linkedln</v>
      </c>
      <c r="AQ228" s="3" t="s">
        <v>715</v>
      </c>
      <c r="AR228" s="52" t="str">
        <f t="shared" si="75"/>
        <v>NO</v>
      </c>
      <c r="AW228" s="54">
        <f ca="1">DATEDIF(BI228,TODAY(),"Y")</f>
        <v>2</v>
      </c>
      <c r="AX228" s="54"/>
      <c r="AY228" s="40" t="s">
        <v>2157</v>
      </c>
      <c r="AZ228" s="44">
        <f t="shared" si="77"/>
        <v>45538</v>
      </c>
      <c r="BA228" s="54" t="str">
        <f t="shared" si="78"/>
        <v>9-2024</v>
      </c>
      <c r="BH228" s="3" t="s">
        <v>716</v>
      </c>
      <c r="BI228" s="51">
        <f t="shared" si="86"/>
        <v>45230</v>
      </c>
      <c r="BJ228" s="38">
        <f t="shared" ca="1" si="87"/>
        <v>729</v>
      </c>
      <c r="BK228" s="38"/>
      <c r="BL228" s="38" t="str">
        <f t="shared" si="88"/>
        <v>No</v>
      </c>
      <c r="BM228" s="59">
        <f t="shared" si="81"/>
        <v>45538</v>
      </c>
      <c r="BN228" s="51">
        <f t="shared" si="89"/>
        <v>45230</v>
      </c>
      <c r="BO228" s="54">
        <f t="shared" si="82"/>
        <v>308</v>
      </c>
      <c r="BP228" s="3" t="s">
        <v>714</v>
      </c>
      <c r="BQ228" s="3" t="s">
        <v>63</v>
      </c>
      <c r="BR228" s="19" t="s">
        <v>677</v>
      </c>
      <c r="BS228" s="19" t="s">
        <v>2725</v>
      </c>
      <c r="BT228" s="54" t="str">
        <f t="shared" si="83"/>
        <v>DevOps</v>
      </c>
      <c r="BV228" s="3" t="s">
        <v>714</v>
      </c>
      <c r="BW228" s="3" t="s">
        <v>715</v>
      </c>
      <c r="CB228" s="19" t="s">
        <v>1108</v>
      </c>
      <c r="CC228" s="3" t="s">
        <v>715</v>
      </c>
      <c r="CD228" s="3" t="s">
        <v>64</v>
      </c>
      <c r="CE228" s="54" t="str">
        <v>UX Researcher</v>
      </c>
      <c r="CG228" s="54" t="str">
        <f>IFERROR(_xlfn.XLOOKUP(Hiring!A228,Hiring!A228:A627,Hiring!B228:B627,,0),"Not Found")</f>
        <v>Chinmaya Pattnaik</v>
      </c>
    </row>
    <row r="229" spans="2:85">
      <c r="B229" s="100"/>
      <c r="F229" s="4">
        <v>1.7</v>
      </c>
      <c r="G229" s="52" t="str" cm="1">
        <f t="array" ref="G229">_xlfn.IFS(F229&gt;=4.5,"Excellent",AND(F229&gt;=3.5,F229&lt;=4.4),"Good",F229&lt;3.5,"Needs Improvement")</f>
        <v>Needs Improvement</v>
      </c>
      <c r="M229" s="18"/>
      <c r="N229" s="18">
        <v>123503</v>
      </c>
      <c r="O229" s="54" t="str">
        <f t="shared" si="85"/>
        <v>Yes</v>
      </c>
      <c r="Q229" s="18"/>
      <c r="R229" s="56" t="str">
        <f t="shared" si="69"/>
        <v>No</v>
      </c>
      <c r="W229" s="18" t="s">
        <v>677</v>
      </c>
      <c r="X229" s="54" t="str">
        <f>VLOOKUP(W229,Employees!$A$1:$B$601,2,FALSE)</f>
        <v>Saurav Sahu</v>
      </c>
      <c r="Z229" s="4" t="s">
        <v>717</v>
      </c>
      <c r="AA229" s="54" t="str">
        <f t="shared" si="70"/>
        <v>0228</v>
      </c>
      <c r="AC229" s="4" t="s">
        <v>89</v>
      </c>
      <c r="AD229" s="54" t="str">
        <f t="shared" si="71"/>
        <v>Data Science</v>
      </c>
      <c r="AF229" s="4" t="s">
        <v>718</v>
      </c>
      <c r="AG229" s="4" t="s">
        <v>89</v>
      </c>
      <c r="AH229" s="4" t="s">
        <v>65</v>
      </c>
      <c r="AI229" s="54" t="str">
        <f t="shared" si="72"/>
        <v>Ranjit Nanda|Data Science|TributeAI</v>
      </c>
      <c r="AK229" s="4" t="s">
        <v>718</v>
      </c>
      <c r="AL229" s="38" t="str">
        <f t="shared" si="73"/>
        <v>R.N.</v>
      </c>
      <c r="AN229" s="18" t="s">
        <v>5023</v>
      </c>
      <c r="AO229" s="54" t="str">
        <f t="shared" si="74"/>
        <v>Linkedln</v>
      </c>
      <c r="AQ229" s="4" t="s">
        <v>718</v>
      </c>
      <c r="AR229" s="52" t="str">
        <f t="shared" si="75"/>
        <v>NO</v>
      </c>
      <c r="AW229" s="54">
        <f ca="1">DATEDIF(BI229,TODAY(),"Y")</f>
        <v>7</v>
      </c>
      <c r="AX229" s="54"/>
      <c r="AY229" s="41" t="s">
        <v>5459</v>
      </c>
      <c r="AZ229" s="44">
        <f t="shared" si="77"/>
        <v>45646</v>
      </c>
      <c r="BA229" s="54" t="str">
        <f t="shared" si="78"/>
        <v>12-2024</v>
      </c>
      <c r="BH229" s="4" t="s">
        <v>719</v>
      </c>
      <c r="BI229" s="51">
        <f t="shared" si="86"/>
        <v>43654</v>
      </c>
      <c r="BJ229" s="38">
        <f t="shared" ca="1" si="87"/>
        <v>1855</v>
      </c>
      <c r="BK229" s="38"/>
      <c r="BL229" s="38" t="str">
        <f t="shared" si="88"/>
        <v>No</v>
      </c>
      <c r="BM229" s="59">
        <f t="shared" si="81"/>
        <v>45646</v>
      </c>
      <c r="BN229" s="51">
        <f t="shared" si="89"/>
        <v>43654</v>
      </c>
      <c r="BO229" s="54">
        <f t="shared" si="82"/>
        <v>1992</v>
      </c>
      <c r="BP229" s="4" t="s">
        <v>717</v>
      </c>
      <c r="BQ229" s="4" t="s">
        <v>89</v>
      </c>
      <c r="BR229" s="18" t="s">
        <v>677</v>
      </c>
      <c r="BS229" s="18" t="s">
        <v>2727</v>
      </c>
      <c r="BT229" s="54" t="str">
        <f t="shared" si="83"/>
        <v>DevOps</v>
      </c>
      <c r="BV229" s="4" t="s">
        <v>717</v>
      </c>
      <c r="BW229" s="4" t="s">
        <v>718</v>
      </c>
      <c r="CB229" s="18" t="s">
        <v>5076</v>
      </c>
      <c r="CC229" s="4" t="s">
        <v>718</v>
      </c>
      <c r="CD229" s="4" t="s">
        <v>376</v>
      </c>
      <c r="CE229" s="54" t="str">
        <v>Not Found</v>
      </c>
      <c r="CG229" s="54" t="str">
        <f>IFERROR(_xlfn.XLOOKUP(Hiring!A229,Hiring!A229:A628,Hiring!B229:B628,,0),"Not Found")</f>
        <v>Ankita Mishra</v>
      </c>
    </row>
    <row r="230" spans="2:85">
      <c r="B230" s="100"/>
      <c r="F230" s="3">
        <v>2</v>
      </c>
      <c r="G230" s="52" t="str" cm="1">
        <f t="array" ref="G230">_xlfn.IFS(F230&gt;=4.5,"Excellent",AND(F230&gt;=3.5,F230&lt;=4.4),"Good",F230&lt;3.5,"Needs Improvement")</f>
        <v>Needs Improvement</v>
      </c>
      <c r="M230" s="19">
        <v>70051</v>
      </c>
      <c r="N230" s="19">
        <v>66053</v>
      </c>
      <c r="O230" s="54" t="str">
        <f t="shared" si="85"/>
        <v>Yes</v>
      </c>
      <c r="Q230" s="19">
        <v>7.66</v>
      </c>
      <c r="R230" s="56" t="str">
        <f t="shared" si="69"/>
        <v>Yes</v>
      </c>
      <c r="W230" s="19" t="s">
        <v>677</v>
      </c>
      <c r="X230" s="54" t="str">
        <f>VLOOKUP(W230,Employees!$A$1:$B$601,2,FALSE)</f>
        <v>Saurav Sahu</v>
      </c>
      <c r="Z230" s="3" t="s">
        <v>720</v>
      </c>
      <c r="AA230" s="54" t="str">
        <f t="shared" si="70"/>
        <v>0229</v>
      </c>
      <c r="AC230" s="3" t="s">
        <v>24</v>
      </c>
      <c r="AD230" s="54" t="str">
        <f t="shared" si="71"/>
        <v>Design</v>
      </c>
      <c r="AF230" s="3" t="s">
        <v>721</v>
      </c>
      <c r="AG230" s="3" t="s">
        <v>24</v>
      </c>
      <c r="AH230" s="3" t="s">
        <v>172</v>
      </c>
      <c r="AI230" s="54" t="str">
        <f t="shared" si="72"/>
        <v>Debasmita Behura|Design|TechNova Solutions</v>
      </c>
      <c r="AK230" s="3" t="s">
        <v>721</v>
      </c>
      <c r="AL230" s="38" t="str">
        <f t="shared" si="73"/>
        <v>D.B.</v>
      </c>
      <c r="AN230" s="19" t="s">
        <v>5077</v>
      </c>
      <c r="AO230" s="54" t="b">
        <f t="shared" si="74"/>
        <v>0</v>
      </c>
      <c r="AQ230" s="3" t="s">
        <v>721</v>
      </c>
      <c r="AR230" s="52" t="str">
        <f t="shared" si="75"/>
        <v>NO</v>
      </c>
      <c r="AW230" s="54">
        <f ca="1">DATEDIF(BI230,TODAY(),"Y")</f>
        <v>3</v>
      </c>
      <c r="AX230" s="54"/>
      <c r="AY230" s="40" t="s">
        <v>2131</v>
      </c>
      <c r="AZ230" s="44">
        <f t="shared" si="77"/>
        <v>45220</v>
      </c>
      <c r="BA230" s="54" t="str">
        <f t="shared" si="78"/>
        <v>10-2023</v>
      </c>
      <c r="BH230" s="3" t="s">
        <v>722</v>
      </c>
      <c r="BI230" s="51">
        <f t="shared" si="86"/>
        <v>45097</v>
      </c>
      <c r="BJ230" s="38">
        <f t="shared" ca="1" si="87"/>
        <v>824</v>
      </c>
      <c r="BK230" s="38"/>
      <c r="BL230" s="38" t="str">
        <f t="shared" si="88"/>
        <v>No</v>
      </c>
      <c r="BM230" s="59">
        <f t="shared" si="81"/>
        <v>45220</v>
      </c>
      <c r="BN230" s="51">
        <f t="shared" si="89"/>
        <v>45097</v>
      </c>
      <c r="BO230" s="54">
        <f t="shared" si="82"/>
        <v>123</v>
      </c>
      <c r="BP230" s="3" t="s">
        <v>720</v>
      </c>
      <c r="BQ230" s="3" t="s">
        <v>24</v>
      </c>
      <c r="BR230" s="19" t="s">
        <v>677</v>
      </c>
      <c r="BS230" s="19" t="s">
        <v>2728</v>
      </c>
      <c r="BT230" s="54" t="str">
        <f t="shared" si="83"/>
        <v>DevOps</v>
      </c>
      <c r="BV230" s="3" t="s">
        <v>720</v>
      </c>
      <c r="BW230" s="3" t="s">
        <v>721</v>
      </c>
      <c r="CB230" s="19" t="s">
        <v>545</v>
      </c>
      <c r="CC230" s="3" t="s">
        <v>721</v>
      </c>
      <c r="CD230" s="3" t="s">
        <v>25</v>
      </c>
      <c r="CE230" s="54" t="str">
        <v>CFO</v>
      </c>
      <c r="CG230" s="54" t="str">
        <f>IFERROR(_xlfn.XLOOKUP(Hiring!A230,Hiring!A230:A629,Hiring!B230:B629,,0),"Not Found")</f>
        <v>Sudhansu Prusty</v>
      </c>
    </row>
    <row r="231" spans="2:85">
      <c r="B231" s="100"/>
      <c r="F231" s="4">
        <v>3.7</v>
      </c>
      <c r="G231" s="52" t="str" cm="1">
        <f t="array" ref="G231">_xlfn.IFS(F231&gt;=4.5,"Excellent",AND(F231&gt;=3.5,F231&lt;=4.4),"Good",F231&lt;3.5,"Needs Improvement")</f>
        <v>Good</v>
      </c>
      <c r="M231" s="18">
        <v>25962</v>
      </c>
      <c r="N231" s="18">
        <v>29500</v>
      </c>
      <c r="O231" s="54" t="str">
        <f t="shared" si="85"/>
        <v>Yes</v>
      </c>
      <c r="Q231" s="18">
        <v>6.63</v>
      </c>
      <c r="R231" s="56" t="str">
        <f t="shared" si="69"/>
        <v>Yes</v>
      </c>
      <c r="W231" s="18" t="s">
        <v>677</v>
      </c>
      <c r="X231" s="54" t="str">
        <f>VLOOKUP(W231,Employees!$A$1:$B$601,2,FALSE)</f>
        <v>Saurav Sahu</v>
      </c>
      <c r="Z231" s="4" t="s">
        <v>723</v>
      </c>
      <c r="AA231" s="54" t="str">
        <f t="shared" si="70"/>
        <v>0230</v>
      </c>
      <c r="AC231" s="4" t="s">
        <v>63</v>
      </c>
      <c r="AD231" s="54" t="str">
        <f t="shared" si="71"/>
        <v>Product</v>
      </c>
      <c r="AF231" s="4" t="s">
        <v>724</v>
      </c>
      <c r="AG231" s="4" t="s">
        <v>63</v>
      </c>
      <c r="AH231" s="4" t="s">
        <v>65</v>
      </c>
      <c r="AI231" s="54" t="str">
        <f t="shared" si="72"/>
        <v>Rajan Choudhury|Product|TributeAI</v>
      </c>
      <c r="AK231" s="4" t="s">
        <v>724</v>
      </c>
      <c r="AL231" s="38" t="str">
        <f t="shared" si="73"/>
        <v>R.C.</v>
      </c>
      <c r="AN231" s="18" t="s">
        <v>5016</v>
      </c>
      <c r="AO231" s="54" t="b">
        <f t="shared" si="74"/>
        <v>0</v>
      </c>
      <c r="AQ231" s="4" t="s">
        <v>724</v>
      </c>
      <c r="AR231" s="52" t="str">
        <f t="shared" si="75"/>
        <v>NO</v>
      </c>
      <c r="AW231" s="54">
        <f ca="1">DATEDIF(BI231,TODAY(),"Y")</f>
        <v>3</v>
      </c>
      <c r="AX231" s="54"/>
      <c r="AY231" s="41" t="s">
        <v>5463</v>
      </c>
      <c r="AZ231" s="44">
        <f t="shared" si="77"/>
        <v>45501</v>
      </c>
      <c r="BA231" s="54" t="str">
        <f t="shared" si="78"/>
        <v>7-2024</v>
      </c>
      <c r="BH231" s="4" t="s">
        <v>725</v>
      </c>
      <c r="BI231" s="51">
        <f t="shared" si="86"/>
        <v>45061</v>
      </c>
      <c r="BJ231" s="38">
        <f t="shared" ca="1" si="87"/>
        <v>850</v>
      </c>
      <c r="BK231" s="38"/>
      <c r="BL231" s="38" t="str">
        <f t="shared" si="88"/>
        <v>No</v>
      </c>
      <c r="BM231" s="59">
        <f t="shared" si="81"/>
        <v>45501</v>
      </c>
      <c r="BN231" s="51">
        <f t="shared" si="89"/>
        <v>45061</v>
      </c>
      <c r="BO231" s="54">
        <f t="shared" si="82"/>
        <v>440</v>
      </c>
      <c r="BP231" s="4" t="s">
        <v>723</v>
      </c>
      <c r="BQ231" s="4" t="s">
        <v>63</v>
      </c>
      <c r="BR231" s="18" t="s">
        <v>677</v>
      </c>
      <c r="BS231" s="18" t="s">
        <v>2730</v>
      </c>
      <c r="BT231" s="54" t="str">
        <f t="shared" si="83"/>
        <v>DevOps</v>
      </c>
      <c r="BV231" s="4" t="s">
        <v>723</v>
      </c>
      <c r="BW231" s="4" t="s">
        <v>724</v>
      </c>
      <c r="CB231" s="18" t="s">
        <v>5462</v>
      </c>
      <c r="CC231" s="4" t="s">
        <v>724</v>
      </c>
      <c r="CD231" s="4" t="s">
        <v>145</v>
      </c>
      <c r="CE231" s="54" t="str">
        <v>Not Found</v>
      </c>
      <c r="CG231" s="54" t="str">
        <f>IFERROR(_xlfn.XLOOKUP(Hiring!A231,Hiring!A231:A630,Hiring!B231:B630,,0),"Not Found")</f>
        <v>Rajan Biswal</v>
      </c>
    </row>
    <row r="232" spans="2:85">
      <c r="B232" s="100"/>
      <c r="F232" s="3">
        <v>2.9</v>
      </c>
      <c r="G232" s="52" t="str" cm="1">
        <f t="array" ref="G232">_xlfn.IFS(F232&gt;=4.5,"Excellent",AND(F232&gt;=3.5,F232&lt;=4.4),"Good",F232&lt;3.5,"Needs Improvement")</f>
        <v>Needs Improvement</v>
      </c>
      <c r="M232" s="19">
        <v>85540</v>
      </c>
      <c r="N232" s="19">
        <v>83617</v>
      </c>
      <c r="O232" s="54" t="str">
        <f t="shared" si="85"/>
        <v>Yes</v>
      </c>
      <c r="Q232" s="19">
        <v>6.75</v>
      </c>
      <c r="R232" s="56" t="str">
        <f t="shared" si="69"/>
        <v>Yes</v>
      </c>
      <c r="W232" s="19" t="s">
        <v>677</v>
      </c>
      <c r="X232" s="54" t="str">
        <f>VLOOKUP(W232,Employees!$A$1:$B$601,2,FALSE)</f>
        <v>Saurav Sahu</v>
      </c>
      <c r="Z232" s="3" t="s">
        <v>726</v>
      </c>
      <c r="AA232" s="54" t="str">
        <f t="shared" si="70"/>
        <v>0231</v>
      </c>
      <c r="AC232" s="3" t="s">
        <v>39</v>
      </c>
      <c r="AD232" s="54" t="str">
        <f t="shared" si="71"/>
        <v>Engineering</v>
      </c>
      <c r="AF232" s="3" t="s">
        <v>727</v>
      </c>
      <c r="AG232" s="3" t="s">
        <v>39</v>
      </c>
      <c r="AH232" s="3" t="s">
        <v>46</v>
      </c>
      <c r="AI232" s="54" t="str">
        <f t="shared" si="72"/>
        <v>Amlan Biswal|Engineering|SambalpurNet</v>
      </c>
      <c r="AK232" s="3" t="s">
        <v>727</v>
      </c>
      <c r="AL232" s="38" t="str">
        <f t="shared" si="73"/>
        <v>A.B.</v>
      </c>
      <c r="AN232" s="19" t="s">
        <v>5031</v>
      </c>
      <c r="AO232" s="54" t="b">
        <f t="shared" si="74"/>
        <v>0</v>
      </c>
      <c r="AQ232" s="3" t="s">
        <v>727</v>
      </c>
      <c r="AR232" s="52" t="str">
        <f t="shared" si="75"/>
        <v>NO</v>
      </c>
      <c r="AW232" s="54">
        <f ca="1">DATEDIF(BI232,TODAY(),"Y")</f>
        <v>3</v>
      </c>
      <c r="AX232" s="54"/>
      <c r="AY232" s="40" t="s">
        <v>988</v>
      </c>
      <c r="AZ232" s="44">
        <f t="shared" si="77"/>
        <v>44964</v>
      </c>
      <c r="BA232" s="54" t="str">
        <f t="shared" si="78"/>
        <v>2-2023</v>
      </c>
      <c r="BH232" s="3" t="s">
        <v>728</v>
      </c>
      <c r="BI232" s="51">
        <f t="shared" si="86"/>
        <v>44805</v>
      </c>
      <c r="BJ232" s="38">
        <f t="shared" ca="1" si="87"/>
        <v>1032</v>
      </c>
      <c r="BK232" s="38"/>
      <c r="BL232" s="38" t="str">
        <f t="shared" si="88"/>
        <v>No</v>
      </c>
      <c r="BM232" s="59">
        <f t="shared" si="81"/>
        <v>44964</v>
      </c>
      <c r="BN232" s="51">
        <f t="shared" si="89"/>
        <v>44805</v>
      </c>
      <c r="BO232" s="54">
        <f t="shared" si="82"/>
        <v>159</v>
      </c>
      <c r="BP232" s="3" t="s">
        <v>726</v>
      </c>
      <c r="BQ232" s="3" t="s">
        <v>39</v>
      </c>
      <c r="BR232" s="19" t="s">
        <v>677</v>
      </c>
      <c r="BS232" s="19" t="s">
        <v>2731</v>
      </c>
      <c r="BT232" s="54" t="str">
        <f t="shared" si="83"/>
        <v>DevOps</v>
      </c>
      <c r="BV232" s="3" t="s">
        <v>726</v>
      </c>
      <c r="BW232" s="3" t="s">
        <v>727</v>
      </c>
      <c r="CB232" s="19" t="s">
        <v>958</v>
      </c>
      <c r="CC232" s="3" t="s">
        <v>727</v>
      </c>
      <c r="CD232" s="3" t="s">
        <v>242</v>
      </c>
      <c r="CE232" s="54" t="str">
        <v>Senior Developer</v>
      </c>
      <c r="CG232" s="54" t="str">
        <f>IFERROR(_xlfn.XLOOKUP(Hiring!A232,Hiring!A232:A631,Hiring!B232:B631,,0),"Not Found")</f>
        <v>Bikash Parida</v>
      </c>
    </row>
    <row r="233" spans="2:85">
      <c r="B233" s="100"/>
      <c r="F233" s="4">
        <v>1.5</v>
      </c>
      <c r="G233" s="52" t="str" cm="1">
        <f t="array" ref="G233">_xlfn.IFS(F233&gt;=4.5,"Excellent",AND(F233&gt;=3.5,F233&lt;=4.4),"Good",F233&lt;3.5,"Needs Improvement")</f>
        <v>Needs Improvement</v>
      </c>
      <c r="M233" s="18">
        <v>159136</v>
      </c>
      <c r="N233" s="18">
        <v>138417</v>
      </c>
      <c r="O233" s="54" t="str">
        <f t="shared" si="85"/>
        <v>Yes</v>
      </c>
      <c r="Q233" s="18">
        <v>10.85</v>
      </c>
      <c r="R233" s="56" t="str">
        <f t="shared" si="69"/>
        <v>Yes</v>
      </c>
      <c r="W233" s="18" t="s">
        <v>677</v>
      </c>
      <c r="X233" s="54" t="str">
        <f>VLOOKUP(W233,Employees!$A$1:$B$601,2,FALSE)</f>
        <v>Saurav Sahu</v>
      </c>
      <c r="Z233" s="4" t="s">
        <v>729</v>
      </c>
      <c r="AA233" s="54" t="str">
        <f t="shared" si="70"/>
        <v>0232</v>
      </c>
      <c r="AC233" s="4" t="s">
        <v>133</v>
      </c>
      <c r="AD233" s="54" t="str">
        <f t="shared" si="71"/>
        <v>Qa</v>
      </c>
      <c r="AF233" s="4" t="s">
        <v>730</v>
      </c>
      <c r="AG233" s="4" t="s">
        <v>133</v>
      </c>
      <c r="AH233" s="4" t="s">
        <v>65</v>
      </c>
      <c r="AI233" s="54" t="str">
        <f t="shared" si="72"/>
        <v>Satyajit Ratha|QA|TributeAI</v>
      </c>
      <c r="AK233" s="4" t="s">
        <v>730</v>
      </c>
      <c r="AL233" s="38" t="str">
        <f t="shared" si="73"/>
        <v>S.R.</v>
      </c>
      <c r="AN233" s="18" t="s">
        <v>5019</v>
      </c>
      <c r="AO233" s="54" t="str">
        <f t="shared" si="74"/>
        <v>Linkedln</v>
      </c>
      <c r="AQ233" s="4" t="s">
        <v>730</v>
      </c>
      <c r="AR233" s="52" t="str">
        <f t="shared" si="75"/>
        <v>NO</v>
      </c>
      <c r="AW233" s="54">
        <f ca="1">DATEDIF(BI233,TODAY(),"Y")</f>
        <v>8</v>
      </c>
      <c r="AX233" s="54"/>
      <c r="AY233" s="41" t="s">
        <v>5466</v>
      </c>
      <c r="AZ233" s="44">
        <f t="shared" si="77"/>
        <v>45308</v>
      </c>
      <c r="BA233" s="54" t="str">
        <f t="shared" si="78"/>
        <v>1-2024</v>
      </c>
      <c r="BH233" s="4" t="s">
        <v>731</v>
      </c>
      <c r="BI233" s="51">
        <f t="shared" si="86"/>
        <v>43158</v>
      </c>
      <c r="BJ233" s="38">
        <f t="shared" ca="1" si="87"/>
        <v>2209</v>
      </c>
      <c r="BK233" s="38"/>
      <c r="BL233" s="38" t="str">
        <f t="shared" si="88"/>
        <v>Q1</v>
      </c>
      <c r="BM233" s="59">
        <f t="shared" si="81"/>
        <v>45308</v>
      </c>
      <c r="BN233" s="51">
        <f t="shared" si="89"/>
        <v>43158</v>
      </c>
      <c r="BO233" s="54">
        <f t="shared" si="82"/>
        <v>2150</v>
      </c>
      <c r="BP233" s="4" t="s">
        <v>729</v>
      </c>
      <c r="BQ233" s="4" t="s">
        <v>133</v>
      </c>
      <c r="BR233" s="18" t="s">
        <v>677</v>
      </c>
      <c r="BS233" s="18" t="s">
        <v>2733</v>
      </c>
      <c r="BT233" s="54" t="str">
        <f t="shared" si="83"/>
        <v>DevOps</v>
      </c>
      <c r="BV233" s="4" t="s">
        <v>729</v>
      </c>
      <c r="BW233" s="4" t="s">
        <v>730</v>
      </c>
      <c r="CB233" s="18" t="s">
        <v>545</v>
      </c>
      <c r="CC233" s="4" t="s">
        <v>730</v>
      </c>
      <c r="CD233" s="4" t="s">
        <v>153</v>
      </c>
      <c r="CE233" s="54" t="str">
        <v>CFO</v>
      </c>
      <c r="CG233" s="54" t="str">
        <f>IFERROR(_xlfn.XLOOKUP(Hiring!A233,Hiring!A233:A632,Hiring!B233:B632,,0),"Not Found")</f>
        <v>Sudhansu Prusty</v>
      </c>
    </row>
    <row r="234" spans="2:85">
      <c r="B234" s="100"/>
      <c r="F234" s="3">
        <v>4</v>
      </c>
      <c r="G234" s="52" t="str" cm="1">
        <f t="array" ref="G234">_xlfn.IFS(F234&gt;=4.5,"Excellent",AND(F234&gt;=3.5,F234&lt;=4.4),"Good",F234&lt;3.5,"Needs Improvement")</f>
        <v>Good</v>
      </c>
      <c r="M234" s="19">
        <v>134367</v>
      </c>
      <c r="N234" s="19">
        <v>141978</v>
      </c>
      <c r="O234" s="54" t="str">
        <f t="shared" si="85"/>
        <v>Yes</v>
      </c>
      <c r="Q234" s="19">
        <v>9.4600000000000009</v>
      </c>
      <c r="R234" s="56" t="str">
        <f t="shared" si="69"/>
        <v>Yes</v>
      </c>
      <c r="W234" s="19" t="s">
        <v>677</v>
      </c>
      <c r="X234" s="54" t="str">
        <f>VLOOKUP(W234,Employees!$A$1:$B$601,2,FALSE)</f>
        <v>Saurav Sahu</v>
      </c>
      <c r="Z234" s="3" t="s">
        <v>732</v>
      </c>
      <c r="AA234" s="54" t="str">
        <f t="shared" si="70"/>
        <v>0233</v>
      </c>
      <c r="AC234" s="3" t="s">
        <v>16</v>
      </c>
      <c r="AD234" s="54" t="str">
        <f t="shared" si="71"/>
        <v>Devops</v>
      </c>
      <c r="AF234" s="3" t="s">
        <v>733</v>
      </c>
      <c r="AG234" s="3" t="s">
        <v>16</v>
      </c>
      <c r="AH234" s="3" t="s">
        <v>214</v>
      </c>
      <c r="AI234" s="54" t="str">
        <f t="shared" si="72"/>
        <v>Chinmaya Sahu|DevOps|ZeroOneSystems</v>
      </c>
      <c r="AK234" s="3" t="s">
        <v>733</v>
      </c>
      <c r="AL234" s="38" t="str">
        <f t="shared" si="73"/>
        <v>C.S.</v>
      </c>
      <c r="AN234" s="19" t="s">
        <v>5016</v>
      </c>
      <c r="AO234" s="54" t="b">
        <f t="shared" si="74"/>
        <v>0</v>
      </c>
      <c r="AQ234" s="3" t="s">
        <v>733</v>
      </c>
      <c r="AR234" s="52" t="str">
        <f t="shared" si="75"/>
        <v>NO</v>
      </c>
      <c r="AW234" s="54">
        <f ca="1">DATEDIF(BI234,TODAY(),"Y")</f>
        <v>4</v>
      </c>
      <c r="AX234" s="54"/>
      <c r="AY234" s="40" t="s">
        <v>1741</v>
      </c>
      <c r="AZ234" s="44">
        <f t="shared" si="77"/>
        <v>45029</v>
      </c>
      <c r="BA234" s="54" t="str">
        <f t="shared" si="78"/>
        <v>4-2023</v>
      </c>
      <c r="BH234" s="3" t="s">
        <v>734</v>
      </c>
      <c r="BI234" s="51">
        <f t="shared" si="86"/>
        <v>44715</v>
      </c>
      <c r="BJ234" s="38">
        <f t="shared" ca="1" si="87"/>
        <v>1096</v>
      </c>
      <c r="BK234" s="38"/>
      <c r="BL234" s="38" t="str">
        <f t="shared" si="88"/>
        <v>No</v>
      </c>
      <c r="BM234" s="59">
        <f t="shared" si="81"/>
        <v>45029</v>
      </c>
      <c r="BN234" s="51">
        <f t="shared" si="89"/>
        <v>44715</v>
      </c>
      <c r="BO234" s="54">
        <f t="shared" si="82"/>
        <v>314</v>
      </c>
      <c r="BP234" s="3" t="s">
        <v>732</v>
      </c>
      <c r="BQ234" s="3" t="s">
        <v>16</v>
      </c>
      <c r="BR234" s="19" t="s">
        <v>677</v>
      </c>
      <c r="BS234" s="19" t="s">
        <v>2735</v>
      </c>
      <c r="BT234" s="54" t="str">
        <f t="shared" si="83"/>
        <v>DevOps</v>
      </c>
      <c r="BV234" s="3" t="s">
        <v>732</v>
      </c>
      <c r="BW234" s="3" t="s">
        <v>733</v>
      </c>
      <c r="CB234" s="19" t="s">
        <v>457</v>
      </c>
      <c r="CC234" s="3" t="s">
        <v>733</v>
      </c>
      <c r="CD234" s="3" t="s">
        <v>123</v>
      </c>
      <c r="CE234" s="54" t="str">
        <v>UX Researcher</v>
      </c>
      <c r="CG234" s="54" t="str">
        <f>IFERROR(_xlfn.XLOOKUP(Hiring!A234,Hiring!A234:A633,Hiring!B234:B633,,0),"Not Found")</f>
        <v>Ipsita Pattnaik</v>
      </c>
    </row>
    <row r="235" spans="2:85">
      <c r="B235" s="100"/>
      <c r="F235" s="4">
        <v>4.5</v>
      </c>
      <c r="G235" s="52" t="str" cm="1">
        <f t="array" ref="G235">_xlfn.IFS(F235&gt;=4.5,"Excellent",AND(F235&gt;=3.5,F235&lt;=4.4),"Good",F235&lt;3.5,"Needs Improvement")</f>
        <v>Excellent</v>
      </c>
      <c r="M235" s="18"/>
      <c r="N235" s="18">
        <v>51114</v>
      </c>
      <c r="O235" s="54" t="str">
        <f t="shared" si="85"/>
        <v>Yes</v>
      </c>
      <c r="Q235" s="18">
        <v>8.09</v>
      </c>
      <c r="R235" s="56" t="str">
        <f t="shared" si="69"/>
        <v>Yes</v>
      </c>
      <c r="W235" s="18" t="s">
        <v>677</v>
      </c>
      <c r="X235" s="54" t="str">
        <f>VLOOKUP(W235,Employees!$A$1:$B$601,2,FALSE)</f>
        <v>Saurav Sahu</v>
      </c>
      <c r="Z235" s="4" t="s">
        <v>735</v>
      </c>
      <c r="AA235" s="54" t="str">
        <f t="shared" si="70"/>
        <v>0234</v>
      </c>
      <c r="AC235" s="4" t="s">
        <v>24</v>
      </c>
      <c r="AD235" s="54" t="str">
        <f t="shared" si="71"/>
        <v>Design</v>
      </c>
      <c r="AF235" s="4" t="s">
        <v>736</v>
      </c>
      <c r="AG235" s="4" t="s">
        <v>24</v>
      </c>
      <c r="AH235" s="4" t="s">
        <v>65</v>
      </c>
      <c r="AI235" s="54" t="str">
        <f t="shared" si="72"/>
        <v>Soumya Pattnaik|Design|TributeAI</v>
      </c>
      <c r="AK235" s="4" t="s">
        <v>736</v>
      </c>
      <c r="AL235" s="38" t="str">
        <f t="shared" si="73"/>
        <v>S.P.</v>
      </c>
      <c r="AN235" s="18" t="s">
        <v>5031</v>
      </c>
      <c r="AO235" s="54" t="b">
        <f t="shared" si="74"/>
        <v>0</v>
      </c>
      <c r="AQ235" s="4" t="s">
        <v>736</v>
      </c>
      <c r="AR235" s="52" t="str">
        <f t="shared" si="75"/>
        <v>NO</v>
      </c>
      <c r="AW235" s="54">
        <f ca="1">DATEDIF(BI235,TODAY(),"Y")</f>
        <v>6</v>
      </c>
      <c r="AX235" s="54"/>
      <c r="AY235" s="41" t="s">
        <v>1732</v>
      </c>
      <c r="AZ235" s="44">
        <f t="shared" si="77"/>
        <v>45638</v>
      </c>
      <c r="BA235" s="54" t="str">
        <f t="shared" si="78"/>
        <v>12-2024</v>
      </c>
      <c r="BH235" s="4" t="s">
        <v>737</v>
      </c>
      <c r="BI235" s="51">
        <f t="shared" si="86"/>
        <v>43838</v>
      </c>
      <c r="BJ235" s="38">
        <f t="shared" ca="1" si="87"/>
        <v>1723</v>
      </c>
      <c r="BK235" s="38"/>
      <c r="BL235" s="38" t="str">
        <f t="shared" si="88"/>
        <v>Q1</v>
      </c>
      <c r="BM235" s="59">
        <f t="shared" si="81"/>
        <v>45638</v>
      </c>
      <c r="BN235" s="51">
        <f t="shared" si="89"/>
        <v>43838</v>
      </c>
      <c r="BO235" s="54">
        <f t="shared" si="82"/>
        <v>1800</v>
      </c>
      <c r="BP235" s="4" t="s">
        <v>735</v>
      </c>
      <c r="BQ235" s="4" t="s">
        <v>24</v>
      </c>
      <c r="BR235" s="18" t="s">
        <v>677</v>
      </c>
      <c r="BS235" s="18" t="s">
        <v>2737</v>
      </c>
      <c r="BT235" s="54" t="str">
        <f t="shared" si="83"/>
        <v>DevOps</v>
      </c>
      <c r="BV235" s="4" t="s">
        <v>735</v>
      </c>
      <c r="BW235" s="4" t="s">
        <v>736</v>
      </c>
      <c r="CB235" s="18" t="s">
        <v>5219</v>
      </c>
      <c r="CC235" s="4" t="s">
        <v>736</v>
      </c>
      <c r="CD235" s="4" t="s">
        <v>25</v>
      </c>
      <c r="CE235" s="54" t="str">
        <v>Not Found</v>
      </c>
      <c r="CG235" s="54" t="str">
        <f>IFERROR(_xlfn.XLOOKUP(Hiring!A235,Hiring!A235:A634,Hiring!B235:B634,,0),"Not Found")</f>
        <v>Smita Choudhury</v>
      </c>
    </row>
    <row r="236" spans="2:85">
      <c r="B236" s="100"/>
      <c r="F236" s="3">
        <v>4.3</v>
      </c>
      <c r="G236" s="52" t="str" cm="1">
        <f t="array" ref="G236">_xlfn.IFS(F236&gt;=4.5,"Excellent",AND(F236&gt;=3.5,F236&lt;=4.4),"Good",F236&lt;3.5,"Needs Improvement")</f>
        <v>Good</v>
      </c>
      <c r="M236" s="19"/>
      <c r="N236" s="19">
        <v>43370</v>
      </c>
      <c r="O236" s="54" t="str">
        <f t="shared" si="85"/>
        <v>Yes</v>
      </c>
      <c r="Q236" s="19">
        <v>7.21</v>
      </c>
      <c r="R236" s="56" t="str">
        <f t="shared" si="69"/>
        <v>Yes</v>
      </c>
      <c r="W236" s="19" t="s">
        <v>677</v>
      </c>
      <c r="X236" s="54" t="str">
        <f>VLOOKUP(W236,Employees!$A$1:$B$601,2,FALSE)</f>
        <v>Saurav Sahu</v>
      </c>
      <c r="Z236" s="3" t="s">
        <v>738</v>
      </c>
      <c r="AA236" s="54" t="str">
        <f t="shared" si="70"/>
        <v>0235</v>
      </c>
      <c r="AC236" s="3" t="s">
        <v>51</v>
      </c>
      <c r="AD236" s="54" t="str">
        <f t="shared" si="71"/>
        <v>Sales</v>
      </c>
      <c r="AF236" s="3" t="s">
        <v>739</v>
      </c>
      <c r="AG236" s="3" t="s">
        <v>51</v>
      </c>
      <c r="AH236" s="3" t="s">
        <v>214</v>
      </c>
      <c r="AI236" s="54" t="str">
        <f t="shared" si="72"/>
        <v>Tanmay Behura|Sales|ZeroOneSystems</v>
      </c>
      <c r="AK236" s="3" t="s">
        <v>739</v>
      </c>
      <c r="AL236" s="38" t="str">
        <f t="shared" si="73"/>
        <v>T.B.</v>
      </c>
      <c r="AN236" s="19" t="s">
        <v>5051</v>
      </c>
      <c r="AO236" s="54" t="str">
        <f t="shared" si="74"/>
        <v>Naukri</v>
      </c>
      <c r="AQ236" s="3" t="s">
        <v>739</v>
      </c>
      <c r="AR236" s="52" t="str">
        <f t="shared" si="75"/>
        <v>NO</v>
      </c>
      <c r="AW236" s="54">
        <f ca="1">DATEDIF(BI236,TODAY(),"Y")</f>
        <v>5</v>
      </c>
      <c r="AX236" s="54"/>
      <c r="AY236" s="40" t="s">
        <v>5184</v>
      </c>
      <c r="AZ236" s="44">
        <f t="shared" si="77"/>
        <v>45081</v>
      </c>
      <c r="BA236" s="54" t="str">
        <f t="shared" si="78"/>
        <v>6-2023</v>
      </c>
      <c r="BH236" s="3" t="s">
        <v>740</v>
      </c>
      <c r="BI236" s="51">
        <f t="shared" si="86"/>
        <v>44127</v>
      </c>
      <c r="BJ236" s="38">
        <f t="shared" ca="1" si="87"/>
        <v>1516</v>
      </c>
      <c r="BK236" s="38"/>
      <c r="BL236" s="38" t="str">
        <f t="shared" si="88"/>
        <v>No</v>
      </c>
      <c r="BM236" s="59">
        <f t="shared" si="81"/>
        <v>45081</v>
      </c>
      <c r="BN236" s="51">
        <f t="shared" si="89"/>
        <v>44127</v>
      </c>
      <c r="BO236" s="54">
        <f t="shared" si="82"/>
        <v>954</v>
      </c>
      <c r="BP236" s="3" t="s">
        <v>738</v>
      </c>
      <c r="BQ236" s="3" t="s">
        <v>51</v>
      </c>
      <c r="BR236" s="19" t="s">
        <v>677</v>
      </c>
      <c r="BS236" s="19" t="s">
        <v>2739</v>
      </c>
      <c r="BT236" s="54" t="str">
        <f t="shared" si="83"/>
        <v>DevOps</v>
      </c>
      <c r="BV236" s="3" t="s">
        <v>738</v>
      </c>
      <c r="BW236" s="3" t="s">
        <v>739</v>
      </c>
      <c r="CB236" s="19" t="s">
        <v>5314</v>
      </c>
      <c r="CC236" s="3" t="s">
        <v>739</v>
      </c>
      <c r="CD236" s="3" t="s">
        <v>105</v>
      </c>
      <c r="CE236" s="54" t="str">
        <v>Not Found</v>
      </c>
      <c r="CG236" s="54" t="str">
        <f>IFERROR(_xlfn.XLOOKUP(Hiring!A236,Hiring!A236:A635,Hiring!B236:B635,,0),"Not Found")</f>
        <v>Tanmay Dhal</v>
      </c>
    </row>
    <row r="237" spans="2:85">
      <c r="B237" s="100"/>
      <c r="F237" s="4">
        <v>3.1</v>
      </c>
      <c r="G237" s="52" t="str" cm="1">
        <f t="array" ref="G237">_xlfn.IFS(F237&gt;=4.5,"Excellent",AND(F237&gt;=3.5,F237&lt;=4.4),"Good",F237&lt;3.5,"Needs Improvement")</f>
        <v>Needs Improvement</v>
      </c>
      <c r="M237" s="18">
        <v>38037</v>
      </c>
      <c r="N237" s="18">
        <v>33187</v>
      </c>
      <c r="O237" s="54" t="str">
        <f t="shared" si="85"/>
        <v>Yes</v>
      </c>
      <c r="Q237" s="18">
        <v>6.8</v>
      </c>
      <c r="R237" s="56" t="str">
        <f t="shared" si="69"/>
        <v>Yes</v>
      </c>
      <c r="W237" s="18" t="s">
        <v>677</v>
      </c>
      <c r="X237" s="54" t="str">
        <f>VLOOKUP(W237,Employees!$A$1:$B$601,2,FALSE)</f>
        <v>Saurav Sahu</v>
      </c>
      <c r="Z237" s="4" t="s">
        <v>741</v>
      </c>
      <c r="AA237" s="54" t="str">
        <f t="shared" si="70"/>
        <v>0236</v>
      </c>
      <c r="AC237" s="4" t="s">
        <v>24</v>
      </c>
      <c r="AD237" s="54" t="str">
        <f t="shared" si="71"/>
        <v>Design</v>
      </c>
      <c r="AF237" s="4" t="s">
        <v>742</v>
      </c>
      <c r="AG237" s="4" t="s">
        <v>24</v>
      </c>
      <c r="AH237" s="4" t="s">
        <v>75</v>
      </c>
      <c r="AI237" s="54" t="str">
        <f t="shared" si="72"/>
        <v>Lipsa Sahu|Design|KalingaTech Pvt Ltd</v>
      </c>
      <c r="AK237" s="4" t="s">
        <v>742</v>
      </c>
      <c r="AL237" s="38" t="str">
        <f t="shared" si="73"/>
        <v>L.S.</v>
      </c>
      <c r="AN237" s="18" t="s">
        <v>5051</v>
      </c>
      <c r="AO237" s="54" t="str">
        <f t="shared" si="74"/>
        <v>Naukri</v>
      </c>
      <c r="AQ237" s="4" t="s">
        <v>742</v>
      </c>
      <c r="AR237" s="52" t="str">
        <f t="shared" si="75"/>
        <v>NO</v>
      </c>
      <c r="AW237" s="54">
        <f ca="1">DATEDIF(BI237,TODAY(),"Y")</f>
        <v>7</v>
      </c>
      <c r="AX237" s="54"/>
      <c r="AY237" s="41" t="s">
        <v>5472</v>
      </c>
      <c r="AZ237" s="44">
        <f t="shared" si="77"/>
        <v>44991</v>
      </c>
      <c r="BA237" s="54" t="str">
        <f t="shared" si="78"/>
        <v>3-2023</v>
      </c>
      <c r="BH237" s="4" t="s">
        <v>743</v>
      </c>
      <c r="BI237" s="51">
        <f t="shared" si="86"/>
        <v>43478</v>
      </c>
      <c r="BJ237" s="38">
        <f t="shared" ca="1" si="87"/>
        <v>1980</v>
      </c>
      <c r="BK237" s="38"/>
      <c r="BL237" s="38" t="str">
        <f t="shared" si="88"/>
        <v>Q1</v>
      </c>
      <c r="BM237" s="59">
        <f t="shared" si="81"/>
        <v>44991</v>
      </c>
      <c r="BN237" s="51">
        <f t="shared" si="89"/>
        <v>43478</v>
      </c>
      <c r="BO237" s="54">
        <f t="shared" si="82"/>
        <v>1513</v>
      </c>
      <c r="BP237" s="4" t="s">
        <v>741</v>
      </c>
      <c r="BQ237" s="4" t="s">
        <v>24</v>
      </c>
      <c r="BR237" s="18" t="s">
        <v>677</v>
      </c>
      <c r="BS237" s="18" t="s">
        <v>2741</v>
      </c>
      <c r="BT237" s="54" t="str">
        <f t="shared" si="83"/>
        <v>DevOps</v>
      </c>
      <c r="BV237" s="4" t="s">
        <v>741</v>
      </c>
      <c r="BW237" s="4" t="s">
        <v>742</v>
      </c>
      <c r="CB237" s="18" t="s">
        <v>5471</v>
      </c>
      <c r="CC237" s="4" t="s">
        <v>742</v>
      </c>
      <c r="CD237" s="4" t="s">
        <v>25</v>
      </c>
      <c r="CE237" s="54" t="str">
        <v>Not Found</v>
      </c>
      <c r="CG237" s="54" t="str">
        <f>IFERROR(_xlfn.XLOOKUP(Hiring!A237,Hiring!A237:A636,Hiring!B237:B636,,0),"Not Found")</f>
        <v>Rajan Nanda</v>
      </c>
    </row>
    <row r="238" spans="2:85">
      <c r="B238" s="100"/>
      <c r="F238" s="3">
        <v>2.9</v>
      </c>
      <c r="G238" s="52" t="str" cm="1">
        <f t="array" ref="G238">_xlfn.IFS(F238&gt;=4.5,"Excellent",AND(F238&gt;=3.5,F238&lt;=4.4),"Good",F238&lt;3.5,"Needs Improvement")</f>
        <v>Needs Improvement</v>
      </c>
      <c r="M238" s="19"/>
      <c r="N238" s="19">
        <v>41981</v>
      </c>
      <c r="O238" s="54" t="str">
        <f t="shared" si="85"/>
        <v>Yes</v>
      </c>
      <c r="Q238" s="19">
        <v>11.15</v>
      </c>
      <c r="R238" s="56" t="str">
        <f t="shared" si="69"/>
        <v>Yes</v>
      </c>
      <c r="W238" s="19" t="s">
        <v>677</v>
      </c>
      <c r="X238" s="54" t="str">
        <f>VLOOKUP(W238,Employees!$A$1:$B$601,2,FALSE)</f>
        <v>Saurav Sahu</v>
      </c>
      <c r="Z238" s="3" t="s">
        <v>744</v>
      </c>
      <c r="AA238" s="54" t="str">
        <f t="shared" si="70"/>
        <v>0237</v>
      </c>
      <c r="AC238" s="3" t="s">
        <v>558</v>
      </c>
      <c r="AD238" s="54" t="str">
        <f t="shared" si="71"/>
        <v>Finance</v>
      </c>
      <c r="AF238" s="3" t="s">
        <v>641</v>
      </c>
      <c r="AG238" s="3" t="s">
        <v>558</v>
      </c>
      <c r="AH238" s="3" t="s">
        <v>32</v>
      </c>
      <c r="AI238" s="54" t="str">
        <f t="shared" si="72"/>
        <v>Amlan Senapati|finance|NilGiri Digitals</v>
      </c>
      <c r="AK238" s="3" t="s">
        <v>641</v>
      </c>
      <c r="AL238" s="38" t="str">
        <f t="shared" si="73"/>
        <v>A.S.</v>
      </c>
      <c r="AN238" s="19" t="s">
        <v>5077</v>
      </c>
      <c r="AO238" s="54" t="b">
        <f t="shared" si="74"/>
        <v>0</v>
      </c>
      <c r="AQ238" s="3" t="s">
        <v>641</v>
      </c>
      <c r="AR238" s="52" t="str">
        <f t="shared" si="75"/>
        <v>NO</v>
      </c>
      <c r="AW238" s="54">
        <f ca="1">DATEDIF(BI238,TODAY(),"Y")</f>
        <v>5</v>
      </c>
      <c r="AX238" s="54"/>
      <c r="AY238" s="40" t="s">
        <v>5474</v>
      </c>
      <c r="AZ238" s="44">
        <f t="shared" si="77"/>
        <v>45285</v>
      </c>
      <c r="BA238" s="54" t="str">
        <f t="shared" si="78"/>
        <v>12-2023</v>
      </c>
      <c r="BH238" s="3" t="s">
        <v>745</v>
      </c>
      <c r="BI238" s="51">
        <f t="shared" si="86"/>
        <v>44183</v>
      </c>
      <c r="BJ238" s="38">
        <f t="shared" ca="1" si="87"/>
        <v>1476</v>
      </c>
      <c r="BK238" s="38"/>
      <c r="BL238" s="38" t="str">
        <f t="shared" si="88"/>
        <v>No</v>
      </c>
      <c r="BM238" s="59">
        <f t="shared" si="81"/>
        <v>45285</v>
      </c>
      <c r="BN238" s="51">
        <f t="shared" si="89"/>
        <v>44183</v>
      </c>
      <c r="BO238" s="54">
        <f t="shared" si="82"/>
        <v>1102</v>
      </c>
      <c r="BP238" s="3" t="s">
        <v>744</v>
      </c>
      <c r="BQ238" s="3" t="s">
        <v>558</v>
      </c>
      <c r="BR238" s="19" t="s">
        <v>677</v>
      </c>
      <c r="BS238" s="19" t="s">
        <v>2744</v>
      </c>
      <c r="BT238" s="54" t="str">
        <f t="shared" si="83"/>
        <v>DevOps</v>
      </c>
      <c r="BV238" s="3" t="s">
        <v>744</v>
      </c>
      <c r="BW238" s="3" t="s">
        <v>641</v>
      </c>
      <c r="CB238" s="19" t="s">
        <v>1396</v>
      </c>
      <c r="CC238" s="3" t="s">
        <v>641</v>
      </c>
      <c r="CD238" s="3" t="s">
        <v>177</v>
      </c>
      <c r="CE238" s="54" t="str">
        <v>DevOps Engineer</v>
      </c>
      <c r="CG238" s="54" t="str">
        <f>IFERROR(_xlfn.XLOOKUP(Hiring!A238,Hiring!A238:A637,Hiring!B238:B637,,0),"Not Found")</f>
        <v>Dibya Mishra</v>
      </c>
    </row>
    <row r="239" spans="2:85">
      <c r="B239" s="100"/>
      <c r="F239" s="4">
        <v>2.8</v>
      </c>
      <c r="G239" s="52" t="str" cm="1">
        <f t="array" ref="G239">_xlfn.IFS(F239&gt;=4.5,"Excellent",AND(F239&gt;=3.5,F239&lt;=4.4),"Good",F239&lt;3.5,"Needs Improvement")</f>
        <v>Needs Improvement</v>
      </c>
      <c r="M239" s="18">
        <v>143586</v>
      </c>
      <c r="N239" s="18">
        <v>164597</v>
      </c>
      <c r="O239" s="54" t="str">
        <f t="shared" si="85"/>
        <v>Yes</v>
      </c>
      <c r="Q239" s="18">
        <v>10.09</v>
      </c>
      <c r="R239" s="56" t="str">
        <f t="shared" si="69"/>
        <v>Yes</v>
      </c>
      <c r="W239" s="18" t="s">
        <v>677</v>
      </c>
      <c r="X239" s="54" t="str">
        <f>VLOOKUP(W239,Employees!$A$1:$B$601,2,FALSE)</f>
        <v>Saurav Sahu</v>
      </c>
      <c r="Z239" s="4" t="s">
        <v>746</v>
      </c>
      <c r="AA239" s="54" t="str">
        <f t="shared" si="70"/>
        <v>0238</v>
      </c>
      <c r="AC239" s="4" t="s">
        <v>84</v>
      </c>
      <c r="AD239" s="54" t="str">
        <f t="shared" si="71"/>
        <v>Hr</v>
      </c>
      <c r="AF239" s="4" t="s">
        <v>747</v>
      </c>
      <c r="AG239" s="4" t="s">
        <v>84</v>
      </c>
      <c r="AH239" s="4" t="s">
        <v>172</v>
      </c>
      <c r="AI239" s="54" t="str">
        <f t="shared" si="72"/>
        <v>Tapas Prusty|HR|TechNova Solutions</v>
      </c>
      <c r="AK239" s="4" t="s">
        <v>747</v>
      </c>
      <c r="AL239" s="38" t="str">
        <f t="shared" si="73"/>
        <v>T.P.</v>
      </c>
      <c r="AN239" s="18" t="s">
        <v>5060</v>
      </c>
      <c r="AO239" s="54" t="str">
        <f t="shared" si="74"/>
        <v>Naukri</v>
      </c>
      <c r="AQ239" s="4" t="s">
        <v>747</v>
      </c>
      <c r="AR239" s="52" t="str">
        <f t="shared" si="75"/>
        <v>NO</v>
      </c>
      <c r="AW239" s="54">
        <f ca="1">DATEDIF(BI239,TODAY(),"Y")</f>
        <v>5</v>
      </c>
      <c r="AX239" s="54"/>
      <c r="AY239" s="41" t="s">
        <v>5477</v>
      </c>
      <c r="AZ239" s="44">
        <f t="shared" si="77"/>
        <v>45244</v>
      </c>
      <c r="BA239" s="54" t="str">
        <f t="shared" si="78"/>
        <v>11-2023</v>
      </c>
      <c r="BH239" s="4" t="s">
        <v>748</v>
      </c>
      <c r="BI239" s="51">
        <f t="shared" si="86"/>
        <v>44288</v>
      </c>
      <c r="BJ239" s="38">
        <f t="shared" ca="1" si="87"/>
        <v>1401</v>
      </c>
      <c r="BK239" s="38"/>
      <c r="BL239" s="38" t="str">
        <f t="shared" si="88"/>
        <v>No</v>
      </c>
      <c r="BM239" s="59">
        <f t="shared" si="81"/>
        <v>45244</v>
      </c>
      <c r="BN239" s="51">
        <f t="shared" si="89"/>
        <v>44288</v>
      </c>
      <c r="BO239" s="54">
        <f t="shared" si="82"/>
        <v>956</v>
      </c>
      <c r="BP239" s="4" t="s">
        <v>746</v>
      </c>
      <c r="BQ239" s="4" t="s">
        <v>84</v>
      </c>
      <c r="BR239" s="18" t="s">
        <v>677</v>
      </c>
      <c r="BS239" s="18" t="s">
        <v>2746</v>
      </c>
      <c r="BT239" s="54" t="str">
        <f t="shared" si="83"/>
        <v>DevOps</v>
      </c>
      <c r="BV239" s="4" t="s">
        <v>746</v>
      </c>
      <c r="BW239" s="4" t="s">
        <v>747</v>
      </c>
      <c r="CB239" s="18" t="s">
        <v>5476</v>
      </c>
      <c r="CC239" s="4" t="s">
        <v>747</v>
      </c>
      <c r="CD239" s="4" t="s">
        <v>85</v>
      </c>
      <c r="CE239" s="54" t="str">
        <v>Not Found</v>
      </c>
      <c r="CG239" s="54" t="str">
        <f>IFERROR(_xlfn.XLOOKUP(Hiring!A239,Hiring!A239:A638,Hiring!B239:B638,,0),"Not Found")</f>
        <v>Amlan Tripathy</v>
      </c>
    </row>
    <row r="240" spans="2:85">
      <c r="B240" s="100"/>
      <c r="F240" s="3">
        <v>2.6</v>
      </c>
      <c r="G240" s="52" t="str" cm="1">
        <f t="array" ref="G240">_xlfn.IFS(F240&gt;=4.5,"Excellent",AND(F240&gt;=3.5,F240&lt;=4.4),"Good",F240&lt;3.5,"Needs Improvement")</f>
        <v>Needs Improvement</v>
      </c>
      <c r="M240" s="19">
        <v>0</v>
      </c>
      <c r="N240" s="19">
        <v>0</v>
      </c>
      <c r="O240" s="54" t="str">
        <f t="shared" si="85"/>
        <v>No</v>
      </c>
      <c r="Q240" s="19">
        <v>9.08</v>
      </c>
      <c r="R240" s="56" t="str">
        <f t="shared" si="69"/>
        <v>Yes</v>
      </c>
      <c r="W240" s="19" t="s">
        <v>677</v>
      </c>
      <c r="X240" s="54" t="str">
        <f>VLOOKUP(W240,Employees!$A$1:$B$601,2,FALSE)</f>
        <v>Saurav Sahu</v>
      </c>
      <c r="Z240" s="3" t="s">
        <v>749</v>
      </c>
      <c r="AA240" s="54" t="str">
        <f t="shared" si="70"/>
        <v>0239</v>
      </c>
      <c r="AC240" s="3" t="s">
        <v>89</v>
      </c>
      <c r="AD240" s="54" t="str">
        <f t="shared" si="71"/>
        <v>Data Science</v>
      </c>
      <c r="AF240" s="3" t="s">
        <v>750</v>
      </c>
      <c r="AG240" s="3" t="s">
        <v>89</v>
      </c>
      <c r="AH240" s="3" t="s">
        <v>18</v>
      </c>
      <c r="AI240" s="54" t="str">
        <f t="shared" si="72"/>
        <v>Alka Pattnaik|Data Science|CoastalDev Studio</v>
      </c>
      <c r="AK240" s="3" t="s">
        <v>750</v>
      </c>
      <c r="AL240" s="38" t="str">
        <f t="shared" si="73"/>
        <v>A.P.</v>
      </c>
      <c r="AN240" s="19" t="s">
        <v>5051</v>
      </c>
      <c r="AO240" s="54" t="str">
        <f t="shared" si="74"/>
        <v>Naukri</v>
      </c>
      <c r="AQ240" s="3" t="s">
        <v>750</v>
      </c>
      <c r="AR240" s="52" t="str">
        <f t="shared" si="75"/>
        <v>NO</v>
      </c>
      <c r="AW240" s="54">
        <f ca="1">DATEDIF(BI240,TODAY(),"Y")</f>
        <v>6</v>
      </c>
      <c r="AX240" s="54"/>
      <c r="AY240" s="40" t="s">
        <v>1801</v>
      </c>
      <c r="AZ240" s="44">
        <f t="shared" si="77"/>
        <v>45191</v>
      </c>
      <c r="BA240" s="54" t="str">
        <f t="shared" si="78"/>
        <v>9-2023</v>
      </c>
      <c r="BH240" s="3" t="s">
        <v>751</v>
      </c>
      <c r="BI240" s="51">
        <f t="shared" si="86"/>
        <v>43692</v>
      </c>
      <c r="BJ240" s="38">
        <f t="shared" ca="1" si="87"/>
        <v>1827</v>
      </c>
      <c r="BK240" s="38"/>
      <c r="BL240" s="38" t="str">
        <f t="shared" si="88"/>
        <v>No</v>
      </c>
      <c r="BM240" s="59">
        <f t="shared" si="81"/>
        <v>45191</v>
      </c>
      <c r="BN240" s="51">
        <f t="shared" si="89"/>
        <v>43692</v>
      </c>
      <c r="BO240" s="54">
        <f t="shared" si="82"/>
        <v>1499</v>
      </c>
      <c r="BP240" s="3" t="s">
        <v>749</v>
      </c>
      <c r="BQ240" s="3" t="s">
        <v>89</v>
      </c>
      <c r="BR240" s="19" t="s">
        <v>677</v>
      </c>
      <c r="BS240" s="19" t="s">
        <v>2747</v>
      </c>
      <c r="BT240" s="54" t="str">
        <f t="shared" si="83"/>
        <v>DevOps</v>
      </c>
      <c r="BV240" s="3" t="s">
        <v>749</v>
      </c>
      <c r="BW240" s="3" t="s">
        <v>750</v>
      </c>
      <c r="CB240" s="19" t="s">
        <v>5479</v>
      </c>
      <c r="CC240" s="3" t="s">
        <v>750</v>
      </c>
      <c r="CD240" s="3" t="s">
        <v>113</v>
      </c>
      <c r="CE240" s="54" t="str">
        <v>Not Found</v>
      </c>
      <c r="CG240" s="54" t="str">
        <f>IFERROR(_xlfn.XLOOKUP(Hiring!A240,Hiring!A240:A639,Hiring!B240:B639,,0),"Not Found")</f>
        <v>Rajan Parida</v>
      </c>
    </row>
    <row r="241" spans="2:85">
      <c r="B241" s="100"/>
      <c r="F241" s="4">
        <v>3.9</v>
      </c>
      <c r="G241" s="52" t="str" cm="1">
        <f t="array" ref="G241">_xlfn.IFS(F241&gt;=4.5,"Excellent",AND(F241&gt;=3.5,F241&lt;=4.4),"Good",F241&lt;3.5,"Needs Improvement")</f>
        <v>Good</v>
      </c>
      <c r="M241" s="18"/>
      <c r="N241" s="18">
        <v>127274</v>
      </c>
      <c r="O241" s="54" t="str">
        <f t="shared" si="85"/>
        <v>Yes</v>
      </c>
      <c r="Q241" s="18">
        <v>11.29</v>
      </c>
      <c r="R241" s="56" t="str">
        <f t="shared" si="69"/>
        <v>Yes</v>
      </c>
      <c r="W241" s="18" t="s">
        <v>677</v>
      </c>
      <c r="X241" s="54" t="str">
        <f>VLOOKUP(W241,Employees!$A$1:$B$601,2,FALSE)</f>
        <v>Saurav Sahu</v>
      </c>
      <c r="Z241" s="4" t="s">
        <v>752</v>
      </c>
      <c r="AA241" s="54" t="str">
        <f t="shared" si="70"/>
        <v>0240</v>
      </c>
      <c r="AC241" s="4" t="s">
        <v>24</v>
      </c>
      <c r="AD241" s="54" t="str">
        <f t="shared" si="71"/>
        <v>Design</v>
      </c>
      <c r="AF241" s="4" t="s">
        <v>753</v>
      </c>
      <c r="AG241" s="4" t="s">
        <v>24</v>
      </c>
      <c r="AH241" s="4" t="s">
        <v>114</v>
      </c>
      <c r="AI241" s="54" t="str">
        <f t="shared" si="72"/>
        <v>Namita Dhal|Design|UtkalSoft Technologies</v>
      </c>
      <c r="AK241" s="4" t="s">
        <v>753</v>
      </c>
      <c r="AL241" s="38" t="str">
        <f t="shared" si="73"/>
        <v>N.D.</v>
      </c>
      <c r="AN241" s="18" t="s">
        <v>5077</v>
      </c>
      <c r="AO241" s="54" t="b">
        <f t="shared" si="74"/>
        <v>0</v>
      </c>
      <c r="AQ241" s="4" t="s">
        <v>753</v>
      </c>
      <c r="AR241" s="52" t="str">
        <f t="shared" si="75"/>
        <v>NO</v>
      </c>
      <c r="AW241" s="54">
        <f ca="1">DATEDIF(BI241,TODAY(),"Y")</f>
        <v>3</v>
      </c>
      <c r="AX241" s="54"/>
      <c r="AY241" s="41" t="s">
        <v>5466</v>
      </c>
      <c r="AZ241" s="44">
        <f t="shared" si="77"/>
        <v>45308</v>
      </c>
      <c r="BA241" s="54" t="str">
        <f t="shared" si="78"/>
        <v>1-2024</v>
      </c>
      <c r="BH241" s="4" t="s">
        <v>754</v>
      </c>
      <c r="BI241" s="51">
        <f t="shared" si="86"/>
        <v>45145</v>
      </c>
      <c r="BJ241" s="38">
        <f t="shared" ca="1" si="87"/>
        <v>790</v>
      </c>
      <c r="BK241" s="38"/>
      <c r="BL241" s="38" t="str">
        <f t="shared" si="88"/>
        <v>No</v>
      </c>
      <c r="BM241" s="59">
        <f t="shared" si="81"/>
        <v>45308</v>
      </c>
      <c r="BN241" s="51">
        <f t="shared" si="89"/>
        <v>45145</v>
      </c>
      <c r="BO241" s="54">
        <f t="shared" si="82"/>
        <v>163</v>
      </c>
      <c r="BP241" s="4" t="s">
        <v>752</v>
      </c>
      <c r="BQ241" s="4" t="s">
        <v>24</v>
      </c>
      <c r="BR241" s="18" t="s">
        <v>677</v>
      </c>
      <c r="BS241" s="18" t="s">
        <v>2748</v>
      </c>
      <c r="BT241" s="54" t="str">
        <f t="shared" si="83"/>
        <v>DevOps</v>
      </c>
      <c r="BV241" s="4" t="s">
        <v>752</v>
      </c>
      <c r="BW241" s="4" t="s">
        <v>753</v>
      </c>
      <c r="CB241" s="18" t="s">
        <v>5481</v>
      </c>
      <c r="CC241" s="4" t="s">
        <v>753</v>
      </c>
      <c r="CD241" s="4" t="s">
        <v>45</v>
      </c>
      <c r="CE241" s="54" t="str">
        <v>Not Found</v>
      </c>
      <c r="CG241" s="54" t="str">
        <f>IFERROR(_xlfn.XLOOKUP(Hiring!A241,Hiring!A241:A640,Hiring!B241:B640,,0),"Not Found")</f>
        <v>Tapas Mahapatra</v>
      </c>
    </row>
    <row r="242" spans="2:85">
      <c r="B242" s="100"/>
      <c r="F242" s="3">
        <v>3.6</v>
      </c>
      <c r="G242" s="52" t="str" cm="1">
        <f t="array" ref="G242">_xlfn.IFS(F242&gt;=4.5,"Excellent",AND(F242&gt;=3.5,F242&lt;=4.4),"Good",F242&lt;3.5,"Needs Improvement")</f>
        <v>Good</v>
      </c>
      <c r="M242" s="19"/>
      <c r="N242" s="19">
        <v>192926</v>
      </c>
      <c r="O242" s="54" t="str">
        <f t="shared" si="85"/>
        <v>Yes</v>
      </c>
      <c r="Q242" s="19">
        <v>6.8</v>
      </c>
      <c r="R242" s="56" t="str">
        <f t="shared" si="69"/>
        <v>Yes</v>
      </c>
      <c r="W242" s="19" t="s">
        <v>677</v>
      </c>
      <c r="X242" s="54" t="str">
        <f>VLOOKUP(W242,Employees!$A$1:$B$601,2,FALSE)</f>
        <v>Saurav Sahu</v>
      </c>
      <c r="Z242" s="3" t="s">
        <v>755</v>
      </c>
      <c r="AA242" s="54" t="str">
        <f t="shared" si="70"/>
        <v>0241</v>
      </c>
      <c r="AC242" s="3" t="s">
        <v>63</v>
      </c>
      <c r="AD242" s="54" t="str">
        <f t="shared" si="71"/>
        <v>Product</v>
      </c>
      <c r="AF242" s="3" t="s">
        <v>756</v>
      </c>
      <c r="AG242" s="3" t="s">
        <v>63</v>
      </c>
      <c r="AH242" s="3" t="s">
        <v>46</v>
      </c>
      <c r="AI242" s="54" t="str">
        <f t="shared" si="72"/>
        <v>Tapas Parida|Product|SambalpurNet</v>
      </c>
      <c r="AK242" s="3" t="s">
        <v>756</v>
      </c>
      <c r="AL242" s="38" t="str">
        <f t="shared" si="73"/>
        <v>T.P.</v>
      </c>
      <c r="AN242" s="19" t="s">
        <v>5051</v>
      </c>
      <c r="AO242" s="54" t="str">
        <f t="shared" si="74"/>
        <v>Naukri</v>
      </c>
      <c r="AQ242" s="3" t="s">
        <v>756</v>
      </c>
      <c r="AR242" s="52" t="str">
        <f t="shared" si="75"/>
        <v>NO</v>
      </c>
      <c r="AW242" s="54">
        <f ca="1">DATEDIF(BI242,TODAY(),"Y")</f>
        <v>4</v>
      </c>
      <c r="AX242" s="54"/>
      <c r="AY242" s="40" t="s">
        <v>5483</v>
      </c>
      <c r="AZ242" s="44">
        <f t="shared" si="77"/>
        <v>45563</v>
      </c>
      <c r="BA242" s="54" t="str">
        <f t="shared" si="78"/>
        <v>9-2024</v>
      </c>
      <c r="BH242" s="3" t="s">
        <v>757</v>
      </c>
      <c r="BI242" s="51">
        <f t="shared" si="86"/>
        <v>44652</v>
      </c>
      <c r="BJ242" s="38">
        <f t="shared" ca="1" si="87"/>
        <v>1141</v>
      </c>
      <c r="BK242" s="38"/>
      <c r="BL242" s="38" t="str">
        <f t="shared" si="88"/>
        <v>No</v>
      </c>
      <c r="BM242" s="59">
        <f t="shared" si="81"/>
        <v>45563</v>
      </c>
      <c r="BN242" s="51">
        <f t="shared" si="89"/>
        <v>44652</v>
      </c>
      <c r="BO242" s="54">
        <f t="shared" si="82"/>
        <v>911</v>
      </c>
      <c r="BP242" s="3" t="s">
        <v>755</v>
      </c>
      <c r="BQ242" s="3" t="s">
        <v>63</v>
      </c>
      <c r="BR242" s="19" t="s">
        <v>677</v>
      </c>
      <c r="BS242" s="19" t="s">
        <v>2750</v>
      </c>
      <c r="BT242" s="54" t="str">
        <f t="shared" si="83"/>
        <v>DevOps</v>
      </c>
      <c r="BV242" s="3" t="s">
        <v>755</v>
      </c>
      <c r="BW242" s="3" t="s">
        <v>756</v>
      </c>
      <c r="CB242" s="19" t="s">
        <v>1366</v>
      </c>
      <c r="CC242" s="3" t="s">
        <v>756</v>
      </c>
      <c r="CD242" s="3" t="s">
        <v>64</v>
      </c>
      <c r="CE242" s="54" t="str">
        <v>UX Researcher</v>
      </c>
      <c r="CG242" s="54" t="str">
        <f>IFERROR(_xlfn.XLOOKUP(Hiring!A242,Hiring!A242:A641,Hiring!B242:B641,,0),"Not Found")</f>
        <v>Priyanka Mohapatra</v>
      </c>
    </row>
    <row r="243" spans="2:85">
      <c r="B243" s="100"/>
      <c r="F243" s="4">
        <v>2.4</v>
      </c>
      <c r="G243" s="52" t="str" cm="1">
        <f t="array" ref="G243">_xlfn.IFS(F243&gt;=4.5,"Excellent",AND(F243&gt;=3.5,F243&lt;=4.4),"Good",F243&lt;3.5,"Needs Improvement")</f>
        <v>Needs Improvement</v>
      </c>
      <c r="M243" s="18">
        <v>72832</v>
      </c>
      <c r="N243" s="18">
        <v>79025</v>
      </c>
      <c r="O243" s="54" t="str">
        <f t="shared" si="85"/>
        <v>Yes</v>
      </c>
      <c r="Q243" s="18"/>
      <c r="R243" s="56" t="str">
        <f t="shared" si="69"/>
        <v>No</v>
      </c>
      <c r="W243" s="18" t="s">
        <v>677</v>
      </c>
      <c r="X243" s="54" t="str">
        <f>VLOOKUP(W243,Employees!$A$1:$B$601,2,FALSE)</f>
        <v>Saurav Sahu</v>
      </c>
      <c r="Z243" s="4" t="s">
        <v>758</v>
      </c>
      <c r="AA243" s="54" t="str">
        <f t="shared" si="70"/>
        <v>0242</v>
      </c>
      <c r="AC243" s="4" t="s">
        <v>133</v>
      </c>
      <c r="AD243" s="54" t="str">
        <f t="shared" si="71"/>
        <v>Qa</v>
      </c>
      <c r="AF243" s="4" t="s">
        <v>759</v>
      </c>
      <c r="AG243" s="4" t="s">
        <v>133</v>
      </c>
      <c r="AH243" s="4" t="s">
        <v>70</v>
      </c>
      <c r="AI243" s="54" t="str">
        <f t="shared" si="72"/>
        <v>Rajan Behura|QA|OdishaCode Labs</v>
      </c>
      <c r="AK243" s="4" t="s">
        <v>759</v>
      </c>
      <c r="AL243" s="38" t="str">
        <f t="shared" si="73"/>
        <v>R.B.</v>
      </c>
      <c r="AN243" s="18" t="s">
        <v>5060</v>
      </c>
      <c r="AO243" s="54" t="str">
        <f t="shared" si="74"/>
        <v>Naukri</v>
      </c>
      <c r="AQ243" s="4" t="s">
        <v>759</v>
      </c>
      <c r="AR243" s="52" t="str">
        <f t="shared" si="75"/>
        <v>NO</v>
      </c>
      <c r="AW243" s="54">
        <f ca="1">DATEDIF(BI243,TODAY(),"Y")</f>
        <v>4</v>
      </c>
      <c r="AX243" s="54"/>
      <c r="AY243" s="41" t="s">
        <v>1971</v>
      </c>
      <c r="AZ243" s="44">
        <f t="shared" si="77"/>
        <v>45498</v>
      </c>
      <c r="BA243" s="54" t="str">
        <f t="shared" si="78"/>
        <v>7-2024</v>
      </c>
      <c r="BH243" s="4" t="s">
        <v>760</v>
      </c>
      <c r="BI243" s="51">
        <f t="shared" si="86"/>
        <v>44716</v>
      </c>
      <c r="BJ243" s="38">
        <f t="shared" ca="1" si="87"/>
        <v>1095</v>
      </c>
      <c r="BK243" s="38"/>
      <c r="BL243" s="38" t="str">
        <f t="shared" si="88"/>
        <v>No</v>
      </c>
      <c r="BM243" s="59">
        <f t="shared" si="81"/>
        <v>45498</v>
      </c>
      <c r="BN243" s="51">
        <f t="shared" si="89"/>
        <v>44716</v>
      </c>
      <c r="BO243" s="54">
        <f t="shared" si="82"/>
        <v>782</v>
      </c>
      <c r="BP243" s="4" t="s">
        <v>758</v>
      </c>
      <c r="BQ243" s="4" t="s">
        <v>133</v>
      </c>
      <c r="BR243" s="18" t="s">
        <v>677</v>
      </c>
      <c r="BS243" s="18" t="s">
        <v>2751</v>
      </c>
      <c r="BT243" s="54" t="str">
        <f t="shared" si="83"/>
        <v>DevOps</v>
      </c>
      <c r="BV243" s="4" t="s">
        <v>758</v>
      </c>
      <c r="BW243" s="4" t="s">
        <v>759</v>
      </c>
      <c r="CB243" s="18" t="s">
        <v>5485</v>
      </c>
      <c r="CC243" s="4" t="s">
        <v>759</v>
      </c>
      <c r="CD243" s="4" t="s">
        <v>134</v>
      </c>
      <c r="CE243" s="54" t="str">
        <v>Not Found</v>
      </c>
      <c r="CG243" s="54" t="str">
        <f>IFERROR(_xlfn.XLOOKUP(Hiring!A243,Hiring!A243:A642,Hiring!B243:B642,,0),"Not Found")</f>
        <v>Smita Padhi</v>
      </c>
    </row>
    <row r="244" spans="2:85">
      <c r="B244" s="100"/>
      <c r="F244" s="3">
        <v>2</v>
      </c>
      <c r="G244" s="52" t="str" cm="1">
        <f t="array" ref="G244">_xlfn.IFS(F244&gt;=4.5,"Excellent",AND(F244&gt;=3.5,F244&lt;=4.4),"Good",F244&lt;3.5,"Needs Improvement")</f>
        <v>Needs Improvement</v>
      </c>
      <c r="M244" s="19">
        <v>20256</v>
      </c>
      <c r="N244" s="19">
        <v>20383</v>
      </c>
      <c r="O244" s="54" t="str">
        <f t="shared" si="85"/>
        <v>Yes</v>
      </c>
      <c r="Q244" s="19">
        <v>8.0399999999999991</v>
      </c>
      <c r="R244" s="56" t="str">
        <f t="shared" si="69"/>
        <v>Yes</v>
      </c>
      <c r="W244" s="19" t="s">
        <v>677</v>
      </c>
      <c r="X244" s="54" t="str">
        <f>VLOOKUP(W244,Employees!$A$1:$B$601,2,FALSE)</f>
        <v>Saurav Sahu</v>
      </c>
      <c r="Z244" s="3" t="s">
        <v>761</v>
      </c>
      <c r="AA244" s="54" t="str">
        <f t="shared" si="70"/>
        <v>0243</v>
      </c>
      <c r="AC244" s="3" t="s">
        <v>118</v>
      </c>
      <c r="AD244" s="54" t="str">
        <f t="shared" si="71"/>
        <v>Marketing</v>
      </c>
      <c r="AF244" s="3" t="s">
        <v>61</v>
      </c>
      <c r="AG244" s="3" t="s">
        <v>118</v>
      </c>
      <c r="AH244" s="3" t="s">
        <v>18</v>
      </c>
      <c r="AI244" s="54" t="str">
        <f t="shared" si="72"/>
        <v>Tanmay Nanda|Marketing|CoastalDev Studio</v>
      </c>
      <c r="AK244" s="3" t="s">
        <v>61</v>
      </c>
      <c r="AL244" s="38" t="str">
        <f t="shared" si="73"/>
        <v>T.N.</v>
      </c>
      <c r="AN244" s="19" t="s">
        <v>5025</v>
      </c>
      <c r="AO244" s="54" t="b">
        <f t="shared" si="74"/>
        <v>0</v>
      </c>
      <c r="AQ244" s="3" t="s">
        <v>61</v>
      </c>
      <c r="AR244" s="52" t="str">
        <f t="shared" si="75"/>
        <v>NO</v>
      </c>
      <c r="AW244" s="54">
        <f ca="1">DATEDIF(BI244,TODAY(),"Y")</f>
        <v>4</v>
      </c>
      <c r="AX244" s="54"/>
      <c r="AY244" s="40" t="s">
        <v>1683</v>
      </c>
      <c r="AZ244" s="44">
        <f t="shared" si="77"/>
        <v>44969</v>
      </c>
      <c r="BA244" s="54" t="str">
        <f t="shared" si="78"/>
        <v>2-2023</v>
      </c>
      <c r="BH244" s="3" t="s">
        <v>762</v>
      </c>
      <c r="BI244" s="51">
        <f t="shared" si="86"/>
        <v>44714</v>
      </c>
      <c r="BJ244" s="38">
        <f t="shared" ca="1" si="87"/>
        <v>1097</v>
      </c>
      <c r="BK244" s="38"/>
      <c r="BL244" s="38" t="str">
        <f t="shared" si="88"/>
        <v>No</v>
      </c>
      <c r="BM244" s="59">
        <f t="shared" si="81"/>
        <v>44969</v>
      </c>
      <c r="BN244" s="51">
        <f t="shared" si="89"/>
        <v>44714</v>
      </c>
      <c r="BO244" s="54">
        <f t="shared" si="82"/>
        <v>255</v>
      </c>
      <c r="BP244" s="3" t="s">
        <v>761</v>
      </c>
      <c r="BQ244" s="3" t="s">
        <v>118</v>
      </c>
      <c r="BR244" s="19" t="s">
        <v>677</v>
      </c>
      <c r="BS244" s="19" t="s">
        <v>2752</v>
      </c>
      <c r="BT244" s="54" t="str">
        <f t="shared" si="83"/>
        <v>DevOps</v>
      </c>
      <c r="BV244" s="3" t="s">
        <v>761</v>
      </c>
      <c r="BW244" s="3" t="s">
        <v>61</v>
      </c>
      <c r="CB244" s="19" t="s">
        <v>5487</v>
      </c>
      <c r="CC244" s="3" t="s">
        <v>61</v>
      </c>
      <c r="CD244" s="3" t="s">
        <v>181</v>
      </c>
      <c r="CE244" s="54" t="str">
        <v>Not Found</v>
      </c>
      <c r="CG244" s="54" t="str">
        <f>IFERROR(_xlfn.XLOOKUP(Hiring!A244,Hiring!A244:A643,Hiring!B244:B643,,0),"Not Found")</f>
        <v>Alka Parida</v>
      </c>
    </row>
    <row r="245" spans="2:85">
      <c r="B245" s="100"/>
      <c r="F245" s="4">
        <v>4.4000000000000004</v>
      </c>
      <c r="G245" s="52" t="str" cm="1">
        <f t="array" ref="G245">_xlfn.IFS(F245&gt;=4.5,"Excellent",AND(F245&gt;=3.5,F245&lt;=4.4),"Good",F245&lt;3.5,"Needs Improvement")</f>
        <v>Good</v>
      </c>
      <c r="M245" s="18">
        <v>50167</v>
      </c>
      <c r="N245" s="18">
        <v>54880</v>
      </c>
      <c r="O245" s="54" t="str">
        <f t="shared" si="85"/>
        <v>Yes</v>
      </c>
      <c r="Q245" s="18">
        <v>9.89</v>
      </c>
      <c r="R245" s="56" t="str">
        <f t="shared" si="69"/>
        <v>Yes</v>
      </c>
      <c r="W245" s="18" t="s">
        <v>677</v>
      </c>
      <c r="X245" s="54" t="str">
        <f>VLOOKUP(W245,Employees!$A$1:$B$601,2,FALSE)</f>
        <v>Saurav Sahu</v>
      </c>
      <c r="Z245" s="4" t="s">
        <v>763</v>
      </c>
      <c r="AA245" s="54" t="str">
        <f t="shared" si="70"/>
        <v>0244</v>
      </c>
      <c r="AC245" s="4" t="s">
        <v>51</v>
      </c>
      <c r="AD245" s="54" t="str">
        <f t="shared" si="71"/>
        <v>Sales</v>
      </c>
      <c r="AF245" s="4" t="s">
        <v>187</v>
      </c>
      <c r="AG245" s="4" t="s">
        <v>51</v>
      </c>
      <c r="AH245" s="4" t="s">
        <v>114</v>
      </c>
      <c r="AI245" s="54" t="str">
        <f t="shared" si="72"/>
        <v>Puspita Nanda|Sales|UtkalSoft Technologies</v>
      </c>
      <c r="AK245" s="4" t="s">
        <v>187</v>
      </c>
      <c r="AL245" s="38" t="str">
        <f t="shared" si="73"/>
        <v>P.N.</v>
      </c>
      <c r="AN245" s="18" t="s">
        <v>5031</v>
      </c>
      <c r="AO245" s="54" t="b">
        <f t="shared" si="74"/>
        <v>0</v>
      </c>
      <c r="AQ245" s="4" t="s">
        <v>187</v>
      </c>
      <c r="AR245" s="52" t="str">
        <f t="shared" si="75"/>
        <v>NO</v>
      </c>
      <c r="AW245" s="54">
        <f ca="1">DATEDIF(BI245,TODAY(),"Y")</f>
        <v>7</v>
      </c>
      <c r="AX245" s="54"/>
      <c r="AY245" s="41" t="s">
        <v>2088</v>
      </c>
      <c r="AZ245" s="44">
        <f t="shared" si="77"/>
        <v>45341</v>
      </c>
      <c r="BA245" s="54" t="str">
        <f t="shared" si="78"/>
        <v>2-2024</v>
      </c>
      <c r="BH245" s="4" t="s">
        <v>764</v>
      </c>
      <c r="BI245" s="51">
        <f t="shared" si="86"/>
        <v>43328</v>
      </c>
      <c r="BJ245" s="38">
        <f t="shared" ca="1" si="87"/>
        <v>2087</v>
      </c>
      <c r="BK245" s="38"/>
      <c r="BL245" s="38" t="str">
        <f t="shared" si="88"/>
        <v>No</v>
      </c>
      <c r="BM245" s="59">
        <f t="shared" si="81"/>
        <v>45341</v>
      </c>
      <c r="BN245" s="51">
        <f t="shared" si="89"/>
        <v>43328</v>
      </c>
      <c r="BO245" s="54">
        <f t="shared" si="82"/>
        <v>2013</v>
      </c>
      <c r="BP245" s="4" t="s">
        <v>763</v>
      </c>
      <c r="BQ245" s="4" t="s">
        <v>51</v>
      </c>
      <c r="BR245" s="18" t="s">
        <v>677</v>
      </c>
      <c r="BS245" s="18" t="s">
        <v>2754</v>
      </c>
      <c r="BT245" s="54" t="str">
        <f t="shared" si="83"/>
        <v>DevOps</v>
      </c>
      <c r="BV245" s="4" t="s">
        <v>763</v>
      </c>
      <c r="BW245" s="4" t="s">
        <v>187</v>
      </c>
      <c r="CB245" s="18" t="s">
        <v>1403</v>
      </c>
      <c r="CC245" s="4" t="s">
        <v>187</v>
      </c>
      <c r="CD245" s="4" t="s">
        <v>52</v>
      </c>
      <c r="CE245" s="54" t="str">
        <v>Sr DevOps</v>
      </c>
      <c r="CG245" s="54" t="str">
        <f>IFERROR(_xlfn.XLOOKUP(Hiring!A245,Hiring!A245:A644,Hiring!B245:B644,,0),"Not Found")</f>
        <v>Sangita Routray</v>
      </c>
    </row>
    <row r="246" spans="2:85">
      <c r="B246" s="100"/>
      <c r="F246" s="3">
        <v>2.1</v>
      </c>
      <c r="G246" s="52" t="str" cm="1">
        <f t="array" ref="G246">_xlfn.IFS(F246&gt;=4.5,"Excellent",AND(F246&gt;=3.5,F246&lt;=4.4),"Good",F246&lt;3.5,"Needs Improvement")</f>
        <v>Needs Improvement</v>
      </c>
      <c r="M246" s="19"/>
      <c r="N246" s="19">
        <v>35031</v>
      </c>
      <c r="O246" s="54" t="str">
        <f t="shared" si="85"/>
        <v>Yes</v>
      </c>
      <c r="Q246" s="19">
        <v>9.59</v>
      </c>
      <c r="R246" s="56" t="str">
        <f t="shared" si="69"/>
        <v>Yes</v>
      </c>
      <c r="W246" s="19" t="s">
        <v>677</v>
      </c>
      <c r="X246" s="54" t="str">
        <f>VLOOKUP(W246,Employees!$A$1:$B$601,2,FALSE)</f>
        <v>Saurav Sahu</v>
      </c>
      <c r="Z246" s="3" t="s">
        <v>765</v>
      </c>
      <c r="AA246" s="54" t="str">
        <f t="shared" si="70"/>
        <v>0245</v>
      </c>
      <c r="AC246" s="3" t="s">
        <v>89</v>
      </c>
      <c r="AD246" s="54" t="str">
        <f t="shared" si="71"/>
        <v>Data Science</v>
      </c>
      <c r="AF246" s="3" t="s">
        <v>766</v>
      </c>
      <c r="AG246" s="3" t="s">
        <v>89</v>
      </c>
      <c r="AH246" s="3" t="s">
        <v>46</v>
      </c>
      <c r="AI246" s="54" t="str">
        <f t="shared" si="72"/>
        <v>Amlan Choudhury|Data Science|SambalpurNet</v>
      </c>
      <c r="AK246" s="3" t="s">
        <v>766</v>
      </c>
      <c r="AL246" s="38" t="str">
        <f t="shared" si="73"/>
        <v>A.C.</v>
      </c>
      <c r="AN246" s="19" t="s">
        <v>5060</v>
      </c>
      <c r="AO246" s="54" t="str">
        <f t="shared" si="74"/>
        <v>Naukri</v>
      </c>
      <c r="AQ246" s="3" t="s">
        <v>766</v>
      </c>
      <c r="AR246" s="52" t="str">
        <f t="shared" si="75"/>
        <v>NO</v>
      </c>
      <c r="AW246" s="54">
        <f ca="1">DATEDIF(BI246,TODAY(),"Y")</f>
        <v>3</v>
      </c>
      <c r="AX246" s="54"/>
      <c r="AY246" s="40" t="s">
        <v>5490</v>
      </c>
      <c r="AZ246" s="44">
        <f t="shared" si="77"/>
        <v>45549</v>
      </c>
      <c r="BA246" s="54" t="str">
        <f t="shared" si="78"/>
        <v>9-2024</v>
      </c>
      <c r="BH246" s="3" t="s">
        <v>767</v>
      </c>
      <c r="BI246" s="51">
        <f t="shared" si="86"/>
        <v>44803</v>
      </c>
      <c r="BJ246" s="38">
        <f t="shared" ca="1" si="87"/>
        <v>1034</v>
      </c>
      <c r="BK246" s="38"/>
      <c r="BL246" s="38" t="str">
        <f t="shared" si="88"/>
        <v>No</v>
      </c>
      <c r="BM246" s="59">
        <f t="shared" si="81"/>
        <v>45549</v>
      </c>
      <c r="BN246" s="51">
        <f t="shared" si="89"/>
        <v>44803</v>
      </c>
      <c r="BO246" s="54">
        <f t="shared" si="82"/>
        <v>746</v>
      </c>
      <c r="BP246" s="3" t="s">
        <v>765</v>
      </c>
      <c r="BQ246" s="3" t="s">
        <v>89</v>
      </c>
      <c r="BR246" s="19" t="s">
        <v>677</v>
      </c>
      <c r="BS246" s="19" t="s">
        <v>2755</v>
      </c>
      <c r="BT246" s="54" t="str">
        <f t="shared" si="83"/>
        <v>DevOps</v>
      </c>
      <c r="BV246" s="3" t="s">
        <v>765</v>
      </c>
      <c r="BW246" s="3" t="s">
        <v>766</v>
      </c>
      <c r="CB246" s="19" t="s">
        <v>5395</v>
      </c>
      <c r="CC246" s="3" t="s">
        <v>766</v>
      </c>
      <c r="CD246" s="3" t="s">
        <v>221</v>
      </c>
      <c r="CE246" s="54" t="str">
        <v>Not Found</v>
      </c>
      <c r="CG246" s="54" t="str">
        <f>IFERROR(_xlfn.XLOOKUP(Hiring!A246,Hiring!A246:A645,Hiring!B246:B645,,0),"Not Found")</f>
        <v>Abhishek Dhal</v>
      </c>
    </row>
    <row r="247" spans="2:85">
      <c r="B247" s="100"/>
      <c r="F247" s="4">
        <v>4</v>
      </c>
      <c r="G247" s="52" t="str" cm="1">
        <f t="array" ref="G247">_xlfn.IFS(F247&gt;=4.5,"Excellent",AND(F247&gt;=3.5,F247&lt;=4.4),"Good",F247&lt;3.5,"Needs Improvement")</f>
        <v>Good</v>
      </c>
      <c r="M247" s="18"/>
      <c r="N247" s="18">
        <v>179640</v>
      </c>
      <c r="O247" s="54" t="str">
        <f t="shared" si="85"/>
        <v>Yes</v>
      </c>
      <c r="Q247" s="18">
        <v>7.13</v>
      </c>
      <c r="R247" s="56" t="str">
        <f t="shared" si="69"/>
        <v>Yes</v>
      </c>
      <c r="W247" s="18" t="s">
        <v>677</v>
      </c>
      <c r="X247" s="54" t="str">
        <f>VLOOKUP(W247,Employees!$A$1:$B$601,2,FALSE)</f>
        <v>Saurav Sahu</v>
      </c>
      <c r="Z247" s="4" t="s">
        <v>768</v>
      </c>
      <c r="AA247" s="54" t="str">
        <f t="shared" si="70"/>
        <v>0246</v>
      </c>
      <c r="AC247" s="4" t="s">
        <v>176</v>
      </c>
      <c r="AD247" s="54" t="str">
        <f t="shared" si="71"/>
        <v>Finance</v>
      </c>
      <c r="AF247" s="4" t="s">
        <v>769</v>
      </c>
      <c r="AG247" s="4" t="s">
        <v>176</v>
      </c>
      <c r="AH247" s="4" t="s">
        <v>214</v>
      </c>
      <c r="AI247" s="54" t="str">
        <f t="shared" si="72"/>
        <v>Tanmay Tripathy|Finance|ZeroOneSystems</v>
      </c>
      <c r="AK247" s="4" t="s">
        <v>769</v>
      </c>
      <c r="AL247" s="38" t="str">
        <f t="shared" si="73"/>
        <v>T.T.</v>
      </c>
      <c r="AN247" s="18" t="s">
        <v>5077</v>
      </c>
      <c r="AO247" s="54" t="b">
        <f t="shared" si="74"/>
        <v>0</v>
      </c>
      <c r="AQ247" s="4" t="s">
        <v>769</v>
      </c>
      <c r="AR247" s="52" t="str">
        <f t="shared" si="75"/>
        <v>NO</v>
      </c>
      <c r="AW247" s="54">
        <f ca="1">DATEDIF(BI247,TODAY(),"Y")</f>
        <v>2</v>
      </c>
      <c r="AX247" s="54"/>
      <c r="AY247" s="41" t="s">
        <v>5493</v>
      </c>
      <c r="AZ247" s="44">
        <f t="shared" si="77"/>
        <v>45353</v>
      </c>
      <c r="BA247" s="54" t="str">
        <f t="shared" si="78"/>
        <v>3-2024</v>
      </c>
      <c r="BH247" s="4" t="s">
        <v>770</v>
      </c>
      <c r="BI247" s="51">
        <f t="shared" si="86"/>
        <v>45217</v>
      </c>
      <c r="BJ247" s="38">
        <f t="shared" ca="1" si="87"/>
        <v>738</v>
      </c>
      <c r="BK247" s="38"/>
      <c r="BL247" s="38" t="str">
        <f t="shared" si="88"/>
        <v>No</v>
      </c>
      <c r="BM247" s="59">
        <f t="shared" si="81"/>
        <v>45353</v>
      </c>
      <c r="BN247" s="51">
        <f t="shared" si="89"/>
        <v>45217</v>
      </c>
      <c r="BO247" s="54">
        <f t="shared" si="82"/>
        <v>136</v>
      </c>
      <c r="BP247" s="4" t="s">
        <v>768</v>
      </c>
      <c r="BQ247" s="4" t="s">
        <v>176</v>
      </c>
      <c r="BR247" s="18" t="s">
        <v>677</v>
      </c>
      <c r="BS247" s="18" t="s">
        <v>2756</v>
      </c>
      <c r="BT247" s="54" t="str">
        <f t="shared" si="83"/>
        <v>DevOps</v>
      </c>
      <c r="BV247" s="4" t="s">
        <v>768</v>
      </c>
      <c r="BW247" s="4" t="s">
        <v>769</v>
      </c>
      <c r="CB247" s="18" t="s">
        <v>5492</v>
      </c>
      <c r="CC247" s="4" t="s">
        <v>769</v>
      </c>
      <c r="CD247" s="4" t="s">
        <v>229</v>
      </c>
      <c r="CE247" s="54" t="str">
        <v>Not Found</v>
      </c>
      <c r="CG247" s="54" t="str">
        <f>IFERROR(_xlfn.XLOOKUP(Hiring!A247,Hiring!A247:A646,Hiring!B247:B646,,0),"Not Found")</f>
        <v>Satyajit Prusty</v>
      </c>
    </row>
    <row r="248" spans="2:85">
      <c r="B248" s="100"/>
      <c r="F248" s="3">
        <v>0</v>
      </c>
      <c r="G248" s="52" t="str" cm="1">
        <f t="array" ref="G248">_xlfn.IFS(F248&gt;=4.5,"Excellent",AND(F248&gt;=3.5,F248&lt;=4.4),"Good",F248&lt;3.5,"Needs Improvement")</f>
        <v>Needs Improvement</v>
      </c>
      <c r="M248" s="19"/>
      <c r="N248" s="19">
        <v>23356</v>
      </c>
      <c r="O248" s="54" t="str">
        <f t="shared" si="85"/>
        <v>Yes</v>
      </c>
      <c r="Q248" s="19">
        <v>11.18</v>
      </c>
      <c r="R248" s="56" t="str">
        <f t="shared" si="69"/>
        <v>Yes</v>
      </c>
      <c r="W248" s="19" t="s">
        <v>677</v>
      </c>
      <c r="X248" s="54" t="str">
        <f>VLOOKUP(W248,Employees!$A$1:$B$601,2,FALSE)</f>
        <v>Saurav Sahu</v>
      </c>
      <c r="Z248" s="3" t="s">
        <v>771</v>
      </c>
      <c r="AA248" s="54" t="str">
        <f t="shared" si="70"/>
        <v>0247</v>
      </c>
      <c r="AC248" s="3" t="s">
        <v>118</v>
      </c>
      <c r="AD248" s="54" t="str">
        <f t="shared" si="71"/>
        <v>Marketing</v>
      </c>
      <c r="AF248" s="3" t="s">
        <v>772</v>
      </c>
      <c r="AG248" s="3" t="s">
        <v>118</v>
      </c>
      <c r="AH248" s="3" t="s">
        <v>172</v>
      </c>
      <c r="AI248" s="54" t="str">
        <f t="shared" si="72"/>
        <v>Nirmal Tripathy|Marketing|TechNova Solutions</v>
      </c>
      <c r="AK248" s="3" t="s">
        <v>772</v>
      </c>
      <c r="AL248" s="38" t="str">
        <f t="shared" si="73"/>
        <v>N.T.</v>
      </c>
      <c r="AN248" s="19" t="s">
        <v>5077</v>
      </c>
      <c r="AO248" s="54" t="b">
        <f t="shared" si="74"/>
        <v>0</v>
      </c>
      <c r="AQ248" s="3" t="s">
        <v>772</v>
      </c>
      <c r="AR248" s="52" t="str">
        <f t="shared" si="75"/>
        <v>NO</v>
      </c>
      <c r="AW248" s="54">
        <f ca="1">DATEDIF(BI248,TODAY(),"Y")</f>
        <v>3</v>
      </c>
      <c r="AX248" s="54"/>
      <c r="AY248" s="40" t="s">
        <v>1092</v>
      </c>
      <c r="AZ248" s="44">
        <f t="shared" si="77"/>
        <v>45137</v>
      </c>
      <c r="BA248" s="54" t="str">
        <f t="shared" si="78"/>
        <v>7-2023</v>
      </c>
      <c r="BH248" s="3" t="s">
        <v>773</v>
      </c>
      <c r="BI248" s="51">
        <f t="shared" si="86"/>
        <v>45059</v>
      </c>
      <c r="BJ248" s="38">
        <f t="shared" ca="1" si="87"/>
        <v>850</v>
      </c>
      <c r="BK248" s="38"/>
      <c r="BL248" s="38" t="str">
        <f t="shared" si="88"/>
        <v>No</v>
      </c>
      <c r="BM248" s="59">
        <f t="shared" si="81"/>
        <v>45137</v>
      </c>
      <c r="BN248" s="51">
        <f t="shared" si="89"/>
        <v>45059</v>
      </c>
      <c r="BO248" s="54">
        <f t="shared" si="82"/>
        <v>78</v>
      </c>
      <c r="BP248" s="3" t="s">
        <v>771</v>
      </c>
      <c r="BQ248" s="3" t="s">
        <v>118</v>
      </c>
      <c r="BR248" s="19" t="s">
        <v>677</v>
      </c>
      <c r="BS248" s="19" t="s">
        <v>2757</v>
      </c>
      <c r="BT248" s="54" t="str">
        <f t="shared" si="83"/>
        <v>DevOps</v>
      </c>
      <c r="BV248" s="3" t="s">
        <v>771</v>
      </c>
      <c r="BW248" s="3" t="s">
        <v>772</v>
      </c>
      <c r="CB248" s="19" t="s">
        <v>5179</v>
      </c>
      <c r="CC248" s="3" t="s">
        <v>772</v>
      </c>
      <c r="CD248" s="3" t="s">
        <v>254</v>
      </c>
      <c r="CE248" s="54" t="str">
        <v>Not Found</v>
      </c>
      <c r="CG248" s="54" t="str">
        <f>IFERROR(_xlfn.XLOOKUP(Hiring!A248,Hiring!A248:A647,Hiring!B248:B647,,0),"Not Found")</f>
        <v>Rajan Mohapatra</v>
      </c>
    </row>
    <row r="249" spans="2:85">
      <c r="B249" s="100"/>
      <c r="F249" s="4">
        <v>0</v>
      </c>
      <c r="G249" s="52" t="str" cm="1">
        <f t="array" ref="G249">_xlfn.IFS(F249&gt;=4.5,"Excellent",AND(F249&gt;=3.5,F249&lt;=4.4),"Good",F249&lt;3.5,"Needs Improvement")</f>
        <v>Needs Improvement</v>
      </c>
      <c r="M249" s="18"/>
      <c r="N249" s="18">
        <v>78520</v>
      </c>
      <c r="O249" s="54" t="str">
        <f t="shared" si="85"/>
        <v>Yes</v>
      </c>
      <c r="Q249" s="18">
        <v>9.98</v>
      </c>
      <c r="R249" s="56" t="str">
        <f t="shared" si="69"/>
        <v>Yes</v>
      </c>
      <c r="W249" s="18" t="s">
        <v>677</v>
      </c>
      <c r="X249" s="54" t="str">
        <f>VLOOKUP(W249,Employees!$A$1:$B$601,2,FALSE)</f>
        <v>Saurav Sahu</v>
      </c>
      <c r="Z249" s="4" t="s">
        <v>774</v>
      </c>
      <c r="AA249" s="54" t="str">
        <f t="shared" si="70"/>
        <v>0248</v>
      </c>
      <c r="AC249" s="4" t="s">
        <v>89</v>
      </c>
      <c r="AD249" s="54" t="str">
        <f t="shared" si="71"/>
        <v>Data Science</v>
      </c>
      <c r="AF249" s="4" t="s">
        <v>775</v>
      </c>
      <c r="AG249" s="4" t="s">
        <v>89</v>
      </c>
      <c r="AH249" s="4" t="s">
        <v>114</v>
      </c>
      <c r="AI249" s="54" t="str">
        <f t="shared" si="72"/>
        <v>Sudhansu Biswal|Data Science|UtkalSoft Technologies</v>
      </c>
      <c r="AK249" s="4" t="s">
        <v>775</v>
      </c>
      <c r="AL249" s="38" t="str">
        <f t="shared" si="73"/>
        <v>S.B.</v>
      </c>
      <c r="AN249" s="18" t="s">
        <v>5077</v>
      </c>
      <c r="AO249" s="54" t="b">
        <f t="shared" si="74"/>
        <v>0</v>
      </c>
      <c r="AQ249" s="4" t="s">
        <v>775</v>
      </c>
      <c r="AR249" s="52" t="str">
        <f t="shared" si="75"/>
        <v>NO</v>
      </c>
      <c r="AW249" s="54">
        <f ca="1">DATEDIF(BI249,TODAY(),"Y")</f>
        <v>3</v>
      </c>
      <c r="AX249" s="54"/>
      <c r="AY249" s="41" t="s">
        <v>5497</v>
      </c>
      <c r="AZ249" s="44">
        <f t="shared" si="77"/>
        <v>45456</v>
      </c>
      <c r="BA249" s="54" t="str">
        <f t="shared" si="78"/>
        <v>6-2024</v>
      </c>
      <c r="BH249" s="4" t="s">
        <v>776</v>
      </c>
      <c r="BI249" s="51">
        <f t="shared" si="86"/>
        <v>44824</v>
      </c>
      <c r="BJ249" s="38">
        <f t="shared" ca="1" si="87"/>
        <v>1019</v>
      </c>
      <c r="BK249" s="38"/>
      <c r="BL249" s="38" t="str">
        <f t="shared" si="88"/>
        <v>No</v>
      </c>
      <c r="BM249" s="59">
        <f t="shared" si="81"/>
        <v>45456</v>
      </c>
      <c r="BN249" s="51">
        <f t="shared" si="89"/>
        <v>44824</v>
      </c>
      <c r="BO249" s="54">
        <f t="shared" si="82"/>
        <v>632</v>
      </c>
      <c r="BP249" s="4" t="s">
        <v>774</v>
      </c>
      <c r="BQ249" s="4" t="s">
        <v>89</v>
      </c>
      <c r="BR249" s="18" t="s">
        <v>677</v>
      </c>
      <c r="BS249" s="18" t="s">
        <v>2759</v>
      </c>
      <c r="BT249" s="54" t="str">
        <f t="shared" si="83"/>
        <v>DevOps</v>
      </c>
      <c r="BV249" s="4" t="s">
        <v>774</v>
      </c>
      <c r="BW249" s="4" t="s">
        <v>775</v>
      </c>
      <c r="CB249" s="18" t="s">
        <v>5496</v>
      </c>
      <c r="CC249" s="4" t="s">
        <v>775</v>
      </c>
      <c r="CD249" s="4" t="s">
        <v>221</v>
      </c>
      <c r="CE249" s="54" t="str">
        <v>Not Found</v>
      </c>
      <c r="CG249" s="54" t="str">
        <f>IFERROR(_xlfn.XLOOKUP(Hiring!A249,Hiring!A249:A648,Hiring!B249:B648,,0),"Not Found")</f>
        <v>Ranjit Senapati</v>
      </c>
    </row>
    <row r="250" spans="2:85">
      <c r="B250" s="100"/>
      <c r="F250" s="3">
        <v>2.1</v>
      </c>
      <c r="G250" s="52" t="str" cm="1">
        <f t="array" ref="G250">_xlfn.IFS(F250&gt;=4.5,"Excellent",AND(F250&gt;=3.5,F250&lt;=4.4),"Good",F250&lt;3.5,"Needs Improvement")</f>
        <v>Needs Improvement</v>
      </c>
      <c r="M250" s="19">
        <v>47962</v>
      </c>
      <c r="N250" s="19">
        <v>46571</v>
      </c>
      <c r="O250" s="54" t="str">
        <f t="shared" si="85"/>
        <v>Yes</v>
      </c>
      <c r="Q250" s="19">
        <v>8.0299999999999994</v>
      </c>
      <c r="R250" s="56" t="str">
        <f t="shared" si="69"/>
        <v>Yes</v>
      </c>
      <c r="W250" s="19" t="s">
        <v>677</v>
      </c>
      <c r="X250" s="54" t="str">
        <f>VLOOKUP(W250,Employees!$A$1:$B$601,2,FALSE)</f>
        <v>Saurav Sahu</v>
      </c>
      <c r="Z250" s="3" t="s">
        <v>777</v>
      </c>
      <c r="AA250" s="54" t="str">
        <f t="shared" si="70"/>
        <v>0249</v>
      </c>
      <c r="AC250" s="3" t="s">
        <v>778</v>
      </c>
      <c r="AD250" s="54" t="str">
        <f t="shared" si="71"/>
        <v>Product</v>
      </c>
      <c r="AF250" s="3" t="s">
        <v>702</v>
      </c>
      <c r="AG250" s="3" t="s">
        <v>778</v>
      </c>
      <c r="AH250" s="3" t="s">
        <v>172</v>
      </c>
      <c r="AI250" s="54" t="str">
        <f t="shared" si="72"/>
        <v>Sangita Samal|product|TechNova Solutions</v>
      </c>
      <c r="AK250" s="3" t="s">
        <v>702</v>
      </c>
      <c r="AL250" s="38" t="str">
        <f t="shared" si="73"/>
        <v>S.S.</v>
      </c>
      <c r="AN250" s="19" t="s">
        <v>5019</v>
      </c>
      <c r="AO250" s="54" t="str">
        <f t="shared" si="74"/>
        <v>Linkedln</v>
      </c>
      <c r="AQ250" s="3" t="s">
        <v>702</v>
      </c>
      <c r="AR250" s="52" t="str">
        <f t="shared" si="75"/>
        <v>NO</v>
      </c>
      <c r="AW250" s="54">
        <f ca="1">DATEDIF(BI250,TODAY(),"Y")</f>
        <v>7</v>
      </c>
      <c r="AX250" s="54"/>
      <c r="AY250" s="40" t="s">
        <v>5500</v>
      </c>
      <c r="AZ250" s="44">
        <f t="shared" si="77"/>
        <v>45229</v>
      </c>
      <c r="BA250" s="54" t="str">
        <f t="shared" si="78"/>
        <v>10-2023</v>
      </c>
      <c r="BH250" s="3" t="s">
        <v>779</v>
      </c>
      <c r="BI250" s="51">
        <f t="shared" si="86"/>
        <v>43377</v>
      </c>
      <c r="BJ250" s="38">
        <f t="shared" ca="1" si="87"/>
        <v>2052</v>
      </c>
      <c r="BK250" s="38"/>
      <c r="BL250" s="38" t="str">
        <f t="shared" si="88"/>
        <v>No</v>
      </c>
      <c r="BM250" s="59">
        <f t="shared" si="81"/>
        <v>45229</v>
      </c>
      <c r="BN250" s="51">
        <f t="shared" si="89"/>
        <v>43377</v>
      </c>
      <c r="BO250" s="54">
        <f t="shared" si="82"/>
        <v>1852</v>
      </c>
      <c r="BP250" s="3" t="s">
        <v>777</v>
      </c>
      <c r="BQ250" s="3" t="s">
        <v>778</v>
      </c>
      <c r="BR250" s="19" t="s">
        <v>677</v>
      </c>
      <c r="BS250" s="19" t="s">
        <v>2760</v>
      </c>
      <c r="BT250" s="54" t="str">
        <f t="shared" si="83"/>
        <v>DevOps</v>
      </c>
      <c r="BV250" s="3" t="s">
        <v>777</v>
      </c>
      <c r="BW250" s="3" t="s">
        <v>702</v>
      </c>
      <c r="CB250" s="19" t="s">
        <v>5499</v>
      </c>
      <c r="CC250" s="3" t="s">
        <v>702</v>
      </c>
      <c r="CD250" s="3" t="s">
        <v>64</v>
      </c>
      <c r="CE250" s="54" t="str">
        <v>Not Found</v>
      </c>
      <c r="CG250" s="54" t="str">
        <f>IFERROR(_xlfn.XLOOKUP(Hiring!A250,Hiring!A250:A649,Hiring!B250:B649,,0),"Not Found")</f>
        <v>Satyajit Behura</v>
      </c>
    </row>
    <row r="251" spans="2:85">
      <c r="B251" s="100"/>
      <c r="F251" s="4">
        <v>2</v>
      </c>
      <c r="G251" s="52" t="str" cm="1">
        <f t="array" ref="G251">_xlfn.IFS(F251&gt;=4.5,"Excellent",AND(F251&gt;=3.5,F251&lt;=4.4),"Good",F251&lt;3.5,"Needs Improvement")</f>
        <v>Needs Improvement</v>
      </c>
      <c r="M251" s="18">
        <v>182606</v>
      </c>
      <c r="N251" s="18">
        <v>174791</v>
      </c>
      <c r="O251" s="54" t="str">
        <f t="shared" si="85"/>
        <v>Yes</v>
      </c>
      <c r="Q251" s="18">
        <v>8.67</v>
      </c>
      <c r="R251" s="56" t="str">
        <f t="shared" si="69"/>
        <v>Yes</v>
      </c>
      <c r="W251" s="18" t="s">
        <v>677</v>
      </c>
      <c r="X251" s="54" t="str">
        <f>VLOOKUP(W251,Employees!$A$1:$B$601,2,FALSE)</f>
        <v>Saurav Sahu</v>
      </c>
      <c r="Z251" s="4" t="s">
        <v>780</v>
      </c>
      <c r="AA251" s="54" t="str">
        <f t="shared" si="70"/>
        <v>0250</v>
      </c>
      <c r="AC251" s="4" t="s">
        <v>51</v>
      </c>
      <c r="AD251" s="54" t="str">
        <f t="shared" si="71"/>
        <v>Sales</v>
      </c>
      <c r="AF251" s="4" t="s">
        <v>263</v>
      </c>
      <c r="AG251" s="4" t="s">
        <v>51</v>
      </c>
      <c r="AH251" s="4" t="s">
        <v>18</v>
      </c>
      <c r="AI251" s="54" t="str">
        <f t="shared" si="72"/>
        <v>Satyajit Choudhury|Sales|CoastalDev Studio</v>
      </c>
      <c r="AK251" s="4" t="s">
        <v>263</v>
      </c>
      <c r="AL251" s="38" t="str">
        <f t="shared" si="73"/>
        <v>S.C.</v>
      </c>
      <c r="AN251" s="18" t="s">
        <v>5016</v>
      </c>
      <c r="AO251" s="54" t="b">
        <f t="shared" si="74"/>
        <v>0</v>
      </c>
      <c r="AQ251" s="4" t="s">
        <v>263</v>
      </c>
      <c r="AR251" s="52" t="str">
        <f t="shared" si="75"/>
        <v>NO</v>
      </c>
      <c r="AW251" s="54">
        <f ca="1">DATEDIF(BI251,TODAY(),"Y")</f>
        <v>2</v>
      </c>
      <c r="AX251" s="54"/>
      <c r="AY251" s="41" t="s">
        <v>5503</v>
      </c>
      <c r="AZ251" s="44">
        <f t="shared" si="77"/>
        <v>45348</v>
      </c>
      <c r="BA251" s="54" t="str">
        <f t="shared" si="78"/>
        <v>2-2024</v>
      </c>
      <c r="BH251" s="4" t="s">
        <v>781</v>
      </c>
      <c r="BI251" s="51">
        <f t="shared" si="86"/>
        <v>45386</v>
      </c>
      <c r="BJ251" s="38">
        <f t="shared" ca="1" si="87"/>
        <v>617</v>
      </c>
      <c r="BK251" s="38"/>
      <c r="BL251" s="38" t="str">
        <f t="shared" si="88"/>
        <v>No</v>
      </c>
      <c r="BM251" s="59">
        <f t="shared" si="81"/>
        <v>45348</v>
      </c>
      <c r="BN251" s="51">
        <f t="shared" si="89"/>
        <v>45386</v>
      </c>
      <c r="BO251" s="54">
        <f t="shared" si="82"/>
        <v>38</v>
      </c>
      <c r="BP251" s="4" t="s">
        <v>780</v>
      </c>
      <c r="BQ251" s="4" t="s">
        <v>51</v>
      </c>
      <c r="BR251" s="18" t="s">
        <v>677</v>
      </c>
      <c r="BS251" s="18" t="s">
        <v>2763</v>
      </c>
      <c r="BT251" s="54" t="str">
        <f t="shared" si="83"/>
        <v>DevOps</v>
      </c>
      <c r="BV251" s="4" t="s">
        <v>780</v>
      </c>
      <c r="BW251" s="4" t="s">
        <v>263</v>
      </c>
      <c r="CB251" s="18" t="s">
        <v>5502</v>
      </c>
      <c r="CC251" s="4" t="s">
        <v>263</v>
      </c>
      <c r="CD251" s="4" t="s">
        <v>52</v>
      </c>
      <c r="CE251" s="54" t="str">
        <v>Not Found</v>
      </c>
      <c r="CG251" s="54" t="str">
        <f>IFERROR(_xlfn.XLOOKUP(Hiring!A251,Hiring!A251:A650,Hiring!B251:B650,,0),"Not Found")</f>
        <v>Puspita Sahu</v>
      </c>
    </row>
    <row r="252" spans="2:85">
      <c r="B252" s="100"/>
      <c r="F252" s="3">
        <v>3.4</v>
      </c>
      <c r="G252" s="52" t="str" cm="1">
        <f t="array" ref="G252">_xlfn.IFS(F252&gt;=4.5,"Excellent",AND(F252&gt;=3.5,F252&lt;=4.4),"Good",F252&lt;3.5,"Needs Improvement")</f>
        <v>Needs Improvement</v>
      </c>
      <c r="M252" s="19">
        <v>105775</v>
      </c>
      <c r="N252" s="19">
        <v>94204</v>
      </c>
      <c r="O252" s="54" t="str">
        <f t="shared" si="85"/>
        <v>Yes</v>
      </c>
      <c r="Q252" s="19">
        <v>8.74</v>
      </c>
      <c r="R252" s="56" t="str">
        <f t="shared" si="69"/>
        <v>Yes</v>
      </c>
      <c r="W252" s="19" t="s">
        <v>677</v>
      </c>
      <c r="X252" s="54" t="str">
        <f>VLOOKUP(W252,Employees!$A$1:$B$601,2,FALSE)</f>
        <v>Saurav Sahu</v>
      </c>
      <c r="Z252" s="3" t="s">
        <v>782</v>
      </c>
      <c r="AA252" s="54" t="str">
        <f t="shared" si="70"/>
        <v>0251</v>
      </c>
      <c r="AC252" s="3" t="s">
        <v>24</v>
      </c>
      <c r="AD252" s="54" t="str">
        <f t="shared" si="71"/>
        <v>Design</v>
      </c>
      <c r="AF252" s="3" t="s">
        <v>88</v>
      </c>
      <c r="AG252" s="3" t="s">
        <v>24</v>
      </c>
      <c r="AH252" s="3" t="s">
        <v>18</v>
      </c>
      <c r="AI252" s="54" t="str">
        <f t="shared" si="72"/>
        <v>Nirmal Samal|Design|CoastalDev Studio</v>
      </c>
      <c r="AK252" s="3" t="s">
        <v>88</v>
      </c>
      <c r="AL252" s="38" t="str">
        <f t="shared" si="73"/>
        <v>N.S.</v>
      </c>
      <c r="AN252" s="19" t="s">
        <v>5016</v>
      </c>
      <c r="AO252" s="54" t="b">
        <f t="shared" si="74"/>
        <v>0</v>
      </c>
      <c r="AQ252" s="3" t="s">
        <v>88</v>
      </c>
      <c r="AR252" s="52" t="str">
        <f t="shared" si="75"/>
        <v>NO</v>
      </c>
      <c r="AW252" s="54">
        <f ca="1">DATEDIF(BI252,TODAY(),"Y")</f>
        <v>6</v>
      </c>
      <c r="AX252" s="54"/>
      <c r="AY252" s="40" t="s">
        <v>1824</v>
      </c>
      <c r="AZ252" s="44">
        <f t="shared" si="77"/>
        <v>45060</v>
      </c>
      <c r="BA252" s="54" t="str">
        <f t="shared" si="78"/>
        <v>5-2023</v>
      </c>
      <c r="BH252" s="3" t="s">
        <v>783</v>
      </c>
      <c r="BI252" s="51">
        <f t="shared" si="86"/>
        <v>43720</v>
      </c>
      <c r="BJ252" s="38">
        <f t="shared" ca="1" si="87"/>
        <v>1807</v>
      </c>
      <c r="BK252" s="38"/>
      <c r="BL252" s="38" t="str">
        <f t="shared" si="88"/>
        <v>No</v>
      </c>
      <c r="BM252" s="59">
        <f t="shared" si="81"/>
        <v>45060</v>
      </c>
      <c r="BN252" s="51">
        <f t="shared" si="89"/>
        <v>43720</v>
      </c>
      <c r="BO252" s="54">
        <f t="shared" si="82"/>
        <v>1340</v>
      </c>
      <c r="BP252" s="3" t="s">
        <v>782</v>
      </c>
      <c r="BQ252" s="3" t="s">
        <v>24</v>
      </c>
      <c r="BR252" s="19" t="s">
        <v>677</v>
      </c>
      <c r="BS252" s="19" t="s">
        <v>2764</v>
      </c>
      <c r="BT252" s="54" t="str">
        <f t="shared" si="83"/>
        <v>DevOps</v>
      </c>
      <c r="BV252" s="3" t="s">
        <v>782</v>
      </c>
      <c r="BW252" s="3" t="s">
        <v>88</v>
      </c>
      <c r="CB252" s="19" t="s">
        <v>848</v>
      </c>
      <c r="CC252" s="3" t="s">
        <v>88</v>
      </c>
      <c r="CD252" s="3" t="s">
        <v>25</v>
      </c>
      <c r="CE252" s="54" t="str">
        <v>Product Manager</v>
      </c>
      <c r="CG252" s="54" t="str">
        <f>IFERROR(_xlfn.XLOOKUP(Hiring!A252,Hiring!A252:A651,Hiring!B252:B651,,0),"Not Found")</f>
        <v>Satyajit Senapati</v>
      </c>
    </row>
    <row r="253" spans="2:85">
      <c r="B253" s="100"/>
      <c r="F253" s="4">
        <v>4.7</v>
      </c>
      <c r="G253" s="52" t="str" cm="1">
        <f t="array" ref="G253">_xlfn.IFS(F253&gt;=4.5,"Excellent",AND(F253&gt;=3.5,F253&lt;=4.4),"Good",F253&lt;3.5,"Needs Improvement")</f>
        <v>Excellent</v>
      </c>
      <c r="M253" s="18">
        <v>90363</v>
      </c>
      <c r="N253" s="18">
        <v>91867</v>
      </c>
      <c r="O253" s="54" t="str">
        <f t="shared" si="85"/>
        <v>Yes</v>
      </c>
      <c r="Q253" s="18">
        <v>11.23</v>
      </c>
      <c r="R253" s="56" t="str">
        <f t="shared" si="69"/>
        <v>Yes</v>
      </c>
      <c r="W253" s="18" t="s">
        <v>677</v>
      </c>
      <c r="X253" s="54" t="str">
        <f>VLOOKUP(W253,Employees!$A$1:$B$601,2,FALSE)</f>
        <v>Saurav Sahu</v>
      </c>
      <c r="Z253" s="4" t="s">
        <v>784</v>
      </c>
      <c r="AA253" s="54" t="str">
        <f t="shared" si="70"/>
        <v>0252</v>
      </c>
      <c r="AC253" s="4" t="s">
        <v>24</v>
      </c>
      <c r="AD253" s="54" t="str">
        <f t="shared" si="71"/>
        <v>Design</v>
      </c>
      <c r="AF253" s="4" t="s">
        <v>785</v>
      </c>
      <c r="AG253" s="4" t="s">
        <v>24</v>
      </c>
      <c r="AH253" s="4" t="s">
        <v>114</v>
      </c>
      <c r="AI253" s="54" t="str">
        <f t="shared" si="72"/>
        <v>Alka Behura|Design|UtkalSoft Technologies</v>
      </c>
      <c r="AK253" s="4" t="s">
        <v>785</v>
      </c>
      <c r="AL253" s="38" t="str">
        <f t="shared" si="73"/>
        <v>A.B.</v>
      </c>
      <c r="AN253" s="18" t="s">
        <v>5051</v>
      </c>
      <c r="AO253" s="54" t="str">
        <f t="shared" si="74"/>
        <v>Naukri</v>
      </c>
      <c r="AQ253" s="4" t="s">
        <v>785</v>
      </c>
      <c r="AR253" s="52" t="str">
        <f t="shared" si="75"/>
        <v>NO</v>
      </c>
      <c r="AW253" s="54">
        <f ca="1">DATEDIF(BI253,TODAY(),"Y")</f>
        <v>6</v>
      </c>
      <c r="AX253" s="54"/>
      <c r="AY253" s="41" t="s">
        <v>5506</v>
      </c>
      <c r="AZ253" s="44">
        <f t="shared" si="77"/>
        <v>45519</v>
      </c>
      <c r="BA253" s="54" t="str">
        <f t="shared" si="78"/>
        <v>8-2024</v>
      </c>
      <c r="BH253" s="4" t="s">
        <v>786</v>
      </c>
      <c r="BI253" s="51">
        <f t="shared" si="86"/>
        <v>43895</v>
      </c>
      <c r="BJ253" s="38">
        <f t="shared" ca="1" si="87"/>
        <v>1682</v>
      </c>
      <c r="BK253" s="38"/>
      <c r="BL253" s="38" t="str">
        <f t="shared" si="88"/>
        <v>Q1</v>
      </c>
      <c r="BM253" s="59">
        <f t="shared" si="81"/>
        <v>45519</v>
      </c>
      <c r="BN253" s="51">
        <f t="shared" si="89"/>
        <v>43895</v>
      </c>
      <c r="BO253" s="54">
        <f t="shared" si="82"/>
        <v>1624</v>
      </c>
      <c r="BP253" s="4" t="s">
        <v>784</v>
      </c>
      <c r="BQ253" s="4" t="s">
        <v>24</v>
      </c>
      <c r="BR253" s="18" t="s">
        <v>677</v>
      </c>
      <c r="BS253" s="18" t="s">
        <v>2765</v>
      </c>
      <c r="BT253" s="54" t="str">
        <f t="shared" si="83"/>
        <v>DevOps</v>
      </c>
      <c r="BV253" s="4" t="s">
        <v>784</v>
      </c>
      <c r="BW253" s="4" t="s">
        <v>785</v>
      </c>
      <c r="CB253" s="18" t="s">
        <v>5307</v>
      </c>
      <c r="CC253" s="4" t="s">
        <v>785</v>
      </c>
      <c r="CD253" s="4" t="s">
        <v>45</v>
      </c>
      <c r="CE253" s="54" t="str">
        <v>Not Found</v>
      </c>
      <c r="CG253" s="54" t="str">
        <f>IFERROR(_xlfn.XLOOKUP(Hiring!A253,Hiring!A253:A652,Hiring!B253:B652,,0),"Not Found")</f>
        <v>Jyotirmayee Choudhury</v>
      </c>
    </row>
    <row r="254" spans="2:85">
      <c r="B254" s="100"/>
      <c r="F254" s="3">
        <v>2</v>
      </c>
      <c r="G254" s="52" t="str" cm="1">
        <f t="array" ref="G254">_xlfn.IFS(F254&gt;=4.5,"Excellent",AND(F254&gt;=3.5,F254&lt;=4.4),"Good",F254&lt;3.5,"Needs Improvement")</f>
        <v>Needs Improvement</v>
      </c>
      <c r="M254" s="19">
        <v>34522</v>
      </c>
      <c r="N254" s="19">
        <v>35845</v>
      </c>
      <c r="O254" s="54" t="str">
        <f t="shared" si="85"/>
        <v>Yes</v>
      </c>
      <c r="Q254" s="19">
        <v>9</v>
      </c>
      <c r="R254" s="56" t="str">
        <f t="shared" si="69"/>
        <v>Yes</v>
      </c>
      <c r="W254" s="19" t="s">
        <v>677</v>
      </c>
      <c r="X254" s="54" t="str">
        <f>VLOOKUP(W254,Employees!$A$1:$B$601,2,FALSE)</f>
        <v>Saurav Sahu</v>
      </c>
      <c r="Z254" s="3" t="s">
        <v>787</v>
      </c>
      <c r="AA254" s="54" t="str">
        <f t="shared" si="70"/>
        <v>0253</v>
      </c>
      <c r="AC254" s="3" t="s">
        <v>63</v>
      </c>
      <c r="AD254" s="54" t="str">
        <f t="shared" si="71"/>
        <v>Product</v>
      </c>
      <c r="AF254" s="3" t="s">
        <v>788</v>
      </c>
      <c r="AG254" s="3" t="s">
        <v>63</v>
      </c>
      <c r="AH254" s="3" t="s">
        <v>75</v>
      </c>
      <c r="AI254" s="54" t="str">
        <f t="shared" si="72"/>
        <v>Subhasree Padhi|Product|KalingaTech Pvt Ltd</v>
      </c>
      <c r="AK254" s="3" t="s">
        <v>788</v>
      </c>
      <c r="AL254" s="38" t="str">
        <f t="shared" si="73"/>
        <v>S.P.</v>
      </c>
      <c r="AN254" s="19" t="s">
        <v>5016</v>
      </c>
      <c r="AO254" s="54" t="b">
        <f t="shared" si="74"/>
        <v>0</v>
      </c>
      <c r="AQ254" s="3" t="s">
        <v>788</v>
      </c>
      <c r="AR254" s="52" t="str">
        <f t="shared" si="75"/>
        <v>NO</v>
      </c>
      <c r="AW254" s="54">
        <f ca="1">DATEDIF(BI254,TODAY(),"Y")</f>
        <v>8</v>
      </c>
      <c r="AX254" s="54"/>
      <c r="AY254" s="40" t="s">
        <v>1718</v>
      </c>
      <c r="AZ254" s="44">
        <f t="shared" si="77"/>
        <v>45591</v>
      </c>
      <c r="BA254" s="54" t="str">
        <f t="shared" si="78"/>
        <v>10-2024</v>
      </c>
      <c r="BH254" s="3" t="s">
        <v>789</v>
      </c>
      <c r="BI254" s="51">
        <f t="shared" si="86"/>
        <v>43239</v>
      </c>
      <c r="BJ254" s="38">
        <f t="shared" ca="1" si="87"/>
        <v>2150</v>
      </c>
      <c r="BK254" s="38"/>
      <c r="BL254" s="38" t="str">
        <f t="shared" si="88"/>
        <v>No</v>
      </c>
      <c r="BM254" s="59">
        <f t="shared" si="81"/>
        <v>45591</v>
      </c>
      <c r="BN254" s="51">
        <f t="shared" si="89"/>
        <v>43239</v>
      </c>
      <c r="BO254" s="54">
        <f t="shared" si="82"/>
        <v>2352</v>
      </c>
      <c r="BP254" s="3" t="s">
        <v>787</v>
      </c>
      <c r="BQ254" s="3" t="s">
        <v>63</v>
      </c>
      <c r="BR254" s="19" t="s">
        <v>677</v>
      </c>
      <c r="BS254" s="19" t="s">
        <v>2768</v>
      </c>
      <c r="BT254" s="54" t="str">
        <f t="shared" si="83"/>
        <v>DevOps</v>
      </c>
      <c r="BV254" s="3" t="s">
        <v>787</v>
      </c>
      <c r="BW254" s="3" t="s">
        <v>788</v>
      </c>
      <c r="CB254" s="19" t="s">
        <v>1328</v>
      </c>
      <c r="CC254" s="3" t="s">
        <v>788</v>
      </c>
      <c r="CD254" s="3" t="s">
        <v>64</v>
      </c>
      <c r="CE254" s="54" t="str">
        <v>Data Scientist</v>
      </c>
      <c r="CG254" s="54" t="str">
        <f>IFERROR(_xlfn.XLOOKUP(Hiring!A254,Hiring!A254:A653,Hiring!B254:B653,,0),"Not Found")</f>
        <v>Bikash Mahapatra</v>
      </c>
    </row>
    <row r="255" spans="2:85">
      <c r="B255" s="100"/>
      <c r="F255" s="4">
        <v>2.9</v>
      </c>
      <c r="G255" s="52" t="str" cm="1">
        <f t="array" ref="G255">_xlfn.IFS(F255&gt;=4.5,"Excellent",AND(F255&gt;=3.5,F255&lt;=4.4),"Good",F255&lt;3.5,"Needs Improvement")</f>
        <v>Needs Improvement</v>
      </c>
      <c r="M255" s="18">
        <v>26091</v>
      </c>
      <c r="N255" s="18">
        <v>25244</v>
      </c>
      <c r="O255" s="54" t="str">
        <f t="shared" si="85"/>
        <v>Yes</v>
      </c>
      <c r="Q255" s="18">
        <v>6.73</v>
      </c>
      <c r="R255" s="56" t="str">
        <f t="shared" si="69"/>
        <v>Yes</v>
      </c>
      <c r="W255" s="18" t="s">
        <v>677</v>
      </c>
      <c r="X255" s="54" t="str">
        <f>VLOOKUP(W255,Employees!$A$1:$B$601,2,FALSE)</f>
        <v>Saurav Sahu</v>
      </c>
      <c r="Z255" s="4" t="s">
        <v>790</v>
      </c>
      <c r="AA255" s="54" t="str">
        <f t="shared" si="70"/>
        <v>0254</v>
      </c>
      <c r="AC255" s="4" t="s">
        <v>176</v>
      </c>
      <c r="AD255" s="54" t="str">
        <f t="shared" si="71"/>
        <v>Finance</v>
      </c>
      <c r="AF255" s="4" t="s">
        <v>791</v>
      </c>
      <c r="AG255" s="4" t="s">
        <v>176</v>
      </c>
      <c r="AH255" s="4" t="s">
        <v>32</v>
      </c>
      <c r="AI255" s="54" t="str">
        <f t="shared" si="72"/>
        <v>Ranjit Biswal|Finance|NilGiri Digitals</v>
      </c>
      <c r="AK255" s="4" t="s">
        <v>791</v>
      </c>
      <c r="AL255" s="38" t="str">
        <f t="shared" si="73"/>
        <v>R.B.</v>
      </c>
      <c r="AN255" s="18" t="s">
        <v>5077</v>
      </c>
      <c r="AO255" s="54" t="b">
        <f t="shared" si="74"/>
        <v>0</v>
      </c>
      <c r="AQ255" s="4" t="s">
        <v>791</v>
      </c>
      <c r="AR255" s="52" t="str">
        <f t="shared" si="75"/>
        <v>NO</v>
      </c>
      <c r="AW255" s="54">
        <f ca="1">DATEDIF(BI255,TODAY(),"Y")</f>
        <v>2</v>
      </c>
      <c r="AX255" s="54"/>
      <c r="AY255" s="41" t="s">
        <v>5510</v>
      </c>
      <c r="AZ255" s="44">
        <f t="shared" si="77"/>
        <v>45106</v>
      </c>
      <c r="BA255" s="54" t="str">
        <f t="shared" si="78"/>
        <v>6-2023</v>
      </c>
      <c r="BH255" s="4" t="s">
        <v>792</v>
      </c>
      <c r="BI255" s="51">
        <f t="shared" si="86"/>
        <v>45312</v>
      </c>
      <c r="BJ255" s="38">
        <f t="shared" ca="1" si="87"/>
        <v>670</v>
      </c>
      <c r="BK255" s="38"/>
      <c r="BL255" s="38" t="str">
        <f t="shared" si="88"/>
        <v>Q1</v>
      </c>
      <c r="BM255" s="59">
        <f t="shared" si="81"/>
        <v>45106</v>
      </c>
      <c r="BN255" s="51">
        <f t="shared" si="89"/>
        <v>45312</v>
      </c>
      <c r="BO255" s="54">
        <f t="shared" si="82"/>
        <v>206</v>
      </c>
      <c r="BP255" s="4" t="s">
        <v>790</v>
      </c>
      <c r="BQ255" s="4" t="s">
        <v>176</v>
      </c>
      <c r="BR255" s="18" t="s">
        <v>677</v>
      </c>
      <c r="BS255" s="18" t="s">
        <v>2769</v>
      </c>
      <c r="BT255" s="54" t="str">
        <f t="shared" si="83"/>
        <v>DevOps</v>
      </c>
      <c r="BV255" s="4" t="s">
        <v>790</v>
      </c>
      <c r="BW255" s="4" t="s">
        <v>791</v>
      </c>
      <c r="CB255" s="18" t="s">
        <v>5509</v>
      </c>
      <c r="CC255" s="4" t="s">
        <v>791</v>
      </c>
      <c r="CD255" s="4" t="s">
        <v>359</v>
      </c>
      <c r="CE255" s="54" t="str">
        <v>Not Found</v>
      </c>
      <c r="CG255" s="54" t="str">
        <f>IFERROR(_xlfn.XLOOKUP(Hiring!A255,Hiring!A255:A654,Hiring!B255:B654,,0),"Not Found")</f>
        <v>Rahul Padhi</v>
      </c>
    </row>
    <row r="256" spans="2:85">
      <c r="B256" s="100"/>
      <c r="F256" s="3">
        <v>3.7</v>
      </c>
      <c r="G256" s="52" t="str" cm="1">
        <f t="array" ref="G256">_xlfn.IFS(F256&gt;=4.5,"Excellent",AND(F256&gt;=3.5,F256&lt;=4.4),"Good",F256&lt;3.5,"Needs Improvement")</f>
        <v>Good</v>
      </c>
      <c r="M256" s="19">
        <v>97557</v>
      </c>
      <c r="N256" s="19">
        <v>99842</v>
      </c>
      <c r="O256" s="54" t="str">
        <f t="shared" si="85"/>
        <v>Yes</v>
      </c>
      <c r="Q256" s="19">
        <v>6.54</v>
      </c>
      <c r="R256" s="56" t="str">
        <f t="shared" si="69"/>
        <v>Yes</v>
      </c>
      <c r="W256" s="19" t="s">
        <v>677</v>
      </c>
      <c r="X256" s="54" t="str">
        <f>VLOOKUP(W256,Employees!$A$1:$B$601,2,FALSE)</f>
        <v>Saurav Sahu</v>
      </c>
      <c r="Z256" s="3" t="s">
        <v>793</v>
      </c>
      <c r="AA256" s="54" t="str">
        <f t="shared" si="70"/>
        <v>0255</v>
      </c>
      <c r="AC256" s="3" t="s">
        <v>24</v>
      </c>
      <c r="AD256" s="54" t="str">
        <f t="shared" si="71"/>
        <v>Design</v>
      </c>
      <c r="AF256" s="3" t="s">
        <v>126</v>
      </c>
      <c r="AG256" s="3" t="s">
        <v>24</v>
      </c>
      <c r="AH256" s="3" t="s">
        <v>53</v>
      </c>
      <c r="AI256" s="54" t="str">
        <f t="shared" si="72"/>
        <v>Sudhansu Mohapatra|Design|BlueLotus IT</v>
      </c>
      <c r="AK256" s="3" t="s">
        <v>126</v>
      </c>
      <c r="AL256" s="38" t="str">
        <f t="shared" si="73"/>
        <v>S.M.</v>
      </c>
      <c r="AN256" s="19" t="s">
        <v>5060</v>
      </c>
      <c r="AO256" s="54" t="str">
        <f t="shared" si="74"/>
        <v>Naukri</v>
      </c>
      <c r="AQ256" s="3" t="s">
        <v>126</v>
      </c>
      <c r="AR256" s="52" t="str">
        <f t="shared" si="75"/>
        <v>NO</v>
      </c>
      <c r="AW256" s="54">
        <f ca="1">DATEDIF(BI256,TODAY(),"Y")</f>
        <v>8</v>
      </c>
      <c r="AX256" s="54"/>
      <c r="AY256" s="40" t="s">
        <v>5149</v>
      </c>
      <c r="AZ256" s="44">
        <f t="shared" si="77"/>
        <v>45327</v>
      </c>
      <c r="BA256" s="54" t="str">
        <f t="shared" si="78"/>
        <v>2-2024</v>
      </c>
      <c r="BH256" s="3" t="s">
        <v>794</v>
      </c>
      <c r="BI256" s="51">
        <f t="shared" si="86"/>
        <v>43107</v>
      </c>
      <c r="BJ256" s="38">
        <f t="shared" ca="1" si="87"/>
        <v>2245</v>
      </c>
      <c r="BK256" s="38"/>
      <c r="BL256" s="38" t="str">
        <f t="shared" si="88"/>
        <v>Q1</v>
      </c>
      <c r="BM256" s="59">
        <f t="shared" si="81"/>
        <v>45327</v>
      </c>
      <c r="BN256" s="51">
        <f t="shared" si="89"/>
        <v>43107</v>
      </c>
      <c r="BO256" s="54">
        <f t="shared" si="82"/>
        <v>2220</v>
      </c>
      <c r="BP256" s="3" t="s">
        <v>793</v>
      </c>
      <c r="BQ256" s="3" t="s">
        <v>24</v>
      </c>
      <c r="BR256" s="19" t="s">
        <v>677</v>
      </c>
      <c r="BS256" s="19" t="s">
        <v>2772</v>
      </c>
      <c r="BT256" s="54" t="str">
        <f t="shared" si="83"/>
        <v>DevOps</v>
      </c>
      <c r="BV256" s="3" t="s">
        <v>793</v>
      </c>
      <c r="BW256" s="3" t="s">
        <v>126</v>
      </c>
      <c r="CB256" s="19" t="s">
        <v>5512</v>
      </c>
      <c r="CC256" s="3" t="s">
        <v>126</v>
      </c>
      <c r="CD256" s="3" t="s">
        <v>25</v>
      </c>
      <c r="CE256" s="54" t="str">
        <v>Not Found</v>
      </c>
      <c r="CG256" s="54" t="str">
        <f>IFERROR(_xlfn.XLOOKUP(Hiring!A256,Hiring!A256:A655,Hiring!B256:B655,,0),"Not Found")</f>
        <v>Ankita Biswal</v>
      </c>
    </row>
    <row r="257" spans="2:85">
      <c r="B257" s="100"/>
      <c r="F257" s="4">
        <v>2.8</v>
      </c>
      <c r="G257" s="52" t="str" cm="1">
        <f t="array" ref="G257">_xlfn.IFS(F257&gt;=4.5,"Excellent",AND(F257&gt;=3.5,F257&lt;=4.4),"Good",F257&lt;3.5,"Needs Improvement")</f>
        <v>Needs Improvement</v>
      </c>
      <c r="M257" s="18"/>
      <c r="N257" s="18">
        <v>138064</v>
      </c>
      <c r="O257" s="54" t="str">
        <f t="shared" si="85"/>
        <v>Yes</v>
      </c>
      <c r="Q257" s="18">
        <v>10.119999999999999</v>
      </c>
      <c r="R257" s="56" t="str">
        <f t="shared" si="69"/>
        <v>Yes</v>
      </c>
      <c r="W257" s="18" t="s">
        <v>677</v>
      </c>
      <c r="X257" s="54" t="str">
        <f>VLOOKUP(W257,Employees!$A$1:$B$601,2,FALSE)</f>
        <v>Saurav Sahu</v>
      </c>
      <c r="Z257" s="4" t="s">
        <v>795</v>
      </c>
      <c r="AA257" s="54" t="str">
        <f t="shared" si="70"/>
        <v>0256</v>
      </c>
      <c r="AC257" s="4" t="s">
        <v>63</v>
      </c>
      <c r="AD257" s="54" t="str">
        <f t="shared" si="71"/>
        <v>Product</v>
      </c>
      <c r="AF257" s="4" t="s">
        <v>681</v>
      </c>
      <c r="AG257" s="4" t="s">
        <v>63</v>
      </c>
      <c r="AH257" s="4" t="s">
        <v>65</v>
      </c>
      <c r="AI257" s="54" t="str">
        <f t="shared" si="72"/>
        <v>Namita Prusty|Product|TributeAI</v>
      </c>
      <c r="AK257" s="4" t="s">
        <v>681</v>
      </c>
      <c r="AL257" s="38" t="str">
        <f t="shared" si="73"/>
        <v>N.P.</v>
      </c>
      <c r="AN257" s="18" t="s">
        <v>5060</v>
      </c>
      <c r="AO257" s="54" t="str">
        <f t="shared" si="74"/>
        <v>Naukri</v>
      </c>
      <c r="AQ257" s="4" t="s">
        <v>681</v>
      </c>
      <c r="AR257" s="52" t="str">
        <f t="shared" si="75"/>
        <v>NO</v>
      </c>
      <c r="AW257" s="54">
        <f ca="1">DATEDIF(BI257,TODAY(),"Y")</f>
        <v>2</v>
      </c>
      <c r="AX257" s="54"/>
      <c r="AY257" s="41" t="s">
        <v>792</v>
      </c>
      <c r="AZ257" s="44">
        <f t="shared" si="77"/>
        <v>45312</v>
      </c>
      <c r="BA257" s="54" t="str">
        <f t="shared" si="78"/>
        <v>1-2024</v>
      </c>
      <c r="BH257" s="4" t="s">
        <v>796</v>
      </c>
      <c r="BI257" s="51">
        <f t="shared" si="86"/>
        <v>45345</v>
      </c>
      <c r="BJ257" s="38">
        <f t="shared" ca="1" si="87"/>
        <v>646</v>
      </c>
      <c r="BK257" s="38"/>
      <c r="BL257" s="38" t="str">
        <f t="shared" si="88"/>
        <v>Q1</v>
      </c>
      <c r="BM257" s="59">
        <f t="shared" si="81"/>
        <v>45312</v>
      </c>
      <c r="BN257" s="51">
        <f t="shared" si="89"/>
        <v>45345</v>
      </c>
      <c r="BO257" s="54">
        <f t="shared" si="82"/>
        <v>33</v>
      </c>
      <c r="BP257" s="4" t="s">
        <v>795</v>
      </c>
      <c r="BQ257" s="4" t="s">
        <v>63</v>
      </c>
      <c r="BR257" s="18" t="s">
        <v>677</v>
      </c>
      <c r="BS257" s="18" t="s">
        <v>2774</v>
      </c>
      <c r="BT257" s="54" t="str">
        <f t="shared" si="83"/>
        <v>DevOps</v>
      </c>
      <c r="BV257" s="4" t="s">
        <v>795</v>
      </c>
      <c r="BW257" s="4" t="s">
        <v>681</v>
      </c>
      <c r="CB257" s="18" t="s">
        <v>5514</v>
      </c>
      <c r="CC257" s="4" t="s">
        <v>681</v>
      </c>
      <c r="CD257" s="4" t="s">
        <v>225</v>
      </c>
      <c r="CE257" s="54" t="str">
        <v>Not Found</v>
      </c>
      <c r="CG257" s="54" t="str">
        <f>IFERROR(_xlfn.XLOOKUP(Hiring!A257,Hiring!A257:A656,Hiring!B257:B656,,0),"Not Found")</f>
        <v>Alka Sahu</v>
      </c>
    </row>
    <row r="258" spans="2:85">
      <c r="B258" s="100"/>
      <c r="F258" s="3">
        <v>2.2999999999999998</v>
      </c>
      <c r="G258" s="52" t="str" cm="1">
        <f t="array" ref="G258">_xlfn.IFS(F258&gt;=4.5,"Excellent",AND(F258&gt;=3.5,F258&lt;=4.4),"Good",F258&lt;3.5,"Needs Improvement")</f>
        <v>Needs Improvement</v>
      </c>
      <c r="M258" s="19">
        <v>104835</v>
      </c>
      <c r="N258" s="19">
        <v>100014</v>
      </c>
      <c r="O258" s="54" t="str">
        <f t="shared" si="85"/>
        <v>Yes</v>
      </c>
      <c r="Q258" s="19">
        <v>6.93</v>
      </c>
      <c r="R258" s="56" t="str">
        <f t="shared" si="69"/>
        <v>Yes</v>
      </c>
      <c r="W258" s="19" t="s">
        <v>677</v>
      </c>
      <c r="X258" s="54" t="str">
        <f>VLOOKUP(W258,Employees!$A$1:$B$601,2,FALSE)</f>
        <v>Saurav Sahu</v>
      </c>
      <c r="Z258" s="3" t="s">
        <v>797</v>
      </c>
      <c r="AA258" s="54" t="str">
        <f t="shared" si="70"/>
        <v>0257</v>
      </c>
      <c r="AC258" s="3" t="s">
        <v>89</v>
      </c>
      <c r="AD258" s="54" t="str">
        <f t="shared" si="71"/>
        <v>Data Science</v>
      </c>
      <c r="AF258" s="3" t="s">
        <v>798</v>
      </c>
      <c r="AG258" s="3" t="s">
        <v>89</v>
      </c>
      <c r="AH258" s="3" t="s">
        <v>75</v>
      </c>
      <c r="AI258" s="54" t="str">
        <f t="shared" si="72"/>
        <v>Sudhansu Ratha|Data Science|KalingaTech Pvt Ltd</v>
      </c>
      <c r="AK258" s="3" t="s">
        <v>798</v>
      </c>
      <c r="AL258" s="38" t="str">
        <f t="shared" si="73"/>
        <v>S.R.</v>
      </c>
      <c r="AN258" s="19" t="s">
        <v>5051</v>
      </c>
      <c r="AO258" s="54" t="str">
        <f t="shared" si="74"/>
        <v>Naukri</v>
      </c>
      <c r="AQ258" s="3" t="s">
        <v>798</v>
      </c>
      <c r="AR258" s="52" t="str">
        <f t="shared" si="75"/>
        <v>NO</v>
      </c>
      <c r="AW258" s="54">
        <f ca="1">DATEDIF(BI258,TODAY(),"Y")</f>
        <v>2</v>
      </c>
      <c r="AX258" s="54"/>
      <c r="AY258" s="40" t="s">
        <v>5339</v>
      </c>
      <c r="AZ258" s="44">
        <f t="shared" si="77"/>
        <v>45564</v>
      </c>
      <c r="BA258" s="54" t="str">
        <f t="shared" si="78"/>
        <v>9-2024</v>
      </c>
      <c r="BH258" s="3" t="s">
        <v>315</v>
      </c>
      <c r="BI258" s="51">
        <f t="shared" si="86"/>
        <v>45452</v>
      </c>
      <c r="BJ258" s="38">
        <f t="shared" ca="1" si="87"/>
        <v>570</v>
      </c>
      <c r="BK258" s="38"/>
      <c r="BL258" s="38" t="str">
        <f t="shared" si="88"/>
        <v>No</v>
      </c>
      <c r="BM258" s="59">
        <f t="shared" si="81"/>
        <v>45564</v>
      </c>
      <c r="BN258" s="51">
        <f t="shared" si="89"/>
        <v>45452</v>
      </c>
      <c r="BO258" s="54">
        <f t="shared" si="82"/>
        <v>112</v>
      </c>
      <c r="BP258" s="3" t="s">
        <v>797</v>
      </c>
      <c r="BQ258" s="3" t="s">
        <v>89</v>
      </c>
      <c r="BR258" s="19" t="s">
        <v>677</v>
      </c>
      <c r="BS258" s="19" t="s">
        <v>2776</v>
      </c>
      <c r="BT258" s="54" t="str">
        <f t="shared" si="83"/>
        <v>DevOps</v>
      </c>
      <c r="BV258" s="3" t="s">
        <v>797</v>
      </c>
      <c r="BW258" s="3" t="s">
        <v>798</v>
      </c>
      <c r="CB258" s="19" t="s">
        <v>5123</v>
      </c>
      <c r="CC258" s="3" t="s">
        <v>798</v>
      </c>
      <c r="CD258" s="3" t="s">
        <v>113</v>
      </c>
      <c r="CE258" s="54" t="str">
        <v>Not Found</v>
      </c>
      <c r="CG258" s="54" t="str">
        <f>IFERROR(_xlfn.XLOOKUP(Hiring!A258,Hiring!A258:A657,Hiring!B258:B657,,0),"Not Found")</f>
        <v>Rahul Mohapatra</v>
      </c>
    </row>
    <row r="259" spans="2:85">
      <c r="B259" s="100"/>
      <c r="F259" s="4">
        <v>3.7</v>
      </c>
      <c r="G259" s="52" t="str" cm="1">
        <f t="array" ref="G259">_xlfn.IFS(F259&gt;=4.5,"Excellent",AND(F259&gt;=3.5,F259&lt;=4.4),"Good",F259&lt;3.5,"Needs Improvement")</f>
        <v>Good</v>
      </c>
      <c r="M259" s="18">
        <v>145736</v>
      </c>
      <c r="N259" s="18">
        <v>167702</v>
      </c>
      <c r="O259" s="54" t="str">
        <f t="shared" si="85"/>
        <v>Yes</v>
      </c>
      <c r="Q259" s="18">
        <v>11.25</v>
      </c>
      <c r="R259" s="56" t="str">
        <f t="shared" ref="R259:R322" si="90">IF(ISBLANK(Q259),"No","Yes")</f>
        <v>Yes</v>
      </c>
      <c r="W259" s="18" t="s">
        <v>677</v>
      </c>
      <c r="X259" s="54" t="str">
        <f>VLOOKUP(W259,Employees!$A$1:$B$601,2,FALSE)</f>
        <v>Saurav Sahu</v>
      </c>
      <c r="Z259" s="4" t="s">
        <v>799</v>
      </c>
      <c r="AA259" s="54" t="str">
        <f t="shared" ref="AA259:AA322" si="91">RIGHT(Z259,4)</f>
        <v>0258</v>
      </c>
      <c r="AC259" s="4" t="s">
        <v>176</v>
      </c>
      <c r="AD259" s="54" t="str">
        <f t="shared" ref="AD259:AD322" si="92">PROPER(AC259)</f>
        <v>Finance</v>
      </c>
      <c r="AF259" s="4" t="s">
        <v>323</v>
      </c>
      <c r="AG259" s="4" t="s">
        <v>176</v>
      </c>
      <c r="AH259" s="4" t="s">
        <v>53</v>
      </c>
      <c r="AI259" s="54" t="str">
        <f t="shared" ref="AI259:AI322" si="93">_xlfn.CONCAT(AF259,"|",AG259,"|",AH259)</f>
        <v>Subhasree Senapati|Finance|BlueLotus IT</v>
      </c>
      <c r="AK259" s="4" t="s">
        <v>323</v>
      </c>
      <c r="AL259" s="38" t="str">
        <f t="shared" ref="AL259:AL322" si="94">LEFT(AK259,1)&amp;"."&amp;MID(AK259,FIND(" ",AK259)+1,1)&amp;"."</f>
        <v>S.S.</v>
      </c>
      <c r="AN259" s="18" t="s">
        <v>5016</v>
      </c>
      <c r="AO259" s="54" t="b">
        <f t="shared" ref="AO259:AO322" si="95">IF(UPPER(AN259)="linkedin","Linkedln",IF(UPPER(AN259)="naukri","Naukri"))</f>
        <v>0</v>
      </c>
      <c r="AQ259" s="4" t="s">
        <v>323</v>
      </c>
      <c r="AR259" s="52" t="str">
        <f t="shared" ref="AR259:AR322" si="96">IF(ISNUMBER(SEARCH("Mishra",AQ259)),"Mishra","NO")</f>
        <v>NO</v>
      </c>
      <c r="AW259" s="54">
        <f ca="1">DATEDIF(BI259,TODAY(),"Y")</f>
        <v>6</v>
      </c>
      <c r="AX259" s="54"/>
      <c r="AY259" s="41" t="s">
        <v>5517</v>
      </c>
      <c r="AZ259" s="44">
        <f t="shared" ref="AZ259:AZ322" si="97">DATE(RIGHT(AY259,4),MID(AY259,4,2),LEFT(AY259,2))</f>
        <v>45609</v>
      </c>
      <c r="BA259" s="54" t="str">
        <f t="shared" ref="BA259:BA322" si="98">MONTH(AZ259)&amp;"-"&amp;YEAR(AZ259)</f>
        <v>11-2024</v>
      </c>
      <c r="BH259" s="4" t="s">
        <v>800</v>
      </c>
      <c r="BI259" s="51">
        <f t="shared" si="86"/>
        <v>43947</v>
      </c>
      <c r="BJ259" s="38">
        <f t="shared" ca="1" si="87"/>
        <v>1645</v>
      </c>
      <c r="BK259" s="38"/>
      <c r="BL259" s="38" t="str">
        <f t="shared" si="88"/>
        <v>No</v>
      </c>
      <c r="BM259" s="59">
        <f t="shared" ref="BM259:BM322" si="99">DATE(RIGHT(AY259,4),MID(AY259,4,2),LEFT(AY259,2))</f>
        <v>45609</v>
      </c>
      <c r="BN259" s="51">
        <f t="shared" si="89"/>
        <v>43947</v>
      </c>
      <c r="BO259" s="54">
        <f t="shared" ref="BO259:BO322" si="100">ABS(BN259-BM259)</f>
        <v>1662</v>
      </c>
      <c r="BP259" s="4" t="s">
        <v>799</v>
      </c>
      <c r="BQ259" s="4" t="s">
        <v>176</v>
      </c>
      <c r="BR259" s="18" t="s">
        <v>677</v>
      </c>
      <c r="BS259" s="18" t="s">
        <v>2778</v>
      </c>
      <c r="BT259" s="54" t="str">
        <f t="shared" ref="BT259:BT322" si="101">VLOOKUP(BR259,$BP$2:$BQ$601,2,FALSE)</f>
        <v>DevOps</v>
      </c>
      <c r="BV259" s="4" t="s">
        <v>799</v>
      </c>
      <c r="BW259" s="4" t="s">
        <v>323</v>
      </c>
      <c r="CB259" s="18" t="s">
        <v>5280</v>
      </c>
      <c r="CC259" s="4" t="s">
        <v>323</v>
      </c>
      <c r="CD259" s="4" t="s">
        <v>177</v>
      </c>
      <c r="CE259" s="54" t="str">
        <v>Not Found</v>
      </c>
      <c r="CG259" s="54" t="str">
        <f>IFERROR(_xlfn.XLOOKUP(Hiring!A259,Hiring!A259:A658,Hiring!B259:B658,,0),"Not Found")</f>
        <v>Nirmal Prusty</v>
      </c>
    </row>
    <row r="260" spans="2:85">
      <c r="B260" s="100"/>
      <c r="F260" s="3">
        <v>3</v>
      </c>
      <c r="G260" s="52" t="str" cm="1">
        <f t="array" ref="G260">_xlfn.IFS(F260&gt;=4.5,"Excellent",AND(F260&gt;=3.5,F260&lt;=4.4),"Good",F260&lt;3.5,"Needs Improvement")</f>
        <v>Needs Improvement</v>
      </c>
      <c r="M260" s="19">
        <v>87016</v>
      </c>
      <c r="N260" s="19">
        <v>85696</v>
      </c>
      <c r="O260" s="54" t="str">
        <f t="shared" ref="O260:O323" si="102">IF(M260&lt;&gt;N260,"Yes","No")</f>
        <v>Yes</v>
      </c>
      <c r="Q260" s="19">
        <v>9.82</v>
      </c>
      <c r="R260" s="56" t="str">
        <f t="shared" si="90"/>
        <v>Yes</v>
      </c>
      <c r="W260" s="19" t="s">
        <v>305</v>
      </c>
      <c r="X260" s="54" t="str">
        <f>VLOOKUP(W260,Employees!$A$1:$B$601,2,FALSE)</f>
        <v>Bikash Behura</v>
      </c>
      <c r="Z260" s="3" t="s">
        <v>801</v>
      </c>
      <c r="AA260" s="54" t="str">
        <f t="shared" si="91"/>
        <v>0259</v>
      </c>
      <c r="AC260" s="3" t="s">
        <v>133</v>
      </c>
      <c r="AD260" s="54" t="str">
        <f t="shared" si="92"/>
        <v>Qa</v>
      </c>
      <c r="AF260" s="3" t="s">
        <v>802</v>
      </c>
      <c r="AG260" s="3" t="s">
        <v>133</v>
      </c>
      <c r="AH260" s="3" t="s">
        <v>53</v>
      </c>
      <c r="AI260" s="54" t="str">
        <f t="shared" si="93"/>
        <v>Tanmay Senapati|QA|BlueLotus IT</v>
      </c>
      <c r="AK260" s="3" t="s">
        <v>802</v>
      </c>
      <c r="AL260" s="38" t="str">
        <f t="shared" si="94"/>
        <v>T.S.</v>
      </c>
      <c r="AN260" s="19" t="s">
        <v>5077</v>
      </c>
      <c r="AO260" s="54" t="b">
        <f t="shared" si="95"/>
        <v>0</v>
      </c>
      <c r="AQ260" s="3" t="s">
        <v>802</v>
      </c>
      <c r="AR260" s="52" t="str">
        <f t="shared" si="96"/>
        <v>NO</v>
      </c>
      <c r="AW260" s="54">
        <f ca="1">DATEDIF(BI260,TODAY(),"Y")</f>
        <v>3</v>
      </c>
      <c r="AX260" s="54"/>
      <c r="AY260" s="40" t="s">
        <v>5519</v>
      </c>
      <c r="AZ260" s="44">
        <f t="shared" si="97"/>
        <v>45500</v>
      </c>
      <c r="BA260" s="54" t="str">
        <f t="shared" si="98"/>
        <v>7-2024</v>
      </c>
      <c r="BH260" s="3" t="s">
        <v>803</v>
      </c>
      <c r="BI260" s="51">
        <f t="shared" ref="BI260:BI323" si="103">IF(LEN(LEFT(BH260,FIND("-",BH260)-1))=4,DATE(LEFT(BH260,4),MID(BH260,6,2),RIGHT(BH260,2)),DATE(RIGHT(BH260,4),MID(BH260,4,2),LEFT(BH260,2)))</f>
        <v>45039</v>
      </c>
      <c r="BJ260" s="38">
        <f t="shared" ref="BJ260:BJ323" ca="1" si="104">NETWORKDAYS(BI260,TODAY())</f>
        <v>865</v>
      </c>
      <c r="BK260" s="38"/>
      <c r="BL260" s="38" t="str">
        <f t="shared" ref="BL260:BL323" si="105">IF(MONTH(BI260)&lt;=3,"Q1","No")</f>
        <v>No</v>
      </c>
      <c r="BM260" s="59">
        <f t="shared" si="99"/>
        <v>45500</v>
      </c>
      <c r="BN260" s="51">
        <f t="shared" ref="BN260:BN323" si="106">IF(LEN(LEFT(BH260,FIND("-",BH260)-1))=4,DATE(LEFT(BH260,4),MID(BH260,6,2),RIGHT(BH260,2)),DATE(RIGHT(BH260,4),MID(BH260,4,2),LEFT(BH260,2)))</f>
        <v>45039</v>
      </c>
      <c r="BO260" s="54">
        <f t="shared" si="100"/>
        <v>461</v>
      </c>
      <c r="BP260" s="3" t="s">
        <v>801</v>
      </c>
      <c r="BQ260" s="3" t="s">
        <v>133</v>
      </c>
      <c r="BR260" s="19" t="s">
        <v>305</v>
      </c>
      <c r="BS260" s="19" t="s">
        <v>2780</v>
      </c>
      <c r="BT260" s="54" t="str">
        <f t="shared" si="101"/>
        <v>Sales</v>
      </c>
      <c r="BV260" s="3" t="s">
        <v>801</v>
      </c>
      <c r="BW260" s="3" t="s">
        <v>802</v>
      </c>
      <c r="CB260" s="19" t="s">
        <v>637</v>
      </c>
      <c r="CC260" s="3" t="s">
        <v>802</v>
      </c>
      <c r="CD260" s="3" t="s">
        <v>153</v>
      </c>
      <c r="CE260" s="54" t="str">
        <v>Cloud Architect</v>
      </c>
      <c r="CG260" s="54" t="str">
        <f>IFERROR(_xlfn.XLOOKUP(Hiring!A260,Hiring!A260:A659,Hiring!B260:B659,,0),"Not Found")</f>
        <v>Tanmay Choudhury</v>
      </c>
    </row>
    <row r="261" spans="2:85">
      <c r="B261" s="100"/>
      <c r="F261" s="4">
        <v>3.5</v>
      </c>
      <c r="G261" s="52" t="str" cm="1">
        <f t="array" ref="G261">_xlfn.IFS(F261&gt;=4.5,"Excellent",AND(F261&gt;=3.5,F261&lt;=4.4),"Good",F261&lt;3.5,"Needs Improvement")</f>
        <v>Good</v>
      </c>
      <c r="M261" s="18">
        <v>175221</v>
      </c>
      <c r="N261" s="18">
        <v>171223</v>
      </c>
      <c r="O261" s="54" t="str">
        <f t="shared" si="102"/>
        <v>Yes</v>
      </c>
      <c r="Q261" s="18">
        <v>8.94</v>
      </c>
      <c r="R261" s="56" t="str">
        <f t="shared" si="90"/>
        <v>Yes</v>
      </c>
      <c r="W261" s="18" t="s">
        <v>305</v>
      </c>
      <c r="X261" s="54" t="str">
        <f>VLOOKUP(W261,Employees!$A$1:$B$601,2,FALSE)</f>
        <v>Bikash Behura</v>
      </c>
      <c r="Z261" s="4" t="s">
        <v>804</v>
      </c>
      <c r="AA261" s="54" t="str">
        <f t="shared" si="91"/>
        <v>0260</v>
      </c>
      <c r="AC261" s="4" t="s">
        <v>16</v>
      </c>
      <c r="AD261" s="54" t="str">
        <f t="shared" si="92"/>
        <v>Devops</v>
      </c>
      <c r="AF261" s="4" t="s">
        <v>420</v>
      </c>
      <c r="AG261" s="4" t="s">
        <v>16</v>
      </c>
      <c r="AH261" s="4" t="s">
        <v>53</v>
      </c>
      <c r="AI261" s="54" t="str">
        <f t="shared" si="93"/>
        <v>Satyajit Mishra|DevOps|BlueLotus IT</v>
      </c>
      <c r="AK261" s="4" t="s">
        <v>420</v>
      </c>
      <c r="AL261" s="38" t="str">
        <f t="shared" si="94"/>
        <v>S.M.</v>
      </c>
      <c r="AN261" s="18" t="s">
        <v>5016</v>
      </c>
      <c r="AO261" s="54" t="b">
        <f t="shared" si="95"/>
        <v>0</v>
      </c>
      <c r="AQ261" s="4" t="s">
        <v>420</v>
      </c>
      <c r="AR261" s="52" t="str">
        <f t="shared" si="96"/>
        <v>Mishra</v>
      </c>
      <c r="AW261" s="54">
        <f ca="1">DATEDIF(BI261,TODAY(),"Y")</f>
        <v>4</v>
      </c>
      <c r="AX261" s="54"/>
      <c r="AY261" s="41" t="s">
        <v>2168</v>
      </c>
      <c r="AZ261" s="44">
        <f t="shared" si="97"/>
        <v>45541</v>
      </c>
      <c r="BA261" s="54" t="str">
        <f t="shared" si="98"/>
        <v>9-2024</v>
      </c>
      <c r="BH261" s="4" t="s">
        <v>805</v>
      </c>
      <c r="BI261" s="51">
        <f t="shared" si="103"/>
        <v>44779</v>
      </c>
      <c r="BJ261" s="38">
        <f t="shared" ca="1" si="104"/>
        <v>1050</v>
      </c>
      <c r="BK261" s="38"/>
      <c r="BL261" s="38" t="str">
        <f t="shared" si="105"/>
        <v>No</v>
      </c>
      <c r="BM261" s="59">
        <f t="shared" si="99"/>
        <v>45541</v>
      </c>
      <c r="BN261" s="51">
        <f t="shared" si="106"/>
        <v>44779</v>
      </c>
      <c r="BO261" s="54">
        <f t="shared" si="100"/>
        <v>762</v>
      </c>
      <c r="BP261" s="4" t="s">
        <v>804</v>
      </c>
      <c r="BQ261" s="4" t="s">
        <v>16</v>
      </c>
      <c r="BR261" s="18" t="s">
        <v>305</v>
      </c>
      <c r="BS261" s="18" t="s">
        <v>2782</v>
      </c>
      <c r="BT261" s="54" t="str">
        <f t="shared" si="101"/>
        <v>Sales</v>
      </c>
      <c r="BV261" s="4" t="s">
        <v>804</v>
      </c>
      <c r="BW261" s="4" t="s">
        <v>420</v>
      </c>
      <c r="CB261" s="18" t="s">
        <v>5521</v>
      </c>
      <c r="CC261" s="4" t="s">
        <v>420</v>
      </c>
      <c r="CD261" s="4" t="s">
        <v>98</v>
      </c>
      <c r="CE261" s="54" t="str">
        <v>Not Found</v>
      </c>
      <c r="CG261" s="54" t="str">
        <f>IFERROR(_xlfn.XLOOKUP(Hiring!A261,Hiring!A261:A660,Hiring!B261:B660,,0),"Not Found")</f>
        <v>Rahul Senapati</v>
      </c>
    </row>
    <row r="262" spans="2:85">
      <c r="B262" s="100"/>
      <c r="F262" s="3">
        <v>3.3</v>
      </c>
      <c r="G262" s="52" t="str" cm="1">
        <f t="array" ref="G262">_xlfn.IFS(F262&gt;=4.5,"Excellent",AND(F262&gt;=3.5,F262&lt;=4.4),"Good",F262&lt;3.5,"Needs Improvement")</f>
        <v>Needs Improvement</v>
      </c>
      <c r="M262" s="19">
        <v>157220</v>
      </c>
      <c r="N262" s="19">
        <v>171890</v>
      </c>
      <c r="O262" s="54" t="str">
        <f t="shared" si="102"/>
        <v>Yes</v>
      </c>
      <c r="Q262" s="19">
        <v>8.15</v>
      </c>
      <c r="R262" s="56" t="str">
        <f t="shared" si="90"/>
        <v>Yes</v>
      </c>
      <c r="W262" s="19" t="s">
        <v>305</v>
      </c>
      <c r="X262" s="54" t="str">
        <f>VLOOKUP(W262,Employees!$A$1:$B$601,2,FALSE)</f>
        <v>Bikash Behura</v>
      </c>
      <c r="Z262" s="3" t="s">
        <v>806</v>
      </c>
      <c r="AA262" s="54" t="str">
        <f t="shared" si="91"/>
        <v>0261</v>
      </c>
      <c r="AC262" s="3" t="s">
        <v>84</v>
      </c>
      <c r="AD262" s="54" t="str">
        <f t="shared" si="92"/>
        <v>Hr</v>
      </c>
      <c r="AF262" s="3" t="s">
        <v>452</v>
      </c>
      <c r="AG262" s="3" t="s">
        <v>84</v>
      </c>
      <c r="AH262" s="3" t="s">
        <v>46</v>
      </c>
      <c r="AI262" s="54" t="str">
        <f t="shared" si="93"/>
        <v>Lipsa Nanda|HR|SambalpurNet</v>
      </c>
      <c r="AK262" s="3" t="s">
        <v>452</v>
      </c>
      <c r="AL262" s="38" t="str">
        <f t="shared" si="94"/>
        <v>L.N.</v>
      </c>
      <c r="AN262" s="19" t="s">
        <v>5025</v>
      </c>
      <c r="AO262" s="54" t="b">
        <f t="shared" si="95"/>
        <v>0</v>
      </c>
      <c r="AQ262" s="3" t="s">
        <v>452</v>
      </c>
      <c r="AR262" s="52" t="str">
        <f t="shared" si="96"/>
        <v>NO</v>
      </c>
      <c r="AW262" s="54">
        <f ca="1">DATEDIF(BI262,TODAY(),"Y")</f>
        <v>3</v>
      </c>
      <c r="AX262" s="54"/>
      <c r="AY262" s="40" t="s">
        <v>5524</v>
      </c>
      <c r="AZ262" s="44">
        <f t="shared" si="97"/>
        <v>44979</v>
      </c>
      <c r="BA262" s="54" t="str">
        <f t="shared" si="98"/>
        <v>2-2023</v>
      </c>
      <c r="BH262" s="3" t="s">
        <v>807</v>
      </c>
      <c r="BI262" s="51">
        <f t="shared" si="103"/>
        <v>44908</v>
      </c>
      <c r="BJ262" s="38">
        <f t="shared" ca="1" si="104"/>
        <v>959</v>
      </c>
      <c r="BK262" s="38"/>
      <c r="BL262" s="38" t="str">
        <f t="shared" si="105"/>
        <v>No</v>
      </c>
      <c r="BM262" s="59">
        <f t="shared" si="99"/>
        <v>44979</v>
      </c>
      <c r="BN262" s="51">
        <f t="shared" si="106"/>
        <v>44908</v>
      </c>
      <c r="BO262" s="54">
        <f t="shared" si="100"/>
        <v>71</v>
      </c>
      <c r="BP262" s="3" t="s">
        <v>806</v>
      </c>
      <c r="BQ262" s="3" t="s">
        <v>84</v>
      </c>
      <c r="BR262" s="19" t="s">
        <v>305</v>
      </c>
      <c r="BS262" s="19" t="s">
        <v>2784</v>
      </c>
      <c r="BT262" s="54" t="str">
        <f t="shared" si="101"/>
        <v>Sales</v>
      </c>
      <c r="BV262" s="3" t="s">
        <v>806</v>
      </c>
      <c r="BW262" s="3" t="s">
        <v>452</v>
      </c>
      <c r="CB262" s="19" t="s">
        <v>5523</v>
      </c>
      <c r="CC262" s="3" t="s">
        <v>452</v>
      </c>
      <c r="CD262" s="3" t="s">
        <v>204</v>
      </c>
      <c r="CE262" s="54" t="str">
        <v>Not Found</v>
      </c>
      <c r="CG262" s="54" t="str">
        <f>IFERROR(_xlfn.XLOOKUP(Hiring!A262,Hiring!A262:A661,Hiring!B262:B661,,0),"Not Found")</f>
        <v>Satyajit Parida</v>
      </c>
    </row>
    <row r="263" spans="2:85">
      <c r="B263" s="100"/>
      <c r="F263" s="4">
        <v>2.4</v>
      </c>
      <c r="G263" s="52" t="str" cm="1">
        <f t="array" ref="G263">_xlfn.IFS(F263&gt;=4.5,"Excellent",AND(F263&gt;=3.5,F263&lt;=4.4),"Good",F263&lt;3.5,"Needs Improvement")</f>
        <v>Needs Improvement</v>
      </c>
      <c r="M263" s="18">
        <v>79047</v>
      </c>
      <c r="N263" s="18">
        <v>90737</v>
      </c>
      <c r="O263" s="54" t="str">
        <f t="shared" si="102"/>
        <v>Yes</v>
      </c>
      <c r="Q263" s="18">
        <v>11.01</v>
      </c>
      <c r="R263" s="56" t="str">
        <f t="shared" si="90"/>
        <v>Yes</v>
      </c>
      <c r="W263" s="18" t="s">
        <v>305</v>
      </c>
      <c r="X263" s="54" t="str">
        <f>VLOOKUP(W263,Employees!$A$1:$B$601,2,FALSE)</f>
        <v>Bikash Behura</v>
      </c>
      <c r="Z263" s="4" t="s">
        <v>808</v>
      </c>
      <c r="AA263" s="54" t="str">
        <f t="shared" si="91"/>
        <v>0262</v>
      </c>
      <c r="AC263" s="4" t="s">
        <v>24</v>
      </c>
      <c r="AD263" s="54" t="str">
        <f t="shared" si="92"/>
        <v>Design</v>
      </c>
      <c r="AF263" s="4" t="s">
        <v>341</v>
      </c>
      <c r="AG263" s="4" t="s">
        <v>24</v>
      </c>
      <c r="AH263" s="4" t="s">
        <v>214</v>
      </c>
      <c r="AI263" s="54" t="str">
        <f t="shared" si="93"/>
        <v>Jyotirmayee Sahoo|Design|ZeroOneSystems</v>
      </c>
      <c r="AK263" s="4" t="s">
        <v>341</v>
      </c>
      <c r="AL263" s="38" t="str">
        <f t="shared" si="94"/>
        <v>J.S.</v>
      </c>
      <c r="AN263" s="18" t="s">
        <v>5023</v>
      </c>
      <c r="AO263" s="54" t="str">
        <f t="shared" si="95"/>
        <v>Linkedln</v>
      </c>
      <c r="AQ263" s="4" t="s">
        <v>341</v>
      </c>
      <c r="AR263" s="52" t="str">
        <f t="shared" si="96"/>
        <v>NO</v>
      </c>
      <c r="AW263" s="54">
        <f ca="1">DATEDIF(BI263,TODAY(),"Y")</f>
        <v>2</v>
      </c>
      <c r="AX263" s="54"/>
      <c r="AY263" s="41" t="s">
        <v>5526</v>
      </c>
      <c r="AZ263" s="44">
        <f t="shared" si="97"/>
        <v>45634</v>
      </c>
      <c r="BA263" s="54" t="str">
        <f t="shared" si="98"/>
        <v>12-2024</v>
      </c>
      <c r="BH263" s="4" t="s">
        <v>809</v>
      </c>
      <c r="BI263" s="51">
        <f t="shared" si="103"/>
        <v>45293</v>
      </c>
      <c r="BJ263" s="38">
        <f t="shared" ca="1" si="104"/>
        <v>684</v>
      </c>
      <c r="BK263" s="38"/>
      <c r="BL263" s="38" t="str">
        <f t="shared" si="105"/>
        <v>Q1</v>
      </c>
      <c r="BM263" s="59">
        <f t="shared" si="99"/>
        <v>45634</v>
      </c>
      <c r="BN263" s="51">
        <f t="shared" si="106"/>
        <v>45293</v>
      </c>
      <c r="BO263" s="54">
        <f t="shared" si="100"/>
        <v>341</v>
      </c>
      <c r="BP263" s="4" t="s">
        <v>808</v>
      </c>
      <c r="BQ263" s="4" t="s">
        <v>24</v>
      </c>
      <c r="BR263" s="18" t="s">
        <v>305</v>
      </c>
      <c r="BS263" s="18" t="s">
        <v>2785</v>
      </c>
      <c r="BT263" s="54" t="str">
        <f t="shared" si="101"/>
        <v>Sales</v>
      </c>
      <c r="BV263" s="4" t="s">
        <v>808</v>
      </c>
      <c r="BW263" s="4" t="s">
        <v>341</v>
      </c>
      <c r="CB263" s="18" t="s">
        <v>129</v>
      </c>
      <c r="CC263" s="4" t="s">
        <v>341</v>
      </c>
      <c r="CD263" s="4" t="s">
        <v>94</v>
      </c>
      <c r="CE263" s="54" t="str">
        <v>Digital Marketer</v>
      </c>
      <c r="CG263" s="54" t="str">
        <f>IFERROR(_xlfn.XLOOKUP(Hiring!A263,Hiring!A263:A662,Hiring!B263:B662,,0),"Not Found")</f>
        <v>Barsha Choudhury</v>
      </c>
    </row>
    <row r="264" spans="2:85">
      <c r="B264" s="100"/>
      <c r="F264" s="3">
        <v>1.8</v>
      </c>
      <c r="G264" s="52" t="str" cm="1">
        <f t="array" ref="G264">_xlfn.IFS(F264&gt;=4.5,"Excellent",AND(F264&gt;=3.5,F264&lt;=4.4),"Good",F264&lt;3.5,"Needs Improvement")</f>
        <v>Needs Improvement</v>
      </c>
      <c r="M264" s="19"/>
      <c r="N264" s="19">
        <v>94487</v>
      </c>
      <c r="O264" s="54" t="str">
        <f t="shared" si="102"/>
        <v>Yes</v>
      </c>
      <c r="Q264" s="19">
        <v>7.09</v>
      </c>
      <c r="R264" s="56" t="str">
        <f t="shared" si="90"/>
        <v>Yes</v>
      </c>
      <c r="W264" s="19" t="s">
        <v>305</v>
      </c>
      <c r="X264" s="54" t="str">
        <f>VLOOKUP(W264,Employees!$A$1:$B$601,2,FALSE)</f>
        <v>Bikash Behura</v>
      </c>
      <c r="Z264" s="3" t="s">
        <v>810</v>
      </c>
      <c r="AA264" s="54" t="str">
        <f t="shared" si="91"/>
        <v>0263</v>
      </c>
      <c r="AC264" s="3" t="s">
        <v>24</v>
      </c>
      <c r="AD264" s="54" t="str">
        <f t="shared" si="92"/>
        <v>Design</v>
      </c>
      <c r="AF264" s="3" t="s">
        <v>811</v>
      </c>
      <c r="AG264" s="3" t="s">
        <v>24</v>
      </c>
      <c r="AH264" s="3" t="s">
        <v>75</v>
      </c>
      <c r="AI264" s="54" t="str">
        <f t="shared" si="93"/>
        <v>Abhishek Tripathy|Design|KalingaTech Pvt Ltd</v>
      </c>
      <c r="AK264" s="3" t="s">
        <v>811</v>
      </c>
      <c r="AL264" s="38" t="str">
        <f t="shared" si="94"/>
        <v>A.T.</v>
      </c>
      <c r="AN264" s="19" t="s">
        <v>5060</v>
      </c>
      <c r="AO264" s="54" t="str">
        <f t="shared" si="95"/>
        <v>Naukri</v>
      </c>
      <c r="AQ264" s="3" t="s">
        <v>811</v>
      </c>
      <c r="AR264" s="52" t="str">
        <f t="shared" si="96"/>
        <v>NO</v>
      </c>
      <c r="AW264" s="54">
        <f ca="1">DATEDIF(BI264,TODAY(),"Y")</f>
        <v>3</v>
      </c>
      <c r="AX264" s="54"/>
      <c r="AY264" s="40" t="s">
        <v>5528</v>
      </c>
      <c r="AZ264" s="44">
        <f t="shared" si="97"/>
        <v>45364</v>
      </c>
      <c r="BA264" s="54" t="str">
        <f t="shared" si="98"/>
        <v>3-2024</v>
      </c>
      <c r="BH264" s="3" t="s">
        <v>812</v>
      </c>
      <c r="BI264" s="51">
        <f t="shared" si="103"/>
        <v>44897</v>
      </c>
      <c r="BJ264" s="38">
        <f t="shared" ca="1" si="104"/>
        <v>966</v>
      </c>
      <c r="BK264" s="38"/>
      <c r="BL264" s="38" t="str">
        <f t="shared" si="105"/>
        <v>No</v>
      </c>
      <c r="BM264" s="59">
        <f t="shared" si="99"/>
        <v>45364</v>
      </c>
      <c r="BN264" s="51">
        <f t="shared" si="106"/>
        <v>44897</v>
      </c>
      <c r="BO264" s="54">
        <f t="shared" si="100"/>
        <v>467</v>
      </c>
      <c r="BP264" s="3" t="s">
        <v>810</v>
      </c>
      <c r="BQ264" s="3" t="s">
        <v>24</v>
      </c>
      <c r="BR264" s="19" t="s">
        <v>305</v>
      </c>
      <c r="BS264" s="19" t="s">
        <v>2788</v>
      </c>
      <c r="BT264" s="54" t="str">
        <f t="shared" si="101"/>
        <v>Sales</v>
      </c>
      <c r="BV264" s="3" t="s">
        <v>810</v>
      </c>
      <c r="BW264" s="3" t="s">
        <v>811</v>
      </c>
      <c r="CB264" s="19" t="s">
        <v>598</v>
      </c>
      <c r="CC264" s="3" t="s">
        <v>811</v>
      </c>
      <c r="CD264" s="3" t="s">
        <v>45</v>
      </c>
      <c r="CE264" s="54" t="str">
        <v>QA Lead</v>
      </c>
      <c r="CG264" s="54" t="str">
        <f>IFERROR(_xlfn.XLOOKUP(Hiring!A264,Hiring!A264:A663,Hiring!B264:B663,,0),"Not Found")</f>
        <v>Ipsita Samal</v>
      </c>
    </row>
    <row r="265" spans="2:85">
      <c r="B265" s="100"/>
      <c r="F265" s="4">
        <v>2.8</v>
      </c>
      <c r="G265" s="52" t="str" cm="1">
        <f t="array" ref="G265">_xlfn.IFS(F265&gt;=4.5,"Excellent",AND(F265&gt;=3.5,F265&lt;=4.4),"Good",F265&lt;3.5,"Needs Improvement")</f>
        <v>Needs Improvement</v>
      </c>
      <c r="M265" s="18">
        <v>61321</v>
      </c>
      <c r="N265" s="18">
        <v>60748</v>
      </c>
      <c r="O265" s="54" t="str">
        <f t="shared" si="102"/>
        <v>Yes</v>
      </c>
      <c r="Q265" s="18"/>
      <c r="R265" s="56" t="str">
        <f t="shared" si="90"/>
        <v>No</v>
      </c>
      <c r="W265" s="18" t="s">
        <v>305</v>
      </c>
      <c r="X265" s="54" t="str">
        <f>VLOOKUP(W265,Employees!$A$1:$B$601,2,FALSE)</f>
        <v>Bikash Behura</v>
      </c>
      <c r="Z265" s="4" t="s">
        <v>813</v>
      </c>
      <c r="AA265" s="54" t="str">
        <f t="shared" si="91"/>
        <v>0264</v>
      </c>
      <c r="AC265" s="4" t="s">
        <v>51</v>
      </c>
      <c r="AD265" s="54" t="str">
        <f t="shared" si="92"/>
        <v>Sales</v>
      </c>
      <c r="AF265" s="4" t="s">
        <v>814</v>
      </c>
      <c r="AG265" s="4" t="s">
        <v>51</v>
      </c>
      <c r="AH265" s="4" t="s">
        <v>65</v>
      </c>
      <c r="AI265" s="54" t="str">
        <f t="shared" si="93"/>
        <v>Prasant Choudhury|Sales|TributeAI</v>
      </c>
      <c r="AK265" s="4" t="s">
        <v>814</v>
      </c>
      <c r="AL265" s="38" t="str">
        <f t="shared" si="94"/>
        <v>P.C.</v>
      </c>
      <c r="AN265" s="18" t="s">
        <v>5060</v>
      </c>
      <c r="AO265" s="54" t="str">
        <f t="shared" si="95"/>
        <v>Naukri</v>
      </c>
      <c r="AQ265" s="4" t="s">
        <v>814</v>
      </c>
      <c r="AR265" s="52" t="str">
        <f t="shared" si="96"/>
        <v>NO</v>
      </c>
      <c r="AW265" s="54">
        <f ca="1">DATEDIF(BI265,TODAY(),"Y")</f>
        <v>2</v>
      </c>
      <c r="AX265" s="54"/>
      <c r="AY265" s="41" t="s">
        <v>5531</v>
      </c>
      <c r="AZ265" s="44">
        <f t="shared" si="97"/>
        <v>45343</v>
      </c>
      <c r="BA265" s="54" t="str">
        <f t="shared" si="98"/>
        <v>2-2024</v>
      </c>
      <c r="BH265" s="4" t="s">
        <v>815</v>
      </c>
      <c r="BI265" s="51">
        <f t="shared" si="103"/>
        <v>45227</v>
      </c>
      <c r="BJ265" s="38">
        <f t="shared" ca="1" si="104"/>
        <v>730</v>
      </c>
      <c r="BK265" s="38"/>
      <c r="BL265" s="38" t="str">
        <f t="shared" si="105"/>
        <v>No</v>
      </c>
      <c r="BM265" s="59">
        <f t="shared" si="99"/>
        <v>45343</v>
      </c>
      <c r="BN265" s="51">
        <f t="shared" si="106"/>
        <v>45227</v>
      </c>
      <c r="BO265" s="54">
        <f t="shared" si="100"/>
        <v>116</v>
      </c>
      <c r="BP265" s="4" t="s">
        <v>813</v>
      </c>
      <c r="BQ265" s="4" t="s">
        <v>51</v>
      </c>
      <c r="BR265" s="18" t="s">
        <v>305</v>
      </c>
      <c r="BS265" s="18" t="s">
        <v>2791</v>
      </c>
      <c r="BT265" s="54" t="str">
        <f t="shared" si="101"/>
        <v>Sales</v>
      </c>
      <c r="BV265" s="4" t="s">
        <v>813</v>
      </c>
      <c r="BW265" s="4" t="s">
        <v>814</v>
      </c>
      <c r="CB265" s="18" t="s">
        <v>5530</v>
      </c>
      <c r="CC265" s="4" t="s">
        <v>814</v>
      </c>
      <c r="CD265" s="4" t="s">
        <v>69</v>
      </c>
      <c r="CE265" s="54" t="str">
        <v>Not Found</v>
      </c>
      <c r="CG265" s="54" t="str">
        <f>IFERROR(_xlfn.XLOOKUP(Hiring!A265,Hiring!A265:A664,Hiring!B265:B664,,0),"Not Found")</f>
        <v>Amlan Padhi</v>
      </c>
    </row>
    <row r="266" spans="2:85">
      <c r="B266" s="100"/>
      <c r="F266" s="3">
        <v>3</v>
      </c>
      <c r="G266" s="52" t="str" cm="1">
        <f t="array" ref="G266">_xlfn.IFS(F266&gt;=4.5,"Excellent",AND(F266&gt;=3.5,F266&lt;=4.4),"Good",F266&lt;3.5,"Needs Improvement")</f>
        <v>Needs Improvement</v>
      </c>
      <c r="M266" s="19"/>
      <c r="N266" s="19">
        <v>64263</v>
      </c>
      <c r="O266" s="54" t="str">
        <f t="shared" si="102"/>
        <v>Yes</v>
      </c>
      <c r="Q266" s="19">
        <v>10.7</v>
      </c>
      <c r="R266" s="56" t="str">
        <f t="shared" si="90"/>
        <v>Yes</v>
      </c>
      <c r="W266" s="19" t="s">
        <v>305</v>
      </c>
      <c r="X266" s="54" t="str">
        <f>VLOOKUP(W266,Employees!$A$1:$B$601,2,FALSE)</f>
        <v>Bikash Behura</v>
      </c>
      <c r="Z266" s="3" t="s">
        <v>816</v>
      </c>
      <c r="AA266" s="54" t="str">
        <f t="shared" si="91"/>
        <v>0265</v>
      </c>
      <c r="AC266" s="3" t="s">
        <v>39</v>
      </c>
      <c r="AD266" s="54" t="str">
        <f t="shared" si="92"/>
        <v>Engineering</v>
      </c>
      <c r="AF266" s="3" t="s">
        <v>331</v>
      </c>
      <c r="AG266" s="3" t="s">
        <v>39</v>
      </c>
      <c r="AH266" s="3" t="s">
        <v>26</v>
      </c>
      <c r="AI266" s="54" t="str">
        <f t="shared" si="93"/>
        <v>Tapas Sahoo|Engineering|InfySoft Bhubaneswar</v>
      </c>
      <c r="AK266" s="3" t="s">
        <v>331</v>
      </c>
      <c r="AL266" s="38" t="str">
        <f t="shared" si="94"/>
        <v>T.S.</v>
      </c>
      <c r="AN266" s="19" t="s">
        <v>5051</v>
      </c>
      <c r="AO266" s="54" t="str">
        <f t="shared" si="95"/>
        <v>Naukri</v>
      </c>
      <c r="AQ266" s="3" t="s">
        <v>331</v>
      </c>
      <c r="AR266" s="52" t="str">
        <f t="shared" si="96"/>
        <v>NO</v>
      </c>
      <c r="AW266" s="54">
        <f ca="1">DATEDIF(BI266,TODAY(),"Y")</f>
        <v>4</v>
      </c>
      <c r="AX266" s="54"/>
      <c r="AY266" s="40" t="s">
        <v>1889</v>
      </c>
      <c r="AZ266" s="44">
        <f t="shared" si="97"/>
        <v>45309</v>
      </c>
      <c r="BA266" s="54" t="str">
        <f t="shared" si="98"/>
        <v>1-2024</v>
      </c>
      <c r="BH266" s="3" t="s">
        <v>817</v>
      </c>
      <c r="BI266" s="51">
        <f t="shared" si="103"/>
        <v>44537</v>
      </c>
      <c r="BJ266" s="38">
        <f t="shared" ca="1" si="104"/>
        <v>1224</v>
      </c>
      <c r="BK266" s="38"/>
      <c r="BL266" s="38" t="str">
        <f t="shared" si="105"/>
        <v>No</v>
      </c>
      <c r="BM266" s="59">
        <f t="shared" si="99"/>
        <v>45309</v>
      </c>
      <c r="BN266" s="51">
        <f t="shared" si="106"/>
        <v>44537</v>
      </c>
      <c r="BO266" s="54">
        <f t="shared" si="100"/>
        <v>772</v>
      </c>
      <c r="BP266" s="3" t="s">
        <v>816</v>
      </c>
      <c r="BQ266" s="3" t="s">
        <v>39</v>
      </c>
      <c r="BR266" s="19" t="s">
        <v>305</v>
      </c>
      <c r="BS266" s="19" t="s">
        <v>2792</v>
      </c>
      <c r="BT266" s="54" t="str">
        <f t="shared" si="101"/>
        <v>Sales</v>
      </c>
      <c r="BV266" s="3" t="s">
        <v>816</v>
      </c>
      <c r="BW266" s="3" t="s">
        <v>331</v>
      </c>
      <c r="CB266" s="19" t="s">
        <v>5533</v>
      </c>
      <c r="CC266" s="3" t="s">
        <v>331</v>
      </c>
      <c r="CD266" s="3" t="s">
        <v>242</v>
      </c>
      <c r="CE266" s="54" t="str">
        <v>Not Found</v>
      </c>
      <c r="CG266" s="54" t="str">
        <f>IFERROR(_xlfn.XLOOKUP(Hiring!A266,Hiring!A266:A665,Hiring!B266:B665,,0),"Not Found")</f>
        <v>Chinmaya Padhi</v>
      </c>
    </row>
    <row r="267" spans="2:85">
      <c r="B267" s="100"/>
      <c r="F267" s="4">
        <v>2</v>
      </c>
      <c r="G267" s="52" t="str" cm="1">
        <f t="array" ref="G267">_xlfn.IFS(F267&gt;=4.5,"Excellent",AND(F267&gt;=3.5,F267&lt;=4.4),"Good",F267&lt;3.5,"Needs Improvement")</f>
        <v>Needs Improvement</v>
      </c>
      <c r="M267" s="18">
        <v>143623</v>
      </c>
      <c r="N267" s="18">
        <v>154866</v>
      </c>
      <c r="O267" s="54" t="str">
        <f t="shared" si="102"/>
        <v>Yes</v>
      </c>
      <c r="Q267" s="18">
        <v>10.06</v>
      </c>
      <c r="R267" s="56" t="str">
        <f t="shared" si="90"/>
        <v>Yes</v>
      </c>
      <c r="W267" s="18" t="s">
        <v>305</v>
      </c>
      <c r="X267" s="54" t="str">
        <f>VLOOKUP(W267,Employees!$A$1:$B$601,2,FALSE)</f>
        <v>Bikash Behura</v>
      </c>
      <c r="Z267" s="4" t="s">
        <v>818</v>
      </c>
      <c r="AA267" s="54" t="str">
        <f t="shared" si="91"/>
        <v>0266</v>
      </c>
      <c r="AC267" s="4" t="s">
        <v>118</v>
      </c>
      <c r="AD267" s="54" t="str">
        <f t="shared" si="92"/>
        <v>Marketing</v>
      </c>
      <c r="AF267" s="4" t="s">
        <v>165</v>
      </c>
      <c r="AG267" s="4" t="s">
        <v>118</v>
      </c>
      <c r="AH267" s="4" t="s">
        <v>75</v>
      </c>
      <c r="AI267" s="54" t="str">
        <f t="shared" si="93"/>
        <v>Priyanka Ratha|Marketing|KalingaTech Pvt Ltd</v>
      </c>
      <c r="AK267" s="4" t="s">
        <v>165</v>
      </c>
      <c r="AL267" s="38" t="str">
        <f t="shared" si="94"/>
        <v>P.R.</v>
      </c>
      <c r="AN267" s="18" t="s">
        <v>5025</v>
      </c>
      <c r="AO267" s="54" t="b">
        <f t="shared" si="95"/>
        <v>0</v>
      </c>
      <c r="AQ267" s="4" t="s">
        <v>165</v>
      </c>
      <c r="AR267" s="52" t="str">
        <f t="shared" si="96"/>
        <v>NO</v>
      </c>
      <c r="AW267" s="54">
        <f ca="1">DATEDIF(BI267,TODAY(),"Y")</f>
        <v>3</v>
      </c>
      <c r="AX267" s="54"/>
      <c r="AY267" s="41" t="s">
        <v>577</v>
      </c>
      <c r="AZ267" s="44">
        <f t="shared" si="97"/>
        <v>44947</v>
      </c>
      <c r="BA267" s="54" t="str">
        <f t="shared" si="98"/>
        <v>1-2023</v>
      </c>
      <c r="BH267" s="4" t="s">
        <v>819</v>
      </c>
      <c r="BI267" s="51">
        <f t="shared" si="103"/>
        <v>45023</v>
      </c>
      <c r="BJ267" s="38">
        <f t="shared" ca="1" si="104"/>
        <v>876</v>
      </c>
      <c r="BK267" s="38"/>
      <c r="BL267" s="38" t="str">
        <f t="shared" si="105"/>
        <v>No</v>
      </c>
      <c r="BM267" s="59">
        <f t="shared" si="99"/>
        <v>44947</v>
      </c>
      <c r="BN267" s="51">
        <f t="shared" si="106"/>
        <v>45023</v>
      </c>
      <c r="BO267" s="54">
        <f t="shared" si="100"/>
        <v>76</v>
      </c>
      <c r="BP267" s="4" t="s">
        <v>818</v>
      </c>
      <c r="BQ267" s="4" t="s">
        <v>118</v>
      </c>
      <c r="BR267" s="18" t="s">
        <v>305</v>
      </c>
      <c r="BS267" s="18" t="s">
        <v>2794</v>
      </c>
      <c r="BT267" s="54" t="str">
        <f t="shared" si="101"/>
        <v>Sales</v>
      </c>
      <c r="BV267" s="4" t="s">
        <v>818</v>
      </c>
      <c r="BW267" s="4" t="s">
        <v>165</v>
      </c>
      <c r="CB267" s="18" t="s">
        <v>137</v>
      </c>
      <c r="CC267" s="4" t="s">
        <v>165</v>
      </c>
      <c r="CD267" s="4" t="s">
        <v>181</v>
      </c>
      <c r="CE267" s="54" t="str">
        <v>HR Executive</v>
      </c>
      <c r="CG267" s="54" t="str">
        <f>IFERROR(_xlfn.XLOOKUP(Hiring!A267,Hiring!A267:A666,Hiring!B267:B666,,0),"Not Found")</f>
        <v>Alka Padhi</v>
      </c>
    </row>
    <row r="268" spans="2:85">
      <c r="B268" s="100"/>
      <c r="F268" s="3">
        <v>4.4000000000000004</v>
      </c>
      <c r="G268" s="52" t="str" cm="1">
        <f t="array" ref="G268">_xlfn.IFS(F268&gt;=4.5,"Excellent",AND(F268&gt;=3.5,F268&lt;=4.4),"Good",F268&lt;3.5,"Needs Improvement")</f>
        <v>Good</v>
      </c>
      <c r="M268" s="19"/>
      <c r="N268" s="19">
        <v>95243</v>
      </c>
      <c r="O268" s="54" t="str">
        <f t="shared" si="102"/>
        <v>Yes</v>
      </c>
      <c r="Q268" s="19">
        <v>8.98</v>
      </c>
      <c r="R268" s="56" t="str">
        <f t="shared" si="90"/>
        <v>Yes</v>
      </c>
      <c r="W268" s="19" t="s">
        <v>305</v>
      </c>
      <c r="X268" s="54" t="str">
        <f>VLOOKUP(W268,Employees!$A$1:$B$601,2,FALSE)</f>
        <v>Bikash Behura</v>
      </c>
      <c r="Z268" s="3" t="s">
        <v>820</v>
      </c>
      <c r="AA268" s="54" t="str">
        <f t="shared" si="91"/>
        <v>0267</v>
      </c>
      <c r="AC268" s="3" t="s">
        <v>24</v>
      </c>
      <c r="AD268" s="54" t="str">
        <f t="shared" si="92"/>
        <v>Design</v>
      </c>
      <c r="AF268" s="3" t="s">
        <v>673</v>
      </c>
      <c r="AG268" s="3" t="s">
        <v>24</v>
      </c>
      <c r="AH268" s="3" t="s">
        <v>149</v>
      </c>
      <c r="AI268" s="54" t="str">
        <f t="shared" si="93"/>
        <v>Sudhansu Mishra|Design|SilverByte Systems</v>
      </c>
      <c r="AK268" s="3" t="s">
        <v>673</v>
      </c>
      <c r="AL268" s="38" t="str">
        <f t="shared" si="94"/>
        <v>S.M.</v>
      </c>
      <c r="AN268" s="19" t="s">
        <v>5051</v>
      </c>
      <c r="AO268" s="54" t="str">
        <f t="shared" si="95"/>
        <v>Naukri</v>
      </c>
      <c r="AQ268" s="3" t="s">
        <v>673</v>
      </c>
      <c r="AR268" s="52" t="str">
        <f t="shared" si="96"/>
        <v>Mishra</v>
      </c>
      <c r="AW268" s="54">
        <f ca="1">DATEDIF(BI268,TODAY(),"Y")</f>
        <v>5</v>
      </c>
      <c r="AX268" s="54"/>
      <c r="AY268" s="40" t="s">
        <v>2238</v>
      </c>
      <c r="AZ268" s="44">
        <f t="shared" si="97"/>
        <v>45567</v>
      </c>
      <c r="BA268" s="54" t="str">
        <f t="shared" si="98"/>
        <v>10-2024</v>
      </c>
      <c r="BH268" s="3" t="s">
        <v>821</v>
      </c>
      <c r="BI268" s="51">
        <f t="shared" si="103"/>
        <v>44386</v>
      </c>
      <c r="BJ268" s="38">
        <f t="shared" ca="1" si="104"/>
        <v>1331</v>
      </c>
      <c r="BK268" s="38"/>
      <c r="BL268" s="38" t="str">
        <f t="shared" si="105"/>
        <v>No</v>
      </c>
      <c r="BM268" s="59">
        <f t="shared" si="99"/>
        <v>45567</v>
      </c>
      <c r="BN268" s="51">
        <f t="shared" si="106"/>
        <v>44386</v>
      </c>
      <c r="BO268" s="54">
        <f t="shared" si="100"/>
        <v>1181</v>
      </c>
      <c r="BP268" s="3" t="s">
        <v>820</v>
      </c>
      <c r="BQ268" s="3" t="s">
        <v>24</v>
      </c>
      <c r="BR268" s="19" t="s">
        <v>305</v>
      </c>
      <c r="BS268" s="19" t="s">
        <v>2795</v>
      </c>
      <c r="BT268" s="54" t="str">
        <f t="shared" si="101"/>
        <v>Sales</v>
      </c>
      <c r="BV268" s="3" t="s">
        <v>820</v>
      </c>
      <c r="BW268" s="3" t="s">
        <v>673</v>
      </c>
      <c r="CB268" s="19" t="s">
        <v>1376</v>
      </c>
      <c r="CC268" s="3" t="s">
        <v>673</v>
      </c>
      <c r="CD268" s="3" t="s">
        <v>94</v>
      </c>
      <c r="CE268" s="54" t="str">
        <v>Design Lead</v>
      </c>
      <c r="CG268" s="54" t="str">
        <f>IFERROR(_xlfn.XLOOKUP(Hiring!A268,Hiring!A268:A667,Hiring!B268:B667,,0),"Not Found")</f>
        <v>Puspita Prusty</v>
      </c>
    </row>
    <row r="269" spans="2:85">
      <c r="B269" s="100"/>
      <c r="F269" s="4">
        <v>3.3</v>
      </c>
      <c r="G269" s="52" t="str" cm="1">
        <f t="array" ref="G269">_xlfn.IFS(F269&gt;=4.5,"Excellent",AND(F269&gt;=3.5,F269&lt;=4.4),"Good",F269&lt;3.5,"Needs Improvement")</f>
        <v>Needs Improvement</v>
      </c>
      <c r="M269" s="18">
        <v>26573</v>
      </c>
      <c r="N269" s="18">
        <v>25414</v>
      </c>
      <c r="O269" s="54" t="str">
        <f t="shared" si="102"/>
        <v>Yes</v>
      </c>
      <c r="Q269" s="18">
        <v>8.8000000000000007</v>
      </c>
      <c r="R269" s="56" t="str">
        <f t="shared" si="90"/>
        <v>Yes</v>
      </c>
      <c r="W269" s="18" t="s">
        <v>305</v>
      </c>
      <c r="X269" s="54" t="str">
        <f>VLOOKUP(W269,Employees!$A$1:$B$601,2,FALSE)</f>
        <v>Bikash Behura</v>
      </c>
      <c r="Z269" s="4" t="s">
        <v>822</v>
      </c>
      <c r="AA269" s="54" t="str">
        <f t="shared" si="91"/>
        <v>0268</v>
      </c>
      <c r="AC269" s="4" t="s">
        <v>133</v>
      </c>
      <c r="AD269" s="54" t="str">
        <f t="shared" si="92"/>
        <v>Qa</v>
      </c>
      <c r="AF269" s="4" t="s">
        <v>823</v>
      </c>
      <c r="AG269" s="4" t="s">
        <v>133</v>
      </c>
      <c r="AH269" s="4" t="s">
        <v>114</v>
      </c>
      <c r="AI269" s="54" t="str">
        <f t="shared" si="93"/>
        <v>Chinmaya Senapati|QA|UtkalSoft Technologies</v>
      </c>
      <c r="AK269" s="4" t="s">
        <v>823</v>
      </c>
      <c r="AL269" s="38" t="str">
        <f t="shared" si="94"/>
        <v>C.S.</v>
      </c>
      <c r="AN269" s="18" t="s">
        <v>5077</v>
      </c>
      <c r="AO269" s="54" t="b">
        <f t="shared" si="95"/>
        <v>0</v>
      </c>
      <c r="AQ269" s="4" t="s">
        <v>823</v>
      </c>
      <c r="AR269" s="52" t="str">
        <f t="shared" si="96"/>
        <v>NO</v>
      </c>
      <c r="AW269" s="54">
        <f ca="1">DATEDIF(BI269,TODAY(),"Y")</f>
        <v>4</v>
      </c>
      <c r="AX269" s="54"/>
      <c r="AY269" s="41" t="s">
        <v>5537</v>
      </c>
      <c r="AZ269" s="44">
        <f t="shared" si="97"/>
        <v>45535</v>
      </c>
      <c r="BA269" s="54" t="str">
        <f t="shared" si="98"/>
        <v>8-2024</v>
      </c>
      <c r="BH269" s="4" t="s">
        <v>824</v>
      </c>
      <c r="BI269" s="51">
        <f t="shared" si="103"/>
        <v>44433</v>
      </c>
      <c r="BJ269" s="38">
        <f t="shared" ca="1" si="104"/>
        <v>1298</v>
      </c>
      <c r="BK269" s="38"/>
      <c r="BL269" s="38" t="str">
        <f t="shared" si="105"/>
        <v>No</v>
      </c>
      <c r="BM269" s="59">
        <f t="shared" si="99"/>
        <v>45535</v>
      </c>
      <c r="BN269" s="51">
        <f t="shared" si="106"/>
        <v>44433</v>
      </c>
      <c r="BO269" s="54">
        <f t="shared" si="100"/>
        <v>1102</v>
      </c>
      <c r="BP269" s="4" t="s">
        <v>822</v>
      </c>
      <c r="BQ269" s="4" t="s">
        <v>133</v>
      </c>
      <c r="BR269" s="18" t="s">
        <v>305</v>
      </c>
      <c r="BS269" s="18" t="s">
        <v>2798</v>
      </c>
      <c r="BT269" s="54" t="str">
        <f t="shared" si="101"/>
        <v>Sales</v>
      </c>
      <c r="BV269" s="4" t="s">
        <v>822</v>
      </c>
      <c r="BW269" s="4" t="s">
        <v>823</v>
      </c>
      <c r="CB269" s="18" t="s">
        <v>5422</v>
      </c>
      <c r="CC269" s="4" t="s">
        <v>823</v>
      </c>
      <c r="CD269" s="4" t="s">
        <v>153</v>
      </c>
      <c r="CE269" s="54" t="str">
        <v>Not Found</v>
      </c>
      <c r="CG269" s="54" t="str">
        <f>IFERROR(_xlfn.XLOOKUP(Hiring!A269,Hiring!A269:A668,Hiring!B269:B668,,0),"Not Found")</f>
        <v>Amlan Mohapatra</v>
      </c>
    </row>
    <row r="270" spans="2:85">
      <c r="B270" s="100"/>
      <c r="F270" s="3">
        <v>4.5</v>
      </c>
      <c r="G270" s="52" t="str" cm="1">
        <f t="array" ref="G270">_xlfn.IFS(F270&gt;=4.5,"Excellent",AND(F270&gt;=3.5,F270&lt;=4.4),"Good",F270&lt;3.5,"Needs Improvement")</f>
        <v>Excellent</v>
      </c>
      <c r="M270" s="19">
        <v>58329</v>
      </c>
      <c r="N270" s="19">
        <v>67321</v>
      </c>
      <c r="O270" s="54" t="str">
        <f t="shared" si="102"/>
        <v>Yes</v>
      </c>
      <c r="Q270" s="19">
        <v>8.0299999999999994</v>
      </c>
      <c r="R270" s="56" t="str">
        <f t="shared" si="90"/>
        <v>Yes</v>
      </c>
      <c r="W270" s="19" t="s">
        <v>305</v>
      </c>
      <c r="X270" s="54" t="str">
        <f>VLOOKUP(W270,Employees!$A$1:$B$601,2,FALSE)</f>
        <v>Bikash Behura</v>
      </c>
      <c r="Z270" s="3" t="s">
        <v>825</v>
      </c>
      <c r="AA270" s="54" t="str">
        <f t="shared" si="91"/>
        <v>0269</v>
      </c>
      <c r="AC270" s="3" t="s">
        <v>51</v>
      </c>
      <c r="AD270" s="54" t="str">
        <f t="shared" si="92"/>
        <v>Sales</v>
      </c>
      <c r="AF270" s="3" t="s">
        <v>826</v>
      </c>
      <c r="AG270" s="3" t="s">
        <v>51</v>
      </c>
      <c r="AH270" s="3" t="s">
        <v>214</v>
      </c>
      <c r="AI270" s="54" t="str">
        <f t="shared" si="93"/>
        <v>Soumya Jena|Sales|ZeroOneSystems</v>
      </c>
      <c r="AK270" s="3" t="s">
        <v>826</v>
      </c>
      <c r="AL270" s="38" t="str">
        <f t="shared" si="94"/>
        <v>S.J.</v>
      </c>
      <c r="AN270" s="19" t="s">
        <v>5031</v>
      </c>
      <c r="AO270" s="54" t="b">
        <f t="shared" si="95"/>
        <v>0</v>
      </c>
      <c r="AQ270" s="3" t="s">
        <v>826</v>
      </c>
      <c r="AR270" s="52" t="str">
        <f t="shared" si="96"/>
        <v>NO</v>
      </c>
      <c r="AW270" s="54">
        <f ca="1">DATEDIF(BI270,TODAY(),"Y")</f>
        <v>2</v>
      </c>
      <c r="AX270" s="54"/>
      <c r="AY270" s="40" t="s">
        <v>5540</v>
      </c>
      <c r="AZ270" s="44">
        <f t="shared" si="97"/>
        <v>45505</v>
      </c>
      <c r="BA270" s="54" t="str">
        <f t="shared" si="98"/>
        <v>8-2024</v>
      </c>
      <c r="BH270" s="3" t="s">
        <v>827</v>
      </c>
      <c r="BI270" s="51">
        <f t="shared" si="103"/>
        <v>45212</v>
      </c>
      <c r="BJ270" s="38">
        <f t="shared" ca="1" si="104"/>
        <v>741</v>
      </c>
      <c r="BK270" s="38"/>
      <c r="BL270" s="38" t="str">
        <f t="shared" si="105"/>
        <v>No</v>
      </c>
      <c r="BM270" s="59">
        <f t="shared" si="99"/>
        <v>45505</v>
      </c>
      <c r="BN270" s="51">
        <f t="shared" si="106"/>
        <v>45212</v>
      </c>
      <c r="BO270" s="54">
        <f t="shared" si="100"/>
        <v>293</v>
      </c>
      <c r="BP270" s="3" t="s">
        <v>825</v>
      </c>
      <c r="BQ270" s="3" t="s">
        <v>51</v>
      </c>
      <c r="BR270" s="19" t="s">
        <v>305</v>
      </c>
      <c r="BS270" s="19" t="s">
        <v>2800</v>
      </c>
      <c r="BT270" s="54" t="str">
        <f t="shared" si="101"/>
        <v>Sales</v>
      </c>
      <c r="BV270" s="3" t="s">
        <v>825</v>
      </c>
      <c r="BW270" s="3" t="s">
        <v>826</v>
      </c>
      <c r="CB270" s="19" t="s">
        <v>5539</v>
      </c>
      <c r="CC270" s="3" t="s">
        <v>826</v>
      </c>
      <c r="CD270" s="3" t="s">
        <v>105</v>
      </c>
      <c r="CE270" s="54" t="str">
        <v>Not Found</v>
      </c>
      <c r="CG270" s="54" t="str">
        <f>IFERROR(_xlfn.XLOOKUP(Hiring!A270,Hiring!A270:A669,Hiring!B270:B669,,0),"Not Found")</f>
        <v>Subhasree Sahoo</v>
      </c>
    </row>
    <row r="271" spans="2:85">
      <c r="B271" s="100"/>
      <c r="F271" s="4">
        <v>2.8</v>
      </c>
      <c r="G271" s="52" t="str" cm="1">
        <f t="array" ref="G271">_xlfn.IFS(F271&gt;=4.5,"Excellent",AND(F271&gt;=3.5,F271&lt;=4.4),"Good",F271&lt;3.5,"Needs Improvement")</f>
        <v>Needs Improvement</v>
      </c>
      <c r="M271" s="18">
        <v>30405</v>
      </c>
      <c r="N271" s="18"/>
      <c r="O271" s="54" t="str">
        <f t="shared" si="102"/>
        <v>Yes</v>
      </c>
      <c r="Q271" s="18">
        <v>10.37</v>
      </c>
      <c r="R271" s="56" t="str">
        <f t="shared" si="90"/>
        <v>Yes</v>
      </c>
      <c r="W271" s="18" t="s">
        <v>305</v>
      </c>
      <c r="X271" s="54" t="str">
        <f>VLOOKUP(W271,Employees!$A$1:$B$601,2,FALSE)</f>
        <v>Bikash Behura</v>
      </c>
      <c r="Z271" s="4" t="s">
        <v>828</v>
      </c>
      <c r="AA271" s="54" t="str">
        <f t="shared" si="91"/>
        <v>0270</v>
      </c>
      <c r="AC271" s="4" t="s">
        <v>84</v>
      </c>
      <c r="AD271" s="54" t="str">
        <f t="shared" si="92"/>
        <v>Hr</v>
      </c>
      <c r="AF271" s="4" t="s">
        <v>829</v>
      </c>
      <c r="AG271" s="4" t="s">
        <v>84</v>
      </c>
      <c r="AH271" s="4" t="s">
        <v>53</v>
      </c>
      <c r="AI271" s="54" t="str">
        <f t="shared" si="93"/>
        <v>Puspita Tripathy|HR|BlueLotus IT</v>
      </c>
      <c r="AK271" s="4" t="s">
        <v>829</v>
      </c>
      <c r="AL271" s="38" t="str">
        <f t="shared" si="94"/>
        <v>P.T.</v>
      </c>
      <c r="AN271" s="18" t="s">
        <v>5023</v>
      </c>
      <c r="AO271" s="54" t="str">
        <f t="shared" si="95"/>
        <v>Linkedln</v>
      </c>
      <c r="AQ271" s="4" t="s">
        <v>829</v>
      </c>
      <c r="AR271" s="52" t="str">
        <f t="shared" si="96"/>
        <v>NO</v>
      </c>
      <c r="AW271" s="54">
        <f ca="1">DATEDIF(BI271,TODAY(),"Y")</f>
        <v>5</v>
      </c>
      <c r="AX271" s="54"/>
      <c r="AY271" s="41" t="s">
        <v>1837</v>
      </c>
      <c r="AZ271" s="44">
        <f t="shared" si="97"/>
        <v>44988</v>
      </c>
      <c r="BA271" s="54" t="str">
        <f t="shared" si="98"/>
        <v>3-2023</v>
      </c>
      <c r="BH271" s="4" t="s">
        <v>830</v>
      </c>
      <c r="BI271" s="51">
        <f t="shared" si="103"/>
        <v>44298</v>
      </c>
      <c r="BJ271" s="38">
        <f t="shared" ca="1" si="104"/>
        <v>1395</v>
      </c>
      <c r="BK271" s="38"/>
      <c r="BL271" s="38" t="str">
        <f t="shared" si="105"/>
        <v>No</v>
      </c>
      <c r="BM271" s="59">
        <f t="shared" si="99"/>
        <v>44988</v>
      </c>
      <c r="BN271" s="51">
        <f t="shared" si="106"/>
        <v>44298</v>
      </c>
      <c r="BO271" s="54">
        <f t="shared" si="100"/>
        <v>690</v>
      </c>
      <c r="BP271" s="4" t="s">
        <v>828</v>
      </c>
      <c r="BQ271" s="4" t="s">
        <v>84</v>
      </c>
      <c r="BR271" s="18" t="s">
        <v>305</v>
      </c>
      <c r="BS271" s="18" t="s">
        <v>2803</v>
      </c>
      <c r="BT271" s="54" t="str">
        <f t="shared" si="101"/>
        <v>Sales</v>
      </c>
      <c r="BV271" s="4" t="s">
        <v>828</v>
      </c>
      <c r="BW271" s="4" t="s">
        <v>829</v>
      </c>
      <c r="CB271" s="18" t="s">
        <v>435</v>
      </c>
      <c r="CC271" s="4" t="s">
        <v>829</v>
      </c>
      <c r="CD271" s="4" t="s">
        <v>204</v>
      </c>
      <c r="CE271" s="54" t="str">
        <v>Finance Analyst</v>
      </c>
      <c r="CG271" s="54" t="str">
        <f>IFERROR(_xlfn.XLOOKUP(Hiring!A271,Hiring!A271:A670,Hiring!B271:B670,,0),"Not Found")</f>
        <v>Namita Nanda</v>
      </c>
    </row>
    <row r="272" spans="2:85">
      <c r="B272" s="100"/>
      <c r="F272" s="3">
        <v>4</v>
      </c>
      <c r="G272" s="52" t="str" cm="1">
        <f t="array" ref="G272">_xlfn.IFS(F272&gt;=4.5,"Excellent",AND(F272&gt;=3.5,F272&lt;=4.4),"Good",F272&lt;3.5,"Needs Improvement")</f>
        <v>Good</v>
      </c>
      <c r="M272" s="19">
        <v>119584</v>
      </c>
      <c r="N272" s="19">
        <v>138695</v>
      </c>
      <c r="O272" s="54" t="str">
        <f t="shared" si="102"/>
        <v>Yes</v>
      </c>
      <c r="Q272" s="19">
        <v>9.5399999999999991</v>
      </c>
      <c r="R272" s="56" t="str">
        <f t="shared" si="90"/>
        <v>Yes</v>
      </c>
      <c r="W272" s="19" t="s">
        <v>305</v>
      </c>
      <c r="X272" s="54" t="str">
        <f>VLOOKUP(W272,Employees!$A$1:$B$601,2,FALSE)</f>
        <v>Bikash Behura</v>
      </c>
      <c r="Z272" s="3" t="s">
        <v>831</v>
      </c>
      <c r="AA272" s="54" t="str">
        <f t="shared" si="91"/>
        <v>0271</v>
      </c>
      <c r="AC272" s="3" t="s">
        <v>118</v>
      </c>
      <c r="AD272" s="54" t="str">
        <f t="shared" si="92"/>
        <v>Marketing</v>
      </c>
      <c r="AF272" s="3" t="s">
        <v>832</v>
      </c>
      <c r="AG272" s="3" t="s">
        <v>118</v>
      </c>
      <c r="AH272" s="3" t="s">
        <v>46</v>
      </c>
      <c r="AI272" s="54" t="str">
        <f t="shared" si="93"/>
        <v>Rajan Senapati|Marketing|SambalpurNet</v>
      </c>
      <c r="AK272" s="3" t="s">
        <v>832</v>
      </c>
      <c r="AL272" s="38" t="str">
        <f t="shared" si="94"/>
        <v>R.S.</v>
      </c>
      <c r="AN272" s="19" t="s">
        <v>5077</v>
      </c>
      <c r="AO272" s="54" t="b">
        <f t="shared" si="95"/>
        <v>0</v>
      </c>
      <c r="AQ272" s="3" t="s">
        <v>832</v>
      </c>
      <c r="AR272" s="52" t="str">
        <f t="shared" si="96"/>
        <v>NO</v>
      </c>
      <c r="AW272" s="54">
        <f ca="1">DATEDIF(BI272,TODAY(),"Y")</f>
        <v>3</v>
      </c>
      <c r="AX272" s="54"/>
      <c r="AY272" s="40" t="s">
        <v>577</v>
      </c>
      <c r="AZ272" s="44">
        <f t="shared" si="97"/>
        <v>44947</v>
      </c>
      <c r="BA272" s="54" t="str">
        <f t="shared" si="98"/>
        <v>1-2023</v>
      </c>
      <c r="BH272" s="3" t="s">
        <v>833</v>
      </c>
      <c r="BI272" s="51">
        <f t="shared" si="103"/>
        <v>44909</v>
      </c>
      <c r="BJ272" s="38">
        <f t="shared" ca="1" si="104"/>
        <v>958</v>
      </c>
      <c r="BK272" s="38"/>
      <c r="BL272" s="38" t="str">
        <f t="shared" si="105"/>
        <v>No</v>
      </c>
      <c r="BM272" s="59">
        <f t="shared" si="99"/>
        <v>44947</v>
      </c>
      <c r="BN272" s="51">
        <f t="shared" si="106"/>
        <v>44909</v>
      </c>
      <c r="BO272" s="54">
        <f t="shared" si="100"/>
        <v>38</v>
      </c>
      <c r="BP272" s="3" t="s">
        <v>831</v>
      </c>
      <c r="BQ272" s="3" t="s">
        <v>118</v>
      </c>
      <c r="BR272" s="19" t="s">
        <v>305</v>
      </c>
      <c r="BS272" s="19" t="s">
        <v>2805</v>
      </c>
      <c r="BT272" s="54" t="str">
        <f t="shared" si="101"/>
        <v>Sales</v>
      </c>
      <c r="BV272" s="3" t="s">
        <v>831</v>
      </c>
      <c r="BW272" s="3" t="s">
        <v>832</v>
      </c>
      <c r="CB272" s="19" t="s">
        <v>413</v>
      </c>
      <c r="CC272" s="3" t="s">
        <v>832</v>
      </c>
      <c r="CD272" s="3" t="s">
        <v>254</v>
      </c>
      <c r="CE272" s="54" t="str">
        <v>SRE</v>
      </c>
      <c r="CG272" s="54" t="str">
        <f>IFERROR(_xlfn.XLOOKUP(Hiring!A272,Hiring!A272:A671,Hiring!B272:B671,,0),"Not Found")</f>
        <v>Smita Nanda</v>
      </c>
    </row>
    <row r="273" spans="2:85">
      <c r="B273" s="100"/>
      <c r="F273" s="4">
        <v>3</v>
      </c>
      <c r="G273" s="52" t="str" cm="1">
        <f t="array" ref="G273">_xlfn.IFS(F273&gt;=4.5,"Excellent",AND(F273&gt;=3.5,F273&lt;=4.4),"Good",F273&lt;3.5,"Needs Improvement")</f>
        <v>Needs Improvement</v>
      </c>
      <c r="M273" s="18">
        <v>74589</v>
      </c>
      <c r="N273" s="18">
        <v>83164</v>
      </c>
      <c r="O273" s="54" t="str">
        <f t="shared" si="102"/>
        <v>Yes</v>
      </c>
      <c r="Q273" s="18">
        <v>9.19</v>
      </c>
      <c r="R273" s="56" t="str">
        <f t="shared" si="90"/>
        <v>Yes</v>
      </c>
      <c r="W273" s="18" t="s">
        <v>305</v>
      </c>
      <c r="X273" s="54" t="str">
        <f>VLOOKUP(W273,Employees!$A$1:$B$601,2,FALSE)</f>
        <v>Bikash Behura</v>
      </c>
      <c r="Z273" s="4" t="s">
        <v>834</v>
      </c>
      <c r="AA273" s="54" t="str">
        <f t="shared" si="91"/>
        <v>0272</v>
      </c>
      <c r="AC273" s="4" t="s">
        <v>16</v>
      </c>
      <c r="AD273" s="54" t="str">
        <f t="shared" si="92"/>
        <v>Devops</v>
      </c>
      <c r="AF273" s="4" t="s">
        <v>835</v>
      </c>
      <c r="AG273" s="4" t="s">
        <v>16</v>
      </c>
      <c r="AH273" s="4" t="s">
        <v>149</v>
      </c>
      <c r="AI273" s="54" t="str">
        <f t="shared" si="93"/>
        <v>Prasant Padhi|DevOps|SilverByte Systems</v>
      </c>
      <c r="AK273" s="4" t="s">
        <v>835</v>
      </c>
      <c r="AL273" s="38" t="str">
        <f t="shared" si="94"/>
        <v>P.P.</v>
      </c>
      <c r="AN273" s="18" t="s">
        <v>5051</v>
      </c>
      <c r="AO273" s="54" t="str">
        <f t="shared" si="95"/>
        <v>Naukri</v>
      </c>
      <c r="AQ273" s="4" t="s">
        <v>835</v>
      </c>
      <c r="AR273" s="52" t="str">
        <f t="shared" si="96"/>
        <v>NO</v>
      </c>
      <c r="AW273" s="54">
        <f ca="1">DATEDIF(BI273,TODAY(),"Y")</f>
        <v>7</v>
      </c>
      <c r="AX273" s="54"/>
      <c r="AY273" s="41" t="s">
        <v>2144</v>
      </c>
      <c r="AZ273" s="44">
        <f t="shared" si="97"/>
        <v>45593</v>
      </c>
      <c r="BA273" s="54" t="str">
        <f t="shared" si="98"/>
        <v>10-2024</v>
      </c>
      <c r="BH273" s="4" t="s">
        <v>836</v>
      </c>
      <c r="BI273" s="51">
        <f t="shared" si="103"/>
        <v>43422</v>
      </c>
      <c r="BJ273" s="38">
        <f t="shared" ca="1" si="104"/>
        <v>2020</v>
      </c>
      <c r="BK273" s="38"/>
      <c r="BL273" s="38" t="str">
        <f t="shared" si="105"/>
        <v>No</v>
      </c>
      <c r="BM273" s="59">
        <f t="shared" si="99"/>
        <v>45593</v>
      </c>
      <c r="BN273" s="51">
        <f t="shared" si="106"/>
        <v>43422</v>
      </c>
      <c r="BO273" s="54">
        <f t="shared" si="100"/>
        <v>2171</v>
      </c>
      <c r="BP273" s="4" t="s">
        <v>834</v>
      </c>
      <c r="BQ273" s="4" t="s">
        <v>16</v>
      </c>
      <c r="BR273" s="18" t="s">
        <v>305</v>
      </c>
      <c r="BS273" s="18" t="s">
        <v>2806</v>
      </c>
      <c r="BT273" s="54" t="str">
        <f t="shared" si="101"/>
        <v>Sales</v>
      </c>
      <c r="BV273" s="4" t="s">
        <v>834</v>
      </c>
      <c r="BW273" s="4" t="s">
        <v>835</v>
      </c>
      <c r="CB273" s="18" t="s">
        <v>485</v>
      </c>
      <c r="CC273" s="4" t="s">
        <v>835</v>
      </c>
      <c r="CD273" s="4" t="s">
        <v>17</v>
      </c>
      <c r="CE273" s="54" t="str">
        <v>Senior QA</v>
      </c>
      <c r="CG273" s="54" t="str">
        <f>IFERROR(_xlfn.XLOOKUP(Hiring!A273,Hiring!A273:A672,Hiring!B273:B672,,0),"Not Found")</f>
        <v>Satyajit Dhal</v>
      </c>
    </row>
    <row r="274" spans="2:85">
      <c r="B274" s="100"/>
      <c r="F274" s="3">
        <v>4.5999999999999996</v>
      </c>
      <c r="G274" s="52" t="str" cm="1">
        <f t="array" ref="G274">_xlfn.IFS(F274&gt;=4.5,"Excellent",AND(F274&gt;=3.5,F274&lt;=4.4),"Good",F274&lt;3.5,"Needs Improvement")</f>
        <v>Excellent</v>
      </c>
      <c r="M274" s="19">
        <v>81722</v>
      </c>
      <c r="N274" s="19">
        <v>89241</v>
      </c>
      <c r="O274" s="54" t="str">
        <f t="shared" si="102"/>
        <v>Yes</v>
      </c>
      <c r="Q274" s="19">
        <v>9.19</v>
      </c>
      <c r="R274" s="56" t="str">
        <f t="shared" si="90"/>
        <v>Yes</v>
      </c>
      <c r="W274" s="19" t="s">
        <v>305</v>
      </c>
      <c r="X274" s="54" t="str">
        <f>VLOOKUP(W274,Employees!$A$1:$B$601,2,FALSE)</f>
        <v>Bikash Behura</v>
      </c>
      <c r="Z274" s="3" t="s">
        <v>837</v>
      </c>
      <c r="AA274" s="54" t="str">
        <f t="shared" si="91"/>
        <v>0273</v>
      </c>
      <c r="AC274" s="3" t="s">
        <v>176</v>
      </c>
      <c r="AD274" s="54" t="str">
        <f t="shared" si="92"/>
        <v>Finance</v>
      </c>
      <c r="AF274" s="3" t="s">
        <v>561</v>
      </c>
      <c r="AG274" s="3" t="s">
        <v>176</v>
      </c>
      <c r="AH274" s="3" t="s">
        <v>214</v>
      </c>
      <c r="AI274" s="54" t="str">
        <f t="shared" si="93"/>
        <v>Soumya Tripathy|Finance|ZeroOneSystems</v>
      </c>
      <c r="AK274" s="3" t="s">
        <v>561</v>
      </c>
      <c r="AL274" s="38" t="str">
        <f t="shared" si="94"/>
        <v>S.T.</v>
      </c>
      <c r="AN274" s="19" t="s">
        <v>5051</v>
      </c>
      <c r="AO274" s="54" t="str">
        <f t="shared" si="95"/>
        <v>Naukri</v>
      </c>
      <c r="AQ274" s="3" t="s">
        <v>561</v>
      </c>
      <c r="AR274" s="52" t="str">
        <f t="shared" si="96"/>
        <v>NO</v>
      </c>
      <c r="AW274" s="54">
        <f ca="1">DATEDIF(BI274,TODAY(),"Y")</f>
        <v>2</v>
      </c>
      <c r="AX274" s="54"/>
      <c r="AY274" s="40" t="s">
        <v>1619</v>
      </c>
      <c r="AZ274" s="44">
        <f t="shared" si="97"/>
        <v>45410</v>
      </c>
      <c r="BA274" s="54" t="str">
        <f t="shared" si="98"/>
        <v>4-2024</v>
      </c>
      <c r="BH274" s="3" t="s">
        <v>838</v>
      </c>
      <c r="BI274" s="51">
        <f t="shared" si="103"/>
        <v>45368</v>
      </c>
      <c r="BJ274" s="38">
        <f t="shared" ca="1" si="104"/>
        <v>630</v>
      </c>
      <c r="BK274" s="38"/>
      <c r="BL274" s="38" t="str">
        <f t="shared" si="105"/>
        <v>Q1</v>
      </c>
      <c r="BM274" s="59">
        <f t="shared" si="99"/>
        <v>45410</v>
      </c>
      <c r="BN274" s="51">
        <f t="shared" si="106"/>
        <v>45368</v>
      </c>
      <c r="BO274" s="54">
        <f t="shared" si="100"/>
        <v>42</v>
      </c>
      <c r="BP274" s="3" t="s">
        <v>837</v>
      </c>
      <c r="BQ274" s="3" t="s">
        <v>176</v>
      </c>
      <c r="BR274" s="19" t="s">
        <v>305</v>
      </c>
      <c r="BS274" s="19" t="s">
        <v>2809</v>
      </c>
      <c r="BT274" s="54" t="str">
        <f t="shared" si="101"/>
        <v>Sales</v>
      </c>
      <c r="BV274" s="3" t="s">
        <v>837</v>
      </c>
      <c r="BW274" s="3" t="s">
        <v>561</v>
      </c>
      <c r="CB274" s="19" t="s">
        <v>5545</v>
      </c>
      <c r="CC274" s="3" t="s">
        <v>561</v>
      </c>
      <c r="CD274" s="3" t="s">
        <v>359</v>
      </c>
      <c r="CE274" s="54" t="str">
        <v>Not Found</v>
      </c>
      <c r="CG274" s="54" t="str">
        <f>IFERROR(_xlfn.XLOOKUP(Hiring!A274,Hiring!A274:A673,Hiring!B274:B673,,0),"Not Found")</f>
        <v>Ipsita Nanda</v>
      </c>
    </row>
    <row r="275" spans="2:85">
      <c r="B275" s="100"/>
      <c r="F275" s="4">
        <v>4.0999999999999996</v>
      </c>
      <c r="G275" s="52" t="str" cm="1">
        <f t="array" ref="G275">_xlfn.IFS(F275&gt;=4.5,"Excellent",AND(F275&gt;=3.5,F275&lt;=4.4),"Good",F275&lt;3.5,"Needs Improvement")</f>
        <v>Good</v>
      </c>
      <c r="M275" s="18">
        <v>126265</v>
      </c>
      <c r="N275" s="18">
        <v>129943</v>
      </c>
      <c r="O275" s="54" t="str">
        <f t="shared" si="102"/>
        <v>Yes</v>
      </c>
      <c r="Q275" s="18">
        <v>10.08</v>
      </c>
      <c r="R275" s="56" t="str">
        <f t="shared" si="90"/>
        <v>Yes</v>
      </c>
      <c r="W275" s="18" t="s">
        <v>305</v>
      </c>
      <c r="X275" s="54" t="str">
        <f>VLOOKUP(W275,Employees!$A$1:$B$601,2,FALSE)</f>
        <v>Bikash Behura</v>
      </c>
      <c r="Z275" s="4" t="s">
        <v>839</v>
      </c>
      <c r="AA275" s="54" t="str">
        <f t="shared" si="91"/>
        <v>0274</v>
      </c>
      <c r="AC275" s="4" t="s">
        <v>778</v>
      </c>
      <c r="AD275" s="54" t="str">
        <f t="shared" si="92"/>
        <v>Product</v>
      </c>
      <c r="AF275" s="4" t="s">
        <v>292</v>
      </c>
      <c r="AG275" s="4" t="s">
        <v>778</v>
      </c>
      <c r="AH275" s="4" t="s">
        <v>53</v>
      </c>
      <c r="AI275" s="54" t="str">
        <f t="shared" si="93"/>
        <v>Puspita Padhi|product|BlueLotus IT</v>
      </c>
      <c r="AK275" s="4" t="s">
        <v>292</v>
      </c>
      <c r="AL275" s="38" t="str">
        <f t="shared" si="94"/>
        <v>P.P.</v>
      </c>
      <c r="AN275" s="18" t="s">
        <v>5031</v>
      </c>
      <c r="AO275" s="54" t="b">
        <f t="shared" si="95"/>
        <v>0</v>
      </c>
      <c r="AQ275" s="4" t="s">
        <v>292</v>
      </c>
      <c r="AR275" s="52" t="str">
        <f t="shared" si="96"/>
        <v>NO</v>
      </c>
      <c r="AW275" s="54">
        <f ca="1">DATEDIF(BI275,TODAY(),"Y")</f>
        <v>8</v>
      </c>
      <c r="AX275" s="54"/>
      <c r="AY275" s="41" t="s">
        <v>5547</v>
      </c>
      <c r="AZ275" s="44">
        <f t="shared" si="97"/>
        <v>45376</v>
      </c>
      <c r="BA275" s="54" t="str">
        <f t="shared" si="98"/>
        <v>3-2024</v>
      </c>
      <c r="BH275" s="4" t="s">
        <v>840</v>
      </c>
      <c r="BI275" s="51">
        <f t="shared" si="103"/>
        <v>43110</v>
      </c>
      <c r="BJ275" s="38">
        <f t="shared" ca="1" si="104"/>
        <v>2243</v>
      </c>
      <c r="BK275" s="38"/>
      <c r="BL275" s="38" t="str">
        <f t="shared" si="105"/>
        <v>Q1</v>
      </c>
      <c r="BM275" s="59">
        <f t="shared" si="99"/>
        <v>45376</v>
      </c>
      <c r="BN275" s="51">
        <f t="shared" si="106"/>
        <v>43110</v>
      </c>
      <c r="BO275" s="54">
        <f t="shared" si="100"/>
        <v>2266</v>
      </c>
      <c r="BP275" s="4" t="s">
        <v>839</v>
      </c>
      <c r="BQ275" s="4" t="s">
        <v>778</v>
      </c>
      <c r="BR275" s="18" t="s">
        <v>305</v>
      </c>
      <c r="BS275" s="18" t="s">
        <v>2811</v>
      </c>
      <c r="BT275" s="54" t="str">
        <f t="shared" si="101"/>
        <v>Sales</v>
      </c>
      <c r="BV275" s="4" t="s">
        <v>839</v>
      </c>
      <c r="BW275" s="4" t="s">
        <v>292</v>
      </c>
      <c r="CB275" s="18" t="s">
        <v>341</v>
      </c>
      <c r="CC275" s="4" t="s">
        <v>292</v>
      </c>
      <c r="CD275" s="4" t="s">
        <v>145</v>
      </c>
      <c r="CE275" s="54" t="str">
        <v>Data Scientist</v>
      </c>
      <c r="CG275" s="54" t="str">
        <f>IFERROR(_xlfn.XLOOKUP(Hiring!A275,Hiring!A275:A674,Hiring!B275:B674,,0),"Not Found")</f>
        <v>Jyotirmayee Sahoo</v>
      </c>
    </row>
    <row r="276" spans="2:85">
      <c r="B276" s="100"/>
      <c r="F276" s="3">
        <v>3.1</v>
      </c>
      <c r="G276" s="52" t="str" cm="1">
        <f t="array" ref="G276">_xlfn.IFS(F276&gt;=4.5,"Excellent",AND(F276&gt;=3.5,F276&lt;=4.4),"Good",F276&lt;3.5,"Needs Improvement")</f>
        <v>Needs Improvement</v>
      </c>
      <c r="M276" s="19"/>
      <c r="N276" s="19">
        <v>193830</v>
      </c>
      <c r="O276" s="54" t="str">
        <f t="shared" si="102"/>
        <v>Yes</v>
      </c>
      <c r="Q276" s="19">
        <v>8.59</v>
      </c>
      <c r="R276" s="56" t="str">
        <f t="shared" si="90"/>
        <v>Yes</v>
      </c>
      <c r="W276" s="19" t="s">
        <v>305</v>
      </c>
      <c r="X276" s="54" t="str">
        <f>VLOOKUP(W276,Employees!$A$1:$B$601,2,FALSE)</f>
        <v>Bikash Behura</v>
      </c>
      <c r="Z276" s="3" t="s">
        <v>841</v>
      </c>
      <c r="AA276" s="54" t="str">
        <f t="shared" si="91"/>
        <v>0275</v>
      </c>
      <c r="AC276" s="3" t="s">
        <v>257</v>
      </c>
      <c r="AD276" s="54" t="str">
        <f t="shared" si="92"/>
        <v>Design</v>
      </c>
      <c r="AF276" s="3" t="s">
        <v>842</v>
      </c>
      <c r="AG276" s="3" t="s">
        <v>257</v>
      </c>
      <c r="AH276" s="3" t="s">
        <v>53</v>
      </c>
      <c r="AI276" s="54" t="str">
        <f t="shared" si="93"/>
        <v>Soumya Sahoo|design|BlueLotus IT</v>
      </c>
      <c r="AK276" s="3" t="s">
        <v>842</v>
      </c>
      <c r="AL276" s="38" t="str">
        <f t="shared" si="94"/>
        <v>S.S.</v>
      </c>
      <c r="AN276" s="19" t="s">
        <v>5060</v>
      </c>
      <c r="AO276" s="54" t="str">
        <f t="shared" si="95"/>
        <v>Naukri</v>
      </c>
      <c r="AQ276" s="3" t="s">
        <v>842</v>
      </c>
      <c r="AR276" s="52" t="str">
        <f t="shared" si="96"/>
        <v>NO</v>
      </c>
      <c r="AW276" s="54">
        <f ca="1">DATEDIF(BI276,TODAY(),"Y")</f>
        <v>4</v>
      </c>
      <c r="AX276" s="54"/>
      <c r="AY276" s="40" t="s">
        <v>5140</v>
      </c>
      <c r="AZ276" s="44">
        <f t="shared" si="97"/>
        <v>45189</v>
      </c>
      <c r="BA276" s="54" t="str">
        <f t="shared" si="98"/>
        <v>9-2023</v>
      </c>
      <c r="BH276" s="3" t="s">
        <v>843</v>
      </c>
      <c r="BI276" s="51">
        <f t="shared" si="103"/>
        <v>44775</v>
      </c>
      <c r="BJ276" s="38">
        <f t="shared" ca="1" si="104"/>
        <v>1054</v>
      </c>
      <c r="BK276" s="38"/>
      <c r="BL276" s="38" t="str">
        <f t="shared" si="105"/>
        <v>No</v>
      </c>
      <c r="BM276" s="59">
        <f t="shared" si="99"/>
        <v>45189</v>
      </c>
      <c r="BN276" s="51">
        <f t="shared" si="106"/>
        <v>44775</v>
      </c>
      <c r="BO276" s="54">
        <f t="shared" si="100"/>
        <v>414</v>
      </c>
      <c r="BP276" s="3" t="s">
        <v>841</v>
      </c>
      <c r="BQ276" s="3" t="s">
        <v>257</v>
      </c>
      <c r="BR276" s="19" t="s">
        <v>305</v>
      </c>
      <c r="BS276" s="19" t="s">
        <v>2812</v>
      </c>
      <c r="BT276" s="54" t="str">
        <f t="shared" si="101"/>
        <v>Sales</v>
      </c>
      <c r="BV276" s="3" t="s">
        <v>841</v>
      </c>
      <c r="BW276" s="3" t="s">
        <v>842</v>
      </c>
      <c r="CB276" s="19" t="s">
        <v>5549</v>
      </c>
      <c r="CC276" s="3" t="s">
        <v>842</v>
      </c>
      <c r="CD276" s="3" t="s">
        <v>25</v>
      </c>
      <c r="CE276" s="54" t="str">
        <v>Not Found</v>
      </c>
      <c r="CG276" s="54" t="str">
        <f>IFERROR(_xlfn.XLOOKUP(Hiring!A276,Hiring!A276:A675,Hiring!B276:B675,,0),"Not Found")</f>
        <v>Dibya Nanda</v>
      </c>
    </row>
    <row r="277" spans="2:85">
      <c r="B277" s="100"/>
      <c r="F277" s="4">
        <v>3.5</v>
      </c>
      <c r="G277" s="52" t="str" cm="1">
        <f t="array" ref="G277">_xlfn.IFS(F277&gt;=4.5,"Excellent",AND(F277&gt;=3.5,F277&lt;=4.4),"Good",F277&lt;3.5,"Needs Improvement")</f>
        <v>Good</v>
      </c>
      <c r="M277" s="18"/>
      <c r="N277" s="18">
        <v>137183</v>
      </c>
      <c r="O277" s="54" t="str">
        <f t="shared" si="102"/>
        <v>Yes</v>
      </c>
      <c r="Q277" s="18">
        <v>9.9600000000000009</v>
      </c>
      <c r="R277" s="56" t="str">
        <f t="shared" si="90"/>
        <v>Yes</v>
      </c>
      <c r="W277" s="18" t="s">
        <v>305</v>
      </c>
      <c r="X277" s="54" t="str">
        <f>VLOOKUP(W277,Employees!$A$1:$B$601,2,FALSE)</f>
        <v>Bikash Behura</v>
      </c>
      <c r="Z277" s="4" t="s">
        <v>844</v>
      </c>
      <c r="AA277" s="54" t="str">
        <f t="shared" si="91"/>
        <v>0276</v>
      </c>
      <c r="AC277" s="4" t="s">
        <v>89</v>
      </c>
      <c r="AD277" s="54" t="str">
        <f t="shared" si="92"/>
        <v>Data Science</v>
      </c>
      <c r="AF277" s="4" t="s">
        <v>845</v>
      </c>
      <c r="AG277" s="4" t="s">
        <v>89</v>
      </c>
      <c r="AH277" s="4" t="s">
        <v>70</v>
      </c>
      <c r="AI277" s="54" t="str">
        <f t="shared" si="93"/>
        <v>Rajan Samal|Data Science|OdishaCode Labs</v>
      </c>
      <c r="AK277" s="4" t="s">
        <v>845</v>
      </c>
      <c r="AL277" s="38" t="str">
        <f t="shared" si="94"/>
        <v>R.S.</v>
      </c>
      <c r="AN277" s="18" t="s">
        <v>5016</v>
      </c>
      <c r="AO277" s="54" t="b">
        <f t="shared" si="95"/>
        <v>0</v>
      </c>
      <c r="AQ277" s="4" t="s">
        <v>845</v>
      </c>
      <c r="AR277" s="52" t="str">
        <f t="shared" si="96"/>
        <v>NO</v>
      </c>
      <c r="AW277" s="54">
        <f ca="1">DATEDIF(BI277,TODAY(),"Y")</f>
        <v>4</v>
      </c>
      <c r="AX277" s="54"/>
      <c r="AY277" s="41" t="s">
        <v>5552</v>
      </c>
      <c r="AZ277" s="44">
        <f t="shared" si="97"/>
        <v>45166</v>
      </c>
      <c r="BA277" s="54" t="str">
        <f t="shared" si="98"/>
        <v>8-2023</v>
      </c>
      <c r="BH277" s="4" t="s">
        <v>846</v>
      </c>
      <c r="BI277" s="51">
        <f t="shared" si="103"/>
        <v>44467</v>
      </c>
      <c r="BJ277" s="38">
        <f t="shared" ca="1" si="104"/>
        <v>1274</v>
      </c>
      <c r="BK277" s="38"/>
      <c r="BL277" s="38" t="str">
        <f t="shared" si="105"/>
        <v>No</v>
      </c>
      <c r="BM277" s="59">
        <f t="shared" si="99"/>
        <v>45166</v>
      </c>
      <c r="BN277" s="51">
        <f t="shared" si="106"/>
        <v>44467</v>
      </c>
      <c r="BO277" s="54">
        <f t="shared" si="100"/>
        <v>699</v>
      </c>
      <c r="BP277" s="4" t="s">
        <v>844</v>
      </c>
      <c r="BQ277" s="4" t="s">
        <v>89</v>
      </c>
      <c r="BR277" s="18" t="s">
        <v>305</v>
      </c>
      <c r="BS277" s="18" t="s">
        <v>2813</v>
      </c>
      <c r="BT277" s="54" t="str">
        <f t="shared" si="101"/>
        <v>Sales</v>
      </c>
      <c r="BV277" s="4" t="s">
        <v>844</v>
      </c>
      <c r="BW277" s="4" t="s">
        <v>845</v>
      </c>
      <c r="CB277" s="18" t="s">
        <v>5551</v>
      </c>
      <c r="CC277" s="4" t="s">
        <v>845</v>
      </c>
      <c r="CD277" s="4" t="s">
        <v>90</v>
      </c>
      <c r="CE277" s="54" t="str">
        <v>Not Found</v>
      </c>
      <c r="CG277" s="54" t="str">
        <f>IFERROR(_xlfn.XLOOKUP(Hiring!A277,Hiring!A277:A676,Hiring!B277:B676,,0),"Not Found")</f>
        <v>Barsha Dhal</v>
      </c>
    </row>
    <row r="278" spans="2:85">
      <c r="B278" s="100"/>
      <c r="F278" s="3">
        <v>3.5</v>
      </c>
      <c r="G278" s="52" t="str" cm="1">
        <f t="array" ref="G278">_xlfn.IFS(F278&gt;=4.5,"Excellent",AND(F278&gt;=3.5,F278&lt;=4.4),"Good",F278&lt;3.5,"Needs Improvement")</f>
        <v>Good</v>
      </c>
      <c r="M278" s="19">
        <v>171509</v>
      </c>
      <c r="N278" s="19">
        <v>171116</v>
      </c>
      <c r="O278" s="54" t="str">
        <f t="shared" si="102"/>
        <v>Yes</v>
      </c>
      <c r="Q278" s="19">
        <v>10.65</v>
      </c>
      <c r="R278" s="56" t="str">
        <f t="shared" si="90"/>
        <v>Yes</v>
      </c>
      <c r="W278" s="19" t="s">
        <v>305</v>
      </c>
      <c r="X278" s="54" t="str">
        <f>VLOOKUP(W278,Employees!$A$1:$B$601,2,FALSE)</f>
        <v>Bikash Behura</v>
      </c>
      <c r="Z278" s="3" t="s">
        <v>847</v>
      </c>
      <c r="AA278" s="54" t="str">
        <f t="shared" si="91"/>
        <v>0277</v>
      </c>
      <c r="AC278" s="3" t="s">
        <v>778</v>
      </c>
      <c r="AD278" s="54" t="str">
        <f t="shared" si="92"/>
        <v>Product</v>
      </c>
      <c r="AF278" s="3" t="s">
        <v>848</v>
      </c>
      <c r="AG278" s="3" t="s">
        <v>778</v>
      </c>
      <c r="AH278" s="3" t="s">
        <v>214</v>
      </c>
      <c r="AI278" s="54" t="str">
        <f t="shared" si="93"/>
        <v>Satyajit Senapati|product|ZeroOneSystems</v>
      </c>
      <c r="AK278" s="3" t="s">
        <v>848</v>
      </c>
      <c r="AL278" s="38" t="str">
        <f t="shared" si="94"/>
        <v>S.S.</v>
      </c>
      <c r="AN278" s="19" t="s">
        <v>5019</v>
      </c>
      <c r="AO278" s="54" t="str">
        <f t="shared" si="95"/>
        <v>Linkedln</v>
      </c>
      <c r="AQ278" s="3" t="s">
        <v>848</v>
      </c>
      <c r="AR278" s="52" t="str">
        <f t="shared" si="96"/>
        <v>NO</v>
      </c>
      <c r="AW278" s="54">
        <f ca="1">DATEDIF(BI278,TODAY(),"Y")</f>
        <v>3</v>
      </c>
      <c r="AX278" s="54"/>
      <c r="AY278" s="40" t="s">
        <v>796</v>
      </c>
      <c r="AZ278" s="44">
        <f t="shared" si="97"/>
        <v>45345</v>
      </c>
      <c r="BA278" s="54" t="str">
        <f t="shared" si="98"/>
        <v>2-2024</v>
      </c>
      <c r="BH278" s="3" t="s">
        <v>849</v>
      </c>
      <c r="BI278" s="51">
        <f t="shared" si="103"/>
        <v>44846</v>
      </c>
      <c r="BJ278" s="38">
        <f t="shared" ca="1" si="104"/>
        <v>1003</v>
      </c>
      <c r="BK278" s="38"/>
      <c r="BL278" s="38" t="str">
        <f t="shared" si="105"/>
        <v>No</v>
      </c>
      <c r="BM278" s="59">
        <f t="shared" si="99"/>
        <v>45345</v>
      </c>
      <c r="BN278" s="51">
        <f t="shared" si="106"/>
        <v>44846</v>
      </c>
      <c r="BO278" s="54">
        <f t="shared" si="100"/>
        <v>499</v>
      </c>
      <c r="BP278" s="3" t="s">
        <v>847</v>
      </c>
      <c r="BQ278" s="3" t="s">
        <v>778</v>
      </c>
      <c r="BR278" s="19" t="s">
        <v>305</v>
      </c>
      <c r="BS278" s="19" t="s">
        <v>2815</v>
      </c>
      <c r="BT278" s="54" t="str">
        <f t="shared" si="101"/>
        <v>Sales</v>
      </c>
      <c r="BV278" s="3" t="s">
        <v>847</v>
      </c>
      <c r="BW278" s="3" t="s">
        <v>848</v>
      </c>
      <c r="CB278" s="19" t="s">
        <v>1259</v>
      </c>
      <c r="CC278" s="3" t="s">
        <v>848</v>
      </c>
      <c r="CD278" s="3" t="s">
        <v>225</v>
      </c>
      <c r="CE278" s="54" t="str">
        <v>Sales Manager</v>
      </c>
      <c r="CG278" s="54" t="str">
        <f>IFERROR(_xlfn.XLOOKUP(Hiring!A278,Hiring!A278:A677,Hiring!B278:B677,,0),"Not Found")</f>
        <v>Smita Mahapatra</v>
      </c>
    </row>
    <row r="279" spans="2:85">
      <c r="B279" s="100"/>
      <c r="F279" s="4">
        <v>3</v>
      </c>
      <c r="G279" s="52" t="str" cm="1">
        <f t="array" ref="G279">_xlfn.IFS(F279&gt;=4.5,"Excellent",AND(F279&gt;=3.5,F279&lt;=4.4),"Good",F279&lt;3.5,"Needs Improvement")</f>
        <v>Needs Improvement</v>
      </c>
      <c r="M279" s="18"/>
      <c r="N279" s="18">
        <v>39946</v>
      </c>
      <c r="O279" s="54" t="str">
        <f t="shared" si="102"/>
        <v>Yes</v>
      </c>
      <c r="Q279" s="18">
        <v>7.1</v>
      </c>
      <c r="R279" s="56" t="str">
        <f t="shared" si="90"/>
        <v>Yes</v>
      </c>
      <c r="W279" s="18" t="s">
        <v>305</v>
      </c>
      <c r="X279" s="54" t="str">
        <f>VLOOKUP(W279,Employees!$A$1:$B$601,2,FALSE)</f>
        <v>Bikash Behura</v>
      </c>
      <c r="Z279" s="4" t="s">
        <v>850</v>
      </c>
      <c r="AA279" s="54" t="str">
        <f t="shared" si="91"/>
        <v>0278</v>
      </c>
      <c r="AC279" s="4" t="s">
        <v>63</v>
      </c>
      <c r="AD279" s="54" t="str">
        <f t="shared" si="92"/>
        <v>Product</v>
      </c>
      <c r="AF279" s="4" t="s">
        <v>851</v>
      </c>
      <c r="AG279" s="4" t="s">
        <v>63</v>
      </c>
      <c r="AH279" s="4" t="s">
        <v>149</v>
      </c>
      <c r="AI279" s="54" t="str">
        <f t="shared" si="93"/>
        <v>Subhasree Samal|Product|SilverByte Systems</v>
      </c>
      <c r="AK279" s="4" t="s">
        <v>851</v>
      </c>
      <c r="AL279" s="38" t="str">
        <f t="shared" si="94"/>
        <v>S.S.</v>
      </c>
      <c r="AN279" s="18" t="s">
        <v>5051</v>
      </c>
      <c r="AO279" s="54" t="str">
        <f t="shared" si="95"/>
        <v>Naukri</v>
      </c>
      <c r="AQ279" s="4" t="s">
        <v>851</v>
      </c>
      <c r="AR279" s="52" t="str">
        <f t="shared" si="96"/>
        <v>NO</v>
      </c>
      <c r="AW279" s="54">
        <f ca="1">DATEDIF(BI279,TODAY(),"Y")</f>
        <v>2</v>
      </c>
      <c r="AX279" s="54"/>
      <c r="AY279" s="41" t="s">
        <v>1337</v>
      </c>
      <c r="AZ279" s="44">
        <f t="shared" si="97"/>
        <v>45447</v>
      </c>
      <c r="BA279" s="54" t="str">
        <f t="shared" si="98"/>
        <v>6-2024</v>
      </c>
      <c r="BH279" s="4" t="s">
        <v>852</v>
      </c>
      <c r="BI279" s="51">
        <f t="shared" si="103"/>
        <v>45214</v>
      </c>
      <c r="BJ279" s="38">
        <f t="shared" ca="1" si="104"/>
        <v>740</v>
      </c>
      <c r="BK279" s="38"/>
      <c r="BL279" s="38" t="str">
        <f t="shared" si="105"/>
        <v>No</v>
      </c>
      <c r="BM279" s="59">
        <f t="shared" si="99"/>
        <v>45447</v>
      </c>
      <c r="BN279" s="51">
        <f t="shared" si="106"/>
        <v>45214</v>
      </c>
      <c r="BO279" s="54">
        <f t="shared" si="100"/>
        <v>233</v>
      </c>
      <c r="BP279" s="4" t="s">
        <v>850</v>
      </c>
      <c r="BQ279" s="4" t="s">
        <v>63</v>
      </c>
      <c r="BR279" s="18" t="s">
        <v>305</v>
      </c>
      <c r="BS279" s="18" t="s">
        <v>2816</v>
      </c>
      <c r="BT279" s="54" t="str">
        <f t="shared" si="101"/>
        <v>Sales</v>
      </c>
      <c r="BV279" s="4" t="s">
        <v>850</v>
      </c>
      <c r="BW279" s="4" t="s">
        <v>851</v>
      </c>
      <c r="CB279" s="18" t="s">
        <v>1175</v>
      </c>
      <c r="CC279" s="4" t="s">
        <v>851</v>
      </c>
      <c r="CD279" s="4" t="s">
        <v>145</v>
      </c>
      <c r="CE279" s="54" t="str">
        <v>Digital Marketer</v>
      </c>
      <c r="CG279" s="54" t="str">
        <f>IFERROR(_xlfn.XLOOKUP(Hiring!A279,Hiring!A279:A678,Hiring!B279:B678,,0),"Not Found")</f>
        <v>Aditya Samal</v>
      </c>
    </row>
    <row r="280" spans="2:85">
      <c r="B280" s="100"/>
      <c r="F280" s="3">
        <v>2.4</v>
      </c>
      <c r="G280" s="52" t="str" cm="1">
        <f t="array" ref="G280">_xlfn.IFS(F280&gt;=4.5,"Excellent",AND(F280&gt;=3.5,F280&lt;=4.4),"Good",F280&lt;3.5,"Needs Improvement")</f>
        <v>Needs Improvement</v>
      </c>
      <c r="M280" s="19">
        <v>49526</v>
      </c>
      <c r="N280" s="19">
        <v>44097</v>
      </c>
      <c r="O280" s="54" t="str">
        <f t="shared" si="102"/>
        <v>Yes</v>
      </c>
      <c r="Q280" s="19">
        <v>9.66</v>
      </c>
      <c r="R280" s="56" t="str">
        <f t="shared" si="90"/>
        <v>Yes</v>
      </c>
      <c r="W280" s="19" t="s">
        <v>305</v>
      </c>
      <c r="X280" s="54" t="str">
        <f>VLOOKUP(W280,Employees!$A$1:$B$601,2,FALSE)</f>
        <v>Bikash Behura</v>
      </c>
      <c r="Z280" s="3" t="s">
        <v>853</v>
      </c>
      <c r="AA280" s="54" t="str">
        <f t="shared" si="91"/>
        <v>0279</v>
      </c>
      <c r="AC280" s="3" t="s">
        <v>39</v>
      </c>
      <c r="AD280" s="54" t="str">
        <f t="shared" si="92"/>
        <v>Engineering</v>
      </c>
      <c r="AF280" s="3" t="s">
        <v>854</v>
      </c>
      <c r="AG280" s="3" t="s">
        <v>39</v>
      </c>
      <c r="AH280" s="3" t="s">
        <v>214</v>
      </c>
      <c r="AI280" s="54" t="str">
        <f t="shared" si="93"/>
        <v>Tanmay Mishra|Engineering|ZeroOneSystems</v>
      </c>
      <c r="AK280" s="3" t="s">
        <v>854</v>
      </c>
      <c r="AL280" s="38" t="str">
        <f t="shared" si="94"/>
        <v>T.M.</v>
      </c>
      <c r="AN280" s="19" t="s">
        <v>5025</v>
      </c>
      <c r="AO280" s="54" t="b">
        <f t="shared" si="95"/>
        <v>0</v>
      </c>
      <c r="AQ280" s="3" t="s">
        <v>854</v>
      </c>
      <c r="AR280" s="52" t="str">
        <f t="shared" si="96"/>
        <v>Mishra</v>
      </c>
      <c r="AW280" s="54">
        <f ca="1">DATEDIF(BI280,TODAY(),"Y")</f>
        <v>4</v>
      </c>
      <c r="AX280" s="54"/>
      <c r="AY280" s="40" t="s">
        <v>5396</v>
      </c>
      <c r="AZ280" s="44">
        <f t="shared" si="97"/>
        <v>45503</v>
      </c>
      <c r="BA280" s="54" t="str">
        <f t="shared" si="98"/>
        <v>7-2024</v>
      </c>
      <c r="BH280" s="3" t="s">
        <v>855</v>
      </c>
      <c r="BI280" s="51">
        <f t="shared" si="103"/>
        <v>44558</v>
      </c>
      <c r="BJ280" s="38">
        <f t="shared" ca="1" si="104"/>
        <v>1209</v>
      </c>
      <c r="BK280" s="38"/>
      <c r="BL280" s="38" t="str">
        <f t="shared" si="105"/>
        <v>No</v>
      </c>
      <c r="BM280" s="59">
        <f t="shared" si="99"/>
        <v>45503</v>
      </c>
      <c r="BN280" s="51">
        <f t="shared" si="106"/>
        <v>44558</v>
      </c>
      <c r="BO280" s="54">
        <f t="shared" si="100"/>
        <v>945</v>
      </c>
      <c r="BP280" s="3" t="s">
        <v>853</v>
      </c>
      <c r="BQ280" s="3" t="s">
        <v>39</v>
      </c>
      <c r="BR280" s="19" t="s">
        <v>305</v>
      </c>
      <c r="BS280" s="19" t="s">
        <v>2818</v>
      </c>
      <c r="BT280" s="54" t="str">
        <f t="shared" si="101"/>
        <v>Sales</v>
      </c>
      <c r="BV280" s="3" t="s">
        <v>853</v>
      </c>
      <c r="BW280" s="3" t="s">
        <v>854</v>
      </c>
      <c r="CB280" s="19" t="s">
        <v>1183</v>
      </c>
      <c r="CC280" s="3" t="s">
        <v>854</v>
      </c>
      <c r="CD280" s="3" t="s">
        <v>79</v>
      </c>
      <c r="CE280" s="54" t="str">
        <v>Talent Acquisition</v>
      </c>
      <c r="CG280" s="54" t="str">
        <f>IFERROR(_xlfn.XLOOKUP(Hiring!A280,Hiring!A280:A679,Hiring!B280:B679,,0),"Not Found")</f>
        <v>Alka Prusty</v>
      </c>
    </row>
    <row r="281" spans="2:85">
      <c r="B281" s="100"/>
      <c r="F281" s="4">
        <v>4.0999999999999996</v>
      </c>
      <c r="G281" s="52" t="str" cm="1">
        <f t="array" ref="G281">_xlfn.IFS(F281&gt;=4.5,"Excellent",AND(F281&gt;=3.5,F281&lt;=4.4),"Good",F281&lt;3.5,"Needs Improvement")</f>
        <v>Good</v>
      </c>
      <c r="M281" s="18">
        <v>205471</v>
      </c>
      <c r="N281" s="18">
        <v>181711</v>
      </c>
      <c r="O281" s="54" t="str">
        <f t="shared" si="102"/>
        <v>Yes</v>
      </c>
      <c r="Q281" s="18">
        <v>6.65</v>
      </c>
      <c r="R281" s="56" t="str">
        <f t="shared" si="90"/>
        <v>Yes</v>
      </c>
      <c r="W281" s="18" t="s">
        <v>305</v>
      </c>
      <c r="X281" s="54" t="str">
        <f>VLOOKUP(W281,Employees!$A$1:$B$601,2,FALSE)</f>
        <v>Bikash Behura</v>
      </c>
      <c r="Z281" s="4" t="s">
        <v>856</v>
      </c>
      <c r="AA281" s="54" t="str">
        <f t="shared" si="91"/>
        <v>0280</v>
      </c>
      <c r="AC281" s="4" t="s">
        <v>84</v>
      </c>
      <c r="AD281" s="54" t="str">
        <f t="shared" si="92"/>
        <v>Hr</v>
      </c>
      <c r="AF281" s="4" t="s">
        <v>97</v>
      </c>
      <c r="AG281" s="4" t="s">
        <v>84</v>
      </c>
      <c r="AH281" s="4" t="s">
        <v>53</v>
      </c>
      <c r="AI281" s="54" t="str">
        <f t="shared" si="93"/>
        <v>Tanmay Jena|HR|BlueLotus IT</v>
      </c>
      <c r="AK281" s="4" t="s">
        <v>97</v>
      </c>
      <c r="AL281" s="38" t="str">
        <f t="shared" si="94"/>
        <v>T.J.</v>
      </c>
      <c r="AN281" s="18" t="s">
        <v>5016</v>
      </c>
      <c r="AO281" s="54" t="b">
        <f t="shared" si="95"/>
        <v>0</v>
      </c>
      <c r="AQ281" s="4" t="s">
        <v>97</v>
      </c>
      <c r="AR281" s="52" t="str">
        <f t="shared" si="96"/>
        <v>NO</v>
      </c>
      <c r="AW281" s="54">
        <f ca="1">DATEDIF(BI281,TODAY(),"Y")</f>
        <v>2</v>
      </c>
      <c r="AX281" s="54"/>
      <c r="AY281" s="41" t="s">
        <v>5531</v>
      </c>
      <c r="AZ281" s="44">
        <f t="shared" si="97"/>
        <v>45343</v>
      </c>
      <c r="BA281" s="54" t="str">
        <f t="shared" si="98"/>
        <v>2-2024</v>
      </c>
      <c r="BH281" s="4" t="s">
        <v>857</v>
      </c>
      <c r="BI281" s="51">
        <f t="shared" si="103"/>
        <v>45284</v>
      </c>
      <c r="BJ281" s="38">
        <f t="shared" ca="1" si="104"/>
        <v>690</v>
      </c>
      <c r="BK281" s="38"/>
      <c r="BL281" s="38" t="str">
        <f t="shared" si="105"/>
        <v>No</v>
      </c>
      <c r="BM281" s="59">
        <f t="shared" si="99"/>
        <v>45343</v>
      </c>
      <c r="BN281" s="51">
        <f t="shared" si="106"/>
        <v>45284</v>
      </c>
      <c r="BO281" s="54">
        <f t="shared" si="100"/>
        <v>59</v>
      </c>
      <c r="BP281" s="4" t="s">
        <v>856</v>
      </c>
      <c r="BQ281" s="4" t="s">
        <v>84</v>
      </c>
      <c r="BR281" s="18" t="s">
        <v>305</v>
      </c>
      <c r="BS281" s="18" t="s">
        <v>2820</v>
      </c>
      <c r="BT281" s="54" t="str">
        <f t="shared" si="101"/>
        <v>Sales</v>
      </c>
      <c r="BV281" s="4" t="s">
        <v>856</v>
      </c>
      <c r="BW281" s="4" t="s">
        <v>97</v>
      </c>
      <c r="CB281" s="18" t="s">
        <v>5549</v>
      </c>
      <c r="CC281" s="4" t="s">
        <v>97</v>
      </c>
      <c r="CD281" s="4" t="s">
        <v>138</v>
      </c>
      <c r="CE281" s="54" t="str">
        <v>Not Found</v>
      </c>
      <c r="CG281" s="54" t="str">
        <f>IFERROR(_xlfn.XLOOKUP(Hiring!A281,Hiring!A281:A680,Hiring!B281:B680,,0),"Not Found")</f>
        <v>Dibya Nanda</v>
      </c>
    </row>
    <row r="282" spans="2:85">
      <c r="B282" s="100"/>
      <c r="F282" s="3">
        <v>3.7</v>
      </c>
      <c r="G282" s="52" t="str" cm="1">
        <f t="array" ref="G282">_xlfn.IFS(F282&gt;=4.5,"Excellent",AND(F282&gt;=3.5,F282&lt;=4.4),"Good",F282&lt;3.5,"Needs Improvement")</f>
        <v>Good</v>
      </c>
      <c r="M282" s="19">
        <v>174168</v>
      </c>
      <c r="N282" s="19">
        <v>185381</v>
      </c>
      <c r="O282" s="54" t="str">
        <f t="shared" si="102"/>
        <v>Yes</v>
      </c>
      <c r="Q282" s="19">
        <v>8.7100000000000009</v>
      </c>
      <c r="R282" s="56" t="str">
        <f t="shared" si="90"/>
        <v>Yes</v>
      </c>
      <c r="W282" s="19" t="s">
        <v>305</v>
      </c>
      <c r="X282" s="54" t="str">
        <f>VLOOKUP(W282,Employees!$A$1:$B$601,2,FALSE)</f>
        <v>Bikash Behura</v>
      </c>
      <c r="Z282" s="3" t="s">
        <v>858</v>
      </c>
      <c r="AA282" s="54" t="str">
        <f t="shared" si="91"/>
        <v>0281</v>
      </c>
      <c r="AC282" s="3" t="s">
        <v>24</v>
      </c>
      <c r="AD282" s="54" t="str">
        <f t="shared" si="92"/>
        <v>Design</v>
      </c>
      <c r="AF282" s="3" t="s">
        <v>859</v>
      </c>
      <c r="AG282" s="3" t="s">
        <v>24</v>
      </c>
      <c r="AH282" s="3" t="s">
        <v>149</v>
      </c>
      <c r="AI282" s="54" t="str">
        <f t="shared" si="93"/>
        <v>Ranjit Ratha|Design|SilverByte Systems</v>
      </c>
      <c r="AK282" s="3" t="s">
        <v>859</v>
      </c>
      <c r="AL282" s="38" t="str">
        <f t="shared" si="94"/>
        <v>R.R.</v>
      </c>
      <c r="AN282" s="19" t="s">
        <v>5019</v>
      </c>
      <c r="AO282" s="54" t="str">
        <f t="shared" si="95"/>
        <v>Linkedln</v>
      </c>
      <c r="AQ282" s="3" t="s">
        <v>859</v>
      </c>
      <c r="AR282" s="52" t="str">
        <f t="shared" si="96"/>
        <v>NO</v>
      </c>
      <c r="AW282" s="54">
        <f ca="1">DATEDIF(BI282,TODAY(),"Y")</f>
        <v>4</v>
      </c>
      <c r="AX282" s="54"/>
      <c r="AY282" s="40" t="s">
        <v>5309</v>
      </c>
      <c r="AZ282" s="44">
        <f t="shared" si="97"/>
        <v>45242</v>
      </c>
      <c r="BA282" s="54" t="str">
        <f t="shared" si="98"/>
        <v>11-2023</v>
      </c>
      <c r="BH282" s="3" t="s">
        <v>860</v>
      </c>
      <c r="BI282" s="51">
        <f t="shared" si="103"/>
        <v>44574</v>
      </c>
      <c r="BJ282" s="38">
        <f t="shared" ca="1" si="104"/>
        <v>1197</v>
      </c>
      <c r="BK282" s="38"/>
      <c r="BL282" s="38" t="str">
        <f t="shared" si="105"/>
        <v>Q1</v>
      </c>
      <c r="BM282" s="59">
        <f t="shared" si="99"/>
        <v>45242</v>
      </c>
      <c r="BN282" s="51">
        <f t="shared" si="106"/>
        <v>44574</v>
      </c>
      <c r="BO282" s="54">
        <f t="shared" si="100"/>
        <v>668</v>
      </c>
      <c r="BP282" s="3" t="s">
        <v>858</v>
      </c>
      <c r="BQ282" s="3" t="s">
        <v>24</v>
      </c>
      <c r="BR282" s="19" t="s">
        <v>305</v>
      </c>
      <c r="BS282" s="19" t="s">
        <v>2821</v>
      </c>
      <c r="BT282" s="54" t="str">
        <f t="shared" si="101"/>
        <v>Sales</v>
      </c>
      <c r="BV282" s="3" t="s">
        <v>858</v>
      </c>
      <c r="BW282" s="3" t="s">
        <v>859</v>
      </c>
      <c r="CB282" s="19" t="s">
        <v>323</v>
      </c>
      <c r="CC282" s="3" t="s">
        <v>859</v>
      </c>
      <c r="CD282" s="3" t="s">
        <v>74</v>
      </c>
      <c r="CE282" s="54" t="str">
        <v>Test Analyst</v>
      </c>
      <c r="CG282" s="54" t="str">
        <f>IFERROR(_xlfn.XLOOKUP(Hiring!A282,Hiring!A282:A681,Hiring!B282:B681,,0),"Not Found")</f>
        <v>Subhasree Senapati</v>
      </c>
    </row>
    <row r="283" spans="2:85">
      <c r="B283" s="100"/>
      <c r="F283" s="4">
        <v>3.3</v>
      </c>
      <c r="G283" s="52" t="str" cm="1">
        <f t="array" ref="G283">_xlfn.IFS(F283&gt;=4.5,"Excellent",AND(F283&gt;=3.5,F283&lt;=4.4),"Good",F283&lt;3.5,"Needs Improvement")</f>
        <v>Needs Improvement</v>
      </c>
      <c r="M283" s="18">
        <v>50590</v>
      </c>
      <c r="N283" s="18">
        <v>54183</v>
      </c>
      <c r="O283" s="54" t="str">
        <f t="shared" si="102"/>
        <v>Yes</v>
      </c>
      <c r="Q283" s="18">
        <v>11.34</v>
      </c>
      <c r="R283" s="56" t="str">
        <f t="shared" si="90"/>
        <v>Yes</v>
      </c>
      <c r="W283" s="18" t="s">
        <v>305</v>
      </c>
      <c r="X283" s="54" t="str">
        <f>VLOOKUP(W283,Employees!$A$1:$B$601,2,FALSE)</f>
        <v>Bikash Behura</v>
      </c>
      <c r="Z283" s="4" t="s">
        <v>861</v>
      </c>
      <c r="AA283" s="54" t="str">
        <f t="shared" si="91"/>
        <v>0282</v>
      </c>
      <c r="AC283" s="4" t="s">
        <v>63</v>
      </c>
      <c r="AD283" s="54" t="str">
        <f t="shared" si="92"/>
        <v>Product</v>
      </c>
      <c r="AF283" s="4" t="s">
        <v>862</v>
      </c>
      <c r="AG283" s="4" t="s">
        <v>63</v>
      </c>
      <c r="AH283" s="4" t="s">
        <v>46</v>
      </c>
      <c r="AI283" s="54" t="str">
        <f t="shared" si="93"/>
        <v>Smita Mohapatra|Product|SambalpurNet</v>
      </c>
      <c r="AK283" s="4" t="s">
        <v>862</v>
      </c>
      <c r="AL283" s="38" t="str">
        <f t="shared" si="94"/>
        <v>S.M.</v>
      </c>
      <c r="AN283" s="18" t="s">
        <v>5031</v>
      </c>
      <c r="AO283" s="54" t="b">
        <f t="shared" si="95"/>
        <v>0</v>
      </c>
      <c r="AQ283" s="4" t="s">
        <v>862</v>
      </c>
      <c r="AR283" s="52" t="str">
        <f t="shared" si="96"/>
        <v>NO</v>
      </c>
      <c r="AW283" s="54">
        <f ca="1">DATEDIF(BI283,TODAY(),"Y")</f>
        <v>4</v>
      </c>
      <c r="AX283" s="54"/>
      <c r="AY283" s="41" t="s">
        <v>5560</v>
      </c>
      <c r="AZ283" s="44">
        <f t="shared" si="97"/>
        <v>45290</v>
      </c>
      <c r="BA283" s="54" t="str">
        <f t="shared" si="98"/>
        <v>12-2023</v>
      </c>
      <c r="BH283" s="4" t="s">
        <v>863</v>
      </c>
      <c r="BI283" s="51">
        <f t="shared" si="103"/>
        <v>44764</v>
      </c>
      <c r="BJ283" s="38">
        <f t="shared" ca="1" si="104"/>
        <v>1061</v>
      </c>
      <c r="BK283" s="38"/>
      <c r="BL283" s="38" t="str">
        <f t="shared" si="105"/>
        <v>No</v>
      </c>
      <c r="BM283" s="59">
        <f t="shared" si="99"/>
        <v>45290</v>
      </c>
      <c r="BN283" s="51">
        <f t="shared" si="106"/>
        <v>44764</v>
      </c>
      <c r="BO283" s="54">
        <f t="shared" si="100"/>
        <v>526</v>
      </c>
      <c r="BP283" s="4" t="s">
        <v>861</v>
      </c>
      <c r="BQ283" s="4" t="s">
        <v>63</v>
      </c>
      <c r="BR283" s="18" t="s">
        <v>305</v>
      </c>
      <c r="BS283" s="18" t="s">
        <v>2822</v>
      </c>
      <c r="BT283" s="54" t="str">
        <f t="shared" si="101"/>
        <v>Sales</v>
      </c>
      <c r="BV283" s="4" t="s">
        <v>861</v>
      </c>
      <c r="BW283" s="4" t="s">
        <v>862</v>
      </c>
      <c r="CB283" s="18" t="s">
        <v>5559</v>
      </c>
      <c r="CC283" s="4" t="s">
        <v>862</v>
      </c>
      <c r="CD283" s="4" t="s">
        <v>64</v>
      </c>
      <c r="CE283" s="54" t="str">
        <v>Not Found</v>
      </c>
      <c r="CG283" s="54" t="str">
        <f>IFERROR(_xlfn.XLOOKUP(Hiring!A283,Hiring!A283:A682,Hiring!B283:B682,,0),"Not Found")</f>
        <v>Debasmita Senapati</v>
      </c>
    </row>
    <row r="284" spans="2:85">
      <c r="B284" s="100"/>
      <c r="F284" s="3">
        <v>3.8</v>
      </c>
      <c r="G284" s="52" t="str" cm="1">
        <f t="array" ref="G284">_xlfn.IFS(F284&gt;=4.5,"Excellent",AND(F284&gt;=3.5,F284&lt;=4.4),"Good",F284&lt;3.5,"Needs Improvement")</f>
        <v>Good</v>
      </c>
      <c r="M284" s="19">
        <v>122047</v>
      </c>
      <c r="N284" s="19">
        <v>141548</v>
      </c>
      <c r="O284" s="54" t="str">
        <f t="shared" si="102"/>
        <v>Yes</v>
      </c>
      <c r="Q284" s="19">
        <v>10.38</v>
      </c>
      <c r="R284" s="56" t="str">
        <f t="shared" si="90"/>
        <v>Yes</v>
      </c>
      <c r="W284" s="19" t="s">
        <v>305</v>
      </c>
      <c r="X284" s="54" t="str">
        <f>VLOOKUP(W284,Employees!$A$1:$B$601,2,FALSE)</f>
        <v>Bikash Behura</v>
      </c>
      <c r="Z284" s="3" t="s">
        <v>864</v>
      </c>
      <c r="AA284" s="54" t="str">
        <f t="shared" si="91"/>
        <v>0283</v>
      </c>
      <c r="AC284" s="3" t="s">
        <v>24</v>
      </c>
      <c r="AD284" s="54" t="str">
        <f t="shared" si="92"/>
        <v>Design</v>
      </c>
      <c r="AF284" s="3" t="s">
        <v>865</v>
      </c>
      <c r="AG284" s="3" t="s">
        <v>24</v>
      </c>
      <c r="AH284" s="3" t="s">
        <v>172</v>
      </c>
      <c r="AI284" s="54" t="str">
        <f t="shared" si="93"/>
        <v>Aditya Ratha|Design|TechNova Solutions</v>
      </c>
      <c r="AK284" s="3" t="s">
        <v>865</v>
      </c>
      <c r="AL284" s="38" t="str">
        <f t="shared" si="94"/>
        <v>A.R.</v>
      </c>
      <c r="AN284" s="19" t="s">
        <v>5060</v>
      </c>
      <c r="AO284" s="54" t="str">
        <f t="shared" si="95"/>
        <v>Naukri</v>
      </c>
      <c r="AQ284" s="3" t="s">
        <v>865</v>
      </c>
      <c r="AR284" s="52" t="str">
        <f t="shared" si="96"/>
        <v>NO</v>
      </c>
      <c r="AW284" s="54">
        <f ca="1">DATEDIF(BI284,TODAY(),"Y")</f>
        <v>5</v>
      </c>
      <c r="AX284" s="54"/>
      <c r="AY284" s="40" t="s">
        <v>676</v>
      </c>
      <c r="AZ284" s="44">
        <f t="shared" si="97"/>
        <v>45409</v>
      </c>
      <c r="BA284" s="54" t="str">
        <f t="shared" si="98"/>
        <v>4-2024</v>
      </c>
      <c r="BH284" s="3" t="s">
        <v>866</v>
      </c>
      <c r="BI284" s="51">
        <f t="shared" si="103"/>
        <v>44229</v>
      </c>
      <c r="BJ284" s="38">
        <f t="shared" ca="1" si="104"/>
        <v>1444</v>
      </c>
      <c r="BK284" s="38"/>
      <c r="BL284" s="38" t="str">
        <f t="shared" si="105"/>
        <v>Q1</v>
      </c>
      <c r="BM284" s="59">
        <f t="shared" si="99"/>
        <v>45409</v>
      </c>
      <c r="BN284" s="51">
        <f t="shared" si="106"/>
        <v>44229</v>
      </c>
      <c r="BO284" s="54">
        <f t="shared" si="100"/>
        <v>1180</v>
      </c>
      <c r="BP284" s="3" t="s">
        <v>864</v>
      </c>
      <c r="BQ284" s="3" t="s">
        <v>24</v>
      </c>
      <c r="BR284" s="19" t="s">
        <v>305</v>
      </c>
      <c r="BS284" s="19" t="s">
        <v>2825</v>
      </c>
      <c r="BT284" s="54" t="str">
        <f t="shared" si="101"/>
        <v>Sales</v>
      </c>
      <c r="BV284" s="3" t="s">
        <v>864</v>
      </c>
      <c r="BW284" s="3" t="s">
        <v>865</v>
      </c>
      <c r="CB284" s="19" t="s">
        <v>5562</v>
      </c>
      <c r="CC284" s="3" t="s">
        <v>865</v>
      </c>
      <c r="CD284" s="3" t="s">
        <v>45</v>
      </c>
      <c r="CE284" s="54" t="str">
        <v>Not Found</v>
      </c>
      <c r="CG284" s="54" t="str">
        <f>IFERROR(_xlfn.XLOOKUP(Hiring!A284,Hiring!A284:A683,Hiring!B284:B683,,0),"Not Found")</f>
        <v>Priyanka Sahu</v>
      </c>
    </row>
    <row r="285" spans="2:85">
      <c r="B285" s="100"/>
      <c r="F285" s="4">
        <v>1.6</v>
      </c>
      <c r="G285" s="52" t="str" cm="1">
        <f t="array" ref="G285">_xlfn.IFS(F285&gt;=4.5,"Excellent",AND(F285&gt;=3.5,F285&lt;=4.4),"Good",F285&lt;3.5,"Needs Improvement")</f>
        <v>Needs Improvement</v>
      </c>
      <c r="M285" s="18">
        <v>70245</v>
      </c>
      <c r="N285" s="18">
        <v>79436</v>
      </c>
      <c r="O285" s="54" t="str">
        <f t="shared" si="102"/>
        <v>Yes</v>
      </c>
      <c r="Q285" s="18">
        <v>9.44</v>
      </c>
      <c r="R285" s="56" t="str">
        <f t="shared" si="90"/>
        <v>Yes</v>
      </c>
      <c r="W285" s="18" t="s">
        <v>305</v>
      </c>
      <c r="X285" s="54" t="str">
        <f>VLOOKUP(W285,Employees!$A$1:$B$601,2,FALSE)</f>
        <v>Bikash Behura</v>
      </c>
      <c r="Z285" s="4" t="s">
        <v>867</v>
      </c>
      <c r="AA285" s="54" t="str">
        <f t="shared" si="91"/>
        <v>0284</v>
      </c>
      <c r="AC285" s="4" t="s">
        <v>63</v>
      </c>
      <c r="AD285" s="54" t="str">
        <f t="shared" si="92"/>
        <v>Product</v>
      </c>
      <c r="AF285" s="4" t="s">
        <v>868</v>
      </c>
      <c r="AG285" s="4" t="s">
        <v>63</v>
      </c>
      <c r="AH285" s="4" t="s">
        <v>32</v>
      </c>
      <c r="AI285" s="54" t="str">
        <f t="shared" si="93"/>
        <v>Tanmay Samal|Product|NilGiri Digitals</v>
      </c>
      <c r="AK285" s="4" t="s">
        <v>868</v>
      </c>
      <c r="AL285" s="38" t="str">
        <f t="shared" si="94"/>
        <v>T.S.</v>
      </c>
      <c r="AN285" s="18" t="s">
        <v>5060</v>
      </c>
      <c r="AO285" s="54" t="str">
        <f t="shared" si="95"/>
        <v>Naukri</v>
      </c>
      <c r="AQ285" s="4" t="s">
        <v>868</v>
      </c>
      <c r="AR285" s="52" t="str">
        <f t="shared" si="96"/>
        <v>NO</v>
      </c>
      <c r="AW285" s="54">
        <f ca="1">DATEDIF(BI285,TODAY(),"Y")</f>
        <v>2</v>
      </c>
      <c r="AX285" s="54"/>
      <c r="AY285" s="41" t="s">
        <v>5564</v>
      </c>
      <c r="AZ285" s="44">
        <f t="shared" si="97"/>
        <v>45610</v>
      </c>
      <c r="BA285" s="54" t="str">
        <f t="shared" si="98"/>
        <v>11-2024</v>
      </c>
      <c r="BH285" s="4" t="s">
        <v>869</v>
      </c>
      <c r="BI285" s="51">
        <f t="shared" si="103"/>
        <v>45438</v>
      </c>
      <c r="BJ285" s="38">
        <f t="shared" ca="1" si="104"/>
        <v>580</v>
      </c>
      <c r="BK285" s="38"/>
      <c r="BL285" s="38" t="str">
        <f t="shared" si="105"/>
        <v>No</v>
      </c>
      <c r="BM285" s="59">
        <f t="shared" si="99"/>
        <v>45610</v>
      </c>
      <c r="BN285" s="51">
        <f t="shared" si="106"/>
        <v>45438</v>
      </c>
      <c r="BO285" s="54">
        <f t="shared" si="100"/>
        <v>172</v>
      </c>
      <c r="BP285" s="4" t="s">
        <v>867</v>
      </c>
      <c r="BQ285" s="4" t="s">
        <v>63</v>
      </c>
      <c r="BR285" s="18" t="s">
        <v>305</v>
      </c>
      <c r="BS285" s="18" t="s">
        <v>2827</v>
      </c>
      <c r="BT285" s="54" t="str">
        <f t="shared" si="101"/>
        <v>Sales</v>
      </c>
      <c r="BV285" s="4" t="s">
        <v>867</v>
      </c>
      <c r="BW285" s="4" t="s">
        <v>868</v>
      </c>
      <c r="CB285" s="18" t="s">
        <v>482</v>
      </c>
      <c r="CC285" s="4" t="s">
        <v>868</v>
      </c>
      <c r="CD285" s="4" t="s">
        <v>225</v>
      </c>
      <c r="CE285" s="54" t="str">
        <v>Data Analyst</v>
      </c>
      <c r="CG285" s="54" t="str">
        <f>IFERROR(_xlfn.XLOOKUP(Hiring!A285,Hiring!A285:A684,Hiring!B285:B684,,0),"Not Found")</f>
        <v>Alka Senapati</v>
      </c>
    </row>
    <row r="286" spans="2:85">
      <c r="B286" s="100"/>
      <c r="F286" s="3">
        <v>4.7</v>
      </c>
      <c r="G286" s="52" t="str" cm="1">
        <f t="array" ref="G286">_xlfn.IFS(F286&gt;=4.5,"Excellent",AND(F286&gt;=3.5,F286&lt;=4.4),"Good",F286&lt;3.5,"Needs Improvement")</f>
        <v>Excellent</v>
      </c>
      <c r="M286" s="19">
        <v>148960</v>
      </c>
      <c r="N286" s="19">
        <v>132104</v>
      </c>
      <c r="O286" s="54" t="str">
        <f t="shared" si="102"/>
        <v>Yes</v>
      </c>
      <c r="Q286" s="19">
        <v>8.41</v>
      </c>
      <c r="R286" s="56" t="str">
        <f t="shared" si="90"/>
        <v>Yes</v>
      </c>
      <c r="W286" s="19" t="s">
        <v>305</v>
      </c>
      <c r="X286" s="54" t="str">
        <f>VLOOKUP(W286,Employees!$A$1:$B$601,2,FALSE)</f>
        <v>Bikash Behura</v>
      </c>
      <c r="Z286" s="3" t="s">
        <v>870</v>
      </c>
      <c r="AA286" s="54" t="str">
        <f t="shared" si="91"/>
        <v>0285</v>
      </c>
      <c r="AC286" s="3" t="s">
        <v>24</v>
      </c>
      <c r="AD286" s="54" t="str">
        <f t="shared" si="92"/>
        <v>Design</v>
      </c>
      <c r="AF286" s="3" t="s">
        <v>871</v>
      </c>
      <c r="AG286" s="3" t="s">
        <v>24</v>
      </c>
      <c r="AH286" s="3" t="s">
        <v>46</v>
      </c>
      <c r="AI286" s="54" t="str">
        <f t="shared" si="93"/>
        <v>Barsha Behura|Design|SambalpurNet</v>
      </c>
      <c r="AK286" s="3" t="s">
        <v>871</v>
      </c>
      <c r="AL286" s="38" t="str">
        <f t="shared" si="94"/>
        <v>B.B.</v>
      </c>
      <c r="AN286" s="19" t="s">
        <v>5023</v>
      </c>
      <c r="AO286" s="54" t="str">
        <f t="shared" si="95"/>
        <v>Linkedln</v>
      </c>
      <c r="AQ286" s="3" t="s">
        <v>871</v>
      </c>
      <c r="AR286" s="52" t="str">
        <f t="shared" si="96"/>
        <v>NO</v>
      </c>
      <c r="AW286" s="54">
        <f ca="1">DATEDIF(BI286,TODAY(),"Y")</f>
        <v>2</v>
      </c>
      <c r="AX286" s="54"/>
      <c r="AY286" s="40" t="s">
        <v>1894</v>
      </c>
      <c r="AZ286" s="44">
        <f t="shared" si="97"/>
        <v>45010</v>
      </c>
      <c r="BA286" s="54" t="str">
        <f t="shared" si="98"/>
        <v>3-2023</v>
      </c>
      <c r="BH286" s="3" t="s">
        <v>872</v>
      </c>
      <c r="BI286" s="51">
        <f t="shared" si="103"/>
        <v>45174</v>
      </c>
      <c r="BJ286" s="38">
        <f t="shared" ca="1" si="104"/>
        <v>769</v>
      </c>
      <c r="BK286" s="38"/>
      <c r="BL286" s="38" t="str">
        <f t="shared" si="105"/>
        <v>No</v>
      </c>
      <c r="BM286" s="59">
        <f t="shared" si="99"/>
        <v>45010</v>
      </c>
      <c r="BN286" s="51">
        <f t="shared" si="106"/>
        <v>45174</v>
      </c>
      <c r="BO286" s="54">
        <f t="shared" si="100"/>
        <v>164</v>
      </c>
      <c r="BP286" s="3" t="s">
        <v>870</v>
      </c>
      <c r="BQ286" s="3" t="s">
        <v>24</v>
      </c>
      <c r="BR286" s="19" t="s">
        <v>305</v>
      </c>
      <c r="BS286" s="19" t="s">
        <v>2828</v>
      </c>
      <c r="BT286" s="54" t="str">
        <f t="shared" si="101"/>
        <v>Sales</v>
      </c>
      <c r="BV286" s="3" t="s">
        <v>870</v>
      </c>
      <c r="BW286" s="3" t="s">
        <v>871</v>
      </c>
      <c r="CB286" s="19" t="s">
        <v>1366</v>
      </c>
      <c r="CC286" s="3" t="s">
        <v>871</v>
      </c>
      <c r="CD286" s="3" t="s">
        <v>94</v>
      </c>
      <c r="CE286" s="54" t="str">
        <v>UX Researcher</v>
      </c>
      <c r="CG286" s="54" t="str">
        <f>IFERROR(_xlfn.XLOOKUP(Hiring!A286,Hiring!A286:A685,Hiring!B286:B685,,0),"Not Found")</f>
        <v>Priyanka Mohapatra</v>
      </c>
    </row>
    <row r="287" spans="2:85">
      <c r="B287" s="100"/>
      <c r="F287" s="4">
        <v>3.3</v>
      </c>
      <c r="G287" s="52" t="str" cm="1">
        <f t="array" ref="G287">_xlfn.IFS(F287&gt;=4.5,"Excellent",AND(F287&gt;=3.5,F287&lt;=4.4),"Good",F287&lt;3.5,"Needs Improvement")</f>
        <v>Needs Improvement</v>
      </c>
      <c r="M287" s="18">
        <v>81595</v>
      </c>
      <c r="N287" s="18">
        <v>77263</v>
      </c>
      <c r="O287" s="54" t="str">
        <f t="shared" si="102"/>
        <v>Yes</v>
      </c>
      <c r="Q287" s="18">
        <v>9.73</v>
      </c>
      <c r="R287" s="56" t="str">
        <f t="shared" si="90"/>
        <v>Yes</v>
      </c>
      <c r="W287" s="18" t="s">
        <v>305</v>
      </c>
      <c r="X287" s="54" t="str">
        <f>VLOOKUP(W287,Employees!$A$1:$B$601,2,FALSE)</f>
        <v>Bikash Behura</v>
      </c>
      <c r="Z287" s="4" t="s">
        <v>873</v>
      </c>
      <c r="AA287" s="54" t="str">
        <f t="shared" si="91"/>
        <v>0286</v>
      </c>
      <c r="AC287" s="4" t="s">
        <v>84</v>
      </c>
      <c r="AD287" s="54" t="str">
        <f t="shared" si="92"/>
        <v>Hr</v>
      </c>
      <c r="AF287" s="4" t="s">
        <v>874</v>
      </c>
      <c r="AG287" s="4" t="s">
        <v>84</v>
      </c>
      <c r="AH287" s="4" t="s">
        <v>75</v>
      </c>
      <c r="AI287" s="54" t="str">
        <f t="shared" si="93"/>
        <v>Rajan Mahapatra|HR|KalingaTech Pvt Ltd</v>
      </c>
      <c r="AK287" s="4" t="s">
        <v>874</v>
      </c>
      <c r="AL287" s="38" t="str">
        <f t="shared" si="94"/>
        <v>R.M.</v>
      </c>
      <c r="AN287" s="18" t="s">
        <v>5019</v>
      </c>
      <c r="AO287" s="54" t="str">
        <f t="shared" si="95"/>
        <v>Linkedln</v>
      </c>
      <c r="AQ287" s="4" t="s">
        <v>874</v>
      </c>
      <c r="AR287" s="52" t="str">
        <f t="shared" si="96"/>
        <v>NO</v>
      </c>
      <c r="AW287" s="54">
        <f ca="1">DATEDIF(BI287,TODAY(),"Y")</f>
        <v>7</v>
      </c>
      <c r="AX287" s="54"/>
      <c r="AY287" s="41" t="s">
        <v>1965</v>
      </c>
      <c r="AZ287" s="44">
        <f t="shared" si="97"/>
        <v>44973</v>
      </c>
      <c r="BA287" s="54" t="str">
        <f t="shared" si="98"/>
        <v>2-2023</v>
      </c>
      <c r="BH287" s="4" t="s">
        <v>875</v>
      </c>
      <c r="BI287" s="51">
        <f t="shared" si="103"/>
        <v>43499</v>
      </c>
      <c r="BJ287" s="38">
        <f t="shared" ca="1" si="104"/>
        <v>1965</v>
      </c>
      <c r="BK287" s="38"/>
      <c r="BL287" s="38" t="str">
        <f t="shared" si="105"/>
        <v>Q1</v>
      </c>
      <c r="BM287" s="59">
        <f t="shared" si="99"/>
        <v>44973</v>
      </c>
      <c r="BN287" s="51">
        <f t="shared" si="106"/>
        <v>43499</v>
      </c>
      <c r="BO287" s="54">
        <f t="shared" si="100"/>
        <v>1474</v>
      </c>
      <c r="BP287" s="4" t="s">
        <v>873</v>
      </c>
      <c r="BQ287" s="4" t="s">
        <v>84</v>
      </c>
      <c r="BR287" s="18" t="s">
        <v>305</v>
      </c>
      <c r="BS287" s="18" t="s">
        <v>2829</v>
      </c>
      <c r="BT287" s="54" t="str">
        <f t="shared" si="101"/>
        <v>Sales</v>
      </c>
      <c r="BV287" s="4" t="s">
        <v>873</v>
      </c>
      <c r="BW287" s="4" t="s">
        <v>874</v>
      </c>
      <c r="CB287" s="18" t="s">
        <v>5567</v>
      </c>
      <c r="CC287" s="4" t="s">
        <v>874</v>
      </c>
      <c r="CD287" s="4" t="s">
        <v>138</v>
      </c>
      <c r="CE287" s="54" t="str">
        <v>Not Found</v>
      </c>
      <c r="CG287" s="54" t="str">
        <f>IFERROR(_xlfn.XLOOKUP(Hiring!A287,Hiring!A287:A686,Hiring!B287:B686,,0),"Not Found")</f>
        <v>Smita Pattnaik</v>
      </c>
    </row>
    <row r="288" spans="2:85">
      <c r="B288" s="100"/>
      <c r="F288" s="3">
        <v>1.6</v>
      </c>
      <c r="G288" s="52" t="str" cm="1">
        <f t="array" ref="G288">_xlfn.IFS(F288&gt;=4.5,"Excellent",AND(F288&gt;=3.5,F288&lt;=4.4),"Good",F288&lt;3.5,"Needs Improvement")</f>
        <v>Needs Improvement</v>
      </c>
      <c r="M288" s="19">
        <v>140837</v>
      </c>
      <c r="N288" s="19">
        <v>125763</v>
      </c>
      <c r="O288" s="54" t="str">
        <f t="shared" si="102"/>
        <v>Yes</v>
      </c>
      <c r="Q288" s="19">
        <v>9.67</v>
      </c>
      <c r="R288" s="56" t="str">
        <f t="shared" si="90"/>
        <v>Yes</v>
      </c>
      <c r="W288" s="19" t="s">
        <v>305</v>
      </c>
      <c r="X288" s="54" t="str">
        <f>VLOOKUP(W288,Employees!$A$1:$B$601,2,FALSE)</f>
        <v>Bikash Behura</v>
      </c>
      <c r="Z288" s="3" t="s">
        <v>876</v>
      </c>
      <c r="AA288" s="54" t="str">
        <f t="shared" si="91"/>
        <v>0287</v>
      </c>
      <c r="AC288" s="3" t="s">
        <v>63</v>
      </c>
      <c r="AD288" s="54" t="str">
        <f t="shared" si="92"/>
        <v>Product</v>
      </c>
      <c r="AF288" s="3" t="s">
        <v>425</v>
      </c>
      <c r="AG288" s="3" t="s">
        <v>63</v>
      </c>
      <c r="AH288" s="3" t="s">
        <v>65</v>
      </c>
      <c r="AI288" s="54" t="str">
        <f t="shared" si="93"/>
        <v>Sangita Senapati|Product|TributeAI</v>
      </c>
      <c r="AK288" s="3" t="s">
        <v>425</v>
      </c>
      <c r="AL288" s="38" t="str">
        <f t="shared" si="94"/>
        <v>S.S.</v>
      </c>
      <c r="AN288" s="19" t="s">
        <v>5023</v>
      </c>
      <c r="AO288" s="54" t="str">
        <f t="shared" si="95"/>
        <v>Linkedln</v>
      </c>
      <c r="AQ288" s="3" t="s">
        <v>425</v>
      </c>
      <c r="AR288" s="52" t="str">
        <f t="shared" si="96"/>
        <v>NO</v>
      </c>
      <c r="AW288" s="54">
        <f ca="1">DATEDIF(BI288,TODAY(),"Y")</f>
        <v>5</v>
      </c>
      <c r="AX288" s="54"/>
      <c r="AY288" s="40" t="s">
        <v>1011</v>
      </c>
      <c r="AZ288" s="44">
        <f t="shared" si="97"/>
        <v>44934</v>
      </c>
      <c r="BA288" s="54" t="str">
        <f t="shared" si="98"/>
        <v>1-2023</v>
      </c>
      <c r="BH288" s="3" t="s">
        <v>877</v>
      </c>
      <c r="BI288" s="51">
        <f t="shared" si="103"/>
        <v>44115</v>
      </c>
      <c r="BJ288" s="38">
        <f t="shared" ca="1" si="104"/>
        <v>1525</v>
      </c>
      <c r="BK288" s="38"/>
      <c r="BL288" s="38" t="str">
        <f t="shared" si="105"/>
        <v>No</v>
      </c>
      <c r="BM288" s="59">
        <f t="shared" si="99"/>
        <v>44934</v>
      </c>
      <c r="BN288" s="51">
        <f t="shared" si="106"/>
        <v>44115</v>
      </c>
      <c r="BO288" s="54">
        <f t="shared" si="100"/>
        <v>819</v>
      </c>
      <c r="BP288" s="3" t="s">
        <v>876</v>
      </c>
      <c r="BQ288" s="3" t="s">
        <v>63</v>
      </c>
      <c r="BR288" s="19" t="s">
        <v>305</v>
      </c>
      <c r="BS288" s="19" t="s">
        <v>2832</v>
      </c>
      <c r="BT288" s="54" t="str">
        <f t="shared" si="101"/>
        <v>Sales</v>
      </c>
      <c r="BV288" s="3" t="s">
        <v>876</v>
      </c>
      <c r="BW288" s="3" t="s">
        <v>425</v>
      </c>
      <c r="CB288" s="19" t="s">
        <v>5344</v>
      </c>
      <c r="CC288" s="3" t="s">
        <v>425</v>
      </c>
      <c r="CD288" s="3" t="s">
        <v>145</v>
      </c>
      <c r="CE288" s="54" t="str">
        <v>Not Found</v>
      </c>
      <c r="CG288" s="54" t="str">
        <f>IFERROR(_xlfn.XLOOKUP(Hiring!A288,Hiring!A288:A687,Hiring!B288:B687,,0),"Not Found")</f>
        <v>Prasant Jena</v>
      </c>
    </row>
    <row r="289" spans="2:85">
      <c r="B289" s="100"/>
      <c r="F289" s="4">
        <v>1.9</v>
      </c>
      <c r="G289" s="52" t="str" cm="1">
        <f t="array" ref="G289">_xlfn.IFS(F289&gt;=4.5,"Excellent",AND(F289&gt;=3.5,F289&lt;=4.4),"Good",F289&lt;3.5,"Needs Improvement")</f>
        <v>Needs Improvement</v>
      </c>
      <c r="M289" s="18">
        <v>192081</v>
      </c>
      <c r="N289" s="18">
        <v>171503</v>
      </c>
      <c r="O289" s="54" t="str">
        <f t="shared" si="102"/>
        <v>Yes</v>
      </c>
      <c r="Q289" s="18">
        <v>8.0399999999999991</v>
      </c>
      <c r="R289" s="56" t="str">
        <f t="shared" si="90"/>
        <v>Yes</v>
      </c>
      <c r="W289" s="18" t="s">
        <v>305</v>
      </c>
      <c r="X289" s="54" t="str">
        <f>VLOOKUP(W289,Employees!$A$1:$B$601,2,FALSE)</f>
        <v>Bikash Behura</v>
      </c>
      <c r="Z289" s="4" t="s">
        <v>878</v>
      </c>
      <c r="AA289" s="54" t="str">
        <f t="shared" si="91"/>
        <v>0288</v>
      </c>
      <c r="AC289" s="4" t="s">
        <v>39</v>
      </c>
      <c r="AD289" s="54" t="str">
        <f t="shared" si="92"/>
        <v>Engineering</v>
      </c>
      <c r="AF289" s="4" t="s">
        <v>879</v>
      </c>
      <c r="AG289" s="4" t="s">
        <v>39</v>
      </c>
      <c r="AH289" s="4" t="s">
        <v>114</v>
      </c>
      <c r="AI289" s="54" t="str">
        <f t="shared" si="93"/>
        <v>Satyajit Samal|Engineering|UtkalSoft Technologies</v>
      </c>
      <c r="AK289" s="4" t="s">
        <v>879</v>
      </c>
      <c r="AL289" s="38" t="str">
        <f t="shared" si="94"/>
        <v>S.S.</v>
      </c>
      <c r="AN289" s="18" t="s">
        <v>5019</v>
      </c>
      <c r="AO289" s="54" t="str">
        <f t="shared" si="95"/>
        <v>Linkedln</v>
      </c>
      <c r="AQ289" s="4" t="s">
        <v>879</v>
      </c>
      <c r="AR289" s="52" t="str">
        <f t="shared" si="96"/>
        <v>NO</v>
      </c>
      <c r="AW289" s="54">
        <f ca="1">DATEDIF(BI289,TODAY(),"Y")</f>
        <v>6</v>
      </c>
      <c r="AX289" s="54"/>
      <c r="AY289" s="41" t="s">
        <v>1238</v>
      </c>
      <c r="AZ289" s="44">
        <f t="shared" si="97"/>
        <v>45111</v>
      </c>
      <c r="BA289" s="54" t="str">
        <f t="shared" si="98"/>
        <v>7-2023</v>
      </c>
      <c r="BH289" s="4" t="s">
        <v>99</v>
      </c>
      <c r="BI289" s="51">
        <f t="shared" si="103"/>
        <v>43779</v>
      </c>
      <c r="BJ289" s="38">
        <f t="shared" ca="1" si="104"/>
        <v>1765</v>
      </c>
      <c r="BK289" s="38"/>
      <c r="BL289" s="38" t="str">
        <f t="shared" si="105"/>
        <v>No</v>
      </c>
      <c r="BM289" s="59">
        <f t="shared" si="99"/>
        <v>45111</v>
      </c>
      <c r="BN289" s="51">
        <f t="shared" si="106"/>
        <v>43779</v>
      </c>
      <c r="BO289" s="54">
        <f t="shared" si="100"/>
        <v>1332</v>
      </c>
      <c r="BP289" s="4" t="s">
        <v>878</v>
      </c>
      <c r="BQ289" s="4" t="s">
        <v>39</v>
      </c>
      <c r="BR289" s="18" t="s">
        <v>305</v>
      </c>
      <c r="BS289" s="18" t="s">
        <v>2833</v>
      </c>
      <c r="BT289" s="54" t="str">
        <f t="shared" si="101"/>
        <v>Sales</v>
      </c>
      <c r="BV289" s="4" t="s">
        <v>878</v>
      </c>
      <c r="BW289" s="4" t="s">
        <v>879</v>
      </c>
      <c r="CB289" s="18" t="s">
        <v>1188</v>
      </c>
      <c r="CC289" s="4" t="s">
        <v>879</v>
      </c>
      <c r="CD289" s="4" t="s">
        <v>109</v>
      </c>
      <c r="CE289" s="54" t="str">
        <v>UI Designer</v>
      </c>
      <c r="CG289" s="54" t="str">
        <f>IFERROR(_xlfn.XLOOKUP(Hiring!A289,Hiring!A289:A688,Hiring!B289:B688,,0),"Not Found")</f>
        <v>Sudhansu Sahu</v>
      </c>
    </row>
    <row r="290" spans="2:85">
      <c r="B290" s="100"/>
      <c r="F290" s="3">
        <v>4.5999999999999996</v>
      </c>
      <c r="G290" s="52" t="str" cm="1">
        <f t="array" ref="G290">_xlfn.IFS(F290&gt;=4.5,"Excellent",AND(F290&gt;=3.5,F290&lt;=4.4),"Good",F290&lt;3.5,"Needs Improvement")</f>
        <v>Excellent</v>
      </c>
      <c r="M290" s="19">
        <v>54243</v>
      </c>
      <c r="N290" s="19">
        <v>50624</v>
      </c>
      <c r="O290" s="54" t="str">
        <f t="shared" si="102"/>
        <v>Yes</v>
      </c>
      <c r="Q290" s="19">
        <v>8.0399999999999991</v>
      </c>
      <c r="R290" s="56" t="str">
        <f t="shared" si="90"/>
        <v>Yes</v>
      </c>
      <c r="W290" s="19" t="s">
        <v>305</v>
      </c>
      <c r="X290" s="54" t="str">
        <f>VLOOKUP(W290,Employees!$A$1:$B$601,2,FALSE)</f>
        <v>Bikash Behura</v>
      </c>
      <c r="Z290" s="3" t="s">
        <v>880</v>
      </c>
      <c r="AA290" s="54" t="str">
        <f t="shared" si="91"/>
        <v>0289</v>
      </c>
      <c r="AC290" s="3" t="s">
        <v>118</v>
      </c>
      <c r="AD290" s="54" t="str">
        <f t="shared" si="92"/>
        <v>Marketing</v>
      </c>
      <c r="AF290" s="3" t="s">
        <v>881</v>
      </c>
      <c r="AG290" s="3" t="s">
        <v>118</v>
      </c>
      <c r="AH290" s="3" t="s">
        <v>149</v>
      </c>
      <c r="AI290" s="54" t="str">
        <f t="shared" si="93"/>
        <v>Priyanka Tripathy|Marketing|SilverByte Systems</v>
      </c>
      <c r="AK290" s="3" t="s">
        <v>881</v>
      </c>
      <c r="AL290" s="38" t="str">
        <f t="shared" si="94"/>
        <v>P.T.</v>
      </c>
      <c r="AN290" s="19" t="s">
        <v>5016</v>
      </c>
      <c r="AO290" s="54" t="b">
        <f t="shared" si="95"/>
        <v>0</v>
      </c>
      <c r="AQ290" s="3" t="s">
        <v>881</v>
      </c>
      <c r="AR290" s="52" t="str">
        <f t="shared" si="96"/>
        <v>NO</v>
      </c>
      <c r="AW290" s="54">
        <f ca="1">DATEDIF(BI290,TODAY(),"Y")</f>
        <v>2</v>
      </c>
      <c r="AX290" s="54"/>
      <c r="AY290" s="40" t="s">
        <v>5571</v>
      </c>
      <c r="AZ290" s="44">
        <f t="shared" si="97"/>
        <v>45224</v>
      </c>
      <c r="BA290" s="54" t="str">
        <f t="shared" si="98"/>
        <v>10-2023</v>
      </c>
      <c r="BH290" s="3" t="s">
        <v>882</v>
      </c>
      <c r="BI290" s="51">
        <f t="shared" si="103"/>
        <v>45153</v>
      </c>
      <c r="BJ290" s="38">
        <f t="shared" ca="1" si="104"/>
        <v>784</v>
      </c>
      <c r="BK290" s="38"/>
      <c r="BL290" s="38" t="str">
        <f t="shared" si="105"/>
        <v>No</v>
      </c>
      <c r="BM290" s="59">
        <f t="shared" si="99"/>
        <v>45224</v>
      </c>
      <c r="BN290" s="51">
        <f t="shared" si="106"/>
        <v>45153</v>
      </c>
      <c r="BO290" s="54">
        <f t="shared" si="100"/>
        <v>71</v>
      </c>
      <c r="BP290" s="3" t="s">
        <v>880</v>
      </c>
      <c r="BQ290" s="3" t="s">
        <v>118</v>
      </c>
      <c r="BR290" s="19" t="s">
        <v>305</v>
      </c>
      <c r="BS290" s="19" t="s">
        <v>2834</v>
      </c>
      <c r="BT290" s="54" t="str">
        <f t="shared" si="101"/>
        <v>Sales</v>
      </c>
      <c r="BV290" s="3" t="s">
        <v>880</v>
      </c>
      <c r="BW290" s="3" t="s">
        <v>881</v>
      </c>
      <c r="CB290" s="19" t="s">
        <v>823</v>
      </c>
      <c r="CC290" s="3" t="s">
        <v>881</v>
      </c>
      <c r="CD290" s="3" t="s">
        <v>181</v>
      </c>
      <c r="CE290" s="54" t="str">
        <v>QA Engineer</v>
      </c>
      <c r="CG290" s="54" t="str">
        <f>IFERROR(_xlfn.XLOOKUP(Hiring!A290,Hiring!A290:A689,Hiring!B290:B689,,0),"Not Found")</f>
        <v>Chinmaya Senapati</v>
      </c>
    </row>
    <row r="291" spans="2:85">
      <c r="B291" s="100"/>
      <c r="F291" s="4">
        <v>1.9</v>
      </c>
      <c r="G291" s="52" t="str" cm="1">
        <f t="array" ref="G291">_xlfn.IFS(F291&gt;=4.5,"Excellent",AND(F291&gt;=3.5,F291&lt;=4.4),"Good",F291&lt;3.5,"Needs Improvement")</f>
        <v>Needs Improvement</v>
      </c>
      <c r="M291" s="18"/>
      <c r="N291" s="18">
        <v>197122</v>
      </c>
      <c r="O291" s="54" t="str">
        <f t="shared" si="102"/>
        <v>Yes</v>
      </c>
      <c r="Q291" s="18">
        <v>7.88</v>
      </c>
      <c r="R291" s="56" t="str">
        <f t="shared" si="90"/>
        <v>Yes</v>
      </c>
      <c r="W291" s="18" t="s">
        <v>305</v>
      </c>
      <c r="X291" s="54" t="str">
        <f>VLOOKUP(W291,Employees!$A$1:$B$601,2,FALSE)</f>
        <v>Bikash Behura</v>
      </c>
      <c r="Z291" s="4" t="s">
        <v>883</v>
      </c>
      <c r="AA291" s="54" t="str">
        <f t="shared" si="91"/>
        <v>0290</v>
      </c>
      <c r="AC291" s="4" t="s">
        <v>89</v>
      </c>
      <c r="AD291" s="54" t="str">
        <f t="shared" si="92"/>
        <v>Data Science</v>
      </c>
      <c r="AF291" s="4" t="s">
        <v>658</v>
      </c>
      <c r="AG291" s="4" t="s">
        <v>89</v>
      </c>
      <c r="AH291" s="4" t="s">
        <v>18</v>
      </c>
      <c r="AI291" s="54" t="str">
        <f t="shared" si="93"/>
        <v>Abhishek Mohapatra|Data Science|CoastalDev Studio</v>
      </c>
      <c r="AK291" s="4" t="s">
        <v>658</v>
      </c>
      <c r="AL291" s="38" t="str">
        <f t="shared" si="94"/>
        <v>A.M.</v>
      </c>
      <c r="AN291" s="18" t="s">
        <v>5031</v>
      </c>
      <c r="AO291" s="54" t="b">
        <f t="shared" si="95"/>
        <v>0</v>
      </c>
      <c r="AQ291" s="4" t="s">
        <v>658</v>
      </c>
      <c r="AR291" s="52" t="str">
        <f t="shared" si="96"/>
        <v>NO</v>
      </c>
      <c r="AW291" s="54">
        <f ca="1">DATEDIF(BI291,TODAY(),"Y")</f>
        <v>7</v>
      </c>
      <c r="AX291" s="54"/>
      <c r="AY291" s="41" t="s">
        <v>5574</v>
      </c>
      <c r="AZ291" s="44">
        <f t="shared" si="97"/>
        <v>45614</v>
      </c>
      <c r="BA291" s="54" t="str">
        <f t="shared" si="98"/>
        <v>11-2024</v>
      </c>
      <c r="BH291" s="4" t="s">
        <v>884</v>
      </c>
      <c r="BI291" s="51">
        <f t="shared" si="103"/>
        <v>43493</v>
      </c>
      <c r="BJ291" s="38">
        <f t="shared" ca="1" si="104"/>
        <v>1970</v>
      </c>
      <c r="BK291" s="38"/>
      <c r="BL291" s="38" t="str">
        <f t="shared" si="105"/>
        <v>Q1</v>
      </c>
      <c r="BM291" s="59">
        <f t="shared" si="99"/>
        <v>45614</v>
      </c>
      <c r="BN291" s="51">
        <f t="shared" si="106"/>
        <v>43493</v>
      </c>
      <c r="BO291" s="54">
        <f t="shared" si="100"/>
        <v>2121</v>
      </c>
      <c r="BP291" s="4" t="s">
        <v>883</v>
      </c>
      <c r="BQ291" s="4" t="s">
        <v>89</v>
      </c>
      <c r="BR291" s="18" t="s">
        <v>305</v>
      </c>
      <c r="BS291" s="18" t="s">
        <v>2836</v>
      </c>
      <c r="BT291" s="54" t="str">
        <f t="shared" si="101"/>
        <v>Sales</v>
      </c>
      <c r="BV291" s="4" t="s">
        <v>883</v>
      </c>
      <c r="BW291" s="4" t="s">
        <v>658</v>
      </c>
      <c r="CB291" s="18" t="s">
        <v>5573</v>
      </c>
      <c r="CC291" s="4" t="s">
        <v>658</v>
      </c>
      <c r="CD291" s="4" t="s">
        <v>376</v>
      </c>
      <c r="CE291" s="54" t="str">
        <v>Not Found</v>
      </c>
      <c r="CG291" s="54" t="str">
        <f>IFERROR(_xlfn.XLOOKUP(Hiring!A291,Hiring!A291:A690,Hiring!B291:B690,,0),"Not Found")</f>
        <v>Amlan Parida</v>
      </c>
    </row>
    <row r="292" spans="2:85">
      <c r="B292" s="100"/>
      <c r="F292" s="3">
        <v>3.6</v>
      </c>
      <c r="G292" s="52" t="str" cm="1">
        <f t="array" ref="G292">_xlfn.IFS(F292&gt;=4.5,"Excellent",AND(F292&gt;=3.5,F292&lt;=4.4),"Good",F292&lt;3.5,"Needs Improvement")</f>
        <v>Good</v>
      </c>
      <c r="M292" s="19">
        <v>107138</v>
      </c>
      <c r="N292" s="19">
        <v>115759</v>
      </c>
      <c r="O292" s="54" t="str">
        <f t="shared" si="102"/>
        <v>Yes</v>
      </c>
      <c r="Q292" s="19"/>
      <c r="R292" s="56" t="str">
        <f t="shared" si="90"/>
        <v>No</v>
      </c>
      <c r="W292" s="19" t="s">
        <v>305</v>
      </c>
      <c r="X292" s="54" t="str">
        <f>VLOOKUP(W292,Employees!$A$1:$B$601,2,FALSE)</f>
        <v>Bikash Behura</v>
      </c>
      <c r="Z292" s="3" t="s">
        <v>885</v>
      </c>
      <c r="AA292" s="54" t="str">
        <f t="shared" si="91"/>
        <v>0291</v>
      </c>
      <c r="AC292" s="3" t="s">
        <v>24</v>
      </c>
      <c r="AD292" s="54" t="str">
        <f t="shared" si="92"/>
        <v>Design</v>
      </c>
      <c r="AF292" s="3" t="s">
        <v>886</v>
      </c>
      <c r="AG292" s="3" t="s">
        <v>24</v>
      </c>
      <c r="AH292" s="3" t="s">
        <v>70</v>
      </c>
      <c r="AI292" s="54" t="str">
        <f t="shared" si="93"/>
        <v>Rajan Routray|Design|OdishaCode Labs</v>
      </c>
      <c r="AK292" s="3" t="s">
        <v>886</v>
      </c>
      <c r="AL292" s="38" t="str">
        <f t="shared" si="94"/>
        <v>R.R.</v>
      </c>
      <c r="AN292" s="19" t="s">
        <v>5051</v>
      </c>
      <c r="AO292" s="54" t="str">
        <f t="shared" si="95"/>
        <v>Naukri</v>
      </c>
      <c r="AQ292" s="3" t="s">
        <v>886</v>
      </c>
      <c r="AR292" s="52" t="str">
        <f t="shared" si="96"/>
        <v>NO</v>
      </c>
      <c r="AW292" s="54">
        <f ca="1">DATEDIF(BI292,TODAY(),"Y")</f>
        <v>7</v>
      </c>
      <c r="AX292" s="54"/>
      <c r="AY292" s="40" t="s">
        <v>5577</v>
      </c>
      <c r="AZ292" s="44">
        <f t="shared" si="97"/>
        <v>44941</v>
      </c>
      <c r="BA292" s="54" t="str">
        <f t="shared" si="98"/>
        <v>1-2023</v>
      </c>
      <c r="BH292" s="3" t="s">
        <v>887</v>
      </c>
      <c r="BI292" s="51">
        <f t="shared" si="103"/>
        <v>43622</v>
      </c>
      <c r="BJ292" s="38">
        <f t="shared" ca="1" si="104"/>
        <v>1877</v>
      </c>
      <c r="BK292" s="38"/>
      <c r="BL292" s="38" t="str">
        <f t="shared" si="105"/>
        <v>No</v>
      </c>
      <c r="BM292" s="59">
        <f t="shared" si="99"/>
        <v>44941</v>
      </c>
      <c r="BN292" s="51">
        <f t="shared" si="106"/>
        <v>43622</v>
      </c>
      <c r="BO292" s="54">
        <f t="shared" si="100"/>
        <v>1319</v>
      </c>
      <c r="BP292" s="3" t="s">
        <v>885</v>
      </c>
      <c r="BQ292" s="3" t="s">
        <v>24</v>
      </c>
      <c r="BR292" s="19" t="s">
        <v>305</v>
      </c>
      <c r="BS292" s="19" t="s">
        <v>2837</v>
      </c>
      <c r="BT292" s="54" t="str">
        <f t="shared" si="101"/>
        <v>Sales</v>
      </c>
      <c r="BV292" s="3" t="s">
        <v>885</v>
      </c>
      <c r="BW292" s="3" t="s">
        <v>886</v>
      </c>
      <c r="CB292" s="19" t="s">
        <v>5576</v>
      </c>
      <c r="CC292" s="3" t="s">
        <v>886</v>
      </c>
      <c r="CD292" s="3" t="s">
        <v>25</v>
      </c>
      <c r="CE292" s="54" t="str">
        <v>Not Found</v>
      </c>
      <c r="CG292" s="54" t="str">
        <f>IFERROR(_xlfn.XLOOKUP(Hiring!A292,Hiring!A292:A691,Hiring!B292:B691,,0),"Not Found")</f>
        <v>Ranjit Prusty</v>
      </c>
    </row>
    <row r="293" spans="2:85">
      <c r="B293" s="100"/>
      <c r="F293" s="4">
        <v>3.7</v>
      </c>
      <c r="G293" s="52" t="str" cm="1">
        <f t="array" ref="G293">_xlfn.IFS(F293&gt;=4.5,"Excellent",AND(F293&gt;=3.5,F293&lt;=4.4),"Good",F293&lt;3.5,"Needs Improvement")</f>
        <v>Good</v>
      </c>
      <c r="M293" s="18">
        <v>145363</v>
      </c>
      <c r="N293" s="18">
        <v>155244</v>
      </c>
      <c r="O293" s="54" t="str">
        <f t="shared" si="102"/>
        <v>Yes</v>
      </c>
      <c r="Q293" s="18">
        <v>10.88</v>
      </c>
      <c r="R293" s="56" t="str">
        <f t="shared" si="90"/>
        <v>Yes</v>
      </c>
      <c r="W293" s="18" t="s">
        <v>305</v>
      </c>
      <c r="X293" s="54" t="str">
        <f>VLOOKUP(W293,Employees!$A$1:$B$601,2,FALSE)</f>
        <v>Bikash Behura</v>
      </c>
      <c r="Z293" s="4" t="s">
        <v>888</v>
      </c>
      <c r="AA293" s="54" t="str">
        <f t="shared" si="91"/>
        <v>0292</v>
      </c>
      <c r="AC293" s="4" t="s">
        <v>24</v>
      </c>
      <c r="AD293" s="54" t="str">
        <f t="shared" si="92"/>
        <v>Design</v>
      </c>
      <c r="AF293" s="4" t="s">
        <v>644</v>
      </c>
      <c r="AG293" s="4" t="s">
        <v>24</v>
      </c>
      <c r="AH293" s="4" t="s">
        <v>214</v>
      </c>
      <c r="AI293" s="54" t="str">
        <f t="shared" si="93"/>
        <v>Alka Tripathy|Design|ZeroOneSystems</v>
      </c>
      <c r="AK293" s="4" t="s">
        <v>644</v>
      </c>
      <c r="AL293" s="38" t="str">
        <f t="shared" si="94"/>
        <v>A.T.</v>
      </c>
      <c r="AN293" s="18" t="s">
        <v>5023</v>
      </c>
      <c r="AO293" s="54" t="str">
        <f t="shared" si="95"/>
        <v>Linkedln</v>
      </c>
      <c r="AQ293" s="4" t="s">
        <v>644</v>
      </c>
      <c r="AR293" s="52" t="str">
        <f t="shared" si="96"/>
        <v>NO</v>
      </c>
      <c r="AW293" s="54">
        <f ca="1">DATEDIF(BI293,TODAY(),"Y")</f>
        <v>2</v>
      </c>
      <c r="AX293" s="54"/>
      <c r="AY293" s="41" t="s">
        <v>1970</v>
      </c>
      <c r="AZ293" s="44">
        <f t="shared" si="97"/>
        <v>45425</v>
      </c>
      <c r="BA293" s="54" t="str">
        <f t="shared" si="98"/>
        <v>5-2024</v>
      </c>
      <c r="BH293" s="4" t="s">
        <v>889</v>
      </c>
      <c r="BI293" s="51">
        <f t="shared" si="103"/>
        <v>45411</v>
      </c>
      <c r="BJ293" s="38">
        <f t="shared" ca="1" si="104"/>
        <v>600</v>
      </c>
      <c r="BK293" s="38"/>
      <c r="BL293" s="38" t="str">
        <f t="shared" si="105"/>
        <v>No</v>
      </c>
      <c r="BM293" s="59">
        <f t="shared" si="99"/>
        <v>45425</v>
      </c>
      <c r="BN293" s="51">
        <f t="shared" si="106"/>
        <v>45411</v>
      </c>
      <c r="BO293" s="54">
        <f t="shared" si="100"/>
        <v>14</v>
      </c>
      <c r="BP293" s="4" t="s">
        <v>888</v>
      </c>
      <c r="BQ293" s="4" t="s">
        <v>24</v>
      </c>
      <c r="BR293" s="18" t="s">
        <v>305</v>
      </c>
      <c r="BS293" s="18" t="s">
        <v>2838</v>
      </c>
      <c r="BT293" s="54" t="str">
        <f t="shared" si="101"/>
        <v>Sales</v>
      </c>
      <c r="BV293" s="4" t="s">
        <v>888</v>
      </c>
      <c r="BW293" s="4" t="s">
        <v>644</v>
      </c>
      <c r="CB293" s="18" t="s">
        <v>372</v>
      </c>
      <c r="CC293" s="4" t="s">
        <v>644</v>
      </c>
      <c r="CD293" s="4" t="s">
        <v>94</v>
      </c>
      <c r="CE293" s="54" t="str">
        <v>Junior Developer</v>
      </c>
      <c r="CG293" s="54" t="str">
        <f>IFERROR(_xlfn.XLOOKUP(Hiring!A293,Hiring!A293:A692,Hiring!B293:B692,,0),"Not Found")</f>
        <v>Saurav Mahapatra</v>
      </c>
    </row>
    <row r="294" spans="2:85">
      <c r="B294" s="100"/>
      <c r="F294" s="3">
        <v>4.4000000000000004</v>
      </c>
      <c r="G294" s="52" t="str" cm="1">
        <f t="array" ref="G294">_xlfn.IFS(F294&gt;=4.5,"Excellent",AND(F294&gt;=3.5,F294&lt;=4.4),"Good",F294&lt;3.5,"Needs Improvement")</f>
        <v>Good</v>
      </c>
      <c r="M294" s="19">
        <v>93570</v>
      </c>
      <c r="N294" s="19">
        <v>96624</v>
      </c>
      <c r="O294" s="54" t="str">
        <f t="shared" si="102"/>
        <v>Yes</v>
      </c>
      <c r="Q294" s="19">
        <v>9.61</v>
      </c>
      <c r="R294" s="56" t="str">
        <f t="shared" si="90"/>
        <v>Yes</v>
      </c>
      <c r="W294" s="19" t="s">
        <v>305</v>
      </c>
      <c r="X294" s="54" t="str">
        <f>VLOOKUP(W294,Employees!$A$1:$B$601,2,FALSE)</f>
        <v>Bikash Behura</v>
      </c>
      <c r="Z294" s="3" t="s">
        <v>890</v>
      </c>
      <c r="AA294" s="54" t="str">
        <f t="shared" si="91"/>
        <v>0293</v>
      </c>
      <c r="AC294" s="3" t="s">
        <v>133</v>
      </c>
      <c r="AD294" s="54" t="str">
        <f t="shared" si="92"/>
        <v>Qa</v>
      </c>
      <c r="AF294" s="3" t="s">
        <v>280</v>
      </c>
      <c r="AG294" s="3" t="s">
        <v>133</v>
      </c>
      <c r="AH294" s="3" t="s">
        <v>172</v>
      </c>
      <c r="AI294" s="54" t="str">
        <f t="shared" si="93"/>
        <v>Amlan Behura|QA|TechNova Solutions</v>
      </c>
      <c r="AK294" s="3" t="s">
        <v>280</v>
      </c>
      <c r="AL294" s="38" t="str">
        <f t="shared" si="94"/>
        <v>A.B.</v>
      </c>
      <c r="AN294" s="19" t="s">
        <v>5060</v>
      </c>
      <c r="AO294" s="54" t="str">
        <f t="shared" si="95"/>
        <v>Naukri</v>
      </c>
      <c r="AQ294" s="3" t="s">
        <v>280</v>
      </c>
      <c r="AR294" s="52" t="str">
        <f t="shared" si="96"/>
        <v>NO</v>
      </c>
      <c r="AW294" s="54">
        <f ca="1">DATEDIF(BI294,TODAY(),"Y")</f>
        <v>4</v>
      </c>
      <c r="AX294" s="54"/>
      <c r="AY294" s="40" t="s">
        <v>2018</v>
      </c>
      <c r="AZ294" s="44">
        <f t="shared" si="97"/>
        <v>45617</v>
      </c>
      <c r="BA294" s="54" t="str">
        <f t="shared" si="98"/>
        <v>11-2024</v>
      </c>
      <c r="BH294" s="3" t="s">
        <v>891</v>
      </c>
      <c r="BI294" s="51">
        <f t="shared" si="103"/>
        <v>44668</v>
      </c>
      <c r="BJ294" s="38">
        <f t="shared" ca="1" si="104"/>
        <v>1130</v>
      </c>
      <c r="BK294" s="38"/>
      <c r="BL294" s="38" t="str">
        <f t="shared" si="105"/>
        <v>No</v>
      </c>
      <c r="BM294" s="59">
        <f t="shared" si="99"/>
        <v>45617</v>
      </c>
      <c r="BN294" s="51">
        <f t="shared" si="106"/>
        <v>44668</v>
      </c>
      <c r="BO294" s="54">
        <f t="shared" si="100"/>
        <v>949</v>
      </c>
      <c r="BP294" s="3" t="s">
        <v>890</v>
      </c>
      <c r="BQ294" s="3" t="s">
        <v>133</v>
      </c>
      <c r="BR294" s="19" t="s">
        <v>305</v>
      </c>
      <c r="BS294" s="19" t="s">
        <v>2839</v>
      </c>
      <c r="BT294" s="54" t="str">
        <f t="shared" si="101"/>
        <v>Sales</v>
      </c>
      <c r="BV294" s="3" t="s">
        <v>890</v>
      </c>
      <c r="BW294" s="3" t="s">
        <v>280</v>
      </c>
      <c r="CB294" s="19" t="s">
        <v>5233</v>
      </c>
      <c r="CC294" s="3" t="s">
        <v>280</v>
      </c>
      <c r="CD294" s="3" t="s">
        <v>134</v>
      </c>
      <c r="CE294" s="54" t="str">
        <v>Not Found</v>
      </c>
      <c r="CG294" s="54" t="str">
        <f>IFERROR(_xlfn.XLOOKUP(Hiring!A294,Hiring!A294:A693,Hiring!B294:B693,,0),"Not Found")</f>
        <v>Prasant Tripathy</v>
      </c>
    </row>
    <row r="295" spans="2:85">
      <c r="B295" s="100"/>
      <c r="F295" s="4">
        <v>3.3</v>
      </c>
      <c r="G295" s="52" t="str" cm="1">
        <f t="array" ref="G295">_xlfn.IFS(F295&gt;=4.5,"Excellent",AND(F295&gt;=3.5,F295&lt;=4.4),"Good",F295&lt;3.5,"Needs Improvement")</f>
        <v>Needs Improvement</v>
      </c>
      <c r="M295" s="18">
        <v>109848</v>
      </c>
      <c r="N295" s="18">
        <v>109621</v>
      </c>
      <c r="O295" s="54" t="str">
        <f t="shared" si="102"/>
        <v>Yes</v>
      </c>
      <c r="Q295" s="18">
        <v>6.77</v>
      </c>
      <c r="R295" s="56" t="str">
        <f t="shared" si="90"/>
        <v>Yes</v>
      </c>
      <c r="W295" s="18" t="s">
        <v>305</v>
      </c>
      <c r="X295" s="54" t="str">
        <f>VLOOKUP(W295,Employees!$A$1:$B$601,2,FALSE)</f>
        <v>Bikash Behura</v>
      </c>
      <c r="Z295" s="4" t="s">
        <v>892</v>
      </c>
      <c r="AA295" s="54" t="str">
        <f t="shared" si="91"/>
        <v>0294</v>
      </c>
      <c r="AC295" s="4" t="s">
        <v>63</v>
      </c>
      <c r="AD295" s="54" t="str">
        <f t="shared" si="92"/>
        <v>Product</v>
      </c>
      <c r="AF295" s="4" t="s">
        <v>534</v>
      </c>
      <c r="AG295" s="4" t="s">
        <v>63</v>
      </c>
      <c r="AH295" s="4" t="s">
        <v>53</v>
      </c>
      <c r="AI295" s="54" t="str">
        <f t="shared" si="93"/>
        <v>Tanmay Pattnaik|Product|BlueLotus IT</v>
      </c>
      <c r="AK295" s="4" t="s">
        <v>534</v>
      </c>
      <c r="AL295" s="38" t="str">
        <f t="shared" si="94"/>
        <v>T.P.</v>
      </c>
      <c r="AN295" s="18" t="s">
        <v>5019</v>
      </c>
      <c r="AO295" s="54" t="str">
        <f t="shared" si="95"/>
        <v>Linkedln</v>
      </c>
      <c r="AQ295" s="4" t="s">
        <v>534</v>
      </c>
      <c r="AR295" s="52" t="str">
        <f t="shared" si="96"/>
        <v>NO</v>
      </c>
      <c r="AW295" s="54">
        <f ca="1">DATEDIF(BI295,TODAY(),"Y")</f>
        <v>4</v>
      </c>
      <c r="AX295" s="54"/>
      <c r="AY295" s="41" t="s">
        <v>5547</v>
      </c>
      <c r="AZ295" s="44">
        <f t="shared" si="97"/>
        <v>45376</v>
      </c>
      <c r="BA295" s="54" t="str">
        <f t="shared" si="98"/>
        <v>3-2024</v>
      </c>
      <c r="BH295" s="4" t="s">
        <v>893</v>
      </c>
      <c r="BI295" s="51">
        <f t="shared" si="103"/>
        <v>44514</v>
      </c>
      <c r="BJ295" s="38">
        <f t="shared" ca="1" si="104"/>
        <v>1240</v>
      </c>
      <c r="BK295" s="38"/>
      <c r="BL295" s="38" t="str">
        <f t="shared" si="105"/>
        <v>No</v>
      </c>
      <c r="BM295" s="59">
        <f t="shared" si="99"/>
        <v>45376</v>
      </c>
      <c r="BN295" s="51">
        <f t="shared" si="106"/>
        <v>44514</v>
      </c>
      <c r="BO295" s="54">
        <f t="shared" si="100"/>
        <v>862</v>
      </c>
      <c r="BP295" s="4" t="s">
        <v>892</v>
      </c>
      <c r="BQ295" s="4" t="s">
        <v>63</v>
      </c>
      <c r="BR295" s="18" t="s">
        <v>305</v>
      </c>
      <c r="BS295" s="18" t="s">
        <v>2840</v>
      </c>
      <c r="BT295" s="54" t="str">
        <f t="shared" si="101"/>
        <v>Sales</v>
      </c>
      <c r="BV295" s="4" t="s">
        <v>892</v>
      </c>
      <c r="BW295" s="4" t="s">
        <v>534</v>
      </c>
      <c r="CB295" s="18" t="s">
        <v>798</v>
      </c>
      <c r="CC295" s="4" t="s">
        <v>534</v>
      </c>
      <c r="CD295" s="4" t="s">
        <v>225</v>
      </c>
      <c r="CE295" s="54" t="str">
        <v>Data Scientist</v>
      </c>
      <c r="CG295" s="54" t="str">
        <f>IFERROR(_xlfn.XLOOKUP(Hiring!A295,Hiring!A295:A694,Hiring!B295:B694,,0),"Not Found")</f>
        <v>Sudhansu Ratha</v>
      </c>
    </row>
    <row r="296" spans="2:85">
      <c r="B296" s="100"/>
      <c r="F296" s="3">
        <v>4.8</v>
      </c>
      <c r="G296" s="52" t="str" cm="1">
        <f t="array" ref="G296">_xlfn.IFS(F296&gt;=4.5,"Excellent",AND(F296&gt;=3.5,F296&lt;=4.4),"Good",F296&lt;3.5,"Needs Improvement")</f>
        <v>Excellent</v>
      </c>
      <c r="M296" s="19">
        <v>180080</v>
      </c>
      <c r="N296" s="19">
        <v>159474</v>
      </c>
      <c r="O296" s="54" t="str">
        <f t="shared" si="102"/>
        <v>Yes</v>
      </c>
      <c r="Q296" s="19">
        <v>8.4499999999999993</v>
      </c>
      <c r="R296" s="56" t="str">
        <f t="shared" si="90"/>
        <v>Yes</v>
      </c>
      <c r="W296" s="19" t="s">
        <v>305</v>
      </c>
      <c r="X296" s="54" t="str">
        <f>VLOOKUP(W296,Employees!$A$1:$B$601,2,FALSE)</f>
        <v>Bikash Behura</v>
      </c>
      <c r="Z296" s="3" t="s">
        <v>894</v>
      </c>
      <c r="AA296" s="54" t="str">
        <f t="shared" si="91"/>
        <v>0295</v>
      </c>
      <c r="AC296" s="3" t="s">
        <v>63</v>
      </c>
      <c r="AD296" s="54" t="str">
        <f t="shared" si="92"/>
        <v>Product</v>
      </c>
      <c r="AF296" s="3" t="s">
        <v>341</v>
      </c>
      <c r="AG296" s="3" t="s">
        <v>63</v>
      </c>
      <c r="AH296" s="3" t="s">
        <v>75</v>
      </c>
      <c r="AI296" s="54" t="str">
        <f t="shared" si="93"/>
        <v>Jyotirmayee Sahoo|Product|KalingaTech Pvt Ltd</v>
      </c>
      <c r="AK296" s="3" t="s">
        <v>341</v>
      </c>
      <c r="AL296" s="38" t="str">
        <f t="shared" si="94"/>
        <v>J.S.</v>
      </c>
      <c r="AN296" s="19" t="s">
        <v>5060</v>
      </c>
      <c r="AO296" s="54" t="str">
        <f t="shared" si="95"/>
        <v>Naukri</v>
      </c>
      <c r="AQ296" s="3" t="s">
        <v>341</v>
      </c>
      <c r="AR296" s="52" t="str">
        <f t="shared" si="96"/>
        <v>NO</v>
      </c>
      <c r="AW296" s="54">
        <f ca="1">DATEDIF(BI296,TODAY(),"Y")</f>
        <v>7</v>
      </c>
      <c r="AX296" s="54"/>
      <c r="AY296" s="40" t="s">
        <v>2037</v>
      </c>
      <c r="AZ296" s="44">
        <f t="shared" si="97"/>
        <v>45212</v>
      </c>
      <c r="BA296" s="54" t="str">
        <f t="shared" si="98"/>
        <v>10-2023</v>
      </c>
      <c r="BH296" s="3" t="s">
        <v>895</v>
      </c>
      <c r="BI296" s="51">
        <f t="shared" si="103"/>
        <v>43570</v>
      </c>
      <c r="BJ296" s="38">
        <f t="shared" ca="1" si="104"/>
        <v>1915</v>
      </c>
      <c r="BK296" s="38"/>
      <c r="BL296" s="38" t="str">
        <f t="shared" si="105"/>
        <v>No</v>
      </c>
      <c r="BM296" s="59">
        <f t="shared" si="99"/>
        <v>45212</v>
      </c>
      <c r="BN296" s="51">
        <f t="shared" si="106"/>
        <v>43570</v>
      </c>
      <c r="BO296" s="54">
        <f t="shared" si="100"/>
        <v>1642</v>
      </c>
      <c r="BP296" s="3" t="s">
        <v>894</v>
      </c>
      <c r="BQ296" s="3" t="s">
        <v>63</v>
      </c>
      <c r="BR296" s="19" t="s">
        <v>305</v>
      </c>
      <c r="BS296" s="19" t="s">
        <v>2842</v>
      </c>
      <c r="BT296" s="54" t="str">
        <f t="shared" si="101"/>
        <v>Sales</v>
      </c>
      <c r="BV296" s="3" t="s">
        <v>894</v>
      </c>
      <c r="BW296" s="3" t="s">
        <v>341</v>
      </c>
      <c r="CB296" s="19" t="s">
        <v>1323</v>
      </c>
      <c r="CC296" s="3" t="s">
        <v>341</v>
      </c>
      <c r="CD296" s="3" t="s">
        <v>64</v>
      </c>
      <c r="CE296" s="54" t="str">
        <v>Digital Marketer</v>
      </c>
      <c r="CG296" s="54" t="str">
        <f>IFERROR(_xlfn.XLOOKUP(Hiring!A296,Hiring!A296:A695,Hiring!B296:B695,,0),"Not Found")</f>
        <v>Namita Ratha</v>
      </c>
    </row>
    <row r="297" spans="2:85">
      <c r="B297" s="100"/>
      <c r="F297" s="4">
        <v>4.8</v>
      </c>
      <c r="G297" s="52" t="str" cm="1">
        <f t="array" ref="G297">_xlfn.IFS(F297&gt;=4.5,"Excellent",AND(F297&gt;=3.5,F297&lt;=4.4),"Good",F297&lt;3.5,"Needs Improvement")</f>
        <v>Excellent</v>
      </c>
      <c r="M297" s="18">
        <v>166550</v>
      </c>
      <c r="N297" s="18">
        <v>156595</v>
      </c>
      <c r="O297" s="54" t="str">
        <f t="shared" si="102"/>
        <v>Yes</v>
      </c>
      <c r="Q297" s="18">
        <v>8.61</v>
      </c>
      <c r="R297" s="56" t="str">
        <f t="shared" si="90"/>
        <v>Yes</v>
      </c>
      <c r="W297" s="18" t="s">
        <v>305</v>
      </c>
      <c r="X297" s="54" t="str">
        <f>VLOOKUP(W297,Employees!$A$1:$B$601,2,FALSE)</f>
        <v>Bikash Behura</v>
      </c>
      <c r="Z297" s="4" t="s">
        <v>896</v>
      </c>
      <c r="AA297" s="54" t="str">
        <f t="shared" si="91"/>
        <v>0296</v>
      </c>
      <c r="AC297" s="4" t="s">
        <v>51</v>
      </c>
      <c r="AD297" s="54" t="str">
        <f t="shared" si="92"/>
        <v>Sales</v>
      </c>
      <c r="AF297" s="4" t="s">
        <v>733</v>
      </c>
      <c r="AG297" s="4" t="s">
        <v>51</v>
      </c>
      <c r="AH297" s="4" t="s">
        <v>149</v>
      </c>
      <c r="AI297" s="54" t="str">
        <f t="shared" si="93"/>
        <v>Chinmaya Sahu|Sales|SilverByte Systems</v>
      </c>
      <c r="AK297" s="4" t="s">
        <v>733</v>
      </c>
      <c r="AL297" s="38" t="str">
        <f t="shared" si="94"/>
        <v>C.S.</v>
      </c>
      <c r="AN297" s="18" t="s">
        <v>5031</v>
      </c>
      <c r="AO297" s="54" t="b">
        <f t="shared" si="95"/>
        <v>0</v>
      </c>
      <c r="AQ297" s="4" t="s">
        <v>733</v>
      </c>
      <c r="AR297" s="52" t="str">
        <f t="shared" si="96"/>
        <v>NO</v>
      </c>
      <c r="AW297" s="54">
        <f ca="1">DATEDIF(BI297,TODAY(),"Y")</f>
        <v>5</v>
      </c>
      <c r="AX297" s="54"/>
      <c r="AY297" s="41" t="s">
        <v>5474</v>
      </c>
      <c r="AZ297" s="44">
        <f t="shared" si="97"/>
        <v>45285</v>
      </c>
      <c r="BA297" s="54" t="str">
        <f t="shared" si="98"/>
        <v>12-2023</v>
      </c>
      <c r="BH297" s="4" t="s">
        <v>897</v>
      </c>
      <c r="BI297" s="51">
        <f t="shared" si="103"/>
        <v>44110</v>
      </c>
      <c r="BJ297" s="38">
        <f t="shared" ca="1" si="104"/>
        <v>1529</v>
      </c>
      <c r="BK297" s="38"/>
      <c r="BL297" s="38" t="str">
        <f t="shared" si="105"/>
        <v>No</v>
      </c>
      <c r="BM297" s="59">
        <f t="shared" si="99"/>
        <v>45285</v>
      </c>
      <c r="BN297" s="51">
        <f t="shared" si="106"/>
        <v>44110</v>
      </c>
      <c r="BO297" s="54">
        <f t="shared" si="100"/>
        <v>1175</v>
      </c>
      <c r="BP297" s="4" t="s">
        <v>896</v>
      </c>
      <c r="BQ297" s="4" t="s">
        <v>51</v>
      </c>
      <c r="BR297" s="18" t="s">
        <v>305</v>
      </c>
      <c r="BS297" s="18" t="s">
        <v>2844</v>
      </c>
      <c r="BT297" s="54" t="str">
        <f t="shared" si="101"/>
        <v>Sales</v>
      </c>
      <c r="BV297" s="4" t="s">
        <v>896</v>
      </c>
      <c r="BW297" s="4" t="s">
        <v>733</v>
      </c>
      <c r="CB297" s="18" t="s">
        <v>631</v>
      </c>
      <c r="CC297" s="4" t="s">
        <v>733</v>
      </c>
      <c r="CD297" s="4" t="s">
        <v>105</v>
      </c>
      <c r="CE297" s="54" t="str">
        <v>Content Strategist</v>
      </c>
      <c r="CG297" s="54" t="str">
        <f>IFERROR(_xlfn.XLOOKUP(Hiring!A297,Hiring!A297:A696,Hiring!B297:B696,,0),"Not Found")</f>
        <v>Nirmal Mishra</v>
      </c>
    </row>
    <row r="298" spans="2:85">
      <c r="B298" s="100"/>
      <c r="F298" s="3">
        <v>0</v>
      </c>
      <c r="G298" s="52" t="str" cm="1">
        <f t="array" ref="G298">_xlfn.IFS(F298&gt;=4.5,"Excellent",AND(F298&gt;=3.5,F298&lt;=4.4),"Good",F298&lt;3.5,"Needs Improvement")</f>
        <v>Needs Improvement</v>
      </c>
      <c r="M298" s="19">
        <v>93409</v>
      </c>
      <c r="N298" s="19">
        <v>93040</v>
      </c>
      <c r="O298" s="54" t="str">
        <f t="shared" si="102"/>
        <v>Yes</v>
      </c>
      <c r="Q298" s="19">
        <v>7.07</v>
      </c>
      <c r="R298" s="56" t="str">
        <f t="shared" si="90"/>
        <v>Yes</v>
      </c>
      <c r="W298" s="19" t="s">
        <v>305</v>
      </c>
      <c r="X298" s="54" t="str">
        <f>VLOOKUP(W298,Employees!$A$1:$B$601,2,FALSE)</f>
        <v>Bikash Behura</v>
      </c>
      <c r="Z298" s="3" t="s">
        <v>898</v>
      </c>
      <c r="AA298" s="54" t="str">
        <f t="shared" si="91"/>
        <v>0297</v>
      </c>
      <c r="AC298" s="3" t="s">
        <v>410</v>
      </c>
      <c r="AD298" s="54" t="str">
        <f t="shared" si="92"/>
        <v>Sales</v>
      </c>
      <c r="AF298" s="3" t="s">
        <v>50</v>
      </c>
      <c r="AG298" s="3" t="s">
        <v>410</v>
      </c>
      <c r="AH298" s="3" t="s">
        <v>32</v>
      </c>
      <c r="AI298" s="54" t="str">
        <f t="shared" si="93"/>
        <v>Tapas Sahu|sales|NilGiri Digitals</v>
      </c>
      <c r="AK298" s="3" t="s">
        <v>50</v>
      </c>
      <c r="AL298" s="38" t="str">
        <f t="shared" si="94"/>
        <v>T.S.</v>
      </c>
      <c r="AN298" s="19" t="s">
        <v>5077</v>
      </c>
      <c r="AO298" s="54" t="b">
        <f t="shared" si="95"/>
        <v>0</v>
      </c>
      <c r="AQ298" s="3" t="s">
        <v>50</v>
      </c>
      <c r="AR298" s="52" t="str">
        <f t="shared" si="96"/>
        <v>NO</v>
      </c>
      <c r="AW298" s="54">
        <f ca="1">DATEDIF(BI298,TODAY(),"Y")</f>
        <v>5</v>
      </c>
      <c r="AX298" s="54"/>
      <c r="AY298" s="40" t="s">
        <v>1837</v>
      </c>
      <c r="AZ298" s="44">
        <f t="shared" si="97"/>
        <v>44988</v>
      </c>
      <c r="BA298" s="54" t="str">
        <f t="shared" si="98"/>
        <v>3-2023</v>
      </c>
      <c r="BH298" s="3" t="s">
        <v>899</v>
      </c>
      <c r="BI298" s="51">
        <f t="shared" si="103"/>
        <v>44207</v>
      </c>
      <c r="BJ298" s="38">
        <f t="shared" ca="1" si="104"/>
        <v>1460</v>
      </c>
      <c r="BK298" s="38"/>
      <c r="BL298" s="38" t="str">
        <f t="shared" si="105"/>
        <v>Q1</v>
      </c>
      <c r="BM298" s="59">
        <f t="shared" si="99"/>
        <v>44988</v>
      </c>
      <c r="BN298" s="51">
        <f t="shared" si="106"/>
        <v>44207</v>
      </c>
      <c r="BO298" s="54">
        <f t="shared" si="100"/>
        <v>781</v>
      </c>
      <c r="BP298" s="3" t="s">
        <v>898</v>
      </c>
      <c r="BQ298" s="3" t="s">
        <v>410</v>
      </c>
      <c r="BR298" s="19" t="s">
        <v>305</v>
      </c>
      <c r="BS298" s="19" t="s">
        <v>2846</v>
      </c>
      <c r="BT298" s="54" t="str">
        <f t="shared" si="101"/>
        <v>Sales</v>
      </c>
      <c r="BV298" s="3" t="s">
        <v>898</v>
      </c>
      <c r="BW298" s="3" t="s">
        <v>50</v>
      </c>
      <c r="CB298" s="19" t="s">
        <v>5261</v>
      </c>
      <c r="CC298" s="3" t="s">
        <v>50</v>
      </c>
      <c r="CD298" s="3" t="s">
        <v>52</v>
      </c>
      <c r="CE298" s="54" t="str">
        <v>Not Found</v>
      </c>
      <c r="CG298" s="54" t="str">
        <f>IFERROR(_xlfn.XLOOKUP(Hiring!A298,Hiring!A298:A697,Hiring!B298:B697,,0),"Not Found")</f>
        <v>Sangita Tripathy</v>
      </c>
    </row>
    <row r="299" spans="2:85">
      <c r="B299" s="100"/>
      <c r="F299" s="4">
        <v>4.4000000000000004</v>
      </c>
      <c r="G299" s="52" t="str" cm="1">
        <f t="array" ref="G299">_xlfn.IFS(F299&gt;=4.5,"Excellent",AND(F299&gt;=3.5,F299&lt;=4.4),"Good",F299&lt;3.5,"Needs Improvement")</f>
        <v>Good</v>
      </c>
      <c r="M299" s="18"/>
      <c r="N299" s="18">
        <v>66731</v>
      </c>
      <c r="O299" s="54" t="str">
        <f t="shared" si="102"/>
        <v>Yes</v>
      </c>
      <c r="Q299" s="18">
        <v>8.26</v>
      </c>
      <c r="R299" s="56" t="str">
        <f t="shared" si="90"/>
        <v>Yes</v>
      </c>
      <c r="W299" s="18" t="s">
        <v>305</v>
      </c>
      <c r="X299" s="54" t="str">
        <f>VLOOKUP(W299,Employees!$A$1:$B$601,2,FALSE)</f>
        <v>Bikash Behura</v>
      </c>
      <c r="Z299" s="4" t="s">
        <v>900</v>
      </c>
      <c r="AA299" s="54" t="str">
        <f t="shared" si="91"/>
        <v>0298</v>
      </c>
      <c r="AC299" s="4" t="s">
        <v>63</v>
      </c>
      <c r="AD299" s="54" t="str">
        <f t="shared" si="92"/>
        <v>Product</v>
      </c>
      <c r="AF299" s="4" t="s">
        <v>901</v>
      </c>
      <c r="AG299" s="4" t="s">
        <v>63</v>
      </c>
      <c r="AH299" s="4" t="s">
        <v>53</v>
      </c>
      <c r="AI299" s="54" t="str">
        <f t="shared" si="93"/>
        <v>Ankita Dhal|Product|BlueLotus IT</v>
      </c>
      <c r="AK299" s="4" t="s">
        <v>901</v>
      </c>
      <c r="AL299" s="38" t="str">
        <f t="shared" si="94"/>
        <v>A.D.</v>
      </c>
      <c r="AN299" s="18" t="s">
        <v>5051</v>
      </c>
      <c r="AO299" s="54" t="str">
        <f t="shared" si="95"/>
        <v>Naukri</v>
      </c>
      <c r="AQ299" s="4" t="s">
        <v>901</v>
      </c>
      <c r="AR299" s="52" t="str">
        <f t="shared" si="96"/>
        <v>NO</v>
      </c>
      <c r="AW299" s="54">
        <f ca="1">DATEDIF(BI299,TODAY(),"Y")</f>
        <v>3</v>
      </c>
      <c r="AX299" s="54"/>
      <c r="AY299" s="41" t="s">
        <v>1892</v>
      </c>
      <c r="AZ299" s="44">
        <f t="shared" si="97"/>
        <v>45064</v>
      </c>
      <c r="BA299" s="54" t="str">
        <f t="shared" si="98"/>
        <v>5-2023</v>
      </c>
      <c r="BH299" s="4" t="s">
        <v>902</v>
      </c>
      <c r="BI299" s="51">
        <f t="shared" si="103"/>
        <v>44863</v>
      </c>
      <c r="BJ299" s="38">
        <f t="shared" ca="1" si="104"/>
        <v>990</v>
      </c>
      <c r="BK299" s="38"/>
      <c r="BL299" s="38" t="str">
        <f t="shared" si="105"/>
        <v>No</v>
      </c>
      <c r="BM299" s="59">
        <f t="shared" si="99"/>
        <v>45064</v>
      </c>
      <c r="BN299" s="51">
        <f t="shared" si="106"/>
        <v>44863</v>
      </c>
      <c r="BO299" s="54">
        <f t="shared" si="100"/>
        <v>201</v>
      </c>
      <c r="BP299" s="4" t="s">
        <v>900</v>
      </c>
      <c r="BQ299" s="4" t="s">
        <v>63</v>
      </c>
      <c r="BR299" s="18" t="s">
        <v>305</v>
      </c>
      <c r="BS299" s="18" t="s">
        <v>2848</v>
      </c>
      <c r="BT299" s="54" t="str">
        <f t="shared" si="101"/>
        <v>Sales</v>
      </c>
      <c r="BV299" s="4" t="s">
        <v>900</v>
      </c>
      <c r="BW299" s="4" t="s">
        <v>901</v>
      </c>
      <c r="CB299" s="18" t="s">
        <v>1051</v>
      </c>
      <c r="CC299" s="4" t="s">
        <v>901</v>
      </c>
      <c r="CD299" s="4" t="s">
        <v>64</v>
      </c>
      <c r="CE299" s="54" t="str">
        <v>Tech Lead</v>
      </c>
      <c r="CG299" s="54" t="str">
        <f>IFERROR(_xlfn.XLOOKUP(Hiring!A299,Hiring!A299:A698,Hiring!B299:B698,,0),"Not Found")</f>
        <v>Sangita Sahu</v>
      </c>
    </row>
    <row r="300" spans="2:85">
      <c r="B300" s="100"/>
      <c r="F300" s="3">
        <v>2.7</v>
      </c>
      <c r="G300" s="52" t="str" cm="1">
        <f t="array" ref="G300">_xlfn.IFS(F300&gt;=4.5,"Excellent",AND(F300&gt;=3.5,F300&lt;=4.4),"Good",F300&lt;3.5,"Needs Improvement")</f>
        <v>Needs Improvement</v>
      </c>
      <c r="M300" s="19">
        <v>56728</v>
      </c>
      <c r="N300" s="19">
        <v>63519</v>
      </c>
      <c r="O300" s="54" t="str">
        <f t="shared" si="102"/>
        <v>Yes</v>
      </c>
      <c r="Q300" s="19">
        <v>7.02</v>
      </c>
      <c r="R300" s="56" t="str">
        <f t="shared" si="90"/>
        <v>Yes</v>
      </c>
      <c r="W300" s="19" t="s">
        <v>305</v>
      </c>
      <c r="X300" s="54" t="str">
        <f>VLOOKUP(W300,Employees!$A$1:$B$601,2,FALSE)</f>
        <v>Bikash Behura</v>
      </c>
      <c r="Z300" s="3" t="s">
        <v>903</v>
      </c>
      <c r="AA300" s="54" t="str">
        <f t="shared" si="91"/>
        <v>0299</v>
      </c>
      <c r="AC300" s="3" t="s">
        <v>24</v>
      </c>
      <c r="AD300" s="54" t="str">
        <f t="shared" si="92"/>
        <v>Design</v>
      </c>
      <c r="AF300" s="3" t="s">
        <v>904</v>
      </c>
      <c r="AG300" s="3" t="s">
        <v>24</v>
      </c>
      <c r="AH300" s="3" t="s">
        <v>75</v>
      </c>
      <c r="AI300" s="54" t="str">
        <f t="shared" si="93"/>
        <v>Sangita Choudhury|Design|KalingaTech Pvt Ltd</v>
      </c>
      <c r="AK300" s="3" t="s">
        <v>904</v>
      </c>
      <c r="AL300" s="38" t="str">
        <f t="shared" si="94"/>
        <v>S.C.</v>
      </c>
      <c r="AN300" s="19" t="s">
        <v>5051</v>
      </c>
      <c r="AO300" s="54" t="str">
        <f t="shared" si="95"/>
        <v>Naukri</v>
      </c>
      <c r="AQ300" s="3" t="s">
        <v>904</v>
      </c>
      <c r="AR300" s="52" t="str">
        <f t="shared" si="96"/>
        <v>NO</v>
      </c>
      <c r="AW300" s="54">
        <f ca="1">DATEDIF(BI300,TODAY(),"Y")</f>
        <v>7</v>
      </c>
      <c r="AX300" s="54"/>
      <c r="AY300" s="40" t="s">
        <v>5106</v>
      </c>
      <c r="AZ300" s="44">
        <f t="shared" si="97"/>
        <v>45584</v>
      </c>
      <c r="BA300" s="54" t="str">
        <f t="shared" si="98"/>
        <v>10-2024</v>
      </c>
      <c r="BH300" s="3" t="s">
        <v>905</v>
      </c>
      <c r="BI300" s="51">
        <f t="shared" si="103"/>
        <v>43680</v>
      </c>
      <c r="BJ300" s="38">
        <f t="shared" ca="1" si="104"/>
        <v>1835</v>
      </c>
      <c r="BK300" s="38"/>
      <c r="BL300" s="38" t="str">
        <f t="shared" si="105"/>
        <v>No</v>
      </c>
      <c r="BM300" s="59">
        <f t="shared" si="99"/>
        <v>45584</v>
      </c>
      <c r="BN300" s="51">
        <f t="shared" si="106"/>
        <v>43680</v>
      </c>
      <c r="BO300" s="54">
        <f t="shared" si="100"/>
        <v>1904</v>
      </c>
      <c r="BP300" s="3" t="s">
        <v>903</v>
      </c>
      <c r="BQ300" s="3" t="s">
        <v>24</v>
      </c>
      <c r="BR300" s="19" t="s">
        <v>305</v>
      </c>
      <c r="BS300" s="19" t="s">
        <v>2851</v>
      </c>
      <c r="BT300" s="54" t="str">
        <f t="shared" si="101"/>
        <v>Sales</v>
      </c>
      <c r="BV300" s="3" t="s">
        <v>903</v>
      </c>
      <c r="BW300" s="3" t="s">
        <v>904</v>
      </c>
      <c r="CB300" s="19" t="s">
        <v>420</v>
      </c>
      <c r="CC300" s="3" t="s">
        <v>904</v>
      </c>
      <c r="CD300" s="3" t="s">
        <v>94</v>
      </c>
      <c r="CE300" s="54" t="str">
        <v>HR Manager</v>
      </c>
      <c r="CG300" s="54" t="str">
        <f>IFERROR(_xlfn.XLOOKUP(Hiring!A300,Hiring!A300:A699,Hiring!B300:B699,,0),"Not Found")</f>
        <v>Satyajit Mishra</v>
      </c>
    </row>
    <row r="301" spans="2:85">
      <c r="B301" s="100"/>
      <c r="F301" s="4">
        <v>2.9</v>
      </c>
      <c r="G301" s="52" t="str" cm="1">
        <f t="array" ref="G301">_xlfn.IFS(F301&gt;=4.5,"Excellent",AND(F301&gt;=3.5,F301&lt;=4.4),"Good",F301&lt;3.5,"Needs Improvement")</f>
        <v>Needs Improvement</v>
      </c>
      <c r="M301" s="18">
        <v>75211</v>
      </c>
      <c r="N301" s="18">
        <v>88380</v>
      </c>
      <c r="O301" s="54" t="str">
        <f t="shared" si="102"/>
        <v>Yes</v>
      </c>
      <c r="Q301" s="18"/>
      <c r="R301" s="56" t="str">
        <f t="shared" si="90"/>
        <v>No</v>
      </c>
      <c r="W301" s="18" t="s">
        <v>305</v>
      </c>
      <c r="X301" s="54" t="str">
        <f>VLOOKUP(W301,Employees!$A$1:$B$601,2,FALSE)</f>
        <v>Bikash Behura</v>
      </c>
      <c r="Z301" s="4" t="s">
        <v>906</v>
      </c>
      <c r="AA301" s="54" t="str">
        <f t="shared" si="91"/>
        <v>0300</v>
      </c>
      <c r="AC301" s="4" t="s">
        <v>176</v>
      </c>
      <c r="AD301" s="54" t="str">
        <f t="shared" si="92"/>
        <v>Finance</v>
      </c>
      <c r="AF301" s="4" t="s">
        <v>907</v>
      </c>
      <c r="AG301" s="4" t="s">
        <v>176</v>
      </c>
      <c r="AH301" s="4" t="s">
        <v>114</v>
      </c>
      <c r="AI301" s="54" t="str">
        <f t="shared" si="93"/>
        <v>Amlan Pattnaik|Finance|UtkalSoft Technologies</v>
      </c>
      <c r="AK301" s="4" t="s">
        <v>907</v>
      </c>
      <c r="AL301" s="38" t="str">
        <f t="shared" si="94"/>
        <v>A.P.</v>
      </c>
      <c r="AN301" s="18" t="s">
        <v>5031</v>
      </c>
      <c r="AO301" s="54" t="b">
        <f t="shared" si="95"/>
        <v>0</v>
      </c>
      <c r="AQ301" s="4" t="s">
        <v>907</v>
      </c>
      <c r="AR301" s="52" t="str">
        <f t="shared" si="96"/>
        <v>NO</v>
      </c>
      <c r="AW301" s="54">
        <f ca="1">DATEDIF(BI301,TODAY(),"Y")</f>
        <v>3</v>
      </c>
      <c r="AX301" s="54"/>
      <c r="AY301" s="41" t="s">
        <v>474</v>
      </c>
      <c r="AZ301" s="44">
        <f t="shared" si="97"/>
        <v>45314</v>
      </c>
      <c r="BA301" s="54" t="str">
        <f t="shared" si="98"/>
        <v>1-2024</v>
      </c>
      <c r="BH301" s="4" t="s">
        <v>908</v>
      </c>
      <c r="BI301" s="51">
        <f t="shared" si="103"/>
        <v>45029</v>
      </c>
      <c r="BJ301" s="38">
        <f t="shared" ca="1" si="104"/>
        <v>872</v>
      </c>
      <c r="BK301" s="38"/>
      <c r="BL301" s="38" t="str">
        <f t="shared" si="105"/>
        <v>No</v>
      </c>
      <c r="BM301" s="59">
        <f t="shared" si="99"/>
        <v>45314</v>
      </c>
      <c r="BN301" s="51">
        <f t="shared" si="106"/>
        <v>45029</v>
      </c>
      <c r="BO301" s="54">
        <f t="shared" si="100"/>
        <v>285</v>
      </c>
      <c r="BP301" s="4" t="s">
        <v>906</v>
      </c>
      <c r="BQ301" s="4" t="s">
        <v>176</v>
      </c>
      <c r="BR301" s="18" t="s">
        <v>305</v>
      </c>
      <c r="BS301" s="18" t="s">
        <v>2852</v>
      </c>
      <c r="BT301" s="54" t="str">
        <f t="shared" si="101"/>
        <v>Sales</v>
      </c>
      <c r="BV301" s="4" t="s">
        <v>906</v>
      </c>
      <c r="BW301" s="4" t="s">
        <v>907</v>
      </c>
      <c r="CB301" s="18" t="s">
        <v>5587</v>
      </c>
      <c r="CC301" s="4" t="s">
        <v>907</v>
      </c>
      <c r="CD301" s="4" t="s">
        <v>359</v>
      </c>
      <c r="CE301" s="54" t="str">
        <v>Not Found</v>
      </c>
      <c r="CG301" s="54" t="str">
        <f>IFERROR(_xlfn.XLOOKUP(Hiring!A301,Hiring!A301:A700,Hiring!B301:B700,,0),"Not Found")</f>
        <v>Abhishek Sahoo</v>
      </c>
    </row>
    <row r="302" spans="2:85">
      <c r="B302" s="100"/>
      <c r="F302" s="3">
        <v>2.4</v>
      </c>
      <c r="G302" s="52" t="str" cm="1">
        <f t="array" ref="G302">_xlfn.IFS(F302&gt;=4.5,"Excellent",AND(F302&gt;=3.5,F302&lt;=4.4),"Good",F302&lt;3.5,"Needs Improvement")</f>
        <v>Needs Improvement</v>
      </c>
      <c r="M302" s="19">
        <v>116805</v>
      </c>
      <c r="N302" s="19"/>
      <c r="O302" s="54" t="str">
        <f t="shared" si="102"/>
        <v>Yes</v>
      </c>
      <c r="Q302" s="19">
        <v>11.24</v>
      </c>
      <c r="R302" s="56" t="str">
        <f t="shared" si="90"/>
        <v>Yes</v>
      </c>
      <c r="W302" s="19" t="s">
        <v>305</v>
      </c>
      <c r="X302" s="54" t="str">
        <f>VLOOKUP(W302,Employees!$A$1:$B$601,2,FALSE)</f>
        <v>Bikash Behura</v>
      </c>
      <c r="Z302" s="3" t="s">
        <v>909</v>
      </c>
      <c r="AA302" s="54" t="str">
        <f t="shared" si="91"/>
        <v>0301</v>
      </c>
      <c r="AC302" s="3" t="s">
        <v>89</v>
      </c>
      <c r="AD302" s="54" t="str">
        <f t="shared" si="92"/>
        <v>Data Science</v>
      </c>
      <c r="AF302" s="3" t="s">
        <v>297</v>
      </c>
      <c r="AG302" s="3" t="s">
        <v>89</v>
      </c>
      <c r="AH302" s="3" t="s">
        <v>46</v>
      </c>
      <c r="AI302" s="54" t="str">
        <f t="shared" si="93"/>
        <v>Debasmita Sahoo|Data Science|SambalpurNet</v>
      </c>
      <c r="AK302" s="3" t="s">
        <v>297</v>
      </c>
      <c r="AL302" s="38" t="str">
        <f t="shared" si="94"/>
        <v>D.S.</v>
      </c>
      <c r="AN302" s="19" t="s">
        <v>5051</v>
      </c>
      <c r="AO302" s="54" t="str">
        <f t="shared" si="95"/>
        <v>Naukri</v>
      </c>
      <c r="AQ302" s="3" t="s">
        <v>297</v>
      </c>
      <c r="AR302" s="52" t="str">
        <f t="shared" si="96"/>
        <v>NO</v>
      </c>
      <c r="AW302" s="54">
        <f ca="1">DATEDIF(BI302,TODAY(),"Y")</f>
        <v>6</v>
      </c>
      <c r="AX302" s="54"/>
      <c r="AY302" s="40" t="s">
        <v>5590</v>
      </c>
      <c r="AZ302" s="44">
        <f t="shared" si="97"/>
        <v>45321</v>
      </c>
      <c r="BA302" s="54" t="str">
        <f t="shared" si="98"/>
        <v>1-2024</v>
      </c>
      <c r="BH302" s="3" t="s">
        <v>910</v>
      </c>
      <c r="BI302" s="51">
        <f t="shared" si="103"/>
        <v>43749</v>
      </c>
      <c r="BJ302" s="38">
        <f t="shared" ca="1" si="104"/>
        <v>1786</v>
      </c>
      <c r="BK302" s="38"/>
      <c r="BL302" s="38" t="str">
        <f t="shared" si="105"/>
        <v>No</v>
      </c>
      <c r="BM302" s="59">
        <f t="shared" si="99"/>
        <v>45321</v>
      </c>
      <c r="BN302" s="51">
        <f t="shared" si="106"/>
        <v>43749</v>
      </c>
      <c r="BO302" s="54">
        <f t="shared" si="100"/>
        <v>1572</v>
      </c>
      <c r="BP302" s="3" t="s">
        <v>909</v>
      </c>
      <c r="BQ302" s="3" t="s">
        <v>89</v>
      </c>
      <c r="BR302" s="19" t="s">
        <v>305</v>
      </c>
      <c r="BS302" s="19" t="s">
        <v>2853</v>
      </c>
      <c r="BT302" s="54" t="str">
        <f t="shared" si="101"/>
        <v>Sales</v>
      </c>
      <c r="BV302" s="3" t="s">
        <v>909</v>
      </c>
      <c r="BW302" s="3" t="s">
        <v>297</v>
      </c>
      <c r="CB302" s="19" t="s">
        <v>5589</v>
      </c>
      <c r="CC302" s="3" t="s">
        <v>297</v>
      </c>
      <c r="CD302" s="3" t="s">
        <v>90</v>
      </c>
      <c r="CE302" s="54" t="str">
        <v>Not Found</v>
      </c>
      <c r="CG302" s="54" t="str">
        <f>IFERROR(_xlfn.XLOOKUP(Hiring!A302,Hiring!A302:A701,Hiring!B302:B701,,0),"Not Found")</f>
        <v>Subhasree Nanda</v>
      </c>
    </row>
    <row r="303" spans="2:85">
      <c r="B303" s="100"/>
      <c r="F303" s="4">
        <v>3.4</v>
      </c>
      <c r="G303" s="52" t="str" cm="1">
        <f t="array" ref="G303">_xlfn.IFS(F303&gt;=4.5,"Excellent",AND(F303&gt;=3.5,F303&lt;=4.4),"Good",F303&lt;3.5,"Needs Improvement")</f>
        <v>Needs Improvement</v>
      </c>
      <c r="M303" s="18">
        <v>71583</v>
      </c>
      <c r="N303" s="18">
        <v>74146</v>
      </c>
      <c r="O303" s="54" t="str">
        <f t="shared" si="102"/>
        <v>Yes</v>
      </c>
      <c r="Q303" s="18">
        <v>7.1</v>
      </c>
      <c r="R303" s="56" t="str">
        <f t="shared" si="90"/>
        <v>Yes</v>
      </c>
      <c r="W303" s="18" t="s">
        <v>154</v>
      </c>
      <c r="X303" s="54" t="str">
        <f>VLOOKUP(W303,Employees!$A$1:$B$601,2,FALSE)</f>
        <v>Puspita Mohapatra</v>
      </c>
      <c r="Z303" s="4" t="s">
        <v>911</v>
      </c>
      <c r="AA303" s="54" t="str">
        <f t="shared" si="91"/>
        <v>0302</v>
      </c>
      <c r="AC303" s="4" t="s">
        <v>63</v>
      </c>
      <c r="AD303" s="54" t="str">
        <f t="shared" si="92"/>
        <v>Product</v>
      </c>
      <c r="AF303" s="4" t="s">
        <v>912</v>
      </c>
      <c r="AG303" s="4" t="s">
        <v>63</v>
      </c>
      <c r="AH303" s="4" t="s">
        <v>53</v>
      </c>
      <c r="AI303" s="54" t="str">
        <f t="shared" si="93"/>
        <v>Subhasree Jena|Product|BlueLotus IT</v>
      </c>
      <c r="AK303" s="4" t="s">
        <v>912</v>
      </c>
      <c r="AL303" s="38" t="str">
        <f t="shared" si="94"/>
        <v>S.J.</v>
      </c>
      <c r="AN303" s="18" t="s">
        <v>5060</v>
      </c>
      <c r="AO303" s="54" t="str">
        <f t="shared" si="95"/>
        <v>Naukri</v>
      </c>
      <c r="AQ303" s="4" t="s">
        <v>912</v>
      </c>
      <c r="AR303" s="52" t="str">
        <f t="shared" si="96"/>
        <v>NO</v>
      </c>
      <c r="AW303" s="54">
        <f ca="1">DATEDIF(BI303,TODAY(),"Y")</f>
        <v>5</v>
      </c>
      <c r="AX303" s="54"/>
      <c r="AY303" s="41" t="s">
        <v>1192</v>
      </c>
      <c r="AZ303" s="44">
        <f t="shared" si="97"/>
        <v>45108</v>
      </c>
      <c r="BA303" s="54" t="str">
        <f t="shared" si="98"/>
        <v>7-2023</v>
      </c>
      <c r="BH303" s="4" t="s">
        <v>913</v>
      </c>
      <c r="BI303" s="51">
        <f t="shared" si="103"/>
        <v>44300</v>
      </c>
      <c r="BJ303" s="38">
        <f t="shared" ca="1" si="104"/>
        <v>1393</v>
      </c>
      <c r="BK303" s="38"/>
      <c r="BL303" s="38" t="str">
        <f t="shared" si="105"/>
        <v>No</v>
      </c>
      <c r="BM303" s="59">
        <f t="shared" si="99"/>
        <v>45108</v>
      </c>
      <c r="BN303" s="51">
        <f t="shared" si="106"/>
        <v>44300</v>
      </c>
      <c r="BO303" s="54">
        <f t="shared" si="100"/>
        <v>808</v>
      </c>
      <c r="BP303" s="4" t="s">
        <v>911</v>
      </c>
      <c r="BQ303" s="4" t="s">
        <v>63</v>
      </c>
      <c r="BR303" s="18" t="s">
        <v>154</v>
      </c>
      <c r="BS303" s="18" t="s">
        <v>2854</v>
      </c>
      <c r="BT303" s="54" t="str">
        <f t="shared" si="101"/>
        <v>QA</v>
      </c>
      <c r="BV303" s="4" t="s">
        <v>911</v>
      </c>
      <c r="BW303" s="4" t="s">
        <v>912</v>
      </c>
      <c r="CB303" s="18" t="s">
        <v>1175</v>
      </c>
      <c r="CC303" s="4" t="s">
        <v>912</v>
      </c>
      <c r="CD303" s="4" t="s">
        <v>145</v>
      </c>
      <c r="CE303" s="54" t="str">
        <v>Digital Marketer</v>
      </c>
      <c r="CG303" s="54" t="str">
        <f>IFERROR(_xlfn.XLOOKUP(Hiring!A303,Hiring!A303:A702,Hiring!B303:B702,,0),"Not Found")</f>
        <v>Aditya Samal</v>
      </c>
    </row>
    <row r="304" spans="2:85">
      <c r="B304" s="100"/>
      <c r="F304" s="3">
        <v>4.5999999999999996</v>
      </c>
      <c r="G304" s="52" t="str" cm="1">
        <f t="array" ref="G304">_xlfn.IFS(F304&gt;=4.5,"Excellent",AND(F304&gt;=3.5,F304&lt;=4.4),"Good",F304&lt;3.5,"Needs Improvement")</f>
        <v>Excellent</v>
      </c>
      <c r="M304" s="19">
        <v>52180</v>
      </c>
      <c r="N304" s="19">
        <v>48001</v>
      </c>
      <c r="O304" s="54" t="str">
        <f t="shared" si="102"/>
        <v>Yes</v>
      </c>
      <c r="Q304" s="19">
        <v>10.46</v>
      </c>
      <c r="R304" s="56" t="str">
        <f t="shared" si="90"/>
        <v>Yes</v>
      </c>
      <c r="W304" s="19" t="s">
        <v>154</v>
      </c>
      <c r="X304" s="54" t="str">
        <f>VLOOKUP(W304,Employees!$A$1:$B$601,2,FALSE)</f>
        <v>Puspita Mohapatra</v>
      </c>
      <c r="Z304" s="3" t="s">
        <v>914</v>
      </c>
      <c r="AA304" s="54" t="str">
        <f t="shared" si="91"/>
        <v>0303</v>
      </c>
      <c r="AC304" s="3" t="s">
        <v>118</v>
      </c>
      <c r="AD304" s="54" t="str">
        <f t="shared" si="92"/>
        <v>Marketing</v>
      </c>
      <c r="AF304" s="3" t="s">
        <v>479</v>
      </c>
      <c r="AG304" s="3" t="s">
        <v>118</v>
      </c>
      <c r="AH304" s="3" t="s">
        <v>65</v>
      </c>
      <c r="AI304" s="54" t="str">
        <f t="shared" si="93"/>
        <v>Puspita Routray|Marketing|TributeAI</v>
      </c>
      <c r="AK304" s="3" t="s">
        <v>479</v>
      </c>
      <c r="AL304" s="38" t="str">
        <f t="shared" si="94"/>
        <v>P.R.</v>
      </c>
      <c r="AN304" s="19" t="s">
        <v>5051</v>
      </c>
      <c r="AO304" s="54" t="str">
        <f t="shared" si="95"/>
        <v>Naukri</v>
      </c>
      <c r="AQ304" s="3" t="s">
        <v>479</v>
      </c>
      <c r="AR304" s="52" t="str">
        <f t="shared" si="96"/>
        <v>NO</v>
      </c>
      <c r="AW304" s="54">
        <f ca="1">DATEDIF(BI304,TODAY(),"Y")</f>
        <v>3</v>
      </c>
      <c r="AX304" s="54"/>
      <c r="AY304" s="40" t="s">
        <v>86</v>
      </c>
      <c r="AZ304" s="44">
        <f t="shared" si="97"/>
        <v>45172</v>
      </c>
      <c r="BA304" s="54" t="str">
        <f t="shared" si="98"/>
        <v>9-2023</v>
      </c>
      <c r="BH304" s="3" t="s">
        <v>915</v>
      </c>
      <c r="BI304" s="51">
        <f t="shared" si="103"/>
        <v>45103</v>
      </c>
      <c r="BJ304" s="38">
        <f t="shared" ca="1" si="104"/>
        <v>820</v>
      </c>
      <c r="BK304" s="38"/>
      <c r="BL304" s="38" t="str">
        <f t="shared" si="105"/>
        <v>No</v>
      </c>
      <c r="BM304" s="59">
        <f t="shared" si="99"/>
        <v>45172</v>
      </c>
      <c r="BN304" s="51">
        <f t="shared" si="106"/>
        <v>45103</v>
      </c>
      <c r="BO304" s="54">
        <f t="shared" si="100"/>
        <v>69</v>
      </c>
      <c r="BP304" s="3" t="s">
        <v>914</v>
      </c>
      <c r="BQ304" s="3" t="s">
        <v>118</v>
      </c>
      <c r="BR304" s="19" t="s">
        <v>154</v>
      </c>
      <c r="BS304" s="19" t="s">
        <v>2855</v>
      </c>
      <c r="BT304" s="54" t="str">
        <f t="shared" si="101"/>
        <v>QA</v>
      </c>
      <c r="BV304" s="3" t="s">
        <v>914</v>
      </c>
      <c r="BW304" s="3" t="s">
        <v>479</v>
      </c>
      <c r="CB304" s="19" t="s">
        <v>650</v>
      </c>
      <c r="CC304" s="3" t="s">
        <v>479</v>
      </c>
      <c r="CD304" s="3" t="s">
        <v>254</v>
      </c>
      <c r="CE304" s="54" t="str">
        <v>Test Analyst</v>
      </c>
      <c r="CG304" s="54" t="str">
        <f>IFERROR(_xlfn.XLOOKUP(Hiring!A304,Hiring!A304:A703,Hiring!B304:B703,,0),"Not Found")</f>
        <v>Puspita Parida</v>
      </c>
    </row>
    <row r="305" spans="2:85">
      <c r="B305" s="100"/>
      <c r="F305" s="4">
        <v>2.2000000000000002</v>
      </c>
      <c r="G305" s="52" t="str" cm="1">
        <f t="array" ref="G305">_xlfn.IFS(F305&gt;=4.5,"Excellent",AND(F305&gt;=3.5,F305&lt;=4.4),"Good",F305&lt;3.5,"Needs Improvement")</f>
        <v>Needs Improvement</v>
      </c>
      <c r="M305" s="18">
        <v>191313</v>
      </c>
      <c r="N305" s="18">
        <v>193574</v>
      </c>
      <c r="O305" s="54" t="str">
        <f t="shared" si="102"/>
        <v>Yes</v>
      </c>
      <c r="Q305" s="18">
        <v>6.9</v>
      </c>
      <c r="R305" s="56" t="str">
        <f t="shared" si="90"/>
        <v>Yes</v>
      </c>
      <c r="W305" s="18" t="s">
        <v>154</v>
      </c>
      <c r="X305" s="54" t="str">
        <f>VLOOKUP(W305,Employees!$A$1:$B$601,2,FALSE)</f>
        <v>Puspita Mohapatra</v>
      </c>
      <c r="Z305" s="4" t="s">
        <v>916</v>
      </c>
      <c r="AA305" s="54" t="str">
        <f t="shared" si="91"/>
        <v>0304</v>
      </c>
      <c r="AC305" s="4" t="s">
        <v>39</v>
      </c>
      <c r="AD305" s="54" t="str">
        <f t="shared" si="92"/>
        <v>Engineering</v>
      </c>
      <c r="AF305" s="4" t="s">
        <v>266</v>
      </c>
      <c r="AG305" s="4" t="s">
        <v>39</v>
      </c>
      <c r="AH305" s="4" t="s">
        <v>149</v>
      </c>
      <c r="AI305" s="54" t="str">
        <f t="shared" si="93"/>
        <v>Nirmal Sahoo|Engineering|SilverByte Systems</v>
      </c>
      <c r="AK305" s="4" t="s">
        <v>266</v>
      </c>
      <c r="AL305" s="38" t="str">
        <f t="shared" si="94"/>
        <v>N.S.</v>
      </c>
      <c r="AN305" s="18" t="s">
        <v>5077</v>
      </c>
      <c r="AO305" s="54" t="b">
        <f t="shared" si="95"/>
        <v>0</v>
      </c>
      <c r="AQ305" s="4" t="s">
        <v>266</v>
      </c>
      <c r="AR305" s="52" t="str">
        <f t="shared" si="96"/>
        <v>NO</v>
      </c>
      <c r="AW305" s="54">
        <f ca="1">DATEDIF(BI305,TODAY(),"Y")</f>
        <v>2</v>
      </c>
      <c r="AX305" s="54"/>
      <c r="AY305" s="41" t="s">
        <v>5595</v>
      </c>
      <c r="AZ305" s="44">
        <f t="shared" si="97"/>
        <v>45399</v>
      </c>
      <c r="BA305" s="54" t="str">
        <f t="shared" si="98"/>
        <v>4-2024</v>
      </c>
      <c r="BH305" s="4" t="s">
        <v>917</v>
      </c>
      <c r="BI305" s="51">
        <f t="shared" si="103"/>
        <v>45154</v>
      </c>
      <c r="BJ305" s="38">
        <f t="shared" ca="1" si="104"/>
        <v>783</v>
      </c>
      <c r="BK305" s="38"/>
      <c r="BL305" s="38" t="str">
        <f t="shared" si="105"/>
        <v>No</v>
      </c>
      <c r="BM305" s="59">
        <f t="shared" si="99"/>
        <v>45399</v>
      </c>
      <c r="BN305" s="51">
        <f t="shared" si="106"/>
        <v>45154</v>
      </c>
      <c r="BO305" s="54">
        <f t="shared" si="100"/>
        <v>245</v>
      </c>
      <c r="BP305" s="4" t="s">
        <v>916</v>
      </c>
      <c r="BQ305" s="4" t="s">
        <v>39</v>
      </c>
      <c r="BR305" s="18" t="s">
        <v>154</v>
      </c>
      <c r="BS305" s="18" t="s">
        <v>2857</v>
      </c>
      <c r="BT305" s="54" t="str">
        <f t="shared" si="101"/>
        <v>QA</v>
      </c>
      <c r="BV305" s="4" t="s">
        <v>916</v>
      </c>
      <c r="BW305" s="4" t="s">
        <v>266</v>
      </c>
      <c r="CB305" s="18" t="s">
        <v>5594</v>
      </c>
      <c r="CC305" s="4" t="s">
        <v>266</v>
      </c>
      <c r="CD305" s="4" t="s">
        <v>40</v>
      </c>
      <c r="CE305" s="54" t="str">
        <v>Not Found</v>
      </c>
      <c r="CG305" s="54" t="str">
        <f>IFERROR(_xlfn.XLOOKUP(Hiring!A305,Hiring!A305:A704,Hiring!B305:B704,,0),"Not Found")</f>
        <v>Priyanka Parida</v>
      </c>
    </row>
    <row r="306" spans="2:85">
      <c r="B306" s="100"/>
      <c r="F306" s="3">
        <v>2.2999999999999998</v>
      </c>
      <c r="G306" s="52" t="str" cm="1">
        <f t="array" ref="G306">_xlfn.IFS(F306&gt;=4.5,"Excellent",AND(F306&gt;=3.5,F306&lt;=4.4),"Good",F306&lt;3.5,"Needs Improvement")</f>
        <v>Needs Improvement</v>
      </c>
      <c r="M306" s="19"/>
      <c r="N306" s="19">
        <v>129624</v>
      </c>
      <c r="O306" s="54" t="str">
        <f t="shared" si="102"/>
        <v>Yes</v>
      </c>
      <c r="Q306" s="19">
        <v>7.4</v>
      </c>
      <c r="R306" s="56" t="str">
        <f t="shared" si="90"/>
        <v>Yes</v>
      </c>
      <c r="W306" s="19" t="s">
        <v>154</v>
      </c>
      <c r="X306" s="54" t="str">
        <f>VLOOKUP(W306,Employees!$A$1:$B$601,2,FALSE)</f>
        <v>Puspita Mohapatra</v>
      </c>
      <c r="Z306" s="3" t="s">
        <v>918</v>
      </c>
      <c r="AA306" s="54" t="str">
        <f t="shared" si="91"/>
        <v>0305</v>
      </c>
      <c r="AC306" s="3" t="s">
        <v>133</v>
      </c>
      <c r="AD306" s="54" t="str">
        <f t="shared" si="92"/>
        <v>Qa</v>
      </c>
      <c r="AF306" s="3" t="s">
        <v>919</v>
      </c>
      <c r="AG306" s="3" t="s">
        <v>133</v>
      </c>
      <c r="AH306" s="3" t="s">
        <v>53</v>
      </c>
      <c r="AI306" s="54" t="str">
        <f t="shared" si="93"/>
        <v>Nirmal Dhal|QA|BlueLotus IT</v>
      </c>
      <c r="AK306" s="3" t="s">
        <v>919</v>
      </c>
      <c r="AL306" s="38" t="str">
        <f t="shared" si="94"/>
        <v>N.D.</v>
      </c>
      <c r="AN306" s="19" t="s">
        <v>5016</v>
      </c>
      <c r="AO306" s="54" t="b">
        <f t="shared" si="95"/>
        <v>0</v>
      </c>
      <c r="AQ306" s="3" t="s">
        <v>919</v>
      </c>
      <c r="AR306" s="52" t="str">
        <f t="shared" si="96"/>
        <v>NO</v>
      </c>
      <c r="AW306" s="54">
        <f ca="1">DATEDIF(BI306,TODAY(),"Y")</f>
        <v>2</v>
      </c>
      <c r="AX306" s="54"/>
      <c r="AY306" s="40" t="s">
        <v>5597</v>
      </c>
      <c r="AZ306" s="44">
        <f t="shared" si="97"/>
        <v>45124</v>
      </c>
      <c r="BA306" s="54" t="str">
        <f t="shared" si="98"/>
        <v>7-2023</v>
      </c>
      <c r="BH306" s="3" t="s">
        <v>920</v>
      </c>
      <c r="BI306" s="51">
        <f t="shared" si="103"/>
        <v>45372</v>
      </c>
      <c r="BJ306" s="38">
        <f t="shared" ca="1" si="104"/>
        <v>627</v>
      </c>
      <c r="BK306" s="38"/>
      <c r="BL306" s="38" t="str">
        <f t="shared" si="105"/>
        <v>Q1</v>
      </c>
      <c r="BM306" s="59">
        <f t="shared" si="99"/>
        <v>45124</v>
      </c>
      <c r="BN306" s="51">
        <f t="shared" si="106"/>
        <v>45372</v>
      </c>
      <c r="BO306" s="54">
        <f t="shared" si="100"/>
        <v>248</v>
      </c>
      <c r="BP306" s="3" t="s">
        <v>918</v>
      </c>
      <c r="BQ306" s="3" t="s">
        <v>133</v>
      </c>
      <c r="BR306" s="19" t="s">
        <v>154</v>
      </c>
      <c r="BS306" s="19" t="s">
        <v>2859</v>
      </c>
      <c r="BT306" s="54" t="str">
        <f t="shared" si="101"/>
        <v>QA</v>
      </c>
      <c r="BV306" s="3" t="s">
        <v>918</v>
      </c>
      <c r="BW306" s="3" t="s">
        <v>919</v>
      </c>
      <c r="CB306" s="19" t="s">
        <v>5305</v>
      </c>
      <c r="CC306" s="3" t="s">
        <v>919</v>
      </c>
      <c r="CD306" s="3" t="s">
        <v>153</v>
      </c>
      <c r="CE306" s="54" t="str">
        <v>Not Found</v>
      </c>
      <c r="CG306" s="54" t="str">
        <f>IFERROR(_xlfn.XLOOKUP(Hiring!A306,Hiring!A306:A705,Hiring!B306:B705,,0),"Not Found")</f>
        <v>Nirmal Mahapatra</v>
      </c>
    </row>
    <row r="307" spans="2:85">
      <c r="B307" s="100"/>
      <c r="F307" s="4">
        <v>1.7</v>
      </c>
      <c r="G307" s="52" t="str" cm="1">
        <f t="array" ref="G307">_xlfn.IFS(F307&gt;=4.5,"Excellent",AND(F307&gt;=3.5,F307&lt;=4.4),"Good",F307&lt;3.5,"Needs Improvement")</f>
        <v>Needs Improvement</v>
      </c>
      <c r="M307" s="18"/>
      <c r="N307" s="18">
        <v>77481</v>
      </c>
      <c r="O307" s="54" t="str">
        <f t="shared" si="102"/>
        <v>Yes</v>
      </c>
      <c r="Q307" s="18">
        <v>9.92</v>
      </c>
      <c r="R307" s="56" t="str">
        <f t="shared" si="90"/>
        <v>Yes</v>
      </c>
      <c r="W307" s="18" t="s">
        <v>154</v>
      </c>
      <c r="X307" s="54" t="str">
        <f>VLOOKUP(W307,Employees!$A$1:$B$601,2,FALSE)</f>
        <v>Puspita Mohapatra</v>
      </c>
      <c r="Z307" s="4" t="s">
        <v>921</v>
      </c>
      <c r="AA307" s="54" t="str">
        <f t="shared" si="91"/>
        <v>0306</v>
      </c>
      <c r="AC307" s="4" t="s">
        <v>558</v>
      </c>
      <c r="AD307" s="54" t="str">
        <f t="shared" si="92"/>
        <v>Finance</v>
      </c>
      <c r="AF307" s="4" t="s">
        <v>922</v>
      </c>
      <c r="AG307" s="4" t="s">
        <v>558</v>
      </c>
      <c r="AH307" s="4" t="s">
        <v>75</v>
      </c>
      <c r="AI307" s="54" t="str">
        <f t="shared" si="93"/>
        <v>Dibya Biswal|finance|KalingaTech Pvt Ltd</v>
      </c>
      <c r="AK307" s="4" t="s">
        <v>922</v>
      </c>
      <c r="AL307" s="38" t="str">
        <f t="shared" si="94"/>
        <v>D.B.</v>
      </c>
      <c r="AN307" s="18" t="s">
        <v>5019</v>
      </c>
      <c r="AO307" s="54" t="str">
        <f t="shared" si="95"/>
        <v>Linkedln</v>
      </c>
      <c r="AQ307" s="4" t="s">
        <v>922</v>
      </c>
      <c r="AR307" s="52" t="str">
        <f t="shared" si="96"/>
        <v>NO</v>
      </c>
      <c r="AW307" s="54">
        <f ca="1">DATEDIF(BI307,TODAY(),"Y")</f>
        <v>3</v>
      </c>
      <c r="AX307" s="54"/>
      <c r="AY307" s="41" t="s">
        <v>1217</v>
      </c>
      <c r="AZ307" s="44">
        <f t="shared" si="97"/>
        <v>45310</v>
      </c>
      <c r="BA307" s="54" t="str">
        <f t="shared" si="98"/>
        <v>1-2024</v>
      </c>
      <c r="BH307" s="4" t="s">
        <v>923</v>
      </c>
      <c r="BI307" s="51">
        <f t="shared" si="103"/>
        <v>44835</v>
      </c>
      <c r="BJ307" s="38">
        <f t="shared" ca="1" si="104"/>
        <v>1010</v>
      </c>
      <c r="BK307" s="38"/>
      <c r="BL307" s="38" t="str">
        <f t="shared" si="105"/>
        <v>No</v>
      </c>
      <c r="BM307" s="59">
        <f t="shared" si="99"/>
        <v>45310</v>
      </c>
      <c r="BN307" s="51">
        <f t="shared" si="106"/>
        <v>44835</v>
      </c>
      <c r="BO307" s="54">
        <f t="shared" si="100"/>
        <v>475</v>
      </c>
      <c r="BP307" s="4" t="s">
        <v>921</v>
      </c>
      <c r="BQ307" s="4" t="s">
        <v>558</v>
      </c>
      <c r="BR307" s="18" t="s">
        <v>154</v>
      </c>
      <c r="BS307" s="18" t="s">
        <v>2860</v>
      </c>
      <c r="BT307" s="54" t="str">
        <f t="shared" si="101"/>
        <v>QA</v>
      </c>
      <c r="BV307" s="4" t="s">
        <v>921</v>
      </c>
      <c r="BW307" s="4" t="s">
        <v>922</v>
      </c>
      <c r="CB307" s="18" t="s">
        <v>5201</v>
      </c>
      <c r="CC307" s="4" t="s">
        <v>922</v>
      </c>
      <c r="CD307" s="4" t="s">
        <v>229</v>
      </c>
      <c r="CE307" s="54" t="str">
        <v>Not Found</v>
      </c>
      <c r="CG307" s="54" t="str">
        <f>IFERROR(_xlfn.XLOOKUP(Hiring!A307,Hiring!A307:A706,Hiring!B307:B706,,0),"Not Found")</f>
        <v>Nirmal Nanda</v>
      </c>
    </row>
    <row r="308" spans="2:85">
      <c r="B308" s="100"/>
      <c r="F308" s="3">
        <v>3.4</v>
      </c>
      <c r="G308" s="52" t="str" cm="1">
        <f t="array" ref="G308">_xlfn.IFS(F308&gt;=4.5,"Excellent",AND(F308&gt;=3.5,F308&lt;=4.4),"Good",F308&lt;3.5,"Needs Improvement")</f>
        <v>Needs Improvement</v>
      </c>
      <c r="M308" s="19">
        <v>139010</v>
      </c>
      <c r="N308" s="19">
        <v>155428</v>
      </c>
      <c r="O308" s="54" t="str">
        <f t="shared" si="102"/>
        <v>Yes</v>
      </c>
      <c r="Q308" s="19">
        <v>7.77</v>
      </c>
      <c r="R308" s="56" t="str">
        <f t="shared" si="90"/>
        <v>Yes</v>
      </c>
      <c r="W308" s="19" t="s">
        <v>154</v>
      </c>
      <c r="X308" s="54" t="str">
        <f>VLOOKUP(W308,Employees!$A$1:$B$601,2,FALSE)</f>
        <v>Puspita Mohapatra</v>
      </c>
      <c r="Z308" s="3" t="s">
        <v>924</v>
      </c>
      <c r="AA308" s="54" t="str">
        <f t="shared" si="91"/>
        <v>0307</v>
      </c>
      <c r="AC308" s="3" t="s">
        <v>24</v>
      </c>
      <c r="AD308" s="54" t="str">
        <f t="shared" si="92"/>
        <v>Design</v>
      </c>
      <c r="AF308" s="3" t="s">
        <v>341</v>
      </c>
      <c r="AG308" s="3" t="s">
        <v>24</v>
      </c>
      <c r="AH308" s="3" t="s">
        <v>172</v>
      </c>
      <c r="AI308" s="54" t="str">
        <f t="shared" si="93"/>
        <v>Jyotirmayee Sahoo|Design|TechNova Solutions</v>
      </c>
      <c r="AK308" s="3" t="s">
        <v>341</v>
      </c>
      <c r="AL308" s="38" t="str">
        <f t="shared" si="94"/>
        <v>J.S.</v>
      </c>
      <c r="AN308" s="19" t="s">
        <v>5031</v>
      </c>
      <c r="AO308" s="54" t="b">
        <f t="shared" si="95"/>
        <v>0</v>
      </c>
      <c r="AQ308" s="3" t="s">
        <v>341</v>
      </c>
      <c r="AR308" s="52" t="str">
        <f t="shared" si="96"/>
        <v>NO</v>
      </c>
      <c r="AW308" s="54">
        <f ca="1">DATEDIF(BI308,TODAY(),"Y")</f>
        <v>5</v>
      </c>
      <c r="AX308" s="54"/>
      <c r="AY308" s="40" t="s">
        <v>438</v>
      </c>
      <c r="AZ308" s="44">
        <f t="shared" si="97"/>
        <v>45467</v>
      </c>
      <c r="BA308" s="54" t="str">
        <f t="shared" si="98"/>
        <v>6-2024</v>
      </c>
      <c r="BH308" s="3" t="s">
        <v>925</v>
      </c>
      <c r="BI308" s="51">
        <f t="shared" si="103"/>
        <v>44088</v>
      </c>
      <c r="BJ308" s="38">
        <f t="shared" ca="1" si="104"/>
        <v>1545</v>
      </c>
      <c r="BK308" s="38"/>
      <c r="BL308" s="38" t="str">
        <f t="shared" si="105"/>
        <v>No</v>
      </c>
      <c r="BM308" s="59">
        <f t="shared" si="99"/>
        <v>45467</v>
      </c>
      <c r="BN308" s="51">
        <f t="shared" si="106"/>
        <v>44088</v>
      </c>
      <c r="BO308" s="54">
        <f t="shared" si="100"/>
        <v>1379</v>
      </c>
      <c r="BP308" s="3" t="s">
        <v>924</v>
      </c>
      <c r="BQ308" s="3" t="s">
        <v>24</v>
      </c>
      <c r="BR308" s="19" t="s">
        <v>154</v>
      </c>
      <c r="BS308" s="19" t="s">
        <v>2862</v>
      </c>
      <c r="BT308" s="54" t="str">
        <f t="shared" si="101"/>
        <v>QA</v>
      </c>
      <c r="BV308" s="3" t="s">
        <v>924</v>
      </c>
      <c r="BW308" s="3" t="s">
        <v>341</v>
      </c>
      <c r="CB308" s="19" t="s">
        <v>5280</v>
      </c>
      <c r="CC308" s="3" t="s">
        <v>341</v>
      </c>
      <c r="CD308" s="3" t="s">
        <v>25</v>
      </c>
      <c r="CE308" s="54" t="str">
        <v>Not Found</v>
      </c>
      <c r="CG308" s="54" t="str">
        <f>IFERROR(_xlfn.XLOOKUP(Hiring!A308,Hiring!A308:A707,Hiring!B308:B707,,0),"Not Found")</f>
        <v>Nirmal Prusty</v>
      </c>
    </row>
    <row r="309" spans="2:85">
      <c r="B309" s="100"/>
      <c r="F309" s="4">
        <v>2.1</v>
      </c>
      <c r="G309" s="52" t="str" cm="1">
        <f t="array" ref="G309">_xlfn.IFS(F309&gt;=4.5,"Excellent",AND(F309&gt;=3.5,F309&lt;=4.4),"Good",F309&lt;3.5,"Needs Improvement")</f>
        <v>Needs Improvement</v>
      </c>
      <c r="M309" s="18">
        <v>36059</v>
      </c>
      <c r="N309" s="18">
        <v>34022</v>
      </c>
      <c r="O309" s="54" t="str">
        <f t="shared" si="102"/>
        <v>Yes</v>
      </c>
      <c r="Q309" s="18">
        <v>8.93</v>
      </c>
      <c r="R309" s="56" t="str">
        <f t="shared" si="90"/>
        <v>Yes</v>
      </c>
      <c r="W309" s="18" t="s">
        <v>154</v>
      </c>
      <c r="X309" s="54" t="str">
        <f>VLOOKUP(W309,Employees!$A$1:$B$601,2,FALSE)</f>
        <v>Puspita Mohapatra</v>
      </c>
      <c r="Z309" s="4" t="s">
        <v>926</v>
      </c>
      <c r="AA309" s="54" t="str">
        <f t="shared" si="91"/>
        <v>0308</v>
      </c>
      <c r="AC309" s="4" t="s">
        <v>24</v>
      </c>
      <c r="AD309" s="54" t="str">
        <f t="shared" si="92"/>
        <v>Design</v>
      </c>
      <c r="AF309" s="4" t="s">
        <v>184</v>
      </c>
      <c r="AG309" s="4" t="s">
        <v>24</v>
      </c>
      <c r="AH309" s="4" t="s">
        <v>26</v>
      </c>
      <c r="AI309" s="54" t="str">
        <f t="shared" si="93"/>
        <v>Alka Nanda|Design|InfySoft Bhubaneswar</v>
      </c>
      <c r="AK309" s="4" t="s">
        <v>184</v>
      </c>
      <c r="AL309" s="38" t="str">
        <f t="shared" si="94"/>
        <v>A.N.</v>
      </c>
      <c r="AN309" s="18" t="s">
        <v>5031</v>
      </c>
      <c r="AO309" s="54" t="b">
        <f t="shared" si="95"/>
        <v>0</v>
      </c>
      <c r="AQ309" s="4" t="s">
        <v>184</v>
      </c>
      <c r="AR309" s="52" t="str">
        <f t="shared" si="96"/>
        <v>NO</v>
      </c>
      <c r="AW309" s="54">
        <f ca="1">DATEDIF(BI309,TODAY(),"Y")</f>
        <v>3</v>
      </c>
      <c r="AX309" s="54"/>
      <c r="AY309" s="41" t="s">
        <v>5601</v>
      </c>
      <c r="AZ309" s="44">
        <f t="shared" si="97"/>
        <v>45070</v>
      </c>
      <c r="BA309" s="54" t="str">
        <f t="shared" si="98"/>
        <v>5-2023</v>
      </c>
      <c r="BH309" s="4" t="s">
        <v>927</v>
      </c>
      <c r="BI309" s="51">
        <f t="shared" si="103"/>
        <v>45149</v>
      </c>
      <c r="BJ309" s="38">
        <f t="shared" ca="1" si="104"/>
        <v>786</v>
      </c>
      <c r="BK309" s="38"/>
      <c r="BL309" s="38" t="str">
        <f t="shared" si="105"/>
        <v>No</v>
      </c>
      <c r="BM309" s="59">
        <f t="shared" si="99"/>
        <v>45070</v>
      </c>
      <c r="BN309" s="51">
        <f t="shared" si="106"/>
        <v>45149</v>
      </c>
      <c r="BO309" s="54">
        <f t="shared" si="100"/>
        <v>79</v>
      </c>
      <c r="BP309" s="4" t="s">
        <v>926</v>
      </c>
      <c r="BQ309" s="4" t="s">
        <v>24</v>
      </c>
      <c r="BR309" s="18" t="s">
        <v>154</v>
      </c>
      <c r="BS309" s="18" t="s">
        <v>2864</v>
      </c>
      <c r="BT309" s="54" t="str">
        <f t="shared" si="101"/>
        <v>QA</v>
      </c>
      <c r="BV309" s="4" t="s">
        <v>926</v>
      </c>
      <c r="BW309" s="4" t="s">
        <v>184</v>
      </c>
      <c r="CB309" s="18" t="s">
        <v>235</v>
      </c>
      <c r="CC309" s="4" t="s">
        <v>184</v>
      </c>
      <c r="CD309" s="4" t="s">
        <v>25</v>
      </c>
      <c r="CE309" s="54" t="str">
        <v>Design Lead</v>
      </c>
      <c r="CG309" s="54" t="str">
        <f>IFERROR(_xlfn.XLOOKUP(Hiring!A309,Hiring!A309:A708,Hiring!B309:B708,,0),"Not Found")</f>
        <v>Jyotirmayee Dhal</v>
      </c>
    </row>
    <row r="310" spans="2:85">
      <c r="B310" s="100"/>
      <c r="F310" s="3">
        <v>4.7</v>
      </c>
      <c r="G310" s="52" t="str" cm="1">
        <f t="array" ref="G310">_xlfn.IFS(F310&gt;=4.5,"Excellent",AND(F310&gt;=3.5,F310&lt;=4.4),"Good",F310&lt;3.5,"Needs Improvement")</f>
        <v>Excellent</v>
      </c>
      <c r="M310" s="19"/>
      <c r="N310" s="19">
        <v>150694</v>
      </c>
      <c r="O310" s="54" t="str">
        <f t="shared" si="102"/>
        <v>Yes</v>
      </c>
      <c r="Q310" s="19"/>
      <c r="R310" s="56" t="str">
        <f t="shared" si="90"/>
        <v>No</v>
      </c>
      <c r="W310" s="19" t="s">
        <v>154</v>
      </c>
      <c r="X310" s="54" t="str">
        <f>VLOOKUP(W310,Employees!$A$1:$B$601,2,FALSE)</f>
        <v>Puspita Mohapatra</v>
      </c>
      <c r="Z310" s="3" t="s">
        <v>928</v>
      </c>
      <c r="AA310" s="54" t="str">
        <f t="shared" si="91"/>
        <v>0309</v>
      </c>
      <c r="AC310" s="3" t="s">
        <v>16</v>
      </c>
      <c r="AD310" s="54" t="str">
        <f t="shared" si="92"/>
        <v>Devops</v>
      </c>
      <c r="AF310" s="3" t="s">
        <v>929</v>
      </c>
      <c r="AG310" s="3" t="s">
        <v>16</v>
      </c>
      <c r="AH310" s="3" t="s">
        <v>70</v>
      </c>
      <c r="AI310" s="54" t="str">
        <f t="shared" si="93"/>
        <v>Rajan Pattnaik|DevOps|OdishaCode Labs</v>
      </c>
      <c r="AK310" s="3" t="s">
        <v>929</v>
      </c>
      <c r="AL310" s="38" t="str">
        <f t="shared" si="94"/>
        <v>R.P.</v>
      </c>
      <c r="AN310" s="19" t="s">
        <v>5077</v>
      </c>
      <c r="AO310" s="54" t="b">
        <f t="shared" si="95"/>
        <v>0</v>
      </c>
      <c r="AQ310" s="3" t="s">
        <v>929</v>
      </c>
      <c r="AR310" s="52" t="str">
        <f t="shared" si="96"/>
        <v>NO</v>
      </c>
      <c r="AW310" s="54">
        <f ca="1">DATEDIF(BI310,TODAY(),"Y")</f>
        <v>7</v>
      </c>
      <c r="AX310" s="54"/>
      <c r="AY310" s="40" t="s">
        <v>614</v>
      </c>
      <c r="AZ310" s="44">
        <f t="shared" si="97"/>
        <v>45005</v>
      </c>
      <c r="BA310" s="54" t="str">
        <f t="shared" si="98"/>
        <v>3-2023</v>
      </c>
      <c r="BH310" s="3" t="s">
        <v>930</v>
      </c>
      <c r="BI310" s="51">
        <f t="shared" si="103"/>
        <v>43640</v>
      </c>
      <c r="BJ310" s="38">
        <f t="shared" ca="1" si="104"/>
        <v>1865</v>
      </c>
      <c r="BK310" s="38"/>
      <c r="BL310" s="38" t="str">
        <f t="shared" si="105"/>
        <v>No</v>
      </c>
      <c r="BM310" s="59">
        <f t="shared" si="99"/>
        <v>45005</v>
      </c>
      <c r="BN310" s="51">
        <f t="shared" si="106"/>
        <v>43640</v>
      </c>
      <c r="BO310" s="54">
        <f t="shared" si="100"/>
        <v>1365</v>
      </c>
      <c r="BP310" s="3" t="s">
        <v>928</v>
      </c>
      <c r="BQ310" s="3" t="s">
        <v>16</v>
      </c>
      <c r="BR310" s="19" t="s">
        <v>154</v>
      </c>
      <c r="BS310" s="19" t="s">
        <v>2867</v>
      </c>
      <c r="BT310" s="54" t="str">
        <f t="shared" si="101"/>
        <v>QA</v>
      </c>
      <c r="BV310" s="3" t="s">
        <v>928</v>
      </c>
      <c r="BW310" s="3" t="s">
        <v>929</v>
      </c>
      <c r="CB310" s="19" t="s">
        <v>5103</v>
      </c>
      <c r="CC310" s="3" t="s">
        <v>929</v>
      </c>
      <c r="CD310" s="3" t="s">
        <v>123</v>
      </c>
      <c r="CE310" s="54" t="str">
        <v>Not Found</v>
      </c>
      <c r="CG310" s="54" t="str">
        <f>IFERROR(_xlfn.XLOOKUP(Hiring!A310,Hiring!A310:A709,Hiring!B310:B709,,0),"Not Found")</f>
        <v>Subhasree Sahu</v>
      </c>
    </row>
    <row r="311" spans="2:85">
      <c r="B311" s="100"/>
      <c r="F311" s="4">
        <v>2.5</v>
      </c>
      <c r="G311" s="52" t="str" cm="1">
        <f t="array" ref="G311">_xlfn.IFS(F311&gt;=4.5,"Excellent",AND(F311&gt;=3.5,F311&lt;=4.4),"Good",F311&lt;3.5,"Needs Improvement")</f>
        <v>Needs Improvement</v>
      </c>
      <c r="M311" s="18">
        <v>24686</v>
      </c>
      <c r="N311" s="18">
        <v>28408</v>
      </c>
      <c r="O311" s="54" t="str">
        <f t="shared" si="102"/>
        <v>Yes</v>
      </c>
      <c r="Q311" s="18">
        <v>10.83</v>
      </c>
      <c r="R311" s="56" t="str">
        <f t="shared" si="90"/>
        <v>Yes</v>
      </c>
      <c r="W311" s="18" t="s">
        <v>154</v>
      </c>
      <c r="X311" s="54" t="str">
        <f>VLOOKUP(W311,Employees!$A$1:$B$601,2,FALSE)</f>
        <v>Puspita Mohapatra</v>
      </c>
      <c r="Z311" s="4" t="s">
        <v>931</v>
      </c>
      <c r="AA311" s="54" t="str">
        <f t="shared" si="91"/>
        <v>0310</v>
      </c>
      <c r="AC311" s="4" t="s">
        <v>51</v>
      </c>
      <c r="AD311" s="54" t="str">
        <f t="shared" si="92"/>
        <v>Sales</v>
      </c>
      <c r="AF311" s="4" t="s">
        <v>932</v>
      </c>
      <c r="AG311" s="4" t="s">
        <v>51</v>
      </c>
      <c r="AH311" s="4" t="s">
        <v>149</v>
      </c>
      <c r="AI311" s="54" t="str">
        <f t="shared" si="93"/>
        <v>Nirmal Routray|Sales|SilverByte Systems</v>
      </c>
      <c r="AK311" s="4" t="s">
        <v>932</v>
      </c>
      <c r="AL311" s="38" t="str">
        <f t="shared" si="94"/>
        <v>N.R.</v>
      </c>
      <c r="AN311" s="18" t="s">
        <v>5019</v>
      </c>
      <c r="AO311" s="54" t="str">
        <f t="shared" si="95"/>
        <v>Linkedln</v>
      </c>
      <c r="AQ311" s="4" t="s">
        <v>932</v>
      </c>
      <c r="AR311" s="52" t="str">
        <f t="shared" si="96"/>
        <v>NO</v>
      </c>
      <c r="AW311" s="54">
        <f ca="1">DATEDIF(BI311,TODAY(),"Y")</f>
        <v>7</v>
      </c>
      <c r="AX311" s="54"/>
      <c r="AY311" s="41" t="s">
        <v>1718</v>
      </c>
      <c r="AZ311" s="44">
        <f t="shared" si="97"/>
        <v>45591</v>
      </c>
      <c r="BA311" s="54" t="str">
        <f t="shared" si="98"/>
        <v>10-2024</v>
      </c>
      <c r="BH311" s="4" t="s">
        <v>933</v>
      </c>
      <c r="BI311" s="51">
        <f t="shared" si="103"/>
        <v>43367</v>
      </c>
      <c r="BJ311" s="38">
        <f t="shared" ca="1" si="104"/>
        <v>2060</v>
      </c>
      <c r="BK311" s="38"/>
      <c r="BL311" s="38" t="str">
        <f t="shared" si="105"/>
        <v>No</v>
      </c>
      <c r="BM311" s="59">
        <f t="shared" si="99"/>
        <v>45591</v>
      </c>
      <c r="BN311" s="51">
        <f t="shared" si="106"/>
        <v>43367</v>
      </c>
      <c r="BO311" s="54">
        <f t="shared" si="100"/>
        <v>2224</v>
      </c>
      <c r="BP311" s="4" t="s">
        <v>931</v>
      </c>
      <c r="BQ311" s="4" t="s">
        <v>51</v>
      </c>
      <c r="BR311" s="18" t="s">
        <v>154</v>
      </c>
      <c r="BS311" s="18" t="s">
        <v>2868</v>
      </c>
      <c r="BT311" s="54" t="str">
        <f t="shared" si="101"/>
        <v>QA</v>
      </c>
      <c r="BV311" s="4" t="s">
        <v>931</v>
      </c>
      <c r="BW311" s="4" t="s">
        <v>932</v>
      </c>
      <c r="CB311" s="18" t="s">
        <v>5604</v>
      </c>
      <c r="CC311" s="4" t="s">
        <v>932</v>
      </c>
      <c r="CD311" s="4" t="s">
        <v>69</v>
      </c>
      <c r="CE311" s="54" t="str">
        <v>Not Found</v>
      </c>
      <c r="CG311" s="54" t="str">
        <f>IFERROR(_xlfn.XLOOKUP(Hiring!A311,Hiring!A311:A710,Hiring!B311:B710,,0),"Not Found")</f>
        <v>Saurav Tripathy</v>
      </c>
    </row>
    <row r="312" spans="2:85">
      <c r="B312" s="100"/>
      <c r="F312" s="3">
        <v>0</v>
      </c>
      <c r="G312" s="52" t="str" cm="1">
        <f t="array" ref="G312">_xlfn.IFS(F312&gt;=4.5,"Excellent",AND(F312&gt;=3.5,F312&lt;=4.4),"Good",F312&lt;3.5,"Needs Improvement")</f>
        <v>Needs Improvement</v>
      </c>
      <c r="M312" s="19">
        <v>99761</v>
      </c>
      <c r="N312" s="19">
        <v>93262</v>
      </c>
      <c r="O312" s="54" t="str">
        <f t="shared" si="102"/>
        <v>Yes</v>
      </c>
      <c r="Q312" s="19">
        <v>6.79</v>
      </c>
      <c r="R312" s="56" t="str">
        <f t="shared" si="90"/>
        <v>Yes</v>
      </c>
      <c r="W312" s="19" t="s">
        <v>154</v>
      </c>
      <c r="X312" s="54" t="str">
        <f>VLOOKUP(W312,Employees!$A$1:$B$601,2,FALSE)</f>
        <v>Puspita Mohapatra</v>
      </c>
      <c r="Z312" s="3" t="s">
        <v>934</v>
      </c>
      <c r="AA312" s="54" t="str">
        <f t="shared" si="91"/>
        <v>0311</v>
      </c>
      <c r="AC312" s="3" t="s">
        <v>84</v>
      </c>
      <c r="AD312" s="54" t="str">
        <f t="shared" si="92"/>
        <v>Hr</v>
      </c>
      <c r="AF312" s="3" t="s">
        <v>935</v>
      </c>
      <c r="AG312" s="3" t="s">
        <v>84</v>
      </c>
      <c r="AH312" s="3" t="s">
        <v>18</v>
      </c>
      <c r="AI312" s="54" t="str">
        <f t="shared" si="93"/>
        <v>Dibya Tripathy|HR|CoastalDev Studio</v>
      </c>
      <c r="AK312" s="3" t="s">
        <v>935</v>
      </c>
      <c r="AL312" s="38" t="str">
        <f t="shared" si="94"/>
        <v>D.T.</v>
      </c>
      <c r="AN312" s="19" t="s">
        <v>5019</v>
      </c>
      <c r="AO312" s="54" t="str">
        <f t="shared" si="95"/>
        <v>Linkedln</v>
      </c>
      <c r="AQ312" s="3" t="s">
        <v>935</v>
      </c>
      <c r="AR312" s="52" t="str">
        <f t="shared" si="96"/>
        <v>NO</v>
      </c>
      <c r="AW312" s="54">
        <f ca="1">DATEDIF(BI312,TODAY(),"Y")</f>
        <v>7</v>
      </c>
      <c r="AX312" s="54"/>
      <c r="AY312" s="40" t="s">
        <v>5606</v>
      </c>
      <c r="AZ312" s="44">
        <f t="shared" si="97"/>
        <v>45485</v>
      </c>
      <c r="BA312" s="54" t="str">
        <f t="shared" si="98"/>
        <v>7-2024</v>
      </c>
      <c r="BH312" s="3" t="s">
        <v>182</v>
      </c>
      <c r="BI312" s="51">
        <f t="shared" si="103"/>
        <v>43364</v>
      </c>
      <c r="BJ312" s="38">
        <f t="shared" ca="1" si="104"/>
        <v>2061</v>
      </c>
      <c r="BK312" s="38"/>
      <c r="BL312" s="38" t="str">
        <f t="shared" si="105"/>
        <v>No</v>
      </c>
      <c r="BM312" s="59">
        <f t="shared" si="99"/>
        <v>45485</v>
      </c>
      <c r="BN312" s="51">
        <f t="shared" si="106"/>
        <v>43364</v>
      </c>
      <c r="BO312" s="54">
        <f t="shared" si="100"/>
        <v>2121</v>
      </c>
      <c r="BP312" s="3" t="s">
        <v>934</v>
      </c>
      <c r="BQ312" s="3" t="s">
        <v>84</v>
      </c>
      <c r="BR312" s="19" t="s">
        <v>154</v>
      </c>
      <c r="BS312" s="19" t="s">
        <v>2869</v>
      </c>
      <c r="BT312" s="54" t="str">
        <f t="shared" si="101"/>
        <v>QA</v>
      </c>
      <c r="BV312" s="3" t="s">
        <v>934</v>
      </c>
      <c r="BW312" s="3" t="s">
        <v>935</v>
      </c>
      <c r="CB312" s="19" t="s">
        <v>5276</v>
      </c>
      <c r="CC312" s="3" t="s">
        <v>935</v>
      </c>
      <c r="CD312" s="3" t="s">
        <v>138</v>
      </c>
      <c r="CE312" s="54" t="str">
        <v>Not Found</v>
      </c>
      <c r="CG312" s="54" t="str">
        <f>IFERROR(_xlfn.XLOOKUP(Hiring!A312,Hiring!A312:A711,Hiring!B312:B711,,0),"Not Found")</f>
        <v>Lipsa Mishra</v>
      </c>
    </row>
    <row r="313" spans="2:85">
      <c r="B313" s="100"/>
      <c r="F313" s="4">
        <v>4.3</v>
      </c>
      <c r="G313" s="52" t="str" cm="1">
        <f t="array" ref="G313">_xlfn.IFS(F313&gt;=4.5,"Excellent",AND(F313&gt;=3.5,F313&lt;=4.4),"Good",F313&lt;3.5,"Needs Improvement")</f>
        <v>Good</v>
      </c>
      <c r="M313" s="18">
        <v>212259</v>
      </c>
      <c r="N313" s="18">
        <v>196162</v>
      </c>
      <c r="O313" s="54" t="str">
        <f t="shared" si="102"/>
        <v>Yes</v>
      </c>
      <c r="Q313" s="18">
        <v>7.36</v>
      </c>
      <c r="R313" s="56" t="str">
        <f t="shared" si="90"/>
        <v>Yes</v>
      </c>
      <c r="W313" s="18" t="s">
        <v>154</v>
      </c>
      <c r="X313" s="54" t="str">
        <f>VLOOKUP(W313,Employees!$A$1:$B$601,2,FALSE)</f>
        <v>Puspita Mohapatra</v>
      </c>
      <c r="Z313" s="4" t="s">
        <v>936</v>
      </c>
      <c r="AA313" s="54" t="str">
        <f t="shared" si="91"/>
        <v>0312</v>
      </c>
      <c r="AC313" s="4" t="s">
        <v>176</v>
      </c>
      <c r="AD313" s="54" t="str">
        <f t="shared" si="92"/>
        <v>Finance</v>
      </c>
      <c r="AF313" s="4" t="s">
        <v>937</v>
      </c>
      <c r="AG313" s="4" t="s">
        <v>176</v>
      </c>
      <c r="AH313" s="4" t="s">
        <v>26</v>
      </c>
      <c r="AI313" s="54" t="str">
        <f t="shared" si="93"/>
        <v>Sangita Mishra|Finance|InfySoft Bhubaneswar</v>
      </c>
      <c r="AK313" s="4" t="s">
        <v>937</v>
      </c>
      <c r="AL313" s="38" t="str">
        <f t="shared" si="94"/>
        <v>S.M.</v>
      </c>
      <c r="AN313" s="18" t="s">
        <v>5025</v>
      </c>
      <c r="AO313" s="54" t="b">
        <f t="shared" si="95"/>
        <v>0</v>
      </c>
      <c r="AQ313" s="4" t="s">
        <v>937</v>
      </c>
      <c r="AR313" s="52" t="str">
        <f t="shared" si="96"/>
        <v>Mishra</v>
      </c>
      <c r="AW313" s="54">
        <f ca="1">DATEDIF(BI313,TODAY(),"Y")</f>
        <v>4</v>
      </c>
      <c r="AX313" s="54"/>
      <c r="AY313" s="41" t="s">
        <v>5608</v>
      </c>
      <c r="AZ313" s="44">
        <f t="shared" si="97"/>
        <v>45601</v>
      </c>
      <c r="BA313" s="54" t="str">
        <f t="shared" si="98"/>
        <v>11-2024</v>
      </c>
      <c r="BH313" s="4" t="s">
        <v>938</v>
      </c>
      <c r="BI313" s="51">
        <f t="shared" si="103"/>
        <v>44703</v>
      </c>
      <c r="BJ313" s="38">
        <f t="shared" ca="1" si="104"/>
        <v>1105</v>
      </c>
      <c r="BK313" s="38"/>
      <c r="BL313" s="38" t="str">
        <f t="shared" si="105"/>
        <v>No</v>
      </c>
      <c r="BM313" s="59">
        <f t="shared" si="99"/>
        <v>45601</v>
      </c>
      <c r="BN313" s="51">
        <f t="shared" si="106"/>
        <v>44703</v>
      </c>
      <c r="BO313" s="54">
        <f t="shared" si="100"/>
        <v>898</v>
      </c>
      <c r="BP313" s="4" t="s">
        <v>936</v>
      </c>
      <c r="BQ313" s="4" t="s">
        <v>176</v>
      </c>
      <c r="BR313" s="18" t="s">
        <v>154</v>
      </c>
      <c r="BS313" s="18" t="s">
        <v>2870</v>
      </c>
      <c r="BT313" s="54" t="str">
        <f t="shared" si="101"/>
        <v>QA</v>
      </c>
      <c r="BV313" s="4" t="s">
        <v>936</v>
      </c>
      <c r="BW313" s="4" t="s">
        <v>937</v>
      </c>
      <c r="CB313" s="18" t="s">
        <v>171</v>
      </c>
      <c r="CC313" s="4" t="s">
        <v>937</v>
      </c>
      <c r="CD313" s="4" t="s">
        <v>229</v>
      </c>
      <c r="CE313" s="54" t="str">
        <v>Data Analyst</v>
      </c>
      <c r="CG313" s="54" t="str">
        <f>IFERROR(_xlfn.XLOOKUP(Hiring!A313,Hiring!A313:A712,Hiring!B313:B712,,0),"Not Found")</f>
        <v>Tanmay Padhi</v>
      </c>
    </row>
    <row r="314" spans="2:85">
      <c r="B314" s="100"/>
      <c r="F314" s="3">
        <v>4.8</v>
      </c>
      <c r="G314" s="52" t="str" cm="1">
        <f t="array" ref="G314">_xlfn.IFS(F314&gt;=4.5,"Excellent",AND(F314&gt;=3.5,F314&lt;=4.4),"Good",F314&lt;3.5,"Needs Improvement")</f>
        <v>Excellent</v>
      </c>
      <c r="M314" s="19">
        <v>57190</v>
      </c>
      <c r="N314" s="19">
        <v>55934</v>
      </c>
      <c r="O314" s="54" t="str">
        <f t="shared" si="102"/>
        <v>Yes</v>
      </c>
      <c r="Q314" s="19">
        <v>11.33</v>
      </c>
      <c r="R314" s="56" t="str">
        <f t="shared" si="90"/>
        <v>Yes</v>
      </c>
      <c r="W314" s="19" t="s">
        <v>154</v>
      </c>
      <c r="X314" s="54" t="str">
        <f>VLOOKUP(W314,Employees!$A$1:$B$601,2,FALSE)</f>
        <v>Puspita Mohapatra</v>
      </c>
      <c r="Z314" s="3" t="s">
        <v>939</v>
      </c>
      <c r="AA314" s="54" t="str">
        <f t="shared" si="91"/>
        <v>0313</v>
      </c>
      <c r="AC314" s="3" t="s">
        <v>503</v>
      </c>
      <c r="AD314" s="54" t="str">
        <f t="shared" si="92"/>
        <v>Data Science</v>
      </c>
      <c r="AF314" s="3" t="s">
        <v>567</v>
      </c>
      <c r="AG314" s="3" t="s">
        <v>503</v>
      </c>
      <c r="AH314" s="3" t="s">
        <v>75</v>
      </c>
      <c r="AI314" s="54" t="str">
        <f t="shared" si="93"/>
        <v>Abhishek Sahu|data science|KalingaTech Pvt Ltd</v>
      </c>
      <c r="AK314" s="3" t="s">
        <v>567</v>
      </c>
      <c r="AL314" s="38" t="str">
        <f t="shared" si="94"/>
        <v>A.S.</v>
      </c>
      <c r="AN314" s="19" t="s">
        <v>5019</v>
      </c>
      <c r="AO314" s="54" t="str">
        <f t="shared" si="95"/>
        <v>Linkedln</v>
      </c>
      <c r="AQ314" s="3" t="s">
        <v>567</v>
      </c>
      <c r="AR314" s="52" t="str">
        <f t="shared" si="96"/>
        <v>NO</v>
      </c>
      <c r="AW314" s="54">
        <f ca="1">DATEDIF(BI314,TODAY(),"Y")</f>
        <v>8</v>
      </c>
      <c r="AX314" s="54"/>
      <c r="AY314" s="40" t="s">
        <v>5610</v>
      </c>
      <c r="AZ314" s="44">
        <f t="shared" si="97"/>
        <v>45205</v>
      </c>
      <c r="BA314" s="54" t="str">
        <f t="shared" si="98"/>
        <v>10-2023</v>
      </c>
      <c r="BH314" s="3" t="s">
        <v>940</v>
      </c>
      <c r="BI314" s="51">
        <f t="shared" si="103"/>
        <v>43142</v>
      </c>
      <c r="BJ314" s="38">
        <f t="shared" ca="1" si="104"/>
        <v>2220</v>
      </c>
      <c r="BK314" s="38"/>
      <c r="BL314" s="38" t="str">
        <f t="shared" si="105"/>
        <v>Q1</v>
      </c>
      <c r="BM314" s="59">
        <f t="shared" si="99"/>
        <v>45205</v>
      </c>
      <c r="BN314" s="51">
        <f t="shared" si="106"/>
        <v>43142</v>
      </c>
      <c r="BO314" s="54">
        <f t="shared" si="100"/>
        <v>2063</v>
      </c>
      <c r="BP314" s="3" t="s">
        <v>939</v>
      </c>
      <c r="BQ314" s="3" t="s">
        <v>503</v>
      </c>
      <c r="BR314" s="19" t="s">
        <v>154</v>
      </c>
      <c r="BS314" s="19" t="s">
        <v>2872</v>
      </c>
      <c r="BT314" s="54" t="str">
        <f t="shared" si="101"/>
        <v>QA</v>
      </c>
      <c r="BV314" s="3" t="s">
        <v>939</v>
      </c>
      <c r="BW314" s="3" t="s">
        <v>567</v>
      </c>
      <c r="CB314" s="19" t="s">
        <v>851</v>
      </c>
      <c r="CC314" s="3" t="s">
        <v>567</v>
      </c>
      <c r="CD314" s="3" t="s">
        <v>90</v>
      </c>
      <c r="CE314" s="54" t="str">
        <v>Product Owner</v>
      </c>
      <c r="CG314" s="54" t="str">
        <f>IFERROR(_xlfn.XLOOKUP(Hiring!A314,Hiring!A314:A713,Hiring!B314:B713,,0),"Not Found")</f>
        <v>Subhasree Samal</v>
      </c>
    </row>
    <row r="315" spans="2:85">
      <c r="B315" s="100"/>
      <c r="F315" s="4">
        <v>3.3</v>
      </c>
      <c r="G315" s="52" t="str" cm="1">
        <f t="array" ref="G315">_xlfn.IFS(F315&gt;=4.5,"Excellent",AND(F315&gt;=3.5,F315&lt;=4.4),"Good",F315&lt;3.5,"Needs Improvement")</f>
        <v>Needs Improvement</v>
      </c>
      <c r="M315" s="18"/>
      <c r="N315" s="18">
        <v>66016</v>
      </c>
      <c r="O315" s="54" t="str">
        <f t="shared" si="102"/>
        <v>Yes</v>
      </c>
      <c r="Q315" s="18"/>
      <c r="R315" s="56" t="str">
        <f t="shared" si="90"/>
        <v>No</v>
      </c>
      <c r="W315" s="18" t="s">
        <v>154</v>
      </c>
      <c r="X315" s="54" t="str">
        <f>VLOOKUP(W315,Employees!$A$1:$B$601,2,FALSE)</f>
        <v>Puspita Mohapatra</v>
      </c>
      <c r="Z315" s="4" t="s">
        <v>941</v>
      </c>
      <c r="AA315" s="54" t="str">
        <f t="shared" si="91"/>
        <v>0314</v>
      </c>
      <c r="AC315" s="4" t="s">
        <v>16</v>
      </c>
      <c r="AD315" s="54" t="str">
        <f t="shared" si="92"/>
        <v>Devops</v>
      </c>
      <c r="AF315" s="4" t="s">
        <v>650</v>
      </c>
      <c r="AG315" s="4" t="s">
        <v>16</v>
      </c>
      <c r="AH315" s="4" t="s">
        <v>214</v>
      </c>
      <c r="AI315" s="54" t="str">
        <f t="shared" si="93"/>
        <v>Puspita Parida|DevOps|ZeroOneSystems</v>
      </c>
      <c r="AK315" s="4" t="s">
        <v>650</v>
      </c>
      <c r="AL315" s="38" t="str">
        <f t="shared" si="94"/>
        <v>P.P.</v>
      </c>
      <c r="AN315" s="18" t="s">
        <v>5019</v>
      </c>
      <c r="AO315" s="54" t="str">
        <f t="shared" si="95"/>
        <v>Linkedln</v>
      </c>
      <c r="AQ315" s="4" t="s">
        <v>650</v>
      </c>
      <c r="AR315" s="52" t="str">
        <f t="shared" si="96"/>
        <v>NO</v>
      </c>
      <c r="AW315" s="54">
        <f ca="1">DATEDIF(BI315,TODAY(),"Y")</f>
        <v>5</v>
      </c>
      <c r="AX315" s="54"/>
      <c r="AY315" s="41" t="s">
        <v>2277</v>
      </c>
      <c r="AZ315" s="44">
        <f t="shared" si="97"/>
        <v>45582</v>
      </c>
      <c r="BA315" s="54" t="str">
        <f t="shared" si="98"/>
        <v>10-2024</v>
      </c>
      <c r="BH315" s="4" t="s">
        <v>942</v>
      </c>
      <c r="BI315" s="51">
        <f t="shared" si="103"/>
        <v>44266</v>
      </c>
      <c r="BJ315" s="38">
        <f t="shared" ca="1" si="104"/>
        <v>1417</v>
      </c>
      <c r="BK315" s="38"/>
      <c r="BL315" s="38" t="str">
        <f t="shared" si="105"/>
        <v>Q1</v>
      </c>
      <c r="BM315" s="59">
        <f t="shared" si="99"/>
        <v>45582</v>
      </c>
      <c r="BN315" s="51">
        <f t="shared" si="106"/>
        <v>44266</v>
      </c>
      <c r="BO315" s="54">
        <f t="shared" si="100"/>
        <v>1316</v>
      </c>
      <c r="BP315" s="4" t="s">
        <v>941</v>
      </c>
      <c r="BQ315" s="4" t="s">
        <v>16</v>
      </c>
      <c r="BR315" s="18" t="s">
        <v>154</v>
      </c>
      <c r="BS315" s="18" t="s">
        <v>2874</v>
      </c>
      <c r="BT315" s="54" t="str">
        <f t="shared" si="101"/>
        <v>QA</v>
      </c>
      <c r="BV315" s="4" t="s">
        <v>941</v>
      </c>
      <c r="BW315" s="4" t="s">
        <v>650</v>
      </c>
      <c r="CB315" s="18" t="s">
        <v>5612</v>
      </c>
      <c r="CC315" s="4" t="s">
        <v>650</v>
      </c>
      <c r="CD315" s="4" t="s">
        <v>335</v>
      </c>
      <c r="CE315" s="54" t="str">
        <v>Not Found</v>
      </c>
      <c r="CG315" s="54" t="str">
        <f>IFERROR(_xlfn.XLOOKUP(Hiring!A315,Hiring!A315:A714,Hiring!B315:B714,,0),"Not Found")</f>
        <v>Sudhansu Tripathy</v>
      </c>
    </row>
    <row r="316" spans="2:85">
      <c r="B316" s="100"/>
      <c r="F316" s="3">
        <v>2</v>
      </c>
      <c r="G316" s="52" t="str" cm="1">
        <f t="array" ref="G316">_xlfn.IFS(F316&gt;=4.5,"Excellent",AND(F316&gt;=3.5,F316&lt;=4.4),"Good",F316&lt;3.5,"Needs Improvement")</f>
        <v>Needs Improvement</v>
      </c>
      <c r="M316" s="19">
        <v>77006</v>
      </c>
      <c r="N316" s="19">
        <v>80456</v>
      </c>
      <c r="O316" s="54" t="str">
        <f t="shared" si="102"/>
        <v>Yes</v>
      </c>
      <c r="Q316" s="19">
        <v>7.89</v>
      </c>
      <c r="R316" s="56" t="str">
        <f t="shared" si="90"/>
        <v>Yes</v>
      </c>
      <c r="W316" s="19" t="s">
        <v>154</v>
      </c>
      <c r="X316" s="54" t="str">
        <f>VLOOKUP(W316,Employees!$A$1:$B$601,2,FALSE)</f>
        <v>Puspita Mohapatra</v>
      </c>
      <c r="Z316" s="3" t="s">
        <v>943</v>
      </c>
      <c r="AA316" s="54" t="str">
        <f t="shared" si="91"/>
        <v>0315</v>
      </c>
      <c r="AC316" s="3" t="s">
        <v>118</v>
      </c>
      <c r="AD316" s="54" t="str">
        <f t="shared" si="92"/>
        <v>Marketing</v>
      </c>
      <c r="AF316" s="3" t="s">
        <v>944</v>
      </c>
      <c r="AG316" s="3" t="s">
        <v>118</v>
      </c>
      <c r="AH316" s="3" t="s">
        <v>70</v>
      </c>
      <c r="AI316" s="54" t="str">
        <f t="shared" si="93"/>
        <v>Lipsa Padhi|Marketing|OdishaCode Labs</v>
      </c>
      <c r="AK316" s="3" t="s">
        <v>944</v>
      </c>
      <c r="AL316" s="38" t="str">
        <f t="shared" si="94"/>
        <v>L.P.</v>
      </c>
      <c r="AN316" s="19" t="s">
        <v>5025</v>
      </c>
      <c r="AO316" s="54" t="b">
        <f t="shared" si="95"/>
        <v>0</v>
      </c>
      <c r="AQ316" s="3" t="s">
        <v>944</v>
      </c>
      <c r="AR316" s="52" t="str">
        <f t="shared" si="96"/>
        <v>NO</v>
      </c>
      <c r="AW316" s="54">
        <f ca="1">DATEDIF(BI316,TODAY(),"Y")</f>
        <v>4</v>
      </c>
      <c r="AX316" s="54"/>
      <c r="AY316" s="40" t="s">
        <v>5614</v>
      </c>
      <c r="AZ316" s="44">
        <f t="shared" si="97"/>
        <v>45311</v>
      </c>
      <c r="BA316" s="54" t="str">
        <f t="shared" si="98"/>
        <v>1-2024</v>
      </c>
      <c r="BH316" s="3" t="s">
        <v>945</v>
      </c>
      <c r="BI316" s="51">
        <f t="shared" si="103"/>
        <v>44453</v>
      </c>
      <c r="BJ316" s="38">
        <f t="shared" ca="1" si="104"/>
        <v>1284</v>
      </c>
      <c r="BK316" s="38"/>
      <c r="BL316" s="38" t="str">
        <f t="shared" si="105"/>
        <v>No</v>
      </c>
      <c r="BM316" s="59">
        <f t="shared" si="99"/>
        <v>45311</v>
      </c>
      <c r="BN316" s="51">
        <f t="shared" si="106"/>
        <v>44453</v>
      </c>
      <c r="BO316" s="54">
        <f t="shared" si="100"/>
        <v>858</v>
      </c>
      <c r="BP316" s="3" t="s">
        <v>943</v>
      </c>
      <c r="BQ316" s="3" t="s">
        <v>118</v>
      </c>
      <c r="BR316" s="19" t="s">
        <v>154</v>
      </c>
      <c r="BS316" s="19" t="s">
        <v>2875</v>
      </c>
      <c r="BT316" s="54" t="str">
        <f t="shared" si="101"/>
        <v>QA</v>
      </c>
      <c r="BV316" s="3" t="s">
        <v>943</v>
      </c>
      <c r="BW316" s="3" t="s">
        <v>944</v>
      </c>
      <c r="CB316" s="19" t="s">
        <v>1293</v>
      </c>
      <c r="CC316" s="3" t="s">
        <v>944</v>
      </c>
      <c r="CD316" s="3" t="s">
        <v>119</v>
      </c>
      <c r="CE316" s="54" t="str">
        <v>DevOps Engineer</v>
      </c>
      <c r="CG316" s="54" t="str">
        <f>IFERROR(_xlfn.XLOOKUP(Hiring!A316,Hiring!A316:A715,Hiring!B316:B715,,0),"Not Found")</f>
        <v>Aditya Mahapatra</v>
      </c>
    </row>
    <row r="317" spans="2:85">
      <c r="B317" s="100"/>
      <c r="F317" s="4">
        <v>4.5</v>
      </c>
      <c r="G317" s="52" t="str" cm="1">
        <f t="array" ref="G317">_xlfn.IFS(F317&gt;=4.5,"Excellent",AND(F317&gt;=3.5,F317&lt;=4.4),"Good",F317&lt;3.5,"Needs Improvement")</f>
        <v>Excellent</v>
      </c>
      <c r="M317" s="18">
        <v>69537</v>
      </c>
      <c r="N317" s="18">
        <v>63501</v>
      </c>
      <c r="O317" s="54" t="str">
        <f t="shared" si="102"/>
        <v>Yes</v>
      </c>
      <c r="Q317" s="18">
        <v>7.05</v>
      </c>
      <c r="R317" s="56" t="str">
        <f t="shared" si="90"/>
        <v>Yes</v>
      </c>
      <c r="W317" s="18" t="s">
        <v>154</v>
      </c>
      <c r="X317" s="54" t="str">
        <f>VLOOKUP(W317,Employees!$A$1:$B$601,2,FALSE)</f>
        <v>Puspita Mohapatra</v>
      </c>
      <c r="Z317" s="4" t="s">
        <v>946</v>
      </c>
      <c r="AA317" s="54" t="str">
        <f t="shared" si="91"/>
        <v>0316</v>
      </c>
      <c r="AC317" s="4" t="s">
        <v>24</v>
      </c>
      <c r="AD317" s="54" t="str">
        <f t="shared" si="92"/>
        <v>Design</v>
      </c>
      <c r="AF317" s="4" t="s">
        <v>947</v>
      </c>
      <c r="AG317" s="4" t="s">
        <v>24</v>
      </c>
      <c r="AH317" s="4" t="s">
        <v>75</v>
      </c>
      <c r="AI317" s="54" t="str">
        <f t="shared" si="93"/>
        <v>Puspita Senapati|Design|KalingaTech Pvt Ltd</v>
      </c>
      <c r="AK317" s="4" t="s">
        <v>947</v>
      </c>
      <c r="AL317" s="38" t="str">
        <f t="shared" si="94"/>
        <v>P.S.</v>
      </c>
      <c r="AN317" s="18" t="s">
        <v>5016</v>
      </c>
      <c r="AO317" s="54" t="b">
        <f t="shared" si="95"/>
        <v>0</v>
      </c>
      <c r="AQ317" s="4" t="s">
        <v>947</v>
      </c>
      <c r="AR317" s="52" t="str">
        <f t="shared" si="96"/>
        <v>NO</v>
      </c>
      <c r="AW317" s="54">
        <f ca="1">DATEDIF(BI317,TODAY(),"Y")</f>
        <v>2</v>
      </c>
      <c r="AX317" s="54"/>
      <c r="AY317" s="41" t="s">
        <v>2307</v>
      </c>
      <c r="AZ317" s="44">
        <f t="shared" si="97"/>
        <v>45594</v>
      </c>
      <c r="BA317" s="54" t="str">
        <f t="shared" si="98"/>
        <v>10-2024</v>
      </c>
      <c r="BH317" s="4" t="s">
        <v>948</v>
      </c>
      <c r="BI317" s="51">
        <f t="shared" si="103"/>
        <v>45356</v>
      </c>
      <c r="BJ317" s="38">
        <f t="shared" ca="1" si="104"/>
        <v>639</v>
      </c>
      <c r="BK317" s="38"/>
      <c r="BL317" s="38" t="str">
        <f t="shared" si="105"/>
        <v>Q1</v>
      </c>
      <c r="BM317" s="59">
        <f t="shared" si="99"/>
        <v>45594</v>
      </c>
      <c r="BN317" s="51">
        <f t="shared" si="106"/>
        <v>45356</v>
      </c>
      <c r="BO317" s="54">
        <f t="shared" si="100"/>
        <v>238</v>
      </c>
      <c r="BP317" s="4" t="s">
        <v>946</v>
      </c>
      <c r="BQ317" s="4" t="s">
        <v>24</v>
      </c>
      <c r="BR317" s="18" t="s">
        <v>154</v>
      </c>
      <c r="BS317" s="18" t="s">
        <v>2876</v>
      </c>
      <c r="BT317" s="54" t="str">
        <f t="shared" si="101"/>
        <v>QA</v>
      </c>
      <c r="BV317" s="4" t="s">
        <v>946</v>
      </c>
      <c r="BW317" s="4" t="s">
        <v>947</v>
      </c>
      <c r="CB317" s="18" t="s">
        <v>5053</v>
      </c>
      <c r="CC317" s="4" t="s">
        <v>947</v>
      </c>
      <c r="CD317" s="4" t="s">
        <v>25</v>
      </c>
      <c r="CE317" s="54" t="str">
        <v>Not Found</v>
      </c>
      <c r="CG317" s="54" t="str">
        <f>IFERROR(_xlfn.XLOOKUP(Hiring!A317,Hiring!A317:A716,Hiring!B317:B716,,0),"Not Found")</f>
        <v>Smita Prusty</v>
      </c>
    </row>
    <row r="318" spans="2:85">
      <c r="B318" s="100"/>
      <c r="F318" s="3">
        <v>4.3</v>
      </c>
      <c r="G318" s="52" t="str" cm="1">
        <f t="array" ref="G318">_xlfn.IFS(F318&gt;=4.5,"Excellent",AND(F318&gt;=3.5,F318&lt;=4.4),"Good",F318&lt;3.5,"Needs Improvement")</f>
        <v>Good</v>
      </c>
      <c r="M318" s="19">
        <v>99946</v>
      </c>
      <c r="N318" s="19">
        <v>88004</v>
      </c>
      <c r="O318" s="54" t="str">
        <f t="shared" si="102"/>
        <v>Yes</v>
      </c>
      <c r="Q318" s="19">
        <v>8.1199999999999992</v>
      </c>
      <c r="R318" s="56" t="str">
        <f t="shared" si="90"/>
        <v>Yes</v>
      </c>
      <c r="W318" s="19" t="s">
        <v>154</v>
      </c>
      <c r="X318" s="54" t="str">
        <f>VLOOKUP(W318,Employees!$A$1:$B$601,2,FALSE)</f>
        <v>Puspita Mohapatra</v>
      </c>
      <c r="Z318" s="3" t="s">
        <v>949</v>
      </c>
      <c r="AA318" s="54" t="str">
        <f t="shared" si="91"/>
        <v>0317</v>
      </c>
      <c r="AC318" s="3" t="s">
        <v>133</v>
      </c>
      <c r="AD318" s="54" t="str">
        <f t="shared" si="92"/>
        <v>Qa</v>
      </c>
      <c r="AF318" s="3" t="s">
        <v>306</v>
      </c>
      <c r="AG318" s="3" t="s">
        <v>133</v>
      </c>
      <c r="AH318" s="3" t="s">
        <v>75</v>
      </c>
      <c r="AI318" s="54" t="str">
        <f t="shared" si="93"/>
        <v>Bikash Behura|QA|KalingaTech Pvt Ltd</v>
      </c>
      <c r="AK318" s="3" t="s">
        <v>306</v>
      </c>
      <c r="AL318" s="38" t="str">
        <f t="shared" si="94"/>
        <v>B.B.</v>
      </c>
      <c r="AN318" s="19" t="s">
        <v>5051</v>
      </c>
      <c r="AO318" s="54" t="str">
        <f t="shared" si="95"/>
        <v>Naukri</v>
      </c>
      <c r="AQ318" s="3" t="s">
        <v>306</v>
      </c>
      <c r="AR318" s="52" t="str">
        <f t="shared" si="96"/>
        <v>NO</v>
      </c>
      <c r="AW318" s="54">
        <f ca="1">DATEDIF(BI318,TODAY(),"Y")</f>
        <v>8</v>
      </c>
      <c r="AX318" s="54"/>
      <c r="AY318" s="40" t="s">
        <v>5617</v>
      </c>
      <c r="AZ318" s="44">
        <f t="shared" si="97"/>
        <v>45240</v>
      </c>
      <c r="BA318" s="54" t="str">
        <f t="shared" si="98"/>
        <v>11-2023</v>
      </c>
      <c r="BH318" s="3" t="s">
        <v>950</v>
      </c>
      <c r="BI318" s="51">
        <f t="shared" si="103"/>
        <v>43314</v>
      </c>
      <c r="BJ318" s="38">
        <f t="shared" ca="1" si="104"/>
        <v>2097</v>
      </c>
      <c r="BK318" s="38"/>
      <c r="BL318" s="38" t="str">
        <f t="shared" si="105"/>
        <v>No</v>
      </c>
      <c r="BM318" s="59">
        <f t="shared" si="99"/>
        <v>45240</v>
      </c>
      <c r="BN318" s="51">
        <f t="shared" si="106"/>
        <v>43314</v>
      </c>
      <c r="BO318" s="54">
        <f t="shared" si="100"/>
        <v>1926</v>
      </c>
      <c r="BP318" s="3" t="s">
        <v>949</v>
      </c>
      <c r="BQ318" s="3" t="s">
        <v>133</v>
      </c>
      <c r="BR318" s="19" t="s">
        <v>154</v>
      </c>
      <c r="BS318" s="19" t="s">
        <v>2878</v>
      </c>
      <c r="BT318" s="54" t="str">
        <f t="shared" si="101"/>
        <v>QA</v>
      </c>
      <c r="BV318" s="3" t="s">
        <v>949</v>
      </c>
      <c r="BW318" s="3" t="s">
        <v>306</v>
      </c>
      <c r="CB318" s="19" t="s">
        <v>551</v>
      </c>
      <c r="CC318" s="3" t="s">
        <v>306</v>
      </c>
      <c r="CD318" s="3" t="s">
        <v>134</v>
      </c>
      <c r="CE318" s="54" t="str">
        <v>Sales Manager</v>
      </c>
      <c r="CG318" s="54" t="str">
        <f>IFERROR(_xlfn.XLOOKUP(Hiring!A318,Hiring!A318:A717,Hiring!B318:B717,,0),"Not Found")</f>
        <v>Ipsita Choudhury</v>
      </c>
    </row>
    <row r="319" spans="2:85">
      <c r="B319" s="100"/>
      <c r="F319" s="4">
        <v>2.5</v>
      </c>
      <c r="G319" s="52" t="str" cm="1">
        <f t="array" ref="G319">_xlfn.IFS(F319&gt;=4.5,"Excellent",AND(F319&gt;=3.5,F319&lt;=4.4),"Good",F319&lt;3.5,"Needs Improvement")</f>
        <v>Needs Improvement</v>
      </c>
      <c r="M319" s="18"/>
      <c r="N319" s="18">
        <v>40945</v>
      </c>
      <c r="O319" s="54" t="str">
        <f t="shared" si="102"/>
        <v>Yes</v>
      </c>
      <c r="Q319" s="18">
        <v>9.44</v>
      </c>
      <c r="R319" s="56" t="str">
        <f t="shared" si="90"/>
        <v>Yes</v>
      </c>
      <c r="W319" s="18" t="s">
        <v>154</v>
      </c>
      <c r="X319" s="54" t="str">
        <f>VLOOKUP(W319,Employees!$A$1:$B$601,2,FALSE)</f>
        <v>Puspita Mohapatra</v>
      </c>
      <c r="Z319" s="4" t="s">
        <v>951</v>
      </c>
      <c r="AA319" s="54" t="str">
        <f t="shared" si="91"/>
        <v>0318</v>
      </c>
      <c r="AC319" s="4" t="s">
        <v>89</v>
      </c>
      <c r="AD319" s="54" t="str">
        <f t="shared" si="92"/>
        <v>Data Science</v>
      </c>
      <c r="AF319" s="4" t="s">
        <v>673</v>
      </c>
      <c r="AG319" s="4" t="s">
        <v>89</v>
      </c>
      <c r="AH319" s="4" t="s">
        <v>214</v>
      </c>
      <c r="AI319" s="54" t="str">
        <f t="shared" si="93"/>
        <v>Sudhansu Mishra|Data Science|ZeroOneSystems</v>
      </c>
      <c r="AK319" s="4" t="s">
        <v>673</v>
      </c>
      <c r="AL319" s="38" t="str">
        <f t="shared" si="94"/>
        <v>S.M.</v>
      </c>
      <c r="AN319" s="18" t="s">
        <v>5031</v>
      </c>
      <c r="AO319" s="54" t="b">
        <f t="shared" si="95"/>
        <v>0</v>
      </c>
      <c r="AQ319" s="4" t="s">
        <v>673</v>
      </c>
      <c r="AR319" s="52" t="str">
        <f t="shared" si="96"/>
        <v>Mishra</v>
      </c>
      <c r="AW319" s="54">
        <f ca="1">DATEDIF(BI319,TODAY(),"Y")</f>
        <v>4</v>
      </c>
      <c r="AX319" s="54"/>
      <c r="AY319" s="41" t="s">
        <v>5619</v>
      </c>
      <c r="AZ319" s="44">
        <f t="shared" si="97"/>
        <v>45107</v>
      </c>
      <c r="BA319" s="54" t="str">
        <f t="shared" si="98"/>
        <v>6-2023</v>
      </c>
      <c r="BH319" s="4" t="s">
        <v>952</v>
      </c>
      <c r="BI319" s="51">
        <f t="shared" si="103"/>
        <v>44598</v>
      </c>
      <c r="BJ319" s="38">
        <f t="shared" ca="1" si="104"/>
        <v>1180</v>
      </c>
      <c r="BK319" s="38"/>
      <c r="BL319" s="38" t="str">
        <f t="shared" si="105"/>
        <v>Q1</v>
      </c>
      <c r="BM319" s="59">
        <f t="shared" si="99"/>
        <v>45107</v>
      </c>
      <c r="BN319" s="51">
        <f t="shared" si="106"/>
        <v>44598</v>
      </c>
      <c r="BO319" s="54">
        <f t="shared" si="100"/>
        <v>509</v>
      </c>
      <c r="BP319" s="4" t="s">
        <v>951</v>
      </c>
      <c r="BQ319" s="4" t="s">
        <v>89</v>
      </c>
      <c r="BR319" s="18" t="s">
        <v>154</v>
      </c>
      <c r="BS319" s="18" t="s">
        <v>2879</v>
      </c>
      <c r="BT319" s="54" t="str">
        <f t="shared" si="101"/>
        <v>QA</v>
      </c>
      <c r="BV319" s="4" t="s">
        <v>951</v>
      </c>
      <c r="BW319" s="4" t="s">
        <v>673</v>
      </c>
      <c r="CB319" s="18" t="s">
        <v>1376</v>
      </c>
      <c r="CC319" s="4" t="s">
        <v>673</v>
      </c>
      <c r="CD319" s="4" t="s">
        <v>113</v>
      </c>
      <c r="CE319" s="54" t="str">
        <v>Design Lead</v>
      </c>
      <c r="CG319" s="54" t="str">
        <f>IFERROR(_xlfn.XLOOKUP(Hiring!A319,Hiring!A319:A718,Hiring!B319:B718,,0),"Not Found")</f>
        <v>Puspita Prusty</v>
      </c>
    </row>
    <row r="320" spans="2:85">
      <c r="B320" s="100"/>
      <c r="F320" s="3">
        <v>1.9</v>
      </c>
      <c r="G320" s="52" t="str" cm="1">
        <f t="array" ref="G320">_xlfn.IFS(F320&gt;=4.5,"Excellent",AND(F320&gt;=3.5,F320&lt;=4.4),"Good",F320&lt;3.5,"Needs Improvement")</f>
        <v>Needs Improvement</v>
      </c>
      <c r="M320" s="19">
        <v>196221</v>
      </c>
      <c r="N320" s="19">
        <v>179888</v>
      </c>
      <c r="O320" s="54" t="str">
        <f t="shared" si="102"/>
        <v>Yes</v>
      </c>
      <c r="Q320" s="19">
        <v>9.85</v>
      </c>
      <c r="R320" s="56" t="str">
        <f t="shared" si="90"/>
        <v>Yes</v>
      </c>
      <c r="W320" s="19" t="s">
        <v>154</v>
      </c>
      <c r="X320" s="54" t="str">
        <f>VLOOKUP(W320,Employees!$A$1:$B$601,2,FALSE)</f>
        <v>Puspita Mohapatra</v>
      </c>
      <c r="Z320" s="3" t="s">
        <v>953</v>
      </c>
      <c r="AA320" s="54" t="str">
        <f t="shared" si="91"/>
        <v>0319</v>
      </c>
      <c r="AC320" s="3" t="s">
        <v>39</v>
      </c>
      <c r="AD320" s="54" t="str">
        <f t="shared" si="92"/>
        <v>Engineering</v>
      </c>
      <c r="AF320" s="3" t="s">
        <v>625</v>
      </c>
      <c r="AG320" s="3" t="s">
        <v>39</v>
      </c>
      <c r="AH320" s="3" t="s">
        <v>46</v>
      </c>
      <c r="AI320" s="54" t="str">
        <f t="shared" si="93"/>
        <v>Ankita Pattnaik|Engineering|SambalpurNet</v>
      </c>
      <c r="AK320" s="3" t="s">
        <v>625</v>
      </c>
      <c r="AL320" s="38" t="str">
        <f t="shared" si="94"/>
        <v>A.P.</v>
      </c>
      <c r="AN320" s="19" t="s">
        <v>5023</v>
      </c>
      <c r="AO320" s="54" t="str">
        <f t="shared" si="95"/>
        <v>Linkedln</v>
      </c>
      <c r="AQ320" s="3" t="s">
        <v>625</v>
      </c>
      <c r="AR320" s="52" t="str">
        <f t="shared" si="96"/>
        <v>NO</v>
      </c>
      <c r="AW320" s="54">
        <f ca="1">DATEDIF(BI320,TODAY(),"Y")</f>
        <v>8</v>
      </c>
      <c r="AX320" s="54"/>
      <c r="AY320" s="40" t="s">
        <v>5621</v>
      </c>
      <c r="AZ320" s="44">
        <f t="shared" si="97"/>
        <v>44950</v>
      </c>
      <c r="BA320" s="54" t="str">
        <f t="shared" si="98"/>
        <v>1-2023</v>
      </c>
      <c r="BH320" s="3" t="s">
        <v>954</v>
      </c>
      <c r="BI320" s="51">
        <f t="shared" si="103"/>
        <v>43323</v>
      </c>
      <c r="BJ320" s="38">
        <f t="shared" ca="1" si="104"/>
        <v>2090</v>
      </c>
      <c r="BK320" s="38"/>
      <c r="BL320" s="38" t="str">
        <f t="shared" si="105"/>
        <v>No</v>
      </c>
      <c r="BM320" s="59">
        <f t="shared" si="99"/>
        <v>44950</v>
      </c>
      <c r="BN320" s="51">
        <f t="shared" si="106"/>
        <v>43323</v>
      </c>
      <c r="BO320" s="54">
        <f t="shared" si="100"/>
        <v>1627</v>
      </c>
      <c r="BP320" s="3" t="s">
        <v>953</v>
      </c>
      <c r="BQ320" s="3" t="s">
        <v>39</v>
      </c>
      <c r="BR320" s="19" t="s">
        <v>154</v>
      </c>
      <c r="BS320" s="19" t="s">
        <v>2881</v>
      </c>
      <c r="BT320" s="54" t="str">
        <f t="shared" si="101"/>
        <v>QA</v>
      </c>
      <c r="BV320" s="3" t="s">
        <v>953</v>
      </c>
      <c r="BW320" s="3" t="s">
        <v>625</v>
      </c>
      <c r="CB320" s="19" t="s">
        <v>769</v>
      </c>
      <c r="CC320" s="3" t="s">
        <v>625</v>
      </c>
      <c r="CD320" s="3" t="s">
        <v>79</v>
      </c>
      <c r="CE320" s="54" t="str">
        <v>Accountant</v>
      </c>
      <c r="CG320" s="54" t="str">
        <f>IFERROR(_xlfn.XLOOKUP(Hiring!A320,Hiring!A320:A719,Hiring!B320:B719,,0),"Not Found")</f>
        <v>Tanmay Tripathy</v>
      </c>
    </row>
    <row r="321" spans="2:85">
      <c r="B321" s="100"/>
      <c r="F321" s="4">
        <v>3.5</v>
      </c>
      <c r="G321" s="52" t="str" cm="1">
        <f t="array" ref="G321">_xlfn.IFS(F321&gt;=4.5,"Excellent",AND(F321&gt;=3.5,F321&lt;=4.4),"Good",F321&lt;3.5,"Needs Improvement")</f>
        <v>Good</v>
      </c>
      <c r="M321" s="18"/>
      <c r="N321" s="18">
        <v>31938</v>
      </c>
      <c r="O321" s="54" t="str">
        <f t="shared" si="102"/>
        <v>Yes</v>
      </c>
      <c r="Q321" s="18">
        <v>6.67</v>
      </c>
      <c r="R321" s="56" t="str">
        <f t="shared" si="90"/>
        <v>Yes</v>
      </c>
      <c r="W321" s="18" t="s">
        <v>154</v>
      </c>
      <c r="X321" s="54" t="str">
        <f>VLOOKUP(W321,Employees!$A$1:$B$601,2,FALSE)</f>
        <v>Puspita Mohapatra</v>
      </c>
      <c r="Z321" s="4" t="s">
        <v>955</v>
      </c>
      <c r="AA321" s="54" t="str">
        <f t="shared" si="91"/>
        <v>0320</v>
      </c>
      <c r="AC321" s="4" t="s">
        <v>24</v>
      </c>
      <c r="AD321" s="54" t="str">
        <f t="shared" si="92"/>
        <v>Design</v>
      </c>
      <c r="AF321" s="4" t="s">
        <v>785</v>
      </c>
      <c r="AG321" s="4" t="s">
        <v>24</v>
      </c>
      <c r="AH321" s="4" t="s">
        <v>75</v>
      </c>
      <c r="AI321" s="54" t="str">
        <f t="shared" si="93"/>
        <v>Alka Behura|Design|KalingaTech Pvt Ltd</v>
      </c>
      <c r="AK321" s="4" t="s">
        <v>785</v>
      </c>
      <c r="AL321" s="38" t="str">
        <f t="shared" si="94"/>
        <v>A.B.</v>
      </c>
      <c r="AN321" s="18" t="s">
        <v>5016</v>
      </c>
      <c r="AO321" s="54" t="b">
        <f t="shared" si="95"/>
        <v>0</v>
      </c>
      <c r="AQ321" s="4" t="s">
        <v>785</v>
      </c>
      <c r="AR321" s="52" t="str">
        <f t="shared" si="96"/>
        <v>NO</v>
      </c>
      <c r="AW321" s="54">
        <f ca="1">DATEDIF(BI321,TODAY(),"Y")</f>
        <v>4</v>
      </c>
      <c r="AX321" s="54"/>
      <c r="AY321" s="41" t="s">
        <v>5289</v>
      </c>
      <c r="AZ321" s="44">
        <f t="shared" si="97"/>
        <v>45257</v>
      </c>
      <c r="BA321" s="54" t="str">
        <f t="shared" si="98"/>
        <v>11-2023</v>
      </c>
      <c r="BH321" s="4" t="s">
        <v>956</v>
      </c>
      <c r="BI321" s="51">
        <f t="shared" si="103"/>
        <v>44636</v>
      </c>
      <c r="BJ321" s="38">
        <f t="shared" ca="1" si="104"/>
        <v>1153</v>
      </c>
      <c r="BK321" s="38"/>
      <c r="BL321" s="38" t="str">
        <f t="shared" si="105"/>
        <v>Q1</v>
      </c>
      <c r="BM321" s="59">
        <f t="shared" si="99"/>
        <v>45257</v>
      </c>
      <c r="BN321" s="51">
        <f t="shared" si="106"/>
        <v>44636</v>
      </c>
      <c r="BO321" s="54">
        <f t="shared" si="100"/>
        <v>621</v>
      </c>
      <c r="BP321" s="4" t="s">
        <v>955</v>
      </c>
      <c r="BQ321" s="4" t="s">
        <v>24</v>
      </c>
      <c r="BR321" s="18" t="s">
        <v>154</v>
      </c>
      <c r="BS321" s="18" t="s">
        <v>2883</v>
      </c>
      <c r="BT321" s="54" t="str">
        <f t="shared" si="101"/>
        <v>QA</v>
      </c>
      <c r="BV321" s="4" t="s">
        <v>955</v>
      </c>
      <c r="BW321" s="4" t="s">
        <v>785</v>
      </c>
      <c r="CB321" s="18" t="s">
        <v>5155</v>
      </c>
      <c r="CC321" s="4" t="s">
        <v>785</v>
      </c>
      <c r="CD321" s="4" t="s">
        <v>25</v>
      </c>
      <c r="CE321" s="54" t="str">
        <v>Not Found</v>
      </c>
      <c r="CG321" s="54" t="str">
        <f>IFERROR(_xlfn.XLOOKUP(Hiring!A321,Hiring!A321:A720,Hiring!B321:B720,,0),"Not Found")</f>
        <v>Subhasree Mohapatra</v>
      </c>
    </row>
    <row r="322" spans="2:85">
      <c r="B322" s="100"/>
      <c r="F322" s="3">
        <v>2.1</v>
      </c>
      <c r="G322" s="52" t="str" cm="1">
        <f t="array" ref="G322">_xlfn.IFS(F322&gt;=4.5,"Excellent",AND(F322&gt;=3.5,F322&lt;=4.4),"Good",F322&lt;3.5,"Needs Improvement")</f>
        <v>Needs Improvement</v>
      </c>
      <c r="M322" s="19">
        <v>141046</v>
      </c>
      <c r="N322" s="19">
        <v>124570</v>
      </c>
      <c r="O322" s="54" t="str">
        <f t="shared" si="102"/>
        <v>Yes</v>
      </c>
      <c r="Q322" s="19">
        <v>9.5500000000000007</v>
      </c>
      <c r="R322" s="56" t="str">
        <f t="shared" si="90"/>
        <v>Yes</v>
      </c>
      <c r="W322" s="19" t="s">
        <v>154</v>
      </c>
      <c r="X322" s="54" t="str">
        <f>VLOOKUP(W322,Employees!$A$1:$B$601,2,FALSE)</f>
        <v>Puspita Mohapatra</v>
      </c>
      <c r="Z322" s="3" t="s">
        <v>957</v>
      </c>
      <c r="AA322" s="54" t="str">
        <f t="shared" si="91"/>
        <v>0321</v>
      </c>
      <c r="AC322" s="3" t="s">
        <v>39</v>
      </c>
      <c r="AD322" s="54" t="str">
        <f t="shared" si="92"/>
        <v>Engineering</v>
      </c>
      <c r="AF322" s="3" t="s">
        <v>958</v>
      </c>
      <c r="AG322" s="3" t="s">
        <v>39</v>
      </c>
      <c r="AH322" s="3" t="s">
        <v>53</v>
      </c>
      <c r="AI322" s="54" t="str">
        <f t="shared" si="93"/>
        <v>Bikash Parida|Engineering|BlueLotus IT</v>
      </c>
      <c r="AK322" s="3" t="s">
        <v>958</v>
      </c>
      <c r="AL322" s="38" t="str">
        <f t="shared" si="94"/>
        <v>B.P.</v>
      </c>
      <c r="AN322" s="19" t="s">
        <v>5023</v>
      </c>
      <c r="AO322" s="54" t="str">
        <f t="shared" si="95"/>
        <v>Linkedln</v>
      </c>
      <c r="AQ322" s="3" t="s">
        <v>958</v>
      </c>
      <c r="AR322" s="52" t="str">
        <f t="shared" si="96"/>
        <v>NO</v>
      </c>
      <c r="AW322" s="54">
        <f ca="1">DATEDIF(BI322,TODAY(),"Y")</f>
        <v>3</v>
      </c>
      <c r="AX322" s="54"/>
      <c r="AY322" s="40" t="s">
        <v>2300</v>
      </c>
      <c r="AZ322" s="44">
        <f t="shared" si="97"/>
        <v>45590</v>
      </c>
      <c r="BA322" s="54" t="str">
        <f t="shared" si="98"/>
        <v>10-2024</v>
      </c>
      <c r="BH322" s="3" t="s">
        <v>959</v>
      </c>
      <c r="BI322" s="51">
        <f t="shared" si="103"/>
        <v>44881</v>
      </c>
      <c r="BJ322" s="38">
        <f t="shared" ca="1" si="104"/>
        <v>978</v>
      </c>
      <c r="BK322" s="38"/>
      <c r="BL322" s="38" t="str">
        <f t="shared" si="105"/>
        <v>No</v>
      </c>
      <c r="BM322" s="59">
        <f t="shared" si="99"/>
        <v>45590</v>
      </c>
      <c r="BN322" s="51">
        <f t="shared" si="106"/>
        <v>44881</v>
      </c>
      <c r="BO322" s="54">
        <f t="shared" si="100"/>
        <v>709</v>
      </c>
      <c r="BP322" s="3" t="s">
        <v>957</v>
      </c>
      <c r="BQ322" s="3" t="s">
        <v>39</v>
      </c>
      <c r="BR322" s="19" t="s">
        <v>154</v>
      </c>
      <c r="BS322" s="19" t="s">
        <v>2884</v>
      </c>
      <c r="BT322" s="54" t="str">
        <f t="shared" si="101"/>
        <v>QA</v>
      </c>
      <c r="BV322" s="3" t="s">
        <v>957</v>
      </c>
      <c r="BW322" s="3" t="s">
        <v>958</v>
      </c>
      <c r="CB322" s="19" t="s">
        <v>5624</v>
      </c>
      <c r="CC322" s="3" t="s">
        <v>958</v>
      </c>
      <c r="CD322" s="3" t="s">
        <v>197</v>
      </c>
      <c r="CE322" s="54" t="str">
        <v>Not Found</v>
      </c>
      <c r="CG322" s="54" t="str">
        <f>IFERROR(_xlfn.XLOOKUP(Hiring!A322,Hiring!A322:A721,Hiring!B322:B721,,0),"Not Found")</f>
        <v>Chinmaya Routray</v>
      </c>
    </row>
    <row r="323" spans="2:85">
      <c r="B323" s="100"/>
      <c r="F323" s="4">
        <v>1.7</v>
      </c>
      <c r="G323" s="52" t="str" cm="1">
        <f t="array" ref="G323">_xlfn.IFS(F323&gt;=4.5,"Excellent",AND(F323&gt;=3.5,F323&lt;=4.4),"Good",F323&lt;3.5,"Needs Improvement")</f>
        <v>Needs Improvement</v>
      </c>
      <c r="M323" s="18">
        <v>198221</v>
      </c>
      <c r="N323" s="18"/>
      <c r="O323" s="54" t="str">
        <f t="shared" si="102"/>
        <v>Yes</v>
      </c>
      <c r="Q323" s="18">
        <v>7.82</v>
      </c>
      <c r="R323" s="56" t="str">
        <f t="shared" ref="R323:R386" si="107">IF(ISBLANK(Q323),"No","Yes")</f>
        <v>Yes</v>
      </c>
      <c r="W323" s="18" t="s">
        <v>154</v>
      </c>
      <c r="X323" s="54" t="str">
        <f>VLOOKUP(W323,Employees!$A$1:$B$601,2,FALSE)</f>
        <v>Puspita Mohapatra</v>
      </c>
      <c r="Z323" s="4" t="s">
        <v>960</v>
      </c>
      <c r="AA323" s="54" t="str">
        <f t="shared" ref="AA323:AA386" si="108">RIGHT(Z323,4)</f>
        <v>0322</v>
      </c>
      <c r="AC323" s="4" t="s">
        <v>63</v>
      </c>
      <c r="AD323" s="54" t="str">
        <f t="shared" ref="AD323:AD386" si="109">PROPER(AC323)</f>
        <v>Product</v>
      </c>
      <c r="AF323" s="4" t="s">
        <v>961</v>
      </c>
      <c r="AG323" s="4" t="s">
        <v>63</v>
      </c>
      <c r="AH323" s="4" t="s">
        <v>18</v>
      </c>
      <c r="AI323" s="54" t="str">
        <f t="shared" ref="AI323:AI386" si="110">_xlfn.CONCAT(AF323,"|",AG323,"|",AH323)</f>
        <v>Aditya Parida|Product|CoastalDev Studio</v>
      </c>
      <c r="AK323" s="4" t="s">
        <v>961</v>
      </c>
      <c r="AL323" s="38" t="str">
        <f t="shared" ref="AL323:AL386" si="111">LEFT(AK323,1)&amp;"."&amp;MID(AK323,FIND(" ",AK323)+1,1)&amp;"."</f>
        <v>A.P.</v>
      </c>
      <c r="AN323" s="18" t="s">
        <v>5016</v>
      </c>
      <c r="AO323" s="54" t="b">
        <f t="shared" ref="AO323:AO386" si="112">IF(UPPER(AN323)="linkedin","Linkedln",IF(UPPER(AN323)="naukri","Naukri"))</f>
        <v>0</v>
      </c>
      <c r="AQ323" s="4" t="s">
        <v>961</v>
      </c>
      <c r="AR323" s="52" t="str">
        <f t="shared" ref="AR323:AR386" si="113">IF(ISNUMBER(SEARCH("Mishra",AQ323)),"Mishra","NO")</f>
        <v>NO</v>
      </c>
      <c r="AW323" s="54">
        <f ca="1">DATEDIF(BI323,TODAY(),"Y")</f>
        <v>4</v>
      </c>
      <c r="AX323" s="54"/>
      <c r="AY323" s="41" t="s">
        <v>1961</v>
      </c>
      <c r="AZ323" s="44">
        <f t="shared" ref="AZ323:AZ386" si="114">DATE(RIGHT(AY323,4),MID(AY323,4,2),LEFT(AY323,2))</f>
        <v>45255</v>
      </c>
      <c r="BA323" s="54" t="str">
        <f t="shared" ref="BA323:BA386" si="115">MONTH(AZ323)&amp;"-"&amp;YEAR(AZ323)</f>
        <v>11-2023</v>
      </c>
      <c r="BH323" s="4" t="s">
        <v>962</v>
      </c>
      <c r="BI323" s="51">
        <f t="shared" si="103"/>
        <v>44653</v>
      </c>
      <c r="BJ323" s="38">
        <f t="shared" ca="1" si="104"/>
        <v>1140</v>
      </c>
      <c r="BK323" s="38"/>
      <c r="BL323" s="38" t="str">
        <f t="shared" si="105"/>
        <v>No</v>
      </c>
      <c r="BM323" s="59">
        <f t="shared" ref="BM323:BM386" si="116">DATE(RIGHT(AY323,4),MID(AY323,4,2),LEFT(AY323,2))</f>
        <v>45255</v>
      </c>
      <c r="BN323" s="51">
        <f t="shared" si="106"/>
        <v>44653</v>
      </c>
      <c r="BO323" s="54">
        <f t="shared" ref="BO323:BO386" si="117">ABS(BN323-BM323)</f>
        <v>602</v>
      </c>
      <c r="BP323" s="4" t="s">
        <v>960</v>
      </c>
      <c r="BQ323" s="4" t="s">
        <v>63</v>
      </c>
      <c r="BR323" s="18" t="s">
        <v>154</v>
      </c>
      <c r="BS323" s="18" t="s">
        <v>2886</v>
      </c>
      <c r="BT323" s="54" t="str">
        <f t="shared" ref="BT323:BT386" si="118">VLOOKUP(BR323,$BP$2:$BQ$601,2,FALSE)</f>
        <v>QA</v>
      </c>
      <c r="BV323" s="4" t="s">
        <v>960</v>
      </c>
      <c r="BW323" s="4" t="s">
        <v>961</v>
      </c>
      <c r="CB323" s="18" t="s">
        <v>548</v>
      </c>
      <c r="CC323" s="4" t="s">
        <v>961</v>
      </c>
      <c r="CD323" s="4" t="s">
        <v>64</v>
      </c>
      <c r="CE323" s="54" t="str">
        <v>HR Manager</v>
      </c>
      <c r="CG323" s="54" t="str">
        <f>IFERROR(_xlfn.XLOOKUP(Hiring!A323,Hiring!A323:A722,Hiring!B323:B722,,0),"Not Found")</f>
        <v>Barsha Pattnaik</v>
      </c>
    </row>
    <row r="324" spans="2:85">
      <c r="B324" s="100"/>
      <c r="F324" s="3">
        <v>4.2</v>
      </c>
      <c r="G324" s="52" t="str" cm="1">
        <f t="array" ref="G324">_xlfn.IFS(F324&gt;=4.5,"Excellent",AND(F324&gt;=3.5,F324&lt;=4.4),"Good",F324&lt;3.5,"Needs Improvement")</f>
        <v>Good</v>
      </c>
      <c r="M324" s="19"/>
      <c r="N324" s="19">
        <v>104587</v>
      </c>
      <c r="O324" s="54" t="str">
        <f t="shared" ref="O324:O387" si="119">IF(M324&lt;&gt;N324,"Yes","No")</f>
        <v>Yes</v>
      </c>
      <c r="Q324" s="19">
        <v>7.49</v>
      </c>
      <c r="R324" s="56" t="str">
        <f t="shared" si="107"/>
        <v>Yes</v>
      </c>
      <c r="W324" s="19" t="s">
        <v>154</v>
      </c>
      <c r="X324" s="54" t="str">
        <f>VLOOKUP(W324,Employees!$A$1:$B$601,2,FALSE)</f>
        <v>Puspita Mohapatra</v>
      </c>
      <c r="Z324" s="3" t="s">
        <v>963</v>
      </c>
      <c r="AA324" s="54" t="str">
        <f t="shared" si="108"/>
        <v>0323</v>
      </c>
      <c r="AC324" s="3" t="s">
        <v>133</v>
      </c>
      <c r="AD324" s="54" t="str">
        <f t="shared" si="109"/>
        <v>Qa</v>
      </c>
      <c r="AF324" s="3" t="s">
        <v>964</v>
      </c>
      <c r="AG324" s="3" t="s">
        <v>133</v>
      </c>
      <c r="AH324" s="3" t="s">
        <v>65</v>
      </c>
      <c r="AI324" s="54" t="str">
        <f t="shared" si="110"/>
        <v>Aditya Sahu|QA|TributeAI</v>
      </c>
      <c r="AK324" s="3" t="s">
        <v>964</v>
      </c>
      <c r="AL324" s="38" t="str">
        <f t="shared" si="111"/>
        <v>A.S.</v>
      </c>
      <c r="AN324" s="19" t="s">
        <v>5016</v>
      </c>
      <c r="AO324" s="54" t="b">
        <f t="shared" si="112"/>
        <v>0</v>
      </c>
      <c r="AQ324" s="3" t="s">
        <v>964</v>
      </c>
      <c r="AR324" s="52" t="str">
        <f t="shared" si="113"/>
        <v>NO</v>
      </c>
      <c r="AW324" s="54">
        <f ca="1">DATEDIF(BI324,TODAY(),"Y")</f>
        <v>5</v>
      </c>
      <c r="AX324" s="54"/>
      <c r="AY324" s="40" t="s">
        <v>5153</v>
      </c>
      <c r="AZ324" s="44">
        <f t="shared" si="114"/>
        <v>45643</v>
      </c>
      <c r="BA324" s="54" t="str">
        <f t="shared" si="115"/>
        <v>12-2024</v>
      </c>
      <c r="BH324" s="3" t="s">
        <v>312</v>
      </c>
      <c r="BI324" s="51">
        <f t="shared" ref="BI324:BI387" si="120">IF(LEN(LEFT(BH324,FIND("-",BH324)-1))=4,DATE(LEFT(BH324,4),MID(BH324,6,2),RIGHT(BH324,2)),DATE(RIGHT(BH324,4),MID(BH324,4,2),LEFT(BH324,2)))</f>
        <v>44125</v>
      </c>
      <c r="BJ324" s="38">
        <f t="shared" ref="BJ324:BJ387" ca="1" si="121">NETWORKDAYS(BI324,TODAY())</f>
        <v>1518</v>
      </c>
      <c r="BK324" s="38"/>
      <c r="BL324" s="38" t="str">
        <f t="shared" ref="BL324:BL387" si="122">IF(MONTH(BI324)&lt;=3,"Q1","No")</f>
        <v>No</v>
      </c>
      <c r="BM324" s="59">
        <f t="shared" si="116"/>
        <v>45643</v>
      </c>
      <c r="BN324" s="51">
        <f t="shared" ref="BN324:BN387" si="123">IF(LEN(LEFT(BH324,FIND("-",BH324)-1))=4,DATE(LEFT(BH324,4),MID(BH324,6,2),RIGHT(BH324,2)),DATE(RIGHT(BH324,4),MID(BH324,4,2),LEFT(BH324,2)))</f>
        <v>44125</v>
      </c>
      <c r="BO324" s="54">
        <f t="shared" si="117"/>
        <v>1518</v>
      </c>
      <c r="BP324" s="3" t="s">
        <v>963</v>
      </c>
      <c r="BQ324" s="3" t="s">
        <v>133</v>
      </c>
      <c r="BR324" s="19" t="s">
        <v>154</v>
      </c>
      <c r="BS324" s="19" t="s">
        <v>2887</v>
      </c>
      <c r="BT324" s="54" t="str">
        <f t="shared" si="118"/>
        <v>QA</v>
      </c>
      <c r="BV324" s="3" t="s">
        <v>963</v>
      </c>
      <c r="BW324" s="3" t="s">
        <v>964</v>
      </c>
      <c r="CB324" s="19" t="s">
        <v>919</v>
      </c>
      <c r="CC324" s="3" t="s">
        <v>964</v>
      </c>
      <c r="CD324" s="3" t="s">
        <v>153</v>
      </c>
      <c r="CE324" s="54" t="str">
        <v>QA Engineer</v>
      </c>
      <c r="CG324" s="54" t="str">
        <f>IFERROR(_xlfn.XLOOKUP(Hiring!A324,Hiring!A324:A723,Hiring!B324:B723,,0),"Not Found")</f>
        <v>Nirmal Dhal</v>
      </c>
    </row>
    <row r="325" spans="2:85">
      <c r="B325" s="100"/>
      <c r="F325" s="4">
        <v>5</v>
      </c>
      <c r="G325" s="52" t="str" cm="1">
        <f t="array" ref="G325">_xlfn.IFS(F325&gt;=4.5,"Excellent",AND(F325&gt;=3.5,F325&lt;=4.4),"Good",F325&lt;3.5,"Needs Improvement")</f>
        <v>Excellent</v>
      </c>
      <c r="M325" s="18">
        <v>37560</v>
      </c>
      <c r="N325" s="18">
        <v>42359</v>
      </c>
      <c r="O325" s="54" t="str">
        <f t="shared" si="119"/>
        <v>Yes</v>
      </c>
      <c r="Q325" s="18">
        <v>8.7899999999999991</v>
      </c>
      <c r="R325" s="56" t="str">
        <f t="shared" si="107"/>
        <v>Yes</v>
      </c>
      <c r="W325" s="18" t="s">
        <v>154</v>
      </c>
      <c r="X325" s="54" t="str">
        <f>VLOOKUP(W325,Employees!$A$1:$B$601,2,FALSE)</f>
        <v>Puspita Mohapatra</v>
      </c>
      <c r="Z325" s="4" t="s">
        <v>965</v>
      </c>
      <c r="AA325" s="54" t="str">
        <f t="shared" si="108"/>
        <v>0324</v>
      </c>
      <c r="AC325" s="4" t="s">
        <v>967</v>
      </c>
      <c r="AD325" s="54" t="str">
        <f t="shared" si="109"/>
        <v>Engineering</v>
      </c>
      <c r="AF325" s="4" t="s">
        <v>966</v>
      </c>
      <c r="AG325" s="4" t="s">
        <v>967</v>
      </c>
      <c r="AH325" s="4" t="s">
        <v>214</v>
      </c>
      <c r="AI325" s="54" t="str">
        <f t="shared" si="110"/>
        <v>Aditya Sahoo|engineering|ZeroOneSystems</v>
      </c>
      <c r="AK325" s="4" t="s">
        <v>966</v>
      </c>
      <c r="AL325" s="38" t="str">
        <f t="shared" si="111"/>
        <v>A.S.</v>
      </c>
      <c r="AN325" s="18" t="s">
        <v>5031</v>
      </c>
      <c r="AO325" s="54" t="b">
        <f t="shared" si="112"/>
        <v>0</v>
      </c>
      <c r="AQ325" s="4" t="s">
        <v>966</v>
      </c>
      <c r="AR325" s="52" t="str">
        <f t="shared" si="113"/>
        <v>NO</v>
      </c>
      <c r="AW325" s="54">
        <f ca="1">DATEDIF(BI325,TODAY(),"Y")</f>
        <v>6</v>
      </c>
      <c r="AX325" s="54"/>
      <c r="AY325" s="41" t="s">
        <v>1881</v>
      </c>
      <c r="AZ325" s="44">
        <f t="shared" si="114"/>
        <v>45254</v>
      </c>
      <c r="BA325" s="54" t="str">
        <f t="shared" si="115"/>
        <v>11-2023</v>
      </c>
      <c r="BH325" s="4" t="s">
        <v>968</v>
      </c>
      <c r="BI325" s="51">
        <f t="shared" si="120"/>
        <v>43745</v>
      </c>
      <c r="BJ325" s="38">
        <f t="shared" ca="1" si="121"/>
        <v>1790</v>
      </c>
      <c r="BK325" s="38"/>
      <c r="BL325" s="38" t="str">
        <f t="shared" si="122"/>
        <v>No</v>
      </c>
      <c r="BM325" s="59">
        <f t="shared" si="116"/>
        <v>45254</v>
      </c>
      <c r="BN325" s="51">
        <f t="shared" si="123"/>
        <v>43745</v>
      </c>
      <c r="BO325" s="54">
        <f t="shared" si="117"/>
        <v>1509</v>
      </c>
      <c r="BP325" s="4" t="s">
        <v>965</v>
      </c>
      <c r="BQ325" s="4" t="s">
        <v>967</v>
      </c>
      <c r="BR325" s="18" t="s">
        <v>154</v>
      </c>
      <c r="BS325" s="18" t="s">
        <v>2890</v>
      </c>
      <c r="BT325" s="54" t="str">
        <f t="shared" si="118"/>
        <v>QA</v>
      </c>
      <c r="BV325" s="4" t="s">
        <v>965</v>
      </c>
      <c r="BW325" s="4" t="s">
        <v>966</v>
      </c>
      <c r="CB325" s="18" t="s">
        <v>5628</v>
      </c>
      <c r="CC325" s="4" t="s">
        <v>966</v>
      </c>
      <c r="CD325" s="4" t="s">
        <v>79</v>
      </c>
      <c r="CE325" s="54" t="str">
        <v>Not Found</v>
      </c>
      <c r="CG325" s="54" t="str">
        <f>IFERROR(_xlfn.XLOOKUP(Hiring!A325,Hiring!A325:A724,Hiring!B325:B724,,0),"Not Found")</f>
        <v>Abhishek Biswal</v>
      </c>
    </row>
    <row r="326" spans="2:85">
      <c r="B326" s="100"/>
      <c r="F326" s="3">
        <v>4.9000000000000004</v>
      </c>
      <c r="G326" s="52" t="str" cm="1">
        <f t="array" ref="G326">_xlfn.IFS(F326&gt;=4.5,"Excellent",AND(F326&gt;=3.5,F326&lt;=4.4),"Good",F326&lt;3.5,"Needs Improvement")</f>
        <v>Excellent</v>
      </c>
      <c r="M326" s="19">
        <v>181741</v>
      </c>
      <c r="N326" s="19">
        <v>193937</v>
      </c>
      <c r="O326" s="54" t="str">
        <f t="shared" si="119"/>
        <v>Yes</v>
      </c>
      <c r="Q326" s="19">
        <v>10.63</v>
      </c>
      <c r="R326" s="56" t="str">
        <f t="shared" si="107"/>
        <v>Yes</v>
      </c>
      <c r="W326" s="19" t="s">
        <v>154</v>
      </c>
      <c r="X326" s="54" t="str">
        <f>VLOOKUP(W326,Employees!$A$1:$B$601,2,FALSE)</f>
        <v>Puspita Mohapatra</v>
      </c>
      <c r="Z326" s="3" t="s">
        <v>969</v>
      </c>
      <c r="AA326" s="54" t="str">
        <f t="shared" si="108"/>
        <v>0325</v>
      </c>
      <c r="AC326" s="3" t="s">
        <v>89</v>
      </c>
      <c r="AD326" s="54" t="str">
        <f t="shared" si="109"/>
        <v>Data Science</v>
      </c>
      <c r="AF326" s="3" t="s">
        <v>970</v>
      </c>
      <c r="AG326" s="3" t="s">
        <v>89</v>
      </c>
      <c r="AH326" s="3" t="s">
        <v>172</v>
      </c>
      <c r="AI326" s="54" t="str">
        <f t="shared" si="110"/>
        <v>Alka Mishra|Data Science|TechNova Solutions</v>
      </c>
      <c r="AK326" s="3" t="s">
        <v>970</v>
      </c>
      <c r="AL326" s="38" t="str">
        <f t="shared" si="111"/>
        <v>A.M.</v>
      </c>
      <c r="AN326" s="19" t="s">
        <v>5031</v>
      </c>
      <c r="AO326" s="54" t="b">
        <f t="shared" si="112"/>
        <v>0</v>
      </c>
      <c r="AQ326" s="3" t="s">
        <v>970</v>
      </c>
      <c r="AR326" s="52" t="str">
        <f t="shared" si="113"/>
        <v>Mishra</v>
      </c>
      <c r="AW326" s="54">
        <f ca="1">DATEDIF(BI326,TODAY(),"Y")</f>
        <v>6</v>
      </c>
      <c r="AX326" s="54"/>
      <c r="AY326" s="40" t="s">
        <v>5239</v>
      </c>
      <c r="AZ326" s="44">
        <f t="shared" si="114"/>
        <v>45640</v>
      </c>
      <c r="BA326" s="54" t="str">
        <f t="shared" si="115"/>
        <v>12-2024</v>
      </c>
      <c r="BH326" s="3" t="s">
        <v>971</v>
      </c>
      <c r="BI326" s="51">
        <f t="shared" si="120"/>
        <v>43861</v>
      </c>
      <c r="BJ326" s="38">
        <f t="shared" ca="1" si="121"/>
        <v>1706</v>
      </c>
      <c r="BK326" s="38"/>
      <c r="BL326" s="38" t="str">
        <f t="shared" si="122"/>
        <v>Q1</v>
      </c>
      <c r="BM326" s="59">
        <f t="shared" si="116"/>
        <v>45640</v>
      </c>
      <c r="BN326" s="51">
        <f t="shared" si="123"/>
        <v>43861</v>
      </c>
      <c r="BO326" s="54">
        <f t="shared" si="117"/>
        <v>1779</v>
      </c>
      <c r="BP326" s="3" t="s">
        <v>969</v>
      </c>
      <c r="BQ326" s="3" t="s">
        <v>89</v>
      </c>
      <c r="BR326" s="19" t="s">
        <v>154</v>
      </c>
      <c r="BS326" s="19" t="s">
        <v>2891</v>
      </c>
      <c r="BT326" s="54" t="str">
        <f t="shared" si="118"/>
        <v>QA</v>
      </c>
      <c r="BV326" s="3" t="s">
        <v>969</v>
      </c>
      <c r="BW326" s="3" t="s">
        <v>970</v>
      </c>
      <c r="CB326" s="19" t="s">
        <v>241</v>
      </c>
      <c r="CC326" s="3" t="s">
        <v>970</v>
      </c>
      <c r="CD326" s="3" t="s">
        <v>376</v>
      </c>
      <c r="CE326" s="54" t="str">
        <v>Junior Developer</v>
      </c>
      <c r="CG326" s="54" t="str">
        <f>IFERROR(_xlfn.XLOOKUP(Hiring!A326,Hiring!A326:A725,Hiring!B326:B725,,0),"Not Found")</f>
        <v>Soumya Nanda</v>
      </c>
    </row>
    <row r="327" spans="2:85">
      <c r="B327" s="100"/>
      <c r="F327" s="4">
        <v>3</v>
      </c>
      <c r="G327" s="52" t="str" cm="1">
        <f t="array" ref="G327">_xlfn.IFS(F327&gt;=4.5,"Excellent",AND(F327&gt;=3.5,F327&lt;=4.4),"Good",F327&lt;3.5,"Needs Improvement")</f>
        <v>Needs Improvement</v>
      </c>
      <c r="M327" s="18">
        <v>150027</v>
      </c>
      <c r="N327" s="18">
        <v>160484</v>
      </c>
      <c r="O327" s="54" t="str">
        <f t="shared" si="119"/>
        <v>Yes</v>
      </c>
      <c r="Q327" s="18">
        <v>10.27</v>
      </c>
      <c r="R327" s="56" t="str">
        <f t="shared" si="107"/>
        <v>Yes</v>
      </c>
      <c r="W327" s="18" t="s">
        <v>154</v>
      </c>
      <c r="X327" s="54" t="str">
        <f>VLOOKUP(W327,Employees!$A$1:$B$601,2,FALSE)</f>
        <v>Puspita Mohapatra</v>
      </c>
      <c r="Z327" s="4" t="s">
        <v>972</v>
      </c>
      <c r="AA327" s="54" t="str">
        <f t="shared" si="108"/>
        <v>0326</v>
      </c>
      <c r="AC327" s="4" t="s">
        <v>24</v>
      </c>
      <c r="AD327" s="54" t="str">
        <f t="shared" si="109"/>
        <v>Design</v>
      </c>
      <c r="AF327" s="4" t="s">
        <v>443</v>
      </c>
      <c r="AG327" s="4" t="s">
        <v>24</v>
      </c>
      <c r="AH327" s="4" t="s">
        <v>70</v>
      </c>
      <c r="AI327" s="54" t="str">
        <f t="shared" si="110"/>
        <v>Rajan Mishra|Design|OdishaCode Labs</v>
      </c>
      <c r="AK327" s="4" t="s">
        <v>443</v>
      </c>
      <c r="AL327" s="38" t="str">
        <f t="shared" si="111"/>
        <v>R.M.</v>
      </c>
      <c r="AN327" s="18" t="s">
        <v>5077</v>
      </c>
      <c r="AO327" s="54" t="b">
        <f t="shared" si="112"/>
        <v>0</v>
      </c>
      <c r="AQ327" s="4" t="s">
        <v>443</v>
      </c>
      <c r="AR327" s="52" t="str">
        <f t="shared" si="113"/>
        <v>Mishra</v>
      </c>
      <c r="AW327" s="54">
        <f ca="1">DATEDIF(BI327,TODAY(),"Y")</f>
        <v>4</v>
      </c>
      <c r="AX327" s="54"/>
      <c r="AY327" s="41" t="s">
        <v>1511</v>
      </c>
      <c r="AZ327" s="44">
        <f t="shared" si="114"/>
        <v>45377</v>
      </c>
      <c r="BA327" s="54" t="str">
        <f t="shared" si="115"/>
        <v>3-2024</v>
      </c>
      <c r="BH327" s="4" t="s">
        <v>973</v>
      </c>
      <c r="BI327" s="51">
        <f t="shared" si="120"/>
        <v>44601</v>
      </c>
      <c r="BJ327" s="38">
        <f t="shared" ca="1" si="121"/>
        <v>1178</v>
      </c>
      <c r="BK327" s="38"/>
      <c r="BL327" s="38" t="str">
        <f t="shared" si="122"/>
        <v>Q1</v>
      </c>
      <c r="BM327" s="59">
        <f t="shared" si="116"/>
        <v>45377</v>
      </c>
      <c r="BN327" s="51">
        <f t="shared" si="123"/>
        <v>44601</v>
      </c>
      <c r="BO327" s="54">
        <f t="shared" si="117"/>
        <v>776</v>
      </c>
      <c r="BP327" s="4" t="s">
        <v>972</v>
      </c>
      <c r="BQ327" s="4" t="s">
        <v>24</v>
      </c>
      <c r="BR327" s="18" t="s">
        <v>154</v>
      </c>
      <c r="BS327" s="18" t="s">
        <v>2892</v>
      </c>
      <c r="BT327" s="54" t="str">
        <f t="shared" si="118"/>
        <v>QA</v>
      </c>
      <c r="BV327" s="4" t="s">
        <v>972</v>
      </c>
      <c r="BW327" s="4" t="s">
        <v>443</v>
      </c>
      <c r="CB327" s="18" t="s">
        <v>104</v>
      </c>
      <c r="CC327" s="4" t="s">
        <v>443</v>
      </c>
      <c r="CD327" s="4" t="s">
        <v>25</v>
      </c>
      <c r="CE327" s="54" t="str">
        <v>Sales Manager</v>
      </c>
      <c r="CG327" s="54" t="str">
        <f>IFERROR(_xlfn.XLOOKUP(Hiring!A327,Hiring!A327:A726,Hiring!B327:B726,,0),"Not Found")</f>
        <v>Sangita Padhi</v>
      </c>
    </row>
    <row r="328" spans="2:85">
      <c r="B328" s="100"/>
      <c r="F328" s="3">
        <v>3.9</v>
      </c>
      <c r="G328" s="52" t="str" cm="1">
        <f t="array" ref="G328">_xlfn.IFS(F328&gt;=4.5,"Excellent",AND(F328&gt;=3.5,F328&lt;=4.4),"Good",F328&lt;3.5,"Needs Improvement")</f>
        <v>Good</v>
      </c>
      <c r="M328" s="19">
        <v>163730</v>
      </c>
      <c r="N328" s="19">
        <v>159428</v>
      </c>
      <c r="O328" s="54" t="str">
        <f t="shared" si="119"/>
        <v>Yes</v>
      </c>
      <c r="Q328" s="19">
        <v>7.97</v>
      </c>
      <c r="R328" s="56" t="str">
        <f t="shared" si="107"/>
        <v>Yes</v>
      </c>
      <c r="W328" s="19" t="s">
        <v>154</v>
      </c>
      <c r="X328" s="54" t="str">
        <f>VLOOKUP(W328,Employees!$A$1:$B$601,2,FALSE)</f>
        <v>Puspita Mohapatra</v>
      </c>
      <c r="Z328" s="3" t="s">
        <v>974</v>
      </c>
      <c r="AA328" s="54" t="str">
        <f t="shared" si="108"/>
        <v>0327</v>
      </c>
      <c r="AC328" s="3" t="s">
        <v>976</v>
      </c>
      <c r="AD328" s="54" t="str">
        <f t="shared" si="109"/>
        <v>Hr</v>
      </c>
      <c r="AF328" s="3" t="s">
        <v>975</v>
      </c>
      <c r="AG328" s="3" t="s">
        <v>976</v>
      </c>
      <c r="AH328" s="3" t="s">
        <v>70</v>
      </c>
      <c r="AI328" s="54" t="str">
        <f t="shared" si="110"/>
        <v>Priyanka Choudhury|hr|OdishaCode Labs</v>
      </c>
      <c r="AK328" s="3" t="s">
        <v>975</v>
      </c>
      <c r="AL328" s="38" t="str">
        <f t="shared" si="111"/>
        <v>P.C.</v>
      </c>
      <c r="AN328" s="19" t="s">
        <v>5051</v>
      </c>
      <c r="AO328" s="54" t="str">
        <f t="shared" si="112"/>
        <v>Naukri</v>
      </c>
      <c r="AQ328" s="3" t="s">
        <v>975</v>
      </c>
      <c r="AR328" s="52" t="str">
        <f t="shared" si="113"/>
        <v>NO</v>
      </c>
      <c r="AW328" s="54">
        <f ca="1">DATEDIF(BI328,TODAY(),"Y")</f>
        <v>3</v>
      </c>
      <c r="AX328" s="54"/>
      <c r="AY328" s="40" t="s">
        <v>5124</v>
      </c>
      <c r="AZ328" s="44">
        <f t="shared" si="114"/>
        <v>45100</v>
      </c>
      <c r="BA328" s="54" t="str">
        <f t="shared" si="115"/>
        <v>6-2023</v>
      </c>
      <c r="BH328" s="3" t="s">
        <v>977</v>
      </c>
      <c r="BI328" s="51">
        <f t="shared" si="120"/>
        <v>45121</v>
      </c>
      <c r="BJ328" s="38">
        <f t="shared" ca="1" si="121"/>
        <v>806</v>
      </c>
      <c r="BK328" s="38"/>
      <c r="BL328" s="38" t="str">
        <f t="shared" si="122"/>
        <v>No</v>
      </c>
      <c r="BM328" s="59">
        <f t="shared" si="116"/>
        <v>45100</v>
      </c>
      <c r="BN328" s="51">
        <f t="shared" si="123"/>
        <v>45121</v>
      </c>
      <c r="BO328" s="54">
        <f t="shared" si="117"/>
        <v>21</v>
      </c>
      <c r="BP328" s="3" t="s">
        <v>974</v>
      </c>
      <c r="BQ328" s="3" t="s">
        <v>976</v>
      </c>
      <c r="BR328" s="19" t="s">
        <v>154</v>
      </c>
      <c r="BS328" s="19" t="s">
        <v>2894</v>
      </c>
      <c r="BT328" s="54" t="str">
        <f t="shared" si="118"/>
        <v>QA</v>
      </c>
      <c r="BV328" s="3" t="s">
        <v>974</v>
      </c>
      <c r="BW328" s="3" t="s">
        <v>975</v>
      </c>
      <c r="CB328" s="19" t="s">
        <v>5632</v>
      </c>
      <c r="CC328" s="3" t="s">
        <v>975</v>
      </c>
      <c r="CD328" s="3" t="s">
        <v>138</v>
      </c>
      <c r="CE328" s="54" t="str">
        <v>Not Found</v>
      </c>
      <c r="CG328" s="54" t="str">
        <f>IFERROR(_xlfn.XLOOKUP(Hiring!A328,Hiring!A328:A727,Hiring!B328:B727,,0),"Not Found")</f>
        <v>Aditya Padhi</v>
      </c>
    </row>
    <row r="329" spans="2:85">
      <c r="B329" s="100"/>
      <c r="F329" s="4">
        <v>4.0999999999999996</v>
      </c>
      <c r="G329" s="52" t="str" cm="1">
        <f t="array" ref="G329">_xlfn.IFS(F329&gt;=4.5,"Excellent",AND(F329&gt;=3.5,F329&lt;=4.4),"Good",F329&lt;3.5,"Needs Improvement")</f>
        <v>Good</v>
      </c>
      <c r="M329" s="18">
        <v>42361</v>
      </c>
      <c r="N329" s="18">
        <v>38796</v>
      </c>
      <c r="O329" s="54" t="str">
        <f t="shared" si="119"/>
        <v>Yes</v>
      </c>
      <c r="Q329" s="18">
        <v>11.06</v>
      </c>
      <c r="R329" s="56" t="str">
        <f t="shared" si="107"/>
        <v>Yes</v>
      </c>
      <c r="W329" s="18" t="s">
        <v>154</v>
      </c>
      <c r="X329" s="54" t="str">
        <f>VLOOKUP(W329,Employees!$A$1:$B$601,2,FALSE)</f>
        <v>Puspita Mohapatra</v>
      </c>
      <c r="Z329" s="4" t="s">
        <v>978</v>
      </c>
      <c r="AA329" s="54" t="str">
        <f t="shared" si="108"/>
        <v>0328</v>
      </c>
      <c r="AC329" s="4" t="s">
        <v>84</v>
      </c>
      <c r="AD329" s="54" t="str">
        <f t="shared" si="109"/>
        <v>Hr</v>
      </c>
      <c r="AF329" s="4" t="s">
        <v>171</v>
      </c>
      <c r="AG329" s="4" t="s">
        <v>84</v>
      </c>
      <c r="AH329" s="4" t="s">
        <v>65</v>
      </c>
      <c r="AI329" s="54" t="str">
        <f t="shared" si="110"/>
        <v>Tanmay Padhi|HR|TributeAI</v>
      </c>
      <c r="AK329" s="4" t="s">
        <v>171</v>
      </c>
      <c r="AL329" s="38" t="str">
        <f t="shared" si="111"/>
        <v>T.P.</v>
      </c>
      <c r="AN329" s="18" t="s">
        <v>5025</v>
      </c>
      <c r="AO329" s="54" t="b">
        <f t="shared" si="112"/>
        <v>0</v>
      </c>
      <c r="AQ329" s="4" t="s">
        <v>171</v>
      </c>
      <c r="AR329" s="52" t="str">
        <f t="shared" si="113"/>
        <v>NO</v>
      </c>
      <c r="AW329" s="54">
        <f ca="1">DATEDIF(BI329,TODAY(),"Y")</f>
        <v>7</v>
      </c>
      <c r="AX329" s="54"/>
      <c r="AY329" s="41" t="s">
        <v>1948</v>
      </c>
      <c r="AZ329" s="44">
        <f t="shared" si="114"/>
        <v>45579</v>
      </c>
      <c r="BA329" s="54" t="str">
        <f t="shared" si="115"/>
        <v>10-2024</v>
      </c>
      <c r="BH329" s="4" t="s">
        <v>139</v>
      </c>
      <c r="BI329" s="51">
        <f t="shared" si="120"/>
        <v>43573</v>
      </c>
      <c r="BJ329" s="38">
        <f t="shared" ca="1" si="121"/>
        <v>1912</v>
      </c>
      <c r="BK329" s="38"/>
      <c r="BL329" s="38" t="str">
        <f t="shared" si="122"/>
        <v>No</v>
      </c>
      <c r="BM329" s="59">
        <f t="shared" si="116"/>
        <v>45579</v>
      </c>
      <c r="BN329" s="51">
        <f t="shared" si="123"/>
        <v>43573</v>
      </c>
      <c r="BO329" s="54">
        <f t="shared" si="117"/>
        <v>2006</v>
      </c>
      <c r="BP329" s="4" t="s">
        <v>978</v>
      </c>
      <c r="BQ329" s="4" t="s">
        <v>84</v>
      </c>
      <c r="BR329" s="18" t="s">
        <v>154</v>
      </c>
      <c r="BS329" s="18" t="s">
        <v>2896</v>
      </c>
      <c r="BT329" s="54" t="str">
        <f t="shared" si="118"/>
        <v>QA</v>
      </c>
      <c r="BV329" s="4" t="s">
        <v>978</v>
      </c>
      <c r="BW329" s="4" t="s">
        <v>171</v>
      </c>
      <c r="CB329" s="18" t="s">
        <v>269</v>
      </c>
      <c r="CC329" s="4" t="s">
        <v>171</v>
      </c>
      <c r="CD329" s="4" t="s">
        <v>85</v>
      </c>
      <c r="CE329" s="54" t="str">
        <v>Junior Developer</v>
      </c>
      <c r="CG329" s="54" t="str">
        <f>IFERROR(_xlfn.XLOOKUP(Hiring!A329,Hiring!A329:A728,Hiring!B329:B728,,0),"Not Found")</f>
        <v>Prasant Mishra</v>
      </c>
    </row>
    <row r="330" spans="2:85">
      <c r="B330" s="100"/>
      <c r="F330" s="3">
        <v>4.5999999999999996</v>
      </c>
      <c r="G330" s="52" t="str" cm="1">
        <f t="array" ref="G330">_xlfn.IFS(F330&gt;=4.5,"Excellent",AND(F330&gt;=3.5,F330&lt;=4.4),"Good",F330&lt;3.5,"Needs Improvement")</f>
        <v>Excellent</v>
      </c>
      <c r="M330" s="19">
        <v>113755</v>
      </c>
      <c r="N330" s="19">
        <v>100488</v>
      </c>
      <c r="O330" s="54" t="str">
        <f t="shared" si="119"/>
        <v>Yes</v>
      </c>
      <c r="Q330" s="19">
        <v>7.43</v>
      </c>
      <c r="R330" s="56" t="str">
        <f t="shared" si="107"/>
        <v>Yes</v>
      </c>
      <c r="W330" s="19" t="s">
        <v>154</v>
      </c>
      <c r="X330" s="54" t="str">
        <f>VLOOKUP(W330,Employees!$A$1:$B$601,2,FALSE)</f>
        <v>Puspita Mohapatra</v>
      </c>
      <c r="Z330" s="3" t="s">
        <v>979</v>
      </c>
      <c r="AA330" s="54" t="str">
        <f t="shared" si="108"/>
        <v>0329</v>
      </c>
      <c r="AC330" s="3" t="s">
        <v>133</v>
      </c>
      <c r="AD330" s="54" t="str">
        <f t="shared" si="109"/>
        <v>Qa</v>
      </c>
      <c r="AF330" s="3" t="s">
        <v>980</v>
      </c>
      <c r="AG330" s="3" t="s">
        <v>133</v>
      </c>
      <c r="AH330" s="3" t="s">
        <v>172</v>
      </c>
      <c r="AI330" s="54" t="str">
        <f t="shared" si="110"/>
        <v>Tanmay Biswal|QA|TechNova Solutions</v>
      </c>
      <c r="AK330" s="3" t="s">
        <v>980</v>
      </c>
      <c r="AL330" s="38" t="str">
        <f t="shared" si="111"/>
        <v>T.B.</v>
      </c>
      <c r="AN330" s="19" t="s">
        <v>5016</v>
      </c>
      <c r="AO330" s="54" t="b">
        <f t="shared" si="112"/>
        <v>0</v>
      </c>
      <c r="AQ330" s="3" t="s">
        <v>980</v>
      </c>
      <c r="AR330" s="52" t="str">
        <f t="shared" si="113"/>
        <v>NO</v>
      </c>
      <c r="AW330" s="54">
        <f ca="1">DATEDIF(BI330,TODAY(),"Y")</f>
        <v>5</v>
      </c>
      <c r="AX330" s="54"/>
      <c r="AY330" s="40" t="s">
        <v>5635</v>
      </c>
      <c r="AZ330" s="44">
        <f t="shared" si="114"/>
        <v>45536</v>
      </c>
      <c r="BA330" s="54" t="str">
        <f t="shared" si="115"/>
        <v>9-2024</v>
      </c>
      <c r="BH330" s="3" t="s">
        <v>981</v>
      </c>
      <c r="BI330" s="51">
        <f t="shared" si="120"/>
        <v>44377</v>
      </c>
      <c r="BJ330" s="38">
        <f t="shared" ca="1" si="121"/>
        <v>1338</v>
      </c>
      <c r="BK330" s="38"/>
      <c r="BL330" s="38" t="str">
        <f t="shared" si="122"/>
        <v>No</v>
      </c>
      <c r="BM330" s="59">
        <f t="shared" si="116"/>
        <v>45536</v>
      </c>
      <c r="BN330" s="51">
        <f t="shared" si="123"/>
        <v>44377</v>
      </c>
      <c r="BO330" s="54">
        <f t="shared" si="117"/>
        <v>1159</v>
      </c>
      <c r="BP330" s="3" t="s">
        <v>979</v>
      </c>
      <c r="BQ330" s="3" t="s">
        <v>133</v>
      </c>
      <c r="BR330" s="19" t="s">
        <v>154</v>
      </c>
      <c r="BS330" s="19" t="s">
        <v>2898</v>
      </c>
      <c r="BT330" s="54" t="str">
        <f t="shared" si="118"/>
        <v>QA</v>
      </c>
      <c r="BV330" s="3" t="s">
        <v>979</v>
      </c>
      <c r="BW330" s="3" t="s">
        <v>980</v>
      </c>
      <c r="CB330" s="19" t="s">
        <v>699</v>
      </c>
      <c r="CC330" s="3" t="s">
        <v>980</v>
      </c>
      <c r="CD330" s="3" t="s">
        <v>162</v>
      </c>
      <c r="CE330" s="54" t="str">
        <v>HR Executive</v>
      </c>
      <c r="CG330" s="54" t="str">
        <f>IFERROR(_xlfn.XLOOKUP(Hiring!A330,Hiring!A330:A729,Hiring!B330:B729,,0),"Not Found")</f>
        <v>Ipsita Sahu</v>
      </c>
    </row>
    <row r="331" spans="2:85">
      <c r="B331" s="100"/>
      <c r="F331" s="4">
        <v>2.6</v>
      </c>
      <c r="G331" s="52" t="str" cm="1">
        <f t="array" ref="G331">_xlfn.IFS(F331&gt;=4.5,"Excellent",AND(F331&gt;=3.5,F331&lt;=4.4),"Good",F331&lt;3.5,"Needs Improvement")</f>
        <v>Needs Improvement</v>
      </c>
      <c r="M331" s="18">
        <v>135836</v>
      </c>
      <c r="N331" s="18">
        <v>143066</v>
      </c>
      <c r="O331" s="54" t="str">
        <f t="shared" si="119"/>
        <v>Yes</v>
      </c>
      <c r="Q331" s="18">
        <v>10.57</v>
      </c>
      <c r="R331" s="56" t="str">
        <f t="shared" si="107"/>
        <v>Yes</v>
      </c>
      <c r="W331" s="18" t="s">
        <v>154</v>
      </c>
      <c r="X331" s="54" t="str">
        <f>VLOOKUP(W331,Employees!$A$1:$B$601,2,FALSE)</f>
        <v>Puspita Mohapatra</v>
      </c>
      <c r="Z331" s="4" t="s">
        <v>982</v>
      </c>
      <c r="AA331" s="54" t="str">
        <f t="shared" si="108"/>
        <v>0330</v>
      </c>
      <c r="AC331" s="4" t="s">
        <v>976</v>
      </c>
      <c r="AD331" s="54" t="str">
        <f t="shared" si="109"/>
        <v>Hr</v>
      </c>
      <c r="AF331" s="4" t="s">
        <v>144</v>
      </c>
      <c r="AG331" s="4" t="s">
        <v>976</v>
      </c>
      <c r="AH331" s="4" t="s">
        <v>75</v>
      </c>
      <c r="AI331" s="54" t="str">
        <f t="shared" si="110"/>
        <v>Ranjit Dhal|hr|KalingaTech Pvt Ltd</v>
      </c>
      <c r="AK331" s="4" t="s">
        <v>144</v>
      </c>
      <c r="AL331" s="38" t="str">
        <f t="shared" si="111"/>
        <v>R.D.</v>
      </c>
      <c r="AN331" s="18" t="s">
        <v>5060</v>
      </c>
      <c r="AO331" s="54" t="str">
        <f t="shared" si="112"/>
        <v>Naukri</v>
      </c>
      <c r="AQ331" s="4" t="s">
        <v>144</v>
      </c>
      <c r="AR331" s="52" t="str">
        <f t="shared" si="113"/>
        <v>NO</v>
      </c>
      <c r="AW331" s="54">
        <f ca="1">DATEDIF(BI331,TODAY(),"Y")</f>
        <v>4</v>
      </c>
      <c r="AX331" s="54"/>
      <c r="AY331" s="41" t="s">
        <v>5181</v>
      </c>
      <c r="AZ331" s="44">
        <f t="shared" si="114"/>
        <v>45090</v>
      </c>
      <c r="BA331" s="54" t="str">
        <f t="shared" si="115"/>
        <v>6-2023</v>
      </c>
      <c r="BH331" s="4" t="s">
        <v>805</v>
      </c>
      <c r="BI331" s="51">
        <f t="shared" si="120"/>
        <v>44779</v>
      </c>
      <c r="BJ331" s="38">
        <f t="shared" ca="1" si="121"/>
        <v>1050</v>
      </c>
      <c r="BK331" s="38"/>
      <c r="BL331" s="38" t="str">
        <f t="shared" si="122"/>
        <v>No</v>
      </c>
      <c r="BM331" s="59">
        <f t="shared" si="116"/>
        <v>45090</v>
      </c>
      <c r="BN331" s="51">
        <f t="shared" si="123"/>
        <v>44779</v>
      </c>
      <c r="BO331" s="54">
        <f t="shared" si="117"/>
        <v>311</v>
      </c>
      <c r="BP331" s="4" t="s">
        <v>982</v>
      </c>
      <c r="BQ331" s="4" t="s">
        <v>976</v>
      </c>
      <c r="BR331" s="18" t="s">
        <v>154</v>
      </c>
      <c r="BS331" s="18" t="s">
        <v>2900</v>
      </c>
      <c r="BT331" s="54" t="str">
        <f t="shared" si="118"/>
        <v>QA</v>
      </c>
      <c r="BV331" s="4" t="s">
        <v>982</v>
      </c>
      <c r="BW331" s="4" t="s">
        <v>144</v>
      </c>
      <c r="CB331" s="18" t="s">
        <v>331</v>
      </c>
      <c r="CC331" s="4" t="s">
        <v>144</v>
      </c>
      <c r="CD331" s="4" t="s">
        <v>85</v>
      </c>
      <c r="CE331" s="54" t="str">
        <v>Design Lead</v>
      </c>
      <c r="CG331" s="54" t="str">
        <f>IFERROR(_xlfn.XLOOKUP(Hiring!A331,Hiring!A331:A730,Hiring!B331:B730,,0),"Not Found")</f>
        <v>Tapas Sahoo</v>
      </c>
    </row>
    <row r="332" spans="2:85">
      <c r="B332" s="100"/>
      <c r="F332" s="3">
        <v>2.9</v>
      </c>
      <c r="G332" s="52" t="str" cm="1">
        <f t="array" ref="G332">_xlfn.IFS(F332&gt;=4.5,"Excellent",AND(F332&gt;=3.5,F332&lt;=4.4),"Good",F332&lt;3.5,"Needs Improvement")</f>
        <v>Needs Improvement</v>
      </c>
      <c r="M332" s="19">
        <v>102647</v>
      </c>
      <c r="N332" s="19">
        <v>117292</v>
      </c>
      <c r="O332" s="54" t="str">
        <f t="shared" si="119"/>
        <v>Yes</v>
      </c>
      <c r="Q332" s="19">
        <v>9.91</v>
      </c>
      <c r="R332" s="56" t="str">
        <f t="shared" si="107"/>
        <v>Yes</v>
      </c>
      <c r="W332" s="19" t="s">
        <v>154</v>
      </c>
      <c r="X332" s="54" t="str">
        <f>VLOOKUP(W332,Employees!$A$1:$B$601,2,FALSE)</f>
        <v>Puspita Mohapatra</v>
      </c>
      <c r="Z332" s="3" t="s">
        <v>983</v>
      </c>
      <c r="AA332" s="54" t="str">
        <f t="shared" si="108"/>
        <v>0331</v>
      </c>
      <c r="AC332" s="3" t="s">
        <v>89</v>
      </c>
      <c r="AD332" s="54" t="str">
        <f t="shared" si="109"/>
        <v>Data Science</v>
      </c>
      <c r="AF332" s="3" t="s">
        <v>984</v>
      </c>
      <c r="AG332" s="3" t="s">
        <v>89</v>
      </c>
      <c r="AH332" s="3" t="s">
        <v>32</v>
      </c>
      <c r="AI332" s="54" t="str">
        <f t="shared" si="110"/>
        <v>Jyotirmayee Mohapatra|Data Science|NilGiri Digitals</v>
      </c>
      <c r="AK332" s="3" t="s">
        <v>984</v>
      </c>
      <c r="AL332" s="38" t="str">
        <f t="shared" si="111"/>
        <v>J.M.</v>
      </c>
      <c r="AN332" s="19" t="s">
        <v>5016</v>
      </c>
      <c r="AO332" s="54" t="b">
        <f t="shared" si="112"/>
        <v>0</v>
      </c>
      <c r="AQ332" s="3" t="s">
        <v>984</v>
      </c>
      <c r="AR332" s="52" t="str">
        <f t="shared" si="113"/>
        <v>NO</v>
      </c>
      <c r="AW332" s="54">
        <f ca="1">DATEDIF(BI332,TODAY(),"Y")</f>
        <v>7</v>
      </c>
      <c r="AX332" s="54"/>
      <c r="AY332" s="40" t="s">
        <v>5194</v>
      </c>
      <c r="AZ332" s="44">
        <f t="shared" si="114"/>
        <v>45203</v>
      </c>
      <c r="BA332" s="54" t="str">
        <f t="shared" si="115"/>
        <v>10-2023</v>
      </c>
      <c r="BH332" s="3" t="s">
        <v>985</v>
      </c>
      <c r="BI332" s="51">
        <f t="shared" si="120"/>
        <v>43466</v>
      </c>
      <c r="BJ332" s="38">
        <f t="shared" ca="1" si="121"/>
        <v>1989</v>
      </c>
      <c r="BK332" s="38"/>
      <c r="BL332" s="38" t="str">
        <f t="shared" si="122"/>
        <v>Q1</v>
      </c>
      <c r="BM332" s="59">
        <f t="shared" si="116"/>
        <v>45203</v>
      </c>
      <c r="BN332" s="51">
        <f t="shared" si="123"/>
        <v>43466</v>
      </c>
      <c r="BO332" s="54">
        <f t="shared" si="117"/>
        <v>1737</v>
      </c>
      <c r="BP332" s="3" t="s">
        <v>983</v>
      </c>
      <c r="BQ332" s="3" t="s">
        <v>89</v>
      </c>
      <c r="BR332" s="19" t="s">
        <v>154</v>
      </c>
      <c r="BS332" s="19" t="s">
        <v>2901</v>
      </c>
      <c r="BT332" s="54" t="str">
        <f t="shared" si="118"/>
        <v>QA</v>
      </c>
      <c r="BV332" s="3" t="s">
        <v>983</v>
      </c>
      <c r="BW332" s="3" t="s">
        <v>984</v>
      </c>
      <c r="CB332" s="19" t="s">
        <v>440</v>
      </c>
      <c r="CC332" s="3" t="s">
        <v>984</v>
      </c>
      <c r="CD332" s="3" t="s">
        <v>90</v>
      </c>
      <c r="CE332" s="54" t="str">
        <v>Brand Manager</v>
      </c>
      <c r="CG332" s="54" t="str">
        <f>IFERROR(_xlfn.XLOOKUP(Hiring!A332,Hiring!A332:A731,Hiring!B332:B731,,0),"Not Found")</f>
        <v>Satyajit Jena</v>
      </c>
    </row>
    <row r="333" spans="2:85">
      <c r="B333" s="100"/>
      <c r="F333" s="4">
        <v>4.8</v>
      </c>
      <c r="G333" s="52" t="str" cm="1">
        <f t="array" ref="G333">_xlfn.IFS(F333&gt;=4.5,"Excellent",AND(F333&gt;=3.5,F333&lt;=4.4),"Good",F333&lt;3.5,"Needs Improvement")</f>
        <v>Excellent</v>
      </c>
      <c r="M333" s="18">
        <v>62517</v>
      </c>
      <c r="N333" s="18"/>
      <c r="O333" s="54" t="str">
        <f t="shared" si="119"/>
        <v>Yes</v>
      </c>
      <c r="Q333" s="18">
        <v>7.96</v>
      </c>
      <c r="R333" s="56" t="str">
        <f t="shared" si="107"/>
        <v>Yes</v>
      </c>
      <c r="W333" s="18" t="s">
        <v>154</v>
      </c>
      <c r="X333" s="54" t="str">
        <f>VLOOKUP(W333,Employees!$A$1:$B$601,2,FALSE)</f>
        <v>Puspita Mohapatra</v>
      </c>
      <c r="Z333" s="4" t="s">
        <v>986</v>
      </c>
      <c r="AA333" s="54" t="str">
        <f t="shared" si="108"/>
        <v>0332</v>
      </c>
      <c r="AC333" s="4" t="s">
        <v>89</v>
      </c>
      <c r="AD333" s="54" t="str">
        <f t="shared" si="109"/>
        <v>Data Science</v>
      </c>
      <c r="AF333" s="4" t="s">
        <v>987</v>
      </c>
      <c r="AG333" s="4" t="s">
        <v>89</v>
      </c>
      <c r="AH333" s="4" t="s">
        <v>32</v>
      </c>
      <c r="AI333" s="54" t="str">
        <f t="shared" si="110"/>
        <v>Rahul Jena|Data Science|NilGiri Digitals</v>
      </c>
      <c r="AK333" s="4" t="s">
        <v>987</v>
      </c>
      <c r="AL333" s="38" t="str">
        <f t="shared" si="111"/>
        <v>R.J.</v>
      </c>
      <c r="AN333" s="18" t="s">
        <v>5077</v>
      </c>
      <c r="AO333" s="54" t="b">
        <f t="shared" si="112"/>
        <v>0</v>
      </c>
      <c r="AQ333" s="4" t="s">
        <v>987</v>
      </c>
      <c r="AR333" s="52" t="str">
        <f t="shared" si="113"/>
        <v>NO</v>
      </c>
      <c r="AW333" s="54">
        <f ca="1">DATEDIF(BI333,TODAY(),"Y")</f>
        <v>3</v>
      </c>
      <c r="AX333" s="54"/>
      <c r="AY333" s="41" t="s">
        <v>5639</v>
      </c>
      <c r="AZ333" s="44">
        <f t="shared" si="114"/>
        <v>45216</v>
      </c>
      <c r="BA333" s="54" t="str">
        <f t="shared" si="115"/>
        <v>10-2023</v>
      </c>
      <c r="BH333" s="4" t="s">
        <v>988</v>
      </c>
      <c r="BI333" s="51">
        <f t="shared" si="120"/>
        <v>44964</v>
      </c>
      <c r="BJ333" s="38">
        <f t="shared" ca="1" si="121"/>
        <v>919</v>
      </c>
      <c r="BK333" s="38"/>
      <c r="BL333" s="38" t="str">
        <f t="shared" si="122"/>
        <v>Q1</v>
      </c>
      <c r="BM333" s="59">
        <f t="shared" si="116"/>
        <v>45216</v>
      </c>
      <c r="BN333" s="51">
        <f t="shared" si="123"/>
        <v>44964</v>
      </c>
      <c r="BO333" s="54">
        <f t="shared" si="117"/>
        <v>252</v>
      </c>
      <c r="BP333" s="4" t="s">
        <v>986</v>
      </c>
      <c r="BQ333" s="4" t="s">
        <v>89</v>
      </c>
      <c r="BR333" s="18" t="s">
        <v>154</v>
      </c>
      <c r="BS333" s="18" t="s">
        <v>2902</v>
      </c>
      <c r="BT333" s="54" t="str">
        <f t="shared" si="118"/>
        <v>QA</v>
      </c>
      <c r="BV333" s="4" t="s">
        <v>986</v>
      </c>
      <c r="BW333" s="4" t="s">
        <v>987</v>
      </c>
      <c r="CB333" s="18" t="s">
        <v>692</v>
      </c>
      <c r="CC333" s="4" t="s">
        <v>987</v>
      </c>
      <c r="CD333" s="4" t="s">
        <v>90</v>
      </c>
      <c r="CE333" s="54" t="str">
        <v>Sr DevOps</v>
      </c>
      <c r="CG333" s="54" t="str">
        <f>IFERROR(_xlfn.XLOOKUP(Hiring!A333,Hiring!A333:A732,Hiring!B333:B732,,0),"Not Found")</f>
        <v>Sudhansu Pattnaik</v>
      </c>
    </row>
    <row r="334" spans="2:85">
      <c r="B334" s="100"/>
      <c r="F334" s="3">
        <v>2</v>
      </c>
      <c r="G334" s="52" t="str" cm="1">
        <f t="array" ref="G334">_xlfn.IFS(F334&gt;=4.5,"Excellent",AND(F334&gt;=3.5,F334&lt;=4.4),"Good",F334&lt;3.5,"Needs Improvement")</f>
        <v>Needs Improvement</v>
      </c>
      <c r="M334" s="19">
        <v>170060</v>
      </c>
      <c r="N334" s="19">
        <v>148973</v>
      </c>
      <c r="O334" s="54" t="str">
        <f t="shared" si="119"/>
        <v>Yes</v>
      </c>
      <c r="Q334" s="19">
        <v>7.21</v>
      </c>
      <c r="R334" s="56" t="str">
        <f t="shared" si="107"/>
        <v>Yes</v>
      </c>
      <c r="W334" s="19" t="s">
        <v>154</v>
      </c>
      <c r="X334" s="54" t="str">
        <f>VLOOKUP(W334,Employees!$A$1:$B$601,2,FALSE)</f>
        <v>Puspita Mohapatra</v>
      </c>
      <c r="Z334" s="3" t="s">
        <v>989</v>
      </c>
      <c r="AA334" s="54" t="str">
        <f t="shared" si="108"/>
        <v>0333</v>
      </c>
      <c r="AC334" s="3" t="s">
        <v>63</v>
      </c>
      <c r="AD334" s="54" t="str">
        <f t="shared" si="109"/>
        <v>Product</v>
      </c>
      <c r="AF334" s="3" t="s">
        <v>990</v>
      </c>
      <c r="AG334" s="3" t="s">
        <v>63</v>
      </c>
      <c r="AH334" s="3" t="s">
        <v>172</v>
      </c>
      <c r="AI334" s="54" t="str">
        <f t="shared" si="110"/>
        <v>Tapas Mishra|Product|TechNova Solutions</v>
      </c>
      <c r="AK334" s="3" t="s">
        <v>990</v>
      </c>
      <c r="AL334" s="38" t="str">
        <f t="shared" si="111"/>
        <v>T.M.</v>
      </c>
      <c r="AN334" s="19" t="s">
        <v>5031</v>
      </c>
      <c r="AO334" s="54" t="b">
        <f t="shared" si="112"/>
        <v>0</v>
      </c>
      <c r="AQ334" s="3" t="s">
        <v>990</v>
      </c>
      <c r="AR334" s="52" t="str">
        <f t="shared" si="113"/>
        <v>Mishra</v>
      </c>
      <c r="AW334" s="54">
        <f ca="1">DATEDIF(BI334,TODAY(),"Y")</f>
        <v>5</v>
      </c>
      <c r="AX334" s="54"/>
      <c r="AY334" s="40" t="s">
        <v>5641</v>
      </c>
      <c r="AZ334" s="44">
        <f t="shared" si="114"/>
        <v>45513</v>
      </c>
      <c r="BA334" s="54" t="str">
        <f t="shared" si="115"/>
        <v>8-2024</v>
      </c>
      <c r="BH334" s="3" t="s">
        <v>713</v>
      </c>
      <c r="BI334" s="51">
        <f t="shared" si="120"/>
        <v>44400</v>
      </c>
      <c r="BJ334" s="38">
        <f t="shared" ca="1" si="121"/>
        <v>1321</v>
      </c>
      <c r="BK334" s="38"/>
      <c r="BL334" s="38" t="str">
        <f t="shared" si="122"/>
        <v>No</v>
      </c>
      <c r="BM334" s="59">
        <f t="shared" si="116"/>
        <v>45513</v>
      </c>
      <c r="BN334" s="51">
        <f t="shared" si="123"/>
        <v>44400</v>
      </c>
      <c r="BO334" s="54">
        <f t="shared" si="117"/>
        <v>1113</v>
      </c>
      <c r="BP334" s="3" t="s">
        <v>989</v>
      </c>
      <c r="BQ334" s="3" t="s">
        <v>63</v>
      </c>
      <c r="BR334" s="19" t="s">
        <v>154</v>
      </c>
      <c r="BS334" s="19" t="s">
        <v>2903</v>
      </c>
      <c r="BT334" s="54" t="str">
        <f t="shared" si="118"/>
        <v>QA</v>
      </c>
      <c r="BV334" s="3" t="s">
        <v>989</v>
      </c>
      <c r="BW334" s="3" t="s">
        <v>990</v>
      </c>
      <c r="CB334" s="19" t="s">
        <v>573</v>
      </c>
      <c r="CC334" s="3" t="s">
        <v>990</v>
      </c>
      <c r="CD334" s="3" t="s">
        <v>145</v>
      </c>
      <c r="CE334" s="54" t="str">
        <v>HR Manager</v>
      </c>
      <c r="CG334" s="54" t="str">
        <f>IFERROR(_xlfn.XLOOKUP(Hiring!A334,Hiring!A334:A733,Hiring!B334:B733,,0),"Not Found")</f>
        <v>Alka Sahoo</v>
      </c>
    </row>
    <row r="335" spans="2:85">
      <c r="B335" s="100"/>
      <c r="F335" s="4">
        <v>2.4</v>
      </c>
      <c r="G335" s="52" t="str" cm="1">
        <f t="array" ref="G335">_xlfn.IFS(F335&gt;=4.5,"Excellent",AND(F335&gt;=3.5,F335&lt;=4.4),"Good",F335&lt;3.5,"Needs Improvement")</f>
        <v>Needs Improvement</v>
      </c>
      <c r="M335" s="18">
        <v>93925</v>
      </c>
      <c r="N335" s="18">
        <v>108904</v>
      </c>
      <c r="O335" s="54" t="str">
        <f t="shared" si="119"/>
        <v>Yes</v>
      </c>
      <c r="Q335" s="18">
        <v>8.15</v>
      </c>
      <c r="R335" s="56" t="str">
        <f t="shared" si="107"/>
        <v>Yes</v>
      </c>
      <c r="W335" s="18" t="s">
        <v>154</v>
      </c>
      <c r="X335" s="54" t="str">
        <f>VLOOKUP(W335,Employees!$A$1:$B$601,2,FALSE)</f>
        <v>Puspita Mohapatra</v>
      </c>
      <c r="Z335" s="4" t="s">
        <v>991</v>
      </c>
      <c r="AA335" s="54" t="str">
        <f t="shared" si="108"/>
        <v>0334</v>
      </c>
      <c r="AC335" s="4" t="s">
        <v>778</v>
      </c>
      <c r="AD335" s="54" t="str">
        <f t="shared" si="109"/>
        <v>Product</v>
      </c>
      <c r="AF335" s="4" t="s">
        <v>589</v>
      </c>
      <c r="AG335" s="4" t="s">
        <v>778</v>
      </c>
      <c r="AH335" s="4" t="s">
        <v>149</v>
      </c>
      <c r="AI335" s="54" t="str">
        <f t="shared" si="110"/>
        <v>Lipsa Routray|product|SilverByte Systems</v>
      </c>
      <c r="AK335" s="4" t="s">
        <v>589</v>
      </c>
      <c r="AL335" s="38" t="str">
        <f t="shared" si="111"/>
        <v>L.R.</v>
      </c>
      <c r="AN335" s="18" t="s">
        <v>5023</v>
      </c>
      <c r="AO335" s="54" t="str">
        <f t="shared" si="112"/>
        <v>Linkedln</v>
      </c>
      <c r="AQ335" s="4" t="s">
        <v>589</v>
      </c>
      <c r="AR335" s="52" t="str">
        <f t="shared" si="113"/>
        <v>NO</v>
      </c>
      <c r="AW335" s="54">
        <f ca="1">DATEDIF(BI335,TODAY(),"Y")</f>
        <v>7</v>
      </c>
      <c r="AX335" s="54"/>
      <c r="AY335" s="41" t="s">
        <v>1970</v>
      </c>
      <c r="AZ335" s="44">
        <f t="shared" si="114"/>
        <v>45425</v>
      </c>
      <c r="BA335" s="54" t="str">
        <f t="shared" si="115"/>
        <v>5-2024</v>
      </c>
      <c r="BH335" s="4" t="s">
        <v>992</v>
      </c>
      <c r="BI335" s="51">
        <f t="shared" si="120"/>
        <v>43386</v>
      </c>
      <c r="BJ335" s="38">
        <f t="shared" ca="1" si="121"/>
        <v>2045</v>
      </c>
      <c r="BK335" s="38"/>
      <c r="BL335" s="38" t="str">
        <f t="shared" si="122"/>
        <v>No</v>
      </c>
      <c r="BM335" s="59">
        <f t="shared" si="116"/>
        <v>45425</v>
      </c>
      <c r="BN335" s="51">
        <f t="shared" si="123"/>
        <v>43386</v>
      </c>
      <c r="BO335" s="54">
        <f t="shared" si="117"/>
        <v>2039</v>
      </c>
      <c r="BP335" s="4" t="s">
        <v>991</v>
      </c>
      <c r="BQ335" s="4" t="s">
        <v>778</v>
      </c>
      <c r="BR335" s="18" t="s">
        <v>154</v>
      </c>
      <c r="BS335" s="18" t="s">
        <v>2904</v>
      </c>
      <c r="BT335" s="54" t="str">
        <f t="shared" si="118"/>
        <v>QA</v>
      </c>
      <c r="BV335" s="4" t="s">
        <v>991</v>
      </c>
      <c r="BW335" s="4" t="s">
        <v>589</v>
      </c>
      <c r="CB335" s="18" t="s">
        <v>1017</v>
      </c>
      <c r="CC335" s="4" t="s">
        <v>589</v>
      </c>
      <c r="CD335" s="4" t="s">
        <v>64</v>
      </c>
      <c r="CE335" s="54" t="str">
        <v>CFO</v>
      </c>
      <c r="CG335" s="54" t="str">
        <f>IFERROR(_xlfn.XLOOKUP(Hiring!A335,Hiring!A335:A734,Hiring!B335:B734,,0),"Not Found")</f>
        <v>Debasmita Sahu</v>
      </c>
    </row>
    <row r="336" spans="2:85">
      <c r="B336" s="100"/>
      <c r="F336" s="3">
        <v>4.5999999999999996</v>
      </c>
      <c r="G336" s="52" t="str" cm="1">
        <f t="array" ref="G336">_xlfn.IFS(F336&gt;=4.5,"Excellent",AND(F336&gt;=3.5,F336&lt;=4.4),"Good",F336&lt;3.5,"Needs Improvement")</f>
        <v>Excellent</v>
      </c>
      <c r="M336" s="19">
        <v>38324</v>
      </c>
      <c r="N336" s="19">
        <v>39463</v>
      </c>
      <c r="O336" s="54" t="str">
        <f t="shared" si="119"/>
        <v>Yes</v>
      </c>
      <c r="Q336" s="19">
        <v>8.3699999999999992</v>
      </c>
      <c r="R336" s="56" t="str">
        <f t="shared" si="107"/>
        <v>Yes</v>
      </c>
      <c r="W336" s="19" t="s">
        <v>154</v>
      </c>
      <c r="X336" s="54" t="str">
        <f>VLOOKUP(W336,Employees!$A$1:$B$601,2,FALSE)</f>
        <v>Puspita Mohapatra</v>
      </c>
      <c r="Z336" s="3" t="s">
        <v>993</v>
      </c>
      <c r="AA336" s="54" t="str">
        <f t="shared" si="108"/>
        <v>0335</v>
      </c>
      <c r="AC336" s="3" t="s">
        <v>16</v>
      </c>
      <c r="AD336" s="54" t="str">
        <f t="shared" si="109"/>
        <v>Devops</v>
      </c>
      <c r="AF336" s="3" t="s">
        <v>443</v>
      </c>
      <c r="AG336" s="3" t="s">
        <v>16</v>
      </c>
      <c r="AH336" s="3" t="s">
        <v>70</v>
      </c>
      <c r="AI336" s="54" t="str">
        <f t="shared" si="110"/>
        <v>Rajan Mishra|DevOps|OdishaCode Labs</v>
      </c>
      <c r="AK336" s="3" t="s">
        <v>443</v>
      </c>
      <c r="AL336" s="38" t="str">
        <f t="shared" si="111"/>
        <v>R.M.</v>
      </c>
      <c r="AN336" s="19" t="s">
        <v>5025</v>
      </c>
      <c r="AO336" s="54" t="b">
        <f t="shared" si="112"/>
        <v>0</v>
      </c>
      <c r="AQ336" s="3" t="s">
        <v>443</v>
      </c>
      <c r="AR336" s="52" t="str">
        <f t="shared" si="113"/>
        <v>Mishra</v>
      </c>
      <c r="AW336" s="54">
        <f ca="1">DATEDIF(BI336,TODAY(),"Y")</f>
        <v>3</v>
      </c>
      <c r="AX336" s="54"/>
      <c r="AY336" s="40" t="s">
        <v>852</v>
      </c>
      <c r="AZ336" s="44">
        <f t="shared" si="114"/>
        <v>45214</v>
      </c>
      <c r="BA336" s="54" t="str">
        <f t="shared" si="115"/>
        <v>10-2023</v>
      </c>
      <c r="BH336" s="3" t="s">
        <v>994</v>
      </c>
      <c r="BI336" s="51">
        <f t="shared" si="120"/>
        <v>44843</v>
      </c>
      <c r="BJ336" s="38">
        <f t="shared" ca="1" si="121"/>
        <v>1005</v>
      </c>
      <c r="BK336" s="38"/>
      <c r="BL336" s="38" t="str">
        <f t="shared" si="122"/>
        <v>No</v>
      </c>
      <c r="BM336" s="59">
        <f t="shared" si="116"/>
        <v>45214</v>
      </c>
      <c r="BN336" s="51">
        <f t="shared" si="123"/>
        <v>44843</v>
      </c>
      <c r="BO336" s="54">
        <f t="shared" si="117"/>
        <v>371</v>
      </c>
      <c r="BP336" s="3" t="s">
        <v>993</v>
      </c>
      <c r="BQ336" s="3" t="s">
        <v>16</v>
      </c>
      <c r="BR336" s="19" t="s">
        <v>154</v>
      </c>
      <c r="BS336" s="19" t="s">
        <v>2905</v>
      </c>
      <c r="BT336" s="54" t="str">
        <f t="shared" si="118"/>
        <v>QA</v>
      </c>
      <c r="BV336" s="3" t="s">
        <v>993</v>
      </c>
      <c r="BW336" s="3" t="s">
        <v>443</v>
      </c>
      <c r="CB336" s="19" t="s">
        <v>5644</v>
      </c>
      <c r="CC336" s="3" t="s">
        <v>443</v>
      </c>
      <c r="CD336" s="3" t="s">
        <v>123</v>
      </c>
      <c r="CE336" s="54" t="str">
        <v>Not Found</v>
      </c>
      <c r="CG336" s="54" t="str">
        <f>IFERROR(_xlfn.XLOOKUP(Hiring!A336,Hiring!A336:A735,Hiring!B336:B735,,0),"Not Found")</f>
        <v>Barsha Senapati</v>
      </c>
    </row>
    <row r="337" spans="2:85">
      <c r="B337" s="100"/>
      <c r="F337" s="4">
        <v>4</v>
      </c>
      <c r="G337" s="52" t="str" cm="1">
        <f t="array" ref="G337">_xlfn.IFS(F337&gt;=4.5,"Excellent",AND(F337&gt;=3.5,F337&lt;=4.4),"Good",F337&lt;3.5,"Needs Improvement")</f>
        <v>Good</v>
      </c>
      <c r="M337" s="18">
        <v>100423</v>
      </c>
      <c r="N337" s="18">
        <v>94010</v>
      </c>
      <c r="O337" s="54" t="str">
        <f t="shared" si="119"/>
        <v>Yes</v>
      </c>
      <c r="Q337" s="18">
        <v>11.15</v>
      </c>
      <c r="R337" s="56" t="str">
        <f t="shared" si="107"/>
        <v>Yes</v>
      </c>
      <c r="W337" s="18" t="s">
        <v>154</v>
      </c>
      <c r="X337" s="54" t="str">
        <f>VLOOKUP(W337,Employees!$A$1:$B$601,2,FALSE)</f>
        <v>Puspita Mohapatra</v>
      </c>
      <c r="Z337" s="4" t="s">
        <v>995</v>
      </c>
      <c r="AA337" s="54" t="str">
        <f t="shared" si="108"/>
        <v>0336</v>
      </c>
      <c r="AC337" s="4" t="s">
        <v>63</v>
      </c>
      <c r="AD337" s="54" t="str">
        <f t="shared" si="109"/>
        <v>Product</v>
      </c>
      <c r="AF337" s="4" t="s">
        <v>996</v>
      </c>
      <c r="AG337" s="4" t="s">
        <v>63</v>
      </c>
      <c r="AH337" s="4" t="s">
        <v>114</v>
      </c>
      <c r="AI337" s="54" t="str">
        <f t="shared" si="110"/>
        <v>Ranjit Padhi|Product|UtkalSoft Technologies</v>
      </c>
      <c r="AK337" s="4" t="s">
        <v>996</v>
      </c>
      <c r="AL337" s="38" t="str">
        <f t="shared" si="111"/>
        <v>R.P.</v>
      </c>
      <c r="AN337" s="18" t="s">
        <v>5016</v>
      </c>
      <c r="AO337" s="54" t="b">
        <f t="shared" si="112"/>
        <v>0</v>
      </c>
      <c r="AQ337" s="4" t="s">
        <v>996</v>
      </c>
      <c r="AR337" s="52" t="str">
        <f t="shared" si="113"/>
        <v>NO</v>
      </c>
      <c r="AW337" s="54">
        <f ca="1">DATEDIF(BI337,TODAY(),"Y")</f>
        <v>4</v>
      </c>
      <c r="AX337" s="54"/>
      <c r="AY337" s="41" t="s">
        <v>1880</v>
      </c>
      <c r="AZ337" s="44">
        <f t="shared" si="114"/>
        <v>45075</v>
      </c>
      <c r="BA337" s="54" t="str">
        <f t="shared" si="115"/>
        <v>5-2023</v>
      </c>
      <c r="BH337" s="4" t="s">
        <v>593</v>
      </c>
      <c r="BI337" s="51">
        <f t="shared" si="120"/>
        <v>44525</v>
      </c>
      <c r="BJ337" s="38">
        <f t="shared" ca="1" si="121"/>
        <v>1232</v>
      </c>
      <c r="BK337" s="38"/>
      <c r="BL337" s="38" t="str">
        <f t="shared" si="122"/>
        <v>No</v>
      </c>
      <c r="BM337" s="59">
        <f t="shared" si="116"/>
        <v>45075</v>
      </c>
      <c r="BN337" s="51">
        <f t="shared" si="123"/>
        <v>44525</v>
      </c>
      <c r="BO337" s="54">
        <f t="shared" si="117"/>
        <v>550</v>
      </c>
      <c r="BP337" s="4" t="s">
        <v>995</v>
      </c>
      <c r="BQ337" s="4" t="s">
        <v>63</v>
      </c>
      <c r="BR337" s="18" t="s">
        <v>154</v>
      </c>
      <c r="BS337" s="18" t="s">
        <v>2906</v>
      </c>
      <c r="BT337" s="54" t="str">
        <f t="shared" si="118"/>
        <v>QA</v>
      </c>
      <c r="BV337" s="4" t="s">
        <v>995</v>
      </c>
      <c r="BW337" s="4" t="s">
        <v>996</v>
      </c>
      <c r="CB337" s="18" t="s">
        <v>5646</v>
      </c>
      <c r="CC337" s="4" t="s">
        <v>996</v>
      </c>
      <c r="CD337" s="4" t="s">
        <v>225</v>
      </c>
      <c r="CE337" s="54" t="str">
        <v>Not Found</v>
      </c>
      <c r="CG337" s="54" t="str">
        <f>IFERROR(_xlfn.XLOOKUP(Hiring!A337,Hiring!A337:A736,Hiring!B337:B736,,0),"Not Found")</f>
        <v>Barsha Ratha</v>
      </c>
    </row>
    <row r="338" spans="2:85">
      <c r="B338" s="100"/>
      <c r="F338" s="3">
        <v>3</v>
      </c>
      <c r="G338" s="52" t="str" cm="1">
        <f t="array" ref="G338">_xlfn.IFS(F338&gt;=4.5,"Excellent",AND(F338&gt;=3.5,F338&lt;=4.4),"Good",F338&lt;3.5,"Needs Improvement")</f>
        <v>Needs Improvement</v>
      </c>
      <c r="M338" s="19">
        <v>160811</v>
      </c>
      <c r="N338" s="19">
        <v>169387</v>
      </c>
      <c r="O338" s="54" t="str">
        <f t="shared" si="119"/>
        <v>Yes</v>
      </c>
      <c r="Q338" s="19">
        <v>7.58</v>
      </c>
      <c r="R338" s="56" t="str">
        <f t="shared" si="107"/>
        <v>Yes</v>
      </c>
      <c r="W338" s="19" t="s">
        <v>154</v>
      </c>
      <c r="X338" s="54" t="str">
        <f>VLOOKUP(W338,Employees!$A$1:$B$601,2,FALSE)</f>
        <v>Puspita Mohapatra</v>
      </c>
      <c r="Z338" s="3" t="s">
        <v>997</v>
      </c>
      <c r="AA338" s="54" t="str">
        <f t="shared" si="108"/>
        <v>0337</v>
      </c>
      <c r="AC338" s="3" t="s">
        <v>24</v>
      </c>
      <c r="AD338" s="54" t="str">
        <f t="shared" si="109"/>
        <v>Design</v>
      </c>
      <c r="AF338" s="3" t="s">
        <v>628</v>
      </c>
      <c r="AG338" s="3" t="s">
        <v>24</v>
      </c>
      <c r="AH338" s="3" t="s">
        <v>75</v>
      </c>
      <c r="AI338" s="54" t="str">
        <f t="shared" si="110"/>
        <v>Subhasree Parida|Design|KalingaTech Pvt Ltd</v>
      </c>
      <c r="AK338" s="3" t="s">
        <v>628</v>
      </c>
      <c r="AL338" s="38" t="str">
        <f t="shared" si="111"/>
        <v>S.P.</v>
      </c>
      <c r="AN338" s="19" t="s">
        <v>5016</v>
      </c>
      <c r="AO338" s="54" t="b">
        <f t="shared" si="112"/>
        <v>0</v>
      </c>
      <c r="AQ338" s="3" t="s">
        <v>628</v>
      </c>
      <c r="AR338" s="52" t="str">
        <f t="shared" si="113"/>
        <v>NO</v>
      </c>
      <c r="AW338" s="54">
        <f ca="1">DATEDIF(BI338,TODAY(),"Y")</f>
        <v>6</v>
      </c>
      <c r="AX338" s="54"/>
      <c r="AY338" s="40" t="s">
        <v>2131</v>
      </c>
      <c r="AZ338" s="44">
        <f t="shared" si="114"/>
        <v>45220</v>
      </c>
      <c r="BA338" s="54" t="str">
        <f t="shared" si="115"/>
        <v>10-2023</v>
      </c>
      <c r="BH338" s="3" t="s">
        <v>998</v>
      </c>
      <c r="BI338" s="51">
        <f t="shared" si="120"/>
        <v>44057</v>
      </c>
      <c r="BJ338" s="38">
        <f t="shared" ca="1" si="121"/>
        <v>1566</v>
      </c>
      <c r="BK338" s="38"/>
      <c r="BL338" s="38" t="str">
        <f t="shared" si="122"/>
        <v>No</v>
      </c>
      <c r="BM338" s="59">
        <f t="shared" si="116"/>
        <v>45220</v>
      </c>
      <c r="BN338" s="51">
        <f t="shared" si="123"/>
        <v>44057</v>
      </c>
      <c r="BO338" s="54">
        <f t="shared" si="117"/>
        <v>1163</v>
      </c>
      <c r="BP338" s="3" t="s">
        <v>997</v>
      </c>
      <c r="BQ338" s="3" t="s">
        <v>24</v>
      </c>
      <c r="BR338" s="19" t="s">
        <v>154</v>
      </c>
      <c r="BS338" s="19" t="s">
        <v>2908</v>
      </c>
      <c r="BT338" s="54" t="str">
        <f t="shared" si="118"/>
        <v>QA</v>
      </c>
      <c r="BV338" s="3" t="s">
        <v>997</v>
      </c>
      <c r="BW338" s="3" t="s">
        <v>628</v>
      </c>
      <c r="CB338" s="19" t="s">
        <v>1096</v>
      </c>
      <c r="CC338" s="3" t="s">
        <v>628</v>
      </c>
      <c r="CD338" s="3" t="s">
        <v>45</v>
      </c>
      <c r="CE338" s="54" t="str">
        <v>Account Manager</v>
      </c>
      <c r="CG338" s="54" t="str">
        <f>IFERROR(_xlfn.XLOOKUP(Hiring!A338,Hiring!A338:A737,Hiring!B338:B737,,0),"Not Found")</f>
        <v>Ankita Mahapatra</v>
      </c>
    </row>
    <row r="339" spans="2:85">
      <c r="B339" s="100"/>
      <c r="F339" s="4">
        <v>3.7</v>
      </c>
      <c r="G339" s="52" t="str" cm="1">
        <f t="array" ref="G339">_xlfn.IFS(F339&gt;=4.5,"Excellent",AND(F339&gt;=3.5,F339&lt;=4.4),"Good",F339&lt;3.5,"Needs Improvement")</f>
        <v>Good</v>
      </c>
      <c r="M339" s="18">
        <v>46843</v>
      </c>
      <c r="N339" s="18">
        <v>51603</v>
      </c>
      <c r="O339" s="54" t="str">
        <f t="shared" si="119"/>
        <v>Yes</v>
      </c>
      <c r="Q339" s="18">
        <v>7.47</v>
      </c>
      <c r="R339" s="56" t="str">
        <f t="shared" si="107"/>
        <v>Yes</v>
      </c>
      <c r="W339" s="18" t="s">
        <v>154</v>
      </c>
      <c r="X339" s="54" t="str">
        <f>VLOOKUP(W339,Employees!$A$1:$B$601,2,FALSE)</f>
        <v>Puspita Mohapatra</v>
      </c>
      <c r="Z339" s="4" t="s">
        <v>999</v>
      </c>
      <c r="AA339" s="54" t="str">
        <f t="shared" si="108"/>
        <v>0338</v>
      </c>
      <c r="AC339" s="4" t="s">
        <v>24</v>
      </c>
      <c r="AD339" s="54" t="str">
        <f t="shared" si="109"/>
        <v>Design</v>
      </c>
      <c r="AF339" s="4" t="s">
        <v>1000</v>
      </c>
      <c r="AG339" s="4" t="s">
        <v>24</v>
      </c>
      <c r="AH339" s="4" t="s">
        <v>172</v>
      </c>
      <c r="AI339" s="54" t="str">
        <f t="shared" si="110"/>
        <v>Subhasree Pattnaik|Design|TechNova Solutions</v>
      </c>
      <c r="AK339" s="4" t="s">
        <v>1000</v>
      </c>
      <c r="AL339" s="38" t="str">
        <f t="shared" si="111"/>
        <v>S.P.</v>
      </c>
      <c r="AN339" s="18" t="s">
        <v>5025</v>
      </c>
      <c r="AO339" s="54" t="b">
        <f t="shared" si="112"/>
        <v>0</v>
      </c>
      <c r="AQ339" s="4" t="s">
        <v>1000</v>
      </c>
      <c r="AR339" s="52" t="str">
        <f t="shared" si="113"/>
        <v>NO</v>
      </c>
      <c r="AW339" s="54">
        <f ca="1">DATEDIF(BI339,TODAY(),"Y")</f>
        <v>7</v>
      </c>
      <c r="AX339" s="54"/>
      <c r="AY339" s="41" t="s">
        <v>5650</v>
      </c>
      <c r="AZ339" s="44">
        <f t="shared" si="114"/>
        <v>45602</v>
      </c>
      <c r="BA339" s="54" t="str">
        <f t="shared" si="115"/>
        <v>11-2024</v>
      </c>
      <c r="BH339" s="4" t="s">
        <v>466</v>
      </c>
      <c r="BI339" s="51">
        <f t="shared" si="120"/>
        <v>43527</v>
      </c>
      <c r="BJ339" s="38">
        <f t="shared" ca="1" si="121"/>
        <v>1945</v>
      </c>
      <c r="BK339" s="38"/>
      <c r="BL339" s="38" t="str">
        <f t="shared" si="122"/>
        <v>Q1</v>
      </c>
      <c r="BM339" s="59">
        <f t="shared" si="116"/>
        <v>45602</v>
      </c>
      <c r="BN339" s="51">
        <f t="shared" si="123"/>
        <v>43527</v>
      </c>
      <c r="BO339" s="54">
        <f t="shared" si="117"/>
        <v>2075</v>
      </c>
      <c r="BP339" s="4" t="s">
        <v>999</v>
      </c>
      <c r="BQ339" s="4" t="s">
        <v>24</v>
      </c>
      <c r="BR339" s="18" t="s">
        <v>154</v>
      </c>
      <c r="BS339" s="18" t="s">
        <v>2909</v>
      </c>
      <c r="BT339" s="54" t="str">
        <f t="shared" si="118"/>
        <v>QA</v>
      </c>
      <c r="BV339" s="4" t="s">
        <v>999</v>
      </c>
      <c r="BW339" s="4" t="s">
        <v>1000</v>
      </c>
      <c r="CB339" s="18" t="s">
        <v>5649</v>
      </c>
      <c r="CC339" s="4" t="s">
        <v>1000</v>
      </c>
      <c r="CD339" s="4" t="s">
        <v>94</v>
      </c>
      <c r="CE339" s="54" t="str">
        <v>Not Found</v>
      </c>
      <c r="CG339" s="54" t="str">
        <f>IFERROR(_xlfn.XLOOKUP(Hiring!A339,Hiring!A339:A738,Hiring!B339:B738,,0),"Not Found")</f>
        <v>Satyajit Routray</v>
      </c>
    </row>
    <row r="340" spans="2:85">
      <c r="B340" s="100"/>
      <c r="F340" s="3">
        <v>4.4000000000000004</v>
      </c>
      <c r="G340" s="52" t="str" cm="1">
        <f t="array" ref="G340">_xlfn.IFS(F340&gt;=4.5,"Excellent",AND(F340&gt;=3.5,F340&lt;=4.4),"Good",F340&lt;3.5,"Needs Improvement")</f>
        <v>Good</v>
      </c>
      <c r="M340" s="19">
        <v>176131</v>
      </c>
      <c r="N340" s="19">
        <v>162935</v>
      </c>
      <c r="O340" s="54" t="str">
        <f t="shared" si="119"/>
        <v>Yes</v>
      </c>
      <c r="Q340" s="19">
        <v>9.67</v>
      </c>
      <c r="R340" s="56" t="str">
        <f t="shared" si="107"/>
        <v>Yes</v>
      </c>
      <c r="W340" s="19" t="s">
        <v>154</v>
      </c>
      <c r="X340" s="54" t="str">
        <f>VLOOKUP(W340,Employees!$A$1:$B$601,2,FALSE)</f>
        <v>Puspita Mohapatra</v>
      </c>
      <c r="Z340" s="3" t="s">
        <v>1001</v>
      </c>
      <c r="AA340" s="54" t="str">
        <f t="shared" si="108"/>
        <v>0339</v>
      </c>
      <c r="AC340" s="3" t="s">
        <v>39</v>
      </c>
      <c r="AD340" s="54" t="str">
        <f t="shared" si="109"/>
        <v>Engineering</v>
      </c>
      <c r="AF340" s="3" t="s">
        <v>727</v>
      </c>
      <c r="AG340" s="3" t="s">
        <v>39</v>
      </c>
      <c r="AH340" s="3" t="s">
        <v>65</v>
      </c>
      <c r="AI340" s="54" t="str">
        <f t="shared" si="110"/>
        <v>Amlan Biswal|Engineering|TributeAI</v>
      </c>
      <c r="AK340" s="3" t="s">
        <v>727</v>
      </c>
      <c r="AL340" s="38" t="str">
        <f t="shared" si="111"/>
        <v>A.B.</v>
      </c>
      <c r="AN340" s="19" t="s">
        <v>5077</v>
      </c>
      <c r="AO340" s="54" t="b">
        <f t="shared" si="112"/>
        <v>0</v>
      </c>
      <c r="AQ340" s="3" t="s">
        <v>727</v>
      </c>
      <c r="AR340" s="52" t="str">
        <f t="shared" si="113"/>
        <v>NO</v>
      </c>
      <c r="AW340" s="54">
        <f ca="1">DATEDIF(BI340,TODAY(),"Y")</f>
        <v>2</v>
      </c>
      <c r="AX340" s="54"/>
      <c r="AY340" s="40" t="s">
        <v>1811</v>
      </c>
      <c r="AZ340" s="44">
        <f t="shared" si="114"/>
        <v>45430</v>
      </c>
      <c r="BA340" s="54" t="str">
        <f t="shared" si="115"/>
        <v>5-2024</v>
      </c>
      <c r="BH340" s="3" t="s">
        <v>270</v>
      </c>
      <c r="BI340" s="51">
        <f t="shared" si="120"/>
        <v>45294</v>
      </c>
      <c r="BJ340" s="38">
        <f t="shared" ca="1" si="121"/>
        <v>683</v>
      </c>
      <c r="BK340" s="38"/>
      <c r="BL340" s="38" t="str">
        <f t="shared" si="122"/>
        <v>Q1</v>
      </c>
      <c r="BM340" s="59">
        <f t="shared" si="116"/>
        <v>45430</v>
      </c>
      <c r="BN340" s="51">
        <f t="shared" si="123"/>
        <v>45294</v>
      </c>
      <c r="BO340" s="54">
        <f t="shared" si="117"/>
        <v>136</v>
      </c>
      <c r="BP340" s="3" t="s">
        <v>1001</v>
      </c>
      <c r="BQ340" s="3" t="s">
        <v>39</v>
      </c>
      <c r="BR340" s="19" t="s">
        <v>154</v>
      </c>
      <c r="BS340" s="19" t="s">
        <v>2910</v>
      </c>
      <c r="BT340" s="54" t="str">
        <f t="shared" si="118"/>
        <v>QA</v>
      </c>
      <c r="BV340" s="3" t="s">
        <v>1001</v>
      </c>
      <c r="BW340" s="3" t="s">
        <v>727</v>
      </c>
      <c r="CB340" s="19" t="s">
        <v>1491</v>
      </c>
      <c r="CC340" s="3" t="s">
        <v>727</v>
      </c>
      <c r="CD340" s="3" t="s">
        <v>109</v>
      </c>
      <c r="CE340" s="54" t="str">
        <v>HR Manager</v>
      </c>
      <c r="CG340" s="54" t="str">
        <f>IFERROR(_xlfn.XLOOKUP(Hiring!A340,Hiring!A340:A739,Hiring!B340:B739,,0),"Not Found")</f>
        <v>Ranjit Jena</v>
      </c>
    </row>
    <row r="341" spans="2:85">
      <c r="B341" s="100"/>
      <c r="F341" s="4">
        <v>4.9000000000000004</v>
      </c>
      <c r="G341" s="52" t="str" cm="1">
        <f t="array" ref="G341">_xlfn.IFS(F341&gt;=4.5,"Excellent",AND(F341&gt;=3.5,F341&lt;=4.4),"Good",F341&lt;3.5,"Needs Improvement")</f>
        <v>Excellent</v>
      </c>
      <c r="M341" s="18">
        <v>78185</v>
      </c>
      <c r="N341" s="18">
        <v>77179</v>
      </c>
      <c r="O341" s="54" t="str">
        <f t="shared" si="119"/>
        <v>Yes</v>
      </c>
      <c r="Q341" s="18">
        <v>9.7200000000000006</v>
      </c>
      <c r="R341" s="56" t="str">
        <f t="shared" si="107"/>
        <v>Yes</v>
      </c>
      <c r="W341" s="18" t="s">
        <v>154</v>
      </c>
      <c r="X341" s="54" t="str">
        <f>VLOOKUP(W341,Employees!$A$1:$B$601,2,FALSE)</f>
        <v>Puspita Mohapatra</v>
      </c>
      <c r="Z341" s="4" t="s">
        <v>1002</v>
      </c>
      <c r="AA341" s="54" t="str">
        <f t="shared" si="108"/>
        <v>0340</v>
      </c>
      <c r="AC341" s="4" t="s">
        <v>176</v>
      </c>
      <c r="AD341" s="54" t="str">
        <f t="shared" si="109"/>
        <v>Finance</v>
      </c>
      <c r="AF341" s="4" t="s">
        <v>509</v>
      </c>
      <c r="AG341" s="4" t="s">
        <v>176</v>
      </c>
      <c r="AH341" s="4" t="s">
        <v>149</v>
      </c>
      <c r="AI341" s="54" t="str">
        <f t="shared" si="110"/>
        <v>Priyanka Biswal|Finance|SilverByte Systems</v>
      </c>
      <c r="AK341" s="4" t="s">
        <v>509</v>
      </c>
      <c r="AL341" s="38" t="str">
        <f t="shared" si="111"/>
        <v>P.B.</v>
      </c>
      <c r="AN341" s="18" t="s">
        <v>5077</v>
      </c>
      <c r="AO341" s="54" t="b">
        <f t="shared" si="112"/>
        <v>0</v>
      </c>
      <c r="AQ341" s="4" t="s">
        <v>509</v>
      </c>
      <c r="AR341" s="52" t="str">
        <f t="shared" si="113"/>
        <v>NO</v>
      </c>
      <c r="AW341" s="54">
        <f ca="1">DATEDIF(BI341,TODAY(),"Y")</f>
        <v>5</v>
      </c>
      <c r="AX341" s="54"/>
      <c r="AY341" s="41" t="s">
        <v>5284</v>
      </c>
      <c r="AZ341" s="44">
        <f t="shared" si="114"/>
        <v>45264</v>
      </c>
      <c r="BA341" s="54" t="str">
        <f t="shared" si="115"/>
        <v>12-2023</v>
      </c>
      <c r="BH341" s="4" t="s">
        <v>1003</v>
      </c>
      <c r="BI341" s="51">
        <f t="shared" si="120"/>
        <v>44422</v>
      </c>
      <c r="BJ341" s="38">
        <f t="shared" ca="1" si="121"/>
        <v>1305</v>
      </c>
      <c r="BK341" s="38"/>
      <c r="BL341" s="38" t="str">
        <f t="shared" si="122"/>
        <v>No</v>
      </c>
      <c r="BM341" s="59">
        <f t="shared" si="116"/>
        <v>45264</v>
      </c>
      <c r="BN341" s="51">
        <f t="shared" si="123"/>
        <v>44422</v>
      </c>
      <c r="BO341" s="54">
        <f t="shared" si="117"/>
        <v>842</v>
      </c>
      <c r="BP341" s="4" t="s">
        <v>1002</v>
      </c>
      <c r="BQ341" s="4" t="s">
        <v>176</v>
      </c>
      <c r="BR341" s="18" t="s">
        <v>154</v>
      </c>
      <c r="BS341" s="18" t="s">
        <v>2912</v>
      </c>
      <c r="BT341" s="54" t="str">
        <f t="shared" si="118"/>
        <v>QA</v>
      </c>
      <c r="BV341" s="4" t="s">
        <v>1002</v>
      </c>
      <c r="BW341" s="4" t="s">
        <v>509</v>
      </c>
      <c r="CB341" s="18" t="s">
        <v>5653</v>
      </c>
      <c r="CC341" s="4" t="s">
        <v>509</v>
      </c>
      <c r="CD341" s="4" t="s">
        <v>359</v>
      </c>
      <c r="CE341" s="54" t="str">
        <v>Not Found</v>
      </c>
      <c r="CG341" s="54" t="str">
        <f>IFERROR(_xlfn.XLOOKUP(Hiring!A341,Hiring!A341:A740,Hiring!B341:B740,,0),"Not Found")</f>
        <v>Abhishek Jena</v>
      </c>
    </row>
    <row r="342" spans="2:85">
      <c r="B342" s="100"/>
      <c r="F342" s="3">
        <v>3.6</v>
      </c>
      <c r="G342" s="52" t="str" cm="1">
        <f t="array" ref="G342">_xlfn.IFS(F342&gt;=4.5,"Excellent",AND(F342&gt;=3.5,F342&lt;=4.4),"Good",F342&lt;3.5,"Needs Improvement")</f>
        <v>Good</v>
      </c>
      <c r="M342" s="19">
        <v>170284</v>
      </c>
      <c r="N342" s="19"/>
      <c r="O342" s="54" t="str">
        <f t="shared" si="119"/>
        <v>Yes</v>
      </c>
      <c r="Q342" s="19">
        <v>8.59</v>
      </c>
      <c r="R342" s="56" t="str">
        <f t="shared" si="107"/>
        <v>Yes</v>
      </c>
      <c r="W342" s="19" t="s">
        <v>154</v>
      </c>
      <c r="X342" s="54" t="str">
        <f>VLOOKUP(W342,Employees!$A$1:$B$601,2,FALSE)</f>
        <v>Puspita Mohapatra</v>
      </c>
      <c r="Z342" s="3" t="s">
        <v>1004</v>
      </c>
      <c r="AA342" s="54" t="str">
        <f t="shared" si="108"/>
        <v>0341</v>
      </c>
      <c r="AC342" s="3" t="s">
        <v>63</v>
      </c>
      <c r="AD342" s="54" t="str">
        <f t="shared" si="109"/>
        <v>Product</v>
      </c>
      <c r="AF342" s="3" t="s">
        <v>1005</v>
      </c>
      <c r="AG342" s="3" t="s">
        <v>63</v>
      </c>
      <c r="AH342" s="3" t="s">
        <v>32</v>
      </c>
      <c r="AI342" s="54" t="str">
        <f t="shared" si="110"/>
        <v>Abhishek Behura|Product|NilGiri Digitals</v>
      </c>
      <c r="AK342" s="3" t="s">
        <v>1005</v>
      </c>
      <c r="AL342" s="38" t="str">
        <f t="shared" si="111"/>
        <v>A.B.</v>
      </c>
      <c r="AN342" s="19" t="s">
        <v>5025</v>
      </c>
      <c r="AO342" s="54" t="b">
        <f t="shared" si="112"/>
        <v>0</v>
      </c>
      <c r="AQ342" s="3" t="s">
        <v>1005</v>
      </c>
      <c r="AR342" s="52" t="str">
        <f t="shared" si="113"/>
        <v>NO</v>
      </c>
      <c r="AW342" s="54">
        <f ca="1">DATEDIF(BI342,TODAY(),"Y")</f>
        <v>5</v>
      </c>
      <c r="AX342" s="54"/>
      <c r="AY342" s="40" t="s">
        <v>1891</v>
      </c>
      <c r="AZ342" s="44">
        <f t="shared" si="114"/>
        <v>44987</v>
      </c>
      <c r="BA342" s="54" t="str">
        <f t="shared" si="115"/>
        <v>3-2023</v>
      </c>
      <c r="BH342" s="3" t="s">
        <v>1006</v>
      </c>
      <c r="BI342" s="51">
        <f t="shared" si="120"/>
        <v>44119</v>
      </c>
      <c r="BJ342" s="38">
        <f t="shared" ca="1" si="121"/>
        <v>1522</v>
      </c>
      <c r="BK342" s="38"/>
      <c r="BL342" s="38" t="str">
        <f t="shared" si="122"/>
        <v>No</v>
      </c>
      <c r="BM342" s="59">
        <f t="shared" si="116"/>
        <v>44987</v>
      </c>
      <c r="BN342" s="51">
        <f t="shared" si="123"/>
        <v>44119</v>
      </c>
      <c r="BO342" s="54">
        <f t="shared" si="117"/>
        <v>868</v>
      </c>
      <c r="BP342" s="3" t="s">
        <v>1004</v>
      </c>
      <c r="BQ342" s="3" t="s">
        <v>63</v>
      </c>
      <c r="BR342" s="19" t="s">
        <v>154</v>
      </c>
      <c r="BS342" s="19" t="s">
        <v>2914</v>
      </c>
      <c r="BT342" s="54" t="str">
        <f t="shared" si="118"/>
        <v>QA</v>
      </c>
      <c r="BV342" s="3" t="s">
        <v>1004</v>
      </c>
      <c r="BW342" s="3" t="s">
        <v>1005</v>
      </c>
      <c r="CB342" s="19" t="s">
        <v>389</v>
      </c>
      <c r="CC342" s="3" t="s">
        <v>1005</v>
      </c>
      <c r="CD342" s="3" t="s">
        <v>64</v>
      </c>
      <c r="CE342" s="54" t="str">
        <v>Design Lead</v>
      </c>
      <c r="CG342" s="54" t="str">
        <f>IFERROR(_xlfn.XLOOKUP(Hiring!A342,Hiring!A342:A741,Hiring!B342:B741,,0),"Not Found")</f>
        <v>Rahul Prusty</v>
      </c>
    </row>
    <row r="343" spans="2:85">
      <c r="B343" s="100"/>
      <c r="F343" s="4">
        <v>2.6</v>
      </c>
      <c r="G343" s="52" t="str" cm="1">
        <f t="array" ref="G343">_xlfn.IFS(F343&gt;=4.5,"Excellent",AND(F343&gt;=3.5,F343&lt;=4.4),"Good",F343&lt;3.5,"Needs Improvement")</f>
        <v>Needs Improvement</v>
      </c>
      <c r="M343" s="18"/>
      <c r="N343" s="18">
        <v>132915</v>
      </c>
      <c r="O343" s="54" t="str">
        <f t="shared" si="119"/>
        <v>Yes</v>
      </c>
      <c r="Q343" s="18">
        <v>8.92</v>
      </c>
      <c r="R343" s="56" t="str">
        <f t="shared" si="107"/>
        <v>Yes</v>
      </c>
      <c r="W343" s="18" t="s">
        <v>154</v>
      </c>
      <c r="X343" s="54" t="str">
        <f>VLOOKUP(W343,Employees!$A$1:$B$601,2,FALSE)</f>
        <v>Puspita Mohapatra</v>
      </c>
      <c r="Z343" s="4" t="s">
        <v>1007</v>
      </c>
      <c r="AA343" s="54" t="str">
        <f t="shared" si="108"/>
        <v>0342</v>
      </c>
      <c r="AC343" s="4" t="s">
        <v>16</v>
      </c>
      <c r="AD343" s="54" t="str">
        <f t="shared" si="109"/>
        <v>Devops</v>
      </c>
      <c r="AF343" s="4" t="s">
        <v>122</v>
      </c>
      <c r="AG343" s="4" t="s">
        <v>16</v>
      </c>
      <c r="AH343" s="4" t="s">
        <v>149</v>
      </c>
      <c r="AI343" s="54" t="str">
        <f t="shared" si="110"/>
        <v>Sudhansu Choudhury|DevOps|SilverByte Systems</v>
      </c>
      <c r="AK343" s="4" t="s">
        <v>122</v>
      </c>
      <c r="AL343" s="38" t="str">
        <f t="shared" si="111"/>
        <v>S.C.</v>
      </c>
      <c r="AN343" s="18" t="s">
        <v>5025</v>
      </c>
      <c r="AO343" s="54" t="b">
        <f t="shared" si="112"/>
        <v>0</v>
      </c>
      <c r="AQ343" s="4" t="s">
        <v>122</v>
      </c>
      <c r="AR343" s="52" t="str">
        <f t="shared" si="113"/>
        <v>NO</v>
      </c>
      <c r="AW343" s="54">
        <f ca="1">DATEDIF(BI343,TODAY(),"Y")</f>
        <v>3</v>
      </c>
      <c r="AX343" s="54"/>
      <c r="AY343" s="41" t="s">
        <v>5656</v>
      </c>
      <c r="AZ343" s="44">
        <f t="shared" si="114"/>
        <v>44965</v>
      </c>
      <c r="BA343" s="54" t="str">
        <f t="shared" si="115"/>
        <v>2-2023</v>
      </c>
      <c r="BH343" s="4" t="s">
        <v>1008</v>
      </c>
      <c r="BI343" s="51">
        <f t="shared" si="120"/>
        <v>45082</v>
      </c>
      <c r="BJ343" s="38">
        <f t="shared" ca="1" si="121"/>
        <v>835</v>
      </c>
      <c r="BK343" s="38"/>
      <c r="BL343" s="38" t="str">
        <f t="shared" si="122"/>
        <v>No</v>
      </c>
      <c r="BM343" s="59">
        <f t="shared" si="116"/>
        <v>44965</v>
      </c>
      <c r="BN343" s="51">
        <f t="shared" si="123"/>
        <v>45082</v>
      </c>
      <c r="BO343" s="54">
        <f t="shared" si="117"/>
        <v>117</v>
      </c>
      <c r="BP343" s="4" t="s">
        <v>1007</v>
      </c>
      <c r="BQ343" s="4" t="s">
        <v>16</v>
      </c>
      <c r="BR343" s="18" t="s">
        <v>154</v>
      </c>
      <c r="BS343" s="18" t="s">
        <v>2915</v>
      </c>
      <c r="BT343" s="54" t="str">
        <f t="shared" si="118"/>
        <v>QA</v>
      </c>
      <c r="BV343" s="4" t="s">
        <v>1007</v>
      </c>
      <c r="BW343" s="4" t="s">
        <v>122</v>
      </c>
      <c r="CB343" s="18" t="s">
        <v>5450</v>
      </c>
      <c r="CC343" s="4" t="s">
        <v>122</v>
      </c>
      <c r="CD343" s="4" t="s">
        <v>98</v>
      </c>
      <c r="CE343" s="54" t="str">
        <v>Not Found</v>
      </c>
      <c r="CG343" s="54" t="str">
        <f>IFERROR(_xlfn.XLOOKUP(Hiring!A343,Hiring!A343:A742,Hiring!B343:B742,,0),"Not Found")</f>
        <v>Puspita Mishra</v>
      </c>
    </row>
    <row r="344" spans="2:85">
      <c r="B344" s="100"/>
      <c r="F344" s="3">
        <v>1.6</v>
      </c>
      <c r="G344" s="52" t="str" cm="1">
        <f t="array" ref="G344">_xlfn.IFS(F344&gt;=4.5,"Excellent",AND(F344&gt;=3.5,F344&lt;=4.4),"Good",F344&lt;3.5,"Needs Improvement")</f>
        <v>Needs Improvement</v>
      </c>
      <c r="M344" s="19">
        <v>86412</v>
      </c>
      <c r="N344" s="19">
        <v>86779</v>
      </c>
      <c r="O344" s="54" t="str">
        <f t="shared" si="119"/>
        <v>Yes</v>
      </c>
      <c r="Q344" s="19">
        <v>10.57</v>
      </c>
      <c r="R344" s="56" t="str">
        <f t="shared" si="107"/>
        <v>Yes</v>
      </c>
      <c r="W344" s="19" t="s">
        <v>154</v>
      </c>
      <c r="X344" s="54" t="str">
        <f>VLOOKUP(W344,Employees!$A$1:$B$601,2,FALSE)</f>
        <v>Puspita Mohapatra</v>
      </c>
      <c r="Z344" s="3" t="s">
        <v>1009</v>
      </c>
      <c r="AA344" s="54" t="str">
        <f t="shared" si="108"/>
        <v>0343</v>
      </c>
      <c r="AC344" s="3" t="s">
        <v>133</v>
      </c>
      <c r="AD344" s="54" t="str">
        <f t="shared" si="109"/>
        <v>Qa</v>
      </c>
      <c r="AF344" s="3" t="s">
        <v>1010</v>
      </c>
      <c r="AG344" s="3" t="s">
        <v>133</v>
      </c>
      <c r="AH344" s="3" t="s">
        <v>114</v>
      </c>
      <c r="AI344" s="54" t="str">
        <f t="shared" si="110"/>
        <v>Namita Mohapatra|QA|UtkalSoft Technologies</v>
      </c>
      <c r="AK344" s="3" t="s">
        <v>1010</v>
      </c>
      <c r="AL344" s="38" t="str">
        <f t="shared" si="111"/>
        <v>N.M.</v>
      </c>
      <c r="AN344" s="19" t="s">
        <v>5051</v>
      </c>
      <c r="AO344" s="54" t="str">
        <f t="shared" si="112"/>
        <v>Naukri</v>
      </c>
      <c r="AQ344" s="3" t="s">
        <v>1010</v>
      </c>
      <c r="AR344" s="52" t="str">
        <f t="shared" si="113"/>
        <v>NO</v>
      </c>
      <c r="AW344" s="54">
        <f ca="1">DATEDIF(BI344,TODAY(),"Y")</f>
        <v>3</v>
      </c>
      <c r="AX344" s="54"/>
      <c r="AY344" s="40" t="s">
        <v>5203</v>
      </c>
      <c r="AZ344" s="44">
        <f t="shared" si="114"/>
        <v>45051</v>
      </c>
      <c r="BA344" s="54" t="str">
        <f t="shared" si="115"/>
        <v>5-2023</v>
      </c>
      <c r="BH344" s="3" t="s">
        <v>1011</v>
      </c>
      <c r="BI344" s="51">
        <f t="shared" si="120"/>
        <v>44934</v>
      </c>
      <c r="BJ344" s="38">
        <f t="shared" ca="1" si="121"/>
        <v>940</v>
      </c>
      <c r="BK344" s="38"/>
      <c r="BL344" s="38" t="str">
        <f t="shared" si="122"/>
        <v>Q1</v>
      </c>
      <c r="BM344" s="59">
        <f t="shared" si="116"/>
        <v>45051</v>
      </c>
      <c r="BN344" s="51">
        <f t="shared" si="123"/>
        <v>44934</v>
      </c>
      <c r="BO344" s="54">
        <f t="shared" si="117"/>
        <v>117</v>
      </c>
      <c r="BP344" s="3" t="s">
        <v>1009</v>
      </c>
      <c r="BQ344" s="3" t="s">
        <v>133</v>
      </c>
      <c r="BR344" s="19" t="s">
        <v>154</v>
      </c>
      <c r="BS344" s="19" t="s">
        <v>2917</v>
      </c>
      <c r="BT344" s="54" t="str">
        <f t="shared" si="118"/>
        <v>QA</v>
      </c>
      <c r="BV344" s="3" t="s">
        <v>1009</v>
      </c>
      <c r="BW344" s="3" t="s">
        <v>1010</v>
      </c>
      <c r="CB344" s="19" t="s">
        <v>479</v>
      </c>
      <c r="CC344" s="3" t="s">
        <v>1010</v>
      </c>
      <c r="CD344" s="3" t="s">
        <v>153</v>
      </c>
      <c r="CE344" s="54" t="str">
        <v>Talent Acquisition</v>
      </c>
      <c r="CG344" s="54" t="str">
        <f>IFERROR(_xlfn.XLOOKUP(Hiring!A344,Hiring!A344:A743,Hiring!B344:B743,,0),"Not Found")</f>
        <v>Puspita Routray</v>
      </c>
    </row>
    <row r="345" spans="2:85">
      <c r="B345" s="100"/>
      <c r="F345" s="4">
        <v>2.9</v>
      </c>
      <c r="G345" s="52" t="str" cm="1">
        <f t="array" ref="G345">_xlfn.IFS(F345&gt;=4.5,"Excellent",AND(F345&gt;=3.5,F345&lt;=4.4),"Good",F345&lt;3.5,"Needs Improvement")</f>
        <v>Needs Improvement</v>
      </c>
      <c r="M345" s="18">
        <v>0</v>
      </c>
      <c r="N345" s="18">
        <v>0</v>
      </c>
      <c r="O345" s="54" t="str">
        <f t="shared" si="119"/>
        <v>No</v>
      </c>
      <c r="Q345" s="18">
        <v>6.68</v>
      </c>
      <c r="R345" s="56" t="str">
        <f t="shared" si="107"/>
        <v>Yes</v>
      </c>
      <c r="W345" s="18" t="s">
        <v>154</v>
      </c>
      <c r="X345" s="54" t="str">
        <f>VLOOKUP(W345,Employees!$A$1:$B$601,2,FALSE)</f>
        <v>Puspita Mohapatra</v>
      </c>
      <c r="Z345" s="4" t="s">
        <v>1012</v>
      </c>
      <c r="AA345" s="54" t="str">
        <f t="shared" si="108"/>
        <v>0344</v>
      </c>
      <c r="AC345" s="4" t="s">
        <v>39</v>
      </c>
      <c r="AD345" s="54" t="str">
        <f t="shared" si="109"/>
        <v>Engineering</v>
      </c>
      <c r="AF345" s="4" t="s">
        <v>637</v>
      </c>
      <c r="AG345" s="4" t="s">
        <v>39</v>
      </c>
      <c r="AH345" s="4" t="s">
        <v>65</v>
      </c>
      <c r="AI345" s="54" t="str">
        <f t="shared" si="110"/>
        <v>Tanmay Choudhury|Engineering|TributeAI</v>
      </c>
      <c r="AK345" s="4" t="s">
        <v>637</v>
      </c>
      <c r="AL345" s="38" t="str">
        <f t="shared" si="111"/>
        <v>T.C.</v>
      </c>
      <c r="AN345" s="18" t="s">
        <v>5031</v>
      </c>
      <c r="AO345" s="54" t="b">
        <f t="shared" si="112"/>
        <v>0</v>
      </c>
      <c r="AQ345" s="4" t="s">
        <v>637</v>
      </c>
      <c r="AR345" s="52" t="str">
        <f t="shared" si="113"/>
        <v>NO</v>
      </c>
      <c r="AW345" s="54">
        <f ca="1">DATEDIF(BI345,TODAY(),"Y")</f>
        <v>3</v>
      </c>
      <c r="AX345" s="54"/>
      <c r="AY345" s="41" t="s">
        <v>2012</v>
      </c>
      <c r="AZ345" s="44">
        <f t="shared" si="114"/>
        <v>45517</v>
      </c>
      <c r="BA345" s="54" t="str">
        <f t="shared" si="115"/>
        <v>8-2024</v>
      </c>
      <c r="BH345" s="4" t="s">
        <v>1013</v>
      </c>
      <c r="BI345" s="51">
        <f t="shared" si="120"/>
        <v>44931</v>
      </c>
      <c r="BJ345" s="38">
        <f t="shared" ca="1" si="121"/>
        <v>942</v>
      </c>
      <c r="BK345" s="38"/>
      <c r="BL345" s="38" t="str">
        <f t="shared" si="122"/>
        <v>Q1</v>
      </c>
      <c r="BM345" s="59">
        <f t="shared" si="116"/>
        <v>45517</v>
      </c>
      <c r="BN345" s="51">
        <f t="shared" si="123"/>
        <v>44931</v>
      </c>
      <c r="BO345" s="54">
        <f t="shared" si="117"/>
        <v>586</v>
      </c>
      <c r="BP345" s="4" t="s">
        <v>1012</v>
      </c>
      <c r="BQ345" s="4" t="s">
        <v>39</v>
      </c>
      <c r="BR345" s="18" t="s">
        <v>154</v>
      </c>
      <c r="BS345" s="18" t="s">
        <v>2918</v>
      </c>
      <c r="BT345" s="54" t="str">
        <f t="shared" si="118"/>
        <v>QA</v>
      </c>
      <c r="BV345" s="4" t="s">
        <v>1012</v>
      </c>
      <c r="BW345" s="4" t="s">
        <v>637</v>
      </c>
      <c r="CB345" s="18" t="s">
        <v>5487</v>
      </c>
      <c r="CC345" s="4" t="s">
        <v>637</v>
      </c>
      <c r="CD345" s="4" t="s">
        <v>79</v>
      </c>
      <c r="CE345" s="54" t="str">
        <v>Not Found</v>
      </c>
      <c r="CG345" s="54" t="str">
        <f>IFERROR(_xlfn.XLOOKUP(Hiring!A345,Hiring!A345:A744,Hiring!B345:B744,,0),"Not Found")</f>
        <v>Alka Parida</v>
      </c>
    </row>
    <row r="346" spans="2:85">
      <c r="B346" s="100"/>
      <c r="F346" s="3">
        <v>4.5</v>
      </c>
      <c r="G346" s="52" t="str" cm="1">
        <f t="array" ref="G346">_xlfn.IFS(F346&gt;=4.5,"Excellent",AND(F346&gt;=3.5,F346&lt;=4.4),"Good",F346&lt;3.5,"Needs Improvement")</f>
        <v>Excellent</v>
      </c>
      <c r="M346" s="19">
        <v>129110</v>
      </c>
      <c r="N346" s="19">
        <v>117244</v>
      </c>
      <c r="O346" s="54" t="str">
        <f t="shared" si="119"/>
        <v>Yes</v>
      </c>
      <c r="Q346" s="19">
        <v>7.06</v>
      </c>
      <c r="R346" s="56" t="str">
        <f t="shared" si="107"/>
        <v>Yes</v>
      </c>
      <c r="W346" s="19" t="s">
        <v>1044</v>
      </c>
      <c r="X346" s="54" t="str">
        <f>VLOOKUP(W346,Employees!$A$1:$B$601,2,FALSE)</f>
        <v>Lipsa Senapati</v>
      </c>
      <c r="Z346" s="3" t="s">
        <v>1014</v>
      </c>
      <c r="AA346" s="54" t="str">
        <f t="shared" si="108"/>
        <v>0345</v>
      </c>
      <c r="AC346" s="3" t="s">
        <v>118</v>
      </c>
      <c r="AD346" s="54" t="str">
        <f t="shared" si="109"/>
        <v>Marketing</v>
      </c>
      <c r="AF346" s="3" t="s">
        <v>341</v>
      </c>
      <c r="AG346" s="3" t="s">
        <v>118</v>
      </c>
      <c r="AH346" s="3" t="s">
        <v>75</v>
      </c>
      <c r="AI346" s="54" t="str">
        <f t="shared" si="110"/>
        <v>Jyotirmayee Sahoo|Marketing|KalingaTech Pvt Ltd</v>
      </c>
      <c r="AK346" s="3" t="s">
        <v>341</v>
      </c>
      <c r="AL346" s="38" t="str">
        <f t="shared" si="111"/>
        <v>J.S.</v>
      </c>
      <c r="AN346" s="19" t="s">
        <v>5051</v>
      </c>
      <c r="AO346" s="54" t="str">
        <f t="shared" si="112"/>
        <v>Naukri</v>
      </c>
      <c r="AQ346" s="3" t="s">
        <v>341</v>
      </c>
      <c r="AR346" s="52" t="str">
        <f t="shared" si="113"/>
        <v>NO</v>
      </c>
      <c r="AW346" s="54">
        <f ca="1">DATEDIF(BI346,TODAY(),"Y")</f>
        <v>7</v>
      </c>
      <c r="AX346" s="54"/>
      <c r="AY346" s="40" t="s">
        <v>5639</v>
      </c>
      <c r="AZ346" s="44">
        <f t="shared" si="114"/>
        <v>45216</v>
      </c>
      <c r="BA346" s="54" t="str">
        <f t="shared" si="115"/>
        <v>10-2023</v>
      </c>
      <c r="BH346" s="3" t="s">
        <v>1015</v>
      </c>
      <c r="BI346" s="51">
        <f t="shared" si="120"/>
        <v>43471</v>
      </c>
      <c r="BJ346" s="38">
        <f t="shared" ca="1" si="121"/>
        <v>1985</v>
      </c>
      <c r="BK346" s="38"/>
      <c r="BL346" s="38" t="str">
        <f t="shared" si="122"/>
        <v>Q1</v>
      </c>
      <c r="BM346" s="59">
        <f t="shared" si="116"/>
        <v>45216</v>
      </c>
      <c r="BN346" s="51">
        <f t="shared" si="123"/>
        <v>43471</v>
      </c>
      <c r="BO346" s="54">
        <f t="shared" si="117"/>
        <v>1745</v>
      </c>
      <c r="BP346" s="3" t="s">
        <v>1014</v>
      </c>
      <c r="BQ346" s="3" t="s">
        <v>118</v>
      </c>
      <c r="BR346" s="19" t="s">
        <v>1044</v>
      </c>
      <c r="BS346" s="19" t="s">
        <v>2920</v>
      </c>
      <c r="BT346" s="54" t="str">
        <f t="shared" si="118"/>
        <v>DevOps</v>
      </c>
      <c r="BV346" s="3" t="s">
        <v>1014</v>
      </c>
      <c r="BW346" s="3" t="s">
        <v>341</v>
      </c>
      <c r="CB346" s="19" t="s">
        <v>1546</v>
      </c>
      <c r="CC346" s="3" t="s">
        <v>341</v>
      </c>
      <c r="CD346" s="3" t="s">
        <v>119</v>
      </c>
      <c r="CE346" s="54" t="str">
        <v>HR Manager</v>
      </c>
      <c r="CG346" s="54" t="str">
        <f>IFERROR(_xlfn.XLOOKUP(Hiring!A346,Hiring!A346:A745,Hiring!B346:B745,,0),"Not Found")</f>
        <v>Abhishek Senapati</v>
      </c>
    </row>
    <row r="347" spans="2:85">
      <c r="B347" s="100"/>
      <c r="F347" s="4">
        <v>4.3</v>
      </c>
      <c r="G347" s="52" t="str" cm="1">
        <f t="array" ref="G347">_xlfn.IFS(F347&gt;=4.5,"Excellent",AND(F347&gt;=3.5,F347&lt;=4.4),"Good",F347&lt;3.5,"Needs Improvement")</f>
        <v>Good</v>
      </c>
      <c r="M347" s="18">
        <v>154183</v>
      </c>
      <c r="N347" s="18">
        <v>168120</v>
      </c>
      <c r="O347" s="54" t="str">
        <f t="shared" si="119"/>
        <v>Yes</v>
      </c>
      <c r="Q347" s="18">
        <v>7.64</v>
      </c>
      <c r="R347" s="56" t="str">
        <f t="shared" si="107"/>
        <v>Yes</v>
      </c>
      <c r="W347" s="18" t="s">
        <v>1044</v>
      </c>
      <c r="X347" s="54" t="str">
        <f>VLOOKUP(W347,Employees!$A$1:$B$601,2,FALSE)</f>
        <v>Lipsa Senapati</v>
      </c>
      <c r="Z347" s="4" t="s">
        <v>1016</v>
      </c>
      <c r="AA347" s="54" t="str">
        <f t="shared" si="108"/>
        <v>0346</v>
      </c>
      <c r="AC347" s="4" t="s">
        <v>176</v>
      </c>
      <c r="AD347" s="54" t="str">
        <f t="shared" si="109"/>
        <v>Finance</v>
      </c>
      <c r="AF347" s="4" t="s">
        <v>1017</v>
      </c>
      <c r="AG347" s="4" t="s">
        <v>176</v>
      </c>
      <c r="AH347" s="4" t="s">
        <v>26</v>
      </c>
      <c r="AI347" s="54" t="str">
        <f t="shared" si="110"/>
        <v>Debasmita Sahu|Finance|InfySoft Bhubaneswar</v>
      </c>
      <c r="AK347" s="4" t="s">
        <v>1017</v>
      </c>
      <c r="AL347" s="38" t="str">
        <f t="shared" si="111"/>
        <v>D.S.</v>
      </c>
      <c r="AN347" s="18" t="s">
        <v>5051</v>
      </c>
      <c r="AO347" s="54" t="str">
        <f t="shared" si="112"/>
        <v>Naukri</v>
      </c>
      <c r="AQ347" s="4" t="s">
        <v>1017</v>
      </c>
      <c r="AR347" s="52" t="str">
        <f t="shared" si="113"/>
        <v>NO</v>
      </c>
      <c r="AW347" s="54">
        <f ca="1">DATEDIF(BI347,TODAY(),"Y")</f>
        <v>8</v>
      </c>
      <c r="AX347" s="54"/>
      <c r="AY347" s="41" t="s">
        <v>5374</v>
      </c>
      <c r="AZ347" s="44">
        <f t="shared" si="114"/>
        <v>45021</v>
      </c>
      <c r="BA347" s="54" t="str">
        <f t="shared" si="115"/>
        <v>4-2023</v>
      </c>
      <c r="BH347" s="4" t="s">
        <v>1018</v>
      </c>
      <c r="BI347" s="51">
        <f t="shared" si="120"/>
        <v>43321</v>
      </c>
      <c r="BJ347" s="38">
        <f t="shared" ca="1" si="121"/>
        <v>2092</v>
      </c>
      <c r="BK347" s="38"/>
      <c r="BL347" s="38" t="str">
        <f t="shared" si="122"/>
        <v>No</v>
      </c>
      <c r="BM347" s="59">
        <f t="shared" si="116"/>
        <v>45021</v>
      </c>
      <c r="BN347" s="51">
        <f t="shared" si="123"/>
        <v>43321</v>
      </c>
      <c r="BO347" s="54">
        <f t="shared" si="117"/>
        <v>1700</v>
      </c>
      <c r="BP347" s="4" t="s">
        <v>1016</v>
      </c>
      <c r="BQ347" s="4" t="s">
        <v>176</v>
      </c>
      <c r="BR347" s="18" t="s">
        <v>1044</v>
      </c>
      <c r="BS347" s="18" t="s">
        <v>2922</v>
      </c>
      <c r="BT347" s="54" t="str">
        <f t="shared" si="118"/>
        <v>DevOps</v>
      </c>
      <c r="BV347" s="4" t="s">
        <v>1016</v>
      </c>
      <c r="BW347" s="4" t="s">
        <v>1017</v>
      </c>
      <c r="CB347" s="18" t="s">
        <v>277</v>
      </c>
      <c r="CC347" s="4" t="s">
        <v>1017</v>
      </c>
      <c r="CD347" s="4" t="s">
        <v>359</v>
      </c>
      <c r="CE347" s="54" t="str">
        <v>Sales Manager</v>
      </c>
      <c r="CG347" s="54" t="str">
        <f>IFERROR(_xlfn.XLOOKUP(Hiring!A347,Hiring!A347:A746,Hiring!B347:B746,,0),"Not Found")</f>
        <v>Debasmita Routray</v>
      </c>
    </row>
    <row r="348" spans="2:85">
      <c r="B348" s="100"/>
      <c r="F348" s="3">
        <v>4.8</v>
      </c>
      <c r="G348" s="52" t="str" cm="1">
        <f t="array" ref="G348">_xlfn.IFS(F348&gt;=4.5,"Excellent",AND(F348&gt;=3.5,F348&lt;=4.4),"Good",F348&lt;3.5,"Needs Improvement")</f>
        <v>Excellent</v>
      </c>
      <c r="M348" s="19">
        <v>177438</v>
      </c>
      <c r="N348" s="19">
        <v>171320</v>
      </c>
      <c r="O348" s="54" t="str">
        <f t="shared" si="119"/>
        <v>Yes</v>
      </c>
      <c r="Q348" s="19">
        <v>10.02</v>
      </c>
      <c r="R348" s="56" t="str">
        <f t="shared" si="107"/>
        <v>Yes</v>
      </c>
      <c r="W348" s="19" t="s">
        <v>1044</v>
      </c>
      <c r="X348" s="54" t="str">
        <f>VLOOKUP(W348,Employees!$A$1:$B$601,2,FALSE)</f>
        <v>Lipsa Senapati</v>
      </c>
      <c r="Z348" s="3" t="s">
        <v>1019</v>
      </c>
      <c r="AA348" s="54" t="str">
        <f t="shared" si="108"/>
        <v>0347</v>
      </c>
      <c r="AC348" s="3" t="s">
        <v>84</v>
      </c>
      <c r="AD348" s="54" t="str">
        <f t="shared" si="109"/>
        <v>Hr</v>
      </c>
      <c r="AF348" s="3" t="s">
        <v>1020</v>
      </c>
      <c r="AG348" s="3" t="s">
        <v>84</v>
      </c>
      <c r="AH348" s="3" t="s">
        <v>65</v>
      </c>
      <c r="AI348" s="54" t="str">
        <f t="shared" si="110"/>
        <v>Tapas Biswal|HR|TributeAI</v>
      </c>
      <c r="AK348" s="3" t="s">
        <v>1020</v>
      </c>
      <c r="AL348" s="38" t="str">
        <f t="shared" si="111"/>
        <v>T.B.</v>
      </c>
      <c r="AN348" s="19" t="s">
        <v>5051</v>
      </c>
      <c r="AO348" s="54" t="str">
        <f t="shared" si="112"/>
        <v>Naukri</v>
      </c>
      <c r="AQ348" s="3" t="s">
        <v>1020</v>
      </c>
      <c r="AR348" s="52" t="str">
        <f t="shared" si="113"/>
        <v>NO</v>
      </c>
      <c r="AW348" s="54">
        <f ca="1">DATEDIF(BI348,TODAY(),"Y")</f>
        <v>6</v>
      </c>
      <c r="AX348" s="54"/>
      <c r="AY348" s="40" t="s">
        <v>5662</v>
      </c>
      <c r="AZ348" s="44">
        <f t="shared" si="114"/>
        <v>45631</v>
      </c>
      <c r="BA348" s="54" t="str">
        <f t="shared" si="115"/>
        <v>12-2024</v>
      </c>
      <c r="BH348" s="3" t="s">
        <v>1021</v>
      </c>
      <c r="BI348" s="51">
        <f t="shared" si="120"/>
        <v>43757</v>
      </c>
      <c r="BJ348" s="38">
        <f t="shared" ca="1" si="121"/>
        <v>1780</v>
      </c>
      <c r="BK348" s="38"/>
      <c r="BL348" s="38" t="str">
        <f t="shared" si="122"/>
        <v>No</v>
      </c>
      <c r="BM348" s="59">
        <f t="shared" si="116"/>
        <v>45631</v>
      </c>
      <c r="BN348" s="51">
        <f t="shared" si="123"/>
        <v>43757</v>
      </c>
      <c r="BO348" s="54">
        <f t="shared" si="117"/>
        <v>1874</v>
      </c>
      <c r="BP348" s="3" t="s">
        <v>1019</v>
      </c>
      <c r="BQ348" s="3" t="s">
        <v>84</v>
      </c>
      <c r="BR348" s="19" t="s">
        <v>1044</v>
      </c>
      <c r="BS348" s="19" t="s">
        <v>2923</v>
      </c>
      <c r="BT348" s="54" t="str">
        <f t="shared" si="118"/>
        <v>DevOps</v>
      </c>
      <c r="BV348" s="3" t="s">
        <v>1019</v>
      </c>
      <c r="BW348" s="3" t="s">
        <v>1020</v>
      </c>
      <c r="CB348" s="19" t="s">
        <v>1543</v>
      </c>
      <c r="CC348" s="3" t="s">
        <v>1020</v>
      </c>
      <c r="CD348" s="3" t="s">
        <v>204</v>
      </c>
      <c r="CE348" s="54" t="str">
        <v>ML Engineer</v>
      </c>
      <c r="CG348" s="54" t="str">
        <f>IFERROR(_xlfn.XLOOKUP(Hiring!A348,Hiring!A348:A747,Hiring!B348:B747,,0),"Not Found")</f>
        <v>Amlan Mahapatra</v>
      </c>
    </row>
    <row r="349" spans="2:85">
      <c r="B349" s="100"/>
      <c r="F349" s="4">
        <v>2.1</v>
      </c>
      <c r="G349" s="52" t="str" cm="1">
        <f t="array" ref="G349">_xlfn.IFS(F349&gt;=4.5,"Excellent",AND(F349&gt;=3.5,F349&lt;=4.4),"Good",F349&lt;3.5,"Needs Improvement")</f>
        <v>Needs Improvement</v>
      </c>
      <c r="M349" s="18">
        <v>136089</v>
      </c>
      <c r="N349" s="18">
        <v>154513</v>
      </c>
      <c r="O349" s="54" t="str">
        <f t="shared" si="119"/>
        <v>Yes</v>
      </c>
      <c r="Q349" s="18">
        <v>10.62</v>
      </c>
      <c r="R349" s="56" t="str">
        <f t="shared" si="107"/>
        <v>Yes</v>
      </c>
      <c r="W349" s="18" t="s">
        <v>1044</v>
      </c>
      <c r="X349" s="54" t="str">
        <f>VLOOKUP(W349,Employees!$A$1:$B$601,2,FALSE)</f>
        <v>Lipsa Senapati</v>
      </c>
      <c r="Z349" s="4" t="s">
        <v>1022</v>
      </c>
      <c r="AA349" s="54" t="str">
        <f t="shared" si="108"/>
        <v>0348</v>
      </c>
      <c r="AC349" s="4" t="s">
        <v>39</v>
      </c>
      <c r="AD349" s="54" t="str">
        <f t="shared" si="109"/>
        <v>Engineering</v>
      </c>
      <c r="AF349" s="4" t="s">
        <v>1023</v>
      </c>
      <c r="AG349" s="4" t="s">
        <v>39</v>
      </c>
      <c r="AH349" s="4" t="s">
        <v>114</v>
      </c>
      <c r="AI349" s="54" t="str">
        <f t="shared" si="110"/>
        <v>Rahul Choudhury|Engineering|UtkalSoft Technologies</v>
      </c>
      <c r="AK349" s="4" t="s">
        <v>1023</v>
      </c>
      <c r="AL349" s="38" t="str">
        <f t="shared" si="111"/>
        <v>R.C.</v>
      </c>
      <c r="AN349" s="18" t="s">
        <v>5060</v>
      </c>
      <c r="AO349" s="54" t="str">
        <f t="shared" si="112"/>
        <v>Naukri</v>
      </c>
      <c r="AQ349" s="4" t="s">
        <v>1023</v>
      </c>
      <c r="AR349" s="52" t="str">
        <f t="shared" si="113"/>
        <v>NO</v>
      </c>
      <c r="AW349" s="54">
        <f ca="1">DATEDIF(BI349,TODAY(),"Y")</f>
        <v>3</v>
      </c>
      <c r="AX349" s="54"/>
      <c r="AY349" s="41" t="s">
        <v>5665</v>
      </c>
      <c r="AZ349" s="44">
        <f t="shared" si="114"/>
        <v>45209</v>
      </c>
      <c r="BA349" s="54" t="str">
        <f t="shared" si="115"/>
        <v>10-2023</v>
      </c>
      <c r="BH349" s="4" t="s">
        <v>1024</v>
      </c>
      <c r="BI349" s="51">
        <f t="shared" si="120"/>
        <v>44857</v>
      </c>
      <c r="BJ349" s="38">
        <f t="shared" ca="1" si="121"/>
        <v>995</v>
      </c>
      <c r="BK349" s="38"/>
      <c r="BL349" s="38" t="str">
        <f t="shared" si="122"/>
        <v>No</v>
      </c>
      <c r="BM349" s="59">
        <f t="shared" si="116"/>
        <v>45209</v>
      </c>
      <c r="BN349" s="51">
        <f t="shared" si="123"/>
        <v>44857</v>
      </c>
      <c r="BO349" s="54">
        <f t="shared" si="117"/>
        <v>352</v>
      </c>
      <c r="BP349" s="4" t="s">
        <v>1022</v>
      </c>
      <c r="BQ349" s="4" t="s">
        <v>39</v>
      </c>
      <c r="BR349" s="18" t="s">
        <v>1044</v>
      </c>
      <c r="BS349" s="18" t="s">
        <v>2925</v>
      </c>
      <c r="BT349" s="54" t="str">
        <f t="shared" si="118"/>
        <v>DevOps</v>
      </c>
      <c r="BV349" s="4" t="s">
        <v>1022</v>
      </c>
      <c r="BW349" s="4" t="s">
        <v>1023</v>
      </c>
      <c r="CB349" s="18" t="s">
        <v>5664</v>
      </c>
      <c r="CC349" s="4" t="s">
        <v>1023</v>
      </c>
      <c r="CD349" s="4" t="s">
        <v>197</v>
      </c>
      <c r="CE349" s="54" t="str">
        <v>Not Found</v>
      </c>
      <c r="CG349" s="54" t="str">
        <f>IFERROR(_xlfn.XLOOKUP(Hiring!A349,Hiring!A349:A748,Hiring!B349:B748,,0),"Not Found")</f>
        <v>Prasant Sahoo</v>
      </c>
    </row>
    <row r="350" spans="2:85">
      <c r="B350" s="100"/>
      <c r="F350" s="3">
        <v>2.2999999999999998</v>
      </c>
      <c r="G350" s="52" t="str" cm="1">
        <f t="array" ref="G350">_xlfn.IFS(F350&gt;=4.5,"Excellent",AND(F350&gt;=3.5,F350&lt;=4.4),"Good",F350&lt;3.5,"Needs Improvement")</f>
        <v>Needs Improvement</v>
      </c>
      <c r="M350" s="19">
        <v>143905</v>
      </c>
      <c r="N350" s="19">
        <v>141368</v>
      </c>
      <c r="O350" s="54" t="str">
        <f t="shared" si="119"/>
        <v>Yes</v>
      </c>
      <c r="Q350" s="19">
        <v>11.2</v>
      </c>
      <c r="R350" s="56" t="str">
        <f t="shared" si="107"/>
        <v>Yes</v>
      </c>
      <c r="W350" s="19" t="s">
        <v>1044</v>
      </c>
      <c r="X350" s="54" t="str">
        <f>VLOOKUP(W350,Employees!$A$1:$B$601,2,FALSE)</f>
        <v>Lipsa Senapati</v>
      </c>
      <c r="Z350" s="3" t="s">
        <v>1025</v>
      </c>
      <c r="AA350" s="54" t="str">
        <f t="shared" si="108"/>
        <v>0349</v>
      </c>
      <c r="AC350" s="3" t="s">
        <v>63</v>
      </c>
      <c r="AD350" s="54" t="str">
        <f t="shared" si="109"/>
        <v>Product</v>
      </c>
      <c r="AF350" s="3" t="s">
        <v>1026</v>
      </c>
      <c r="AG350" s="3" t="s">
        <v>63</v>
      </c>
      <c r="AH350" s="3" t="s">
        <v>32</v>
      </c>
      <c r="AI350" s="54" t="str">
        <f t="shared" si="110"/>
        <v>Aditya Dhal|Product|NilGiri Digitals</v>
      </c>
      <c r="AK350" s="3" t="s">
        <v>1026</v>
      </c>
      <c r="AL350" s="38" t="str">
        <f t="shared" si="111"/>
        <v>A.D.</v>
      </c>
      <c r="AN350" s="19" t="s">
        <v>5016</v>
      </c>
      <c r="AO350" s="54" t="b">
        <f t="shared" si="112"/>
        <v>0</v>
      </c>
      <c r="AQ350" s="3" t="s">
        <v>1026</v>
      </c>
      <c r="AR350" s="52" t="str">
        <f t="shared" si="113"/>
        <v>NO</v>
      </c>
      <c r="AW350" s="54">
        <f ca="1">DATEDIF(BI350,TODAY(),"Y")</f>
        <v>5</v>
      </c>
      <c r="AX350" s="54"/>
      <c r="AY350" s="40" t="s">
        <v>258</v>
      </c>
      <c r="AZ350" s="44">
        <f t="shared" si="114"/>
        <v>44955</v>
      </c>
      <c r="BA350" s="54" t="str">
        <f t="shared" si="115"/>
        <v>1-2023</v>
      </c>
      <c r="BH350" s="3" t="s">
        <v>1027</v>
      </c>
      <c r="BI350" s="51">
        <f t="shared" si="120"/>
        <v>44393</v>
      </c>
      <c r="BJ350" s="38">
        <f t="shared" ca="1" si="121"/>
        <v>1326</v>
      </c>
      <c r="BK350" s="38"/>
      <c r="BL350" s="38" t="str">
        <f t="shared" si="122"/>
        <v>No</v>
      </c>
      <c r="BM350" s="59">
        <f t="shared" si="116"/>
        <v>44955</v>
      </c>
      <c r="BN350" s="51">
        <f t="shared" si="123"/>
        <v>44393</v>
      </c>
      <c r="BO350" s="54">
        <f t="shared" si="117"/>
        <v>562</v>
      </c>
      <c r="BP350" s="3" t="s">
        <v>1025</v>
      </c>
      <c r="BQ350" s="3" t="s">
        <v>63</v>
      </c>
      <c r="BR350" s="19" t="s">
        <v>1044</v>
      </c>
      <c r="BS350" s="19" t="s">
        <v>2927</v>
      </c>
      <c r="BT350" s="54" t="str">
        <f t="shared" si="118"/>
        <v>DevOps</v>
      </c>
      <c r="BV350" s="3" t="s">
        <v>1025</v>
      </c>
      <c r="BW350" s="3" t="s">
        <v>1026</v>
      </c>
      <c r="CB350" s="19" t="s">
        <v>5667</v>
      </c>
      <c r="CC350" s="3" t="s">
        <v>1026</v>
      </c>
      <c r="CD350" s="3" t="s">
        <v>64</v>
      </c>
      <c r="CE350" s="54" t="str">
        <v>Not Found</v>
      </c>
      <c r="CG350" s="54" t="str">
        <f>IFERROR(_xlfn.XLOOKUP(Hiring!A350,Hiring!A350:A749,Hiring!B350:B749,,0),"Not Found")</f>
        <v>Nirmal Jena</v>
      </c>
    </row>
    <row r="351" spans="2:85">
      <c r="B351" s="100"/>
      <c r="F351" s="4">
        <v>3.8</v>
      </c>
      <c r="G351" s="52" t="str" cm="1">
        <f t="array" ref="G351">_xlfn.IFS(F351&gt;=4.5,"Excellent",AND(F351&gt;=3.5,F351&lt;=4.4),"Good",F351&lt;3.5,"Needs Improvement")</f>
        <v>Good</v>
      </c>
      <c r="M351" s="18">
        <v>46989</v>
      </c>
      <c r="N351" s="18">
        <v>46116</v>
      </c>
      <c r="O351" s="54" t="str">
        <f t="shared" si="119"/>
        <v>Yes</v>
      </c>
      <c r="Q351" s="18">
        <v>7.37</v>
      </c>
      <c r="R351" s="56" t="str">
        <f t="shared" si="107"/>
        <v>Yes</v>
      </c>
      <c r="W351" s="18" t="s">
        <v>1044</v>
      </c>
      <c r="X351" s="54" t="str">
        <f>VLOOKUP(W351,Employees!$A$1:$B$601,2,FALSE)</f>
        <v>Lipsa Senapati</v>
      </c>
      <c r="Z351" s="4" t="s">
        <v>1028</v>
      </c>
      <c r="AA351" s="54" t="str">
        <f t="shared" si="108"/>
        <v>0350</v>
      </c>
      <c r="AC351" s="4" t="s">
        <v>414</v>
      </c>
      <c r="AD351" s="54" t="str">
        <f t="shared" si="109"/>
        <v>Devops</v>
      </c>
      <c r="AF351" s="4" t="s">
        <v>82</v>
      </c>
      <c r="AG351" s="4" t="s">
        <v>414</v>
      </c>
      <c r="AH351" s="4" t="s">
        <v>26</v>
      </c>
      <c r="AI351" s="54" t="str">
        <f t="shared" si="110"/>
        <v>Puspita Mahapatra|devops|InfySoft Bhubaneswar</v>
      </c>
      <c r="AK351" s="4" t="s">
        <v>82</v>
      </c>
      <c r="AL351" s="38" t="str">
        <f t="shared" si="111"/>
        <v>P.M.</v>
      </c>
      <c r="AN351" s="18" t="s">
        <v>5025</v>
      </c>
      <c r="AO351" s="54" t="b">
        <f t="shared" si="112"/>
        <v>0</v>
      </c>
      <c r="AQ351" s="4" t="s">
        <v>82</v>
      </c>
      <c r="AR351" s="52" t="str">
        <f t="shared" si="113"/>
        <v>NO</v>
      </c>
      <c r="AW351" s="54">
        <f ca="1">DATEDIF(BI351,TODAY(),"Y")</f>
        <v>5</v>
      </c>
      <c r="AX351" s="54"/>
      <c r="AY351" s="41" t="s">
        <v>2193</v>
      </c>
      <c r="AZ351" s="44">
        <f t="shared" si="114"/>
        <v>45551</v>
      </c>
      <c r="BA351" s="54" t="str">
        <f t="shared" si="115"/>
        <v>9-2024</v>
      </c>
      <c r="BH351" s="4" t="s">
        <v>1029</v>
      </c>
      <c r="BI351" s="51">
        <f t="shared" si="120"/>
        <v>44169</v>
      </c>
      <c r="BJ351" s="38">
        <f t="shared" ca="1" si="121"/>
        <v>1486</v>
      </c>
      <c r="BK351" s="38"/>
      <c r="BL351" s="38" t="str">
        <f t="shared" si="122"/>
        <v>No</v>
      </c>
      <c r="BM351" s="59">
        <f t="shared" si="116"/>
        <v>45551</v>
      </c>
      <c r="BN351" s="51">
        <f t="shared" si="123"/>
        <v>44169</v>
      </c>
      <c r="BO351" s="54">
        <f t="shared" si="117"/>
        <v>1382</v>
      </c>
      <c r="BP351" s="4" t="s">
        <v>1028</v>
      </c>
      <c r="BQ351" s="4" t="s">
        <v>414</v>
      </c>
      <c r="BR351" s="18" t="s">
        <v>1044</v>
      </c>
      <c r="BS351" s="18" t="s">
        <v>2929</v>
      </c>
      <c r="BT351" s="54" t="str">
        <f t="shared" si="118"/>
        <v>DevOps</v>
      </c>
      <c r="BV351" s="4" t="s">
        <v>1028</v>
      </c>
      <c r="BW351" s="4" t="s">
        <v>82</v>
      </c>
      <c r="CB351" s="18" t="s">
        <v>5123</v>
      </c>
      <c r="CC351" s="4" t="s">
        <v>82</v>
      </c>
      <c r="CD351" s="4" t="s">
        <v>123</v>
      </c>
      <c r="CE351" s="54" t="str">
        <v>Not Found</v>
      </c>
      <c r="CG351" s="54" t="str">
        <f>IFERROR(_xlfn.XLOOKUP(Hiring!A351,Hiring!A351:A750,Hiring!B351:B750,,0),"Not Found")</f>
        <v>Rahul Mohapatra</v>
      </c>
    </row>
    <row r="352" spans="2:85">
      <c r="B352" s="100"/>
      <c r="F352" s="3">
        <v>3.5</v>
      </c>
      <c r="G352" s="52" t="str" cm="1">
        <f t="array" ref="G352">_xlfn.IFS(F352&gt;=4.5,"Excellent",AND(F352&gt;=3.5,F352&lt;=4.4),"Good",F352&lt;3.5,"Needs Improvement")</f>
        <v>Good</v>
      </c>
      <c r="M352" s="19">
        <v>202348</v>
      </c>
      <c r="N352" s="19">
        <v>178463</v>
      </c>
      <c r="O352" s="54" t="str">
        <f t="shared" si="119"/>
        <v>Yes</v>
      </c>
      <c r="Q352" s="19">
        <v>9.01</v>
      </c>
      <c r="R352" s="56" t="str">
        <f t="shared" si="107"/>
        <v>Yes</v>
      </c>
      <c r="W352" s="19" t="s">
        <v>1044</v>
      </c>
      <c r="X352" s="54" t="str">
        <f>VLOOKUP(W352,Employees!$A$1:$B$601,2,FALSE)</f>
        <v>Lipsa Senapati</v>
      </c>
      <c r="Z352" s="3" t="s">
        <v>1030</v>
      </c>
      <c r="AA352" s="54" t="str">
        <f t="shared" si="108"/>
        <v>0351</v>
      </c>
      <c r="AC352" s="3" t="s">
        <v>257</v>
      </c>
      <c r="AD352" s="54" t="str">
        <f t="shared" si="109"/>
        <v>Design</v>
      </c>
      <c r="AF352" s="3" t="s">
        <v>68</v>
      </c>
      <c r="AG352" s="3" t="s">
        <v>257</v>
      </c>
      <c r="AH352" s="3" t="s">
        <v>32</v>
      </c>
      <c r="AI352" s="54" t="str">
        <f t="shared" si="110"/>
        <v>Bikash Routray|design|NilGiri Digitals</v>
      </c>
      <c r="AK352" s="3" t="s">
        <v>68</v>
      </c>
      <c r="AL352" s="38" t="str">
        <f t="shared" si="111"/>
        <v>B.R.</v>
      </c>
      <c r="AN352" s="19" t="s">
        <v>5023</v>
      </c>
      <c r="AO352" s="54" t="str">
        <f t="shared" si="112"/>
        <v>Linkedln</v>
      </c>
      <c r="AQ352" s="3" t="s">
        <v>68</v>
      </c>
      <c r="AR352" s="52" t="str">
        <f t="shared" si="113"/>
        <v>NO</v>
      </c>
      <c r="AW352" s="54">
        <f ca="1">DATEDIF(BI352,TODAY(),"Y")</f>
        <v>8</v>
      </c>
      <c r="AX352" s="54"/>
      <c r="AY352" s="40" t="s">
        <v>5136</v>
      </c>
      <c r="AZ352" s="44">
        <f t="shared" si="114"/>
        <v>45072</v>
      </c>
      <c r="BA352" s="54" t="str">
        <f t="shared" si="115"/>
        <v>5-2023</v>
      </c>
      <c r="BH352" s="3" t="s">
        <v>1031</v>
      </c>
      <c r="BI352" s="51">
        <f t="shared" si="120"/>
        <v>43109</v>
      </c>
      <c r="BJ352" s="38">
        <f t="shared" ca="1" si="121"/>
        <v>2244</v>
      </c>
      <c r="BK352" s="38"/>
      <c r="BL352" s="38" t="str">
        <f t="shared" si="122"/>
        <v>Q1</v>
      </c>
      <c r="BM352" s="59">
        <f t="shared" si="116"/>
        <v>45072</v>
      </c>
      <c r="BN352" s="51">
        <f t="shared" si="123"/>
        <v>43109</v>
      </c>
      <c r="BO352" s="54">
        <f t="shared" si="117"/>
        <v>1963</v>
      </c>
      <c r="BP352" s="3" t="s">
        <v>1030</v>
      </c>
      <c r="BQ352" s="3" t="s">
        <v>257</v>
      </c>
      <c r="BR352" s="19" t="s">
        <v>1044</v>
      </c>
      <c r="BS352" s="19" t="s">
        <v>2930</v>
      </c>
      <c r="BT352" s="54" t="str">
        <f t="shared" si="118"/>
        <v>DevOps</v>
      </c>
      <c r="BV352" s="3" t="s">
        <v>1030</v>
      </c>
      <c r="BW352" s="3" t="s">
        <v>68</v>
      </c>
      <c r="CB352" s="19" t="s">
        <v>5354</v>
      </c>
      <c r="CC352" s="3" t="s">
        <v>68</v>
      </c>
      <c r="CD352" s="3" t="s">
        <v>74</v>
      </c>
      <c r="CE352" s="54" t="str">
        <v>Not Found</v>
      </c>
      <c r="CG352" s="54" t="str">
        <f>IFERROR(_xlfn.XLOOKUP(Hiring!A352,Hiring!A352:A751,Hiring!B352:B751,,0),"Not Found")</f>
        <v>Jyotirmayee Routray</v>
      </c>
    </row>
    <row r="353" spans="2:85">
      <c r="B353" s="100"/>
      <c r="F353" s="4">
        <v>4</v>
      </c>
      <c r="G353" s="52" t="str" cm="1">
        <f t="array" ref="G353">_xlfn.IFS(F353&gt;=4.5,"Excellent",AND(F353&gt;=3.5,F353&lt;=4.4),"Good",F353&lt;3.5,"Needs Improvement")</f>
        <v>Good</v>
      </c>
      <c r="M353" s="18"/>
      <c r="N353" s="18">
        <v>163609</v>
      </c>
      <c r="O353" s="54" t="str">
        <f t="shared" si="119"/>
        <v>Yes</v>
      </c>
      <c r="Q353" s="18"/>
      <c r="R353" s="56" t="str">
        <f t="shared" si="107"/>
        <v>No</v>
      </c>
      <c r="W353" s="18" t="s">
        <v>1044</v>
      </c>
      <c r="X353" s="54" t="str">
        <f>VLOOKUP(W353,Employees!$A$1:$B$601,2,FALSE)</f>
        <v>Lipsa Senapati</v>
      </c>
      <c r="Z353" s="4" t="s">
        <v>1032</v>
      </c>
      <c r="AA353" s="54" t="str">
        <f t="shared" si="108"/>
        <v>0352</v>
      </c>
      <c r="AC353" s="4" t="s">
        <v>89</v>
      </c>
      <c r="AD353" s="54" t="str">
        <f t="shared" si="109"/>
        <v>Data Science</v>
      </c>
      <c r="AF353" s="4" t="s">
        <v>573</v>
      </c>
      <c r="AG353" s="4" t="s">
        <v>89</v>
      </c>
      <c r="AH353" s="4" t="s">
        <v>214</v>
      </c>
      <c r="AI353" s="54" t="str">
        <f t="shared" si="110"/>
        <v>Alka Sahoo|Data Science|ZeroOneSystems</v>
      </c>
      <c r="AK353" s="4" t="s">
        <v>573</v>
      </c>
      <c r="AL353" s="38" t="str">
        <f t="shared" si="111"/>
        <v>A.S.</v>
      </c>
      <c r="AN353" s="18" t="s">
        <v>5051</v>
      </c>
      <c r="AO353" s="54" t="str">
        <f t="shared" si="112"/>
        <v>Naukri</v>
      </c>
      <c r="AQ353" s="4" t="s">
        <v>573</v>
      </c>
      <c r="AR353" s="52" t="str">
        <f t="shared" si="113"/>
        <v>NO</v>
      </c>
      <c r="AW353" s="54">
        <f ca="1">DATEDIF(BI353,TODAY(),"Y")</f>
        <v>6</v>
      </c>
      <c r="AX353" s="54"/>
      <c r="AY353" s="41" t="s">
        <v>5671</v>
      </c>
      <c r="AZ353" s="44">
        <f t="shared" si="114"/>
        <v>45243</v>
      </c>
      <c r="BA353" s="54" t="str">
        <f t="shared" si="115"/>
        <v>11-2023</v>
      </c>
      <c r="BH353" s="4" t="s">
        <v>1033</v>
      </c>
      <c r="BI353" s="51">
        <f t="shared" si="120"/>
        <v>43711</v>
      </c>
      <c r="BJ353" s="38">
        <f t="shared" ca="1" si="121"/>
        <v>1814</v>
      </c>
      <c r="BK353" s="38"/>
      <c r="BL353" s="38" t="str">
        <f t="shared" si="122"/>
        <v>No</v>
      </c>
      <c r="BM353" s="59">
        <f t="shared" si="116"/>
        <v>45243</v>
      </c>
      <c r="BN353" s="51">
        <f t="shared" si="123"/>
        <v>43711</v>
      </c>
      <c r="BO353" s="54">
        <f t="shared" si="117"/>
        <v>1532</v>
      </c>
      <c r="BP353" s="4" t="s">
        <v>1032</v>
      </c>
      <c r="BQ353" s="4" t="s">
        <v>89</v>
      </c>
      <c r="BR353" s="18" t="s">
        <v>1044</v>
      </c>
      <c r="BS353" s="18" t="s">
        <v>2932</v>
      </c>
      <c r="BT353" s="54" t="str">
        <f t="shared" si="118"/>
        <v>DevOps</v>
      </c>
      <c r="BV353" s="4" t="s">
        <v>1032</v>
      </c>
      <c r="BW353" s="4" t="s">
        <v>573</v>
      </c>
      <c r="CB353" s="18" t="s">
        <v>383</v>
      </c>
      <c r="CC353" s="4" t="s">
        <v>573</v>
      </c>
      <c r="CD353" s="4" t="s">
        <v>113</v>
      </c>
      <c r="CE353" s="54" t="str">
        <v>HR Executive</v>
      </c>
      <c r="CG353" s="54" t="str">
        <f>IFERROR(_xlfn.XLOOKUP(Hiring!A353,Hiring!A353:A752,Hiring!B353:B752,,0),"Not Found")</f>
        <v>Barsha Mahapatra</v>
      </c>
    </row>
    <row r="354" spans="2:85">
      <c r="B354" s="100"/>
      <c r="F354" s="3">
        <v>1.6</v>
      </c>
      <c r="G354" s="52" t="str" cm="1">
        <f t="array" ref="G354">_xlfn.IFS(F354&gt;=4.5,"Excellent",AND(F354&gt;=3.5,F354&lt;=4.4),"Good",F354&lt;3.5,"Needs Improvement")</f>
        <v>Needs Improvement</v>
      </c>
      <c r="M354" s="19">
        <v>191341</v>
      </c>
      <c r="N354" s="19">
        <v>168943</v>
      </c>
      <c r="O354" s="54" t="str">
        <f t="shared" si="119"/>
        <v>Yes</v>
      </c>
      <c r="Q354" s="19">
        <v>6.6</v>
      </c>
      <c r="R354" s="56" t="str">
        <f t="shared" si="107"/>
        <v>Yes</v>
      </c>
      <c r="W354" s="19" t="s">
        <v>1044</v>
      </c>
      <c r="X354" s="54" t="str">
        <f>VLOOKUP(W354,Employees!$A$1:$B$601,2,FALSE)</f>
        <v>Lipsa Senapati</v>
      </c>
      <c r="Z354" s="3" t="s">
        <v>1034</v>
      </c>
      <c r="AA354" s="54" t="str">
        <f t="shared" si="108"/>
        <v>0353</v>
      </c>
      <c r="AC354" s="3" t="s">
        <v>414</v>
      </c>
      <c r="AD354" s="54" t="str">
        <f t="shared" si="109"/>
        <v>Devops</v>
      </c>
      <c r="AF354" s="3" t="s">
        <v>1035</v>
      </c>
      <c r="AG354" s="3" t="s">
        <v>414</v>
      </c>
      <c r="AH354" s="3" t="s">
        <v>172</v>
      </c>
      <c r="AI354" s="54" t="str">
        <f t="shared" si="110"/>
        <v>Rahul Tripathy|devops|TechNova Solutions</v>
      </c>
      <c r="AK354" s="3" t="s">
        <v>1035</v>
      </c>
      <c r="AL354" s="38" t="str">
        <f t="shared" si="111"/>
        <v>R.T.</v>
      </c>
      <c r="AN354" s="19" t="s">
        <v>5023</v>
      </c>
      <c r="AO354" s="54" t="str">
        <f t="shared" si="112"/>
        <v>Linkedln</v>
      </c>
      <c r="AQ354" s="3" t="s">
        <v>1035</v>
      </c>
      <c r="AR354" s="52" t="str">
        <f t="shared" si="113"/>
        <v>NO</v>
      </c>
      <c r="AW354" s="54">
        <f ca="1">DATEDIF(BI354,TODAY(),"Y")</f>
        <v>6</v>
      </c>
      <c r="AX354" s="54"/>
      <c r="AY354" s="40" t="s">
        <v>1938</v>
      </c>
      <c r="AZ354" s="44">
        <f t="shared" si="114"/>
        <v>45655</v>
      </c>
      <c r="BA354" s="54" t="str">
        <f t="shared" si="115"/>
        <v>12-2024</v>
      </c>
      <c r="BH354" s="3" t="s">
        <v>1036</v>
      </c>
      <c r="BI354" s="51">
        <f t="shared" si="120"/>
        <v>43950</v>
      </c>
      <c r="BJ354" s="38">
        <f t="shared" ca="1" si="121"/>
        <v>1643</v>
      </c>
      <c r="BK354" s="38"/>
      <c r="BL354" s="38" t="str">
        <f t="shared" si="122"/>
        <v>No</v>
      </c>
      <c r="BM354" s="59">
        <f t="shared" si="116"/>
        <v>45655</v>
      </c>
      <c r="BN354" s="51">
        <f t="shared" si="123"/>
        <v>43950</v>
      </c>
      <c r="BO354" s="54">
        <f t="shared" si="117"/>
        <v>1705</v>
      </c>
      <c r="BP354" s="3" t="s">
        <v>1034</v>
      </c>
      <c r="BQ354" s="3" t="s">
        <v>414</v>
      </c>
      <c r="BR354" s="19" t="s">
        <v>1044</v>
      </c>
      <c r="BS354" s="19" t="s">
        <v>2933</v>
      </c>
      <c r="BT354" s="54" t="str">
        <f t="shared" si="118"/>
        <v>DevOps</v>
      </c>
      <c r="BV354" s="3" t="s">
        <v>1034</v>
      </c>
      <c r="BW354" s="3" t="s">
        <v>1035</v>
      </c>
      <c r="CB354" s="19" t="s">
        <v>5673</v>
      </c>
      <c r="CC354" s="3" t="s">
        <v>1035</v>
      </c>
      <c r="CD354" s="3" t="s">
        <v>335</v>
      </c>
      <c r="CE354" s="54" t="str">
        <v>Not Found</v>
      </c>
      <c r="CG354" s="54" t="str">
        <f>IFERROR(_xlfn.XLOOKUP(Hiring!A354,Hiring!A354:A753,Hiring!B354:B753,,0),"Not Found")</f>
        <v>Prasant Dhal</v>
      </c>
    </row>
    <row r="355" spans="2:85">
      <c r="B355" s="100"/>
      <c r="F355" s="4">
        <v>2</v>
      </c>
      <c r="G355" s="52" t="str" cm="1">
        <f t="array" ref="G355">_xlfn.IFS(F355&gt;=4.5,"Excellent",AND(F355&gt;=3.5,F355&lt;=4.4),"Good",F355&lt;3.5,"Needs Improvement")</f>
        <v>Needs Improvement</v>
      </c>
      <c r="M355" s="18">
        <v>176566</v>
      </c>
      <c r="N355" s="18">
        <v>175520</v>
      </c>
      <c r="O355" s="54" t="str">
        <f t="shared" si="119"/>
        <v>Yes</v>
      </c>
      <c r="Q355" s="18">
        <v>11.48</v>
      </c>
      <c r="R355" s="56" t="str">
        <f t="shared" si="107"/>
        <v>Yes</v>
      </c>
      <c r="W355" s="18" t="s">
        <v>1044</v>
      </c>
      <c r="X355" s="54" t="str">
        <f>VLOOKUP(W355,Employees!$A$1:$B$601,2,FALSE)</f>
        <v>Lipsa Senapati</v>
      </c>
      <c r="Z355" s="4" t="s">
        <v>1037</v>
      </c>
      <c r="AA355" s="54" t="str">
        <f t="shared" si="108"/>
        <v>0354</v>
      </c>
      <c r="AC355" s="4" t="s">
        <v>63</v>
      </c>
      <c r="AD355" s="54" t="str">
        <f t="shared" si="109"/>
        <v>Product</v>
      </c>
      <c r="AF355" s="4" t="s">
        <v>1038</v>
      </c>
      <c r="AG355" s="4" t="s">
        <v>63</v>
      </c>
      <c r="AH355" s="4" t="s">
        <v>75</v>
      </c>
      <c r="AI355" s="54" t="str">
        <f t="shared" si="110"/>
        <v>Priyanka Senapati|Product|KalingaTech Pvt Ltd</v>
      </c>
      <c r="AK355" s="4" t="s">
        <v>1038</v>
      </c>
      <c r="AL355" s="38" t="str">
        <f t="shared" si="111"/>
        <v>P.S.</v>
      </c>
      <c r="AN355" s="18" t="s">
        <v>5016</v>
      </c>
      <c r="AO355" s="54" t="b">
        <f t="shared" si="112"/>
        <v>0</v>
      </c>
      <c r="AQ355" s="4" t="s">
        <v>1038</v>
      </c>
      <c r="AR355" s="52" t="str">
        <f t="shared" si="113"/>
        <v>NO</v>
      </c>
      <c r="AW355" s="54">
        <f ca="1">DATEDIF(BI355,TODAY(),"Y")</f>
        <v>7</v>
      </c>
      <c r="AX355" s="54"/>
      <c r="AY355" s="41" t="s">
        <v>1881</v>
      </c>
      <c r="AZ355" s="44">
        <f t="shared" si="114"/>
        <v>45254</v>
      </c>
      <c r="BA355" s="54" t="str">
        <f t="shared" si="115"/>
        <v>11-2023</v>
      </c>
      <c r="BH355" s="4" t="s">
        <v>1039</v>
      </c>
      <c r="BI355" s="51">
        <f t="shared" si="120"/>
        <v>43525</v>
      </c>
      <c r="BJ355" s="38">
        <f t="shared" ca="1" si="121"/>
        <v>1946</v>
      </c>
      <c r="BK355" s="38"/>
      <c r="BL355" s="38" t="str">
        <f t="shared" si="122"/>
        <v>Q1</v>
      </c>
      <c r="BM355" s="59">
        <f t="shared" si="116"/>
        <v>45254</v>
      </c>
      <c r="BN355" s="51">
        <f t="shared" si="123"/>
        <v>43525</v>
      </c>
      <c r="BO355" s="54">
        <f t="shared" si="117"/>
        <v>1729</v>
      </c>
      <c r="BP355" s="4" t="s">
        <v>1037</v>
      </c>
      <c r="BQ355" s="4" t="s">
        <v>63</v>
      </c>
      <c r="BR355" s="18" t="s">
        <v>1044</v>
      </c>
      <c r="BS355" s="18" t="s">
        <v>2935</v>
      </c>
      <c r="BT355" s="54" t="str">
        <f t="shared" si="118"/>
        <v>DevOps</v>
      </c>
      <c r="BV355" s="4" t="s">
        <v>1037</v>
      </c>
      <c r="BW355" s="4" t="s">
        <v>1038</v>
      </c>
      <c r="CB355" s="18" t="s">
        <v>932</v>
      </c>
      <c r="CC355" s="4" t="s">
        <v>1038</v>
      </c>
      <c r="CD355" s="4" t="s">
        <v>145</v>
      </c>
      <c r="CE355" s="54" t="str">
        <v>Business Developer</v>
      </c>
      <c r="CG355" s="54" t="str">
        <f>IFERROR(_xlfn.XLOOKUP(Hiring!A355,Hiring!A355:A754,Hiring!B355:B754,,0),"Not Found")</f>
        <v>Nirmal Routray</v>
      </c>
    </row>
    <row r="356" spans="2:85">
      <c r="B356" s="100"/>
      <c r="F356" s="3">
        <v>4.2</v>
      </c>
      <c r="G356" s="52" t="str" cm="1">
        <f t="array" ref="G356">_xlfn.IFS(F356&gt;=4.5,"Excellent",AND(F356&gt;=3.5,F356&lt;=4.4),"Good",F356&lt;3.5,"Needs Improvement")</f>
        <v>Good</v>
      </c>
      <c r="M356" s="19">
        <v>23338</v>
      </c>
      <c r="N356" s="19">
        <v>22366</v>
      </c>
      <c r="O356" s="54" t="str">
        <f t="shared" si="119"/>
        <v>Yes</v>
      </c>
      <c r="Q356" s="19">
        <v>9.51</v>
      </c>
      <c r="R356" s="56" t="str">
        <f t="shared" si="107"/>
        <v>Yes</v>
      </c>
      <c r="W356" s="19" t="s">
        <v>1044</v>
      </c>
      <c r="X356" s="54" t="str">
        <f>VLOOKUP(W356,Employees!$A$1:$B$601,2,FALSE)</f>
        <v>Lipsa Senapati</v>
      </c>
      <c r="Z356" s="3" t="s">
        <v>1040</v>
      </c>
      <c r="AA356" s="54" t="str">
        <f t="shared" si="108"/>
        <v>0355</v>
      </c>
      <c r="AC356" s="3" t="s">
        <v>176</v>
      </c>
      <c r="AD356" s="54" t="str">
        <f t="shared" si="109"/>
        <v>Finance</v>
      </c>
      <c r="AF356" s="3" t="s">
        <v>1041</v>
      </c>
      <c r="AG356" s="3" t="s">
        <v>176</v>
      </c>
      <c r="AH356" s="3" t="s">
        <v>114</v>
      </c>
      <c r="AI356" s="54" t="str">
        <f t="shared" si="110"/>
        <v>Ranjit Pattnaik|Finance|UtkalSoft Technologies</v>
      </c>
      <c r="AK356" s="3" t="s">
        <v>1041</v>
      </c>
      <c r="AL356" s="38" t="str">
        <f t="shared" si="111"/>
        <v>R.P.</v>
      </c>
      <c r="AN356" s="19" t="s">
        <v>5016</v>
      </c>
      <c r="AO356" s="54" t="b">
        <f t="shared" si="112"/>
        <v>0</v>
      </c>
      <c r="AQ356" s="3" t="s">
        <v>1041</v>
      </c>
      <c r="AR356" s="52" t="str">
        <f t="shared" si="113"/>
        <v>NO</v>
      </c>
      <c r="AW356" s="54">
        <f ca="1">DATEDIF(BI356,TODAY(),"Y")</f>
        <v>3</v>
      </c>
      <c r="AX356" s="54"/>
      <c r="AY356" s="40" t="s">
        <v>5677</v>
      </c>
      <c r="AZ356" s="44">
        <f t="shared" si="114"/>
        <v>45483</v>
      </c>
      <c r="BA356" s="54" t="str">
        <f t="shared" si="115"/>
        <v>7-2024</v>
      </c>
      <c r="BH356" s="3" t="s">
        <v>1042</v>
      </c>
      <c r="BI356" s="51">
        <f t="shared" si="120"/>
        <v>45044</v>
      </c>
      <c r="BJ356" s="38">
        <f t="shared" ca="1" si="121"/>
        <v>861</v>
      </c>
      <c r="BK356" s="38"/>
      <c r="BL356" s="38" t="str">
        <f t="shared" si="122"/>
        <v>No</v>
      </c>
      <c r="BM356" s="59">
        <f t="shared" si="116"/>
        <v>45483</v>
      </c>
      <c r="BN356" s="51">
        <f t="shared" si="123"/>
        <v>45044</v>
      </c>
      <c r="BO356" s="54">
        <f t="shared" si="117"/>
        <v>439</v>
      </c>
      <c r="BP356" s="3" t="s">
        <v>1040</v>
      </c>
      <c r="BQ356" s="3" t="s">
        <v>176</v>
      </c>
      <c r="BR356" s="19" t="s">
        <v>1044</v>
      </c>
      <c r="BS356" s="19" t="s">
        <v>2937</v>
      </c>
      <c r="BT356" s="54" t="str">
        <f t="shared" si="118"/>
        <v>DevOps</v>
      </c>
      <c r="BV356" s="3" t="s">
        <v>1040</v>
      </c>
      <c r="BW356" s="3" t="s">
        <v>1041</v>
      </c>
      <c r="CB356" s="19" t="s">
        <v>5676</v>
      </c>
      <c r="CC356" s="3" t="s">
        <v>1041</v>
      </c>
      <c r="CD356" s="3" t="s">
        <v>177</v>
      </c>
      <c r="CE356" s="54" t="str">
        <v>Not Found</v>
      </c>
      <c r="CG356" s="54" t="str">
        <f>IFERROR(_xlfn.XLOOKUP(Hiring!A356,Hiring!A356:A755,Hiring!B356:B755,,0),"Not Found")</f>
        <v>Subhasree Routray</v>
      </c>
    </row>
    <row r="357" spans="2:85">
      <c r="B357" s="100"/>
      <c r="F357" s="4">
        <v>4.8</v>
      </c>
      <c r="G357" s="52" t="str" cm="1">
        <f t="array" ref="G357">_xlfn.IFS(F357&gt;=4.5,"Excellent",AND(F357&gt;=3.5,F357&lt;=4.4),"Good",F357&lt;3.5,"Needs Improvement")</f>
        <v>Excellent</v>
      </c>
      <c r="M357" s="18"/>
      <c r="N357" s="18">
        <v>46205</v>
      </c>
      <c r="O357" s="54" t="str">
        <f t="shared" si="119"/>
        <v>Yes</v>
      </c>
      <c r="Q357" s="18">
        <v>10.02</v>
      </c>
      <c r="R357" s="56" t="str">
        <f t="shared" si="107"/>
        <v>Yes</v>
      </c>
      <c r="W357" s="18" t="s">
        <v>1044</v>
      </c>
      <c r="X357" s="54" t="str">
        <f>VLOOKUP(W357,Employees!$A$1:$B$601,2,FALSE)</f>
        <v>Lipsa Senapati</v>
      </c>
      <c r="Z357" s="4" t="s">
        <v>1043</v>
      </c>
      <c r="AA357" s="54" t="str">
        <f t="shared" si="108"/>
        <v>0356</v>
      </c>
      <c r="AC357" s="4" t="s">
        <v>89</v>
      </c>
      <c r="AD357" s="54" t="str">
        <f t="shared" si="109"/>
        <v>Data Science</v>
      </c>
      <c r="AF357" s="4" t="s">
        <v>1020</v>
      </c>
      <c r="AG357" s="4" t="s">
        <v>89</v>
      </c>
      <c r="AH357" s="4" t="s">
        <v>114</v>
      </c>
      <c r="AI357" s="54" t="str">
        <f t="shared" si="110"/>
        <v>Tapas Biswal|Data Science|UtkalSoft Technologies</v>
      </c>
      <c r="AK357" s="4" t="s">
        <v>1020</v>
      </c>
      <c r="AL357" s="38" t="str">
        <f t="shared" si="111"/>
        <v>T.B.</v>
      </c>
      <c r="AN357" s="18" t="s">
        <v>5023</v>
      </c>
      <c r="AO357" s="54" t="str">
        <f t="shared" si="112"/>
        <v>Linkedln</v>
      </c>
      <c r="AQ357" s="4" t="s">
        <v>1020</v>
      </c>
      <c r="AR357" s="52" t="str">
        <f t="shared" si="113"/>
        <v>NO</v>
      </c>
      <c r="AW357" s="54">
        <f ca="1">DATEDIF(BI357,TODAY(),"Y")</f>
        <v>6</v>
      </c>
      <c r="AX357" s="54"/>
      <c r="AY357" s="41" t="s">
        <v>5396</v>
      </c>
      <c r="AZ357" s="44">
        <f t="shared" si="114"/>
        <v>45503</v>
      </c>
      <c r="BA357" s="54" t="str">
        <f t="shared" si="115"/>
        <v>7-2024</v>
      </c>
      <c r="BH357" s="4" t="s">
        <v>261</v>
      </c>
      <c r="BI357" s="51">
        <f t="shared" si="120"/>
        <v>43795</v>
      </c>
      <c r="BJ357" s="38">
        <f t="shared" ca="1" si="121"/>
        <v>1754</v>
      </c>
      <c r="BK357" s="38"/>
      <c r="BL357" s="38" t="str">
        <f t="shared" si="122"/>
        <v>No</v>
      </c>
      <c r="BM357" s="59">
        <f t="shared" si="116"/>
        <v>45503</v>
      </c>
      <c r="BN357" s="51">
        <f t="shared" si="123"/>
        <v>43795</v>
      </c>
      <c r="BO357" s="54">
        <f t="shared" si="117"/>
        <v>1708</v>
      </c>
      <c r="BP357" s="4" t="s">
        <v>1043</v>
      </c>
      <c r="BQ357" s="4" t="s">
        <v>89</v>
      </c>
      <c r="BR357" s="18" t="s">
        <v>1044</v>
      </c>
      <c r="BS357" s="18" t="s">
        <v>2939</v>
      </c>
      <c r="BT357" s="54" t="str">
        <f t="shared" si="118"/>
        <v>DevOps</v>
      </c>
      <c r="BV357" s="4" t="s">
        <v>1043</v>
      </c>
      <c r="BW357" s="4" t="s">
        <v>1020</v>
      </c>
      <c r="CB357" s="18" t="s">
        <v>5679</v>
      </c>
      <c r="CC357" s="4" t="s">
        <v>1020</v>
      </c>
      <c r="CD357" s="4" t="s">
        <v>376</v>
      </c>
      <c r="CE357" s="54" t="str">
        <v>Not Found</v>
      </c>
      <c r="CG357" s="54" t="str">
        <f>IFERROR(_xlfn.XLOOKUP(Hiring!A357,Hiring!A357:A756,Hiring!B357:B756,,0),"Not Found")</f>
        <v>Bikash Sahu</v>
      </c>
    </row>
    <row r="358" spans="2:85">
      <c r="B358" s="100"/>
      <c r="F358" s="3">
        <v>2.8</v>
      </c>
      <c r="G358" s="52" t="str" cm="1">
        <f t="array" ref="G358">_xlfn.IFS(F358&gt;=4.5,"Excellent",AND(F358&gt;=3.5,F358&lt;=4.4),"Good",F358&lt;3.5,"Needs Improvement")</f>
        <v>Needs Improvement</v>
      </c>
      <c r="M358" s="19">
        <v>132763</v>
      </c>
      <c r="N358" s="19">
        <v>134633</v>
      </c>
      <c r="O358" s="54" t="str">
        <f t="shared" si="119"/>
        <v>Yes</v>
      </c>
      <c r="Q358" s="19">
        <v>11.48</v>
      </c>
      <c r="R358" s="56" t="str">
        <f t="shared" si="107"/>
        <v>Yes</v>
      </c>
      <c r="W358" s="19" t="s">
        <v>1044</v>
      </c>
      <c r="X358" s="54" t="str">
        <f>VLOOKUP(W358,Employees!$A$1:$B$601,2,FALSE)</f>
        <v>Lipsa Senapati</v>
      </c>
      <c r="Z358" s="3" t="s">
        <v>1044</v>
      </c>
      <c r="AA358" s="54" t="str">
        <f t="shared" si="108"/>
        <v>0357</v>
      </c>
      <c r="AC358" s="3" t="s">
        <v>16</v>
      </c>
      <c r="AD358" s="54" t="str">
        <f t="shared" si="109"/>
        <v>Devops</v>
      </c>
      <c r="AF358" s="3" t="s">
        <v>1045</v>
      </c>
      <c r="AG358" s="3" t="s">
        <v>16</v>
      </c>
      <c r="AH358" s="3" t="s">
        <v>114</v>
      </c>
      <c r="AI358" s="54" t="str">
        <f t="shared" si="110"/>
        <v>Lipsa Senapati|DevOps|UtkalSoft Technologies</v>
      </c>
      <c r="AK358" s="3" t="s">
        <v>1045</v>
      </c>
      <c r="AL358" s="38" t="str">
        <f t="shared" si="111"/>
        <v>L.S.</v>
      </c>
      <c r="AN358" s="19" t="s">
        <v>5025</v>
      </c>
      <c r="AO358" s="54" t="b">
        <f t="shared" si="112"/>
        <v>0</v>
      </c>
      <c r="AQ358" s="3" t="s">
        <v>1045</v>
      </c>
      <c r="AR358" s="52" t="str">
        <f t="shared" si="113"/>
        <v>NO</v>
      </c>
      <c r="AW358" s="54">
        <f ca="1">DATEDIF(BI358,TODAY(),"Y")</f>
        <v>6</v>
      </c>
      <c r="AX358" s="54"/>
      <c r="AY358" s="40" t="s">
        <v>2307</v>
      </c>
      <c r="AZ358" s="44">
        <f t="shared" si="114"/>
        <v>45594</v>
      </c>
      <c r="BA358" s="54" t="str">
        <f t="shared" si="115"/>
        <v>10-2024</v>
      </c>
      <c r="BH358" s="3" t="s">
        <v>381</v>
      </c>
      <c r="BI358" s="51">
        <f t="shared" si="120"/>
        <v>43957</v>
      </c>
      <c r="BJ358" s="38">
        <f t="shared" ca="1" si="121"/>
        <v>1638</v>
      </c>
      <c r="BK358" s="38"/>
      <c r="BL358" s="38" t="str">
        <f t="shared" si="122"/>
        <v>No</v>
      </c>
      <c r="BM358" s="59">
        <f t="shared" si="116"/>
        <v>45594</v>
      </c>
      <c r="BN358" s="51">
        <f t="shared" si="123"/>
        <v>43957</v>
      </c>
      <c r="BO358" s="54">
        <f t="shared" si="117"/>
        <v>1637</v>
      </c>
      <c r="BP358" s="3" t="s">
        <v>1044</v>
      </c>
      <c r="BQ358" s="3" t="s">
        <v>16</v>
      </c>
      <c r="BR358" s="19" t="s">
        <v>1044</v>
      </c>
      <c r="BS358" s="19" t="s">
        <v>2940</v>
      </c>
      <c r="BT358" s="54" t="str">
        <f t="shared" si="118"/>
        <v>DevOps</v>
      </c>
      <c r="BV358" s="3" t="s">
        <v>1044</v>
      </c>
      <c r="BW358" s="3" t="s">
        <v>1045</v>
      </c>
      <c r="CB358" s="19" t="s">
        <v>1386</v>
      </c>
      <c r="CC358" s="3" t="s">
        <v>1045</v>
      </c>
      <c r="CD358" s="3" t="s">
        <v>335</v>
      </c>
      <c r="CE358" s="54" t="str">
        <v>Junior Developer</v>
      </c>
      <c r="CG358" s="54" t="str">
        <f>IFERROR(_xlfn.XLOOKUP(Hiring!A358,Hiring!A358:A757,Hiring!B358:B757,,0),"Not Found")</f>
        <v>Abhishek Prusty</v>
      </c>
    </row>
    <row r="359" spans="2:85">
      <c r="B359" s="100"/>
      <c r="F359" s="4">
        <v>0</v>
      </c>
      <c r="G359" s="52" t="str" cm="1">
        <f t="array" ref="G359">_xlfn.IFS(F359&gt;=4.5,"Excellent",AND(F359&gt;=3.5,F359&lt;=4.4),"Good",F359&lt;3.5,"Needs Improvement")</f>
        <v>Needs Improvement</v>
      </c>
      <c r="M359" s="18"/>
      <c r="N359" s="18">
        <v>130585</v>
      </c>
      <c r="O359" s="54" t="str">
        <f t="shared" si="119"/>
        <v>Yes</v>
      </c>
      <c r="Q359" s="18">
        <v>9.59</v>
      </c>
      <c r="R359" s="56" t="str">
        <f t="shared" si="107"/>
        <v>Yes</v>
      </c>
      <c r="W359" s="18" t="s">
        <v>1044</v>
      </c>
      <c r="X359" s="54" t="str">
        <f>VLOOKUP(W359,Employees!$A$1:$B$601,2,FALSE)</f>
        <v>Lipsa Senapati</v>
      </c>
      <c r="Z359" s="4" t="s">
        <v>1046</v>
      </c>
      <c r="AA359" s="54" t="str">
        <f t="shared" si="108"/>
        <v>0358</v>
      </c>
      <c r="AC359" s="4" t="s">
        <v>63</v>
      </c>
      <c r="AD359" s="54" t="str">
        <f t="shared" si="109"/>
        <v>Product</v>
      </c>
      <c r="AF359" s="4" t="s">
        <v>378</v>
      </c>
      <c r="AG359" s="4" t="s">
        <v>63</v>
      </c>
      <c r="AH359" s="4" t="s">
        <v>114</v>
      </c>
      <c r="AI359" s="54" t="str">
        <f t="shared" si="110"/>
        <v>Tapas Samal|Product|UtkalSoft Technologies</v>
      </c>
      <c r="AK359" s="4" t="s">
        <v>378</v>
      </c>
      <c r="AL359" s="38" t="str">
        <f t="shared" si="111"/>
        <v>T.S.</v>
      </c>
      <c r="AN359" s="18" t="s">
        <v>5031</v>
      </c>
      <c r="AO359" s="54" t="b">
        <f t="shared" si="112"/>
        <v>0</v>
      </c>
      <c r="AQ359" s="4" t="s">
        <v>378</v>
      </c>
      <c r="AR359" s="52" t="str">
        <f t="shared" si="113"/>
        <v>NO</v>
      </c>
      <c r="AW359" s="54">
        <f ca="1">DATEDIF(BI359,TODAY(),"Y")</f>
        <v>2</v>
      </c>
      <c r="AX359" s="54"/>
      <c r="AY359" s="41" t="s">
        <v>1801</v>
      </c>
      <c r="AZ359" s="44">
        <f t="shared" si="114"/>
        <v>45191</v>
      </c>
      <c r="BA359" s="54" t="str">
        <f t="shared" si="115"/>
        <v>9-2023</v>
      </c>
      <c r="BH359" s="4" t="s">
        <v>474</v>
      </c>
      <c r="BI359" s="51">
        <f t="shared" si="120"/>
        <v>45314</v>
      </c>
      <c r="BJ359" s="38">
        <f t="shared" ca="1" si="121"/>
        <v>669</v>
      </c>
      <c r="BK359" s="38"/>
      <c r="BL359" s="38" t="str">
        <f t="shared" si="122"/>
        <v>Q1</v>
      </c>
      <c r="BM359" s="59">
        <f t="shared" si="116"/>
        <v>45191</v>
      </c>
      <c r="BN359" s="51">
        <f t="shared" si="123"/>
        <v>45314</v>
      </c>
      <c r="BO359" s="54">
        <f t="shared" si="117"/>
        <v>123</v>
      </c>
      <c r="BP359" s="4" t="s">
        <v>1046</v>
      </c>
      <c r="BQ359" s="4" t="s">
        <v>63</v>
      </c>
      <c r="BR359" s="18" t="s">
        <v>1044</v>
      </c>
      <c r="BS359" s="18" t="s">
        <v>2941</v>
      </c>
      <c r="BT359" s="54" t="str">
        <f t="shared" si="118"/>
        <v>DevOps</v>
      </c>
      <c r="BV359" s="4" t="s">
        <v>1046</v>
      </c>
      <c r="BW359" s="4" t="s">
        <v>378</v>
      </c>
      <c r="CB359" s="18" t="s">
        <v>5429</v>
      </c>
      <c r="CC359" s="4" t="s">
        <v>378</v>
      </c>
      <c r="CD359" s="4" t="s">
        <v>145</v>
      </c>
      <c r="CE359" s="54" t="str">
        <v>Not Found</v>
      </c>
      <c r="CG359" s="54" t="str">
        <f>IFERROR(_xlfn.XLOOKUP(Hiring!A359,Hiring!A359:A758,Hiring!B359:B758,,0),"Not Found")</f>
        <v>Nirmal Senapati</v>
      </c>
    </row>
    <row r="360" spans="2:85">
      <c r="B360" s="100"/>
      <c r="F360" s="3">
        <v>2.6</v>
      </c>
      <c r="G360" s="52" t="str" cm="1">
        <f t="array" ref="G360">_xlfn.IFS(F360&gt;=4.5,"Excellent",AND(F360&gt;=3.5,F360&lt;=4.4),"Good",F360&lt;3.5,"Needs Improvement")</f>
        <v>Needs Improvement</v>
      </c>
      <c r="M360" s="19">
        <v>180960</v>
      </c>
      <c r="N360" s="19">
        <v>159727</v>
      </c>
      <c r="O360" s="54" t="str">
        <f t="shared" si="119"/>
        <v>Yes</v>
      </c>
      <c r="Q360" s="19">
        <v>8.7100000000000009</v>
      </c>
      <c r="R360" s="56" t="str">
        <f t="shared" si="107"/>
        <v>Yes</v>
      </c>
      <c r="W360" s="19" t="s">
        <v>1044</v>
      </c>
      <c r="X360" s="54" t="str">
        <f>VLOOKUP(W360,Employees!$A$1:$B$601,2,FALSE)</f>
        <v>Lipsa Senapati</v>
      </c>
      <c r="Z360" s="3" t="s">
        <v>1047</v>
      </c>
      <c r="AA360" s="54" t="str">
        <f t="shared" si="108"/>
        <v>0359</v>
      </c>
      <c r="AC360" s="3" t="s">
        <v>176</v>
      </c>
      <c r="AD360" s="54" t="str">
        <f t="shared" si="109"/>
        <v>Finance</v>
      </c>
      <c r="AF360" s="3" t="s">
        <v>1048</v>
      </c>
      <c r="AG360" s="3" t="s">
        <v>176</v>
      </c>
      <c r="AH360" s="3" t="s">
        <v>149</v>
      </c>
      <c r="AI360" s="54" t="str">
        <f t="shared" si="110"/>
        <v>Prasant Behura|Finance|SilverByte Systems</v>
      </c>
      <c r="AK360" s="3" t="s">
        <v>1048</v>
      </c>
      <c r="AL360" s="38" t="str">
        <f t="shared" si="111"/>
        <v>P.B.</v>
      </c>
      <c r="AN360" s="19" t="s">
        <v>5031</v>
      </c>
      <c r="AO360" s="54" t="b">
        <f t="shared" si="112"/>
        <v>0</v>
      </c>
      <c r="AQ360" s="3" t="s">
        <v>1048</v>
      </c>
      <c r="AR360" s="52" t="str">
        <f t="shared" si="113"/>
        <v>NO</v>
      </c>
      <c r="AW360" s="54">
        <f ca="1">DATEDIF(BI360,TODAY(),"Y")</f>
        <v>5</v>
      </c>
      <c r="AX360" s="54"/>
      <c r="AY360" s="40" t="s">
        <v>716</v>
      </c>
      <c r="AZ360" s="44">
        <f t="shared" si="114"/>
        <v>45230</v>
      </c>
      <c r="BA360" s="54" t="str">
        <f t="shared" si="115"/>
        <v>10-2023</v>
      </c>
      <c r="BH360" s="3" t="s">
        <v>1049</v>
      </c>
      <c r="BI360" s="51">
        <f t="shared" si="120"/>
        <v>44192</v>
      </c>
      <c r="BJ360" s="38">
        <f t="shared" ca="1" si="121"/>
        <v>1470</v>
      </c>
      <c r="BK360" s="38"/>
      <c r="BL360" s="38" t="str">
        <f t="shared" si="122"/>
        <v>No</v>
      </c>
      <c r="BM360" s="59">
        <f t="shared" si="116"/>
        <v>45230</v>
      </c>
      <c r="BN360" s="51">
        <f t="shared" si="123"/>
        <v>44192</v>
      </c>
      <c r="BO360" s="54">
        <f t="shared" si="117"/>
        <v>1038</v>
      </c>
      <c r="BP360" s="3" t="s">
        <v>1047</v>
      </c>
      <c r="BQ360" s="3" t="s">
        <v>176</v>
      </c>
      <c r="BR360" s="19" t="s">
        <v>1044</v>
      </c>
      <c r="BS360" s="19" t="s">
        <v>2943</v>
      </c>
      <c r="BT360" s="54" t="str">
        <f t="shared" si="118"/>
        <v>DevOps</v>
      </c>
      <c r="BV360" s="3" t="s">
        <v>1047</v>
      </c>
      <c r="BW360" s="3" t="s">
        <v>1048</v>
      </c>
      <c r="CB360" s="19" t="s">
        <v>5076</v>
      </c>
      <c r="CC360" s="3" t="s">
        <v>1048</v>
      </c>
      <c r="CD360" s="3" t="s">
        <v>177</v>
      </c>
      <c r="CE360" s="54" t="str">
        <v>Not Found</v>
      </c>
      <c r="CG360" s="54" t="str">
        <f>IFERROR(_xlfn.XLOOKUP(Hiring!A360,Hiring!A360:A759,Hiring!B360:B759,,0),"Not Found")</f>
        <v>Ankita Mishra</v>
      </c>
    </row>
    <row r="361" spans="2:85">
      <c r="B361" s="100"/>
      <c r="F361" s="4">
        <v>3.4</v>
      </c>
      <c r="G361" s="52" t="str" cm="1">
        <f t="array" ref="G361">_xlfn.IFS(F361&gt;=4.5,"Excellent",AND(F361&gt;=3.5,F361&lt;=4.4),"Good",F361&lt;3.5,"Needs Improvement")</f>
        <v>Needs Improvement</v>
      </c>
      <c r="M361" s="18"/>
      <c r="N361" s="18">
        <v>155796</v>
      </c>
      <c r="O361" s="54" t="str">
        <f t="shared" si="119"/>
        <v>Yes</v>
      </c>
      <c r="Q361" s="18">
        <v>10.57</v>
      </c>
      <c r="R361" s="56" t="str">
        <f t="shared" si="107"/>
        <v>Yes</v>
      </c>
      <c r="W361" s="18" t="s">
        <v>1044</v>
      </c>
      <c r="X361" s="54" t="str">
        <f>VLOOKUP(W361,Employees!$A$1:$B$601,2,FALSE)</f>
        <v>Lipsa Senapati</v>
      </c>
      <c r="Z361" s="4" t="s">
        <v>1050</v>
      </c>
      <c r="AA361" s="54" t="str">
        <f t="shared" si="108"/>
        <v>0360</v>
      </c>
      <c r="AC361" s="4" t="s">
        <v>39</v>
      </c>
      <c r="AD361" s="54" t="str">
        <f t="shared" si="109"/>
        <v>Engineering</v>
      </c>
      <c r="AF361" s="4" t="s">
        <v>1051</v>
      </c>
      <c r="AG361" s="4" t="s">
        <v>39</v>
      </c>
      <c r="AH361" s="4" t="s">
        <v>53</v>
      </c>
      <c r="AI361" s="54" t="str">
        <f t="shared" si="110"/>
        <v>Sangita Sahu|Engineering|BlueLotus IT</v>
      </c>
      <c r="AK361" s="4" t="s">
        <v>1051</v>
      </c>
      <c r="AL361" s="38" t="str">
        <f t="shared" si="111"/>
        <v>S.S.</v>
      </c>
      <c r="AN361" s="18" t="s">
        <v>5031</v>
      </c>
      <c r="AO361" s="54" t="b">
        <f t="shared" si="112"/>
        <v>0</v>
      </c>
      <c r="AQ361" s="4" t="s">
        <v>1051</v>
      </c>
      <c r="AR361" s="52" t="str">
        <f t="shared" si="113"/>
        <v>NO</v>
      </c>
      <c r="AW361" s="54">
        <f ca="1">DATEDIF(BI361,TODAY(),"Y")</f>
        <v>6</v>
      </c>
      <c r="AX361" s="54"/>
      <c r="AY361" s="41" t="s">
        <v>1068</v>
      </c>
      <c r="AZ361" s="44">
        <f t="shared" si="114"/>
        <v>45390</v>
      </c>
      <c r="BA361" s="54" t="str">
        <f t="shared" si="115"/>
        <v>4-2024</v>
      </c>
      <c r="BH361" s="4" t="s">
        <v>1052</v>
      </c>
      <c r="BI361" s="51">
        <f t="shared" si="120"/>
        <v>43938</v>
      </c>
      <c r="BJ361" s="38">
        <f t="shared" ca="1" si="121"/>
        <v>1651</v>
      </c>
      <c r="BK361" s="38"/>
      <c r="BL361" s="38" t="str">
        <f t="shared" si="122"/>
        <v>No</v>
      </c>
      <c r="BM361" s="59">
        <f t="shared" si="116"/>
        <v>45390</v>
      </c>
      <c r="BN361" s="51">
        <f t="shared" si="123"/>
        <v>43938</v>
      </c>
      <c r="BO361" s="54">
        <f t="shared" si="117"/>
        <v>1452</v>
      </c>
      <c r="BP361" s="4" t="s">
        <v>1050</v>
      </c>
      <c r="BQ361" s="4" t="s">
        <v>39</v>
      </c>
      <c r="BR361" s="18" t="s">
        <v>1044</v>
      </c>
      <c r="BS361" s="18" t="s">
        <v>2945</v>
      </c>
      <c r="BT361" s="54" t="str">
        <f t="shared" si="118"/>
        <v>DevOps</v>
      </c>
      <c r="BV361" s="4" t="s">
        <v>1050</v>
      </c>
      <c r="BW361" s="4" t="s">
        <v>1051</v>
      </c>
      <c r="CB361" s="18" t="s">
        <v>5361</v>
      </c>
      <c r="CC361" s="4" t="s">
        <v>1051</v>
      </c>
      <c r="CD361" s="4" t="s">
        <v>40</v>
      </c>
      <c r="CE361" s="54" t="str">
        <v>Not Found</v>
      </c>
      <c r="CG361" s="54" t="str">
        <f>IFERROR(_xlfn.XLOOKUP(Hiring!A361,Hiring!A361:A760,Hiring!B361:B760,,0),"Not Found")</f>
        <v>Bikash Tripathy</v>
      </c>
    </row>
    <row r="362" spans="2:85">
      <c r="B362" s="100"/>
      <c r="F362" s="3">
        <v>3.2</v>
      </c>
      <c r="G362" s="52" t="str" cm="1">
        <f t="array" ref="G362">_xlfn.IFS(F362&gt;=4.5,"Excellent",AND(F362&gt;=3.5,F362&lt;=4.4),"Good",F362&lt;3.5,"Needs Improvement")</f>
        <v>Needs Improvement</v>
      </c>
      <c r="M362" s="19">
        <v>79323</v>
      </c>
      <c r="N362" s="19">
        <v>80310</v>
      </c>
      <c r="O362" s="54" t="str">
        <f t="shared" si="119"/>
        <v>Yes</v>
      </c>
      <c r="Q362" s="19">
        <v>11.3</v>
      </c>
      <c r="R362" s="56" t="str">
        <f t="shared" si="107"/>
        <v>Yes</v>
      </c>
      <c r="W362" s="19" t="s">
        <v>1044</v>
      </c>
      <c r="X362" s="54" t="str">
        <f>VLOOKUP(W362,Employees!$A$1:$B$601,2,FALSE)</f>
        <v>Lipsa Senapati</v>
      </c>
      <c r="Z362" s="3" t="s">
        <v>1053</v>
      </c>
      <c r="AA362" s="54" t="str">
        <f t="shared" si="108"/>
        <v>0361</v>
      </c>
      <c r="AC362" s="3" t="s">
        <v>16</v>
      </c>
      <c r="AD362" s="54" t="str">
        <f t="shared" si="109"/>
        <v>Devops</v>
      </c>
      <c r="AF362" s="3" t="s">
        <v>1054</v>
      </c>
      <c r="AG362" s="3" t="s">
        <v>16</v>
      </c>
      <c r="AH362" s="3" t="s">
        <v>114</v>
      </c>
      <c r="AI362" s="54" t="str">
        <f t="shared" si="110"/>
        <v>Saurav Samal|DevOps|UtkalSoft Technologies</v>
      </c>
      <c r="AK362" s="3" t="s">
        <v>1054</v>
      </c>
      <c r="AL362" s="38" t="str">
        <f t="shared" si="111"/>
        <v>S.S.</v>
      </c>
      <c r="AN362" s="19" t="s">
        <v>5077</v>
      </c>
      <c r="AO362" s="54" t="b">
        <f t="shared" si="112"/>
        <v>0</v>
      </c>
      <c r="AQ362" s="3" t="s">
        <v>1054</v>
      </c>
      <c r="AR362" s="52" t="str">
        <f t="shared" si="113"/>
        <v>NO</v>
      </c>
      <c r="AW362" s="54">
        <f ca="1">DATEDIF(BI362,TODAY(),"Y")</f>
        <v>2</v>
      </c>
      <c r="AX362" s="54"/>
      <c r="AY362" s="40" t="s">
        <v>5685</v>
      </c>
      <c r="AZ362" s="44">
        <f t="shared" si="114"/>
        <v>45086</v>
      </c>
      <c r="BA362" s="54" t="str">
        <f t="shared" si="115"/>
        <v>6-2023</v>
      </c>
      <c r="BH362" s="3" t="s">
        <v>1055</v>
      </c>
      <c r="BI362" s="51">
        <f t="shared" si="120"/>
        <v>45292</v>
      </c>
      <c r="BJ362" s="38">
        <f t="shared" ca="1" si="121"/>
        <v>685</v>
      </c>
      <c r="BK362" s="38"/>
      <c r="BL362" s="38" t="str">
        <f t="shared" si="122"/>
        <v>Q1</v>
      </c>
      <c r="BM362" s="59">
        <f t="shared" si="116"/>
        <v>45086</v>
      </c>
      <c r="BN362" s="51">
        <f t="shared" si="123"/>
        <v>45292</v>
      </c>
      <c r="BO362" s="54">
        <f t="shared" si="117"/>
        <v>206</v>
      </c>
      <c r="BP362" s="3" t="s">
        <v>1053</v>
      </c>
      <c r="BQ362" s="3" t="s">
        <v>16</v>
      </c>
      <c r="BR362" s="19" t="s">
        <v>1044</v>
      </c>
      <c r="BS362" s="19" t="s">
        <v>2947</v>
      </c>
      <c r="BT362" s="54" t="str">
        <f t="shared" si="118"/>
        <v>DevOps</v>
      </c>
      <c r="BV362" s="3" t="s">
        <v>1053</v>
      </c>
      <c r="BW362" s="3" t="s">
        <v>1054</v>
      </c>
      <c r="CB362" s="19" t="s">
        <v>935</v>
      </c>
      <c r="CC362" s="3" t="s">
        <v>1054</v>
      </c>
      <c r="CD362" s="3" t="s">
        <v>123</v>
      </c>
      <c r="CE362" s="54" t="str">
        <v>HR Executive</v>
      </c>
      <c r="CG362" s="54" t="str">
        <f>IFERROR(_xlfn.XLOOKUP(Hiring!A362,Hiring!A362:A761,Hiring!B362:B761,,0),"Not Found")</f>
        <v>Dibya Tripathy</v>
      </c>
    </row>
    <row r="363" spans="2:85">
      <c r="B363" s="100"/>
      <c r="F363" s="4">
        <v>1.6</v>
      </c>
      <c r="G363" s="52" t="str" cm="1">
        <f t="array" ref="G363">_xlfn.IFS(F363&gt;=4.5,"Excellent",AND(F363&gt;=3.5,F363&lt;=4.4),"Good",F363&lt;3.5,"Needs Improvement")</f>
        <v>Needs Improvement</v>
      </c>
      <c r="M363" s="18">
        <v>26870</v>
      </c>
      <c r="N363" s="18">
        <v>24184</v>
      </c>
      <c r="O363" s="54" t="str">
        <f t="shared" si="119"/>
        <v>Yes</v>
      </c>
      <c r="Q363" s="18">
        <v>8.6300000000000008</v>
      </c>
      <c r="R363" s="56" t="str">
        <f t="shared" si="107"/>
        <v>Yes</v>
      </c>
      <c r="W363" s="18" t="s">
        <v>1044</v>
      </c>
      <c r="X363" s="54" t="str">
        <f>VLOOKUP(W363,Employees!$A$1:$B$601,2,FALSE)</f>
        <v>Lipsa Senapati</v>
      </c>
      <c r="Z363" s="4" t="s">
        <v>1056</v>
      </c>
      <c r="AA363" s="54" t="str">
        <f t="shared" si="108"/>
        <v>0362</v>
      </c>
      <c r="AC363" s="4" t="s">
        <v>89</v>
      </c>
      <c r="AD363" s="54" t="str">
        <f t="shared" si="109"/>
        <v>Data Science</v>
      </c>
      <c r="AF363" s="4" t="s">
        <v>1057</v>
      </c>
      <c r="AG363" s="4" t="s">
        <v>89</v>
      </c>
      <c r="AH363" s="4" t="s">
        <v>18</v>
      </c>
      <c r="AI363" s="54" t="str">
        <f t="shared" si="110"/>
        <v>Namita Choudhury|Data Science|CoastalDev Studio</v>
      </c>
      <c r="AK363" s="4" t="s">
        <v>1057</v>
      </c>
      <c r="AL363" s="38" t="str">
        <f t="shared" si="111"/>
        <v>N.C.</v>
      </c>
      <c r="AN363" s="18" t="s">
        <v>5019</v>
      </c>
      <c r="AO363" s="54" t="str">
        <f t="shared" si="112"/>
        <v>Linkedln</v>
      </c>
      <c r="AQ363" s="4" t="s">
        <v>1057</v>
      </c>
      <c r="AR363" s="52" t="str">
        <f t="shared" si="113"/>
        <v>NO</v>
      </c>
      <c r="AW363" s="54">
        <f ca="1">DATEDIF(BI363,TODAY(),"Y")</f>
        <v>5</v>
      </c>
      <c r="AX363" s="54"/>
      <c r="AY363" s="41" t="s">
        <v>1753</v>
      </c>
      <c r="AZ363" s="44">
        <f t="shared" si="114"/>
        <v>45471</v>
      </c>
      <c r="BA363" s="54" t="str">
        <f t="shared" si="115"/>
        <v>6-2024</v>
      </c>
      <c r="BH363" s="4" t="s">
        <v>1058</v>
      </c>
      <c r="BI363" s="51">
        <f t="shared" si="120"/>
        <v>44062</v>
      </c>
      <c r="BJ363" s="38">
        <f t="shared" ca="1" si="121"/>
        <v>1563</v>
      </c>
      <c r="BK363" s="38"/>
      <c r="BL363" s="38" t="str">
        <f t="shared" si="122"/>
        <v>No</v>
      </c>
      <c r="BM363" s="59">
        <f t="shared" si="116"/>
        <v>45471</v>
      </c>
      <c r="BN363" s="51">
        <f t="shared" si="123"/>
        <v>44062</v>
      </c>
      <c r="BO363" s="54">
        <f t="shared" si="117"/>
        <v>1409</v>
      </c>
      <c r="BP363" s="4" t="s">
        <v>1056</v>
      </c>
      <c r="BQ363" s="4" t="s">
        <v>89</v>
      </c>
      <c r="BR363" s="18" t="s">
        <v>1044</v>
      </c>
      <c r="BS363" s="18" t="s">
        <v>2950</v>
      </c>
      <c r="BT363" s="54" t="str">
        <f t="shared" si="118"/>
        <v>DevOps</v>
      </c>
      <c r="BV363" s="4" t="s">
        <v>1056</v>
      </c>
      <c r="BW363" s="4" t="s">
        <v>1057</v>
      </c>
      <c r="CB363" s="18" t="s">
        <v>5687</v>
      </c>
      <c r="CC363" s="4" t="s">
        <v>1057</v>
      </c>
      <c r="CD363" s="4" t="s">
        <v>376</v>
      </c>
      <c r="CE363" s="54" t="str">
        <v>Not Found</v>
      </c>
      <c r="CG363" s="54" t="str">
        <f>IFERROR(_xlfn.XLOOKUP(Hiring!A363,Hiring!A363:A762,Hiring!B363:B762,,0),"Not Found")</f>
        <v>Dibya Sahoo</v>
      </c>
    </row>
    <row r="364" spans="2:85">
      <c r="B364" s="100"/>
      <c r="F364" s="3">
        <v>1.7</v>
      </c>
      <c r="G364" s="52" t="str" cm="1">
        <f t="array" ref="G364">_xlfn.IFS(F364&gt;=4.5,"Excellent",AND(F364&gt;=3.5,F364&lt;=4.4),"Good",F364&lt;3.5,"Needs Improvement")</f>
        <v>Needs Improvement</v>
      </c>
      <c r="M364" s="19">
        <v>164924</v>
      </c>
      <c r="N364" s="19">
        <v>149799</v>
      </c>
      <c r="O364" s="54" t="str">
        <f t="shared" si="119"/>
        <v>Yes</v>
      </c>
      <c r="Q364" s="19">
        <v>10.72</v>
      </c>
      <c r="R364" s="56" t="str">
        <f t="shared" si="107"/>
        <v>Yes</v>
      </c>
      <c r="W364" s="19" t="s">
        <v>1044</v>
      </c>
      <c r="X364" s="54" t="str">
        <f>VLOOKUP(W364,Employees!$A$1:$B$601,2,FALSE)</f>
        <v>Lipsa Senapati</v>
      </c>
      <c r="Z364" s="3" t="s">
        <v>1059</v>
      </c>
      <c r="AA364" s="54" t="str">
        <f t="shared" si="108"/>
        <v>0363</v>
      </c>
      <c r="AC364" s="3" t="s">
        <v>39</v>
      </c>
      <c r="AD364" s="54" t="str">
        <f t="shared" si="109"/>
        <v>Engineering</v>
      </c>
      <c r="AF364" s="3" t="s">
        <v>1060</v>
      </c>
      <c r="AG364" s="3" t="s">
        <v>39</v>
      </c>
      <c r="AH364" s="3" t="s">
        <v>149</v>
      </c>
      <c r="AI364" s="54" t="str">
        <f t="shared" si="110"/>
        <v>Dibya Sahu|Engineering|SilverByte Systems</v>
      </c>
      <c r="AK364" s="3" t="s">
        <v>1060</v>
      </c>
      <c r="AL364" s="38" t="str">
        <f t="shared" si="111"/>
        <v>D.S.</v>
      </c>
      <c r="AN364" s="19" t="s">
        <v>5077</v>
      </c>
      <c r="AO364" s="54" t="b">
        <f t="shared" si="112"/>
        <v>0</v>
      </c>
      <c r="AQ364" s="3" t="s">
        <v>1060</v>
      </c>
      <c r="AR364" s="52" t="str">
        <f t="shared" si="113"/>
        <v>NO</v>
      </c>
      <c r="AW364" s="54">
        <f ca="1">DATEDIF(BI364,TODAY(),"Y")</f>
        <v>2</v>
      </c>
      <c r="AX364" s="54"/>
      <c r="AY364" s="40" t="s">
        <v>1703</v>
      </c>
      <c r="AZ364" s="44">
        <f t="shared" si="114"/>
        <v>45283</v>
      </c>
      <c r="BA364" s="54" t="str">
        <f t="shared" si="115"/>
        <v>12-2023</v>
      </c>
      <c r="BH364" s="3" t="s">
        <v>1061</v>
      </c>
      <c r="BI364" s="51">
        <f t="shared" si="120"/>
        <v>45448</v>
      </c>
      <c r="BJ364" s="38">
        <f t="shared" ca="1" si="121"/>
        <v>573</v>
      </c>
      <c r="BK364" s="38"/>
      <c r="BL364" s="38" t="str">
        <f t="shared" si="122"/>
        <v>No</v>
      </c>
      <c r="BM364" s="59">
        <f t="shared" si="116"/>
        <v>45283</v>
      </c>
      <c r="BN364" s="51">
        <f t="shared" si="123"/>
        <v>45448</v>
      </c>
      <c r="BO364" s="54">
        <f t="shared" si="117"/>
        <v>165</v>
      </c>
      <c r="BP364" s="3" t="s">
        <v>1059</v>
      </c>
      <c r="BQ364" s="3" t="s">
        <v>39</v>
      </c>
      <c r="BR364" s="19" t="s">
        <v>1044</v>
      </c>
      <c r="BS364" s="19" t="s">
        <v>2953</v>
      </c>
      <c r="BT364" s="54" t="str">
        <f t="shared" si="118"/>
        <v>DevOps</v>
      </c>
      <c r="BV364" s="3" t="s">
        <v>1059</v>
      </c>
      <c r="BW364" s="3" t="s">
        <v>1060</v>
      </c>
      <c r="CB364" s="19" t="s">
        <v>1320</v>
      </c>
      <c r="CC364" s="3" t="s">
        <v>1060</v>
      </c>
      <c r="CD364" s="3" t="s">
        <v>79</v>
      </c>
      <c r="CE364" s="54" t="str">
        <v>Tech Lead</v>
      </c>
      <c r="CG364" s="54" t="str">
        <f>IFERROR(_xlfn.XLOOKUP(Hiring!A364,Hiring!A364:A763,Hiring!B364:B763,,0),"Not Found")</f>
        <v>Aditya Mishra</v>
      </c>
    </row>
    <row r="365" spans="2:85">
      <c r="B365" s="100"/>
      <c r="F365" s="4">
        <v>1.7</v>
      </c>
      <c r="G365" s="52" t="str" cm="1">
        <f t="array" ref="G365">_xlfn.IFS(F365&gt;=4.5,"Excellent",AND(F365&gt;=3.5,F365&lt;=4.4),"Good",F365&lt;3.5,"Needs Improvement")</f>
        <v>Needs Improvement</v>
      </c>
      <c r="M365" s="18">
        <v>202301</v>
      </c>
      <c r="N365" s="18">
        <v>180727</v>
      </c>
      <c r="O365" s="54" t="str">
        <f t="shared" si="119"/>
        <v>Yes</v>
      </c>
      <c r="Q365" s="18">
        <v>6.83</v>
      </c>
      <c r="R365" s="56" t="str">
        <f t="shared" si="107"/>
        <v>Yes</v>
      </c>
      <c r="W365" s="18" t="s">
        <v>1044</v>
      </c>
      <c r="X365" s="54" t="str">
        <f>VLOOKUP(W365,Employees!$A$1:$B$601,2,FALSE)</f>
        <v>Lipsa Senapati</v>
      </c>
      <c r="Z365" s="4" t="s">
        <v>1062</v>
      </c>
      <c r="AA365" s="54" t="str">
        <f t="shared" si="108"/>
        <v>0364</v>
      </c>
      <c r="AC365" s="4" t="s">
        <v>24</v>
      </c>
      <c r="AD365" s="54" t="str">
        <f t="shared" si="109"/>
        <v>Design</v>
      </c>
      <c r="AF365" s="4" t="s">
        <v>730</v>
      </c>
      <c r="AG365" s="4" t="s">
        <v>24</v>
      </c>
      <c r="AH365" s="4" t="s">
        <v>65</v>
      </c>
      <c r="AI365" s="54" t="str">
        <f t="shared" si="110"/>
        <v>Satyajit Ratha|Design|TributeAI</v>
      </c>
      <c r="AK365" s="4" t="s">
        <v>730</v>
      </c>
      <c r="AL365" s="38" t="str">
        <f t="shared" si="111"/>
        <v>S.R.</v>
      </c>
      <c r="AN365" s="18" t="s">
        <v>5023</v>
      </c>
      <c r="AO365" s="54" t="str">
        <f t="shared" si="112"/>
        <v>Linkedln</v>
      </c>
      <c r="AQ365" s="4" t="s">
        <v>730</v>
      </c>
      <c r="AR365" s="52" t="str">
        <f t="shared" si="113"/>
        <v>NO</v>
      </c>
      <c r="AW365" s="54">
        <f ca="1">DATEDIF(BI365,TODAY(),"Y")</f>
        <v>6</v>
      </c>
      <c r="AX365" s="54"/>
      <c r="AY365" s="41" t="s">
        <v>5690</v>
      </c>
      <c r="AZ365" s="44">
        <f t="shared" si="114"/>
        <v>45326</v>
      </c>
      <c r="BA365" s="54" t="str">
        <f t="shared" si="115"/>
        <v>2-2024</v>
      </c>
      <c r="BH365" s="4" t="s">
        <v>1063</v>
      </c>
      <c r="BI365" s="51">
        <f t="shared" si="120"/>
        <v>43880</v>
      </c>
      <c r="BJ365" s="38">
        <f t="shared" ca="1" si="121"/>
        <v>1693</v>
      </c>
      <c r="BK365" s="38"/>
      <c r="BL365" s="38" t="str">
        <f t="shared" si="122"/>
        <v>Q1</v>
      </c>
      <c r="BM365" s="59">
        <f t="shared" si="116"/>
        <v>45326</v>
      </c>
      <c r="BN365" s="51">
        <f t="shared" si="123"/>
        <v>43880</v>
      </c>
      <c r="BO365" s="54">
        <f t="shared" si="117"/>
        <v>1446</v>
      </c>
      <c r="BP365" s="4" t="s">
        <v>1062</v>
      </c>
      <c r="BQ365" s="4" t="s">
        <v>24</v>
      </c>
      <c r="BR365" s="18" t="s">
        <v>1044</v>
      </c>
      <c r="BS365" s="18" t="s">
        <v>2954</v>
      </c>
      <c r="BT365" s="54" t="str">
        <f t="shared" si="118"/>
        <v>DevOps</v>
      </c>
      <c r="BV365" s="4" t="s">
        <v>1062</v>
      </c>
      <c r="BW365" s="4" t="s">
        <v>730</v>
      </c>
      <c r="CB365" s="18" t="s">
        <v>996</v>
      </c>
      <c r="CC365" s="4" t="s">
        <v>730</v>
      </c>
      <c r="CD365" s="4" t="s">
        <v>25</v>
      </c>
      <c r="CE365" s="54" t="str">
        <v>Product Manager</v>
      </c>
      <c r="CG365" s="54" t="str">
        <f>IFERROR(_xlfn.XLOOKUP(Hiring!A365,Hiring!A365:A764,Hiring!B365:B764,,0),"Not Found")</f>
        <v>Ranjit Padhi</v>
      </c>
    </row>
    <row r="366" spans="2:85">
      <c r="B366" s="100"/>
      <c r="F366" s="3">
        <v>4.5999999999999996</v>
      </c>
      <c r="G366" s="52" t="str" cm="1">
        <f t="array" ref="G366">_xlfn.IFS(F366&gt;=4.5,"Excellent",AND(F366&gt;=3.5,F366&lt;=4.4),"Good",F366&lt;3.5,"Needs Improvement")</f>
        <v>Excellent</v>
      </c>
      <c r="M366" s="19"/>
      <c r="N366" s="19">
        <v>91358</v>
      </c>
      <c r="O366" s="54" t="str">
        <f t="shared" si="119"/>
        <v>Yes</v>
      </c>
      <c r="Q366" s="19">
        <v>9.7899999999999991</v>
      </c>
      <c r="R366" s="56" t="str">
        <f t="shared" si="107"/>
        <v>Yes</v>
      </c>
      <c r="W366" s="19" t="s">
        <v>1044</v>
      </c>
      <c r="X366" s="54" t="str">
        <f>VLOOKUP(W366,Employees!$A$1:$B$601,2,FALSE)</f>
        <v>Lipsa Senapati</v>
      </c>
      <c r="Z366" s="3" t="s">
        <v>1064</v>
      </c>
      <c r="AA366" s="54" t="str">
        <f t="shared" si="108"/>
        <v>0365</v>
      </c>
      <c r="AC366" s="3" t="s">
        <v>84</v>
      </c>
      <c r="AD366" s="54" t="str">
        <f t="shared" si="109"/>
        <v>Hr</v>
      </c>
      <c r="AF366" s="3" t="s">
        <v>446</v>
      </c>
      <c r="AG366" s="3" t="s">
        <v>84</v>
      </c>
      <c r="AH366" s="3" t="s">
        <v>149</v>
      </c>
      <c r="AI366" s="54" t="str">
        <f t="shared" si="110"/>
        <v>Saurav Dhal|HR|SilverByte Systems</v>
      </c>
      <c r="AK366" s="3" t="s">
        <v>446</v>
      </c>
      <c r="AL366" s="38" t="str">
        <f t="shared" si="111"/>
        <v>S.D.</v>
      </c>
      <c r="AN366" s="19" t="s">
        <v>5025</v>
      </c>
      <c r="AO366" s="54" t="b">
        <f t="shared" si="112"/>
        <v>0</v>
      </c>
      <c r="AQ366" s="3" t="s">
        <v>446</v>
      </c>
      <c r="AR366" s="52" t="str">
        <f t="shared" si="113"/>
        <v>NO</v>
      </c>
      <c r="AW366" s="54">
        <f ca="1">DATEDIF(BI366,TODAY(),"Y")</f>
        <v>7</v>
      </c>
      <c r="AX366" s="54"/>
      <c r="AY366" s="40" t="s">
        <v>5517</v>
      </c>
      <c r="AZ366" s="44">
        <f t="shared" si="114"/>
        <v>45609</v>
      </c>
      <c r="BA366" s="54" t="str">
        <f t="shared" si="115"/>
        <v>11-2024</v>
      </c>
      <c r="BH366" s="3" t="s">
        <v>1065</v>
      </c>
      <c r="BI366" s="51">
        <f t="shared" si="120"/>
        <v>43662</v>
      </c>
      <c r="BJ366" s="38">
        <f t="shared" ca="1" si="121"/>
        <v>1849</v>
      </c>
      <c r="BK366" s="38"/>
      <c r="BL366" s="38" t="str">
        <f t="shared" si="122"/>
        <v>No</v>
      </c>
      <c r="BM366" s="59">
        <f t="shared" si="116"/>
        <v>45609</v>
      </c>
      <c r="BN366" s="51">
        <f t="shared" si="123"/>
        <v>43662</v>
      </c>
      <c r="BO366" s="54">
        <f t="shared" si="117"/>
        <v>1947</v>
      </c>
      <c r="BP366" s="3" t="s">
        <v>1064</v>
      </c>
      <c r="BQ366" s="3" t="s">
        <v>84</v>
      </c>
      <c r="BR366" s="19" t="s">
        <v>1044</v>
      </c>
      <c r="BS366" s="19" t="s">
        <v>2956</v>
      </c>
      <c r="BT366" s="54" t="str">
        <f t="shared" si="118"/>
        <v>DevOps</v>
      </c>
      <c r="BV366" s="3" t="s">
        <v>1064</v>
      </c>
      <c r="BW366" s="3" t="s">
        <v>446</v>
      </c>
      <c r="CB366" s="19" t="s">
        <v>658</v>
      </c>
      <c r="CC366" s="3" t="s">
        <v>446</v>
      </c>
      <c r="CD366" s="3" t="s">
        <v>85</v>
      </c>
      <c r="CE366" s="54" t="str">
        <v>Junior Developer</v>
      </c>
      <c r="CG366" s="54" t="str">
        <f>IFERROR(_xlfn.XLOOKUP(Hiring!A366,Hiring!A366:A765,Hiring!B366:B765,,0),"Not Found")</f>
        <v>Abhishek Mohapatra</v>
      </c>
    </row>
    <row r="367" spans="2:85">
      <c r="B367" s="100"/>
      <c r="F367" s="4">
        <v>3.2</v>
      </c>
      <c r="G367" s="52" t="str" cm="1">
        <f t="array" ref="G367">_xlfn.IFS(F367&gt;=4.5,"Excellent",AND(F367&gt;=3.5,F367&lt;=4.4),"Good",F367&lt;3.5,"Needs Improvement")</f>
        <v>Needs Improvement</v>
      </c>
      <c r="M367" s="18">
        <v>66244</v>
      </c>
      <c r="N367" s="18">
        <v>57918</v>
      </c>
      <c r="O367" s="54" t="str">
        <f t="shared" si="119"/>
        <v>Yes</v>
      </c>
      <c r="Q367" s="18">
        <v>10.050000000000001</v>
      </c>
      <c r="R367" s="56" t="str">
        <f t="shared" si="107"/>
        <v>Yes</v>
      </c>
      <c r="W367" s="18" t="s">
        <v>1044</v>
      </c>
      <c r="X367" s="54" t="str">
        <f>VLOOKUP(W367,Employees!$A$1:$B$601,2,FALSE)</f>
        <v>Lipsa Senapati</v>
      </c>
      <c r="Z367" s="4" t="s">
        <v>1066</v>
      </c>
      <c r="AA367" s="54" t="str">
        <f t="shared" si="108"/>
        <v>0366</v>
      </c>
      <c r="AC367" s="4" t="s">
        <v>133</v>
      </c>
      <c r="AD367" s="54" t="str">
        <f t="shared" si="109"/>
        <v>Qa</v>
      </c>
      <c r="AF367" s="4" t="s">
        <v>1067</v>
      </c>
      <c r="AG367" s="4" t="s">
        <v>133</v>
      </c>
      <c r="AH367" s="4" t="s">
        <v>214</v>
      </c>
      <c r="AI367" s="54" t="str">
        <f t="shared" si="110"/>
        <v>Namita Routray|QA|ZeroOneSystems</v>
      </c>
      <c r="AK367" s="4" t="s">
        <v>1067</v>
      </c>
      <c r="AL367" s="38" t="str">
        <f t="shared" si="111"/>
        <v>N.R.</v>
      </c>
      <c r="AN367" s="18" t="s">
        <v>5051</v>
      </c>
      <c r="AO367" s="54" t="str">
        <f t="shared" si="112"/>
        <v>Naukri</v>
      </c>
      <c r="AQ367" s="4" t="s">
        <v>1067</v>
      </c>
      <c r="AR367" s="52" t="str">
        <f t="shared" si="113"/>
        <v>NO</v>
      </c>
      <c r="AW367" s="54">
        <f ca="1">DATEDIF(BI367,TODAY(),"Y")</f>
        <v>2</v>
      </c>
      <c r="AX367" s="54"/>
      <c r="AY367" s="41" t="s">
        <v>1637</v>
      </c>
      <c r="AZ367" s="44">
        <f t="shared" si="114"/>
        <v>45126</v>
      </c>
      <c r="BA367" s="54" t="str">
        <f t="shared" si="115"/>
        <v>7-2023</v>
      </c>
      <c r="BH367" s="4" t="s">
        <v>1068</v>
      </c>
      <c r="BI367" s="51">
        <f t="shared" si="120"/>
        <v>45390</v>
      </c>
      <c r="BJ367" s="38">
        <f t="shared" ca="1" si="121"/>
        <v>615</v>
      </c>
      <c r="BK367" s="38"/>
      <c r="BL367" s="38" t="str">
        <f t="shared" si="122"/>
        <v>No</v>
      </c>
      <c r="BM367" s="59">
        <f t="shared" si="116"/>
        <v>45126</v>
      </c>
      <c r="BN367" s="51">
        <f t="shared" si="123"/>
        <v>45390</v>
      </c>
      <c r="BO367" s="54">
        <f t="shared" si="117"/>
        <v>264</v>
      </c>
      <c r="BP367" s="4" t="s">
        <v>1066</v>
      </c>
      <c r="BQ367" s="4" t="s">
        <v>133</v>
      </c>
      <c r="BR367" s="18" t="s">
        <v>1044</v>
      </c>
      <c r="BS367" s="18" t="s">
        <v>2957</v>
      </c>
      <c r="BT367" s="54" t="str">
        <f t="shared" si="118"/>
        <v>DevOps</v>
      </c>
      <c r="BV367" s="4" t="s">
        <v>1066</v>
      </c>
      <c r="BW367" s="4" t="s">
        <v>1067</v>
      </c>
      <c r="CB367" s="18" t="s">
        <v>5693</v>
      </c>
      <c r="CC367" s="4" t="s">
        <v>1067</v>
      </c>
      <c r="CD367" s="4" t="s">
        <v>162</v>
      </c>
      <c r="CE367" s="54" t="str">
        <v>Not Found</v>
      </c>
      <c r="CG367" s="54" t="str">
        <f>IFERROR(_xlfn.XLOOKUP(Hiring!A367,Hiring!A367:A766,Hiring!B367:B766,,0),"Not Found")</f>
        <v>Tanmay Parida</v>
      </c>
    </row>
    <row r="368" spans="2:85">
      <c r="B368" s="100"/>
      <c r="F368" s="3">
        <v>1.9</v>
      </c>
      <c r="G368" s="52" t="str" cm="1">
        <f t="array" ref="G368">_xlfn.IFS(F368&gt;=4.5,"Excellent",AND(F368&gt;=3.5,F368&lt;=4.4),"Good",F368&lt;3.5,"Needs Improvement")</f>
        <v>Needs Improvement</v>
      </c>
      <c r="M368" s="19">
        <v>172341</v>
      </c>
      <c r="N368" s="19"/>
      <c r="O368" s="54" t="str">
        <f t="shared" si="119"/>
        <v>Yes</v>
      </c>
      <c r="Q368" s="19">
        <v>6.77</v>
      </c>
      <c r="R368" s="56" t="str">
        <f t="shared" si="107"/>
        <v>Yes</v>
      </c>
      <c r="W368" s="19" t="s">
        <v>1044</v>
      </c>
      <c r="X368" s="54" t="str">
        <f>VLOOKUP(W368,Employees!$A$1:$B$601,2,FALSE)</f>
        <v>Lipsa Senapati</v>
      </c>
      <c r="Z368" s="3" t="s">
        <v>1069</v>
      </c>
      <c r="AA368" s="54" t="str">
        <f t="shared" si="108"/>
        <v>0367</v>
      </c>
      <c r="AC368" s="3" t="s">
        <v>24</v>
      </c>
      <c r="AD368" s="54" t="str">
        <f t="shared" si="109"/>
        <v>Design</v>
      </c>
      <c r="AF368" s="3" t="s">
        <v>601</v>
      </c>
      <c r="AG368" s="3" t="s">
        <v>24</v>
      </c>
      <c r="AH368" s="3" t="s">
        <v>53</v>
      </c>
      <c r="AI368" s="54" t="str">
        <f t="shared" si="110"/>
        <v>Priyanka Mishra|Design|BlueLotus IT</v>
      </c>
      <c r="AK368" s="3" t="s">
        <v>601</v>
      </c>
      <c r="AL368" s="38" t="str">
        <f t="shared" si="111"/>
        <v>P.M.</v>
      </c>
      <c r="AN368" s="19" t="s">
        <v>5060</v>
      </c>
      <c r="AO368" s="54" t="str">
        <f t="shared" si="112"/>
        <v>Naukri</v>
      </c>
      <c r="AQ368" s="3" t="s">
        <v>601</v>
      </c>
      <c r="AR368" s="52" t="str">
        <f t="shared" si="113"/>
        <v>Mishra</v>
      </c>
      <c r="AW368" s="54">
        <f ca="1">DATEDIF(BI368,TODAY(),"Y")</f>
        <v>3</v>
      </c>
      <c r="AX368" s="54"/>
      <c r="AY368" s="40" t="s">
        <v>5430</v>
      </c>
      <c r="AZ368" s="44">
        <f t="shared" si="114"/>
        <v>45250</v>
      </c>
      <c r="BA368" s="54" t="str">
        <f t="shared" si="115"/>
        <v>11-2023</v>
      </c>
      <c r="BH368" s="3" t="s">
        <v>1070</v>
      </c>
      <c r="BI368" s="51">
        <f t="shared" si="120"/>
        <v>44907</v>
      </c>
      <c r="BJ368" s="38">
        <f t="shared" ca="1" si="121"/>
        <v>960</v>
      </c>
      <c r="BK368" s="38"/>
      <c r="BL368" s="38" t="str">
        <f t="shared" si="122"/>
        <v>No</v>
      </c>
      <c r="BM368" s="59">
        <f t="shared" si="116"/>
        <v>45250</v>
      </c>
      <c r="BN368" s="51">
        <f t="shared" si="123"/>
        <v>44907</v>
      </c>
      <c r="BO368" s="54">
        <f t="shared" si="117"/>
        <v>343</v>
      </c>
      <c r="BP368" s="3" t="s">
        <v>1069</v>
      </c>
      <c r="BQ368" s="3" t="s">
        <v>24</v>
      </c>
      <c r="BR368" s="19" t="s">
        <v>1044</v>
      </c>
      <c r="BS368" s="19" t="s">
        <v>2958</v>
      </c>
      <c r="BT368" s="54" t="str">
        <f t="shared" si="118"/>
        <v>DevOps</v>
      </c>
      <c r="BV368" s="3" t="s">
        <v>1069</v>
      </c>
      <c r="BW368" s="3" t="s">
        <v>601</v>
      </c>
      <c r="CB368" s="19" t="s">
        <v>1591</v>
      </c>
      <c r="CC368" s="3" t="s">
        <v>601</v>
      </c>
      <c r="CD368" s="3" t="s">
        <v>25</v>
      </c>
      <c r="CE368" s="54" t="str">
        <v>HR Manager</v>
      </c>
      <c r="CG368" s="54" t="str">
        <f>IFERROR(_xlfn.XLOOKUP(Hiring!A368,Hiring!A368:A767,Hiring!B368:B767,,0),"Not Found")</f>
        <v>Alka Routray</v>
      </c>
    </row>
    <row r="369" spans="2:85">
      <c r="B369" s="100"/>
      <c r="F369" s="4">
        <v>0</v>
      </c>
      <c r="G369" s="52" t="str" cm="1">
        <f t="array" ref="G369">_xlfn.IFS(F369&gt;=4.5,"Excellent",AND(F369&gt;=3.5,F369&lt;=4.4),"Good",F369&lt;3.5,"Needs Improvement")</f>
        <v>Needs Improvement</v>
      </c>
      <c r="M369" s="18">
        <v>125269</v>
      </c>
      <c r="N369" s="18">
        <v>122664</v>
      </c>
      <c r="O369" s="54" t="str">
        <f t="shared" si="119"/>
        <v>Yes</v>
      </c>
      <c r="Q369" s="18">
        <v>10.79</v>
      </c>
      <c r="R369" s="56" t="str">
        <f t="shared" si="107"/>
        <v>Yes</v>
      </c>
      <c r="W369" s="18" t="s">
        <v>1044</v>
      </c>
      <c r="X369" s="54" t="str">
        <f>VLOOKUP(W369,Employees!$A$1:$B$601,2,FALSE)</f>
        <v>Lipsa Senapati</v>
      </c>
      <c r="Z369" s="4" t="s">
        <v>1071</v>
      </c>
      <c r="AA369" s="54" t="str">
        <f t="shared" si="108"/>
        <v>0368</v>
      </c>
      <c r="AC369" s="4" t="s">
        <v>118</v>
      </c>
      <c r="AD369" s="54" t="str">
        <f t="shared" si="109"/>
        <v>Marketing</v>
      </c>
      <c r="AF369" s="4" t="s">
        <v>1072</v>
      </c>
      <c r="AG369" s="4" t="s">
        <v>118</v>
      </c>
      <c r="AH369" s="4" t="s">
        <v>32</v>
      </c>
      <c r="AI369" s="54" t="str">
        <f t="shared" si="110"/>
        <v>Jyotirmayee Pattnaik|Marketing|NilGiri Digitals</v>
      </c>
      <c r="AK369" s="4" t="s">
        <v>1072</v>
      </c>
      <c r="AL369" s="38" t="str">
        <f t="shared" si="111"/>
        <v>J.P.</v>
      </c>
      <c r="AN369" s="18" t="s">
        <v>5031</v>
      </c>
      <c r="AO369" s="54" t="b">
        <f t="shared" si="112"/>
        <v>0</v>
      </c>
      <c r="AQ369" s="4" t="s">
        <v>1072</v>
      </c>
      <c r="AR369" s="52" t="str">
        <f t="shared" si="113"/>
        <v>NO</v>
      </c>
      <c r="AW369" s="54">
        <f ca="1">DATEDIF(BI369,TODAY(),"Y")</f>
        <v>5</v>
      </c>
      <c r="AX369" s="54"/>
      <c r="AY369" s="41" t="s">
        <v>5696</v>
      </c>
      <c r="AZ369" s="44">
        <f t="shared" si="114"/>
        <v>45157</v>
      </c>
      <c r="BA369" s="54" t="str">
        <f t="shared" si="115"/>
        <v>8-2023</v>
      </c>
      <c r="BH369" s="4" t="s">
        <v>1073</v>
      </c>
      <c r="BI369" s="51">
        <f t="shared" si="120"/>
        <v>44415</v>
      </c>
      <c r="BJ369" s="38">
        <f t="shared" ca="1" si="121"/>
        <v>1310</v>
      </c>
      <c r="BK369" s="38"/>
      <c r="BL369" s="38" t="str">
        <f t="shared" si="122"/>
        <v>No</v>
      </c>
      <c r="BM369" s="59">
        <f t="shared" si="116"/>
        <v>45157</v>
      </c>
      <c r="BN369" s="51">
        <f t="shared" si="123"/>
        <v>44415</v>
      </c>
      <c r="BO369" s="54">
        <f t="shared" si="117"/>
        <v>742</v>
      </c>
      <c r="BP369" s="4" t="s">
        <v>1071</v>
      </c>
      <c r="BQ369" s="4" t="s">
        <v>118</v>
      </c>
      <c r="BR369" s="18" t="s">
        <v>1044</v>
      </c>
      <c r="BS369" s="18" t="s">
        <v>2959</v>
      </c>
      <c r="BT369" s="54" t="str">
        <f t="shared" si="118"/>
        <v>DevOps</v>
      </c>
      <c r="BV369" s="4" t="s">
        <v>1071</v>
      </c>
      <c r="BW369" s="4" t="s">
        <v>1072</v>
      </c>
      <c r="CB369" s="18" t="s">
        <v>317</v>
      </c>
      <c r="CC369" s="4" t="s">
        <v>1072</v>
      </c>
      <c r="CD369" s="4" t="s">
        <v>254</v>
      </c>
      <c r="CE369" s="54" t="str">
        <v>Data Analyst</v>
      </c>
      <c r="CG369" s="54" t="str">
        <f>IFERROR(_xlfn.XLOOKUP(Hiring!A369,Hiring!A369:A768,Hiring!B369:B768,,0),"Not Found")</f>
        <v>Soumya Behura</v>
      </c>
    </row>
    <row r="370" spans="2:85">
      <c r="B370" s="100"/>
      <c r="F370" s="3">
        <v>4.4000000000000004</v>
      </c>
      <c r="G370" s="52" t="str" cm="1">
        <f t="array" ref="G370">_xlfn.IFS(F370&gt;=4.5,"Excellent",AND(F370&gt;=3.5,F370&lt;=4.4),"Good",F370&lt;3.5,"Needs Improvement")</f>
        <v>Good</v>
      </c>
      <c r="M370" s="19"/>
      <c r="N370" s="19">
        <v>183537</v>
      </c>
      <c r="O370" s="54" t="str">
        <f t="shared" si="119"/>
        <v>Yes</v>
      </c>
      <c r="Q370" s="19">
        <v>10.19</v>
      </c>
      <c r="R370" s="56" t="str">
        <f t="shared" si="107"/>
        <v>Yes</v>
      </c>
      <c r="W370" s="19" t="s">
        <v>1044</v>
      </c>
      <c r="X370" s="54" t="str">
        <f>VLOOKUP(W370,Employees!$A$1:$B$601,2,FALSE)</f>
        <v>Lipsa Senapati</v>
      </c>
      <c r="Z370" s="3" t="s">
        <v>1074</v>
      </c>
      <c r="AA370" s="54" t="str">
        <f t="shared" si="108"/>
        <v>0369</v>
      </c>
      <c r="AC370" s="3" t="s">
        <v>63</v>
      </c>
      <c r="AD370" s="54" t="str">
        <f t="shared" si="109"/>
        <v>Product</v>
      </c>
      <c r="AF370" s="3" t="s">
        <v>78</v>
      </c>
      <c r="AG370" s="3" t="s">
        <v>63</v>
      </c>
      <c r="AH370" s="3" t="s">
        <v>46</v>
      </c>
      <c r="AI370" s="54" t="str">
        <f t="shared" si="110"/>
        <v>Lipsa Prusty|Product|SambalpurNet</v>
      </c>
      <c r="AK370" s="3" t="s">
        <v>78</v>
      </c>
      <c r="AL370" s="38" t="str">
        <f t="shared" si="111"/>
        <v>L.P.</v>
      </c>
      <c r="AN370" s="19" t="s">
        <v>5025</v>
      </c>
      <c r="AO370" s="54" t="b">
        <f t="shared" si="112"/>
        <v>0</v>
      </c>
      <c r="AQ370" s="3" t="s">
        <v>78</v>
      </c>
      <c r="AR370" s="52" t="str">
        <f t="shared" si="113"/>
        <v>NO</v>
      </c>
      <c r="AW370" s="54">
        <f ca="1">DATEDIF(BI370,TODAY(),"Y")</f>
        <v>2</v>
      </c>
      <c r="AX370" s="54"/>
      <c r="AY370" s="40" t="s">
        <v>2000</v>
      </c>
      <c r="AZ370" s="44">
        <f t="shared" si="114"/>
        <v>45117</v>
      </c>
      <c r="BA370" s="54" t="str">
        <f t="shared" si="115"/>
        <v>7-2023</v>
      </c>
      <c r="BH370" s="3" t="s">
        <v>1075</v>
      </c>
      <c r="BI370" s="51">
        <f t="shared" si="120"/>
        <v>45307</v>
      </c>
      <c r="BJ370" s="38">
        <f t="shared" ca="1" si="121"/>
        <v>674</v>
      </c>
      <c r="BK370" s="38"/>
      <c r="BL370" s="38" t="str">
        <f t="shared" si="122"/>
        <v>Q1</v>
      </c>
      <c r="BM370" s="59">
        <f t="shared" si="116"/>
        <v>45117</v>
      </c>
      <c r="BN370" s="51">
        <f t="shared" si="123"/>
        <v>45307</v>
      </c>
      <c r="BO370" s="54">
        <f t="shared" si="117"/>
        <v>190</v>
      </c>
      <c r="BP370" s="3" t="s">
        <v>1074</v>
      </c>
      <c r="BQ370" s="3" t="s">
        <v>63</v>
      </c>
      <c r="BR370" s="19" t="s">
        <v>1044</v>
      </c>
      <c r="BS370" s="19" t="s">
        <v>2960</v>
      </c>
      <c r="BT370" s="54" t="str">
        <f t="shared" si="118"/>
        <v>DevOps</v>
      </c>
      <c r="BV370" s="3" t="s">
        <v>1074</v>
      </c>
      <c r="BW370" s="3" t="s">
        <v>78</v>
      </c>
      <c r="CB370" s="19" t="s">
        <v>935</v>
      </c>
      <c r="CC370" s="3" t="s">
        <v>78</v>
      </c>
      <c r="CD370" s="3" t="s">
        <v>64</v>
      </c>
      <c r="CE370" s="54" t="str">
        <v>HR Executive</v>
      </c>
      <c r="CG370" s="54" t="str">
        <f>IFERROR(_xlfn.XLOOKUP(Hiring!A370,Hiring!A370:A769,Hiring!B370:B769,,0),"Not Found")</f>
        <v>Dibya Tripathy</v>
      </c>
    </row>
    <row r="371" spans="2:85">
      <c r="B371" s="100"/>
      <c r="F371" s="4">
        <v>0</v>
      </c>
      <c r="G371" s="52" t="str" cm="1">
        <f t="array" ref="G371">_xlfn.IFS(F371&gt;=4.5,"Excellent",AND(F371&gt;=3.5,F371&lt;=4.4),"Good",F371&lt;3.5,"Needs Improvement")</f>
        <v>Needs Improvement</v>
      </c>
      <c r="M371" s="18"/>
      <c r="N371" s="18">
        <v>153098</v>
      </c>
      <c r="O371" s="54" t="str">
        <f t="shared" si="119"/>
        <v>Yes</v>
      </c>
      <c r="Q371" s="18">
        <v>11.2</v>
      </c>
      <c r="R371" s="56" t="str">
        <f t="shared" si="107"/>
        <v>Yes</v>
      </c>
      <c r="W371" s="18" t="s">
        <v>1044</v>
      </c>
      <c r="X371" s="54" t="str">
        <f>VLOOKUP(W371,Employees!$A$1:$B$601,2,FALSE)</f>
        <v>Lipsa Senapati</v>
      </c>
      <c r="Z371" s="4" t="s">
        <v>1076</v>
      </c>
      <c r="AA371" s="54" t="str">
        <f t="shared" si="108"/>
        <v>0370</v>
      </c>
      <c r="AC371" s="4" t="s">
        <v>778</v>
      </c>
      <c r="AD371" s="54" t="str">
        <f t="shared" si="109"/>
        <v>Product</v>
      </c>
      <c r="AF371" s="4" t="s">
        <v>165</v>
      </c>
      <c r="AG371" s="4" t="s">
        <v>778</v>
      </c>
      <c r="AH371" s="4" t="s">
        <v>53</v>
      </c>
      <c r="AI371" s="54" t="str">
        <f t="shared" si="110"/>
        <v>Priyanka Ratha|product|BlueLotus IT</v>
      </c>
      <c r="AK371" s="4" t="s">
        <v>165</v>
      </c>
      <c r="AL371" s="38" t="str">
        <f t="shared" si="111"/>
        <v>P.R.</v>
      </c>
      <c r="AN371" s="18" t="s">
        <v>5016</v>
      </c>
      <c r="AO371" s="54" t="b">
        <f t="shared" si="112"/>
        <v>0</v>
      </c>
      <c r="AQ371" s="4" t="s">
        <v>165</v>
      </c>
      <c r="AR371" s="52" t="str">
        <f t="shared" si="113"/>
        <v>NO</v>
      </c>
      <c r="AW371" s="54">
        <f ca="1">DATEDIF(BI371,TODAY(),"Y")</f>
        <v>5</v>
      </c>
      <c r="AX371" s="54"/>
      <c r="AY371" s="41" t="s">
        <v>5699</v>
      </c>
      <c r="AZ371" s="44">
        <f t="shared" si="114"/>
        <v>45408</v>
      </c>
      <c r="BA371" s="54" t="str">
        <f t="shared" si="115"/>
        <v>4-2024</v>
      </c>
      <c r="BH371" s="4" t="s">
        <v>1077</v>
      </c>
      <c r="BI371" s="51">
        <f t="shared" si="120"/>
        <v>44250</v>
      </c>
      <c r="BJ371" s="38">
        <f t="shared" ca="1" si="121"/>
        <v>1429</v>
      </c>
      <c r="BK371" s="38"/>
      <c r="BL371" s="38" t="str">
        <f t="shared" si="122"/>
        <v>Q1</v>
      </c>
      <c r="BM371" s="59">
        <f t="shared" si="116"/>
        <v>45408</v>
      </c>
      <c r="BN371" s="51">
        <f t="shared" si="123"/>
        <v>44250</v>
      </c>
      <c r="BO371" s="54">
        <f t="shared" si="117"/>
        <v>1158</v>
      </c>
      <c r="BP371" s="4" t="s">
        <v>1076</v>
      </c>
      <c r="BQ371" s="4" t="s">
        <v>778</v>
      </c>
      <c r="BR371" s="18" t="s">
        <v>1044</v>
      </c>
      <c r="BS371" s="18" t="s">
        <v>2961</v>
      </c>
      <c r="BT371" s="54" t="str">
        <f t="shared" si="118"/>
        <v>DevOps</v>
      </c>
      <c r="BV371" s="4" t="s">
        <v>1076</v>
      </c>
      <c r="BW371" s="4" t="s">
        <v>165</v>
      </c>
      <c r="CB371" s="18" t="s">
        <v>383</v>
      </c>
      <c r="CC371" s="4" t="s">
        <v>165</v>
      </c>
      <c r="CD371" s="4" t="s">
        <v>225</v>
      </c>
      <c r="CE371" s="54" t="str">
        <v>HR Executive</v>
      </c>
      <c r="CG371" s="54" t="str">
        <f>IFERROR(_xlfn.XLOOKUP(Hiring!A371,Hiring!A371:A770,Hiring!B371:B770,,0),"Not Found")</f>
        <v>Barsha Mahapatra</v>
      </c>
    </row>
    <row r="372" spans="2:85">
      <c r="B372" s="100"/>
      <c r="F372" s="3">
        <v>1.6</v>
      </c>
      <c r="G372" s="52" t="str" cm="1">
        <f t="array" ref="G372">_xlfn.IFS(F372&gt;=4.5,"Excellent",AND(F372&gt;=3.5,F372&lt;=4.4),"Good",F372&lt;3.5,"Needs Improvement")</f>
        <v>Needs Improvement</v>
      </c>
      <c r="M372" s="19">
        <v>150583</v>
      </c>
      <c r="N372" s="19">
        <v>171128</v>
      </c>
      <c r="O372" s="54" t="str">
        <f t="shared" si="119"/>
        <v>Yes</v>
      </c>
      <c r="Q372" s="19">
        <v>8.56</v>
      </c>
      <c r="R372" s="56" t="str">
        <f t="shared" si="107"/>
        <v>Yes</v>
      </c>
      <c r="W372" s="19" t="s">
        <v>1044</v>
      </c>
      <c r="X372" s="54" t="str">
        <f>VLOOKUP(W372,Employees!$A$1:$B$601,2,FALSE)</f>
        <v>Lipsa Senapati</v>
      </c>
      <c r="Z372" s="3" t="s">
        <v>1078</v>
      </c>
      <c r="AA372" s="54" t="str">
        <f t="shared" si="108"/>
        <v>0371</v>
      </c>
      <c r="AC372" s="3" t="s">
        <v>24</v>
      </c>
      <c r="AD372" s="54" t="str">
        <f t="shared" si="109"/>
        <v>Design</v>
      </c>
      <c r="AF372" s="3" t="s">
        <v>1079</v>
      </c>
      <c r="AG372" s="3" t="s">
        <v>24</v>
      </c>
      <c r="AH372" s="3" t="s">
        <v>26</v>
      </c>
      <c r="AI372" s="54" t="str">
        <f t="shared" si="110"/>
        <v>Amlan Sahu|Design|InfySoft Bhubaneswar</v>
      </c>
      <c r="AK372" s="3" t="s">
        <v>1079</v>
      </c>
      <c r="AL372" s="38" t="str">
        <f t="shared" si="111"/>
        <v>A.S.</v>
      </c>
      <c r="AN372" s="19" t="s">
        <v>5016</v>
      </c>
      <c r="AO372" s="54" t="b">
        <f t="shared" si="112"/>
        <v>0</v>
      </c>
      <c r="AQ372" s="3" t="s">
        <v>1079</v>
      </c>
      <c r="AR372" s="52" t="str">
        <f t="shared" si="113"/>
        <v>NO</v>
      </c>
      <c r="AW372" s="54">
        <f ca="1">DATEDIF(BI372,TODAY(),"Y")</f>
        <v>7</v>
      </c>
      <c r="AX372" s="54"/>
      <c r="AY372" s="40" t="s">
        <v>5671</v>
      </c>
      <c r="AZ372" s="44">
        <f t="shared" si="114"/>
        <v>45243</v>
      </c>
      <c r="BA372" s="54" t="str">
        <f t="shared" si="115"/>
        <v>11-2023</v>
      </c>
      <c r="BH372" s="3" t="s">
        <v>836</v>
      </c>
      <c r="BI372" s="51">
        <f t="shared" si="120"/>
        <v>43422</v>
      </c>
      <c r="BJ372" s="38">
        <f t="shared" ca="1" si="121"/>
        <v>2020</v>
      </c>
      <c r="BK372" s="38"/>
      <c r="BL372" s="38" t="str">
        <f t="shared" si="122"/>
        <v>No</v>
      </c>
      <c r="BM372" s="59">
        <f t="shared" si="116"/>
        <v>45243</v>
      </c>
      <c r="BN372" s="51">
        <f t="shared" si="123"/>
        <v>43422</v>
      </c>
      <c r="BO372" s="54">
        <f t="shared" si="117"/>
        <v>1821</v>
      </c>
      <c r="BP372" s="3" t="s">
        <v>1078</v>
      </c>
      <c r="BQ372" s="3" t="s">
        <v>24</v>
      </c>
      <c r="BR372" s="19" t="s">
        <v>1044</v>
      </c>
      <c r="BS372" s="19" t="s">
        <v>2963</v>
      </c>
      <c r="BT372" s="54" t="str">
        <f t="shared" si="118"/>
        <v>DevOps</v>
      </c>
      <c r="BV372" s="3" t="s">
        <v>1078</v>
      </c>
      <c r="BW372" s="3" t="s">
        <v>1079</v>
      </c>
      <c r="CB372" s="19" t="s">
        <v>692</v>
      </c>
      <c r="CC372" s="3" t="s">
        <v>1079</v>
      </c>
      <c r="CD372" s="3" t="s">
        <v>74</v>
      </c>
      <c r="CE372" s="54" t="str">
        <v>Sr DevOps</v>
      </c>
      <c r="CG372" s="54" t="str">
        <f>IFERROR(_xlfn.XLOOKUP(Hiring!A372,Hiring!A372:A771,Hiring!B372:B771,,0),"Not Found")</f>
        <v>Sudhansu Pattnaik</v>
      </c>
    </row>
    <row r="373" spans="2:85">
      <c r="B373" s="100"/>
      <c r="F373" s="4">
        <v>1.5</v>
      </c>
      <c r="G373" s="52" t="str" cm="1">
        <f t="array" ref="G373">_xlfn.IFS(F373&gt;=4.5,"Excellent",AND(F373&gt;=3.5,F373&lt;=4.4),"Good",F373&lt;3.5,"Needs Improvement")</f>
        <v>Needs Improvement</v>
      </c>
      <c r="M373" s="18">
        <v>186294</v>
      </c>
      <c r="N373" s="18">
        <v>193797</v>
      </c>
      <c r="O373" s="54" t="str">
        <f t="shared" si="119"/>
        <v>Yes</v>
      </c>
      <c r="Q373" s="18">
        <v>8.39</v>
      </c>
      <c r="R373" s="56" t="str">
        <f t="shared" si="107"/>
        <v>Yes</v>
      </c>
      <c r="W373" s="18" t="s">
        <v>1044</v>
      </c>
      <c r="X373" s="54" t="str">
        <f>VLOOKUP(W373,Employees!$A$1:$B$601,2,FALSE)</f>
        <v>Lipsa Senapati</v>
      </c>
      <c r="Z373" s="4" t="s">
        <v>1080</v>
      </c>
      <c r="AA373" s="54" t="str">
        <f t="shared" si="108"/>
        <v>0372</v>
      </c>
      <c r="AC373" s="4" t="s">
        <v>39</v>
      </c>
      <c r="AD373" s="54" t="str">
        <f t="shared" si="109"/>
        <v>Engineering</v>
      </c>
      <c r="AF373" s="4" t="s">
        <v>1079</v>
      </c>
      <c r="AG373" s="4" t="s">
        <v>39</v>
      </c>
      <c r="AH373" s="4" t="s">
        <v>75</v>
      </c>
      <c r="AI373" s="54" t="str">
        <f t="shared" si="110"/>
        <v>Amlan Sahu|Engineering|KalingaTech Pvt Ltd</v>
      </c>
      <c r="AK373" s="4" t="s">
        <v>1079</v>
      </c>
      <c r="AL373" s="38" t="str">
        <f t="shared" si="111"/>
        <v>A.S.</v>
      </c>
      <c r="AN373" s="18" t="s">
        <v>5016</v>
      </c>
      <c r="AO373" s="54" t="b">
        <f t="shared" si="112"/>
        <v>0</v>
      </c>
      <c r="AQ373" s="4" t="s">
        <v>1079</v>
      </c>
      <c r="AR373" s="52" t="str">
        <f t="shared" si="113"/>
        <v>NO</v>
      </c>
      <c r="AW373" s="54">
        <f ca="1">DATEDIF(BI373,TODAY(),"Y")</f>
        <v>8</v>
      </c>
      <c r="AX373" s="54"/>
      <c r="AY373" s="41" t="s">
        <v>5149</v>
      </c>
      <c r="AZ373" s="44">
        <f t="shared" si="114"/>
        <v>45327</v>
      </c>
      <c r="BA373" s="54" t="str">
        <f t="shared" si="115"/>
        <v>2-2024</v>
      </c>
      <c r="BH373" s="4" t="s">
        <v>1081</v>
      </c>
      <c r="BI373" s="51">
        <f t="shared" si="120"/>
        <v>43123</v>
      </c>
      <c r="BJ373" s="38">
        <f t="shared" ca="1" si="121"/>
        <v>2234</v>
      </c>
      <c r="BK373" s="38"/>
      <c r="BL373" s="38" t="str">
        <f t="shared" si="122"/>
        <v>Q1</v>
      </c>
      <c r="BM373" s="59">
        <f t="shared" si="116"/>
        <v>45327</v>
      </c>
      <c r="BN373" s="51">
        <f t="shared" si="123"/>
        <v>43123</v>
      </c>
      <c r="BO373" s="54">
        <f t="shared" si="117"/>
        <v>2204</v>
      </c>
      <c r="BP373" s="4" t="s">
        <v>1080</v>
      </c>
      <c r="BQ373" s="4" t="s">
        <v>39</v>
      </c>
      <c r="BR373" s="18" t="s">
        <v>1044</v>
      </c>
      <c r="BS373" s="18" t="s">
        <v>2964</v>
      </c>
      <c r="BT373" s="54" t="str">
        <f t="shared" si="118"/>
        <v>DevOps</v>
      </c>
      <c r="BV373" s="4" t="s">
        <v>1080</v>
      </c>
      <c r="BW373" s="4" t="s">
        <v>1079</v>
      </c>
      <c r="CB373" s="18" t="s">
        <v>1041</v>
      </c>
      <c r="CC373" s="4" t="s">
        <v>1079</v>
      </c>
      <c r="CD373" s="4" t="s">
        <v>40</v>
      </c>
      <c r="CE373" s="54" t="str">
        <v>Finance Analyst</v>
      </c>
      <c r="CG373" s="54" t="str">
        <f>IFERROR(_xlfn.XLOOKUP(Hiring!A373,Hiring!A373:A772,Hiring!B373:B772,,0),"Not Found")</f>
        <v>Ranjit Pattnaik</v>
      </c>
    </row>
    <row r="374" spans="2:85">
      <c r="B374" s="100"/>
      <c r="F374" s="3">
        <v>2.7</v>
      </c>
      <c r="G374" s="52" t="str" cm="1">
        <f t="array" ref="G374">_xlfn.IFS(F374&gt;=4.5,"Excellent",AND(F374&gt;=3.5,F374&lt;=4.4),"Good",F374&lt;3.5,"Needs Improvement")</f>
        <v>Needs Improvement</v>
      </c>
      <c r="M374" s="19">
        <v>39170</v>
      </c>
      <c r="N374" s="19">
        <v>37728</v>
      </c>
      <c r="O374" s="54" t="str">
        <f t="shared" si="119"/>
        <v>Yes</v>
      </c>
      <c r="Q374" s="19">
        <v>9.93</v>
      </c>
      <c r="R374" s="56" t="str">
        <f t="shared" si="107"/>
        <v>Yes</v>
      </c>
      <c r="W374" s="19" t="s">
        <v>1044</v>
      </c>
      <c r="X374" s="54" t="str">
        <f>VLOOKUP(W374,Employees!$A$1:$B$601,2,FALSE)</f>
        <v>Lipsa Senapati</v>
      </c>
      <c r="Z374" s="3" t="s">
        <v>1082</v>
      </c>
      <c r="AA374" s="54" t="str">
        <f t="shared" si="108"/>
        <v>0373</v>
      </c>
      <c r="AC374" s="3" t="s">
        <v>24</v>
      </c>
      <c r="AD374" s="54" t="str">
        <f t="shared" si="109"/>
        <v>Design</v>
      </c>
      <c r="AF374" s="3" t="s">
        <v>1083</v>
      </c>
      <c r="AG374" s="3" t="s">
        <v>24</v>
      </c>
      <c r="AH374" s="3" t="s">
        <v>18</v>
      </c>
      <c r="AI374" s="54" t="str">
        <f t="shared" si="110"/>
        <v>Subhasree Prusty|Design|CoastalDev Studio</v>
      </c>
      <c r="AK374" s="3" t="s">
        <v>1083</v>
      </c>
      <c r="AL374" s="38" t="str">
        <f t="shared" si="111"/>
        <v>S.P.</v>
      </c>
      <c r="AN374" s="19" t="s">
        <v>5016</v>
      </c>
      <c r="AO374" s="54" t="b">
        <f t="shared" si="112"/>
        <v>0</v>
      </c>
      <c r="AQ374" s="3" t="s">
        <v>1083</v>
      </c>
      <c r="AR374" s="52" t="str">
        <f t="shared" si="113"/>
        <v>NO</v>
      </c>
      <c r="AW374" s="54">
        <f ca="1">DATEDIF(BI374,TODAY(),"Y")</f>
        <v>2</v>
      </c>
      <c r="AX374" s="54"/>
      <c r="AY374" s="40" t="s">
        <v>669</v>
      </c>
      <c r="AZ374" s="44">
        <f t="shared" si="114"/>
        <v>45394</v>
      </c>
      <c r="BA374" s="54" t="str">
        <f t="shared" si="115"/>
        <v>4-2024</v>
      </c>
      <c r="BH374" s="3" t="s">
        <v>1084</v>
      </c>
      <c r="BI374" s="51">
        <f t="shared" si="120"/>
        <v>45294</v>
      </c>
      <c r="BJ374" s="38">
        <f t="shared" ca="1" si="121"/>
        <v>683</v>
      </c>
      <c r="BK374" s="38"/>
      <c r="BL374" s="38" t="str">
        <f t="shared" si="122"/>
        <v>Q1</v>
      </c>
      <c r="BM374" s="59">
        <f t="shared" si="116"/>
        <v>45394</v>
      </c>
      <c r="BN374" s="51">
        <f t="shared" si="123"/>
        <v>45294</v>
      </c>
      <c r="BO374" s="54">
        <f t="shared" si="117"/>
        <v>100</v>
      </c>
      <c r="BP374" s="3" t="s">
        <v>1082</v>
      </c>
      <c r="BQ374" s="3" t="s">
        <v>24</v>
      </c>
      <c r="BR374" s="19" t="s">
        <v>1044</v>
      </c>
      <c r="BS374" s="19" t="s">
        <v>2965</v>
      </c>
      <c r="BT374" s="54" t="str">
        <f t="shared" si="118"/>
        <v>DevOps</v>
      </c>
      <c r="BV374" s="3" t="s">
        <v>1082</v>
      </c>
      <c r="BW374" s="3" t="s">
        <v>1083</v>
      </c>
      <c r="CB374" s="19" t="s">
        <v>5703</v>
      </c>
      <c r="CC374" s="3" t="s">
        <v>1083</v>
      </c>
      <c r="CD374" s="3" t="s">
        <v>45</v>
      </c>
      <c r="CE374" s="54" t="str">
        <v>Not Found</v>
      </c>
      <c r="CG374" s="54" t="str">
        <f>IFERROR(_xlfn.XLOOKUP(Hiring!A374,Hiring!A374:A773,Hiring!B374:B773,,0),"Not Found")</f>
        <v>Soumya Parida</v>
      </c>
    </row>
    <row r="375" spans="2:85">
      <c r="B375" s="100"/>
      <c r="F375" s="4">
        <v>3.4</v>
      </c>
      <c r="G375" s="52" t="str" cm="1">
        <f t="array" ref="G375">_xlfn.IFS(F375&gt;=4.5,"Excellent",AND(F375&gt;=3.5,F375&lt;=4.4),"Good",F375&lt;3.5,"Needs Improvement")</f>
        <v>Needs Improvement</v>
      </c>
      <c r="M375" s="18">
        <v>25107</v>
      </c>
      <c r="N375" s="18">
        <v>27970</v>
      </c>
      <c r="O375" s="54" t="str">
        <f t="shared" si="119"/>
        <v>Yes</v>
      </c>
      <c r="Q375" s="18">
        <v>7.49</v>
      </c>
      <c r="R375" s="56" t="str">
        <f t="shared" si="107"/>
        <v>Yes</v>
      </c>
      <c r="W375" s="18" t="s">
        <v>1044</v>
      </c>
      <c r="X375" s="54" t="str">
        <f>VLOOKUP(W375,Employees!$A$1:$B$601,2,FALSE)</f>
        <v>Lipsa Senapati</v>
      </c>
      <c r="Z375" s="4" t="s">
        <v>1085</v>
      </c>
      <c r="AA375" s="54" t="str">
        <f t="shared" si="108"/>
        <v>0374</v>
      </c>
      <c r="AC375" s="4" t="s">
        <v>16</v>
      </c>
      <c r="AD375" s="54" t="str">
        <f t="shared" si="109"/>
        <v>Devops</v>
      </c>
      <c r="AF375" s="4" t="s">
        <v>1086</v>
      </c>
      <c r="AG375" s="4" t="s">
        <v>16</v>
      </c>
      <c r="AH375" s="4" t="s">
        <v>18</v>
      </c>
      <c r="AI375" s="54" t="str">
        <f t="shared" si="110"/>
        <v>Satyajit Sahoo|DevOps|CoastalDev Studio</v>
      </c>
      <c r="AK375" s="4" t="s">
        <v>1086</v>
      </c>
      <c r="AL375" s="38" t="str">
        <f t="shared" si="111"/>
        <v>S.S.</v>
      </c>
      <c r="AN375" s="18" t="s">
        <v>5025</v>
      </c>
      <c r="AO375" s="54" t="b">
        <f t="shared" si="112"/>
        <v>0</v>
      </c>
      <c r="AQ375" s="4" t="s">
        <v>1086</v>
      </c>
      <c r="AR375" s="52" t="str">
        <f t="shared" si="113"/>
        <v>NO</v>
      </c>
      <c r="AW375" s="54">
        <f ca="1">DATEDIF(BI375,TODAY(),"Y")</f>
        <v>7</v>
      </c>
      <c r="AX375" s="54"/>
      <c r="AY375" s="41" t="s">
        <v>5087</v>
      </c>
      <c r="AZ375" s="44">
        <f t="shared" si="114"/>
        <v>45094</v>
      </c>
      <c r="BA375" s="54" t="str">
        <f t="shared" si="115"/>
        <v>6-2023</v>
      </c>
      <c r="BH375" s="4" t="s">
        <v>1087</v>
      </c>
      <c r="BI375" s="51">
        <f t="shared" si="120"/>
        <v>43441</v>
      </c>
      <c r="BJ375" s="38">
        <f t="shared" ca="1" si="121"/>
        <v>2006</v>
      </c>
      <c r="BK375" s="38"/>
      <c r="BL375" s="38" t="str">
        <f t="shared" si="122"/>
        <v>No</v>
      </c>
      <c r="BM375" s="59">
        <f t="shared" si="116"/>
        <v>45094</v>
      </c>
      <c r="BN375" s="51">
        <f t="shared" si="123"/>
        <v>43441</v>
      </c>
      <c r="BO375" s="54">
        <f t="shared" si="117"/>
        <v>1653</v>
      </c>
      <c r="BP375" s="4" t="s">
        <v>1085</v>
      </c>
      <c r="BQ375" s="4" t="s">
        <v>16</v>
      </c>
      <c r="BR375" s="18" t="s">
        <v>1044</v>
      </c>
      <c r="BS375" s="18" t="s">
        <v>2967</v>
      </c>
      <c r="BT375" s="54" t="str">
        <f t="shared" si="118"/>
        <v>DevOps</v>
      </c>
      <c r="BV375" s="4" t="s">
        <v>1085</v>
      </c>
      <c r="BW375" s="4" t="s">
        <v>1086</v>
      </c>
      <c r="CB375" s="18" t="s">
        <v>854</v>
      </c>
      <c r="CC375" s="4" t="s">
        <v>1086</v>
      </c>
      <c r="CD375" s="4" t="s">
        <v>17</v>
      </c>
      <c r="CE375" s="54" t="str">
        <v>Software Engineer</v>
      </c>
      <c r="CG375" s="54" t="str">
        <f>IFERROR(_xlfn.XLOOKUP(Hiring!A375,Hiring!A375:A774,Hiring!B375:B774,,0),"Not Found")</f>
        <v>Tanmay Mishra</v>
      </c>
    </row>
    <row r="376" spans="2:85">
      <c r="B376" s="100"/>
      <c r="F376" s="3">
        <v>3.9</v>
      </c>
      <c r="G376" s="52" t="str" cm="1">
        <f t="array" ref="G376">_xlfn.IFS(F376&gt;=4.5,"Excellent",AND(F376&gt;=3.5,F376&lt;=4.4),"Good",F376&lt;3.5,"Needs Improvement")</f>
        <v>Good</v>
      </c>
      <c r="M376" s="19">
        <v>187419</v>
      </c>
      <c r="N376" s="19">
        <v>192224</v>
      </c>
      <c r="O376" s="54" t="str">
        <f t="shared" si="119"/>
        <v>Yes</v>
      </c>
      <c r="Q376" s="19">
        <v>8.59</v>
      </c>
      <c r="R376" s="56" t="str">
        <f t="shared" si="107"/>
        <v>Yes</v>
      </c>
      <c r="W376" s="19" t="s">
        <v>1044</v>
      </c>
      <c r="X376" s="54" t="str">
        <f>VLOOKUP(W376,Employees!$A$1:$B$601,2,FALSE)</f>
        <v>Lipsa Senapati</v>
      </c>
      <c r="Z376" s="3" t="s">
        <v>1088</v>
      </c>
      <c r="AA376" s="54" t="str">
        <f t="shared" si="108"/>
        <v>0375</v>
      </c>
      <c r="AC376" s="3" t="s">
        <v>176</v>
      </c>
      <c r="AD376" s="54" t="str">
        <f t="shared" si="109"/>
        <v>Finance</v>
      </c>
      <c r="AF376" s="3" t="s">
        <v>1089</v>
      </c>
      <c r="AG376" s="3" t="s">
        <v>176</v>
      </c>
      <c r="AH376" s="3" t="s">
        <v>172</v>
      </c>
      <c r="AI376" s="54" t="str">
        <f t="shared" si="110"/>
        <v>Aditya Nanda|Finance|TechNova Solutions</v>
      </c>
      <c r="AK376" s="3" t="s">
        <v>1089</v>
      </c>
      <c r="AL376" s="38" t="str">
        <f t="shared" si="111"/>
        <v>A.N.</v>
      </c>
      <c r="AN376" s="19" t="s">
        <v>5060</v>
      </c>
      <c r="AO376" s="54" t="str">
        <f t="shared" si="112"/>
        <v>Naukri</v>
      </c>
      <c r="AQ376" s="3" t="s">
        <v>1089</v>
      </c>
      <c r="AR376" s="52" t="str">
        <f t="shared" si="113"/>
        <v>NO</v>
      </c>
      <c r="AW376" s="54">
        <f ca="1">DATEDIF(BI376,TODAY(),"Y")</f>
        <v>4</v>
      </c>
      <c r="AX376" s="54"/>
      <c r="AY376" s="40" t="s">
        <v>5441</v>
      </c>
      <c r="AZ376" s="44">
        <f t="shared" si="114"/>
        <v>45087</v>
      </c>
      <c r="BA376" s="54" t="str">
        <f t="shared" si="115"/>
        <v>6-2023</v>
      </c>
      <c r="BH376" s="3" t="s">
        <v>1090</v>
      </c>
      <c r="BI376" s="51">
        <f t="shared" si="120"/>
        <v>44628</v>
      </c>
      <c r="BJ376" s="38">
        <f t="shared" ca="1" si="121"/>
        <v>1159</v>
      </c>
      <c r="BK376" s="38"/>
      <c r="BL376" s="38" t="str">
        <f t="shared" si="122"/>
        <v>Q1</v>
      </c>
      <c r="BM376" s="59">
        <f t="shared" si="116"/>
        <v>45087</v>
      </c>
      <c r="BN376" s="51">
        <f t="shared" si="123"/>
        <v>44628</v>
      </c>
      <c r="BO376" s="54">
        <f t="shared" si="117"/>
        <v>459</v>
      </c>
      <c r="BP376" s="3" t="s">
        <v>1088</v>
      </c>
      <c r="BQ376" s="3" t="s">
        <v>176</v>
      </c>
      <c r="BR376" s="19" t="s">
        <v>1044</v>
      </c>
      <c r="BS376" s="19" t="s">
        <v>2968</v>
      </c>
      <c r="BT376" s="54" t="str">
        <f t="shared" si="118"/>
        <v>DevOps</v>
      </c>
      <c r="BV376" s="3" t="s">
        <v>1088</v>
      </c>
      <c r="BW376" s="3" t="s">
        <v>1089</v>
      </c>
      <c r="CB376" s="19" t="s">
        <v>269</v>
      </c>
      <c r="CC376" s="3" t="s">
        <v>1089</v>
      </c>
      <c r="CD376" s="3" t="s">
        <v>359</v>
      </c>
      <c r="CE376" s="54" t="str">
        <v>Junior Developer</v>
      </c>
      <c r="CG376" s="54" t="str">
        <f>IFERROR(_xlfn.XLOOKUP(Hiring!A376,Hiring!A376:A775,Hiring!B376:B775,,0),"Not Found")</f>
        <v>Prasant Mishra</v>
      </c>
    </row>
    <row r="377" spans="2:85">
      <c r="B377" s="100"/>
      <c r="F377" s="4">
        <v>3.7</v>
      </c>
      <c r="G377" s="52" t="str" cm="1">
        <f t="array" ref="G377">_xlfn.IFS(F377&gt;=4.5,"Excellent",AND(F377&gt;=3.5,F377&lt;=4.4),"Good",F377&lt;3.5,"Needs Improvement")</f>
        <v>Good</v>
      </c>
      <c r="M377" s="18">
        <v>66360</v>
      </c>
      <c r="N377" s="18">
        <v>67260</v>
      </c>
      <c r="O377" s="54" t="str">
        <f t="shared" si="119"/>
        <v>Yes</v>
      </c>
      <c r="Q377" s="18">
        <v>7.86</v>
      </c>
      <c r="R377" s="56" t="str">
        <f t="shared" si="107"/>
        <v>Yes</v>
      </c>
      <c r="W377" s="18" t="s">
        <v>1044</v>
      </c>
      <c r="X377" s="54" t="str">
        <f>VLOOKUP(W377,Employees!$A$1:$B$601,2,FALSE)</f>
        <v>Lipsa Senapati</v>
      </c>
      <c r="Z377" s="4" t="s">
        <v>1091</v>
      </c>
      <c r="AA377" s="54" t="str">
        <f t="shared" si="108"/>
        <v>0376</v>
      </c>
      <c r="AC377" s="4" t="s">
        <v>133</v>
      </c>
      <c r="AD377" s="54" t="str">
        <f t="shared" si="109"/>
        <v>Qa</v>
      </c>
      <c r="AF377" s="4" t="s">
        <v>306</v>
      </c>
      <c r="AG377" s="4" t="s">
        <v>133</v>
      </c>
      <c r="AH377" s="4" t="s">
        <v>214</v>
      </c>
      <c r="AI377" s="54" t="str">
        <f t="shared" si="110"/>
        <v>Bikash Behura|QA|ZeroOneSystems</v>
      </c>
      <c r="AK377" s="4" t="s">
        <v>306</v>
      </c>
      <c r="AL377" s="38" t="str">
        <f t="shared" si="111"/>
        <v>B.B.</v>
      </c>
      <c r="AN377" s="18" t="s">
        <v>5016</v>
      </c>
      <c r="AO377" s="54" t="b">
        <f t="shared" si="112"/>
        <v>0</v>
      </c>
      <c r="AQ377" s="4" t="s">
        <v>306</v>
      </c>
      <c r="AR377" s="52" t="str">
        <f t="shared" si="113"/>
        <v>NO</v>
      </c>
      <c r="AW377" s="54">
        <f ca="1">DATEDIF(BI377,TODAY(),"Y")</f>
        <v>3</v>
      </c>
      <c r="AX377" s="54"/>
      <c r="AY377" s="41" t="s">
        <v>5707</v>
      </c>
      <c r="AZ377" s="44">
        <f t="shared" si="114"/>
        <v>45477</v>
      </c>
      <c r="BA377" s="54" t="str">
        <f t="shared" si="115"/>
        <v>7-2024</v>
      </c>
      <c r="BH377" s="4" t="s">
        <v>1092</v>
      </c>
      <c r="BI377" s="51">
        <f t="shared" si="120"/>
        <v>45137</v>
      </c>
      <c r="BJ377" s="38">
        <f t="shared" ca="1" si="121"/>
        <v>795</v>
      </c>
      <c r="BK377" s="38"/>
      <c r="BL377" s="38" t="str">
        <f t="shared" si="122"/>
        <v>No</v>
      </c>
      <c r="BM377" s="59">
        <f t="shared" si="116"/>
        <v>45477</v>
      </c>
      <c r="BN377" s="51">
        <f t="shared" si="123"/>
        <v>45137</v>
      </c>
      <c r="BO377" s="54">
        <f t="shared" si="117"/>
        <v>340</v>
      </c>
      <c r="BP377" s="4" t="s">
        <v>1091</v>
      </c>
      <c r="BQ377" s="4" t="s">
        <v>133</v>
      </c>
      <c r="BR377" s="18" t="s">
        <v>1044</v>
      </c>
      <c r="BS377" s="18" t="s">
        <v>2970</v>
      </c>
      <c r="BT377" s="54" t="str">
        <f t="shared" si="118"/>
        <v>DevOps</v>
      </c>
      <c r="BV377" s="4" t="s">
        <v>1091</v>
      </c>
      <c r="BW377" s="4" t="s">
        <v>306</v>
      </c>
      <c r="CB377" s="18" t="s">
        <v>479</v>
      </c>
      <c r="CC377" s="4" t="s">
        <v>306</v>
      </c>
      <c r="CD377" s="4" t="s">
        <v>153</v>
      </c>
      <c r="CE377" s="54" t="str">
        <v>Talent Acquisition</v>
      </c>
      <c r="CG377" s="54" t="str">
        <f>IFERROR(_xlfn.XLOOKUP(Hiring!A377,Hiring!A377:A776,Hiring!B377:B776,,0),"Not Found")</f>
        <v>Puspita Routray</v>
      </c>
    </row>
    <row r="378" spans="2:85">
      <c r="B378" s="100"/>
      <c r="F378" s="3">
        <v>1.9</v>
      </c>
      <c r="G378" s="52" t="str" cm="1">
        <f t="array" ref="G378">_xlfn.IFS(F378&gt;=4.5,"Excellent",AND(F378&gt;=3.5,F378&lt;=4.4),"Good",F378&lt;3.5,"Needs Improvement")</f>
        <v>Needs Improvement</v>
      </c>
      <c r="M378" s="19">
        <v>68976</v>
      </c>
      <c r="N378" s="19">
        <v>63966</v>
      </c>
      <c r="O378" s="54" t="str">
        <f t="shared" si="119"/>
        <v>Yes</v>
      </c>
      <c r="Q378" s="19">
        <v>9.9</v>
      </c>
      <c r="R378" s="56" t="str">
        <f t="shared" si="107"/>
        <v>Yes</v>
      </c>
      <c r="W378" s="19" t="s">
        <v>1044</v>
      </c>
      <c r="X378" s="54" t="str">
        <f>VLOOKUP(W378,Employees!$A$1:$B$601,2,FALSE)</f>
        <v>Lipsa Senapati</v>
      </c>
      <c r="Z378" s="3" t="s">
        <v>1093</v>
      </c>
      <c r="AA378" s="54" t="str">
        <f t="shared" si="108"/>
        <v>0377</v>
      </c>
      <c r="AC378" s="3" t="s">
        <v>89</v>
      </c>
      <c r="AD378" s="54" t="str">
        <f t="shared" si="109"/>
        <v>Data Science</v>
      </c>
      <c r="AF378" s="3" t="s">
        <v>375</v>
      </c>
      <c r="AG378" s="3" t="s">
        <v>89</v>
      </c>
      <c r="AH378" s="3" t="s">
        <v>32</v>
      </c>
      <c r="AI378" s="54" t="str">
        <f t="shared" si="110"/>
        <v>Sangita Parida|Data Science|NilGiri Digitals</v>
      </c>
      <c r="AK378" s="3" t="s">
        <v>375</v>
      </c>
      <c r="AL378" s="38" t="str">
        <f t="shared" si="111"/>
        <v>S.P.</v>
      </c>
      <c r="AN378" s="19" t="s">
        <v>5031</v>
      </c>
      <c r="AO378" s="54" t="b">
        <f t="shared" si="112"/>
        <v>0</v>
      </c>
      <c r="AQ378" s="3" t="s">
        <v>375</v>
      </c>
      <c r="AR378" s="52" t="str">
        <f t="shared" si="113"/>
        <v>NO</v>
      </c>
      <c r="AW378" s="54">
        <f ca="1">DATEDIF(BI378,TODAY(),"Y")</f>
        <v>6</v>
      </c>
      <c r="AX378" s="54"/>
      <c r="AY378" s="40" t="s">
        <v>1207</v>
      </c>
      <c r="AZ378" s="44">
        <f t="shared" si="114"/>
        <v>44939</v>
      </c>
      <c r="BA378" s="54" t="str">
        <f t="shared" si="115"/>
        <v>1-2023</v>
      </c>
      <c r="BH378" s="3" t="s">
        <v>1094</v>
      </c>
      <c r="BI378" s="51">
        <f t="shared" si="120"/>
        <v>43741</v>
      </c>
      <c r="BJ378" s="38">
        <f t="shared" ca="1" si="121"/>
        <v>1792</v>
      </c>
      <c r="BK378" s="38"/>
      <c r="BL378" s="38" t="str">
        <f t="shared" si="122"/>
        <v>No</v>
      </c>
      <c r="BM378" s="59">
        <f t="shared" si="116"/>
        <v>44939</v>
      </c>
      <c r="BN378" s="51">
        <f t="shared" si="123"/>
        <v>43741</v>
      </c>
      <c r="BO378" s="54">
        <f t="shared" si="117"/>
        <v>1198</v>
      </c>
      <c r="BP378" s="3" t="s">
        <v>1093</v>
      </c>
      <c r="BQ378" s="3" t="s">
        <v>89</v>
      </c>
      <c r="BR378" s="19" t="s">
        <v>1044</v>
      </c>
      <c r="BS378" s="19" t="s">
        <v>2971</v>
      </c>
      <c r="BT378" s="54" t="str">
        <f t="shared" si="118"/>
        <v>DevOps</v>
      </c>
      <c r="BV378" s="3" t="s">
        <v>1093</v>
      </c>
      <c r="BW378" s="3" t="s">
        <v>375</v>
      </c>
      <c r="CB378" s="19" t="s">
        <v>5709</v>
      </c>
      <c r="CC378" s="3" t="s">
        <v>375</v>
      </c>
      <c r="CD378" s="3" t="s">
        <v>90</v>
      </c>
      <c r="CE378" s="54" t="str">
        <v>Not Found</v>
      </c>
      <c r="CG378" s="54" t="str">
        <f>IFERROR(_xlfn.XLOOKUP(Hiring!A378,Hiring!A378:A777,Hiring!B378:B777,,0),"Not Found")</f>
        <v>Bikash Padhi</v>
      </c>
    </row>
    <row r="379" spans="2:85">
      <c r="B379" s="100"/>
      <c r="F379" s="4">
        <v>4.2</v>
      </c>
      <c r="G379" s="52" t="str" cm="1">
        <f t="array" ref="G379">_xlfn.IFS(F379&gt;=4.5,"Excellent",AND(F379&gt;=3.5,F379&lt;=4.4),"Good",F379&lt;3.5,"Needs Improvement")</f>
        <v>Good</v>
      </c>
      <c r="M379" s="18">
        <v>23871</v>
      </c>
      <c r="N379" s="18">
        <v>27250</v>
      </c>
      <c r="O379" s="54" t="str">
        <f t="shared" si="119"/>
        <v>Yes</v>
      </c>
      <c r="Q379" s="18">
        <v>9.4499999999999993</v>
      </c>
      <c r="R379" s="56" t="str">
        <f t="shared" si="107"/>
        <v>Yes</v>
      </c>
      <c r="W379" s="18" t="s">
        <v>1044</v>
      </c>
      <c r="X379" s="54" t="str">
        <f>VLOOKUP(W379,Employees!$A$1:$B$601,2,FALSE)</f>
        <v>Lipsa Senapati</v>
      </c>
      <c r="Z379" s="4" t="s">
        <v>1095</v>
      </c>
      <c r="AA379" s="54" t="str">
        <f t="shared" si="108"/>
        <v>0378</v>
      </c>
      <c r="AC379" s="4" t="s">
        <v>410</v>
      </c>
      <c r="AD379" s="54" t="str">
        <f t="shared" si="109"/>
        <v>Sales</v>
      </c>
      <c r="AF379" s="4" t="s">
        <v>1096</v>
      </c>
      <c r="AG379" s="4" t="s">
        <v>410</v>
      </c>
      <c r="AH379" s="4" t="s">
        <v>75</v>
      </c>
      <c r="AI379" s="54" t="str">
        <f t="shared" si="110"/>
        <v>Ankita Mahapatra|sales|KalingaTech Pvt Ltd</v>
      </c>
      <c r="AK379" s="4" t="s">
        <v>1096</v>
      </c>
      <c r="AL379" s="38" t="str">
        <f t="shared" si="111"/>
        <v>A.M.</v>
      </c>
      <c r="AN379" s="18" t="s">
        <v>5019</v>
      </c>
      <c r="AO379" s="54" t="str">
        <f t="shared" si="112"/>
        <v>Linkedln</v>
      </c>
      <c r="AQ379" s="4" t="s">
        <v>1096</v>
      </c>
      <c r="AR379" s="52" t="str">
        <f t="shared" si="113"/>
        <v>NO</v>
      </c>
      <c r="AW379" s="54">
        <f ca="1">DATEDIF(BI379,TODAY(),"Y")</f>
        <v>2</v>
      </c>
      <c r="AX379" s="54"/>
      <c r="AY379" s="41" t="s">
        <v>2042</v>
      </c>
      <c r="AZ379" s="44">
        <f t="shared" si="114"/>
        <v>45131</v>
      </c>
      <c r="BA379" s="54" t="str">
        <f t="shared" si="115"/>
        <v>7-2023</v>
      </c>
      <c r="BH379" s="4" t="s">
        <v>1097</v>
      </c>
      <c r="BI379" s="51">
        <f t="shared" si="120"/>
        <v>45169</v>
      </c>
      <c r="BJ379" s="38">
        <f t="shared" ca="1" si="121"/>
        <v>772</v>
      </c>
      <c r="BK379" s="38"/>
      <c r="BL379" s="38" t="str">
        <f t="shared" si="122"/>
        <v>No</v>
      </c>
      <c r="BM379" s="59">
        <f t="shared" si="116"/>
        <v>45131</v>
      </c>
      <c r="BN379" s="51">
        <f t="shared" si="123"/>
        <v>45169</v>
      </c>
      <c r="BO379" s="54">
        <f t="shared" si="117"/>
        <v>38</v>
      </c>
      <c r="BP379" s="4" t="s">
        <v>1095</v>
      </c>
      <c r="BQ379" s="4" t="s">
        <v>410</v>
      </c>
      <c r="BR379" s="18" t="s">
        <v>1044</v>
      </c>
      <c r="BS379" s="18" t="s">
        <v>2972</v>
      </c>
      <c r="BT379" s="54" t="str">
        <f t="shared" si="118"/>
        <v>DevOps</v>
      </c>
      <c r="BV379" s="4" t="s">
        <v>1095</v>
      </c>
      <c r="BW379" s="4" t="s">
        <v>1096</v>
      </c>
      <c r="CB379" s="18" t="s">
        <v>613</v>
      </c>
      <c r="CC379" s="4" t="s">
        <v>1096</v>
      </c>
      <c r="CD379" s="4" t="s">
        <v>52</v>
      </c>
      <c r="CE379" s="54" t="str">
        <v>Senior Developer</v>
      </c>
      <c r="CG379" s="54" t="str">
        <f>IFERROR(_xlfn.XLOOKUP(Hiring!A379,Hiring!A379:A778,Hiring!B379:B778,,0),"Not Found")</f>
        <v>Ankita Parida</v>
      </c>
    </row>
    <row r="380" spans="2:85">
      <c r="B380" s="100"/>
      <c r="F380" s="3">
        <v>2.5</v>
      </c>
      <c r="G380" s="52" t="str" cm="1">
        <f t="array" ref="G380">_xlfn.IFS(F380&gt;=4.5,"Excellent",AND(F380&gt;=3.5,F380&lt;=4.4),"Good",F380&lt;3.5,"Needs Improvement")</f>
        <v>Needs Improvement</v>
      </c>
      <c r="M380" s="19">
        <v>25181</v>
      </c>
      <c r="N380" s="19">
        <v>22422</v>
      </c>
      <c r="O380" s="54" t="str">
        <f t="shared" si="119"/>
        <v>Yes</v>
      </c>
      <c r="Q380" s="19">
        <v>10.87</v>
      </c>
      <c r="R380" s="56" t="str">
        <f t="shared" si="107"/>
        <v>Yes</v>
      </c>
      <c r="W380" s="19" t="s">
        <v>1044</v>
      </c>
      <c r="X380" s="54" t="str">
        <f>VLOOKUP(W380,Employees!$A$1:$B$601,2,FALSE)</f>
        <v>Lipsa Senapati</v>
      </c>
      <c r="Z380" s="3" t="s">
        <v>1098</v>
      </c>
      <c r="AA380" s="54" t="str">
        <f t="shared" si="108"/>
        <v>0379</v>
      </c>
      <c r="AC380" s="3" t="s">
        <v>16</v>
      </c>
      <c r="AD380" s="54" t="str">
        <f t="shared" si="109"/>
        <v>Devops</v>
      </c>
      <c r="AF380" s="3" t="s">
        <v>112</v>
      </c>
      <c r="AG380" s="3" t="s">
        <v>16</v>
      </c>
      <c r="AH380" s="3" t="s">
        <v>172</v>
      </c>
      <c r="AI380" s="54" t="str">
        <f t="shared" si="110"/>
        <v>Lipsa Behura|DevOps|TechNova Solutions</v>
      </c>
      <c r="AK380" s="3" t="s">
        <v>112</v>
      </c>
      <c r="AL380" s="38" t="str">
        <f t="shared" si="111"/>
        <v>L.B.</v>
      </c>
      <c r="AN380" s="19" t="s">
        <v>5031</v>
      </c>
      <c r="AO380" s="54" t="b">
        <f t="shared" si="112"/>
        <v>0</v>
      </c>
      <c r="AQ380" s="3" t="s">
        <v>112</v>
      </c>
      <c r="AR380" s="52" t="str">
        <f t="shared" si="113"/>
        <v>NO</v>
      </c>
      <c r="AW380" s="54">
        <f ca="1">DATEDIF(BI380,TODAY(),"Y")</f>
        <v>3</v>
      </c>
      <c r="AX380" s="54"/>
      <c r="AY380" s="40" t="s">
        <v>270</v>
      </c>
      <c r="AZ380" s="44">
        <f t="shared" si="114"/>
        <v>45294</v>
      </c>
      <c r="BA380" s="54" t="str">
        <f t="shared" si="115"/>
        <v>1-2024</v>
      </c>
      <c r="BH380" s="3" t="s">
        <v>1099</v>
      </c>
      <c r="BI380" s="51">
        <f t="shared" si="120"/>
        <v>44919</v>
      </c>
      <c r="BJ380" s="38">
        <f t="shared" ca="1" si="121"/>
        <v>950</v>
      </c>
      <c r="BK380" s="38"/>
      <c r="BL380" s="38" t="str">
        <f t="shared" si="122"/>
        <v>No</v>
      </c>
      <c r="BM380" s="59">
        <f t="shared" si="116"/>
        <v>45294</v>
      </c>
      <c r="BN380" s="51">
        <f t="shared" si="123"/>
        <v>44919</v>
      </c>
      <c r="BO380" s="54">
        <f t="shared" si="117"/>
        <v>375</v>
      </c>
      <c r="BP380" s="3" t="s">
        <v>1098</v>
      </c>
      <c r="BQ380" s="3" t="s">
        <v>16</v>
      </c>
      <c r="BR380" s="19" t="s">
        <v>1044</v>
      </c>
      <c r="BS380" s="19" t="s">
        <v>2973</v>
      </c>
      <c r="BT380" s="54" t="str">
        <f t="shared" si="118"/>
        <v>DevOps</v>
      </c>
      <c r="BV380" s="3" t="s">
        <v>1098</v>
      </c>
      <c r="BW380" s="3" t="s">
        <v>112</v>
      </c>
      <c r="CB380" s="19" t="s">
        <v>5523</v>
      </c>
      <c r="CC380" s="3" t="s">
        <v>112</v>
      </c>
      <c r="CD380" s="3" t="s">
        <v>335</v>
      </c>
      <c r="CE380" s="54" t="str">
        <v>Not Found</v>
      </c>
      <c r="CG380" s="54" t="str">
        <f>IFERROR(_xlfn.XLOOKUP(Hiring!A380,Hiring!A380:A779,Hiring!B380:B779,,0),"Not Found")</f>
        <v>Satyajit Parida</v>
      </c>
    </row>
    <row r="381" spans="2:85">
      <c r="B381" s="100"/>
      <c r="F381" s="4">
        <v>2.5</v>
      </c>
      <c r="G381" s="52" t="str" cm="1">
        <f t="array" ref="G381">_xlfn.IFS(F381&gt;=4.5,"Excellent",AND(F381&gt;=3.5,F381&lt;=4.4),"Good",F381&lt;3.5,"Needs Improvement")</f>
        <v>Needs Improvement</v>
      </c>
      <c r="M381" s="18">
        <v>118238</v>
      </c>
      <c r="N381" s="18">
        <v>134467</v>
      </c>
      <c r="O381" s="54" t="str">
        <f t="shared" si="119"/>
        <v>Yes</v>
      </c>
      <c r="Q381" s="18">
        <v>8.77</v>
      </c>
      <c r="R381" s="56" t="str">
        <f t="shared" si="107"/>
        <v>Yes</v>
      </c>
      <c r="W381" s="18" t="s">
        <v>1044</v>
      </c>
      <c r="X381" s="54" t="str">
        <f>VLOOKUP(W381,Employees!$A$1:$B$601,2,FALSE)</f>
        <v>Lipsa Senapati</v>
      </c>
      <c r="Z381" s="4" t="s">
        <v>1100</v>
      </c>
      <c r="AA381" s="54" t="str">
        <f t="shared" si="108"/>
        <v>0380</v>
      </c>
      <c r="AC381" s="4" t="s">
        <v>16</v>
      </c>
      <c r="AD381" s="54" t="str">
        <f t="shared" si="109"/>
        <v>Devops</v>
      </c>
      <c r="AF381" s="4" t="s">
        <v>607</v>
      </c>
      <c r="AG381" s="4" t="s">
        <v>16</v>
      </c>
      <c r="AH381" s="4" t="s">
        <v>46</v>
      </c>
      <c r="AI381" s="54" t="str">
        <f t="shared" si="110"/>
        <v>Ranjit Sahoo|DevOps|SambalpurNet</v>
      </c>
      <c r="AK381" s="4" t="s">
        <v>607</v>
      </c>
      <c r="AL381" s="38" t="str">
        <f t="shared" si="111"/>
        <v>R.S.</v>
      </c>
      <c r="AN381" s="18" t="s">
        <v>5016</v>
      </c>
      <c r="AO381" s="54" t="b">
        <f t="shared" si="112"/>
        <v>0</v>
      </c>
      <c r="AQ381" s="4" t="s">
        <v>607</v>
      </c>
      <c r="AR381" s="52" t="str">
        <f t="shared" si="113"/>
        <v>NO</v>
      </c>
      <c r="AW381" s="54">
        <f ca="1">DATEDIF(BI381,TODAY(),"Y")</f>
        <v>5</v>
      </c>
      <c r="AX381" s="54"/>
      <c r="AY381" s="41" t="s">
        <v>5713</v>
      </c>
      <c r="AZ381" s="44">
        <f t="shared" si="114"/>
        <v>45333</v>
      </c>
      <c r="BA381" s="54" t="str">
        <f t="shared" si="115"/>
        <v>2-2024</v>
      </c>
      <c r="BH381" s="4" t="s">
        <v>1101</v>
      </c>
      <c r="BI381" s="51">
        <f t="shared" si="120"/>
        <v>44191</v>
      </c>
      <c r="BJ381" s="38">
        <f t="shared" ca="1" si="121"/>
        <v>1470</v>
      </c>
      <c r="BK381" s="38"/>
      <c r="BL381" s="38" t="str">
        <f t="shared" si="122"/>
        <v>No</v>
      </c>
      <c r="BM381" s="59">
        <f t="shared" si="116"/>
        <v>45333</v>
      </c>
      <c r="BN381" s="51">
        <f t="shared" si="123"/>
        <v>44191</v>
      </c>
      <c r="BO381" s="54">
        <f t="shared" si="117"/>
        <v>1142</v>
      </c>
      <c r="BP381" s="4" t="s">
        <v>1100</v>
      </c>
      <c r="BQ381" s="4" t="s">
        <v>16</v>
      </c>
      <c r="BR381" s="18" t="s">
        <v>1044</v>
      </c>
      <c r="BS381" s="18" t="s">
        <v>2975</v>
      </c>
      <c r="BT381" s="54" t="str">
        <f t="shared" si="118"/>
        <v>DevOps</v>
      </c>
      <c r="BV381" s="4" t="s">
        <v>1100</v>
      </c>
      <c r="BW381" s="4" t="s">
        <v>607</v>
      </c>
      <c r="CB381" s="18" t="s">
        <v>5422</v>
      </c>
      <c r="CC381" s="4" t="s">
        <v>607</v>
      </c>
      <c r="CD381" s="4" t="s">
        <v>17</v>
      </c>
      <c r="CE381" s="54" t="str">
        <v>Not Found</v>
      </c>
      <c r="CG381" s="54" t="str">
        <f>IFERROR(_xlfn.XLOOKUP(Hiring!A381,Hiring!A381:A780,Hiring!B381:B780,,0),"Not Found")</f>
        <v>Amlan Mohapatra</v>
      </c>
    </row>
    <row r="382" spans="2:85">
      <c r="B382" s="100"/>
      <c r="F382" s="3">
        <v>4.9000000000000004</v>
      </c>
      <c r="G382" s="52" t="str" cm="1">
        <f t="array" ref="G382">_xlfn.IFS(F382&gt;=4.5,"Excellent",AND(F382&gt;=3.5,F382&lt;=4.4),"Good",F382&lt;3.5,"Needs Improvement")</f>
        <v>Excellent</v>
      </c>
      <c r="M382" s="19"/>
      <c r="N382" s="19">
        <v>121143</v>
      </c>
      <c r="O382" s="54" t="str">
        <f t="shared" si="119"/>
        <v>Yes</v>
      </c>
      <c r="Q382" s="19">
        <v>9.1999999999999993</v>
      </c>
      <c r="R382" s="56" t="str">
        <f t="shared" si="107"/>
        <v>Yes</v>
      </c>
      <c r="W382" s="19" t="s">
        <v>1044</v>
      </c>
      <c r="X382" s="54" t="str">
        <f>VLOOKUP(W382,Employees!$A$1:$B$601,2,FALSE)</f>
        <v>Lipsa Senapati</v>
      </c>
      <c r="Z382" s="3" t="s">
        <v>1102</v>
      </c>
      <c r="AA382" s="54" t="str">
        <f t="shared" si="108"/>
        <v>0381</v>
      </c>
      <c r="AC382" s="3" t="s">
        <v>118</v>
      </c>
      <c r="AD382" s="54" t="str">
        <f t="shared" si="109"/>
        <v>Marketing</v>
      </c>
      <c r="AF382" s="3" t="s">
        <v>1103</v>
      </c>
      <c r="AG382" s="3" t="s">
        <v>118</v>
      </c>
      <c r="AH382" s="3" t="s">
        <v>53</v>
      </c>
      <c r="AI382" s="54" t="str">
        <f t="shared" si="110"/>
        <v>Dibya Mohapatra|Marketing|BlueLotus IT</v>
      </c>
      <c r="AK382" s="3" t="s">
        <v>1103</v>
      </c>
      <c r="AL382" s="38" t="str">
        <f t="shared" si="111"/>
        <v>D.M.</v>
      </c>
      <c r="AN382" s="19" t="s">
        <v>5019</v>
      </c>
      <c r="AO382" s="54" t="str">
        <f t="shared" si="112"/>
        <v>Linkedln</v>
      </c>
      <c r="AQ382" s="3" t="s">
        <v>1103</v>
      </c>
      <c r="AR382" s="52" t="str">
        <f t="shared" si="113"/>
        <v>NO</v>
      </c>
      <c r="AW382" s="54">
        <f ca="1">DATEDIF(BI382,TODAY(),"Y")</f>
        <v>4</v>
      </c>
      <c r="AX382" s="54"/>
      <c r="AY382" s="40" t="s">
        <v>480</v>
      </c>
      <c r="AZ382" s="44">
        <f t="shared" si="114"/>
        <v>45195</v>
      </c>
      <c r="BA382" s="54" t="str">
        <f t="shared" si="115"/>
        <v>9-2023</v>
      </c>
      <c r="BH382" s="3" t="s">
        <v>1104</v>
      </c>
      <c r="BI382" s="51">
        <f t="shared" si="120"/>
        <v>44760</v>
      </c>
      <c r="BJ382" s="38">
        <f t="shared" ca="1" si="121"/>
        <v>1065</v>
      </c>
      <c r="BK382" s="38"/>
      <c r="BL382" s="38" t="str">
        <f t="shared" si="122"/>
        <v>No</v>
      </c>
      <c r="BM382" s="59">
        <f t="shared" si="116"/>
        <v>45195</v>
      </c>
      <c r="BN382" s="51">
        <f t="shared" si="123"/>
        <v>44760</v>
      </c>
      <c r="BO382" s="54">
        <f t="shared" si="117"/>
        <v>435</v>
      </c>
      <c r="BP382" s="3" t="s">
        <v>1102</v>
      </c>
      <c r="BQ382" s="3" t="s">
        <v>118</v>
      </c>
      <c r="BR382" s="19" t="s">
        <v>1044</v>
      </c>
      <c r="BS382" s="19" t="s">
        <v>2976</v>
      </c>
      <c r="BT382" s="54" t="str">
        <f t="shared" si="118"/>
        <v>DevOps</v>
      </c>
      <c r="BV382" s="3" t="s">
        <v>1102</v>
      </c>
      <c r="BW382" s="3" t="s">
        <v>1103</v>
      </c>
      <c r="CB382" s="19" t="s">
        <v>561</v>
      </c>
      <c r="CC382" s="3" t="s">
        <v>1103</v>
      </c>
      <c r="CD382" s="3" t="s">
        <v>181</v>
      </c>
      <c r="CE382" s="54" t="str">
        <v>Data Analyst</v>
      </c>
      <c r="CG382" s="54" t="str">
        <f>IFERROR(_xlfn.XLOOKUP(Hiring!A382,Hiring!A382:A781,Hiring!B382:B781,,0),"Not Found")</f>
        <v>Soumya Tripathy</v>
      </c>
    </row>
    <row r="383" spans="2:85">
      <c r="B383" s="100"/>
      <c r="F383" s="4">
        <v>2.4</v>
      </c>
      <c r="G383" s="52" t="str" cm="1">
        <f t="array" ref="G383">_xlfn.IFS(F383&gt;=4.5,"Excellent",AND(F383&gt;=3.5,F383&lt;=4.4),"Good",F383&lt;3.5,"Needs Improvement")</f>
        <v>Needs Improvement</v>
      </c>
      <c r="M383" s="18">
        <v>173809</v>
      </c>
      <c r="N383" s="18">
        <v>168827</v>
      </c>
      <c r="O383" s="54" t="str">
        <f t="shared" si="119"/>
        <v>Yes</v>
      </c>
      <c r="Q383" s="18">
        <v>8.8699999999999992</v>
      </c>
      <c r="R383" s="56" t="str">
        <f t="shared" si="107"/>
        <v>Yes</v>
      </c>
      <c r="W383" s="18" t="s">
        <v>1044</v>
      </c>
      <c r="X383" s="54" t="str">
        <f>VLOOKUP(W383,Employees!$A$1:$B$601,2,FALSE)</f>
        <v>Lipsa Senapati</v>
      </c>
      <c r="Z383" s="4" t="s">
        <v>1105</v>
      </c>
      <c r="AA383" s="54" t="str">
        <f t="shared" si="108"/>
        <v>0382</v>
      </c>
      <c r="AC383" s="4" t="s">
        <v>84</v>
      </c>
      <c r="AD383" s="54" t="str">
        <f t="shared" si="109"/>
        <v>Hr</v>
      </c>
      <c r="AF383" s="4" t="s">
        <v>944</v>
      </c>
      <c r="AG383" s="4" t="s">
        <v>84</v>
      </c>
      <c r="AH383" s="4" t="s">
        <v>214</v>
      </c>
      <c r="AI383" s="54" t="str">
        <f t="shared" si="110"/>
        <v>Lipsa Padhi|HR|ZeroOneSystems</v>
      </c>
      <c r="AK383" s="4" t="s">
        <v>944</v>
      </c>
      <c r="AL383" s="38" t="str">
        <f t="shared" si="111"/>
        <v>L.P.</v>
      </c>
      <c r="AN383" s="18" t="s">
        <v>5019</v>
      </c>
      <c r="AO383" s="54" t="str">
        <f t="shared" si="112"/>
        <v>Linkedln</v>
      </c>
      <c r="AQ383" s="4" t="s">
        <v>944</v>
      </c>
      <c r="AR383" s="52" t="str">
        <f t="shared" si="113"/>
        <v>NO</v>
      </c>
      <c r="AW383" s="54">
        <f ca="1">DATEDIF(BI383,TODAY(),"Y")</f>
        <v>3</v>
      </c>
      <c r="AX383" s="54"/>
      <c r="AY383" s="41" t="s">
        <v>5716</v>
      </c>
      <c r="AZ383" s="44">
        <f t="shared" si="114"/>
        <v>45396</v>
      </c>
      <c r="BA383" s="54" t="str">
        <f t="shared" si="115"/>
        <v>4-2024</v>
      </c>
      <c r="BH383" s="4" t="s">
        <v>1106</v>
      </c>
      <c r="BI383" s="51">
        <f t="shared" si="120"/>
        <v>45056</v>
      </c>
      <c r="BJ383" s="38">
        <f t="shared" ca="1" si="121"/>
        <v>853</v>
      </c>
      <c r="BK383" s="38"/>
      <c r="BL383" s="38" t="str">
        <f t="shared" si="122"/>
        <v>No</v>
      </c>
      <c r="BM383" s="59">
        <f t="shared" si="116"/>
        <v>45396</v>
      </c>
      <c r="BN383" s="51">
        <f t="shared" si="123"/>
        <v>45056</v>
      </c>
      <c r="BO383" s="54">
        <f t="shared" si="117"/>
        <v>340</v>
      </c>
      <c r="BP383" s="4" t="s">
        <v>1105</v>
      </c>
      <c r="BQ383" s="4" t="s">
        <v>84</v>
      </c>
      <c r="BR383" s="18" t="s">
        <v>1044</v>
      </c>
      <c r="BS383" s="18" t="s">
        <v>2978</v>
      </c>
      <c r="BT383" s="54" t="str">
        <f t="shared" si="118"/>
        <v>DevOps</v>
      </c>
      <c r="BV383" s="4" t="s">
        <v>1105</v>
      </c>
      <c r="BW383" s="4" t="s">
        <v>944</v>
      </c>
      <c r="CB383" s="18" t="s">
        <v>1057</v>
      </c>
      <c r="CC383" s="4" t="s">
        <v>944</v>
      </c>
      <c r="CD383" s="4" t="s">
        <v>85</v>
      </c>
      <c r="CE383" s="54" t="str">
        <v>ML Engineer</v>
      </c>
      <c r="CG383" s="54" t="str">
        <f>IFERROR(_xlfn.XLOOKUP(Hiring!A383,Hiring!A383:A782,Hiring!B383:B782,,0),"Not Found")</f>
        <v>Namita Choudhury</v>
      </c>
    </row>
    <row r="384" spans="2:85">
      <c r="B384" s="100"/>
      <c r="F384" s="3">
        <v>1.9</v>
      </c>
      <c r="G384" s="52" t="str" cm="1">
        <f t="array" ref="G384">_xlfn.IFS(F384&gt;=4.5,"Excellent",AND(F384&gt;=3.5,F384&lt;=4.4),"Good",F384&lt;3.5,"Needs Improvement")</f>
        <v>Needs Improvement</v>
      </c>
      <c r="M384" s="19"/>
      <c r="N384" s="19">
        <v>31193</v>
      </c>
      <c r="O384" s="54" t="str">
        <f t="shared" si="119"/>
        <v>Yes</v>
      </c>
      <c r="Q384" s="19">
        <v>6.94</v>
      </c>
      <c r="R384" s="56" t="str">
        <f t="shared" si="107"/>
        <v>Yes</v>
      </c>
      <c r="W384" s="19" t="s">
        <v>1044</v>
      </c>
      <c r="X384" s="54" t="str">
        <f>VLOOKUP(W384,Employees!$A$1:$B$601,2,FALSE)</f>
        <v>Lipsa Senapati</v>
      </c>
      <c r="Z384" s="3" t="s">
        <v>1107</v>
      </c>
      <c r="AA384" s="54" t="str">
        <f t="shared" si="108"/>
        <v>0383</v>
      </c>
      <c r="AC384" s="3" t="s">
        <v>24</v>
      </c>
      <c r="AD384" s="54" t="str">
        <f t="shared" si="109"/>
        <v>Design</v>
      </c>
      <c r="AF384" s="3" t="s">
        <v>1108</v>
      </c>
      <c r="AG384" s="3" t="s">
        <v>24</v>
      </c>
      <c r="AH384" s="3" t="s">
        <v>53</v>
      </c>
      <c r="AI384" s="54" t="str">
        <f t="shared" si="110"/>
        <v>Chinmaya Pattnaik|Design|BlueLotus IT</v>
      </c>
      <c r="AK384" s="3" t="s">
        <v>1108</v>
      </c>
      <c r="AL384" s="38" t="str">
        <f t="shared" si="111"/>
        <v>C.P.</v>
      </c>
      <c r="AN384" s="19" t="s">
        <v>5019</v>
      </c>
      <c r="AO384" s="54" t="str">
        <f t="shared" si="112"/>
        <v>Linkedln</v>
      </c>
      <c r="AQ384" s="3" t="s">
        <v>1108</v>
      </c>
      <c r="AR384" s="52" t="str">
        <f t="shared" si="113"/>
        <v>NO</v>
      </c>
      <c r="AW384" s="54">
        <f ca="1">DATEDIF(BI384,TODAY(),"Y")</f>
        <v>3</v>
      </c>
      <c r="AX384" s="54"/>
      <c r="AY384" s="40" t="s">
        <v>5289</v>
      </c>
      <c r="AZ384" s="44">
        <f t="shared" si="114"/>
        <v>45257</v>
      </c>
      <c r="BA384" s="54" t="str">
        <f t="shared" si="115"/>
        <v>11-2023</v>
      </c>
      <c r="BH384" s="3" t="s">
        <v>173</v>
      </c>
      <c r="BI384" s="51">
        <f t="shared" si="120"/>
        <v>44962</v>
      </c>
      <c r="BJ384" s="38">
        <f t="shared" ca="1" si="121"/>
        <v>920</v>
      </c>
      <c r="BK384" s="38"/>
      <c r="BL384" s="38" t="str">
        <f t="shared" si="122"/>
        <v>Q1</v>
      </c>
      <c r="BM384" s="59">
        <f t="shared" si="116"/>
        <v>45257</v>
      </c>
      <c r="BN384" s="51">
        <f t="shared" si="123"/>
        <v>44962</v>
      </c>
      <c r="BO384" s="54">
        <f t="shared" si="117"/>
        <v>295</v>
      </c>
      <c r="BP384" s="3" t="s">
        <v>1107</v>
      </c>
      <c r="BQ384" s="3" t="s">
        <v>24</v>
      </c>
      <c r="BR384" s="19" t="s">
        <v>1044</v>
      </c>
      <c r="BS384" s="19" t="s">
        <v>2980</v>
      </c>
      <c r="BT384" s="54" t="str">
        <f t="shared" si="118"/>
        <v>DevOps</v>
      </c>
      <c r="BV384" s="3" t="s">
        <v>1107</v>
      </c>
      <c r="BW384" s="3" t="s">
        <v>1108</v>
      </c>
      <c r="CB384" s="19" t="s">
        <v>5718</v>
      </c>
      <c r="CC384" s="3" t="s">
        <v>1108</v>
      </c>
      <c r="CD384" s="3" t="s">
        <v>74</v>
      </c>
      <c r="CE384" s="54" t="str">
        <v>Not Found</v>
      </c>
      <c r="CG384" s="54" t="str">
        <f>IFERROR(_xlfn.XLOOKUP(Hiring!A384,Hiring!A384:A783,Hiring!B384:B783,,0),"Not Found")</f>
        <v>Bikash Prusty</v>
      </c>
    </row>
    <row r="385" spans="2:85">
      <c r="B385" s="100"/>
      <c r="F385" s="4">
        <v>2.1</v>
      </c>
      <c r="G385" s="52" t="str" cm="1">
        <f t="array" ref="G385">_xlfn.IFS(F385&gt;=4.5,"Excellent",AND(F385&gt;=3.5,F385&lt;=4.4),"Good",F385&lt;3.5,"Needs Improvement")</f>
        <v>Needs Improvement</v>
      </c>
      <c r="M385" s="18"/>
      <c r="N385" s="18">
        <v>98220</v>
      </c>
      <c r="O385" s="54" t="str">
        <f t="shared" si="119"/>
        <v>Yes</v>
      </c>
      <c r="Q385" s="18">
        <v>9.86</v>
      </c>
      <c r="R385" s="56" t="str">
        <f t="shared" si="107"/>
        <v>Yes</v>
      </c>
      <c r="W385" s="18" t="s">
        <v>1044</v>
      </c>
      <c r="X385" s="54" t="str">
        <f>VLOOKUP(W385,Employees!$A$1:$B$601,2,FALSE)</f>
        <v>Lipsa Senapati</v>
      </c>
      <c r="Z385" s="4" t="s">
        <v>1109</v>
      </c>
      <c r="AA385" s="54" t="str">
        <f t="shared" si="108"/>
        <v>0384</v>
      </c>
      <c r="AC385" s="4" t="s">
        <v>51</v>
      </c>
      <c r="AD385" s="54" t="str">
        <f t="shared" si="109"/>
        <v>Sales</v>
      </c>
      <c r="AF385" s="4" t="s">
        <v>912</v>
      </c>
      <c r="AG385" s="4" t="s">
        <v>51</v>
      </c>
      <c r="AH385" s="4" t="s">
        <v>26</v>
      </c>
      <c r="AI385" s="54" t="str">
        <f t="shared" si="110"/>
        <v>Subhasree Jena|Sales|InfySoft Bhubaneswar</v>
      </c>
      <c r="AK385" s="4" t="s">
        <v>912</v>
      </c>
      <c r="AL385" s="38" t="str">
        <f t="shared" si="111"/>
        <v>S.J.</v>
      </c>
      <c r="AN385" s="18" t="s">
        <v>5077</v>
      </c>
      <c r="AO385" s="54" t="b">
        <f t="shared" si="112"/>
        <v>0</v>
      </c>
      <c r="AQ385" s="4" t="s">
        <v>912</v>
      </c>
      <c r="AR385" s="52" t="str">
        <f t="shared" si="113"/>
        <v>NO</v>
      </c>
      <c r="AW385" s="54">
        <f ca="1">DATEDIF(BI385,TODAY(),"Y")</f>
        <v>6</v>
      </c>
      <c r="AX385" s="54"/>
      <c r="AY385" s="41" t="s">
        <v>5210</v>
      </c>
      <c r="AZ385" s="44">
        <f t="shared" si="114"/>
        <v>45068</v>
      </c>
      <c r="BA385" s="54" t="str">
        <f t="shared" si="115"/>
        <v>5-2023</v>
      </c>
      <c r="BH385" s="4" t="s">
        <v>1110</v>
      </c>
      <c r="BI385" s="51">
        <f t="shared" si="120"/>
        <v>43878</v>
      </c>
      <c r="BJ385" s="38">
        <f t="shared" ca="1" si="121"/>
        <v>1695</v>
      </c>
      <c r="BK385" s="38"/>
      <c r="BL385" s="38" t="str">
        <f t="shared" si="122"/>
        <v>Q1</v>
      </c>
      <c r="BM385" s="59">
        <f t="shared" si="116"/>
        <v>45068</v>
      </c>
      <c r="BN385" s="51">
        <f t="shared" si="123"/>
        <v>43878</v>
      </c>
      <c r="BO385" s="54">
        <f t="shared" si="117"/>
        <v>1190</v>
      </c>
      <c r="BP385" s="4" t="s">
        <v>1109</v>
      </c>
      <c r="BQ385" s="4" t="s">
        <v>51</v>
      </c>
      <c r="BR385" s="18" t="s">
        <v>1044</v>
      </c>
      <c r="BS385" s="18" t="s">
        <v>2982</v>
      </c>
      <c r="BT385" s="54" t="str">
        <f t="shared" si="118"/>
        <v>DevOps</v>
      </c>
      <c r="BV385" s="4" t="s">
        <v>1109</v>
      </c>
      <c r="BW385" s="4" t="s">
        <v>912</v>
      </c>
      <c r="CB385" s="18" t="s">
        <v>404</v>
      </c>
      <c r="CC385" s="4" t="s">
        <v>912</v>
      </c>
      <c r="CD385" s="4" t="s">
        <v>52</v>
      </c>
      <c r="CE385" s="54" t="str">
        <v>Content Strategist</v>
      </c>
      <c r="CG385" s="54" t="str">
        <f>IFERROR(_xlfn.XLOOKUP(Hiring!A385,Hiring!A385:A784,Hiring!B385:B784,,0),"Not Found")</f>
        <v>Nirmal Choudhury</v>
      </c>
    </row>
    <row r="386" spans="2:85">
      <c r="B386" s="100"/>
      <c r="F386" s="3">
        <v>3</v>
      </c>
      <c r="G386" s="52" t="str" cm="1">
        <f t="array" ref="G386">_xlfn.IFS(F386&gt;=4.5,"Excellent",AND(F386&gt;=3.5,F386&lt;=4.4),"Good",F386&lt;3.5,"Needs Improvement")</f>
        <v>Needs Improvement</v>
      </c>
      <c r="M386" s="19">
        <v>190032</v>
      </c>
      <c r="N386" s="19">
        <v>186678</v>
      </c>
      <c r="O386" s="54" t="str">
        <f t="shared" si="119"/>
        <v>Yes</v>
      </c>
      <c r="Q386" s="19">
        <v>6.89</v>
      </c>
      <c r="R386" s="56" t="str">
        <f t="shared" si="107"/>
        <v>Yes</v>
      </c>
      <c r="W386" s="19" t="s">
        <v>1044</v>
      </c>
      <c r="X386" s="54" t="str">
        <f>VLOOKUP(W386,Employees!$A$1:$B$601,2,FALSE)</f>
        <v>Lipsa Senapati</v>
      </c>
      <c r="Z386" s="3" t="s">
        <v>1111</v>
      </c>
      <c r="AA386" s="54" t="str">
        <f t="shared" si="108"/>
        <v>0385</v>
      </c>
      <c r="AC386" s="3" t="s">
        <v>89</v>
      </c>
      <c r="AD386" s="54" t="str">
        <f t="shared" si="109"/>
        <v>Data Science</v>
      </c>
      <c r="AF386" s="3" t="s">
        <v>1112</v>
      </c>
      <c r="AG386" s="3" t="s">
        <v>89</v>
      </c>
      <c r="AH386" s="3" t="s">
        <v>65</v>
      </c>
      <c r="AI386" s="54" t="str">
        <f t="shared" si="110"/>
        <v>Amlan Sahoo|Data Science|TributeAI</v>
      </c>
      <c r="AK386" s="3" t="s">
        <v>1112</v>
      </c>
      <c r="AL386" s="38" t="str">
        <f t="shared" si="111"/>
        <v>A.S.</v>
      </c>
      <c r="AN386" s="19" t="s">
        <v>5023</v>
      </c>
      <c r="AO386" s="54" t="str">
        <f t="shared" si="112"/>
        <v>Linkedln</v>
      </c>
      <c r="AQ386" s="3" t="s">
        <v>1112</v>
      </c>
      <c r="AR386" s="52" t="str">
        <f t="shared" si="113"/>
        <v>NO</v>
      </c>
      <c r="AW386" s="54">
        <f ca="1">DATEDIF(BI386,TODAY(),"Y")</f>
        <v>2</v>
      </c>
      <c r="AX386" s="54"/>
      <c r="AY386" s="40" t="s">
        <v>5222</v>
      </c>
      <c r="AZ386" s="44">
        <f t="shared" si="114"/>
        <v>45332</v>
      </c>
      <c r="BA386" s="54" t="str">
        <f t="shared" si="115"/>
        <v>2-2024</v>
      </c>
      <c r="BH386" s="3" t="s">
        <v>1113</v>
      </c>
      <c r="BI386" s="51">
        <f t="shared" si="120"/>
        <v>45275</v>
      </c>
      <c r="BJ386" s="38">
        <f t="shared" ca="1" si="121"/>
        <v>696</v>
      </c>
      <c r="BK386" s="38"/>
      <c r="BL386" s="38" t="str">
        <f t="shared" si="122"/>
        <v>No</v>
      </c>
      <c r="BM386" s="59">
        <f t="shared" si="116"/>
        <v>45332</v>
      </c>
      <c r="BN386" s="51">
        <f t="shared" si="123"/>
        <v>45275</v>
      </c>
      <c r="BO386" s="54">
        <f t="shared" si="117"/>
        <v>57</v>
      </c>
      <c r="BP386" s="3" t="s">
        <v>1111</v>
      </c>
      <c r="BQ386" s="3" t="s">
        <v>89</v>
      </c>
      <c r="BR386" s="19" t="s">
        <v>1044</v>
      </c>
      <c r="BS386" s="19" t="s">
        <v>2983</v>
      </c>
      <c r="BT386" s="54" t="str">
        <f t="shared" si="118"/>
        <v>DevOps</v>
      </c>
      <c r="BV386" s="3" t="s">
        <v>1111</v>
      </c>
      <c r="BW386" s="3" t="s">
        <v>1112</v>
      </c>
      <c r="CB386" s="19" t="s">
        <v>5721</v>
      </c>
      <c r="CC386" s="3" t="s">
        <v>1112</v>
      </c>
      <c r="CD386" s="3" t="s">
        <v>221</v>
      </c>
      <c r="CE386" s="54" t="str">
        <v>Not Found</v>
      </c>
      <c r="CG386" s="54" t="str">
        <f>IFERROR(_xlfn.XLOOKUP(Hiring!A386,Hiring!A386:A785,Hiring!B386:B785,,0),"Not Found")</f>
        <v>Tapas Jena</v>
      </c>
    </row>
    <row r="387" spans="2:85">
      <c r="B387" s="100"/>
      <c r="F387" s="4">
        <v>3.8</v>
      </c>
      <c r="G387" s="52" t="str" cm="1">
        <f t="array" ref="G387">_xlfn.IFS(F387&gt;=4.5,"Excellent",AND(F387&gt;=3.5,F387&lt;=4.4),"Good",F387&lt;3.5,"Needs Improvement")</f>
        <v>Good</v>
      </c>
      <c r="M387" s="18"/>
      <c r="N387" s="18">
        <v>146992</v>
      </c>
      <c r="O387" s="54" t="str">
        <f t="shared" si="119"/>
        <v>Yes</v>
      </c>
      <c r="Q387" s="18">
        <v>7.48</v>
      </c>
      <c r="R387" s="56" t="str">
        <f t="shared" ref="R387:R450" si="124">IF(ISBLANK(Q387),"No","Yes")</f>
        <v>Yes</v>
      </c>
      <c r="W387" s="18" t="s">
        <v>1044</v>
      </c>
      <c r="X387" s="54" t="str">
        <f>VLOOKUP(W387,Employees!$A$1:$B$601,2,FALSE)</f>
        <v>Lipsa Senapati</v>
      </c>
      <c r="Z387" s="4" t="s">
        <v>1114</v>
      </c>
      <c r="AA387" s="54" t="str">
        <f t="shared" ref="AA387:AA450" si="125">RIGHT(Z387,4)</f>
        <v>0386</v>
      </c>
      <c r="AC387" s="4" t="s">
        <v>51</v>
      </c>
      <c r="AD387" s="54" t="str">
        <f t="shared" ref="AD387:AD450" si="126">PROPER(AC387)</f>
        <v>Sales</v>
      </c>
      <c r="AF387" s="4" t="s">
        <v>766</v>
      </c>
      <c r="AG387" s="4" t="s">
        <v>51</v>
      </c>
      <c r="AH387" s="4" t="s">
        <v>46</v>
      </c>
      <c r="AI387" s="54" t="str">
        <f t="shared" ref="AI387:AI450" si="127">_xlfn.CONCAT(AF387,"|",AG387,"|",AH387)</f>
        <v>Amlan Choudhury|Sales|SambalpurNet</v>
      </c>
      <c r="AK387" s="4" t="s">
        <v>766</v>
      </c>
      <c r="AL387" s="38" t="str">
        <f t="shared" ref="AL387:AL450" si="128">LEFT(AK387,1)&amp;"."&amp;MID(AK387,FIND(" ",AK387)+1,1)&amp;"."</f>
        <v>A.C.</v>
      </c>
      <c r="AN387" s="18" t="s">
        <v>5019</v>
      </c>
      <c r="AO387" s="54" t="str">
        <f t="shared" ref="AO387:AO401" si="129">IF(UPPER(AN387)="linkedin","Linkedln",IF(UPPER(AN387)="naukri","Naukri"))</f>
        <v>Linkedln</v>
      </c>
      <c r="AQ387" s="4" t="s">
        <v>766</v>
      </c>
      <c r="AR387" s="52" t="str">
        <f t="shared" ref="AR387:AR450" si="130">IF(ISNUMBER(SEARCH("Mishra",AQ387)),"Mishra","NO")</f>
        <v>NO</v>
      </c>
      <c r="AW387" s="54">
        <f ca="1">DATEDIF(BI387,TODAY(),"Y")</f>
        <v>3</v>
      </c>
      <c r="AX387" s="54"/>
      <c r="AY387" s="41" t="s">
        <v>1764</v>
      </c>
      <c r="AZ387" s="44">
        <f t="shared" ref="AZ387:AZ401" si="131">DATE(RIGHT(AY387,4),MID(AY387,4,2),LEFT(AY387,2))</f>
        <v>45365</v>
      </c>
      <c r="BA387" s="54" t="str">
        <f t="shared" ref="BA387:BA401" si="132">MONTH(AZ387)&amp;"-"&amp;YEAR(AZ387)</f>
        <v>3-2024</v>
      </c>
      <c r="BH387" s="4" t="s">
        <v>767</v>
      </c>
      <c r="BI387" s="51">
        <f t="shared" si="120"/>
        <v>44803</v>
      </c>
      <c r="BJ387" s="38">
        <f t="shared" ca="1" si="121"/>
        <v>1034</v>
      </c>
      <c r="BK387" s="38"/>
      <c r="BL387" s="38" t="str">
        <f t="shared" si="122"/>
        <v>No</v>
      </c>
      <c r="BM387" s="59">
        <f t="shared" ref="BM387:BM401" si="133">DATE(RIGHT(AY387,4),MID(AY387,4,2),LEFT(AY387,2))</f>
        <v>45365</v>
      </c>
      <c r="BN387" s="51">
        <f t="shared" si="123"/>
        <v>44803</v>
      </c>
      <c r="BO387" s="54">
        <f t="shared" ref="BO387:BO450" si="134">ABS(BN387-BM387)</f>
        <v>562</v>
      </c>
      <c r="BP387" s="4" t="s">
        <v>1114</v>
      </c>
      <c r="BQ387" s="4" t="s">
        <v>51</v>
      </c>
      <c r="BR387" s="18" t="s">
        <v>1044</v>
      </c>
      <c r="BS387" s="18" t="s">
        <v>2985</v>
      </c>
      <c r="BT387" s="54" t="str">
        <f t="shared" ref="BT387:BT450" si="135">VLOOKUP(BR387,$BP$2:$BQ$601,2,FALSE)</f>
        <v>DevOps</v>
      </c>
      <c r="BV387" s="4" t="s">
        <v>1114</v>
      </c>
      <c r="BW387" s="4" t="s">
        <v>766</v>
      </c>
      <c r="CB387" s="18" t="s">
        <v>798</v>
      </c>
      <c r="CC387" s="4" t="s">
        <v>766</v>
      </c>
      <c r="CD387" s="4" t="s">
        <v>69</v>
      </c>
      <c r="CE387" s="54" t="str">
        <v>Data Scientist</v>
      </c>
      <c r="CG387" s="54" t="str">
        <f>IFERROR(_xlfn.XLOOKUP(Hiring!A387,Hiring!A387:A786,Hiring!B387:B786,,0),"Not Found")</f>
        <v>Sudhansu Ratha</v>
      </c>
    </row>
    <row r="388" spans="2:85">
      <c r="B388" s="100"/>
      <c r="F388" s="3">
        <v>2.8</v>
      </c>
      <c r="G388" s="52" t="str" cm="1">
        <f t="array" ref="G388">_xlfn.IFS(F388&gt;=4.5,"Excellent",AND(F388&gt;=3.5,F388&lt;=4.4),"Good",F388&lt;3.5,"Needs Improvement")</f>
        <v>Needs Improvement</v>
      </c>
      <c r="M388" s="19"/>
      <c r="N388" s="19">
        <v>159394</v>
      </c>
      <c r="O388" s="54" t="str">
        <f t="shared" ref="O388:O401" si="136">IF(M388&lt;&gt;N388,"Yes","No")</f>
        <v>Yes</v>
      </c>
      <c r="Q388" s="19">
        <v>10.86</v>
      </c>
      <c r="R388" s="56" t="str">
        <f t="shared" si="124"/>
        <v>Yes</v>
      </c>
      <c r="W388" s="19" t="s">
        <v>1044</v>
      </c>
      <c r="X388" s="54" t="str">
        <f>VLOOKUP(W388,Employees!$A$1:$B$601,2,FALSE)</f>
        <v>Lipsa Senapati</v>
      </c>
      <c r="Z388" s="3" t="s">
        <v>1115</v>
      </c>
      <c r="AA388" s="54" t="str">
        <f t="shared" si="125"/>
        <v>0387</v>
      </c>
      <c r="AC388" s="3" t="s">
        <v>778</v>
      </c>
      <c r="AD388" s="54" t="str">
        <f t="shared" si="126"/>
        <v>Product</v>
      </c>
      <c r="AF388" s="3" t="s">
        <v>791</v>
      </c>
      <c r="AG388" s="3" t="s">
        <v>778</v>
      </c>
      <c r="AH388" s="3" t="s">
        <v>26</v>
      </c>
      <c r="AI388" s="54" t="str">
        <f t="shared" si="127"/>
        <v>Ranjit Biswal|product|InfySoft Bhubaneswar</v>
      </c>
      <c r="AK388" s="3" t="s">
        <v>791</v>
      </c>
      <c r="AL388" s="38" t="str">
        <f t="shared" si="128"/>
        <v>R.B.</v>
      </c>
      <c r="AN388" s="19" t="s">
        <v>5025</v>
      </c>
      <c r="AO388" s="54" t="b">
        <f t="shared" si="129"/>
        <v>0</v>
      </c>
      <c r="AQ388" s="3" t="s">
        <v>791</v>
      </c>
      <c r="AR388" s="52" t="str">
        <f t="shared" si="130"/>
        <v>NO</v>
      </c>
      <c r="AW388" s="54">
        <f ca="1">DATEDIF(BI388,TODAY(),"Y")</f>
        <v>8</v>
      </c>
      <c r="AX388" s="54"/>
      <c r="AY388" s="40" t="s">
        <v>1737</v>
      </c>
      <c r="AZ388" s="44">
        <f t="shared" si="131"/>
        <v>45426</v>
      </c>
      <c r="BA388" s="54" t="str">
        <f t="shared" si="132"/>
        <v>5-2024</v>
      </c>
      <c r="BH388" s="3" t="s">
        <v>1116</v>
      </c>
      <c r="BI388" s="51">
        <f t="shared" ref="BI388:BI451" si="137">IF(LEN(LEFT(BH388,FIND("-",BH388)-1))=4,DATE(LEFT(BH388,4),MID(BH388,6,2),RIGHT(BH388,2)),DATE(RIGHT(BH388,4),MID(BH388,4,2),LEFT(BH388,2)))</f>
        <v>43175</v>
      </c>
      <c r="BJ388" s="38">
        <f t="shared" ref="BJ388:BJ451" ca="1" si="138">NETWORKDAYS(BI388,TODAY())</f>
        <v>2196</v>
      </c>
      <c r="BK388" s="38"/>
      <c r="BL388" s="38" t="str">
        <f t="shared" ref="BL388:BL451" si="139">IF(MONTH(BI388)&lt;=3,"Q1","No")</f>
        <v>Q1</v>
      </c>
      <c r="BM388" s="59">
        <f t="shared" si="133"/>
        <v>45426</v>
      </c>
      <c r="BN388" s="51">
        <f t="shared" ref="BN388:BN451" si="140">IF(LEN(LEFT(BH388,FIND("-",BH388)-1))=4,DATE(LEFT(BH388,4),MID(BH388,6,2),RIGHT(BH388,2)),DATE(RIGHT(BH388,4),MID(BH388,4,2),LEFT(BH388,2)))</f>
        <v>43175</v>
      </c>
      <c r="BO388" s="54">
        <f t="shared" si="134"/>
        <v>2251</v>
      </c>
      <c r="BP388" s="3" t="s">
        <v>1115</v>
      </c>
      <c r="BQ388" s="3" t="s">
        <v>778</v>
      </c>
      <c r="BR388" s="19" t="s">
        <v>1044</v>
      </c>
      <c r="BS388" s="19" t="s">
        <v>2986</v>
      </c>
      <c r="BT388" s="54" t="str">
        <f t="shared" si="135"/>
        <v>DevOps</v>
      </c>
      <c r="BV388" s="3" t="s">
        <v>1115</v>
      </c>
      <c r="BW388" s="3" t="s">
        <v>791</v>
      </c>
      <c r="CB388" s="19" t="s">
        <v>5693</v>
      </c>
      <c r="CC388" s="3" t="s">
        <v>791</v>
      </c>
      <c r="CD388" s="3" t="s">
        <v>64</v>
      </c>
      <c r="CE388" s="54" t="str">
        <v>Not Found</v>
      </c>
      <c r="CG388" s="54" t="str">
        <f>IFERROR(_xlfn.XLOOKUP(Hiring!A388,Hiring!A388:A787,Hiring!B388:B787,,0),"Not Found")</f>
        <v>Tanmay Parida</v>
      </c>
    </row>
    <row r="389" spans="2:85">
      <c r="B389" s="100"/>
      <c r="F389" s="4">
        <v>4.8</v>
      </c>
      <c r="G389" s="52" t="str" cm="1">
        <f t="array" ref="G389">_xlfn.IFS(F389&gt;=4.5,"Excellent",AND(F389&gt;=3.5,F389&lt;=4.4),"Good",F389&lt;3.5,"Needs Improvement")</f>
        <v>Excellent</v>
      </c>
      <c r="M389" s="18">
        <v>120437</v>
      </c>
      <c r="N389" s="18">
        <v>140048</v>
      </c>
      <c r="O389" s="54" t="str">
        <f t="shared" si="136"/>
        <v>Yes</v>
      </c>
      <c r="Q389" s="18">
        <v>11</v>
      </c>
      <c r="R389" s="56" t="str">
        <f t="shared" si="124"/>
        <v>Yes</v>
      </c>
      <c r="W389" s="18" t="s">
        <v>1100</v>
      </c>
      <c r="X389" s="54" t="str">
        <f>VLOOKUP(W389,Employees!$A$1:$B$601,2,FALSE)</f>
        <v>Ranjit Sahoo</v>
      </c>
      <c r="Z389" s="4" t="s">
        <v>1117</v>
      </c>
      <c r="AA389" s="54" t="str">
        <f t="shared" si="125"/>
        <v>0388</v>
      </c>
      <c r="AC389" s="4" t="s">
        <v>118</v>
      </c>
      <c r="AD389" s="54" t="str">
        <f t="shared" si="126"/>
        <v>Marketing</v>
      </c>
      <c r="AF389" s="4" t="s">
        <v>1112</v>
      </c>
      <c r="AG389" s="4" t="s">
        <v>118</v>
      </c>
      <c r="AH389" s="4" t="s">
        <v>214</v>
      </c>
      <c r="AI389" s="54" t="str">
        <f t="shared" si="127"/>
        <v>Amlan Sahoo|Marketing|ZeroOneSystems</v>
      </c>
      <c r="AK389" s="4" t="s">
        <v>1112</v>
      </c>
      <c r="AL389" s="38" t="str">
        <f t="shared" si="128"/>
        <v>A.S.</v>
      </c>
      <c r="AN389" s="18" t="s">
        <v>5023</v>
      </c>
      <c r="AO389" s="54" t="str">
        <f t="shared" si="129"/>
        <v>Linkedln</v>
      </c>
      <c r="AQ389" s="4" t="s">
        <v>1112</v>
      </c>
      <c r="AR389" s="52" t="str">
        <f t="shared" si="130"/>
        <v>NO</v>
      </c>
      <c r="AW389" s="54">
        <f ca="1">DATEDIF(BI389,TODAY(),"Y")</f>
        <v>6</v>
      </c>
      <c r="AX389" s="54"/>
      <c r="AY389" s="41" t="s">
        <v>5156</v>
      </c>
      <c r="AZ389" s="44">
        <f t="shared" si="131"/>
        <v>45305</v>
      </c>
      <c r="BA389" s="54" t="str">
        <f t="shared" si="132"/>
        <v>1-2024</v>
      </c>
      <c r="BH389" s="4" t="s">
        <v>1118</v>
      </c>
      <c r="BI389" s="51">
        <f t="shared" si="137"/>
        <v>43987</v>
      </c>
      <c r="BJ389" s="38">
        <f t="shared" ca="1" si="138"/>
        <v>1616</v>
      </c>
      <c r="BK389" s="38"/>
      <c r="BL389" s="38" t="str">
        <f t="shared" si="139"/>
        <v>No</v>
      </c>
      <c r="BM389" s="59">
        <f t="shared" si="133"/>
        <v>45305</v>
      </c>
      <c r="BN389" s="51">
        <f t="shared" si="140"/>
        <v>43987</v>
      </c>
      <c r="BO389" s="54">
        <f t="shared" si="134"/>
        <v>1318</v>
      </c>
      <c r="BP389" s="4" t="s">
        <v>1117</v>
      </c>
      <c r="BQ389" s="4" t="s">
        <v>118</v>
      </c>
      <c r="BR389" s="18" t="s">
        <v>1100</v>
      </c>
      <c r="BS389" s="18" t="s">
        <v>2987</v>
      </c>
      <c r="BT389" s="54" t="str">
        <f t="shared" si="135"/>
        <v>DevOps</v>
      </c>
      <c r="BV389" s="4" t="s">
        <v>1117</v>
      </c>
      <c r="BW389" s="4" t="s">
        <v>1112</v>
      </c>
      <c r="CB389" s="18" t="s">
        <v>5725</v>
      </c>
      <c r="CC389" s="4" t="s">
        <v>1112</v>
      </c>
      <c r="CD389" s="4" t="s">
        <v>181</v>
      </c>
      <c r="CE389" s="54" t="str">
        <v>Not Found</v>
      </c>
      <c r="CG389" s="54" t="str">
        <f>IFERROR(_xlfn.XLOOKUP(Hiring!A389,Hiring!A389:A788,Hiring!B389:B788,,0),"Not Found")</f>
        <v>Abhishek Samal</v>
      </c>
    </row>
    <row r="390" spans="2:85">
      <c r="B390" s="100"/>
      <c r="F390" s="3">
        <v>1.5</v>
      </c>
      <c r="G390" s="52" t="str" cm="1">
        <f t="array" ref="G390">_xlfn.IFS(F390&gt;=4.5,"Excellent",AND(F390&gt;=3.5,F390&lt;=4.4),"Good",F390&lt;3.5,"Needs Improvement")</f>
        <v>Needs Improvement</v>
      </c>
      <c r="M390" s="19">
        <v>152403</v>
      </c>
      <c r="N390" s="19">
        <v>157818</v>
      </c>
      <c r="O390" s="54" t="str">
        <f t="shared" si="136"/>
        <v>Yes</v>
      </c>
      <c r="Q390" s="19">
        <v>9.36</v>
      </c>
      <c r="R390" s="56" t="str">
        <f t="shared" si="124"/>
        <v>Yes</v>
      </c>
      <c r="W390" s="19" t="s">
        <v>1100</v>
      </c>
      <c r="X390" s="54" t="str">
        <f>VLOOKUP(W390,Employees!$A$1:$B$601,2,FALSE)</f>
        <v>Ranjit Sahoo</v>
      </c>
      <c r="Z390" s="3" t="s">
        <v>1119</v>
      </c>
      <c r="AA390" s="54" t="str">
        <f t="shared" si="125"/>
        <v>0389</v>
      </c>
      <c r="AC390" s="3" t="s">
        <v>84</v>
      </c>
      <c r="AD390" s="54" t="str">
        <f t="shared" si="126"/>
        <v>Hr</v>
      </c>
      <c r="AF390" s="3" t="s">
        <v>1120</v>
      </c>
      <c r="AG390" s="3" t="s">
        <v>84</v>
      </c>
      <c r="AH390" s="3" t="s">
        <v>18</v>
      </c>
      <c r="AI390" s="54" t="str">
        <f t="shared" si="127"/>
        <v>Tanmay Ratha|HR|CoastalDev Studio</v>
      </c>
      <c r="AK390" s="3" t="s">
        <v>1120</v>
      </c>
      <c r="AL390" s="38" t="str">
        <f t="shared" si="128"/>
        <v>T.R.</v>
      </c>
      <c r="AN390" s="19" t="s">
        <v>5060</v>
      </c>
      <c r="AO390" s="54" t="str">
        <f t="shared" si="129"/>
        <v>Naukri</v>
      </c>
      <c r="AQ390" s="3" t="s">
        <v>1120</v>
      </c>
      <c r="AR390" s="52" t="str">
        <f t="shared" si="130"/>
        <v>NO</v>
      </c>
      <c r="AW390" s="54">
        <f ca="1">DATEDIF(BI390,TODAY(),"Y")</f>
        <v>5</v>
      </c>
      <c r="AX390" s="54"/>
      <c r="AY390" s="40" t="s">
        <v>1988</v>
      </c>
      <c r="AZ390" s="44">
        <f t="shared" si="131"/>
        <v>45514</v>
      </c>
      <c r="BA390" s="54" t="str">
        <f t="shared" si="132"/>
        <v>8-2024</v>
      </c>
      <c r="BH390" s="3" t="s">
        <v>1121</v>
      </c>
      <c r="BI390" s="51">
        <f t="shared" si="137"/>
        <v>44213</v>
      </c>
      <c r="BJ390" s="38">
        <f t="shared" ca="1" si="138"/>
        <v>1455</v>
      </c>
      <c r="BK390" s="38"/>
      <c r="BL390" s="38" t="str">
        <f t="shared" si="139"/>
        <v>Q1</v>
      </c>
      <c r="BM390" s="59">
        <f t="shared" si="133"/>
        <v>45514</v>
      </c>
      <c r="BN390" s="51">
        <f t="shared" si="140"/>
        <v>44213</v>
      </c>
      <c r="BO390" s="54">
        <f t="shared" si="134"/>
        <v>1301</v>
      </c>
      <c r="BP390" s="3" t="s">
        <v>1119</v>
      </c>
      <c r="BQ390" s="3" t="s">
        <v>84</v>
      </c>
      <c r="BR390" s="19" t="s">
        <v>1100</v>
      </c>
      <c r="BS390" s="19" t="s">
        <v>2988</v>
      </c>
      <c r="BT390" s="54" t="str">
        <f t="shared" si="135"/>
        <v>DevOps</v>
      </c>
      <c r="BV390" s="3" t="s">
        <v>1119</v>
      </c>
      <c r="BW390" s="3" t="s">
        <v>1120</v>
      </c>
      <c r="CB390" s="19" t="s">
        <v>468</v>
      </c>
      <c r="CC390" s="3" t="s">
        <v>1120</v>
      </c>
      <c r="CD390" s="3" t="s">
        <v>85</v>
      </c>
      <c r="CE390" s="54" t="str">
        <v>ML Engineer</v>
      </c>
      <c r="CG390" s="54" t="str">
        <f>IFERROR(_xlfn.XLOOKUP(Hiring!A390,Hiring!A390:A789,Hiring!B390:B789,,0),"Not Found")</f>
        <v>Dibya Behura</v>
      </c>
    </row>
    <row r="391" spans="2:85">
      <c r="B391" s="100"/>
      <c r="F391" s="4">
        <v>3.5</v>
      </c>
      <c r="G391" s="52" t="str" cm="1">
        <f t="array" ref="G391">_xlfn.IFS(F391&gt;=4.5,"Excellent",AND(F391&gt;=3.5,F391&lt;=4.4),"Good",F391&lt;3.5,"Needs Improvement")</f>
        <v>Good</v>
      </c>
      <c r="M391" s="18"/>
      <c r="N391" s="18">
        <v>146183</v>
      </c>
      <c r="O391" s="54" t="str">
        <f t="shared" si="136"/>
        <v>Yes</v>
      </c>
      <c r="Q391" s="18">
        <v>9.1999999999999993</v>
      </c>
      <c r="R391" s="56" t="str">
        <f t="shared" si="124"/>
        <v>Yes</v>
      </c>
      <c r="W391" s="18" t="s">
        <v>1100</v>
      </c>
      <c r="X391" s="54" t="str">
        <f>VLOOKUP(W391,Employees!$A$1:$B$601,2,FALSE)</f>
        <v>Ranjit Sahoo</v>
      </c>
      <c r="Z391" s="4" t="s">
        <v>1122</v>
      </c>
      <c r="AA391" s="54" t="str">
        <f t="shared" si="125"/>
        <v>0390</v>
      </c>
      <c r="AC391" s="4" t="s">
        <v>84</v>
      </c>
      <c r="AD391" s="54" t="str">
        <f t="shared" si="126"/>
        <v>Hr</v>
      </c>
      <c r="AF391" s="4" t="s">
        <v>1123</v>
      </c>
      <c r="AG391" s="4" t="s">
        <v>84</v>
      </c>
      <c r="AH391" s="4" t="s">
        <v>214</v>
      </c>
      <c r="AI391" s="54" t="str">
        <f t="shared" si="127"/>
        <v>Soumya Mohapatra|HR|ZeroOneSystems</v>
      </c>
      <c r="AK391" s="4" t="s">
        <v>1123</v>
      </c>
      <c r="AL391" s="38" t="str">
        <f t="shared" si="128"/>
        <v>S.M.</v>
      </c>
      <c r="AN391" s="18" t="s">
        <v>5016</v>
      </c>
      <c r="AO391" s="54" t="b">
        <f t="shared" si="129"/>
        <v>0</v>
      </c>
      <c r="AQ391" s="4" t="s">
        <v>1123</v>
      </c>
      <c r="AR391" s="52" t="str">
        <f t="shared" si="130"/>
        <v>NO</v>
      </c>
      <c r="AW391" s="54">
        <f ca="1">DATEDIF(BI391,TODAY(),"Y")</f>
        <v>7</v>
      </c>
      <c r="AX391" s="54"/>
      <c r="AY391" s="41" t="s">
        <v>5352</v>
      </c>
      <c r="AZ391" s="44">
        <f t="shared" si="131"/>
        <v>45592</v>
      </c>
      <c r="BA391" s="54" t="str">
        <f t="shared" si="132"/>
        <v>10-2024</v>
      </c>
      <c r="BH391" s="4" t="s">
        <v>610</v>
      </c>
      <c r="BI391" s="51">
        <f t="shared" si="137"/>
        <v>43686</v>
      </c>
      <c r="BJ391" s="38">
        <f t="shared" ca="1" si="138"/>
        <v>1831</v>
      </c>
      <c r="BK391" s="38"/>
      <c r="BL391" s="38" t="str">
        <f t="shared" si="139"/>
        <v>No</v>
      </c>
      <c r="BM391" s="59">
        <f t="shared" si="133"/>
        <v>45592</v>
      </c>
      <c r="BN391" s="51">
        <f t="shared" si="140"/>
        <v>43686</v>
      </c>
      <c r="BO391" s="54">
        <f t="shared" si="134"/>
        <v>1906</v>
      </c>
      <c r="BP391" s="4" t="s">
        <v>1122</v>
      </c>
      <c r="BQ391" s="4" t="s">
        <v>84</v>
      </c>
      <c r="BR391" s="18" t="s">
        <v>1100</v>
      </c>
      <c r="BS391" s="18" t="s">
        <v>2989</v>
      </c>
      <c r="BT391" s="54" t="str">
        <f t="shared" si="135"/>
        <v>DevOps</v>
      </c>
      <c r="BV391" s="4" t="s">
        <v>1122</v>
      </c>
      <c r="BW391" s="4" t="s">
        <v>1123</v>
      </c>
      <c r="CB391" s="18" t="s">
        <v>5728</v>
      </c>
      <c r="CC391" s="4" t="s">
        <v>1123</v>
      </c>
      <c r="CD391" s="4" t="s">
        <v>85</v>
      </c>
      <c r="CE391" s="54" t="str">
        <v>Not Found</v>
      </c>
      <c r="CG391" s="54" t="str">
        <f>IFERROR(_xlfn.XLOOKUP(Hiring!A391,Hiring!A391:A790,Hiring!B391:B790,,0),"Not Found")</f>
        <v>Amlan Ratha</v>
      </c>
    </row>
    <row r="392" spans="2:85">
      <c r="B392" s="100"/>
      <c r="F392" s="3">
        <v>4.7</v>
      </c>
      <c r="G392" s="52" t="str" cm="1">
        <f t="array" ref="G392">_xlfn.IFS(F392&gt;=4.5,"Excellent",AND(F392&gt;=3.5,F392&lt;=4.4),"Good",F392&lt;3.5,"Needs Improvement")</f>
        <v>Excellent</v>
      </c>
      <c r="M392" s="19"/>
      <c r="N392" s="19">
        <v>58349</v>
      </c>
      <c r="O392" s="54" t="str">
        <f t="shared" si="136"/>
        <v>Yes</v>
      </c>
      <c r="Q392" s="19"/>
      <c r="R392" s="56" t="str">
        <f t="shared" si="124"/>
        <v>No</v>
      </c>
      <c r="W392" s="19" t="s">
        <v>1100</v>
      </c>
      <c r="X392" s="54" t="str">
        <f>VLOOKUP(W392,Employees!$A$1:$B$601,2,FALSE)</f>
        <v>Ranjit Sahoo</v>
      </c>
      <c r="Z392" s="3" t="s">
        <v>1124</v>
      </c>
      <c r="AA392" s="54" t="str">
        <f t="shared" si="125"/>
        <v>0391</v>
      </c>
      <c r="AC392" s="3" t="s">
        <v>118</v>
      </c>
      <c r="AD392" s="54" t="str">
        <f t="shared" si="126"/>
        <v>Marketing</v>
      </c>
      <c r="AF392" s="3" t="s">
        <v>1125</v>
      </c>
      <c r="AG392" s="3" t="s">
        <v>118</v>
      </c>
      <c r="AH392" s="3" t="s">
        <v>46</v>
      </c>
      <c r="AI392" s="54" t="str">
        <f t="shared" si="127"/>
        <v>Priyanka Samal|Marketing|SambalpurNet</v>
      </c>
      <c r="AK392" s="3" t="s">
        <v>1125</v>
      </c>
      <c r="AL392" s="38" t="str">
        <f t="shared" si="128"/>
        <v>P.S.</v>
      </c>
      <c r="AN392" s="19" t="s">
        <v>5019</v>
      </c>
      <c r="AO392" s="54" t="str">
        <f t="shared" si="129"/>
        <v>Linkedln</v>
      </c>
      <c r="AQ392" s="3" t="s">
        <v>1125</v>
      </c>
      <c r="AR392" s="52" t="str">
        <f t="shared" si="130"/>
        <v>NO</v>
      </c>
      <c r="AW392" s="54">
        <f ca="1">DATEDIF(BI392,TODAY(),"Y")</f>
        <v>8</v>
      </c>
      <c r="AX392" s="54"/>
      <c r="AY392" s="40" t="s">
        <v>5730</v>
      </c>
      <c r="AZ392" s="44">
        <f t="shared" si="131"/>
        <v>45160</v>
      </c>
      <c r="BA392" s="54" t="str">
        <f t="shared" si="132"/>
        <v>8-2023</v>
      </c>
      <c r="BH392" s="3" t="s">
        <v>1126</v>
      </c>
      <c r="BI392" s="51">
        <f t="shared" si="137"/>
        <v>43194</v>
      </c>
      <c r="BJ392" s="38">
        <f t="shared" ca="1" si="138"/>
        <v>2183</v>
      </c>
      <c r="BK392" s="38"/>
      <c r="BL392" s="38" t="str">
        <f t="shared" si="139"/>
        <v>No</v>
      </c>
      <c r="BM392" s="59">
        <f t="shared" si="133"/>
        <v>45160</v>
      </c>
      <c r="BN392" s="51">
        <f t="shared" si="140"/>
        <v>43194</v>
      </c>
      <c r="BO392" s="54">
        <f t="shared" si="134"/>
        <v>1966</v>
      </c>
      <c r="BP392" s="3" t="s">
        <v>1124</v>
      </c>
      <c r="BQ392" s="3" t="s">
        <v>118</v>
      </c>
      <c r="BR392" s="19" t="s">
        <v>1100</v>
      </c>
      <c r="BS392" s="19" t="s">
        <v>2990</v>
      </c>
      <c r="BT392" s="54" t="str">
        <f t="shared" si="135"/>
        <v>DevOps</v>
      </c>
      <c r="BV392" s="3" t="s">
        <v>1124</v>
      </c>
      <c r="BW392" s="3" t="s">
        <v>1125</v>
      </c>
      <c r="CB392" s="19" t="s">
        <v>5179</v>
      </c>
      <c r="CC392" s="3" t="s">
        <v>1125</v>
      </c>
      <c r="CD392" s="3" t="s">
        <v>119</v>
      </c>
      <c r="CE392" s="54" t="str">
        <v>Not Found</v>
      </c>
      <c r="CG392" s="54" t="str">
        <f>IFERROR(_xlfn.XLOOKUP(Hiring!A392,Hiring!A392:A791,Hiring!B392:B791,,0),"Not Found")</f>
        <v>Rajan Mohapatra</v>
      </c>
    </row>
    <row r="393" spans="2:85">
      <c r="B393" s="100"/>
      <c r="F393" s="4">
        <v>2.8</v>
      </c>
      <c r="G393" s="52" t="str" cm="1">
        <f t="array" ref="G393">_xlfn.IFS(F393&gt;=4.5,"Excellent",AND(F393&gt;=3.5,F393&lt;=4.4),"Good",F393&lt;3.5,"Needs Improvement")</f>
        <v>Needs Improvement</v>
      </c>
      <c r="M393" s="18"/>
      <c r="N393" s="18">
        <v>150420</v>
      </c>
      <c r="O393" s="54" t="str">
        <f t="shared" si="136"/>
        <v>Yes</v>
      </c>
      <c r="Q393" s="18">
        <v>9.36</v>
      </c>
      <c r="R393" s="56" t="str">
        <f t="shared" si="124"/>
        <v>Yes</v>
      </c>
      <c r="W393" s="18" t="s">
        <v>1100</v>
      </c>
      <c r="X393" s="54" t="str">
        <f>VLOOKUP(W393,Employees!$A$1:$B$601,2,FALSE)</f>
        <v>Ranjit Sahoo</v>
      </c>
      <c r="Z393" s="4" t="s">
        <v>1127</v>
      </c>
      <c r="AA393" s="54" t="str">
        <f t="shared" si="125"/>
        <v>0392</v>
      </c>
      <c r="AC393" s="4" t="s">
        <v>51</v>
      </c>
      <c r="AD393" s="54" t="str">
        <f t="shared" si="126"/>
        <v>Sales</v>
      </c>
      <c r="AF393" s="4" t="s">
        <v>1128</v>
      </c>
      <c r="AG393" s="4" t="s">
        <v>51</v>
      </c>
      <c r="AH393" s="4" t="s">
        <v>75</v>
      </c>
      <c r="AI393" s="54" t="str">
        <f t="shared" si="127"/>
        <v>Debasmita Jena|Sales|KalingaTech Pvt Ltd</v>
      </c>
      <c r="AK393" s="4" t="s">
        <v>1128</v>
      </c>
      <c r="AL393" s="38" t="str">
        <f t="shared" si="128"/>
        <v>D.J.</v>
      </c>
      <c r="AN393" s="18" t="s">
        <v>5051</v>
      </c>
      <c r="AO393" s="54" t="str">
        <f t="shared" si="129"/>
        <v>Naukri</v>
      </c>
      <c r="AQ393" s="4" t="s">
        <v>1128</v>
      </c>
      <c r="AR393" s="52" t="str">
        <f t="shared" si="130"/>
        <v>NO</v>
      </c>
      <c r="AW393" s="54">
        <f ca="1">DATEDIF(BI393,TODAY(),"Y")</f>
        <v>5</v>
      </c>
      <c r="AX393" s="54"/>
      <c r="AY393" s="41" t="s">
        <v>5732</v>
      </c>
      <c r="AZ393" s="44">
        <f t="shared" si="131"/>
        <v>44971</v>
      </c>
      <c r="BA393" s="54" t="str">
        <f t="shared" si="132"/>
        <v>2-2023</v>
      </c>
      <c r="BH393" s="4" t="s">
        <v>1129</v>
      </c>
      <c r="BI393" s="51">
        <f t="shared" si="137"/>
        <v>44270</v>
      </c>
      <c r="BJ393" s="38">
        <f t="shared" ca="1" si="138"/>
        <v>1415</v>
      </c>
      <c r="BK393" s="38"/>
      <c r="BL393" s="38" t="str">
        <f t="shared" si="139"/>
        <v>Q1</v>
      </c>
      <c r="BM393" s="59">
        <f t="shared" si="133"/>
        <v>44971</v>
      </c>
      <c r="BN393" s="51">
        <f t="shared" si="140"/>
        <v>44270</v>
      </c>
      <c r="BO393" s="54">
        <f t="shared" si="134"/>
        <v>701</v>
      </c>
      <c r="BP393" s="4" t="s">
        <v>1127</v>
      </c>
      <c r="BQ393" s="4" t="s">
        <v>51</v>
      </c>
      <c r="BR393" s="18" t="s">
        <v>1100</v>
      </c>
      <c r="BS393" s="18" t="s">
        <v>2991</v>
      </c>
      <c r="BT393" s="54" t="str">
        <f t="shared" si="135"/>
        <v>DevOps</v>
      </c>
      <c r="BV393" s="4" t="s">
        <v>1127</v>
      </c>
      <c r="BW393" s="4" t="s">
        <v>1128</v>
      </c>
      <c r="CB393" s="18" t="s">
        <v>37</v>
      </c>
      <c r="CC393" s="4" t="s">
        <v>1128</v>
      </c>
      <c r="CD393" s="4" t="s">
        <v>52</v>
      </c>
      <c r="CE393" s="54" t="str">
        <v>Tech Lead</v>
      </c>
      <c r="CG393" s="54" t="str">
        <f>IFERROR(_xlfn.XLOOKUP(Hiring!A393,Hiring!A393:A792,Hiring!B393:B792,,0),"Not Found")</f>
        <v>Bikash Jena</v>
      </c>
    </row>
    <row r="394" spans="2:85">
      <c r="B394" s="100"/>
      <c r="F394" s="3">
        <v>3.2</v>
      </c>
      <c r="G394" s="52" t="str" cm="1">
        <f t="array" ref="G394">_xlfn.IFS(F394&gt;=4.5,"Excellent",AND(F394&gt;=3.5,F394&lt;=4.4),"Good",F394&lt;3.5,"Needs Improvement")</f>
        <v>Needs Improvement</v>
      </c>
      <c r="M394" s="19"/>
      <c r="N394" s="19">
        <v>37946</v>
      </c>
      <c r="O394" s="54" t="str">
        <f t="shared" si="136"/>
        <v>Yes</v>
      </c>
      <c r="Q394" s="19">
        <v>6.93</v>
      </c>
      <c r="R394" s="56" t="str">
        <f t="shared" si="124"/>
        <v>Yes</v>
      </c>
      <c r="W394" s="19" t="s">
        <v>1100</v>
      </c>
      <c r="X394" s="54" t="str">
        <f>VLOOKUP(W394,Employees!$A$1:$B$601,2,FALSE)</f>
        <v>Ranjit Sahoo</v>
      </c>
      <c r="Z394" s="3" t="s">
        <v>1130</v>
      </c>
      <c r="AA394" s="54" t="str">
        <f t="shared" si="125"/>
        <v>0393</v>
      </c>
      <c r="AC394" s="3" t="s">
        <v>51</v>
      </c>
      <c r="AD394" s="54" t="str">
        <f t="shared" si="126"/>
        <v>Sales</v>
      </c>
      <c r="AF394" s="3" t="s">
        <v>1131</v>
      </c>
      <c r="AG394" s="3" t="s">
        <v>51</v>
      </c>
      <c r="AH394" s="3" t="s">
        <v>214</v>
      </c>
      <c r="AI394" s="54" t="str">
        <f t="shared" si="127"/>
        <v>Alka Biswal|Sales|ZeroOneSystems</v>
      </c>
      <c r="AK394" s="3" t="s">
        <v>1131</v>
      </c>
      <c r="AL394" s="38" t="str">
        <f t="shared" si="128"/>
        <v>A.B.</v>
      </c>
      <c r="AN394" s="19" t="s">
        <v>5077</v>
      </c>
      <c r="AO394" s="54" t="b">
        <f t="shared" si="129"/>
        <v>0</v>
      </c>
      <c r="AQ394" s="3" t="s">
        <v>1131</v>
      </c>
      <c r="AR394" s="52" t="str">
        <f t="shared" si="130"/>
        <v>NO</v>
      </c>
      <c r="AW394" s="54">
        <f ca="1">DATEDIF(BI394,TODAY(),"Y")</f>
        <v>5</v>
      </c>
      <c r="AX394" s="54"/>
      <c r="AY394" s="40" t="s">
        <v>1435</v>
      </c>
      <c r="AZ394" s="44">
        <f t="shared" si="131"/>
        <v>45465</v>
      </c>
      <c r="BA394" s="54" t="str">
        <f t="shared" si="132"/>
        <v>6-2024</v>
      </c>
      <c r="BH394" s="3" t="s">
        <v>1132</v>
      </c>
      <c r="BI394" s="51">
        <f t="shared" si="137"/>
        <v>44149</v>
      </c>
      <c r="BJ394" s="38">
        <f t="shared" ca="1" si="138"/>
        <v>1500</v>
      </c>
      <c r="BK394" s="38"/>
      <c r="BL394" s="38" t="str">
        <f t="shared" si="139"/>
        <v>No</v>
      </c>
      <c r="BM394" s="59">
        <f t="shared" si="133"/>
        <v>45465</v>
      </c>
      <c r="BN394" s="51">
        <f t="shared" si="140"/>
        <v>44149</v>
      </c>
      <c r="BO394" s="54">
        <f t="shared" si="134"/>
        <v>1316</v>
      </c>
      <c r="BP394" s="3" t="s">
        <v>1130</v>
      </c>
      <c r="BQ394" s="3" t="s">
        <v>51</v>
      </c>
      <c r="BR394" s="19" t="s">
        <v>1100</v>
      </c>
      <c r="BS394" s="19" t="s">
        <v>2994</v>
      </c>
      <c r="BT394" s="54" t="str">
        <f t="shared" si="135"/>
        <v>DevOps</v>
      </c>
      <c r="BV394" s="3" t="s">
        <v>1130</v>
      </c>
      <c r="BW394" s="3" t="s">
        <v>1131</v>
      </c>
      <c r="CB394" s="19" t="s">
        <v>171</v>
      </c>
      <c r="CC394" s="3" t="s">
        <v>1131</v>
      </c>
      <c r="CD394" s="3" t="s">
        <v>52</v>
      </c>
      <c r="CE394" s="54" t="str">
        <v>Data Analyst</v>
      </c>
      <c r="CG394" s="54" t="str">
        <f>IFERROR(_xlfn.XLOOKUP(Hiring!A394,Hiring!A394:A793,Hiring!B394:B793,,0),"Not Found")</f>
        <v>Tanmay Padhi</v>
      </c>
    </row>
    <row r="395" spans="2:85">
      <c r="B395" s="100"/>
      <c r="F395" s="4">
        <v>2.7</v>
      </c>
      <c r="G395" s="52" t="str" cm="1">
        <f t="array" ref="G395">_xlfn.IFS(F395&gt;=4.5,"Excellent",AND(F395&gt;=3.5,F395&lt;=4.4),"Good",F395&lt;3.5,"Needs Improvement")</f>
        <v>Needs Improvement</v>
      </c>
      <c r="M395" s="18">
        <v>57921</v>
      </c>
      <c r="N395" s="18">
        <v>54932</v>
      </c>
      <c r="O395" s="54" t="str">
        <f t="shared" si="136"/>
        <v>Yes</v>
      </c>
      <c r="Q395" s="18">
        <v>7.03</v>
      </c>
      <c r="R395" s="56" t="str">
        <f t="shared" si="124"/>
        <v>Yes</v>
      </c>
      <c r="W395" s="18" t="s">
        <v>1100</v>
      </c>
      <c r="X395" s="54" t="str">
        <f>VLOOKUP(W395,Employees!$A$1:$B$601,2,FALSE)</f>
        <v>Ranjit Sahoo</v>
      </c>
      <c r="Z395" s="4" t="s">
        <v>1133</v>
      </c>
      <c r="AA395" s="54" t="str">
        <f t="shared" si="125"/>
        <v>0394</v>
      </c>
      <c r="AC395" s="4" t="s">
        <v>51</v>
      </c>
      <c r="AD395" s="54" t="str">
        <f t="shared" si="126"/>
        <v>Sales</v>
      </c>
      <c r="AF395" s="4" t="s">
        <v>1134</v>
      </c>
      <c r="AG395" s="4" t="s">
        <v>51</v>
      </c>
      <c r="AH395" s="4" t="s">
        <v>18</v>
      </c>
      <c r="AI395" s="54" t="str">
        <f t="shared" si="127"/>
        <v>Satyajit Biswal|Sales|CoastalDev Studio</v>
      </c>
      <c r="AK395" s="4" t="s">
        <v>1134</v>
      </c>
      <c r="AL395" s="38" t="str">
        <f t="shared" si="128"/>
        <v>S.B.</v>
      </c>
      <c r="AN395" s="18" t="s">
        <v>5025</v>
      </c>
      <c r="AO395" s="54" t="b">
        <f t="shared" si="129"/>
        <v>0</v>
      </c>
      <c r="AQ395" s="4" t="s">
        <v>1134</v>
      </c>
      <c r="AR395" s="52" t="str">
        <f t="shared" si="130"/>
        <v>NO</v>
      </c>
      <c r="AW395" s="54">
        <f ca="1">DATEDIF(BI395,TODAY(),"Y")</f>
        <v>3</v>
      </c>
      <c r="AX395" s="54"/>
      <c r="AY395" s="41" t="s">
        <v>5735</v>
      </c>
      <c r="AZ395" s="44">
        <f t="shared" si="131"/>
        <v>45322</v>
      </c>
      <c r="BA395" s="54" t="str">
        <f t="shared" si="132"/>
        <v>1-2024</v>
      </c>
      <c r="BH395" s="4" t="s">
        <v>908</v>
      </c>
      <c r="BI395" s="51">
        <f t="shared" si="137"/>
        <v>45029</v>
      </c>
      <c r="BJ395" s="38">
        <f t="shared" ca="1" si="138"/>
        <v>872</v>
      </c>
      <c r="BK395" s="38"/>
      <c r="BL395" s="38" t="str">
        <f t="shared" si="139"/>
        <v>No</v>
      </c>
      <c r="BM395" s="59">
        <f t="shared" si="133"/>
        <v>45322</v>
      </c>
      <c r="BN395" s="51">
        <f t="shared" si="140"/>
        <v>45029</v>
      </c>
      <c r="BO395" s="54">
        <f t="shared" si="134"/>
        <v>293</v>
      </c>
      <c r="BP395" s="4" t="s">
        <v>1133</v>
      </c>
      <c r="BQ395" s="4" t="s">
        <v>51</v>
      </c>
      <c r="BR395" s="18" t="s">
        <v>1100</v>
      </c>
      <c r="BS395" s="18" t="s">
        <v>2996</v>
      </c>
      <c r="BT395" s="54" t="str">
        <f t="shared" si="135"/>
        <v>DevOps</v>
      </c>
      <c r="BV395" s="4" t="s">
        <v>1133</v>
      </c>
      <c r="BW395" s="4" t="s">
        <v>1134</v>
      </c>
      <c r="CB395" s="18" t="s">
        <v>5382</v>
      </c>
      <c r="CC395" s="4" t="s">
        <v>1134</v>
      </c>
      <c r="CD395" s="4" t="s">
        <v>105</v>
      </c>
      <c r="CE395" s="54" t="str">
        <v>Not Found</v>
      </c>
      <c r="CG395" s="54" t="str">
        <f>IFERROR(_xlfn.XLOOKUP(Hiring!A395,Hiring!A395:A794,Hiring!B395:B794,,0),"Not Found")</f>
        <v>Debasmita Nanda</v>
      </c>
    </row>
    <row r="396" spans="2:85">
      <c r="B396" s="100"/>
      <c r="F396" s="3">
        <v>3.8</v>
      </c>
      <c r="G396" s="52" t="str" cm="1">
        <f t="array" ref="G396">_xlfn.IFS(F396&gt;=4.5,"Excellent",AND(F396&gt;=3.5,F396&lt;=4.4),"Good",F396&lt;3.5,"Needs Improvement")</f>
        <v>Good</v>
      </c>
      <c r="M396" s="19">
        <v>62319</v>
      </c>
      <c r="N396" s="19">
        <v>63211</v>
      </c>
      <c r="O396" s="54" t="str">
        <f t="shared" si="136"/>
        <v>Yes</v>
      </c>
      <c r="Q396" s="19">
        <v>7.5</v>
      </c>
      <c r="R396" s="56" t="str">
        <f t="shared" si="124"/>
        <v>Yes</v>
      </c>
      <c r="W396" s="19" t="s">
        <v>1100</v>
      </c>
      <c r="X396" s="54" t="str">
        <f>VLOOKUP(W396,Employees!$A$1:$B$601,2,FALSE)</f>
        <v>Ranjit Sahoo</v>
      </c>
      <c r="Z396" s="3" t="s">
        <v>1135</v>
      </c>
      <c r="AA396" s="54" t="str">
        <f t="shared" si="125"/>
        <v>0395</v>
      </c>
      <c r="AC396" s="3" t="s">
        <v>24</v>
      </c>
      <c r="AD396" s="54" t="str">
        <f t="shared" si="126"/>
        <v>Design</v>
      </c>
      <c r="AF396" s="3" t="s">
        <v>1136</v>
      </c>
      <c r="AG396" s="3" t="s">
        <v>24</v>
      </c>
      <c r="AH396" s="3" t="s">
        <v>114</v>
      </c>
      <c r="AI396" s="54" t="str">
        <f t="shared" si="127"/>
        <v>Barsha Nanda|Design|UtkalSoft Technologies</v>
      </c>
      <c r="AK396" s="3" t="s">
        <v>1136</v>
      </c>
      <c r="AL396" s="38" t="str">
        <f t="shared" si="128"/>
        <v>B.N.</v>
      </c>
      <c r="AN396" s="19" t="s">
        <v>5025</v>
      </c>
      <c r="AO396" s="54" t="b">
        <f t="shared" si="129"/>
        <v>0</v>
      </c>
      <c r="AQ396" s="3" t="s">
        <v>1136</v>
      </c>
      <c r="AR396" s="52" t="str">
        <f t="shared" si="130"/>
        <v>NO</v>
      </c>
      <c r="AW396" s="54">
        <f ca="1">DATEDIF(BI396,TODAY(),"Y")</f>
        <v>6</v>
      </c>
      <c r="AX396" s="54"/>
      <c r="AY396" s="40" t="s">
        <v>5571</v>
      </c>
      <c r="AZ396" s="44">
        <f t="shared" si="131"/>
        <v>45224</v>
      </c>
      <c r="BA396" s="54" t="str">
        <f t="shared" si="132"/>
        <v>10-2023</v>
      </c>
      <c r="BH396" s="3" t="s">
        <v>1137</v>
      </c>
      <c r="BI396" s="51">
        <f t="shared" si="137"/>
        <v>43953</v>
      </c>
      <c r="BJ396" s="38">
        <f t="shared" ca="1" si="138"/>
        <v>1640</v>
      </c>
      <c r="BK396" s="38"/>
      <c r="BL396" s="38" t="str">
        <f t="shared" si="139"/>
        <v>No</v>
      </c>
      <c r="BM396" s="59">
        <f t="shared" si="133"/>
        <v>45224</v>
      </c>
      <c r="BN396" s="51">
        <f t="shared" si="140"/>
        <v>43953</v>
      </c>
      <c r="BO396" s="54">
        <f t="shared" si="134"/>
        <v>1271</v>
      </c>
      <c r="BP396" s="3" t="s">
        <v>1135</v>
      </c>
      <c r="BQ396" s="3" t="s">
        <v>24</v>
      </c>
      <c r="BR396" s="19" t="s">
        <v>1100</v>
      </c>
      <c r="BS396" s="19" t="s">
        <v>2997</v>
      </c>
      <c r="BT396" s="54" t="str">
        <f t="shared" si="135"/>
        <v>DevOps</v>
      </c>
      <c r="BV396" s="3" t="s">
        <v>1135</v>
      </c>
      <c r="BW396" s="3" t="s">
        <v>1136</v>
      </c>
      <c r="CB396" s="19" t="s">
        <v>628</v>
      </c>
      <c r="CC396" s="3" t="s">
        <v>1136</v>
      </c>
      <c r="CD396" s="3" t="s">
        <v>45</v>
      </c>
      <c r="CE396" s="54" t="str">
        <v>HR Manager</v>
      </c>
      <c r="CG396" s="54" t="str">
        <f>IFERROR(_xlfn.XLOOKUP(Hiring!A396,Hiring!A396:A795,Hiring!B396:B795,,0),"Not Found")</f>
        <v>Subhasree Parida</v>
      </c>
    </row>
    <row r="397" spans="2:85">
      <c r="B397" s="100"/>
      <c r="F397" s="4">
        <v>2.1</v>
      </c>
      <c r="G397" s="52" t="str" cm="1">
        <f t="array" ref="G397">_xlfn.IFS(F397&gt;=4.5,"Excellent",AND(F397&gt;=3.5,F397&lt;=4.4),"Good",F397&lt;3.5,"Needs Improvement")</f>
        <v>Needs Improvement</v>
      </c>
      <c r="M397" s="18">
        <v>144636</v>
      </c>
      <c r="N397" s="18">
        <v>156175</v>
      </c>
      <c r="O397" s="54" t="str">
        <f t="shared" si="136"/>
        <v>Yes</v>
      </c>
      <c r="Q397" s="18">
        <v>7.95</v>
      </c>
      <c r="R397" s="56" t="str">
        <f t="shared" si="124"/>
        <v>Yes</v>
      </c>
      <c r="W397" s="18" t="s">
        <v>1100</v>
      </c>
      <c r="X397" s="54" t="str">
        <f>VLOOKUP(W397,Employees!$A$1:$B$601,2,FALSE)</f>
        <v>Ranjit Sahoo</v>
      </c>
      <c r="Z397" s="4" t="s">
        <v>1138</v>
      </c>
      <c r="AA397" s="54" t="str">
        <f t="shared" si="125"/>
        <v>0396</v>
      </c>
      <c r="AC397" s="4" t="s">
        <v>118</v>
      </c>
      <c r="AD397" s="54" t="str">
        <f t="shared" si="126"/>
        <v>Marketing</v>
      </c>
      <c r="AF397" s="4" t="s">
        <v>1139</v>
      </c>
      <c r="AG397" s="4" t="s">
        <v>118</v>
      </c>
      <c r="AH397" s="4" t="s">
        <v>75</v>
      </c>
      <c r="AI397" s="54" t="str">
        <f t="shared" si="127"/>
        <v>Sudhansu Mahapatra|Marketing|KalingaTech Pvt Ltd</v>
      </c>
      <c r="AK397" s="4" t="s">
        <v>1139</v>
      </c>
      <c r="AL397" s="38" t="str">
        <f t="shared" si="128"/>
        <v>S.M.</v>
      </c>
      <c r="AN397" s="18" t="s">
        <v>5077</v>
      </c>
      <c r="AO397" s="54" t="b">
        <f t="shared" si="129"/>
        <v>0</v>
      </c>
      <c r="AQ397" s="4" t="s">
        <v>1139</v>
      </c>
      <c r="AR397" s="52" t="str">
        <f t="shared" si="130"/>
        <v>NO</v>
      </c>
      <c r="AW397" s="54">
        <f ca="1">DATEDIF(BI397,TODAY(),"Y")</f>
        <v>2</v>
      </c>
      <c r="AX397" s="54"/>
      <c r="AY397" s="41" t="s">
        <v>5738</v>
      </c>
      <c r="AZ397" s="44">
        <f t="shared" si="131"/>
        <v>45178</v>
      </c>
      <c r="BA397" s="54" t="str">
        <f t="shared" si="132"/>
        <v>9-2023</v>
      </c>
      <c r="BH397" s="4" t="s">
        <v>315</v>
      </c>
      <c r="BI397" s="51">
        <f t="shared" si="137"/>
        <v>45452</v>
      </c>
      <c r="BJ397" s="38">
        <f t="shared" ca="1" si="138"/>
        <v>570</v>
      </c>
      <c r="BK397" s="38"/>
      <c r="BL397" s="38" t="str">
        <f t="shared" si="139"/>
        <v>No</v>
      </c>
      <c r="BM397" s="59">
        <f t="shared" si="133"/>
        <v>45178</v>
      </c>
      <c r="BN397" s="51">
        <f t="shared" si="140"/>
        <v>45452</v>
      </c>
      <c r="BO397" s="54">
        <f t="shared" si="134"/>
        <v>274</v>
      </c>
      <c r="BP397" s="4" t="s">
        <v>1138</v>
      </c>
      <c r="BQ397" s="4" t="s">
        <v>118</v>
      </c>
      <c r="BR397" s="18" t="s">
        <v>1100</v>
      </c>
      <c r="BS397" s="18" t="s">
        <v>2999</v>
      </c>
      <c r="BT397" s="54" t="str">
        <f t="shared" si="135"/>
        <v>DevOps</v>
      </c>
      <c r="BV397" s="4" t="s">
        <v>1138</v>
      </c>
      <c r="BW397" s="4" t="s">
        <v>1139</v>
      </c>
      <c r="CB397" s="18" t="s">
        <v>93</v>
      </c>
      <c r="CC397" s="4" t="s">
        <v>1139</v>
      </c>
      <c r="CD397" s="4" t="s">
        <v>181</v>
      </c>
      <c r="CE397" s="54" t="str">
        <v>Visual Designer</v>
      </c>
      <c r="CG397" s="54" t="str">
        <f>IFERROR(_xlfn.XLOOKUP(Hiring!A397,Hiring!A397:A796,Hiring!B397:B796,,0),"Not Found")</f>
        <v>Chinmaya Ratha</v>
      </c>
    </row>
    <row r="398" spans="2:85">
      <c r="B398" s="100"/>
      <c r="F398" s="3">
        <v>2.6</v>
      </c>
      <c r="G398" s="52" t="str" cm="1">
        <f t="array" ref="G398">_xlfn.IFS(F398&gt;=4.5,"Excellent",AND(F398&gt;=3.5,F398&lt;=4.4),"Good",F398&lt;3.5,"Needs Improvement")</f>
        <v>Needs Improvement</v>
      </c>
      <c r="M398" s="19">
        <v>77920</v>
      </c>
      <c r="N398" s="19">
        <v>70670</v>
      </c>
      <c r="O398" s="54" t="str">
        <f t="shared" si="136"/>
        <v>Yes</v>
      </c>
      <c r="Q398" s="19">
        <v>8.09</v>
      </c>
      <c r="R398" s="56" t="str">
        <f t="shared" si="124"/>
        <v>Yes</v>
      </c>
      <c r="W398" s="19" t="s">
        <v>1100</v>
      </c>
      <c r="X398" s="54" t="str">
        <f>VLOOKUP(W398,Employees!$A$1:$B$601,2,FALSE)</f>
        <v>Ranjit Sahoo</v>
      </c>
      <c r="Z398" s="3" t="s">
        <v>1140</v>
      </c>
      <c r="AA398" s="54" t="str">
        <f t="shared" si="125"/>
        <v>0397</v>
      </c>
      <c r="AC398" s="3" t="s">
        <v>51</v>
      </c>
      <c r="AD398" s="54" t="str">
        <f t="shared" si="126"/>
        <v>Sales</v>
      </c>
      <c r="AF398" s="3" t="s">
        <v>180</v>
      </c>
      <c r="AG398" s="3" t="s">
        <v>51</v>
      </c>
      <c r="AH398" s="3" t="s">
        <v>53</v>
      </c>
      <c r="AI398" s="54" t="str">
        <f t="shared" si="127"/>
        <v>Saurav Nanda|Sales|BlueLotus IT</v>
      </c>
      <c r="AK398" s="3" t="s">
        <v>180</v>
      </c>
      <c r="AL398" s="38" t="str">
        <f t="shared" si="128"/>
        <v>S.N.</v>
      </c>
      <c r="AN398" s="19" t="s">
        <v>5019</v>
      </c>
      <c r="AO398" s="54" t="str">
        <f t="shared" si="129"/>
        <v>Linkedln</v>
      </c>
      <c r="AQ398" s="3" t="s">
        <v>180</v>
      </c>
      <c r="AR398" s="52" t="str">
        <f t="shared" si="130"/>
        <v>NO</v>
      </c>
      <c r="AW398" s="54">
        <f ca="1">DATEDIF(BI398,TODAY(),"Y")</f>
        <v>6</v>
      </c>
      <c r="AX398" s="54"/>
      <c r="AY398" s="40" t="s">
        <v>1718</v>
      </c>
      <c r="AZ398" s="44">
        <f t="shared" si="131"/>
        <v>45591</v>
      </c>
      <c r="BA398" s="54" t="str">
        <f t="shared" si="132"/>
        <v>10-2024</v>
      </c>
      <c r="BH398" s="3" t="s">
        <v>1141</v>
      </c>
      <c r="BI398" s="51">
        <f t="shared" si="137"/>
        <v>43815</v>
      </c>
      <c r="BJ398" s="38">
        <f t="shared" ca="1" si="138"/>
        <v>1740</v>
      </c>
      <c r="BK398" s="38"/>
      <c r="BL398" s="38" t="str">
        <f t="shared" si="139"/>
        <v>No</v>
      </c>
      <c r="BM398" s="59">
        <f t="shared" si="133"/>
        <v>45591</v>
      </c>
      <c r="BN398" s="51">
        <f t="shared" si="140"/>
        <v>43815</v>
      </c>
      <c r="BO398" s="54">
        <f t="shared" si="134"/>
        <v>1776</v>
      </c>
      <c r="BP398" s="3" t="s">
        <v>1140</v>
      </c>
      <c r="BQ398" s="3" t="s">
        <v>51</v>
      </c>
      <c r="BR398" s="19" t="s">
        <v>1100</v>
      </c>
      <c r="BS398" s="19" t="s">
        <v>3000</v>
      </c>
      <c r="BT398" s="54" t="str">
        <f t="shared" si="135"/>
        <v>DevOps</v>
      </c>
      <c r="BV398" s="3" t="s">
        <v>1140</v>
      </c>
      <c r="BW398" s="3" t="s">
        <v>180</v>
      </c>
      <c r="CB398" s="19" t="s">
        <v>681</v>
      </c>
      <c r="CC398" s="3" t="s">
        <v>180</v>
      </c>
      <c r="CD398" s="3" t="s">
        <v>105</v>
      </c>
      <c r="CE398" s="54" t="str">
        <v>UI Designer</v>
      </c>
      <c r="CG398" s="54" t="str">
        <f>IFERROR(_xlfn.XLOOKUP(Hiring!A398,Hiring!A398:A797,Hiring!B398:B797,,0),"Not Found")</f>
        <v>Namita Prusty</v>
      </c>
    </row>
    <row r="399" spans="2:85">
      <c r="B399" s="100"/>
      <c r="F399" s="4">
        <v>1.8</v>
      </c>
      <c r="G399" s="52" t="str" cm="1">
        <f t="array" ref="G399">_xlfn.IFS(F399&gt;=4.5,"Excellent",AND(F399&gt;=3.5,F399&lt;=4.4),"Good",F399&lt;3.5,"Needs Improvement")</f>
        <v>Needs Improvement</v>
      </c>
      <c r="M399" s="18">
        <v>158377</v>
      </c>
      <c r="N399" s="18">
        <v>148789</v>
      </c>
      <c r="O399" s="54" t="str">
        <f t="shared" si="136"/>
        <v>Yes</v>
      </c>
      <c r="Q399" s="18">
        <v>9.84</v>
      </c>
      <c r="R399" s="56" t="str">
        <f t="shared" si="124"/>
        <v>Yes</v>
      </c>
      <c r="W399" s="18" t="s">
        <v>1100</v>
      </c>
      <c r="X399" s="54" t="str">
        <f>VLOOKUP(W399,Employees!$A$1:$B$601,2,FALSE)</f>
        <v>Ranjit Sahoo</v>
      </c>
      <c r="Z399" s="4" t="s">
        <v>1142</v>
      </c>
      <c r="AA399" s="54" t="str">
        <f t="shared" si="125"/>
        <v>0398</v>
      </c>
      <c r="AC399" s="4" t="s">
        <v>176</v>
      </c>
      <c r="AD399" s="54" t="str">
        <f t="shared" si="126"/>
        <v>Finance</v>
      </c>
      <c r="AF399" s="4" t="s">
        <v>589</v>
      </c>
      <c r="AG399" s="4" t="s">
        <v>176</v>
      </c>
      <c r="AH399" s="4" t="s">
        <v>172</v>
      </c>
      <c r="AI399" s="54" t="str">
        <f t="shared" si="127"/>
        <v>Lipsa Routray|Finance|TechNova Solutions</v>
      </c>
      <c r="AK399" s="4" t="s">
        <v>589</v>
      </c>
      <c r="AL399" s="38" t="str">
        <f t="shared" si="128"/>
        <v>L.R.</v>
      </c>
      <c r="AN399" s="18" t="s">
        <v>5023</v>
      </c>
      <c r="AO399" s="54" t="str">
        <f t="shared" si="129"/>
        <v>Linkedln</v>
      </c>
      <c r="AQ399" s="4" t="s">
        <v>589</v>
      </c>
      <c r="AR399" s="52" t="str">
        <f t="shared" si="130"/>
        <v>NO</v>
      </c>
      <c r="AW399" s="54">
        <f ca="1">DATEDIF(BI399,TODAY(),"Y")</f>
        <v>4</v>
      </c>
      <c r="AX399" s="54"/>
      <c r="AY399" s="41" t="s">
        <v>1988</v>
      </c>
      <c r="AZ399" s="44">
        <f t="shared" si="131"/>
        <v>45514</v>
      </c>
      <c r="BA399" s="54" t="str">
        <f t="shared" si="132"/>
        <v>8-2024</v>
      </c>
      <c r="BH399" s="4" t="s">
        <v>1143</v>
      </c>
      <c r="BI399" s="51">
        <f t="shared" si="137"/>
        <v>44530</v>
      </c>
      <c r="BJ399" s="38">
        <f t="shared" ca="1" si="138"/>
        <v>1229</v>
      </c>
      <c r="BK399" s="38"/>
      <c r="BL399" s="38" t="str">
        <f t="shared" si="139"/>
        <v>No</v>
      </c>
      <c r="BM399" s="59">
        <f t="shared" si="133"/>
        <v>45514</v>
      </c>
      <c r="BN399" s="51">
        <f t="shared" si="140"/>
        <v>44530</v>
      </c>
      <c r="BO399" s="54">
        <f t="shared" si="134"/>
        <v>984</v>
      </c>
      <c r="BP399" s="4" t="s">
        <v>1142</v>
      </c>
      <c r="BQ399" s="4" t="s">
        <v>176</v>
      </c>
      <c r="BR399" s="18" t="s">
        <v>1100</v>
      </c>
      <c r="BS399" s="18" t="s">
        <v>3002</v>
      </c>
      <c r="BT399" s="54" t="str">
        <f t="shared" si="135"/>
        <v>DevOps</v>
      </c>
      <c r="BV399" s="4" t="s">
        <v>1142</v>
      </c>
      <c r="BW399" s="4" t="s">
        <v>589</v>
      </c>
      <c r="CB399" s="18" t="s">
        <v>684</v>
      </c>
      <c r="CC399" s="4" t="s">
        <v>589</v>
      </c>
      <c r="CD399" s="4" t="s">
        <v>359</v>
      </c>
      <c r="CE399" s="54" t="str">
        <v>Visual Designer</v>
      </c>
      <c r="CG399" s="54" t="str">
        <f>IFERROR(_xlfn.XLOOKUP(Hiring!A399,Hiring!A399:A798,Hiring!B399:B798,,0),"Not Found")</f>
        <v>Chinmaya Behura</v>
      </c>
    </row>
    <row r="400" spans="2:85">
      <c r="B400" s="100"/>
      <c r="F400" s="3">
        <v>4.8</v>
      </c>
      <c r="G400" s="52" t="str" cm="1">
        <f t="array" ref="G400">_xlfn.IFS(F400&gt;=4.5,"Excellent",AND(F400&gt;=3.5,F400&lt;=4.4),"Good",F400&lt;3.5,"Needs Improvement")</f>
        <v>Excellent</v>
      </c>
      <c r="M400" s="19"/>
      <c r="N400" s="19">
        <v>52648</v>
      </c>
      <c r="O400" s="54" t="str">
        <f t="shared" si="136"/>
        <v>Yes</v>
      </c>
      <c r="Q400" s="19">
        <v>7.8</v>
      </c>
      <c r="R400" s="56" t="str">
        <f t="shared" si="124"/>
        <v>Yes</v>
      </c>
      <c r="W400" s="19" t="s">
        <v>1100</v>
      </c>
      <c r="X400" s="54" t="str">
        <f>VLOOKUP(W400,Employees!$A$1:$B$601,2,FALSE)</f>
        <v>Ranjit Sahoo</v>
      </c>
      <c r="Z400" s="3" t="s">
        <v>1144</v>
      </c>
      <c r="AA400" s="54" t="str">
        <f t="shared" si="125"/>
        <v>0399</v>
      </c>
      <c r="AC400" s="3" t="s">
        <v>24</v>
      </c>
      <c r="AD400" s="54" t="str">
        <f t="shared" si="126"/>
        <v>Design</v>
      </c>
      <c r="AF400" s="3" t="s">
        <v>1145</v>
      </c>
      <c r="AG400" s="3" t="s">
        <v>24</v>
      </c>
      <c r="AH400" s="3" t="s">
        <v>18</v>
      </c>
      <c r="AI400" s="54" t="str">
        <f t="shared" si="127"/>
        <v>Satyajit Pattnaik|Design|CoastalDev Studio</v>
      </c>
      <c r="AK400" s="3" t="s">
        <v>1145</v>
      </c>
      <c r="AL400" s="38" t="str">
        <f t="shared" si="128"/>
        <v>S.P.</v>
      </c>
      <c r="AN400" s="19" t="s">
        <v>5023</v>
      </c>
      <c r="AO400" s="54" t="str">
        <f t="shared" si="129"/>
        <v>Linkedln</v>
      </c>
      <c r="AQ400" s="3" t="s">
        <v>1145</v>
      </c>
      <c r="AR400" s="52" t="str">
        <f t="shared" si="130"/>
        <v>NO</v>
      </c>
      <c r="AW400" s="54">
        <f ca="1">DATEDIF(BI400,TODAY(),"Y")</f>
        <v>6</v>
      </c>
      <c r="AX400" s="54"/>
      <c r="AY400" s="40" t="s">
        <v>86</v>
      </c>
      <c r="AZ400" s="44">
        <f t="shared" si="131"/>
        <v>45172</v>
      </c>
      <c r="BA400" s="54" t="str">
        <f t="shared" si="132"/>
        <v>9-2023</v>
      </c>
      <c r="BH400" s="3" t="s">
        <v>1146</v>
      </c>
      <c r="BI400" s="51">
        <f t="shared" si="137"/>
        <v>43732</v>
      </c>
      <c r="BJ400" s="38">
        <f t="shared" ca="1" si="138"/>
        <v>1799</v>
      </c>
      <c r="BK400" s="38"/>
      <c r="BL400" s="38" t="str">
        <f t="shared" si="139"/>
        <v>No</v>
      </c>
      <c r="BM400" s="59">
        <f t="shared" si="133"/>
        <v>45172</v>
      </c>
      <c r="BN400" s="51">
        <f t="shared" si="140"/>
        <v>43732</v>
      </c>
      <c r="BO400" s="54">
        <f t="shared" si="134"/>
        <v>1440</v>
      </c>
      <c r="BP400" s="3" t="s">
        <v>1144</v>
      </c>
      <c r="BQ400" s="3" t="s">
        <v>24</v>
      </c>
      <c r="BR400" s="19" t="s">
        <v>1100</v>
      </c>
      <c r="BS400" s="19" t="s">
        <v>3004</v>
      </c>
      <c r="BT400" s="54" t="str">
        <f t="shared" si="135"/>
        <v>DevOps</v>
      </c>
      <c r="BV400" s="3" t="s">
        <v>1144</v>
      </c>
      <c r="BW400" s="3" t="s">
        <v>1145</v>
      </c>
      <c r="CB400" s="19" t="s">
        <v>5742</v>
      </c>
      <c r="CC400" s="3" t="s">
        <v>1145</v>
      </c>
      <c r="CD400" s="3" t="s">
        <v>45</v>
      </c>
      <c r="CE400" s="54" t="str">
        <v>Not Found</v>
      </c>
      <c r="CG400" s="54" t="str">
        <f>IFERROR(_xlfn.XLOOKUP(Hiring!A400,Hiring!A400:A799,Hiring!B400:B799,,0),"Not Found")</f>
        <v>Lipsa Choudhury</v>
      </c>
    </row>
    <row r="401" spans="2:85">
      <c r="B401" s="100"/>
      <c r="F401" s="4">
        <v>2.2999999999999998</v>
      </c>
      <c r="G401" s="52" t="str" cm="1">
        <f t="array" ref="G401">_xlfn.IFS(F401&gt;=4.5,"Excellent",AND(F401&gt;=3.5,F401&lt;=4.4),"Good",F401&lt;3.5,"Needs Improvement")</f>
        <v>Needs Improvement</v>
      </c>
      <c r="M401" s="18"/>
      <c r="N401" s="18">
        <v>136163</v>
      </c>
      <c r="O401" s="54" t="str">
        <f t="shared" si="136"/>
        <v>Yes</v>
      </c>
      <c r="Q401" s="18">
        <v>7.37</v>
      </c>
      <c r="R401" s="56" t="str">
        <f t="shared" si="124"/>
        <v>Yes</v>
      </c>
      <c r="W401" s="18" t="s">
        <v>1100</v>
      </c>
      <c r="X401" s="54" t="str">
        <f>VLOOKUP(W401,Employees!$A$1:$B$601,2,FALSE)</f>
        <v>Ranjit Sahoo</v>
      </c>
      <c r="Z401" s="4" t="s">
        <v>1147</v>
      </c>
      <c r="AA401" s="54" t="str">
        <f t="shared" si="125"/>
        <v>0400</v>
      </c>
      <c r="AC401" s="4" t="s">
        <v>24</v>
      </c>
      <c r="AD401" s="54" t="str">
        <f t="shared" si="126"/>
        <v>Design</v>
      </c>
      <c r="AF401" s="4" t="s">
        <v>1148</v>
      </c>
      <c r="AG401" s="4" t="s">
        <v>24</v>
      </c>
      <c r="AH401" s="4" t="s">
        <v>70</v>
      </c>
      <c r="AI401" s="54" t="str">
        <f t="shared" si="127"/>
        <v>Jyotirmayee Sahu|Design|OdishaCode Labs</v>
      </c>
      <c r="AK401" s="4" t="s">
        <v>1148</v>
      </c>
      <c r="AL401" s="38" t="str">
        <f t="shared" si="128"/>
        <v>J.S.</v>
      </c>
      <c r="AN401" s="18" t="s">
        <v>5016</v>
      </c>
      <c r="AO401" s="54" t="b">
        <f t="shared" si="129"/>
        <v>0</v>
      </c>
      <c r="AQ401" s="4" t="s">
        <v>1148</v>
      </c>
      <c r="AR401" s="52" t="str">
        <f t="shared" si="130"/>
        <v>NO</v>
      </c>
      <c r="AW401" s="54">
        <f ca="1">DATEDIF(BI401,TODAY(),"Y")</f>
        <v>3</v>
      </c>
      <c r="AX401" s="54"/>
      <c r="AY401" s="41" t="s">
        <v>927</v>
      </c>
      <c r="AZ401" s="44">
        <f t="shared" si="131"/>
        <v>45149</v>
      </c>
      <c r="BA401" s="54" t="str">
        <f t="shared" si="132"/>
        <v>8-2023</v>
      </c>
      <c r="BH401" s="4" t="s">
        <v>1149</v>
      </c>
      <c r="BI401" s="51">
        <f t="shared" si="137"/>
        <v>45042</v>
      </c>
      <c r="BJ401" s="38">
        <f t="shared" ca="1" si="138"/>
        <v>863</v>
      </c>
      <c r="BK401" s="38"/>
      <c r="BL401" s="38" t="str">
        <f t="shared" si="139"/>
        <v>No</v>
      </c>
      <c r="BM401" s="59">
        <f t="shared" si="133"/>
        <v>45149</v>
      </c>
      <c r="BN401" s="51">
        <f t="shared" si="140"/>
        <v>45042</v>
      </c>
      <c r="BO401" s="54">
        <f t="shared" si="134"/>
        <v>107</v>
      </c>
      <c r="BP401" s="4" t="s">
        <v>1147</v>
      </c>
      <c r="BQ401" s="4" t="s">
        <v>24</v>
      </c>
      <c r="BR401" s="18" t="s">
        <v>1100</v>
      </c>
      <c r="BS401" s="18" t="s">
        <v>3005</v>
      </c>
      <c r="BT401" s="54" t="str">
        <f t="shared" si="135"/>
        <v>DevOps</v>
      </c>
      <c r="BV401" s="4" t="s">
        <v>1147</v>
      </c>
      <c r="BW401" s="4" t="s">
        <v>1148</v>
      </c>
      <c r="CB401" s="18" t="s">
        <v>5744</v>
      </c>
      <c r="CC401" s="4" t="s">
        <v>1148</v>
      </c>
      <c r="CD401" s="4" t="s">
        <v>94</v>
      </c>
      <c r="CE401" s="54" t="str">
        <v>Not Found</v>
      </c>
      <c r="CG401" s="54" t="str">
        <f>IFERROR(_xlfn.XLOOKUP(Hiring!A401,Hiring!A401:A800,Hiring!B401:B800,,0),"Not Found")</f>
        <v>Tanmay Mahapatra</v>
      </c>
    </row>
    <row r="402" spans="2:85">
      <c r="B402" s="100"/>
      <c r="F402" s="3">
        <v>3.5</v>
      </c>
      <c r="G402" s="52" t="str" cm="1">
        <f t="array" ref="G402">_xlfn.IFS(F402&gt;=4.5,"Excellent",AND(F402&gt;=3.5,F402&lt;=4.4),"Good",F402&lt;3.5,"Needs Improvement")</f>
        <v>Good</v>
      </c>
      <c r="Q402" s="19">
        <v>9.82</v>
      </c>
      <c r="R402" s="56" t="str">
        <f t="shared" si="124"/>
        <v>Yes</v>
      </c>
      <c r="W402" s="19" t="s">
        <v>1100</v>
      </c>
      <c r="X402" s="54" t="str">
        <f>VLOOKUP(W402,Employees!$A$1:$B$601,2,FALSE)</f>
        <v>Ranjit Sahoo</v>
      </c>
      <c r="Z402" s="3" t="s">
        <v>1150</v>
      </c>
      <c r="AA402" s="54" t="str">
        <f t="shared" si="125"/>
        <v>0401</v>
      </c>
      <c r="AC402" s="3" t="s">
        <v>39</v>
      </c>
      <c r="AD402" s="54" t="str">
        <f t="shared" si="126"/>
        <v>Engineering</v>
      </c>
      <c r="AF402" s="3" t="s">
        <v>272</v>
      </c>
      <c r="AG402" s="3" t="s">
        <v>39</v>
      </c>
      <c r="AH402" s="3" t="s">
        <v>214</v>
      </c>
      <c r="AI402" s="54" t="str">
        <f t="shared" si="127"/>
        <v>Priyanka Behura|Engineering|ZeroOneSystems</v>
      </c>
      <c r="AK402" s="3" t="s">
        <v>272</v>
      </c>
      <c r="AL402" s="38" t="str">
        <f t="shared" si="128"/>
        <v>P.B.</v>
      </c>
      <c r="AQ402" s="3" t="s">
        <v>272</v>
      </c>
      <c r="AR402" s="52" t="str">
        <f t="shared" si="130"/>
        <v>NO</v>
      </c>
      <c r="AW402" s="54">
        <f ca="1">DATEDIF(BI402,TODAY(),"Y")</f>
        <v>7</v>
      </c>
      <c r="AX402" s="54"/>
      <c r="AY402" s="42"/>
      <c r="BH402" s="3" t="s">
        <v>1151</v>
      </c>
      <c r="BI402" s="51">
        <f t="shared" si="137"/>
        <v>43425</v>
      </c>
      <c r="BJ402" s="38">
        <f t="shared" ca="1" si="138"/>
        <v>2018</v>
      </c>
      <c r="BK402" s="38"/>
      <c r="BL402" s="38" t="str">
        <f t="shared" si="139"/>
        <v>No</v>
      </c>
      <c r="BM402"/>
      <c r="BN402" s="51"/>
      <c r="BP402" s="3" t="s">
        <v>1150</v>
      </c>
      <c r="BQ402" s="3" t="s">
        <v>39</v>
      </c>
      <c r="BR402" s="19" t="s">
        <v>1100</v>
      </c>
      <c r="BS402" s="19" t="s">
        <v>3007</v>
      </c>
      <c r="BT402" s="54" t="str">
        <f t="shared" si="135"/>
        <v>DevOps</v>
      </c>
      <c r="BV402" s="3" t="s">
        <v>1150</v>
      </c>
      <c r="BW402" s="3" t="s">
        <v>272</v>
      </c>
      <c r="CC402" s="3" t="s">
        <v>272</v>
      </c>
      <c r="CD402" s="3" t="s">
        <v>197</v>
      </c>
      <c r="CG402" s="54">
        <f>IFERROR(_xlfn.XLOOKUP(Hiring!A402,Hiring!A402:A801,Hiring!B402:B801,,0),"Not Found")</f>
        <v>0</v>
      </c>
    </row>
    <row r="403" spans="2:85">
      <c r="B403" s="100"/>
      <c r="F403" s="4">
        <v>4</v>
      </c>
      <c r="G403" s="52" t="str" cm="1">
        <f t="array" ref="G403">_xlfn.IFS(F403&gt;=4.5,"Excellent",AND(F403&gt;=3.5,F403&lt;=4.4),"Good",F403&lt;3.5,"Needs Improvement")</f>
        <v>Good</v>
      </c>
      <c r="Q403" s="18">
        <v>8.6300000000000008</v>
      </c>
      <c r="R403" s="56" t="str">
        <f t="shared" si="124"/>
        <v>Yes</v>
      </c>
      <c r="W403" s="18" t="s">
        <v>1100</v>
      </c>
      <c r="X403" s="54" t="str">
        <f>VLOOKUP(W403,Employees!$A$1:$B$601,2,FALSE)</f>
        <v>Ranjit Sahoo</v>
      </c>
      <c r="Z403" s="4" t="s">
        <v>1152</v>
      </c>
      <c r="AA403" s="54" t="str">
        <f t="shared" si="125"/>
        <v>0402</v>
      </c>
      <c r="AC403" s="4" t="s">
        <v>24</v>
      </c>
      <c r="AD403" s="54" t="str">
        <f t="shared" si="126"/>
        <v>Design</v>
      </c>
      <c r="AF403" s="4" t="s">
        <v>1153</v>
      </c>
      <c r="AG403" s="4" t="s">
        <v>24</v>
      </c>
      <c r="AH403" s="4" t="s">
        <v>214</v>
      </c>
      <c r="AI403" s="54" t="str">
        <f t="shared" si="127"/>
        <v>Tapas Ratha|Design|ZeroOneSystems</v>
      </c>
      <c r="AK403" s="4" t="s">
        <v>1153</v>
      </c>
      <c r="AL403" s="38" t="str">
        <f t="shared" si="128"/>
        <v>T.R.</v>
      </c>
      <c r="AQ403" s="4" t="s">
        <v>1153</v>
      </c>
      <c r="AR403" s="52" t="str">
        <f t="shared" si="130"/>
        <v>NO</v>
      </c>
      <c r="AW403" s="54">
        <f ca="1">DATEDIF(BI403,TODAY(),"Y")</f>
        <v>5</v>
      </c>
      <c r="AX403" s="54"/>
      <c r="AY403" s="42"/>
      <c r="BH403" s="4" t="s">
        <v>1154</v>
      </c>
      <c r="BI403" s="51">
        <f t="shared" si="137"/>
        <v>44351</v>
      </c>
      <c r="BJ403" s="38">
        <f t="shared" ca="1" si="138"/>
        <v>1356</v>
      </c>
      <c r="BK403" s="38"/>
      <c r="BL403" s="38" t="str">
        <f t="shared" si="139"/>
        <v>No</v>
      </c>
      <c r="BM403"/>
      <c r="BN403" s="51"/>
      <c r="BP403" s="4" t="s">
        <v>1152</v>
      </c>
      <c r="BQ403" s="4" t="s">
        <v>24</v>
      </c>
      <c r="BR403" s="18" t="s">
        <v>1100</v>
      </c>
      <c r="BS403" s="18" t="s">
        <v>3009</v>
      </c>
      <c r="BT403" s="54" t="str">
        <f t="shared" si="135"/>
        <v>DevOps</v>
      </c>
      <c r="BV403" s="4" t="s">
        <v>1152</v>
      </c>
      <c r="BW403" s="4" t="s">
        <v>1153</v>
      </c>
      <c r="CC403" s="4" t="s">
        <v>1153</v>
      </c>
      <c r="CD403" s="4" t="s">
        <v>45</v>
      </c>
      <c r="CG403" s="54">
        <f>IFERROR(_xlfn.XLOOKUP(Hiring!A403,Hiring!A403:A802,Hiring!B403:B802,,0),"Not Found")</f>
        <v>0</v>
      </c>
    </row>
    <row r="404" spans="2:85">
      <c r="B404" s="100"/>
      <c r="F404" s="3">
        <v>1.8</v>
      </c>
      <c r="G404" s="52" t="str" cm="1">
        <f t="array" ref="G404">_xlfn.IFS(F404&gt;=4.5,"Excellent",AND(F404&gt;=3.5,F404&lt;=4.4),"Good",F404&lt;3.5,"Needs Improvement")</f>
        <v>Needs Improvement</v>
      </c>
      <c r="Q404" s="19">
        <v>7.35</v>
      </c>
      <c r="R404" s="56" t="str">
        <f t="shared" si="124"/>
        <v>Yes</v>
      </c>
      <c r="W404" s="19" t="s">
        <v>1100</v>
      </c>
      <c r="X404" s="54" t="str">
        <f>VLOOKUP(W404,Employees!$A$1:$B$601,2,FALSE)</f>
        <v>Ranjit Sahoo</v>
      </c>
      <c r="Z404" s="3" t="s">
        <v>1155</v>
      </c>
      <c r="AA404" s="54" t="str">
        <f t="shared" si="125"/>
        <v>0403</v>
      </c>
      <c r="AC404" s="3" t="s">
        <v>84</v>
      </c>
      <c r="AD404" s="54" t="str">
        <f t="shared" si="126"/>
        <v>Hr</v>
      </c>
      <c r="AF404" s="3" t="s">
        <v>1156</v>
      </c>
      <c r="AG404" s="3" t="s">
        <v>84</v>
      </c>
      <c r="AH404" s="3" t="s">
        <v>46</v>
      </c>
      <c r="AI404" s="54" t="str">
        <f t="shared" si="127"/>
        <v>Lipsa Jena|HR|SambalpurNet</v>
      </c>
      <c r="AK404" s="3" t="s">
        <v>1156</v>
      </c>
      <c r="AL404" s="38" t="str">
        <f t="shared" si="128"/>
        <v>L.J.</v>
      </c>
      <c r="AQ404" s="3" t="s">
        <v>1156</v>
      </c>
      <c r="AR404" s="52" t="str">
        <f t="shared" si="130"/>
        <v>NO</v>
      </c>
      <c r="AW404" s="54">
        <f ca="1">DATEDIF(BI404,TODAY(),"Y")</f>
        <v>5</v>
      </c>
      <c r="AX404" s="54"/>
      <c r="AY404" s="42"/>
      <c r="BH404" s="3" t="s">
        <v>1157</v>
      </c>
      <c r="BI404" s="51">
        <f t="shared" si="137"/>
        <v>44200</v>
      </c>
      <c r="BJ404" s="38">
        <f t="shared" ca="1" si="138"/>
        <v>1465</v>
      </c>
      <c r="BK404" s="38"/>
      <c r="BL404" s="38" t="str">
        <f t="shared" si="139"/>
        <v>Q1</v>
      </c>
      <c r="BM404"/>
      <c r="BN404" s="51"/>
      <c r="BP404" s="3" t="s">
        <v>1155</v>
      </c>
      <c r="BQ404" s="3" t="s">
        <v>84</v>
      </c>
      <c r="BR404" s="19" t="s">
        <v>1100</v>
      </c>
      <c r="BS404" s="19" t="s">
        <v>3012</v>
      </c>
      <c r="BT404" s="54" t="str">
        <f t="shared" si="135"/>
        <v>DevOps</v>
      </c>
      <c r="BV404" s="3" t="s">
        <v>1155</v>
      </c>
      <c r="BW404" s="3" t="s">
        <v>1156</v>
      </c>
      <c r="CC404" s="3" t="s">
        <v>1156</v>
      </c>
      <c r="CD404" s="3" t="s">
        <v>138</v>
      </c>
      <c r="CG404" s="54">
        <f>IFERROR(_xlfn.XLOOKUP(Hiring!A404,Hiring!A404:A803,Hiring!B404:B803,,0),"Not Found")</f>
        <v>0</v>
      </c>
    </row>
    <row r="405" spans="2:85">
      <c r="B405" s="100"/>
      <c r="F405" s="4">
        <v>0</v>
      </c>
      <c r="G405" s="52" t="str" cm="1">
        <f t="array" ref="G405">_xlfn.IFS(F405&gt;=4.5,"Excellent",AND(F405&gt;=3.5,F405&lt;=4.4),"Good",F405&lt;3.5,"Needs Improvement")</f>
        <v>Needs Improvement</v>
      </c>
      <c r="Q405" s="18">
        <v>8.7200000000000006</v>
      </c>
      <c r="R405" s="56" t="str">
        <f t="shared" si="124"/>
        <v>Yes</v>
      </c>
      <c r="W405" s="18" t="s">
        <v>1100</v>
      </c>
      <c r="X405" s="54" t="str">
        <f>VLOOKUP(W405,Employees!$A$1:$B$601,2,FALSE)</f>
        <v>Ranjit Sahoo</v>
      </c>
      <c r="Z405" s="4" t="s">
        <v>1158</v>
      </c>
      <c r="AA405" s="54" t="str">
        <f t="shared" si="125"/>
        <v>0404</v>
      </c>
      <c r="AC405" s="4" t="s">
        <v>84</v>
      </c>
      <c r="AD405" s="54" t="str">
        <f t="shared" si="126"/>
        <v>Hr</v>
      </c>
      <c r="AF405" s="4" t="s">
        <v>1159</v>
      </c>
      <c r="AG405" s="4" t="s">
        <v>84</v>
      </c>
      <c r="AH405" s="4" t="s">
        <v>114</v>
      </c>
      <c r="AI405" s="54" t="str">
        <f t="shared" si="127"/>
        <v>Debasmita Padhi|HR|UtkalSoft Technologies</v>
      </c>
      <c r="AK405" s="4" t="s">
        <v>1159</v>
      </c>
      <c r="AL405" s="38" t="str">
        <f t="shared" si="128"/>
        <v>D.P.</v>
      </c>
      <c r="AQ405" s="4" t="s">
        <v>1159</v>
      </c>
      <c r="AR405" s="52" t="str">
        <f t="shared" si="130"/>
        <v>NO</v>
      </c>
      <c r="AW405" s="54">
        <f ca="1">DATEDIF(BI405,TODAY(),"Y")</f>
        <v>5</v>
      </c>
      <c r="AX405" s="54"/>
      <c r="AY405" s="42"/>
      <c r="BH405" s="4" t="s">
        <v>1160</v>
      </c>
      <c r="BI405" s="51">
        <f t="shared" si="137"/>
        <v>44307</v>
      </c>
      <c r="BJ405" s="38">
        <f t="shared" ca="1" si="138"/>
        <v>1388</v>
      </c>
      <c r="BK405" s="38"/>
      <c r="BL405" s="38" t="str">
        <f t="shared" si="139"/>
        <v>No</v>
      </c>
      <c r="BM405"/>
      <c r="BN405" s="51"/>
      <c r="BP405" s="4" t="s">
        <v>1158</v>
      </c>
      <c r="BQ405" s="4" t="s">
        <v>84</v>
      </c>
      <c r="BR405" s="18" t="s">
        <v>1100</v>
      </c>
      <c r="BS405" s="18" t="s">
        <v>3014</v>
      </c>
      <c r="BT405" s="54" t="str">
        <f t="shared" si="135"/>
        <v>DevOps</v>
      </c>
      <c r="BV405" s="4" t="s">
        <v>1158</v>
      </c>
      <c r="BW405" s="4" t="s">
        <v>1159</v>
      </c>
      <c r="CC405" s="4" t="s">
        <v>1159</v>
      </c>
      <c r="CD405" s="4" t="s">
        <v>204</v>
      </c>
      <c r="CG405" s="54">
        <f>IFERROR(_xlfn.XLOOKUP(Hiring!A405,Hiring!A405:A804,Hiring!B405:B804,,0),"Not Found")</f>
        <v>0</v>
      </c>
    </row>
    <row r="406" spans="2:85">
      <c r="B406" s="100"/>
      <c r="F406" s="3">
        <v>1.8</v>
      </c>
      <c r="G406" s="52" t="str" cm="1">
        <f t="array" ref="G406">_xlfn.IFS(F406&gt;=4.5,"Excellent",AND(F406&gt;=3.5,F406&lt;=4.4),"Good",F406&lt;3.5,"Needs Improvement")</f>
        <v>Needs Improvement</v>
      </c>
      <c r="Q406" s="19">
        <v>9.9499999999999993</v>
      </c>
      <c r="R406" s="56" t="str">
        <f t="shared" si="124"/>
        <v>Yes</v>
      </c>
      <c r="W406" s="19" t="s">
        <v>1100</v>
      </c>
      <c r="X406" s="54" t="str">
        <f>VLOOKUP(W406,Employees!$A$1:$B$601,2,FALSE)</f>
        <v>Ranjit Sahoo</v>
      </c>
      <c r="Z406" s="3" t="s">
        <v>1161</v>
      </c>
      <c r="AA406" s="54" t="str">
        <f t="shared" si="125"/>
        <v>0405</v>
      </c>
      <c r="AC406" s="3" t="s">
        <v>118</v>
      </c>
      <c r="AD406" s="54" t="str">
        <f t="shared" si="126"/>
        <v>Marketing</v>
      </c>
      <c r="AF406" s="3" t="s">
        <v>554</v>
      </c>
      <c r="AG406" s="3" t="s">
        <v>118</v>
      </c>
      <c r="AH406" s="3" t="s">
        <v>53</v>
      </c>
      <c r="AI406" s="54" t="str">
        <f t="shared" si="127"/>
        <v>Barsha Parida|Marketing|BlueLotus IT</v>
      </c>
      <c r="AK406" s="3" t="s">
        <v>554</v>
      </c>
      <c r="AL406" s="38" t="str">
        <f t="shared" si="128"/>
        <v>B.P.</v>
      </c>
      <c r="AQ406" s="3" t="s">
        <v>554</v>
      </c>
      <c r="AR406" s="52" t="str">
        <f t="shared" si="130"/>
        <v>NO</v>
      </c>
      <c r="AW406" s="54">
        <f ca="1">DATEDIF(BI406,TODAY(),"Y")</f>
        <v>5</v>
      </c>
      <c r="AX406" s="54"/>
      <c r="AY406" s="42"/>
      <c r="BH406" s="3" t="s">
        <v>1162</v>
      </c>
      <c r="BI406" s="51">
        <f t="shared" si="137"/>
        <v>44398</v>
      </c>
      <c r="BJ406" s="38">
        <f t="shared" ca="1" si="138"/>
        <v>1323</v>
      </c>
      <c r="BK406" s="38"/>
      <c r="BL406" s="38" t="str">
        <f t="shared" si="139"/>
        <v>No</v>
      </c>
      <c r="BM406"/>
      <c r="BN406" s="51"/>
      <c r="BP406" s="3" t="s">
        <v>1161</v>
      </c>
      <c r="BQ406" s="3" t="s">
        <v>118</v>
      </c>
      <c r="BR406" s="19" t="s">
        <v>1100</v>
      </c>
      <c r="BS406" s="19" t="s">
        <v>3015</v>
      </c>
      <c r="BT406" s="54" t="str">
        <f t="shared" si="135"/>
        <v>DevOps</v>
      </c>
      <c r="BV406" s="3" t="s">
        <v>1161</v>
      </c>
      <c r="BW406" s="3" t="s">
        <v>554</v>
      </c>
      <c r="CC406" s="3" t="s">
        <v>554</v>
      </c>
      <c r="CD406" s="3" t="s">
        <v>181</v>
      </c>
      <c r="CG406" s="54">
        <f>IFERROR(_xlfn.XLOOKUP(Hiring!A406,Hiring!A406:A805,Hiring!B406:B805,,0),"Not Found")</f>
        <v>0</v>
      </c>
    </row>
    <row r="407" spans="2:85">
      <c r="B407" s="100"/>
      <c r="F407" s="4">
        <v>3.9</v>
      </c>
      <c r="G407" s="52" t="str" cm="1">
        <f t="array" ref="G407">_xlfn.IFS(F407&gt;=4.5,"Excellent",AND(F407&gt;=3.5,F407&lt;=4.4),"Good",F407&lt;3.5,"Needs Improvement")</f>
        <v>Good</v>
      </c>
      <c r="Q407" s="18">
        <v>7.09</v>
      </c>
      <c r="R407" s="56" t="str">
        <f t="shared" si="124"/>
        <v>Yes</v>
      </c>
      <c r="W407" s="18" t="s">
        <v>1100</v>
      </c>
      <c r="X407" s="54" t="str">
        <f>VLOOKUP(W407,Employees!$A$1:$B$601,2,FALSE)</f>
        <v>Ranjit Sahoo</v>
      </c>
      <c r="Z407" s="4" t="s">
        <v>1163</v>
      </c>
      <c r="AA407" s="54" t="str">
        <f t="shared" si="125"/>
        <v>0406</v>
      </c>
      <c r="AC407" s="4" t="s">
        <v>133</v>
      </c>
      <c r="AD407" s="54" t="str">
        <f t="shared" si="126"/>
        <v>Qa</v>
      </c>
      <c r="AF407" s="4" t="s">
        <v>1164</v>
      </c>
      <c r="AG407" s="4" t="s">
        <v>133</v>
      </c>
      <c r="AH407" s="4" t="s">
        <v>214</v>
      </c>
      <c r="AI407" s="54" t="str">
        <f t="shared" si="127"/>
        <v>Saurav Prusty|QA|ZeroOneSystems</v>
      </c>
      <c r="AK407" s="4" t="s">
        <v>1164</v>
      </c>
      <c r="AL407" s="38" t="str">
        <f t="shared" si="128"/>
        <v>S.P.</v>
      </c>
      <c r="AQ407" s="4" t="s">
        <v>1164</v>
      </c>
      <c r="AR407" s="52" t="str">
        <f t="shared" si="130"/>
        <v>NO</v>
      </c>
      <c r="AW407" s="54">
        <f ca="1">DATEDIF(BI407,TODAY(),"Y")</f>
        <v>5</v>
      </c>
      <c r="AX407" s="54"/>
      <c r="AY407" s="42"/>
      <c r="BH407" s="4" t="s">
        <v>1165</v>
      </c>
      <c r="BI407" s="51">
        <f t="shared" si="137"/>
        <v>44247</v>
      </c>
      <c r="BJ407" s="38">
        <f t="shared" ca="1" si="138"/>
        <v>1430</v>
      </c>
      <c r="BK407" s="38"/>
      <c r="BL407" s="38" t="str">
        <f t="shared" si="139"/>
        <v>Q1</v>
      </c>
      <c r="BM407"/>
      <c r="BN407" s="51"/>
      <c r="BP407" s="4" t="s">
        <v>1163</v>
      </c>
      <c r="BQ407" s="4" t="s">
        <v>133</v>
      </c>
      <c r="BR407" s="18" t="s">
        <v>1100</v>
      </c>
      <c r="BS407" s="18" t="s">
        <v>3016</v>
      </c>
      <c r="BT407" s="54" t="str">
        <f t="shared" si="135"/>
        <v>DevOps</v>
      </c>
      <c r="BV407" s="4" t="s">
        <v>1163</v>
      </c>
      <c r="BW407" s="4" t="s">
        <v>1164</v>
      </c>
      <c r="CC407" s="4" t="s">
        <v>1164</v>
      </c>
      <c r="CD407" s="4" t="s">
        <v>153</v>
      </c>
      <c r="CG407" s="54">
        <f>IFERROR(_xlfn.XLOOKUP(Hiring!A407,Hiring!A407:A806,Hiring!B407:B806,,0),"Not Found")</f>
        <v>0</v>
      </c>
    </row>
    <row r="408" spans="2:85">
      <c r="B408" s="100"/>
      <c r="F408" s="3">
        <v>0</v>
      </c>
      <c r="G408" s="52" t="str" cm="1">
        <f t="array" ref="G408">_xlfn.IFS(F408&gt;=4.5,"Excellent",AND(F408&gt;=3.5,F408&lt;=4.4),"Good",F408&lt;3.5,"Needs Improvement")</f>
        <v>Needs Improvement</v>
      </c>
      <c r="Q408" s="19">
        <v>8.77</v>
      </c>
      <c r="R408" s="56" t="str">
        <f t="shared" si="124"/>
        <v>Yes</v>
      </c>
      <c r="W408" s="19" t="s">
        <v>1100</v>
      </c>
      <c r="X408" s="54" t="str">
        <f>VLOOKUP(W408,Employees!$A$1:$B$601,2,FALSE)</f>
        <v>Ranjit Sahoo</v>
      </c>
      <c r="Z408" s="3" t="s">
        <v>1166</v>
      </c>
      <c r="AA408" s="54" t="str">
        <f t="shared" si="125"/>
        <v>0407</v>
      </c>
      <c r="AC408" s="3" t="s">
        <v>84</v>
      </c>
      <c r="AD408" s="54" t="str">
        <f t="shared" si="126"/>
        <v>Hr</v>
      </c>
      <c r="AF408" s="3" t="s">
        <v>1167</v>
      </c>
      <c r="AG408" s="3" t="s">
        <v>84</v>
      </c>
      <c r="AH408" s="3" t="s">
        <v>75</v>
      </c>
      <c r="AI408" s="54" t="str">
        <f t="shared" si="127"/>
        <v>Subhasree Choudhury|HR|KalingaTech Pvt Ltd</v>
      </c>
      <c r="AK408" s="3" t="s">
        <v>1167</v>
      </c>
      <c r="AL408" s="38" t="str">
        <f t="shared" si="128"/>
        <v>S.C.</v>
      </c>
      <c r="AQ408" s="3" t="s">
        <v>1167</v>
      </c>
      <c r="AR408" s="52" t="str">
        <f t="shared" si="130"/>
        <v>NO</v>
      </c>
      <c r="AW408" s="54">
        <f ca="1">DATEDIF(BI408,TODAY(),"Y")</f>
        <v>5</v>
      </c>
      <c r="AX408" s="54"/>
      <c r="AY408" s="42"/>
      <c r="BH408" s="3" t="s">
        <v>1168</v>
      </c>
      <c r="BI408" s="51">
        <f t="shared" si="137"/>
        <v>44402</v>
      </c>
      <c r="BJ408" s="38">
        <f t="shared" ca="1" si="138"/>
        <v>1320</v>
      </c>
      <c r="BK408" s="38"/>
      <c r="BL408" s="38" t="str">
        <f t="shared" si="139"/>
        <v>No</v>
      </c>
      <c r="BM408"/>
      <c r="BN408" s="51"/>
      <c r="BP408" s="3" t="s">
        <v>1166</v>
      </c>
      <c r="BQ408" s="3" t="s">
        <v>84</v>
      </c>
      <c r="BR408" s="19" t="s">
        <v>1100</v>
      </c>
      <c r="BS408" s="19" t="s">
        <v>3017</v>
      </c>
      <c r="BT408" s="54" t="str">
        <f t="shared" si="135"/>
        <v>DevOps</v>
      </c>
      <c r="BV408" s="3" t="s">
        <v>1166</v>
      </c>
      <c r="BW408" s="3" t="s">
        <v>1167</v>
      </c>
      <c r="CC408" s="3" t="s">
        <v>1167</v>
      </c>
      <c r="CD408" s="3" t="s">
        <v>138</v>
      </c>
      <c r="CG408" s="54">
        <f>IFERROR(_xlfn.XLOOKUP(Hiring!A408,Hiring!A408:A807,Hiring!B408:B807,,0),"Not Found")</f>
        <v>0</v>
      </c>
    </row>
    <row r="409" spans="2:85">
      <c r="B409" s="100"/>
      <c r="F409" s="4">
        <v>1.8</v>
      </c>
      <c r="G409" s="52" t="str" cm="1">
        <f t="array" ref="G409">_xlfn.IFS(F409&gt;=4.5,"Excellent",AND(F409&gt;=3.5,F409&lt;=4.4),"Good",F409&lt;3.5,"Needs Improvement")</f>
        <v>Needs Improvement</v>
      </c>
      <c r="Q409" s="18">
        <v>7.01</v>
      </c>
      <c r="R409" s="56" t="str">
        <f t="shared" si="124"/>
        <v>Yes</v>
      </c>
      <c r="W409" s="18" t="s">
        <v>1100</v>
      </c>
      <c r="X409" s="54" t="str">
        <f>VLOOKUP(W409,Employees!$A$1:$B$601,2,FALSE)</f>
        <v>Ranjit Sahoo</v>
      </c>
      <c r="Z409" s="4" t="s">
        <v>1169</v>
      </c>
      <c r="AA409" s="54" t="str">
        <f t="shared" si="125"/>
        <v>0408</v>
      </c>
      <c r="AC409" s="4" t="s">
        <v>39</v>
      </c>
      <c r="AD409" s="54" t="str">
        <f t="shared" si="126"/>
        <v>Engineering</v>
      </c>
      <c r="AF409" s="4" t="s">
        <v>187</v>
      </c>
      <c r="AG409" s="4" t="s">
        <v>39</v>
      </c>
      <c r="AH409" s="4" t="s">
        <v>114</v>
      </c>
      <c r="AI409" s="54" t="str">
        <f t="shared" si="127"/>
        <v>Puspita Nanda|Engineering|UtkalSoft Technologies</v>
      </c>
      <c r="AK409" s="4" t="s">
        <v>187</v>
      </c>
      <c r="AL409" s="38" t="str">
        <f t="shared" si="128"/>
        <v>P.N.</v>
      </c>
      <c r="AQ409" s="4" t="s">
        <v>187</v>
      </c>
      <c r="AR409" s="52" t="str">
        <f t="shared" si="130"/>
        <v>NO</v>
      </c>
      <c r="AW409" s="54">
        <f ca="1">DATEDIF(BI409,TODAY(),"Y")</f>
        <v>6</v>
      </c>
      <c r="AX409" s="54"/>
      <c r="AY409" s="42"/>
      <c r="BH409" s="4" t="s">
        <v>1170</v>
      </c>
      <c r="BI409" s="51">
        <f t="shared" si="137"/>
        <v>44023</v>
      </c>
      <c r="BJ409" s="38">
        <f t="shared" ca="1" si="138"/>
        <v>1590</v>
      </c>
      <c r="BK409" s="38"/>
      <c r="BL409" s="38" t="str">
        <f t="shared" si="139"/>
        <v>No</v>
      </c>
      <c r="BM409"/>
      <c r="BN409" s="51"/>
      <c r="BP409" s="4" t="s">
        <v>1169</v>
      </c>
      <c r="BQ409" s="4" t="s">
        <v>39</v>
      </c>
      <c r="BR409" s="18" t="s">
        <v>1100</v>
      </c>
      <c r="BS409" s="18" t="s">
        <v>3018</v>
      </c>
      <c r="BT409" s="54" t="str">
        <f t="shared" si="135"/>
        <v>DevOps</v>
      </c>
      <c r="BV409" s="4" t="s">
        <v>1169</v>
      </c>
      <c r="BW409" s="4" t="s">
        <v>187</v>
      </c>
      <c r="CC409" s="4" t="s">
        <v>187</v>
      </c>
      <c r="CD409" s="4" t="s">
        <v>40</v>
      </c>
      <c r="CG409" s="54">
        <f>IFERROR(_xlfn.XLOOKUP(Hiring!A409,Hiring!A409:A808,Hiring!B409:B808,,0),"Not Found")</f>
        <v>0</v>
      </c>
    </row>
    <row r="410" spans="2:85">
      <c r="B410" s="100"/>
      <c r="F410" s="3">
        <v>1.5</v>
      </c>
      <c r="G410" s="52" t="str" cm="1">
        <f t="array" ref="G410">_xlfn.IFS(F410&gt;=4.5,"Excellent",AND(F410&gt;=3.5,F410&lt;=4.4),"Good",F410&lt;3.5,"Needs Improvement")</f>
        <v>Needs Improvement</v>
      </c>
      <c r="Q410" s="19">
        <v>11.01</v>
      </c>
      <c r="R410" s="56" t="str">
        <f t="shared" si="124"/>
        <v>Yes</v>
      </c>
      <c r="W410" s="19" t="s">
        <v>1100</v>
      </c>
      <c r="X410" s="54" t="str">
        <f>VLOOKUP(W410,Employees!$A$1:$B$601,2,FALSE)</f>
        <v>Ranjit Sahoo</v>
      </c>
      <c r="Z410" s="3" t="s">
        <v>1171</v>
      </c>
      <c r="AA410" s="54" t="str">
        <f t="shared" si="125"/>
        <v>0409</v>
      </c>
      <c r="AC410" s="3" t="s">
        <v>84</v>
      </c>
      <c r="AD410" s="54" t="str">
        <f t="shared" si="126"/>
        <v>Hr</v>
      </c>
      <c r="AF410" s="3" t="s">
        <v>364</v>
      </c>
      <c r="AG410" s="3" t="s">
        <v>84</v>
      </c>
      <c r="AH410" s="3" t="s">
        <v>172</v>
      </c>
      <c r="AI410" s="54" t="str">
        <f t="shared" si="127"/>
        <v>Jyotirmayee Nanda|HR|TechNova Solutions</v>
      </c>
      <c r="AK410" s="3" t="s">
        <v>364</v>
      </c>
      <c r="AL410" s="38" t="str">
        <f t="shared" si="128"/>
        <v>J.N.</v>
      </c>
      <c r="AQ410" s="3" t="s">
        <v>364</v>
      </c>
      <c r="AR410" s="52" t="str">
        <f t="shared" si="130"/>
        <v>NO</v>
      </c>
      <c r="AW410" s="54">
        <f ca="1">DATEDIF(BI410,TODAY(),"Y")</f>
        <v>3</v>
      </c>
      <c r="AX410" s="54"/>
      <c r="AY410" s="42"/>
      <c r="BH410" s="3" t="s">
        <v>1172</v>
      </c>
      <c r="BI410" s="51">
        <f t="shared" si="137"/>
        <v>45147</v>
      </c>
      <c r="BJ410" s="38">
        <f t="shared" ca="1" si="138"/>
        <v>788</v>
      </c>
      <c r="BK410" s="38"/>
      <c r="BL410" s="38" t="str">
        <f t="shared" si="139"/>
        <v>No</v>
      </c>
      <c r="BM410"/>
      <c r="BN410" s="51"/>
      <c r="BP410" s="3" t="s">
        <v>1171</v>
      </c>
      <c r="BQ410" s="3" t="s">
        <v>84</v>
      </c>
      <c r="BR410" s="19" t="s">
        <v>1100</v>
      </c>
      <c r="BS410" s="19" t="s">
        <v>3019</v>
      </c>
      <c r="BT410" s="54" t="str">
        <f t="shared" si="135"/>
        <v>DevOps</v>
      </c>
      <c r="BV410" s="3" t="s">
        <v>1171</v>
      </c>
      <c r="BW410" s="3" t="s">
        <v>364</v>
      </c>
      <c r="CC410" s="3" t="s">
        <v>364</v>
      </c>
      <c r="CD410" s="3" t="s">
        <v>138</v>
      </c>
      <c r="CG410" s="54">
        <f>IFERROR(_xlfn.XLOOKUP(Hiring!A410,Hiring!A410:A809,Hiring!B410:B809,,0),"Not Found")</f>
        <v>0</v>
      </c>
    </row>
    <row r="411" spans="2:85">
      <c r="B411" s="100"/>
      <c r="F411" s="4">
        <v>4.5999999999999996</v>
      </c>
      <c r="G411" s="52" t="str" cm="1">
        <f t="array" ref="G411">_xlfn.IFS(F411&gt;=4.5,"Excellent",AND(F411&gt;=3.5,F411&lt;=4.4),"Good",F411&lt;3.5,"Needs Improvement")</f>
        <v>Excellent</v>
      </c>
      <c r="Q411" s="18">
        <v>10.73</v>
      </c>
      <c r="R411" s="56" t="str">
        <f t="shared" si="124"/>
        <v>Yes</v>
      </c>
      <c r="W411" s="18" t="s">
        <v>1100</v>
      </c>
      <c r="X411" s="54" t="str">
        <f>VLOOKUP(W411,Employees!$A$1:$B$601,2,FALSE)</f>
        <v>Ranjit Sahoo</v>
      </c>
      <c r="Z411" s="4" t="s">
        <v>1173</v>
      </c>
      <c r="AA411" s="54" t="str">
        <f t="shared" si="125"/>
        <v>0410</v>
      </c>
      <c r="AC411" s="4" t="s">
        <v>89</v>
      </c>
      <c r="AD411" s="54" t="str">
        <f t="shared" si="126"/>
        <v>Data Science</v>
      </c>
      <c r="AF411" s="4" t="s">
        <v>826</v>
      </c>
      <c r="AG411" s="4" t="s">
        <v>89</v>
      </c>
      <c r="AH411" s="4" t="s">
        <v>32</v>
      </c>
      <c r="AI411" s="54" t="str">
        <f t="shared" si="127"/>
        <v>Soumya Jena|Data Science|NilGiri Digitals</v>
      </c>
      <c r="AK411" s="4" t="s">
        <v>826</v>
      </c>
      <c r="AL411" s="38" t="str">
        <f t="shared" si="128"/>
        <v>S.J.</v>
      </c>
      <c r="AQ411" s="4" t="s">
        <v>826</v>
      </c>
      <c r="AR411" s="52" t="str">
        <f t="shared" si="130"/>
        <v>NO</v>
      </c>
      <c r="AW411" s="54">
        <f ca="1">DATEDIF(BI411,TODAY(),"Y")</f>
        <v>8</v>
      </c>
      <c r="AX411" s="54"/>
      <c r="AY411" s="42"/>
      <c r="BH411" s="4" t="s">
        <v>529</v>
      </c>
      <c r="BI411" s="51">
        <f t="shared" si="137"/>
        <v>43124</v>
      </c>
      <c r="BJ411" s="38">
        <f t="shared" ca="1" si="138"/>
        <v>2233</v>
      </c>
      <c r="BK411" s="38"/>
      <c r="BL411" s="38" t="str">
        <f t="shared" si="139"/>
        <v>Q1</v>
      </c>
      <c r="BM411"/>
      <c r="BN411" s="51"/>
      <c r="BP411" s="4" t="s">
        <v>1173</v>
      </c>
      <c r="BQ411" s="4" t="s">
        <v>89</v>
      </c>
      <c r="BR411" s="18" t="s">
        <v>1100</v>
      </c>
      <c r="BS411" s="18" t="s">
        <v>3022</v>
      </c>
      <c r="BT411" s="54" t="str">
        <f t="shared" si="135"/>
        <v>DevOps</v>
      </c>
      <c r="BV411" s="4" t="s">
        <v>1173</v>
      </c>
      <c r="BW411" s="4" t="s">
        <v>826</v>
      </c>
      <c r="CC411" s="4" t="s">
        <v>826</v>
      </c>
      <c r="CD411" s="4" t="s">
        <v>221</v>
      </c>
      <c r="CG411" s="54">
        <f>IFERROR(_xlfn.XLOOKUP(Hiring!A411,Hiring!A411:A810,Hiring!B411:B810,,0),"Not Found")</f>
        <v>0</v>
      </c>
    </row>
    <row r="412" spans="2:85">
      <c r="B412" s="100"/>
      <c r="F412" s="3">
        <v>2.2000000000000002</v>
      </c>
      <c r="G412" s="52" t="str" cm="1">
        <f t="array" ref="G412">_xlfn.IFS(F412&gt;=4.5,"Excellent",AND(F412&gt;=3.5,F412&lt;=4.4),"Good",F412&lt;3.5,"Needs Improvement")</f>
        <v>Needs Improvement</v>
      </c>
      <c r="Q412" s="19">
        <v>9.44</v>
      </c>
      <c r="R412" s="56" t="str">
        <f t="shared" si="124"/>
        <v>Yes</v>
      </c>
      <c r="W412" s="19" t="s">
        <v>1100</v>
      </c>
      <c r="X412" s="54" t="str">
        <f>VLOOKUP(W412,Employees!$A$1:$B$601,2,FALSE)</f>
        <v>Ranjit Sahoo</v>
      </c>
      <c r="Z412" s="3" t="s">
        <v>1174</v>
      </c>
      <c r="AA412" s="54" t="str">
        <f t="shared" si="125"/>
        <v>0411</v>
      </c>
      <c r="AC412" s="3" t="s">
        <v>118</v>
      </c>
      <c r="AD412" s="54" t="str">
        <f t="shared" si="126"/>
        <v>Marketing</v>
      </c>
      <c r="AF412" s="3" t="s">
        <v>1175</v>
      </c>
      <c r="AG412" s="3" t="s">
        <v>118</v>
      </c>
      <c r="AH412" s="3" t="s">
        <v>46</v>
      </c>
      <c r="AI412" s="54" t="str">
        <f t="shared" si="127"/>
        <v>Aditya Samal|Marketing|SambalpurNet</v>
      </c>
      <c r="AK412" s="3" t="s">
        <v>1175</v>
      </c>
      <c r="AL412" s="38" t="str">
        <f t="shared" si="128"/>
        <v>A.S.</v>
      </c>
      <c r="AQ412" s="3" t="s">
        <v>1175</v>
      </c>
      <c r="AR412" s="52" t="str">
        <f t="shared" si="130"/>
        <v>NO</v>
      </c>
      <c r="AW412" s="54">
        <f ca="1">DATEDIF(BI412,TODAY(),"Y")</f>
        <v>8</v>
      </c>
      <c r="AX412" s="54"/>
      <c r="AY412" s="42"/>
      <c r="BH412" s="3" t="s">
        <v>1176</v>
      </c>
      <c r="BI412" s="51">
        <f t="shared" si="137"/>
        <v>43101</v>
      </c>
      <c r="BJ412" s="38">
        <f t="shared" ca="1" si="138"/>
        <v>2250</v>
      </c>
      <c r="BK412" s="38"/>
      <c r="BL412" s="38" t="str">
        <f t="shared" si="139"/>
        <v>Q1</v>
      </c>
      <c r="BM412"/>
      <c r="BN412" s="51"/>
      <c r="BP412" s="3" t="s">
        <v>1174</v>
      </c>
      <c r="BQ412" s="3" t="s">
        <v>118</v>
      </c>
      <c r="BR412" s="19" t="s">
        <v>1100</v>
      </c>
      <c r="BS412" s="19" t="s">
        <v>3023</v>
      </c>
      <c r="BT412" s="54" t="str">
        <f t="shared" si="135"/>
        <v>DevOps</v>
      </c>
      <c r="BV412" s="3" t="s">
        <v>1174</v>
      </c>
      <c r="BW412" s="3" t="s">
        <v>1175</v>
      </c>
      <c r="CC412" s="3" t="s">
        <v>1175</v>
      </c>
      <c r="CD412" s="3" t="s">
        <v>119</v>
      </c>
      <c r="CG412" s="54">
        <f>IFERROR(_xlfn.XLOOKUP(Hiring!A412,Hiring!A412:A811,Hiring!B412:B811,,0),"Not Found")</f>
        <v>0</v>
      </c>
    </row>
    <row r="413" spans="2:85">
      <c r="B413" s="100"/>
      <c r="F413" s="4">
        <v>1.8</v>
      </c>
      <c r="G413" s="52" t="str" cm="1">
        <f t="array" ref="G413">_xlfn.IFS(F413&gt;=4.5,"Excellent",AND(F413&gt;=3.5,F413&lt;=4.4),"Good",F413&lt;3.5,"Needs Improvement")</f>
        <v>Needs Improvement</v>
      </c>
      <c r="Q413" s="18">
        <v>11.17</v>
      </c>
      <c r="R413" s="56" t="str">
        <f t="shared" si="124"/>
        <v>Yes</v>
      </c>
      <c r="W413" s="18" t="s">
        <v>1100</v>
      </c>
      <c r="X413" s="54" t="str">
        <f>VLOOKUP(W413,Employees!$A$1:$B$601,2,FALSE)</f>
        <v>Ranjit Sahoo</v>
      </c>
      <c r="Z413" s="4" t="s">
        <v>1177</v>
      </c>
      <c r="AA413" s="54" t="str">
        <f t="shared" si="125"/>
        <v>0412</v>
      </c>
      <c r="AC413" s="4" t="s">
        <v>410</v>
      </c>
      <c r="AD413" s="54" t="str">
        <f t="shared" si="126"/>
        <v>Sales</v>
      </c>
      <c r="AF413" s="4" t="s">
        <v>420</v>
      </c>
      <c r="AG413" s="4" t="s">
        <v>410</v>
      </c>
      <c r="AH413" s="4" t="s">
        <v>75</v>
      </c>
      <c r="AI413" s="54" t="str">
        <f t="shared" si="127"/>
        <v>Satyajit Mishra|sales|KalingaTech Pvt Ltd</v>
      </c>
      <c r="AK413" s="4" t="s">
        <v>420</v>
      </c>
      <c r="AL413" s="38" t="str">
        <f t="shared" si="128"/>
        <v>S.M.</v>
      </c>
      <c r="AQ413" s="4" t="s">
        <v>420</v>
      </c>
      <c r="AR413" s="52" t="str">
        <f t="shared" si="130"/>
        <v>Mishra</v>
      </c>
      <c r="AW413" s="54">
        <f ca="1">DATEDIF(BI413,TODAY(),"Y")</f>
        <v>5</v>
      </c>
      <c r="AX413" s="54"/>
      <c r="AY413" s="42"/>
      <c r="BH413" s="4" t="s">
        <v>1178</v>
      </c>
      <c r="BI413" s="51">
        <f t="shared" si="137"/>
        <v>44234</v>
      </c>
      <c r="BJ413" s="38">
        <f t="shared" ca="1" si="138"/>
        <v>1440</v>
      </c>
      <c r="BK413" s="38"/>
      <c r="BL413" s="38" t="str">
        <f t="shared" si="139"/>
        <v>Q1</v>
      </c>
      <c r="BM413"/>
      <c r="BN413" s="51"/>
      <c r="BP413" s="4" t="s">
        <v>1177</v>
      </c>
      <c r="BQ413" s="4" t="s">
        <v>410</v>
      </c>
      <c r="BR413" s="18" t="s">
        <v>1100</v>
      </c>
      <c r="BS413" s="18" t="s">
        <v>3025</v>
      </c>
      <c r="BT413" s="54" t="str">
        <f t="shared" si="135"/>
        <v>DevOps</v>
      </c>
      <c r="BV413" s="4" t="s">
        <v>1177</v>
      </c>
      <c r="BW413" s="4" t="s">
        <v>420</v>
      </c>
      <c r="CC413" s="4" t="s">
        <v>420</v>
      </c>
      <c r="CD413" s="4" t="s">
        <v>69</v>
      </c>
      <c r="CG413" s="54">
        <f>IFERROR(_xlfn.XLOOKUP(Hiring!A413,Hiring!A413:A812,Hiring!B413:B812,,0),"Not Found")</f>
        <v>0</v>
      </c>
    </row>
    <row r="414" spans="2:85">
      <c r="B414" s="100"/>
      <c r="F414" s="3">
        <v>4.9000000000000004</v>
      </c>
      <c r="G414" s="52" t="str" cm="1">
        <f t="array" ref="G414">_xlfn.IFS(F414&gt;=4.5,"Excellent",AND(F414&gt;=3.5,F414&lt;=4.4),"Good",F414&lt;3.5,"Needs Improvement")</f>
        <v>Excellent</v>
      </c>
      <c r="Q414" s="19">
        <v>10.16</v>
      </c>
      <c r="R414" s="56" t="str">
        <f t="shared" si="124"/>
        <v>Yes</v>
      </c>
      <c r="W414" s="19" t="s">
        <v>1100</v>
      </c>
      <c r="X414" s="54" t="str">
        <f>VLOOKUP(W414,Employees!$A$1:$B$601,2,FALSE)</f>
        <v>Ranjit Sahoo</v>
      </c>
      <c r="Z414" s="3" t="s">
        <v>1179</v>
      </c>
      <c r="AA414" s="54" t="str">
        <f t="shared" si="125"/>
        <v>0413</v>
      </c>
      <c r="AC414" s="3" t="s">
        <v>967</v>
      </c>
      <c r="AD414" s="54" t="str">
        <f t="shared" si="126"/>
        <v>Engineering</v>
      </c>
      <c r="AF414" s="3" t="s">
        <v>1180</v>
      </c>
      <c r="AG414" s="3" t="s">
        <v>967</v>
      </c>
      <c r="AH414" s="3" t="s">
        <v>172</v>
      </c>
      <c r="AI414" s="54" t="str">
        <f t="shared" si="127"/>
        <v>Bikash Ratha|engineering|TechNova Solutions</v>
      </c>
      <c r="AK414" s="3" t="s">
        <v>1180</v>
      </c>
      <c r="AL414" s="38" t="str">
        <f t="shared" si="128"/>
        <v>B.R.</v>
      </c>
      <c r="AQ414" s="3" t="s">
        <v>1180</v>
      </c>
      <c r="AR414" s="52" t="str">
        <f t="shared" si="130"/>
        <v>NO</v>
      </c>
      <c r="AW414" s="54">
        <f ca="1">DATEDIF(BI414,TODAY(),"Y")</f>
        <v>4</v>
      </c>
      <c r="AX414" s="54"/>
      <c r="AY414" s="42"/>
      <c r="BH414" s="3" t="s">
        <v>1181</v>
      </c>
      <c r="BI414" s="51">
        <f t="shared" si="137"/>
        <v>44765</v>
      </c>
      <c r="BJ414" s="38">
        <f t="shared" ca="1" si="138"/>
        <v>1060</v>
      </c>
      <c r="BK414" s="38"/>
      <c r="BL414" s="38" t="str">
        <f t="shared" si="139"/>
        <v>No</v>
      </c>
      <c r="BM414"/>
      <c r="BN414" s="51"/>
      <c r="BP414" s="3" t="s">
        <v>1179</v>
      </c>
      <c r="BQ414" s="3" t="s">
        <v>967</v>
      </c>
      <c r="BR414" s="19" t="s">
        <v>1100</v>
      </c>
      <c r="BS414" s="19" t="s">
        <v>3026</v>
      </c>
      <c r="BT414" s="54" t="str">
        <f t="shared" si="135"/>
        <v>DevOps</v>
      </c>
      <c r="BV414" s="3" t="s">
        <v>1179</v>
      </c>
      <c r="BW414" s="3" t="s">
        <v>1180</v>
      </c>
      <c r="CC414" s="3" t="s">
        <v>1180</v>
      </c>
      <c r="CD414" s="3" t="s">
        <v>197</v>
      </c>
      <c r="CG414" s="54">
        <f>IFERROR(_xlfn.XLOOKUP(Hiring!A414,Hiring!A414:A813,Hiring!B414:B813,,0),"Not Found")</f>
        <v>0</v>
      </c>
    </row>
    <row r="415" spans="2:85">
      <c r="B415" s="100"/>
      <c r="F415" s="4">
        <v>2.7</v>
      </c>
      <c r="G415" s="52" t="str" cm="1">
        <f t="array" ref="G415">_xlfn.IFS(F415&gt;=4.5,"Excellent",AND(F415&gt;=3.5,F415&lt;=4.4),"Good",F415&lt;3.5,"Needs Improvement")</f>
        <v>Needs Improvement</v>
      </c>
      <c r="Q415" s="18">
        <v>10.28</v>
      </c>
      <c r="R415" s="56" t="str">
        <f t="shared" si="124"/>
        <v>Yes</v>
      </c>
      <c r="W415" s="18" t="s">
        <v>1100</v>
      </c>
      <c r="X415" s="54" t="str">
        <f>VLOOKUP(W415,Employees!$A$1:$B$601,2,FALSE)</f>
        <v>Ranjit Sahoo</v>
      </c>
      <c r="Z415" s="4" t="s">
        <v>1182</v>
      </c>
      <c r="AA415" s="54" t="str">
        <f t="shared" si="125"/>
        <v>0414</v>
      </c>
      <c r="AC415" s="4" t="s">
        <v>84</v>
      </c>
      <c r="AD415" s="54" t="str">
        <f t="shared" si="126"/>
        <v>Hr</v>
      </c>
      <c r="AF415" s="4" t="s">
        <v>1183</v>
      </c>
      <c r="AG415" s="4" t="s">
        <v>84</v>
      </c>
      <c r="AH415" s="4" t="s">
        <v>18</v>
      </c>
      <c r="AI415" s="54" t="str">
        <f t="shared" si="127"/>
        <v>Alka Prusty|HR|CoastalDev Studio</v>
      </c>
      <c r="AK415" s="4" t="s">
        <v>1183</v>
      </c>
      <c r="AL415" s="38" t="str">
        <f t="shared" si="128"/>
        <v>A.P.</v>
      </c>
      <c r="AQ415" s="4" t="s">
        <v>1183</v>
      </c>
      <c r="AR415" s="52" t="str">
        <f t="shared" si="130"/>
        <v>NO</v>
      </c>
      <c r="AW415" s="54">
        <f ca="1">DATEDIF(BI415,TODAY(),"Y")</f>
        <v>2</v>
      </c>
      <c r="AX415" s="54"/>
      <c r="AY415" s="42"/>
      <c r="BH415" s="4" t="s">
        <v>1184</v>
      </c>
      <c r="BI415" s="51">
        <f t="shared" si="137"/>
        <v>45158</v>
      </c>
      <c r="BJ415" s="38">
        <f t="shared" ca="1" si="138"/>
        <v>780</v>
      </c>
      <c r="BK415" s="38"/>
      <c r="BL415" s="38" t="str">
        <f t="shared" si="139"/>
        <v>No</v>
      </c>
      <c r="BM415"/>
      <c r="BN415" s="51"/>
      <c r="BP415" s="4" t="s">
        <v>1182</v>
      </c>
      <c r="BQ415" s="4" t="s">
        <v>84</v>
      </c>
      <c r="BR415" s="18" t="s">
        <v>1100</v>
      </c>
      <c r="BS415" s="18" t="s">
        <v>3028</v>
      </c>
      <c r="BT415" s="54" t="str">
        <f t="shared" si="135"/>
        <v>DevOps</v>
      </c>
      <c r="BV415" s="4" t="s">
        <v>1182</v>
      </c>
      <c r="BW415" s="4" t="s">
        <v>1183</v>
      </c>
      <c r="CC415" s="4" t="s">
        <v>1183</v>
      </c>
      <c r="CD415" s="4" t="s">
        <v>85</v>
      </c>
      <c r="CG415" s="54">
        <f>IFERROR(_xlfn.XLOOKUP(Hiring!A415,Hiring!A415:A814,Hiring!B415:B814,,0),"Not Found")</f>
        <v>0</v>
      </c>
    </row>
    <row r="416" spans="2:85">
      <c r="B416" s="100"/>
      <c r="F416" s="3">
        <v>3.9</v>
      </c>
      <c r="G416" s="52" t="str" cm="1">
        <f t="array" ref="G416">_xlfn.IFS(F416&gt;=4.5,"Excellent",AND(F416&gt;=3.5,F416&lt;=4.4),"Good",F416&lt;3.5,"Needs Improvement")</f>
        <v>Good</v>
      </c>
      <c r="Q416" s="19">
        <v>11.46</v>
      </c>
      <c r="R416" s="56" t="str">
        <f t="shared" si="124"/>
        <v>Yes</v>
      </c>
      <c r="W416" s="19" t="s">
        <v>1100</v>
      </c>
      <c r="X416" s="54" t="str">
        <f>VLOOKUP(W416,Employees!$A$1:$B$601,2,FALSE)</f>
        <v>Ranjit Sahoo</v>
      </c>
      <c r="Z416" s="3" t="s">
        <v>1185</v>
      </c>
      <c r="AA416" s="54" t="str">
        <f t="shared" si="125"/>
        <v>0415</v>
      </c>
      <c r="AC416" s="3" t="s">
        <v>16</v>
      </c>
      <c r="AD416" s="54" t="str">
        <f t="shared" si="126"/>
        <v>Devops</v>
      </c>
      <c r="AF416" s="3" t="s">
        <v>747</v>
      </c>
      <c r="AG416" s="3" t="s">
        <v>16</v>
      </c>
      <c r="AH416" s="3" t="s">
        <v>75</v>
      </c>
      <c r="AI416" s="54" t="str">
        <f t="shared" si="127"/>
        <v>Tapas Prusty|DevOps|KalingaTech Pvt Ltd</v>
      </c>
      <c r="AK416" s="3" t="s">
        <v>747</v>
      </c>
      <c r="AL416" s="38" t="str">
        <f t="shared" si="128"/>
        <v>T.P.</v>
      </c>
      <c r="AQ416" s="3" t="s">
        <v>747</v>
      </c>
      <c r="AR416" s="52" t="str">
        <f t="shared" si="130"/>
        <v>NO</v>
      </c>
      <c r="AW416" s="54">
        <f ca="1">DATEDIF(BI416,TODAY(),"Y")</f>
        <v>5</v>
      </c>
      <c r="AX416" s="54"/>
      <c r="AY416" s="42"/>
      <c r="BH416" s="3" t="s">
        <v>1186</v>
      </c>
      <c r="BI416" s="51">
        <f t="shared" si="137"/>
        <v>44180</v>
      </c>
      <c r="BJ416" s="38">
        <f t="shared" ca="1" si="138"/>
        <v>1479</v>
      </c>
      <c r="BK416" s="38"/>
      <c r="BL416" s="38" t="str">
        <f t="shared" si="139"/>
        <v>No</v>
      </c>
      <c r="BM416"/>
      <c r="BN416" s="51"/>
      <c r="BP416" s="3" t="s">
        <v>1185</v>
      </c>
      <c r="BQ416" s="3" t="s">
        <v>16</v>
      </c>
      <c r="BR416" s="19" t="s">
        <v>1100</v>
      </c>
      <c r="BS416" s="19" t="s">
        <v>3030</v>
      </c>
      <c r="BT416" s="54" t="str">
        <f t="shared" si="135"/>
        <v>DevOps</v>
      </c>
      <c r="BV416" s="3" t="s">
        <v>1185</v>
      </c>
      <c r="BW416" s="3" t="s">
        <v>747</v>
      </c>
      <c r="CC416" s="3" t="s">
        <v>747</v>
      </c>
      <c r="CD416" s="3" t="s">
        <v>17</v>
      </c>
      <c r="CG416" s="54">
        <f>IFERROR(_xlfn.XLOOKUP(Hiring!A416,Hiring!A416:A815,Hiring!B416:B815,,0),"Not Found")</f>
        <v>0</v>
      </c>
    </row>
    <row r="417" spans="6:85">
      <c r="F417" s="4">
        <v>2.6</v>
      </c>
      <c r="G417" s="52" t="str" cm="1">
        <f t="array" ref="G417">_xlfn.IFS(F417&gt;=4.5,"Excellent",AND(F417&gt;=3.5,F417&lt;=4.4),"Good",F417&lt;3.5,"Needs Improvement")</f>
        <v>Needs Improvement</v>
      </c>
      <c r="Q417" s="18">
        <v>9.18</v>
      </c>
      <c r="R417" s="56" t="str">
        <f t="shared" si="124"/>
        <v>Yes</v>
      </c>
      <c r="W417" s="18" t="s">
        <v>1100</v>
      </c>
      <c r="X417" s="54" t="str">
        <f>VLOOKUP(W417,Employees!$A$1:$B$601,2,FALSE)</f>
        <v>Ranjit Sahoo</v>
      </c>
      <c r="Z417" s="4" t="s">
        <v>1187</v>
      </c>
      <c r="AA417" s="54" t="str">
        <f t="shared" si="125"/>
        <v>0416</v>
      </c>
      <c r="AC417" s="4" t="s">
        <v>24</v>
      </c>
      <c r="AD417" s="54" t="str">
        <f t="shared" si="126"/>
        <v>Design</v>
      </c>
      <c r="AF417" s="4" t="s">
        <v>1188</v>
      </c>
      <c r="AG417" s="4" t="s">
        <v>24</v>
      </c>
      <c r="AH417" s="4" t="s">
        <v>46</v>
      </c>
      <c r="AI417" s="54" t="str">
        <f t="shared" si="127"/>
        <v>Sudhansu Sahu|Design|SambalpurNet</v>
      </c>
      <c r="AK417" s="4" t="s">
        <v>1188</v>
      </c>
      <c r="AL417" s="38" t="str">
        <f t="shared" si="128"/>
        <v>S.S.</v>
      </c>
      <c r="AQ417" s="4" t="s">
        <v>1188</v>
      </c>
      <c r="AR417" s="52" t="str">
        <f t="shared" si="130"/>
        <v>NO</v>
      </c>
      <c r="AW417" s="54">
        <f ca="1">DATEDIF(BI417,TODAY(),"Y")</f>
        <v>7</v>
      </c>
      <c r="AX417" s="54"/>
      <c r="BH417" s="4" t="s">
        <v>1189</v>
      </c>
      <c r="BI417" s="51">
        <f t="shared" si="137"/>
        <v>43548</v>
      </c>
      <c r="BJ417" s="38">
        <f t="shared" ca="1" si="138"/>
        <v>1930</v>
      </c>
      <c r="BK417" s="38"/>
      <c r="BL417" s="38" t="str">
        <f t="shared" si="139"/>
        <v>Q1</v>
      </c>
      <c r="BM417"/>
      <c r="BN417" s="51"/>
      <c r="BP417" s="4" t="s">
        <v>1187</v>
      </c>
      <c r="BQ417" s="4" t="s">
        <v>24</v>
      </c>
      <c r="BR417" s="18" t="s">
        <v>1100</v>
      </c>
      <c r="BS417" s="18" t="s">
        <v>3031</v>
      </c>
      <c r="BT417" s="54" t="str">
        <f t="shared" si="135"/>
        <v>DevOps</v>
      </c>
      <c r="BV417" s="4" t="s">
        <v>1187</v>
      </c>
      <c r="BW417" s="4" t="s">
        <v>1188</v>
      </c>
      <c r="CC417" s="4" t="s">
        <v>1188</v>
      </c>
      <c r="CD417" s="4" t="s">
        <v>25</v>
      </c>
      <c r="CG417" s="54">
        <f>IFERROR(_xlfn.XLOOKUP(Hiring!A417,Hiring!A417:A816,Hiring!B417:B816,,0),"Not Found")</f>
        <v>0</v>
      </c>
    </row>
    <row r="418" spans="6:85">
      <c r="F418" s="3">
        <v>2.1</v>
      </c>
      <c r="G418" s="52" t="str" cm="1">
        <f t="array" ref="G418">_xlfn.IFS(F418&gt;=4.5,"Excellent",AND(F418&gt;=3.5,F418&lt;=4.4),"Good",F418&lt;3.5,"Needs Improvement")</f>
        <v>Needs Improvement</v>
      </c>
      <c r="Q418" s="19">
        <v>10.91</v>
      </c>
      <c r="R418" s="56" t="str">
        <f t="shared" si="124"/>
        <v>Yes</v>
      </c>
      <c r="W418" s="19" t="s">
        <v>1100</v>
      </c>
      <c r="X418" s="54" t="str">
        <f>VLOOKUP(W418,Employees!$A$1:$B$601,2,FALSE)</f>
        <v>Ranjit Sahoo</v>
      </c>
      <c r="Z418" s="3" t="s">
        <v>1190</v>
      </c>
      <c r="AA418" s="54" t="str">
        <f t="shared" si="125"/>
        <v>0417</v>
      </c>
      <c r="AC418" s="3" t="s">
        <v>39</v>
      </c>
      <c r="AD418" s="54" t="str">
        <f t="shared" si="126"/>
        <v>Engineering</v>
      </c>
      <c r="AF418" s="3" t="s">
        <v>1191</v>
      </c>
      <c r="AG418" s="3" t="s">
        <v>39</v>
      </c>
      <c r="AH418" s="3" t="s">
        <v>214</v>
      </c>
      <c r="AI418" s="54" t="str">
        <f t="shared" si="127"/>
        <v>Ankita Samal|Engineering|ZeroOneSystems</v>
      </c>
      <c r="AK418" s="3" t="s">
        <v>1191</v>
      </c>
      <c r="AL418" s="38" t="str">
        <f t="shared" si="128"/>
        <v>A.S.</v>
      </c>
      <c r="AQ418" s="3" t="s">
        <v>1191</v>
      </c>
      <c r="AR418" s="52" t="str">
        <f t="shared" si="130"/>
        <v>NO</v>
      </c>
      <c r="AW418" s="54">
        <f ca="1">DATEDIF(BI418,TODAY(),"Y")</f>
        <v>3</v>
      </c>
      <c r="AX418" s="54"/>
      <c r="BH418" s="3" t="s">
        <v>1192</v>
      </c>
      <c r="BI418" s="51">
        <f t="shared" si="137"/>
        <v>45108</v>
      </c>
      <c r="BJ418" s="38">
        <f t="shared" ca="1" si="138"/>
        <v>815</v>
      </c>
      <c r="BK418" s="38"/>
      <c r="BL418" s="38" t="str">
        <f t="shared" si="139"/>
        <v>No</v>
      </c>
      <c r="BM418"/>
      <c r="BN418" s="51"/>
      <c r="BP418" s="3" t="s">
        <v>1190</v>
      </c>
      <c r="BQ418" s="3" t="s">
        <v>39</v>
      </c>
      <c r="BR418" s="19" t="s">
        <v>1100</v>
      </c>
      <c r="BS418" s="19" t="s">
        <v>3032</v>
      </c>
      <c r="BT418" s="54" t="str">
        <f t="shared" si="135"/>
        <v>DevOps</v>
      </c>
      <c r="BV418" s="3" t="s">
        <v>1190</v>
      </c>
      <c r="BW418" s="3" t="s">
        <v>1191</v>
      </c>
      <c r="CC418" s="3" t="s">
        <v>1191</v>
      </c>
      <c r="CD418" s="3" t="s">
        <v>109</v>
      </c>
      <c r="CG418" s="54">
        <f>IFERROR(_xlfn.XLOOKUP(Hiring!A418,Hiring!A418:A817,Hiring!B418:B817,,0),"Not Found")</f>
        <v>0</v>
      </c>
    </row>
    <row r="419" spans="6:85">
      <c r="F419" s="4">
        <v>4.7</v>
      </c>
      <c r="G419" s="52" t="str" cm="1">
        <f t="array" ref="G419">_xlfn.IFS(F419&gt;=4.5,"Excellent",AND(F419&gt;=3.5,F419&lt;=4.4),"Good",F419&lt;3.5,"Needs Improvement")</f>
        <v>Excellent</v>
      </c>
      <c r="Q419" s="18">
        <v>8.4600000000000009</v>
      </c>
      <c r="R419" s="56" t="str">
        <f t="shared" si="124"/>
        <v>Yes</v>
      </c>
      <c r="W419" s="18" t="s">
        <v>1100</v>
      </c>
      <c r="X419" s="54" t="str">
        <f>VLOOKUP(W419,Employees!$A$1:$B$601,2,FALSE)</f>
        <v>Ranjit Sahoo</v>
      </c>
      <c r="Z419" s="4" t="s">
        <v>1193</v>
      </c>
      <c r="AA419" s="54" t="str">
        <f t="shared" si="125"/>
        <v>0418</v>
      </c>
      <c r="AC419" s="4" t="s">
        <v>63</v>
      </c>
      <c r="AD419" s="54" t="str">
        <f t="shared" si="126"/>
        <v>Product</v>
      </c>
      <c r="AF419" s="4" t="s">
        <v>1194</v>
      </c>
      <c r="AG419" s="4" t="s">
        <v>63</v>
      </c>
      <c r="AH419" s="4" t="s">
        <v>172</v>
      </c>
      <c r="AI419" s="54" t="str">
        <f t="shared" si="127"/>
        <v>Dibya Pattnaik|Product|TechNova Solutions</v>
      </c>
      <c r="AK419" s="4" t="s">
        <v>1194</v>
      </c>
      <c r="AL419" s="38" t="str">
        <f t="shared" si="128"/>
        <v>D.P.</v>
      </c>
      <c r="AQ419" s="4" t="s">
        <v>1194</v>
      </c>
      <c r="AR419" s="52" t="str">
        <f t="shared" si="130"/>
        <v>NO</v>
      </c>
      <c r="AW419" s="54">
        <f ca="1">DATEDIF(BI419,TODAY(),"Y")</f>
        <v>7</v>
      </c>
      <c r="AX419" s="54"/>
      <c r="BH419" s="4" t="s">
        <v>1195</v>
      </c>
      <c r="BI419" s="51">
        <f t="shared" si="137"/>
        <v>43663</v>
      </c>
      <c r="BJ419" s="38">
        <f t="shared" ca="1" si="138"/>
        <v>1848</v>
      </c>
      <c r="BK419" s="38"/>
      <c r="BL419" s="38" t="str">
        <f t="shared" si="139"/>
        <v>No</v>
      </c>
      <c r="BM419"/>
      <c r="BN419" s="51"/>
      <c r="BP419" s="4" t="s">
        <v>1193</v>
      </c>
      <c r="BQ419" s="4" t="s">
        <v>63</v>
      </c>
      <c r="BR419" s="18" t="s">
        <v>1100</v>
      </c>
      <c r="BS419" s="18" t="s">
        <v>3034</v>
      </c>
      <c r="BT419" s="54" t="str">
        <f t="shared" si="135"/>
        <v>DevOps</v>
      </c>
      <c r="BV419" s="4" t="s">
        <v>1193</v>
      </c>
      <c r="BW419" s="4" t="s">
        <v>1194</v>
      </c>
      <c r="CC419" s="4" t="s">
        <v>1194</v>
      </c>
      <c r="CD419" s="4" t="s">
        <v>64</v>
      </c>
      <c r="CG419" s="54">
        <f>IFERROR(_xlfn.XLOOKUP(Hiring!A419,Hiring!A419:A818,Hiring!B419:B818,,0),"Not Found")</f>
        <v>0</v>
      </c>
    </row>
    <row r="420" spans="6:85">
      <c r="F420" s="3">
        <v>4.9000000000000004</v>
      </c>
      <c r="G420" s="52" t="str" cm="1">
        <f t="array" ref="G420">_xlfn.IFS(F420&gt;=4.5,"Excellent",AND(F420&gt;=3.5,F420&lt;=4.4),"Good",F420&lt;3.5,"Needs Improvement")</f>
        <v>Excellent</v>
      </c>
      <c r="Q420" s="19">
        <v>7.85</v>
      </c>
      <c r="R420" s="56" t="str">
        <f t="shared" si="124"/>
        <v>Yes</v>
      </c>
      <c r="W420" s="19" t="s">
        <v>1100</v>
      </c>
      <c r="X420" s="54" t="str">
        <f>VLOOKUP(W420,Employees!$A$1:$B$601,2,FALSE)</f>
        <v>Ranjit Sahoo</v>
      </c>
      <c r="Z420" s="3" t="s">
        <v>1196</v>
      </c>
      <c r="AA420" s="54" t="str">
        <f t="shared" si="125"/>
        <v>0419</v>
      </c>
      <c r="AC420" s="3" t="s">
        <v>558</v>
      </c>
      <c r="AD420" s="54" t="str">
        <f t="shared" si="126"/>
        <v>Finance</v>
      </c>
      <c r="AF420" s="3" t="s">
        <v>542</v>
      </c>
      <c r="AG420" s="3" t="s">
        <v>558</v>
      </c>
      <c r="AH420" s="3" t="s">
        <v>172</v>
      </c>
      <c r="AI420" s="54" t="str">
        <f t="shared" si="127"/>
        <v>Saurav Padhi|finance|TechNova Solutions</v>
      </c>
      <c r="AK420" s="3" t="s">
        <v>542</v>
      </c>
      <c r="AL420" s="38" t="str">
        <f t="shared" si="128"/>
        <v>S.P.</v>
      </c>
      <c r="AQ420" s="3" t="s">
        <v>542</v>
      </c>
      <c r="AR420" s="52" t="str">
        <f t="shared" si="130"/>
        <v>NO</v>
      </c>
      <c r="AW420" s="54">
        <f ca="1">DATEDIF(BI420,TODAY(),"Y")</f>
        <v>2</v>
      </c>
      <c r="AX420" s="54"/>
      <c r="BH420" s="3" t="s">
        <v>1197</v>
      </c>
      <c r="BI420" s="51">
        <f t="shared" si="137"/>
        <v>45197</v>
      </c>
      <c r="BJ420" s="38">
        <f t="shared" ca="1" si="138"/>
        <v>752</v>
      </c>
      <c r="BK420" s="38"/>
      <c r="BL420" s="38" t="str">
        <f t="shared" si="139"/>
        <v>No</v>
      </c>
      <c r="BM420"/>
      <c r="BN420" s="51"/>
      <c r="BP420" s="3" t="s">
        <v>1196</v>
      </c>
      <c r="BQ420" s="3" t="s">
        <v>558</v>
      </c>
      <c r="BR420" s="19" t="s">
        <v>1100</v>
      </c>
      <c r="BS420" s="19" t="s">
        <v>3035</v>
      </c>
      <c r="BT420" s="54" t="str">
        <f t="shared" si="135"/>
        <v>DevOps</v>
      </c>
      <c r="BV420" s="3" t="s">
        <v>1196</v>
      </c>
      <c r="BW420" s="3" t="s">
        <v>542</v>
      </c>
      <c r="CC420" s="3" t="s">
        <v>542</v>
      </c>
      <c r="CD420" s="3" t="s">
        <v>177</v>
      </c>
      <c r="CG420" s="54">
        <f>IFERROR(_xlfn.XLOOKUP(Hiring!A420,Hiring!A420:A819,Hiring!B420:B819,,0),"Not Found")</f>
        <v>0</v>
      </c>
    </row>
    <row r="421" spans="6:85">
      <c r="F421" s="4">
        <v>4.7</v>
      </c>
      <c r="G421" s="52" t="str" cm="1">
        <f t="array" ref="G421">_xlfn.IFS(F421&gt;=4.5,"Excellent",AND(F421&gt;=3.5,F421&lt;=4.4),"Good",F421&lt;3.5,"Needs Improvement")</f>
        <v>Excellent</v>
      </c>
      <c r="Q421" s="18">
        <v>9.01</v>
      </c>
      <c r="R421" s="56" t="str">
        <f t="shared" si="124"/>
        <v>Yes</v>
      </c>
      <c r="W421" s="18" t="s">
        <v>1100</v>
      </c>
      <c r="X421" s="54" t="str">
        <f>VLOOKUP(W421,Employees!$A$1:$B$601,2,FALSE)</f>
        <v>Ranjit Sahoo</v>
      </c>
      <c r="Z421" s="4" t="s">
        <v>1198</v>
      </c>
      <c r="AA421" s="54" t="str">
        <f t="shared" si="125"/>
        <v>0420</v>
      </c>
      <c r="AC421" s="4" t="s">
        <v>63</v>
      </c>
      <c r="AD421" s="54" t="str">
        <f t="shared" si="126"/>
        <v>Product</v>
      </c>
      <c r="AF421" s="4" t="s">
        <v>476</v>
      </c>
      <c r="AG421" s="4" t="s">
        <v>63</v>
      </c>
      <c r="AH421" s="4" t="s">
        <v>18</v>
      </c>
      <c r="AI421" s="54" t="str">
        <f t="shared" si="127"/>
        <v>Prasant Pattnaik|Product|CoastalDev Studio</v>
      </c>
      <c r="AK421" s="4" t="s">
        <v>476</v>
      </c>
      <c r="AL421" s="38" t="str">
        <f t="shared" si="128"/>
        <v>P.P.</v>
      </c>
      <c r="AQ421" s="4" t="s">
        <v>476</v>
      </c>
      <c r="AR421" s="52" t="str">
        <f t="shared" si="130"/>
        <v>NO</v>
      </c>
      <c r="AW421" s="54">
        <f ca="1">DATEDIF(BI421,TODAY(),"Y")</f>
        <v>5</v>
      </c>
      <c r="AX421" s="54"/>
      <c r="BH421" s="4" t="s">
        <v>1199</v>
      </c>
      <c r="BI421" s="51">
        <f t="shared" si="137"/>
        <v>44308</v>
      </c>
      <c r="BJ421" s="38">
        <f t="shared" ca="1" si="138"/>
        <v>1387</v>
      </c>
      <c r="BK421" s="38"/>
      <c r="BL421" s="38" t="str">
        <f t="shared" si="139"/>
        <v>No</v>
      </c>
      <c r="BM421"/>
      <c r="BN421" s="51"/>
      <c r="BP421" s="4" t="s">
        <v>1198</v>
      </c>
      <c r="BQ421" s="4" t="s">
        <v>63</v>
      </c>
      <c r="BR421" s="18" t="s">
        <v>1100</v>
      </c>
      <c r="BS421" s="18" t="s">
        <v>3036</v>
      </c>
      <c r="BT421" s="54" t="str">
        <f t="shared" si="135"/>
        <v>DevOps</v>
      </c>
      <c r="BV421" s="4" t="s">
        <v>1198</v>
      </c>
      <c r="BW421" s="4" t="s">
        <v>476</v>
      </c>
      <c r="CC421" s="4" t="s">
        <v>476</v>
      </c>
      <c r="CD421" s="4" t="s">
        <v>225</v>
      </c>
      <c r="CG421" s="54">
        <f>IFERROR(_xlfn.XLOOKUP(Hiring!A421,Hiring!A421:A820,Hiring!B421:B820,,0),"Not Found")</f>
        <v>0</v>
      </c>
    </row>
    <row r="422" spans="6:85">
      <c r="F422" s="3">
        <v>3.2</v>
      </c>
      <c r="G422" s="52" t="str" cm="1">
        <f t="array" ref="G422">_xlfn.IFS(F422&gt;=4.5,"Excellent",AND(F422&gt;=3.5,F422&lt;=4.4),"Good",F422&lt;3.5,"Needs Improvement")</f>
        <v>Needs Improvement</v>
      </c>
      <c r="Q422" s="19">
        <v>10.81</v>
      </c>
      <c r="R422" s="56" t="str">
        <f t="shared" si="124"/>
        <v>Yes</v>
      </c>
      <c r="W422" s="19" t="s">
        <v>1100</v>
      </c>
      <c r="X422" s="54" t="str">
        <f>VLOOKUP(W422,Employees!$A$1:$B$601,2,FALSE)</f>
        <v>Ranjit Sahoo</v>
      </c>
      <c r="Z422" s="3" t="s">
        <v>1200</v>
      </c>
      <c r="AA422" s="54" t="str">
        <f t="shared" si="125"/>
        <v>0421</v>
      </c>
      <c r="AC422" s="3" t="s">
        <v>84</v>
      </c>
      <c r="AD422" s="54" t="str">
        <f t="shared" si="126"/>
        <v>Hr</v>
      </c>
      <c r="AF422" s="3" t="s">
        <v>452</v>
      </c>
      <c r="AG422" s="3" t="s">
        <v>84</v>
      </c>
      <c r="AH422" s="3" t="s">
        <v>18</v>
      </c>
      <c r="AI422" s="54" t="str">
        <f t="shared" si="127"/>
        <v>Lipsa Nanda|HR|CoastalDev Studio</v>
      </c>
      <c r="AK422" s="3" t="s">
        <v>452</v>
      </c>
      <c r="AL422" s="38" t="str">
        <f t="shared" si="128"/>
        <v>L.N.</v>
      </c>
      <c r="AQ422" s="3" t="s">
        <v>452</v>
      </c>
      <c r="AR422" s="52" t="str">
        <f t="shared" si="130"/>
        <v>NO</v>
      </c>
      <c r="AW422" s="54">
        <f ca="1">DATEDIF(BI422,TODAY(),"Y")</f>
        <v>3</v>
      </c>
      <c r="AX422" s="54"/>
      <c r="BH422" s="3" t="s">
        <v>1201</v>
      </c>
      <c r="BI422" s="51">
        <f t="shared" si="137"/>
        <v>44845</v>
      </c>
      <c r="BJ422" s="38">
        <f t="shared" ca="1" si="138"/>
        <v>1004</v>
      </c>
      <c r="BK422" s="38"/>
      <c r="BL422" s="38" t="str">
        <f t="shared" si="139"/>
        <v>No</v>
      </c>
      <c r="BM422"/>
      <c r="BN422" s="51"/>
      <c r="BP422" s="3" t="s">
        <v>1200</v>
      </c>
      <c r="BQ422" s="3" t="s">
        <v>84</v>
      </c>
      <c r="BR422" s="19" t="s">
        <v>1100</v>
      </c>
      <c r="BS422" s="19" t="s">
        <v>3037</v>
      </c>
      <c r="BT422" s="54" t="str">
        <f t="shared" si="135"/>
        <v>DevOps</v>
      </c>
      <c r="BV422" s="3" t="s">
        <v>1200</v>
      </c>
      <c r="BW422" s="3" t="s">
        <v>452</v>
      </c>
      <c r="CC422" s="3" t="s">
        <v>452</v>
      </c>
      <c r="CD422" s="3" t="s">
        <v>138</v>
      </c>
      <c r="CG422" s="54">
        <f>IFERROR(_xlfn.XLOOKUP(Hiring!A422,Hiring!A422:A821,Hiring!B422:B821,,0),"Not Found")</f>
        <v>0</v>
      </c>
    </row>
    <row r="423" spans="6:85">
      <c r="F423" s="4">
        <v>2.6</v>
      </c>
      <c r="G423" s="52" t="str" cm="1">
        <f t="array" ref="G423">_xlfn.IFS(F423&gt;=4.5,"Excellent",AND(F423&gt;=3.5,F423&lt;=4.4),"Good",F423&lt;3.5,"Needs Improvement")</f>
        <v>Needs Improvement</v>
      </c>
      <c r="Q423" s="18">
        <v>9.5299999999999994</v>
      </c>
      <c r="R423" s="56" t="str">
        <f t="shared" si="124"/>
        <v>Yes</v>
      </c>
      <c r="W423" s="18" t="s">
        <v>1100</v>
      </c>
      <c r="X423" s="54" t="str">
        <f>VLOOKUP(W423,Employees!$A$1:$B$601,2,FALSE)</f>
        <v>Ranjit Sahoo</v>
      </c>
      <c r="Z423" s="4" t="s">
        <v>1202</v>
      </c>
      <c r="AA423" s="54" t="str">
        <f t="shared" si="125"/>
        <v>0422</v>
      </c>
      <c r="AC423" s="4" t="s">
        <v>51</v>
      </c>
      <c r="AD423" s="54" t="str">
        <f t="shared" si="126"/>
        <v>Sales</v>
      </c>
      <c r="AF423" s="4" t="s">
        <v>1203</v>
      </c>
      <c r="AG423" s="4" t="s">
        <v>51</v>
      </c>
      <c r="AH423" s="4" t="s">
        <v>32</v>
      </c>
      <c r="AI423" s="54" t="str">
        <f t="shared" si="127"/>
        <v>Alka Jena|Sales|NilGiri Digitals</v>
      </c>
      <c r="AK423" s="4" t="s">
        <v>1203</v>
      </c>
      <c r="AL423" s="38" t="str">
        <f t="shared" si="128"/>
        <v>A.J.</v>
      </c>
      <c r="AQ423" s="4" t="s">
        <v>1203</v>
      </c>
      <c r="AR423" s="52" t="str">
        <f t="shared" si="130"/>
        <v>NO</v>
      </c>
      <c r="AW423" s="54">
        <f ca="1">DATEDIF(BI423,TODAY(),"Y")</f>
        <v>3</v>
      </c>
      <c r="AX423" s="54"/>
      <c r="BH423" s="4" t="s">
        <v>1204</v>
      </c>
      <c r="BI423" s="51">
        <f t="shared" si="137"/>
        <v>44981</v>
      </c>
      <c r="BJ423" s="38">
        <f t="shared" ca="1" si="138"/>
        <v>906</v>
      </c>
      <c r="BK423" s="38"/>
      <c r="BL423" s="38" t="str">
        <f t="shared" si="139"/>
        <v>Q1</v>
      </c>
      <c r="BM423"/>
      <c r="BN423" s="51"/>
      <c r="BP423" s="4" t="s">
        <v>1202</v>
      </c>
      <c r="BQ423" s="4" t="s">
        <v>51</v>
      </c>
      <c r="BR423" s="18" t="s">
        <v>1100</v>
      </c>
      <c r="BS423" s="18" t="s">
        <v>3038</v>
      </c>
      <c r="BT423" s="54" t="str">
        <f t="shared" si="135"/>
        <v>DevOps</v>
      </c>
      <c r="BV423" s="4" t="s">
        <v>1202</v>
      </c>
      <c r="BW423" s="4" t="s">
        <v>1203</v>
      </c>
      <c r="CC423" s="4" t="s">
        <v>1203</v>
      </c>
      <c r="CD423" s="4" t="s">
        <v>69</v>
      </c>
      <c r="CG423" s="54">
        <f>IFERROR(_xlfn.XLOOKUP(Hiring!A423,Hiring!A423:A822,Hiring!B423:B822,,0),"Not Found")</f>
        <v>0</v>
      </c>
    </row>
    <row r="424" spans="6:85">
      <c r="F424" s="3">
        <v>3.4</v>
      </c>
      <c r="G424" s="52" t="str" cm="1">
        <f t="array" ref="G424">_xlfn.IFS(F424&gt;=4.5,"Excellent",AND(F424&gt;=3.5,F424&lt;=4.4),"Good",F424&lt;3.5,"Needs Improvement")</f>
        <v>Needs Improvement</v>
      </c>
      <c r="Q424" s="19">
        <v>9.58</v>
      </c>
      <c r="R424" s="56" t="str">
        <f t="shared" si="124"/>
        <v>Yes</v>
      </c>
      <c r="W424" s="19" t="s">
        <v>1100</v>
      </c>
      <c r="X424" s="54" t="str">
        <f>VLOOKUP(W424,Employees!$A$1:$B$601,2,FALSE)</f>
        <v>Ranjit Sahoo</v>
      </c>
      <c r="Z424" s="3" t="s">
        <v>1205</v>
      </c>
      <c r="AA424" s="54" t="str">
        <f t="shared" si="125"/>
        <v>0423</v>
      </c>
      <c r="AC424" s="3" t="s">
        <v>24</v>
      </c>
      <c r="AD424" s="54" t="str">
        <f t="shared" si="126"/>
        <v>Design</v>
      </c>
      <c r="AF424" s="3" t="s">
        <v>1206</v>
      </c>
      <c r="AG424" s="3" t="s">
        <v>24</v>
      </c>
      <c r="AH424" s="3" t="s">
        <v>46</v>
      </c>
      <c r="AI424" s="54" t="str">
        <f t="shared" si="127"/>
        <v>Aditya Jena|Design|SambalpurNet</v>
      </c>
      <c r="AK424" s="3" t="s">
        <v>1206</v>
      </c>
      <c r="AL424" s="38" t="str">
        <f t="shared" si="128"/>
        <v>A.J.</v>
      </c>
      <c r="AQ424" s="3" t="s">
        <v>1206</v>
      </c>
      <c r="AR424" s="52" t="str">
        <f t="shared" si="130"/>
        <v>NO</v>
      </c>
      <c r="AW424" s="54">
        <f ca="1">DATEDIF(BI424,TODAY(),"Y")</f>
        <v>3</v>
      </c>
      <c r="AX424" s="54"/>
      <c r="BH424" s="3" t="s">
        <v>1207</v>
      </c>
      <c r="BI424" s="51">
        <f t="shared" si="137"/>
        <v>44939</v>
      </c>
      <c r="BJ424" s="38">
        <f t="shared" ca="1" si="138"/>
        <v>936</v>
      </c>
      <c r="BK424" s="38"/>
      <c r="BL424" s="38" t="str">
        <f t="shared" si="139"/>
        <v>Q1</v>
      </c>
      <c r="BM424"/>
      <c r="BN424" s="51"/>
      <c r="BP424" s="3" t="s">
        <v>1205</v>
      </c>
      <c r="BQ424" s="3" t="s">
        <v>24</v>
      </c>
      <c r="BR424" s="19" t="s">
        <v>1100</v>
      </c>
      <c r="BS424" s="19" t="s">
        <v>3039</v>
      </c>
      <c r="BT424" s="54" t="str">
        <f t="shared" si="135"/>
        <v>DevOps</v>
      </c>
      <c r="BV424" s="3" t="s">
        <v>1205</v>
      </c>
      <c r="BW424" s="3" t="s">
        <v>1206</v>
      </c>
      <c r="CC424" s="3" t="s">
        <v>1206</v>
      </c>
      <c r="CD424" s="3" t="s">
        <v>25</v>
      </c>
      <c r="CG424" s="54">
        <f>IFERROR(_xlfn.XLOOKUP(Hiring!A424,Hiring!A424:A823,Hiring!B424:B823,,0),"Not Found")</f>
        <v>0</v>
      </c>
    </row>
    <row r="425" spans="6:85">
      <c r="F425" s="4">
        <v>3.9</v>
      </c>
      <c r="G425" s="52" t="str" cm="1">
        <f t="array" ref="G425">_xlfn.IFS(F425&gt;=4.5,"Excellent",AND(F425&gt;=3.5,F425&lt;=4.4),"Good",F425&lt;3.5,"Needs Improvement")</f>
        <v>Good</v>
      </c>
      <c r="Q425" s="18">
        <v>10.51</v>
      </c>
      <c r="R425" s="56" t="str">
        <f t="shared" si="124"/>
        <v>Yes</v>
      </c>
      <c r="W425" s="18" t="s">
        <v>1100</v>
      </c>
      <c r="X425" s="54" t="str">
        <f>VLOOKUP(W425,Employees!$A$1:$B$601,2,FALSE)</f>
        <v>Ranjit Sahoo</v>
      </c>
      <c r="Z425" s="4" t="s">
        <v>1208</v>
      </c>
      <c r="AA425" s="54" t="str">
        <f t="shared" si="125"/>
        <v>0424</v>
      </c>
      <c r="AC425" s="4" t="s">
        <v>51</v>
      </c>
      <c r="AD425" s="54" t="str">
        <f t="shared" si="126"/>
        <v>Sales</v>
      </c>
      <c r="AF425" s="4" t="s">
        <v>1209</v>
      </c>
      <c r="AG425" s="4" t="s">
        <v>51</v>
      </c>
      <c r="AH425" s="4" t="s">
        <v>18</v>
      </c>
      <c r="AI425" s="54" t="str">
        <f t="shared" si="127"/>
        <v>Ankita Jena|Sales|CoastalDev Studio</v>
      </c>
      <c r="AK425" s="4" t="s">
        <v>1209</v>
      </c>
      <c r="AL425" s="38" t="str">
        <f t="shared" si="128"/>
        <v>A.J.</v>
      </c>
      <c r="AQ425" s="4" t="s">
        <v>1209</v>
      </c>
      <c r="AR425" s="52" t="str">
        <f t="shared" si="130"/>
        <v>NO</v>
      </c>
      <c r="AW425" s="54">
        <f ca="1">DATEDIF(BI425,TODAY(),"Y")</f>
        <v>3</v>
      </c>
      <c r="AX425" s="54"/>
      <c r="BH425" s="4" t="s">
        <v>1210</v>
      </c>
      <c r="BI425" s="51">
        <f t="shared" si="137"/>
        <v>44853</v>
      </c>
      <c r="BJ425" s="38">
        <f t="shared" ca="1" si="138"/>
        <v>998</v>
      </c>
      <c r="BK425" s="38"/>
      <c r="BL425" s="38" t="str">
        <f t="shared" si="139"/>
        <v>No</v>
      </c>
      <c r="BM425"/>
      <c r="BN425" s="51"/>
      <c r="BP425" s="4" t="s">
        <v>1208</v>
      </c>
      <c r="BQ425" s="4" t="s">
        <v>51</v>
      </c>
      <c r="BR425" s="18" t="s">
        <v>1100</v>
      </c>
      <c r="BS425" s="18" t="s">
        <v>3040</v>
      </c>
      <c r="BT425" s="54" t="str">
        <f t="shared" si="135"/>
        <v>DevOps</v>
      </c>
      <c r="BV425" s="4" t="s">
        <v>1208</v>
      </c>
      <c r="BW425" s="4" t="s">
        <v>1209</v>
      </c>
      <c r="CC425" s="4" t="s">
        <v>1209</v>
      </c>
      <c r="CD425" s="4" t="s">
        <v>105</v>
      </c>
      <c r="CG425" s="54">
        <f>IFERROR(_xlfn.XLOOKUP(Hiring!A425,Hiring!A425:A824,Hiring!B425:B824,,0),"Not Found")</f>
        <v>0</v>
      </c>
    </row>
    <row r="426" spans="6:85">
      <c r="F426" s="3">
        <v>2.1</v>
      </c>
      <c r="G426" s="52" t="str" cm="1">
        <f t="array" ref="G426">_xlfn.IFS(F426&gt;=4.5,"Excellent",AND(F426&gt;=3.5,F426&lt;=4.4),"Good",F426&lt;3.5,"Needs Improvement")</f>
        <v>Needs Improvement</v>
      </c>
      <c r="Q426" s="19">
        <v>9.64</v>
      </c>
      <c r="R426" s="56" t="str">
        <f t="shared" si="124"/>
        <v>Yes</v>
      </c>
      <c r="W426" s="19" t="s">
        <v>1100</v>
      </c>
      <c r="X426" s="54" t="str">
        <f>VLOOKUP(W426,Employees!$A$1:$B$601,2,FALSE)</f>
        <v>Ranjit Sahoo</v>
      </c>
      <c r="Z426" s="3" t="s">
        <v>1211</v>
      </c>
      <c r="AA426" s="54" t="str">
        <f t="shared" si="125"/>
        <v>0425</v>
      </c>
      <c r="AC426" s="3" t="s">
        <v>63</v>
      </c>
      <c r="AD426" s="54" t="str">
        <f t="shared" si="126"/>
        <v>Product</v>
      </c>
      <c r="AF426" s="3" t="s">
        <v>112</v>
      </c>
      <c r="AG426" s="3" t="s">
        <v>63</v>
      </c>
      <c r="AH426" s="3" t="s">
        <v>75</v>
      </c>
      <c r="AI426" s="54" t="str">
        <f t="shared" si="127"/>
        <v>Lipsa Behura|Product|KalingaTech Pvt Ltd</v>
      </c>
      <c r="AK426" s="3" t="s">
        <v>112</v>
      </c>
      <c r="AL426" s="38" t="str">
        <f t="shared" si="128"/>
        <v>L.B.</v>
      </c>
      <c r="AQ426" s="3" t="s">
        <v>112</v>
      </c>
      <c r="AR426" s="52" t="str">
        <f t="shared" si="130"/>
        <v>NO</v>
      </c>
      <c r="AW426" s="54">
        <f ca="1">DATEDIF(BI426,TODAY(),"Y")</f>
        <v>6</v>
      </c>
      <c r="AX426" s="54"/>
      <c r="BH426" s="3" t="s">
        <v>1212</v>
      </c>
      <c r="BI426" s="51">
        <f t="shared" si="137"/>
        <v>43719</v>
      </c>
      <c r="BJ426" s="38">
        <f t="shared" ca="1" si="138"/>
        <v>1808</v>
      </c>
      <c r="BK426" s="38"/>
      <c r="BL426" s="38" t="str">
        <f t="shared" si="139"/>
        <v>No</v>
      </c>
      <c r="BM426"/>
      <c r="BN426" s="51"/>
      <c r="BP426" s="3" t="s">
        <v>1211</v>
      </c>
      <c r="BQ426" s="3" t="s">
        <v>63</v>
      </c>
      <c r="BR426" s="19" t="s">
        <v>1100</v>
      </c>
      <c r="BS426" s="19" t="s">
        <v>3041</v>
      </c>
      <c r="BT426" s="54" t="str">
        <f t="shared" si="135"/>
        <v>DevOps</v>
      </c>
      <c r="BV426" s="3" t="s">
        <v>1211</v>
      </c>
      <c r="BW426" s="3" t="s">
        <v>112</v>
      </c>
      <c r="CC426" s="3" t="s">
        <v>112</v>
      </c>
      <c r="CD426" s="3" t="s">
        <v>225</v>
      </c>
      <c r="CG426" s="54">
        <f>IFERROR(_xlfn.XLOOKUP(Hiring!A426,Hiring!A426:A825,Hiring!B426:B825,,0),"Not Found")</f>
        <v>0</v>
      </c>
    </row>
    <row r="427" spans="6:85">
      <c r="F427" s="4">
        <v>3.9</v>
      </c>
      <c r="G427" s="52" t="str" cm="1">
        <f t="array" ref="G427">_xlfn.IFS(F427&gt;=4.5,"Excellent",AND(F427&gt;=3.5,F427&lt;=4.4),"Good",F427&lt;3.5,"Needs Improvement")</f>
        <v>Good</v>
      </c>
      <c r="Q427" s="18">
        <v>9.58</v>
      </c>
      <c r="R427" s="56" t="str">
        <f t="shared" si="124"/>
        <v>Yes</v>
      </c>
      <c r="W427" s="18" t="s">
        <v>1100</v>
      </c>
      <c r="X427" s="54" t="str">
        <f>VLOOKUP(W427,Employees!$A$1:$B$601,2,FALSE)</f>
        <v>Ranjit Sahoo</v>
      </c>
      <c r="Z427" s="4" t="s">
        <v>1213</v>
      </c>
      <c r="AA427" s="54" t="str">
        <f t="shared" si="125"/>
        <v>0426</v>
      </c>
      <c r="AC427" s="4" t="s">
        <v>89</v>
      </c>
      <c r="AD427" s="54" t="str">
        <f t="shared" si="126"/>
        <v>Data Science</v>
      </c>
      <c r="AF427" s="4" t="s">
        <v>112</v>
      </c>
      <c r="AG427" s="4" t="s">
        <v>89</v>
      </c>
      <c r="AH427" s="4" t="s">
        <v>75</v>
      </c>
      <c r="AI427" s="54" t="str">
        <f t="shared" si="127"/>
        <v>Lipsa Behura|Data Science|KalingaTech Pvt Ltd</v>
      </c>
      <c r="AK427" s="4" t="s">
        <v>112</v>
      </c>
      <c r="AL427" s="38" t="str">
        <f t="shared" si="128"/>
        <v>L.B.</v>
      </c>
      <c r="AQ427" s="4" t="s">
        <v>112</v>
      </c>
      <c r="AR427" s="52" t="str">
        <f t="shared" si="130"/>
        <v>NO</v>
      </c>
      <c r="AW427" s="54">
        <f ca="1">DATEDIF(BI427,TODAY(),"Y")</f>
        <v>2</v>
      </c>
      <c r="AX427" s="54"/>
      <c r="BH427" s="4" t="s">
        <v>1214</v>
      </c>
      <c r="BI427" s="51">
        <f t="shared" si="137"/>
        <v>45461</v>
      </c>
      <c r="BJ427" s="38">
        <f t="shared" ca="1" si="138"/>
        <v>564</v>
      </c>
      <c r="BK427" s="38"/>
      <c r="BL427" s="38" t="str">
        <f t="shared" si="139"/>
        <v>No</v>
      </c>
      <c r="BM427"/>
      <c r="BN427" s="51"/>
      <c r="BP427" s="4" t="s">
        <v>1213</v>
      </c>
      <c r="BQ427" s="4" t="s">
        <v>89</v>
      </c>
      <c r="BR427" s="18" t="s">
        <v>1100</v>
      </c>
      <c r="BS427" s="18" t="s">
        <v>3042</v>
      </c>
      <c r="BT427" s="54" t="str">
        <f t="shared" si="135"/>
        <v>DevOps</v>
      </c>
      <c r="BV427" s="4" t="s">
        <v>1213</v>
      </c>
      <c r="BW427" s="4" t="s">
        <v>112</v>
      </c>
      <c r="CC427" s="4" t="s">
        <v>112</v>
      </c>
      <c r="CD427" s="4" t="s">
        <v>221</v>
      </c>
      <c r="CG427" s="54">
        <f>IFERROR(_xlfn.XLOOKUP(Hiring!A427,Hiring!A427:A826,Hiring!B427:B826,,0),"Not Found")</f>
        <v>0</v>
      </c>
    </row>
    <row r="428" spans="6:85">
      <c r="F428" s="3">
        <v>0</v>
      </c>
      <c r="G428" s="52" t="str" cm="1">
        <f t="array" ref="G428">_xlfn.IFS(F428&gt;=4.5,"Excellent",AND(F428&gt;=3.5,F428&lt;=4.4),"Good",F428&lt;3.5,"Needs Improvement")</f>
        <v>Needs Improvement</v>
      </c>
      <c r="Q428" s="19">
        <v>7.29</v>
      </c>
      <c r="R428" s="56" t="str">
        <f t="shared" si="124"/>
        <v>Yes</v>
      </c>
      <c r="W428" s="19" t="s">
        <v>1100</v>
      </c>
      <c r="X428" s="54" t="str">
        <f>VLOOKUP(W428,Employees!$A$1:$B$601,2,FALSE)</f>
        <v>Ranjit Sahoo</v>
      </c>
      <c r="Z428" s="3" t="s">
        <v>1215</v>
      </c>
      <c r="AA428" s="54" t="str">
        <f t="shared" si="125"/>
        <v>0427</v>
      </c>
      <c r="AC428" s="3" t="s">
        <v>84</v>
      </c>
      <c r="AD428" s="54" t="str">
        <f t="shared" si="126"/>
        <v>Hr</v>
      </c>
      <c r="AF428" s="3" t="s">
        <v>1216</v>
      </c>
      <c r="AG428" s="3" t="s">
        <v>84</v>
      </c>
      <c r="AH428" s="3" t="s">
        <v>65</v>
      </c>
      <c r="AI428" s="54" t="str">
        <f t="shared" si="127"/>
        <v>Alka Mahapatra|HR|TributeAI</v>
      </c>
      <c r="AK428" s="3" t="s">
        <v>1216</v>
      </c>
      <c r="AL428" s="38" t="str">
        <f t="shared" si="128"/>
        <v>A.M.</v>
      </c>
      <c r="AQ428" s="3" t="s">
        <v>1216</v>
      </c>
      <c r="AR428" s="52" t="str">
        <f t="shared" si="130"/>
        <v>NO</v>
      </c>
      <c r="AW428" s="54">
        <f ca="1">DATEDIF(BI428,TODAY(),"Y")</f>
        <v>2</v>
      </c>
      <c r="AX428" s="54"/>
      <c r="BH428" s="3" t="s">
        <v>1217</v>
      </c>
      <c r="BI428" s="51">
        <f t="shared" si="137"/>
        <v>45310</v>
      </c>
      <c r="BJ428" s="38">
        <f t="shared" ca="1" si="138"/>
        <v>671</v>
      </c>
      <c r="BK428" s="38"/>
      <c r="BL428" s="38" t="str">
        <f t="shared" si="139"/>
        <v>Q1</v>
      </c>
      <c r="BM428"/>
      <c r="BN428" s="51"/>
      <c r="BP428" s="3" t="s">
        <v>1215</v>
      </c>
      <c r="BQ428" s="3" t="s">
        <v>84</v>
      </c>
      <c r="BR428" s="19" t="s">
        <v>1100</v>
      </c>
      <c r="BS428" s="19" t="s">
        <v>3044</v>
      </c>
      <c r="BT428" s="54" t="str">
        <f t="shared" si="135"/>
        <v>DevOps</v>
      </c>
      <c r="BV428" s="3" t="s">
        <v>1215</v>
      </c>
      <c r="BW428" s="3" t="s">
        <v>1216</v>
      </c>
      <c r="CC428" s="3" t="s">
        <v>1216</v>
      </c>
      <c r="CD428" s="3" t="s">
        <v>204</v>
      </c>
      <c r="CG428" s="54">
        <f>IFERROR(_xlfn.XLOOKUP(Hiring!A428,Hiring!A428:A827,Hiring!B428:B827,,0),"Not Found")</f>
        <v>0</v>
      </c>
    </row>
    <row r="429" spans="6:85">
      <c r="F429" s="4">
        <v>2</v>
      </c>
      <c r="G429" s="52" t="str" cm="1">
        <f t="array" ref="G429">_xlfn.IFS(F429&gt;=4.5,"Excellent",AND(F429&gt;=3.5,F429&lt;=4.4),"Good",F429&lt;3.5,"Needs Improvement")</f>
        <v>Needs Improvement</v>
      </c>
      <c r="Q429" s="18">
        <v>10.87</v>
      </c>
      <c r="R429" s="56" t="str">
        <f t="shared" si="124"/>
        <v>Yes</v>
      </c>
      <c r="W429" s="18" t="s">
        <v>1100</v>
      </c>
      <c r="X429" s="54" t="str">
        <f>VLOOKUP(W429,Employees!$A$1:$B$601,2,FALSE)</f>
        <v>Ranjit Sahoo</v>
      </c>
      <c r="Z429" s="4" t="s">
        <v>1218</v>
      </c>
      <c r="AA429" s="54" t="str">
        <f t="shared" si="125"/>
        <v>0428</v>
      </c>
      <c r="AC429" s="4" t="s">
        <v>16</v>
      </c>
      <c r="AD429" s="54" t="str">
        <f t="shared" si="126"/>
        <v>Devops</v>
      </c>
      <c r="AF429" s="4" t="s">
        <v>1219</v>
      </c>
      <c r="AG429" s="4" t="s">
        <v>16</v>
      </c>
      <c r="AH429" s="4" t="s">
        <v>172</v>
      </c>
      <c r="AI429" s="54" t="str">
        <f t="shared" si="127"/>
        <v>Sudhansu Parida|DevOps|TechNova Solutions</v>
      </c>
      <c r="AK429" s="4" t="s">
        <v>1219</v>
      </c>
      <c r="AL429" s="38" t="str">
        <f t="shared" si="128"/>
        <v>S.P.</v>
      </c>
      <c r="AQ429" s="4" t="s">
        <v>1219</v>
      </c>
      <c r="AR429" s="52" t="str">
        <f t="shared" si="130"/>
        <v>NO</v>
      </c>
      <c r="AW429" s="54">
        <f ca="1">DATEDIF(BI429,TODAY(),"Y")</f>
        <v>2</v>
      </c>
      <c r="AX429" s="54"/>
      <c r="BH429" s="4" t="s">
        <v>1220</v>
      </c>
      <c r="BI429" s="51">
        <f t="shared" si="137"/>
        <v>45392</v>
      </c>
      <c r="BJ429" s="38">
        <f t="shared" ca="1" si="138"/>
        <v>613</v>
      </c>
      <c r="BK429" s="38"/>
      <c r="BL429" s="38" t="str">
        <f t="shared" si="139"/>
        <v>No</v>
      </c>
      <c r="BM429"/>
      <c r="BN429" s="51"/>
      <c r="BP429" s="4" t="s">
        <v>1218</v>
      </c>
      <c r="BQ429" s="4" t="s">
        <v>16</v>
      </c>
      <c r="BR429" s="18" t="s">
        <v>1100</v>
      </c>
      <c r="BS429" s="18" t="s">
        <v>3045</v>
      </c>
      <c r="BT429" s="54" t="str">
        <f t="shared" si="135"/>
        <v>DevOps</v>
      </c>
      <c r="BV429" s="4" t="s">
        <v>1218</v>
      </c>
      <c r="BW429" s="4" t="s">
        <v>1219</v>
      </c>
      <c r="CC429" s="4" t="s">
        <v>1219</v>
      </c>
      <c r="CD429" s="4" t="s">
        <v>17</v>
      </c>
      <c r="CG429" s="54">
        <f>IFERROR(_xlfn.XLOOKUP(Hiring!A429,Hiring!A429:A828,Hiring!B429:B828,,0),"Not Found")</f>
        <v>0</v>
      </c>
    </row>
    <row r="430" spans="6:85">
      <c r="F430" s="3">
        <v>3.7</v>
      </c>
      <c r="G430" s="52" t="str" cm="1">
        <f t="array" ref="G430">_xlfn.IFS(F430&gt;=4.5,"Excellent",AND(F430&gt;=3.5,F430&lt;=4.4),"Good",F430&lt;3.5,"Needs Improvement")</f>
        <v>Good</v>
      </c>
      <c r="Q430" s="19">
        <v>7.21</v>
      </c>
      <c r="R430" s="56" t="str">
        <f t="shared" si="124"/>
        <v>Yes</v>
      </c>
      <c r="W430" s="19" t="s">
        <v>1100</v>
      </c>
      <c r="X430" s="54" t="str">
        <f>VLOOKUP(W430,Employees!$A$1:$B$601,2,FALSE)</f>
        <v>Ranjit Sahoo</v>
      </c>
      <c r="Z430" s="3" t="s">
        <v>1221</v>
      </c>
      <c r="AA430" s="54" t="str">
        <f t="shared" si="125"/>
        <v>0429</v>
      </c>
      <c r="AC430" s="3" t="s">
        <v>16</v>
      </c>
      <c r="AD430" s="54" t="str">
        <f t="shared" si="126"/>
        <v>Devops</v>
      </c>
      <c r="AF430" s="3" t="s">
        <v>375</v>
      </c>
      <c r="AG430" s="3" t="s">
        <v>16</v>
      </c>
      <c r="AH430" s="3" t="s">
        <v>46</v>
      </c>
      <c r="AI430" s="54" t="str">
        <f t="shared" si="127"/>
        <v>Sangita Parida|DevOps|SambalpurNet</v>
      </c>
      <c r="AK430" s="3" t="s">
        <v>375</v>
      </c>
      <c r="AL430" s="38" t="str">
        <f t="shared" si="128"/>
        <v>S.P.</v>
      </c>
      <c r="AQ430" s="3" t="s">
        <v>375</v>
      </c>
      <c r="AR430" s="52" t="str">
        <f t="shared" si="130"/>
        <v>NO</v>
      </c>
      <c r="AW430" s="54">
        <f ca="1">DATEDIF(BI430,TODAY(),"Y")</f>
        <v>4</v>
      </c>
      <c r="AX430" s="54"/>
      <c r="BH430" s="3" t="s">
        <v>1222</v>
      </c>
      <c r="BI430" s="51">
        <f t="shared" si="137"/>
        <v>44623</v>
      </c>
      <c r="BJ430" s="38">
        <f t="shared" ca="1" si="138"/>
        <v>1162</v>
      </c>
      <c r="BK430" s="38"/>
      <c r="BL430" s="38" t="str">
        <f t="shared" si="139"/>
        <v>Q1</v>
      </c>
      <c r="BM430"/>
      <c r="BN430" s="51"/>
      <c r="BP430" s="3" t="s">
        <v>1221</v>
      </c>
      <c r="BQ430" s="3" t="s">
        <v>16</v>
      </c>
      <c r="BR430" s="19" t="s">
        <v>1100</v>
      </c>
      <c r="BS430" s="19" t="s">
        <v>3046</v>
      </c>
      <c r="BT430" s="54" t="str">
        <f t="shared" si="135"/>
        <v>DevOps</v>
      </c>
      <c r="BV430" s="3" t="s">
        <v>1221</v>
      </c>
      <c r="BW430" s="3" t="s">
        <v>375</v>
      </c>
      <c r="CC430" s="3" t="s">
        <v>375</v>
      </c>
      <c r="CD430" s="3" t="s">
        <v>17</v>
      </c>
      <c r="CG430" s="54">
        <f>IFERROR(_xlfn.XLOOKUP(Hiring!A430,Hiring!A430:A829,Hiring!B430:B829,,0),"Not Found")</f>
        <v>0</v>
      </c>
    </row>
    <row r="431" spans="6:85">
      <c r="F431" s="4">
        <v>2.9</v>
      </c>
      <c r="G431" s="52" t="str" cm="1">
        <f t="array" ref="G431">_xlfn.IFS(F431&gt;=4.5,"Excellent",AND(F431&gt;=3.5,F431&lt;=4.4),"Good",F431&lt;3.5,"Needs Improvement")</f>
        <v>Needs Improvement</v>
      </c>
      <c r="Q431" s="18"/>
      <c r="R431" s="56" t="str">
        <f t="shared" si="124"/>
        <v>No</v>
      </c>
      <c r="W431" s="18" t="s">
        <v>1100</v>
      </c>
      <c r="X431" s="54" t="str">
        <f>VLOOKUP(W431,Employees!$A$1:$B$601,2,FALSE)</f>
        <v>Ranjit Sahoo</v>
      </c>
      <c r="Z431" s="4" t="s">
        <v>1223</v>
      </c>
      <c r="AA431" s="54" t="str">
        <f t="shared" si="125"/>
        <v>0430</v>
      </c>
      <c r="AC431" s="4" t="s">
        <v>133</v>
      </c>
      <c r="AD431" s="54" t="str">
        <f t="shared" si="126"/>
        <v>Qa</v>
      </c>
      <c r="AF431" s="4" t="s">
        <v>1224</v>
      </c>
      <c r="AG431" s="4" t="s">
        <v>133</v>
      </c>
      <c r="AH431" s="4" t="s">
        <v>70</v>
      </c>
      <c r="AI431" s="54" t="str">
        <f t="shared" si="127"/>
        <v>Prasant Parida|QA|OdishaCode Labs</v>
      </c>
      <c r="AK431" s="4" t="s">
        <v>1224</v>
      </c>
      <c r="AL431" s="38" t="str">
        <f t="shared" si="128"/>
        <v>P.P.</v>
      </c>
      <c r="AQ431" s="4" t="s">
        <v>1224</v>
      </c>
      <c r="AR431" s="52" t="str">
        <f t="shared" si="130"/>
        <v>NO</v>
      </c>
      <c r="AW431" s="54">
        <f ca="1">DATEDIF(BI431,TODAY(),"Y")</f>
        <v>4</v>
      </c>
      <c r="AX431" s="54"/>
      <c r="BH431" s="4" t="s">
        <v>1225</v>
      </c>
      <c r="BI431" s="51">
        <f t="shared" si="137"/>
        <v>44523</v>
      </c>
      <c r="BJ431" s="38">
        <f t="shared" ca="1" si="138"/>
        <v>1234</v>
      </c>
      <c r="BK431" s="38"/>
      <c r="BL431" s="38" t="str">
        <f t="shared" si="139"/>
        <v>No</v>
      </c>
      <c r="BM431"/>
      <c r="BN431" s="51"/>
      <c r="BP431" s="4" t="s">
        <v>1223</v>
      </c>
      <c r="BQ431" s="4" t="s">
        <v>133</v>
      </c>
      <c r="BR431" s="18" t="s">
        <v>1100</v>
      </c>
      <c r="BS431" s="18" t="s">
        <v>3047</v>
      </c>
      <c r="BT431" s="54" t="str">
        <f t="shared" si="135"/>
        <v>DevOps</v>
      </c>
      <c r="BV431" s="4" t="s">
        <v>1223</v>
      </c>
      <c r="BW431" s="4" t="s">
        <v>1224</v>
      </c>
      <c r="CC431" s="4" t="s">
        <v>1224</v>
      </c>
      <c r="CD431" s="4" t="s">
        <v>134</v>
      </c>
      <c r="CG431" s="54">
        <f>IFERROR(_xlfn.XLOOKUP(Hiring!A431,Hiring!A431:A830,Hiring!B431:B830,,0),"Not Found")</f>
        <v>0</v>
      </c>
    </row>
    <row r="432" spans="6:85">
      <c r="F432" s="3">
        <v>2.1</v>
      </c>
      <c r="G432" s="52" t="str" cm="1">
        <f t="array" ref="G432">_xlfn.IFS(F432&gt;=4.5,"Excellent",AND(F432&gt;=3.5,F432&lt;=4.4),"Good",F432&lt;3.5,"Needs Improvement")</f>
        <v>Needs Improvement</v>
      </c>
      <c r="Q432" s="19">
        <v>8.83</v>
      </c>
      <c r="R432" s="56" t="str">
        <f t="shared" si="124"/>
        <v>Yes</v>
      </c>
      <c r="W432" s="19" t="s">
        <v>72</v>
      </c>
      <c r="X432" s="54" t="str">
        <f>VLOOKUP(W432,Employees!$A$1:$B$601,2,FALSE)</f>
        <v>Sudhansu Dhal</v>
      </c>
      <c r="Z432" s="3" t="s">
        <v>1226</v>
      </c>
      <c r="AA432" s="54" t="str">
        <f t="shared" si="125"/>
        <v>0431</v>
      </c>
      <c r="AC432" s="3" t="s">
        <v>89</v>
      </c>
      <c r="AD432" s="54" t="str">
        <f t="shared" si="126"/>
        <v>Data Science</v>
      </c>
      <c r="AF432" s="3" t="s">
        <v>1023</v>
      </c>
      <c r="AG432" s="3" t="s">
        <v>89</v>
      </c>
      <c r="AH432" s="3" t="s">
        <v>114</v>
      </c>
      <c r="AI432" s="54" t="str">
        <f t="shared" si="127"/>
        <v>Rahul Choudhury|Data Science|UtkalSoft Technologies</v>
      </c>
      <c r="AK432" s="3" t="s">
        <v>1023</v>
      </c>
      <c r="AL432" s="38" t="str">
        <f t="shared" si="128"/>
        <v>R.C.</v>
      </c>
      <c r="AQ432" s="3" t="s">
        <v>1023</v>
      </c>
      <c r="AR432" s="52" t="str">
        <f t="shared" si="130"/>
        <v>NO</v>
      </c>
      <c r="AW432" s="54">
        <f ca="1">DATEDIF(BI432,TODAY(),"Y")</f>
        <v>7</v>
      </c>
      <c r="AX432" s="54"/>
      <c r="BH432" s="3" t="s">
        <v>1227</v>
      </c>
      <c r="BI432" s="51">
        <f t="shared" si="137"/>
        <v>43349</v>
      </c>
      <c r="BJ432" s="38">
        <f t="shared" ca="1" si="138"/>
        <v>2072</v>
      </c>
      <c r="BK432" s="38"/>
      <c r="BL432" s="38" t="str">
        <f t="shared" si="139"/>
        <v>No</v>
      </c>
      <c r="BM432"/>
      <c r="BN432" s="51"/>
      <c r="BP432" s="3" t="s">
        <v>1226</v>
      </c>
      <c r="BQ432" s="3" t="s">
        <v>89</v>
      </c>
      <c r="BR432" s="19" t="s">
        <v>72</v>
      </c>
      <c r="BS432" s="19" t="s">
        <v>3048</v>
      </c>
      <c r="BT432" s="54" t="str">
        <f t="shared" si="135"/>
        <v>Design</v>
      </c>
      <c r="BV432" s="3" t="s">
        <v>1226</v>
      </c>
      <c r="BW432" s="3" t="s">
        <v>1023</v>
      </c>
      <c r="CC432" s="3" t="s">
        <v>1023</v>
      </c>
      <c r="CD432" s="3" t="s">
        <v>221</v>
      </c>
      <c r="CG432" s="54">
        <f>IFERROR(_xlfn.XLOOKUP(Hiring!A432,Hiring!A432:A831,Hiring!B432:B831,,0),"Not Found")</f>
        <v>0</v>
      </c>
    </row>
    <row r="433" spans="6:85">
      <c r="F433" s="4">
        <v>4.7</v>
      </c>
      <c r="G433" s="52" t="str" cm="1">
        <f t="array" ref="G433">_xlfn.IFS(F433&gt;=4.5,"Excellent",AND(F433&gt;=3.5,F433&lt;=4.4),"Good",F433&lt;3.5,"Needs Improvement")</f>
        <v>Excellent</v>
      </c>
      <c r="Q433" s="18">
        <v>8.4</v>
      </c>
      <c r="R433" s="56" t="str">
        <f t="shared" si="124"/>
        <v>Yes</v>
      </c>
      <c r="W433" s="18" t="s">
        <v>72</v>
      </c>
      <c r="X433" s="54" t="str">
        <f>VLOOKUP(W433,Employees!$A$1:$B$601,2,FALSE)</f>
        <v>Sudhansu Dhal</v>
      </c>
      <c r="Z433" s="4" t="s">
        <v>1228</v>
      </c>
      <c r="AA433" s="54" t="str">
        <f t="shared" si="125"/>
        <v>0432</v>
      </c>
      <c r="AC433" s="4" t="s">
        <v>51</v>
      </c>
      <c r="AD433" s="54" t="str">
        <f t="shared" si="126"/>
        <v>Sales</v>
      </c>
      <c r="AF433" s="4" t="s">
        <v>525</v>
      </c>
      <c r="AG433" s="4" t="s">
        <v>51</v>
      </c>
      <c r="AH433" s="4" t="s">
        <v>65</v>
      </c>
      <c r="AI433" s="54" t="str">
        <f t="shared" si="127"/>
        <v>Ranjit Mohapatra|Sales|TributeAI</v>
      </c>
      <c r="AK433" s="4" t="s">
        <v>525</v>
      </c>
      <c r="AL433" s="38" t="str">
        <f t="shared" si="128"/>
        <v>R.M.</v>
      </c>
      <c r="AQ433" s="4" t="s">
        <v>525</v>
      </c>
      <c r="AR433" s="52" t="str">
        <f t="shared" si="130"/>
        <v>NO</v>
      </c>
      <c r="AW433" s="54">
        <f ca="1">DATEDIF(BI433,TODAY(),"Y")</f>
        <v>6</v>
      </c>
      <c r="AX433" s="54"/>
      <c r="BH433" s="4" t="s">
        <v>623</v>
      </c>
      <c r="BI433" s="51">
        <f t="shared" si="137"/>
        <v>43937</v>
      </c>
      <c r="BJ433" s="38">
        <f t="shared" ca="1" si="138"/>
        <v>1652</v>
      </c>
      <c r="BK433" s="38"/>
      <c r="BL433" s="38" t="str">
        <f t="shared" si="139"/>
        <v>No</v>
      </c>
      <c r="BM433"/>
      <c r="BN433" s="51"/>
      <c r="BP433" s="4" t="s">
        <v>1228</v>
      </c>
      <c r="BQ433" s="4" t="s">
        <v>51</v>
      </c>
      <c r="BR433" s="18" t="s">
        <v>72</v>
      </c>
      <c r="BS433" s="18" t="s">
        <v>3049</v>
      </c>
      <c r="BT433" s="54" t="str">
        <f t="shared" si="135"/>
        <v>Design</v>
      </c>
      <c r="BV433" s="4" t="s">
        <v>1228</v>
      </c>
      <c r="BW433" s="4" t="s">
        <v>525</v>
      </c>
      <c r="CC433" s="4" t="s">
        <v>525</v>
      </c>
      <c r="CD433" s="4" t="s">
        <v>69</v>
      </c>
      <c r="CG433" s="54">
        <f>IFERROR(_xlfn.XLOOKUP(Hiring!A433,Hiring!A433:A832,Hiring!B433:B832,,0),"Not Found")</f>
        <v>0</v>
      </c>
    </row>
    <row r="434" spans="6:85">
      <c r="F434" s="3">
        <v>2.5</v>
      </c>
      <c r="G434" s="52" t="str" cm="1">
        <f t="array" ref="G434">_xlfn.IFS(F434&gt;=4.5,"Excellent",AND(F434&gt;=3.5,F434&lt;=4.4),"Good",F434&lt;3.5,"Needs Improvement")</f>
        <v>Needs Improvement</v>
      </c>
      <c r="Q434" s="19">
        <v>10.91</v>
      </c>
      <c r="R434" s="56" t="str">
        <f t="shared" si="124"/>
        <v>Yes</v>
      </c>
      <c r="W434" s="19" t="s">
        <v>72</v>
      </c>
      <c r="X434" s="54" t="str">
        <f>VLOOKUP(W434,Employees!$A$1:$B$601,2,FALSE)</f>
        <v>Sudhansu Dhal</v>
      </c>
      <c r="Z434" s="3" t="s">
        <v>1229</v>
      </c>
      <c r="AA434" s="54" t="str">
        <f t="shared" si="125"/>
        <v>0433</v>
      </c>
      <c r="AC434" s="3" t="s">
        <v>63</v>
      </c>
      <c r="AD434" s="54" t="str">
        <f t="shared" si="126"/>
        <v>Product</v>
      </c>
      <c r="AF434" s="3" t="s">
        <v>144</v>
      </c>
      <c r="AG434" s="3" t="s">
        <v>63</v>
      </c>
      <c r="AH434" s="3" t="s">
        <v>26</v>
      </c>
      <c r="AI434" s="54" t="str">
        <f t="shared" si="127"/>
        <v>Ranjit Dhal|Product|InfySoft Bhubaneswar</v>
      </c>
      <c r="AK434" s="3" t="s">
        <v>144</v>
      </c>
      <c r="AL434" s="38" t="str">
        <f t="shared" si="128"/>
        <v>R.D.</v>
      </c>
      <c r="AQ434" s="3" t="s">
        <v>144</v>
      </c>
      <c r="AR434" s="52" t="str">
        <f t="shared" si="130"/>
        <v>NO</v>
      </c>
      <c r="AW434" s="54">
        <f ca="1">DATEDIF(BI434,TODAY(),"Y")</f>
        <v>4</v>
      </c>
      <c r="AX434" s="54"/>
      <c r="BH434" s="3" t="s">
        <v>1230</v>
      </c>
      <c r="BI434" s="51">
        <f t="shared" si="137"/>
        <v>44696</v>
      </c>
      <c r="BJ434" s="38">
        <f t="shared" ca="1" si="138"/>
        <v>1110</v>
      </c>
      <c r="BK434" s="38"/>
      <c r="BL434" s="38" t="str">
        <f t="shared" si="139"/>
        <v>No</v>
      </c>
      <c r="BM434"/>
      <c r="BN434" s="51"/>
      <c r="BP434" s="3" t="s">
        <v>1229</v>
      </c>
      <c r="BQ434" s="3" t="s">
        <v>63</v>
      </c>
      <c r="BR434" s="19" t="s">
        <v>72</v>
      </c>
      <c r="BS434" s="19" t="s">
        <v>3050</v>
      </c>
      <c r="BT434" s="54" t="str">
        <f t="shared" si="135"/>
        <v>Design</v>
      </c>
      <c r="BV434" s="3" t="s">
        <v>1229</v>
      </c>
      <c r="BW434" s="3" t="s">
        <v>144</v>
      </c>
      <c r="CC434" s="3" t="s">
        <v>144</v>
      </c>
      <c r="CD434" s="3" t="s">
        <v>225</v>
      </c>
      <c r="CG434" s="54">
        <f>IFERROR(_xlfn.XLOOKUP(Hiring!A434,Hiring!A434:A833,Hiring!B434:B833,,0),"Not Found")</f>
        <v>0</v>
      </c>
    </row>
    <row r="435" spans="6:85">
      <c r="F435" s="4">
        <v>0</v>
      </c>
      <c r="G435" s="52" t="str" cm="1">
        <f t="array" ref="G435">_xlfn.IFS(F435&gt;=4.5,"Excellent",AND(F435&gt;=3.5,F435&lt;=4.4),"Good",F435&lt;3.5,"Needs Improvement")</f>
        <v>Needs Improvement</v>
      </c>
      <c r="Q435" s="18"/>
      <c r="R435" s="56" t="str">
        <f t="shared" si="124"/>
        <v>No</v>
      </c>
      <c r="W435" s="18" t="s">
        <v>72</v>
      </c>
      <c r="X435" s="54" t="str">
        <f>VLOOKUP(W435,Employees!$A$1:$B$601,2,FALSE)</f>
        <v>Sudhansu Dhal</v>
      </c>
      <c r="Z435" s="4" t="s">
        <v>1231</v>
      </c>
      <c r="AA435" s="54" t="str">
        <f t="shared" si="125"/>
        <v>0434</v>
      </c>
      <c r="AC435" s="4" t="s">
        <v>39</v>
      </c>
      <c r="AD435" s="54" t="str">
        <f t="shared" si="126"/>
        <v>Engineering</v>
      </c>
      <c r="AF435" s="4" t="s">
        <v>658</v>
      </c>
      <c r="AG435" s="4" t="s">
        <v>39</v>
      </c>
      <c r="AH435" s="4" t="s">
        <v>149</v>
      </c>
      <c r="AI435" s="54" t="str">
        <f t="shared" si="127"/>
        <v>Abhishek Mohapatra|Engineering|SilverByte Systems</v>
      </c>
      <c r="AK435" s="4" t="s">
        <v>658</v>
      </c>
      <c r="AL435" s="38" t="str">
        <f t="shared" si="128"/>
        <v>A.M.</v>
      </c>
      <c r="AQ435" s="4" t="s">
        <v>658</v>
      </c>
      <c r="AR435" s="52" t="str">
        <f t="shared" si="130"/>
        <v>NO</v>
      </c>
      <c r="AW435" s="54">
        <f ca="1">DATEDIF(BI435,TODAY(),"Y")</f>
        <v>3</v>
      </c>
      <c r="AX435" s="54"/>
      <c r="BH435" s="4" t="s">
        <v>1232</v>
      </c>
      <c r="BI435" s="51">
        <f t="shared" si="137"/>
        <v>44797</v>
      </c>
      <c r="BJ435" s="38">
        <f t="shared" ca="1" si="138"/>
        <v>1038</v>
      </c>
      <c r="BK435" s="38"/>
      <c r="BL435" s="38" t="str">
        <f t="shared" si="139"/>
        <v>No</v>
      </c>
      <c r="BM435"/>
      <c r="BN435" s="51"/>
      <c r="BP435" s="4" t="s">
        <v>1231</v>
      </c>
      <c r="BQ435" s="4" t="s">
        <v>39</v>
      </c>
      <c r="BR435" s="18" t="s">
        <v>72</v>
      </c>
      <c r="BS435" s="18" t="s">
        <v>3052</v>
      </c>
      <c r="BT435" s="54" t="str">
        <f t="shared" si="135"/>
        <v>Design</v>
      </c>
      <c r="BV435" s="4" t="s">
        <v>1231</v>
      </c>
      <c r="BW435" s="4" t="s">
        <v>658</v>
      </c>
      <c r="CC435" s="4" t="s">
        <v>658</v>
      </c>
      <c r="CD435" s="4" t="s">
        <v>242</v>
      </c>
      <c r="CG435" s="54">
        <f>IFERROR(_xlfn.XLOOKUP(Hiring!A435,Hiring!A435:A834,Hiring!B435:B834,,0),"Not Found")</f>
        <v>0</v>
      </c>
    </row>
    <row r="436" spans="6:85">
      <c r="F436" s="3">
        <v>4.5999999999999996</v>
      </c>
      <c r="G436" s="52" t="str" cm="1">
        <f t="array" ref="G436">_xlfn.IFS(F436&gt;=4.5,"Excellent",AND(F436&gt;=3.5,F436&lt;=4.4),"Good",F436&lt;3.5,"Needs Improvement")</f>
        <v>Excellent</v>
      </c>
      <c r="Q436" s="19">
        <v>11.05</v>
      </c>
      <c r="R436" s="56" t="str">
        <f t="shared" si="124"/>
        <v>Yes</v>
      </c>
      <c r="W436" s="19" t="s">
        <v>72</v>
      </c>
      <c r="X436" s="54" t="str">
        <f>VLOOKUP(W436,Employees!$A$1:$B$601,2,FALSE)</f>
        <v>Sudhansu Dhal</v>
      </c>
      <c r="Z436" s="3" t="s">
        <v>1233</v>
      </c>
      <c r="AA436" s="54" t="str">
        <f t="shared" si="125"/>
        <v>0435</v>
      </c>
      <c r="AC436" s="3" t="s">
        <v>51</v>
      </c>
      <c r="AD436" s="54" t="str">
        <f t="shared" si="126"/>
        <v>Sales</v>
      </c>
      <c r="AF436" s="3" t="s">
        <v>344</v>
      </c>
      <c r="AG436" s="3" t="s">
        <v>51</v>
      </c>
      <c r="AH436" s="3" t="s">
        <v>149</v>
      </c>
      <c r="AI436" s="54" t="str">
        <f t="shared" si="127"/>
        <v>Namita Pattnaik|Sales|SilverByte Systems</v>
      </c>
      <c r="AK436" s="3" t="s">
        <v>344</v>
      </c>
      <c r="AL436" s="38" t="str">
        <f t="shared" si="128"/>
        <v>N.P.</v>
      </c>
      <c r="AQ436" s="3" t="s">
        <v>344</v>
      </c>
      <c r="AR436" s="52" t="str">
        <f t="shared" si="130"/>
        <v>NO</v>
      </c>
      <c r="AW436" s="54">
        <f ca="1">DATEDIF(BI436,TODAY(),"Y")</f>
        <v>5</v>
      </c>
      <c r="AX436" s="54"/>
      <c r="BH436" s="3" t="s">
        <v>942</v>
      </c>
      <c r="BI436" s="51">
        <f t="shared" si="137"/>
        <v>44266</v>
      </c>
      <c r="BJ436" s="38">
        <f t="shared" ca="1" si="138"/>
        <v>1417</v>
      </c>
      <c r="BK436" s="38"/>
      <c r="BL436" s="38" t="str">
        <f t="shared" si="139"/>
        <v>Q1</v>
      </c>
      <c r="BM436"/>
      <c r="BN436" s="51"/>
      <c r="BP436" s="3" t="s">
        <v>1233</v>
      </c>
      <c r="BQ436" s="3" t="s">
        <v>51</v>
      </c>
      <c r="BR436" s="19" t="s">
        <v>72</v>
      </c>
      <c r="BS436" s="19" t="s">
        <v>3053</v>
      </c>
      <c r="BT436" s="54" t="str">
        <f t="shared" si="135"/>
        <v>Design</v>
      </c>
      <c r="BV436" s="3" t="s">
        <v>1233</v>
      </c>
      <c r="BW436" s="3" t="s">
        <v>344</v>
      </c>
      <c r="CC436" s="3" t="s">
        <v>344</v>
      </c>
      <c r="CD436" s="3" t="s">
        <v>105</v>
      </c>
      <c r="CG436" s="54">
        <f>IFERROR(_xlfn.XLOOKUP(Hiring!A436,Hiring!A436:A835,Hiring!B436:B835,,0),"Not Found")</f>
        <v>0</v>
      </c>
    </row>
    <row r="437" spans="6:85">
      <c r="F437" s="4">
        <v>3</v>
      </c>
      <c r="G437" s="52" t="str" cm="1">
        <f t="array" ref="G437">_xlfn.IFS(F437&gt;=4.5,"Excellent",AND(F437&gt;=3.5,F437&lt;=4.4),"Good",F437&lt;3.5,"Needs Improvement")</f>
        <v>Needs Improvement</v>
      </c>
      <c r="Q437" s="18">
        <v>7.64</v>
      </c>
      <c r="R437" s="56" t="str">
        <f t="shared" si="124"/>
        <v>Yes</v>
      </c>
      <c r="W437" s="18" t="s">
        <v>72</v>
      </c>
      <c r="X437" s="54" t="str">
        <f>VLOOKUP(W437,Employees!$A$1:$B$601,2,FALSE)</f>
        <v>Sudhansu Dhal</v>
      </c>
      <c r="Z437" s="4" t="s">
        <v>1234</v>
      </c>
      <c r="AA437" s="54" t="str">
        <f t="shared" si="125"/>
        <v>0436</v>
      </c>
      <c r="AC437" s="4" t="s">
        <v>503</v>
      </c>
      <c r="AD437" s="54" t="str">
        <f t="shared" si="126"/>
        <v>Data Science</v>
      </c>
      <c r="AF437" s="4" t="s">
        <v>1235</v>
      </c>
      <c r="AG437" s="4" t="s">
        <v>503</v>
      </c>
      <c r="AH437" s="4" t="s">
        <v>70</v>
      </c>
      <c r="AI437" s="54" t="str">
        <f t="shared" si="127"/>
        <v>Jyotirmayee Samal|data science|OdishaCode Labs</v>
      </c>
      <c r="AK437" s="4" t="s">
        <v>1235</v>
      </c>
      <c r="AL437" s="38" t="str">
        <f t="shared" si="128"/>
        <v>J.S.</v>
      </c>
      <c r="AQ437" s="4" t="s">
        <v>1235</v>
      </c>
      <c r="AR437" s="52" t="str">
        <f t="shared" si="130"/>
        <v>NO</v>
      </c>
      <c r="AW437" s="54">
        <f ca="1">DATEDIF(BI437,TODAY(),"Y")</f>
        <v>6</v>
      </c>
      <c r="AX437" s="54"/>
      <c r="BH437" s="4" t="s">
        <v>1236</v>
      </c>
      <c r="BI437" s="51">
        <f t="shared" si="137"/>
        <v>43755</v>
      </c>
      <c r="BJ437" s="38">
        <f t="shared" ca="1" si="138"/>
        <v>1782</v>
      </c>
      <c r="BK437" s="38"/>
      <c r="BL437" s="38" t="str">
        <f t="shared" si="139"/>
        <v>No</v>
      </c>
      <c r="BM437"/>
      <c r="BN437" s="51"/>
      <c r="BP437" s="4" t="s">
        <v>1234</v>
      </c>
      <c r="BQ437" s="4" t="s">
        <v>503</v>
      </c>
      <c r="BR437" s="18" t="s">
        <v>72</v>
      </c>
      <c r="BS437" s="18" t="s">
        <v>3056</v>
      </c>
      <c r="BT437" s="54" t="str">
        <f t="shared" si="135"/>
        <v>Design</v>
      </c>
      <c r="BV437" s="4" t="s">
        <v>1234</v>
      </c>
      <c r="BW437" s="4" t="s">
        <v>1235</v>
      </c>
      <c r="CC437" s="4" t="s">
        <v>1235</v>
      </c>
      <c r="CD437" s="4" t="s">
        <v>90</v>
      </c>
      <c r="CG437" s="54">
        <f>IFERROR(_xlfn.XLOOKUP(Hiring!A437,Hiring!A437:A836,Hiring!B437:B836,,0),"Not Found")</f>
        <v>0</v>
      </c>
    </row>
    <row r="438" spans="6:85">
      <c r="F438" s="3">
        <v>3.2</v>
      </c>
      <c r="G438" s="52" t="str" cm="1">
        <f t="array" ref="G438">_xlfn.IFS(F438&gt;=4.5,"Excellent",AND(F438&gt;=3.5,F438&lt;=4.4),"Good",F438&lt;3.5,"Needs Improvement")</f>
        <v>Needs Improvement</v>
      </c>
      <c r="Q438" s="19">
        <v>10.06</v>
      </c>
      <c r="R438" s="56" t="str">
        <f t="shared" si="124"/>
        <v>Yes</v>
      </c>
      <c r="W438" s="19" t="s">
        <v>72</v>
      </c>
      <c r="X438" s="54" t="str">
        <f>VLOOKUP(W438,Employees!$A$1:$B$601,2,FALSE)</f>
        <v>Sudhansu Dhal</v>
      </c>
      <c r="Z438" s="3" t="s">
        <v>1237</v>
      </c>
      <c r="AA438" s="54" t="str">
        <f t="shared" si="125"/>
        <v>0437</v>
      </c>
      <c r="AC438" s="3" t="s">
        <v>24</v>
      </c>
      <c r="AD438" s="54" t="str">
        <f t="shared" si="126"/>
        <v>Design</v>
      </c>
      <c r="AF438" s="3" t="s">
        <v>428</v>
      </c>
      <c r="AG438" s="3" t="s">
        <v>24</v>
      </c>
      <c r="AH438" s="3" t="s">
        <v>172</v>
      </c>
      <c r="AI438" s="54" t="str">
        <f t="shared" si="127"/>
        <v>Puspita Pattnaik|Design|TechNova Solutions</v>
      </c>
      <c r="AK438" s="3" t="s">
        <v>428</v>
      </c>
      <c r="AL438" s="38" t="str">
        <f t="shared" si="128"/>
        <v>P.P.</v>
      </c>
      <c r="AQ438" s="3" t="s">
        <v>428</v>
      </c>
      <c r="AR438" s="52" t="str">
        <f t="shared" si="130"/>
        <v>NO</v>
      </c>
      <c r="AW438" s="54">
        <f ca="1">DATEDIF(BI438,TODAY(),"Y")</f>
        <v>3</v>
      </c>
      <c r="AX438" s="54"/>
      <c r="BH438" s="3" t="s">
        <v>1238</v>
      </c>
      <c r="BI438" s="51">
        <f t="shared" si="137"/>
        <v>45111</v>
      </c>
      <c r="BJ438" s="38">
        <f t="shared" ca="1" si="138"/>
        <v>814</v>
      </c>
      <c r="BK438" s="38"/>
      <c r="BL438" s="38" t="str">
        <f t="shared" si="139"/>
        <v>No</v>
      </c>
      <c r="BM438"/>
      <c r="BN438" s="51"/>
      <c r="BP438" s="3" t="s">
        <v>1237</v>
      </c>
      <c r="BQ438" s="3" t="s">
        <v>24</v>
      </c>
      <c r="BR438" s="19" t="s">
        <v>72</v>
      </c>
      <c r="BS438" s="19" t="s">
        <v>3057</v>
      </c>
      <c r="BT438" s="54" t="str">
        <f t="shared" si="135"/>
        <v>Design</v>
      </c>
      <c r="BV438" s="3" t="s">
        <v>1237</v>
      </c>
      <c r="BW438" s="3" t="s">
        <v>428</v>
      </c>
      <c r="CC438" s="3" t="s">
        <v>428</v>
      </c>
      <c r="CD438" s="3" t="s">
        <v>25</v>
      </c>
      <c r="CG438" s="54">
        <f>IFERROR(_xlfn.XLOOKUP(Hiring!A438,Hiring!A438:A837,Hiring!B438:B837,,0),"Not Found")</f>
        <v>0</v>
      </c>
    </row>
    <row r="439" spans="6:85">
      <c r="F439" s="4">
        <v>2.7</v>
      </c>
      <c r="G439" s="52" t="str" cm="1">
        <f t="array" ref="G439">_xlfn.IFS(F439&gt;=4.5,"Excellent",AND(F439&gt;=3.5,F439&lt;=4.4),"Good",F439&lt;3.5,"Needs Improvement")</f>
        <v>Needs Improvement</v>
      </c>
      <c r="Q439" s="18">
        <v>7.2</v>
      </c>
      <c r="R439" s="56" t="str">
        <f t="shared" si="124"/>
        <v>Yes</v>
      </c>
      <c r="W439" s="18" t="s">
        <v>72</v>
      </c>
      <c r="X439" s="54" t="str">
        <f>VLOOKUP(W439,Employees!$A$1:$B$601,2,FALSE)</f>
        <v>Sudhansu Dhal</v>
      </c>
      <c r="Z439" s="4" t="s">
        <v>1239</v>
      </c>
      <c r="AA439" s="54" t="str">
        <f t="shared" si="125"/>
        <v>0438</v>
      </c>
      <c r="AC439" s="4" t="s">
        <v>84</v>
      </c>
      <c r="AD439" s="54" t="str">
        <f t="shared" si="126"/>
        <v>Hr</v>
      </c>
      <c r="AF439" s="4" t="s">
        <v>1240</v>
      </c>
      <c r="AG439" s="4" t="s">
        <v>84</v>
      </c>
      <c r="AH439" s="4" t="s">
        <v>70</v>
      </c>
      <c r="AI439" s="54" t="str">
        <f t="shared" si="127"/>
        <v>Bikash Senapati|HR|OdishaCode Labs</v>
      </c>
      <c r="AK439" s="4" t="s">
        <v>1240</v>
      </c>
      <c r="AL439" s="38" t="str">
        <f t="shared" si="128"/>
        <v>B.S.</v>
      </c>
      <c r="AQ439" s="4" t="s">
        <v>1240</v>
      </c>
      <c r="AR439" s="52" t="str">
        <f t="shared" si="130"/>
        <v>NO</v>
      </c>
      <c r="AW439" s="54">
        <f ca="1">DATEDIF(BI439,TODAY(),"Y")</f>
        <v>8</v>
      </c>
      <c r="AX439" s="54"/>
      <c r="BH439" s="4" t="s">
        <v>1241</v>
      </c>
      <c r="BI439" s="51">
        <f t="shared" si="137"/>
        <v>43111</v>
      </c>
      <c r="BJ439" s="38">
        <f t="shared" ca="1" si="138"/>
        <v>2242</v>
      </c>
      <c r="BK439" s="38"/>
      <c r="BL439" s="38" t="str">
        <f t="shared" si="139"/>
        <v>Q1</v>
      </c>
      <c r="BM439"/>
      <c r="BN439" s="51"/>
      <c r="BP439" s="4" t="s">
        <v>1239</v>
      </c>
      <c r="BQ439" s="4" t="s">
        <v>84</v>
      </c>
      <c r="BR439" s="18" t="s">
        <v>72</v>
      </c>
      <c r="BS439" s="18" t="s">
        <v>3059</v>
      </c>
      <c r="BT439" s="54" t="str">
        <f t="shared" si="135"/>
        <v>Design</v>
      </c>
      <c r="BV439" s="4" t="s">
        <v>1239</v>
      </c>
      <c r="BW439" s="4" t="s">
        <v>1240</v>
      </c>
      <c r="CC439" s="4" t="s">
        <v>1240</v>
      </c>
      <c r="CD439" s="4" t="s">
        <v>204</v>
      </c>
      <c r="CG439" s="54">
        <f>IFERROR(_xlfn.XLOOKUP(Hiring!A439,Hiring!A439:A838,Hiring!B439:B838,,0),"Not Found")</f>
        <v>0</v>
      </c>
    </row>
    <row r="440" spans="6:85">
      <c r="F440" s="3">
        <v>3</v>
      </c>
      <c r="G440" s="52" t="str" cm="1">
        <f t="array" ref="G440">_xlfn.IFS(F440&gt;=4.5,"Excellent",AND(F440&gt;=3.5,F440&lt;=4.4),"Good",F440&lt;3.5,"Needs Improvement")</f>
        <v>Needs Improvement</v>
      </c>
      <c r="Q440" s="19">
        <v>9.59</v>
      </c>
      <c r="R440" s="56" t="str">
        <f t="shared" si="124"/>
        <v>Yes</v>
      </c>
      <c r="W440" s="19" t="s">
        <v>72</v>
      </c>
      <c r="X440" s="54" t="str">
        <f>VLOOKUP(W440,Employees!$A$1:$B$601,2,FALSE)</f>
        <v>Sudhansu Dhal</v>
      </c>
      <c r="Z440" s="3" t="s">
        <v>1242</v>
      </c>
      <c r="AA440" s="54" t="str">
        <f t="shared" si="125"/>
        <v>0439</v>
      </c>
      <c r="AC440" s="3" t="s">
        <v>257</v>
      </c>
      <c r="AD440" s="54" t="str">
        <f t="shared" si="126"/>
        <v>Design</v>
      </c>
      <c r="AF440" s="3" t="s">
        <v>1243</v>
      </c>
      <c r="AG440" s="3" t="s">
        <v>257</v>
      </c>
      <c r="AH440" s="3" t="s">
        <v>172</v>
      </c>
      <c r="AI440" s="54" t="str">
        <f t="shared" si="127"/>
        <v>Rahul Samal|design|TechNova Solutions</v>
      </c>
      <c r="AK440" s="3" t="s">
        <v>1243</v>
      </c>
      <c r="AL440" s="38" t="str">
        <f t="shared" si="128"/>
        <v>R.S.</v>
      </c>
      <c r="AQ440" s="3" t="s">
        <v>1243</v>
      </c>
      <c r="AR440" s="52" t="str">
        <f t="shared" si="130"/>
        <v>NO</v>
      </c>
      <c r="AW440" s="54">
        <f ca="1">DATEDIF(BI440,TODAY(),"Y")</f>
        <v>7</v>
      </c>
      <c r="AX440" s="54"/>
      <c r="BH440" s="3" t="s">
        <v>693</v>
      </c>
      <c r="BI440" s="51">
        <f t="shared" si="137"/>
        <v>43431</v>
      </c>
      <c r="BJ440" s="38">
        <f t="shared" ca="1" si="138"/>
        <v>2014</v>
      </c>
      <c r="BK440" s="38"/>
      <c r="BL440" s="38" t="str">
        <f t="shared" si="139"/>
        <v>No</v>
      </c>
      <c r="BM440"/>
      <c r="BN440" s="51"/>
      <c r="BP440" s="3" t="s">
        <v>1242</v>
      </c>
      <c r="BQ440" s="3" t="s">
        <v>257</v>
      </c>
      <c r="BR440" s="19" t="s">
        <v>72</v>
      </c>
      <c r="BS440" s="19" t="s">
        <v>3061</v>
      </c>
      <c r="BT440" s="54" t="str">
        <f t="shared" si="135"/>
        <v>Design</v>
      </c>
      <c r="BV440" s="3" t="s">
        <v>1242</v>
      </c>
      <c r="BW440" s="3" t="s">
        <v>1243</v>
      </c>
      <c r="CC440" s="3" t="s">
        <v>1243</v>
      </c>
      <c r="CD440" s="3" t="s">
        <v>25</v>
      </c>
      <c r="CG440" s="54">
        <f>IFERROR(_xlfn.XLOOKUP(Hiring!A440,Hiring!A440:A839,Hiring!B440:B839,,0),"Not Found")</f>
        <v>0</v>
      </c>
    </row>
    <row r="441" spans="6:85">
      <c r="F441" s="4">
        <v>4.4000000000000004</v>
      </c>
      <c r="G441" s="52" t="str" cm="1">
        <f t="array" ref="G441">_xlfn.IFS(F441&gt;=4.5,"Excellent",AND(F441&gt;=3.5,F441&lt;=4.4),"Good",F441&lt;3.5,"Needs Improvement")</f>
        <v>Good</v>
      </c>
      <c r="Q441" s="18"/>
      <c r="R441" s="56" t="str">
        <f t="shared" si="124"/>
        <v>No</v>
      </c>
      <c r="W441" s="18" t="s">
        <v>72</v>
      </c>
      <c r="X441" s="54" t="str">
        <f>VLOOKUP(W441,Employees!$A$1:$B$601,2,FALSE)</f>
        <v>Sudhansu Dhal</v>
      </c>
      <c r="Z441" s="4" t="s">
        <v>1244</v>
      </c>
      <c r="AA441" s="54" t="str">
        <f t="shared" si="125"/>
        <v>0440</v>
      </c>
      <c r="AC441" s="4" t="s">
        <v>133</v>
      </c>
      <c r="AD441" s="54" t="str">
        <f t="shared" si="126"/>
        <v>Qa</v>
      </c>
      <c r="AF441" s="4" t="s">
        <v>1245</v>
      </c>
      <c r="AG441" s="4" t="s">
        <v>133</v>
      </c>
      <c r="AH441" s="4" t="s">
        <v>114</v>
      </c>
      <c r="AI441" s="54" t="str">
        <f t="shared" si="127"/>
        <v>Saurav Choudhury|QA|UtkalSoft Technologies</v>
      </c>
      <c r="AK441" s="4" t="s">
        <v>1245</v>
      </c>
      <c r="AL441" s="38" t="str">
        <f t="shared" si="128"/>
        <v>S.C.</v>
      </c>
      <c r="AQ441" s="4" t="s">
        <v>1245</v>
      </c>
      <c r="AR441" s="52" t="str">
        <f t="shared" si="130"/>
        <v>NO</v>
      </c>
      <c r="AW441" s="54">
        <f ca="1">DATEDIF(BI441,TODAY(),"Y")</f>
        <v>4</v>
      </c>
      <c r="AX441" s="54"/>
      <c r="BH441" s="4" t="s">
        <v>1246</v>
      </c>
      <c r="BI441" s="51">
        <f t="shared" si="137"/>
        <v>44570</v>
      </c>
      <c r="BJ441" s="38">
        <f t="shared" ca="1" si="138"/>
        <v>1200</v>
      </c>
      <c r="BK441" s="38"/>
      <c r="BL441" s="38" t="str">
        <f t="shared" si="139"/>
        <v>Q1</v>
      </c>
      <c r="BM441"/>
      <c r="BN441" s="51"/>
      <c r="BP441" s="4" t="s">
        <v>1244</v>
      </c>
      <c r="BQ441" s="4" t="s">
        <v>133</v>
      </c>
      <c r="BR441" s="18" t="s">
        <v>72</v>
      </c>
      <c r="BS441" s="18" t="s">
        <v>3062</v>
      </c>
      <c r="BT441" s="54" t="str">
        <f t="shared" si="135"/>
        <v>Design</v>
      </c>
      <c r="BV441" s="4" t="s">
        <v>1244</v>
      </c>
      <c r="BW441" s="4" t="s">
        <v>1245</v>
      </c>
      <c r="CC441" s="4" t="s">
        <v>1245</v>
      </c>
      <c r="CD441" s="4" t="s">
        <v>153</v>
      </c>
      <c r="CG441" s="54">
        <f>IFERROR(_xlfn.XLOOKUP(Hiring!A441,Hiring!A441:A840,Hiring!B441:B840,,0),"Not Found")</f>
        <v>0</v>
      </c>
    </row>
    <row r="442" spans="6:85">
      <c r="F442" s="3">
        <v>4.7</v>
      </c>
      <c r="G442" s="52" t="str" cm="1">
        <f t="array" ref="G442">_xlfn.IFS(F442&gt;=4.5,"Excellent",AND(F442&gt;=3.5,F442&lt;=4.4),"Good",F442&lt;3.5,"Needs Improvement")</f>
        <v>Excellent</v>
      </c>
      <c r="Q442" s="19">
        <v>10.73</v>
      </c>
      <c r="R442" s="56" t="str">
        <f t="shared" si="124"/>
        <v>Yes</v>
      </c>
      <c r="W442" s="19" t="s">
        <v>72</v>
      </c>
      <c r="X442" s="54" t="str">
        <f>VLOOKUP(W442,Employees!$A$1:$B$601,2,FALSE)</f>
        <v>Sudhansu Dhal</v>
      </c>
      <c r="Z442" s="3" t="s">
        <v>1247</v>
      </c>
      <c r="AA442" s="54" t="str">
        <f t="shared" si="125"/>
        <v>0441</v>
      </c>
      <c r="AC442" s="3" t="s">
        <v>84</v>
      </c>
      <c r="AD442" s="54" t="str">
        <f t="shared" si="126"/>
        <v>Hr</v>
      </c>
      <c r="AF442" s="3" t="s">
        <v>525</v>
      </c>
      <c r="AG442" s="3" t="s">
        <v>84</v>
      </c>
      <c r="AH442" s="3" t="s">
        <v>75</v>
      </c>
      <c r="AI442" s="54" t="str">
        <f t="shared" si="127"/>
        <v>Ranjit Mohapatra|HR|KalingaTech Pvt Ltd</v>
      </c>
      <c r="AK442" s="3" t="s">
        <v>525</v>
      </c>
      <c r="AL442" s="38" t="str">
        <f t="shared" si="128"/>
        <v>R.M.</v>
      </c>
      <c r="AQ442" s="3" t="s">
        <v>525</v>
      </c>
      <c r="AR442" s="52" t="str">
        <f t="shared" si="130"/>
        <v>NO</v>
      </c>
      <c r="AW442" s="54">
        <f ca="1">DATEDIF(BI442,TODAY(),"Y")</f>
        <v>3</v>
      </c>
      <c r="AX442" s="54"/>
      <c r="BH442" s="3" t="s">
        <v>1210</v>
      </c>
      <c r="BI442" s="51">
        <f t="shared" si="137"/>
        <v>44853</v>
      </c>
      <c r="BJ442" s="38">
        <f t="shared" ca="1" si="138"/>
        <v>998</v>
      </c>
      <c r="BK442" s="38"/>
      <c r="BL442" s="38" t="str">
        <f t="shared" si="139"/>
        <v>No</v>
      </c>
      <c r="BM442"/>
      <c r="BN442" s="51"/>
      <c r="BP442" s="3" t="s">
        <v>1247</v>
      </c>
      <c r="BQ442" s="3" t="s">
        <v>84</v>
      </c>
      <c r="BR442" s="19" t="s">
        <v>72</v>
      </c>
      <c r="BS442" s="19" t="s">
        <v>3063</v>
      </c>
      <c r="BT442" s="54" t="str">
        <f t="shared" si="135"/>
        <v>Design</v>
      </c>
      <c r="BV442" s="3" t="s">
        <v>1247</v>
      </c>
      <c r="BW442" s="3" t="s">
        <v>525</v>
      </c>
      <c r="CC442" s="3" t="s">
        <v>525</v>
      </c>
      <c r="CD442" s="3" t="s">
        <v>138</v>
      </c>
      <c r="CG442" s="54">
        <f>IFERROR(_xlfn.XLOOKUP(Hiring!A442,Hiring!A442:A841,Hiring!B442:B841,,0),"Not Found")</f>
        <v>0</v>
      </c>
    </row>
    <row r="443" spans="6:85">
      <c r="F443" s="4">
        <v>3.1</v>
      </c>
      <c r="G443" s="52" t="str" cm="1">
        <f t="array" ref="G443">_xlfn.IFS(F443&gt;=4.5,"Excellent",AND(F443&gt;=3.5,F443&lt;=4.4),"Good",F443&lt;3.5,"Needs Improvement")</f>
        <v>Needs Improvement</v>
      </c>
      <c r="Q443" s="18">
        <v>8.35</v>
      </c>
      <c r="R443" s="56" t="str">
        <f t="shared" si="124"/>
        <v>Yes</v>
      </c>
      <c r="W443" s="18" t="s">
        <v>72</v>
      </c>
      <c r="X443" s="54" t="str">
        <f>VLOOKUP(W443,Employees!$A$1:$B$601,2,FALSE)</f>
        <v>Sudhansu Dhal</v>
      </c>
      <c r="Z443" s="4" t="s">
        <v>1248</v>
      </c>
      <c r="AA443" s="54" t="str">
        <f t="shared" si="125"/>
        <v>0442</v>
      </c>
      <c r="AC443" s="4" t="s">
        <v>118</v>
      </c>
      <c r="AD443" s="54" t="str">
        <f t="shared" si="126"/>
        <v>Marketing</v>
      </c>
      <c r="AF443" s="4" t="s">
        <v>401</v>
      </c>
      <c r="AG443" s="4" t="s">
        <v>118</v>
      </c>
      <c r="AH443" s="4" t="s">
        <v>114</v>
      </c>
      <c r="AI443" s="54" t="str">
        <f t="shared" si="127"/>
        <v>Namita Mishra|Marketing|UtkalSoft Technologies</v>
      </c>
      <c r="AK443" s="4" t="s">
        <v>401</v>
      </c>
      <c r="AL443" s="38" t="str">
        <f t="shared" si="128"/>
        <v>N.M.</v>
      </c>
      <c r="AQ443" s="4" t="s">
        <v>401</v>
      </c>
      <c r="AR443" s="52" t="str">
        <f t="shared" si="130"/>
        <v>Mishra</v>
      </c>
      <c r="AW443" s="54">
        <f ca="1">DATEDIF(BI443,TODAY(),"Y")</f>
        <v>3</v>
      </c>
      <c r="AX443" s="54"/>
      <c r="BH443" s="4" t="s">
        <v>1249</v>
      </c>
      <c r="BI443" s="51">
        <f t="shared" si="137"/>
        <v>44936</v>
      </c>
      <c r="BJ443" s="38">
        <f t="shared" ca="1" si="138"/>
        <v>939</v>
      </c>
      <c r="BK443" s="38"/>
      <c r="BL443" s="38" t="str">
        <f t="shared" si="139"/>
        <v>Q1</v>
      </c>
      <c r="BM443"/>
      <c r="BN443" s="51"/>
      <c r="BP443" s="4" t="s">
        <v>1248</v>
      </c>
      <c r="BQ443" s="4" t="s">
        <v>118</v>
      </c>
      <c r="BR443" s="18" t="s">
        <v>72</v>
      </c>
      <c r="BS443" s="18" t="s">
        <v>3065</v>
      </c>
      <c r="BT443" s="54" t="str">
        <f t="shared" si="135"/>
        <v>Design</v>
      </c>
      <c r="BV443" s="4" t="s">
        <v>1248</v>
      </c>
      <c r="BW443" s="4" t="s">
        <v>401</v>
      </c>
      <c r="CC443" s="4" t="s">
        <v>401</v>
      </c>
      <c r="CD443" s="4" t="s">
        <v>181</v>
      </c>
      <c r="CG443" s="54">
        <f>IFERROR(_xlfn.XLOOKUP(Hiring!A443,Hiring!A443:A842,Hiring!B443:B842,,0),"Not Found")</f>
        <v>0</v>
      </c>
    </row>
    <row r="444" spans="6:85">
      <c r="F444" s="3">
        <v>2</v>
      </c>
      <c r="G444" s="52" t="str" cm="1">
        <f t="array" ref="G444">_xlfn.IFS(F444&gt;=4.5,"Excellent",AND(F444&gt;=3.5,F444&lt;=4.4),"Good",F444&lt;3.5,"Needs Improvement")</f>
        <v>Needs Improvement</v>
      </c>
      <c r="Q444" s="19">
        <v>6.64</v>
      </c>
      <c r="R444" s="56" t="str">
        <f t="shared" si="124"/>
        <v>Yes</v>
      </c>
      <c r="W444" s="19" t="s">
        <v>72</v>
      </c>
      <c r="X444" s="54" t="str">
        <f>VLOOKUP(W444,Employees!$A$1:$B$601,2,FALSE)</f>
        <v>Sudhansu Dhal</v>
      </c>
      <c r="Z444" s="3" t="s">
        <v>1250</v>
      </c>
      <c r="AA444" s="54" t="str">
        <f t="shared" si="125"/>
        <v>0443</v>
      </c>
      <c r="AC444" s="3" t="s">
        <v>16</v>
      </c>
      <c r="AD444" s="54" t="str">
        <f t="shared" si="126"/>
        <v>Devops</v>
      </c>
      <c r="AF444" s="3" t="s">
        <v>1251</v>
      </c>
      <c r="AG444" s="3" t="s">
        <v>16</v>
      </c>
      <c r="AH444" s="3" t="s">
        <v>18</v>
      </c>
      <c r="AI444" s="54" t="str">
        <f t="shared" si="127"/>
        <v>Puspita Choudhury|DevOps|CoastalDev Studio</v>
      </c>
      <c r="AK444" s="3" t="s">
        <v>1251</v>
      </c>
      <c r="AL444" s="38" t="str">
        <f t="shared" si="128"/>
        <v>P.C.</v>
      </c>
      <c r="AQ444" s="3" t="s">
        <v>1251</v>
      </c>
      <c r="AR444" s="52" t="str">
        <f t="shared" si="130"/>
        <v>NO</v>
      </c>
      <c r="AW444" s="54">
        <f ca="1">DATEDIF(BI444,TODAY(),"Y")</f>
        <v>8</v>
      </c>
      <c r="AX444" s="54"/>
      <c r="BH444" s="3" t="s">
        <v>1252</v>
      </c>
      <c r="BI444" s="51">
        <f t="shared" si="137"/>
        <v>43286</v>
      </c>
      <c r="BJ444" s="38">
        <f t="shared" ca="1" si="138"/>
        <v>2117</v>
      </c>
      <c r="BK444" s="38"/>
      <c r="BL444" s="38" t="str">
        <f t="shared" si="139"/>
        <v>No</v>
      </c>
      <c r="BM444"/>
      <c r="BN444" s="51"/>
      <c r="BP444" s="3" t="s">
        <v>1250</v>
      </c>
      <c r="BQ444" s="3" t="s">
        <v>16</v>
      </c>
      <c r="BR444" s="19" t="s">
        <v>72</v>
      </c>
      <c r="BS444" s="19" t="s">
        <v>3068</v>
      </c>
      <c r="BT444" s="54" t="str">
        <f t="shared" si="135"/>
        <v>Design</v>
      </c>
      <c r="BV444" s="3" t="s">
        <v>1250</v>
      </c>
      <c r="BW444" s="3" t="s">
        <v>1251</v>
      </c>
      <c r="CC444" s="3" t="s">
        <v>1251</v>
      </c>
      <c r="CD444" s="3" t="s">
        <v>335</v>
      </c>
      <c r="CG444" s="54">
        <f>IFERROR(_xlfn.XLOOKUP(Hiring!A444,Hiring!A444:A843,Hiring!B444:B843,,0),"Not Found")</f>
        <v>0</v>
      </c>
    </row>
    <row r="445" spans="6:85">
      <c r="F445" s="4">
        <v>2.2000000000000002</v>
      </c>
      <c r="G445" s="52" t="str" cm="1">
        <f t="array" ref="G445">_xlfn.IFS(F445&gt;=4.5,"Excellent",AND(F445&gt;=3.5,F445&lt;=4.4),"Good",F445&lt;3.5,"Needs Improvement")</f>
        <v>Needs Improvement</v>
      </c>
      <c r="Q445" s="18">
        <v>8.3800000000000008</v>
      </c>
      <c r="R445" s="56" t="str">
        <f t="shared" si="124"/>
        <v>Yes</v>
      </c>
      <c r="W445" s="18" t="s">
        <v>72</v>
      </c>
      <c r="X445" s="54" t="str">
        <f>VLOOKUP(W445,Employees!$A$1:$B$601,2,FALSE)</f>
        <v>Sudhansu Dhal</v>
      </c>
      <c r="Z445" s="4" t="s">
        <v>1253</v>
      </c>
      <c r="AA445" s="54" t="str">
        <f t="shared" si="125"/>
        <v>0444</v>
      </c>
      <c r="AC445" s="4" t="s">
        <v>493</v>
      </c>
      <c r="AD445" s="54" t="str">
        <f t="shared" si="126"/>
        <v>Marketing</v>
      </c>
      <c r="AF445" s="4" t="s">
        <v>1254</v>
      </c>
      <c r="AG445" s="4" t="s">
        <v>493</v>
      </c>
      <c r="AH445" s="4" t="s">
        <v>172</v>
      </c>
      <c r="AI445" s="54" t="str">
        <f t="shared" si="127"/>
        <v>Sangita Mahapatra|marketing|TechNova Solutions</v>
      </c>
      <c r="AK445" s="4" t="s">
        <v>1254</v>
      </c>
      <c r="AL445" s="38" t="str">
        <f t="shared" si="128"/>
        <v>S.M.</v>
      </c>
      <c r="AQ445" s="4" t="s">
        <v>1254</v>
      </c>
      <c r="AR445" s="52" t="str">
        <f t="shared" si="130"/>
        <v>NO</v>
      </c>
      <c r="AW445" s="54">
        <f ca="1">DATEDIF(BI445,TODAY(),"Y")</f>
        <v>2</v>
      </c>
      <c r="AX445" s="54"/>
      <c r="BH445" s="4" t="s">
        <v>1255</v>
      </c>
      <c r="BI445" s="51">
        <f t="shared" si="137"/>
        <v>45470</v>
      </c>
      <c r="BJ445" s="38">
        <f t="shared" ca="1" si="138"/>
        <v>557</v>
      </c>
      <c r="BK445" s="38"/>
      <c r="BL445" s="38" t="str">
        <f t="shared" si="139"/>
        <v>No</v>
      </c>
      <c r="BM445"/>
      <c r="BN445" s="51"/>
      <c r="BP445" s="4" t="s">
        <v>1253</v>
      </c>
      <c r="BQ445" s="4" t="s">
        <v>493</v>
      </c>
      <c r="BR445" s="18" t="s">
        <v>72</v>
      </c>
      <c r="BS445" s="18" t="s">
        <v>3069</v>
      </c>
      <c r="BT445" s="54" t="str">
        <f t="shared" si="135"/>
        <v>Design</v>
      </c>
      <c r="BV445" s="4" t="s">
        <v>1253</v>
      </c>
      <c r="BW445" s="4" t="s">
        <v>1254</v>
      </c>
      <c r="CC445" s="4" t="s">
        <v>1254</v>
      </c>
      <c r="CD445" s="4" t="s">
        <v>254</v>
      </c>
      <c r="CG445" s="54">
        <f>IFERROR(_xlfn.XLOOKUP(Hiring!A445,Hiring!A445:A844,Hiring!B445:B844,,0),"Not Found")</f>
        <v>0</v>
      </c>
    </row>
    <row r="446" spans="6:85">
      <c r="F446" s="3">
        <v>1.9</v>
      </c>
      <c r="G446" s="52" t="str" cm="1">
        <f t="array" ref="G446">_xlfn.IFS(F446&gt;=4.5,"Excellent",AND(F446&gt;=3.5,F446&lt;=4.4),"Good",F446&lt;3.5,"Needs Improvement")</f>
        <v>Needs Improvement</v>
      </c>
      <c r="Q446" s="19">
        <v>10.62</v>
      </c>
      <c r="R446" s="56" t="str">
        <f t="shared" si="124"/>
        <v>Yes</v>
      </c>
      <c r="W446" s="19" t="s">
        <v>72</v>
      </c>
      <c r="X446" s="54" t="str">
        <f>VLOOKUP(W446,Employees!$A$1:$B$601,2,FALSE)</f>
        <v>Sudhansu Dhal</v>
      </c>
      <c r="Z446" s="3" t="s">
        <v>1256</v>
      </c>
      <c r="AA446" s="54" t="str">
        <f t="shared" si="125"/>
        <v>0445</v>
      </c>
      <c r="AC446" s="3" t="s">
        <v>133</v>
      </c>
      <c r="AD446" s="54" t="str">
        <f t="shared" si="126"/>
        <v>Qa</v>
      </c>
      <c r="AF446" s="3" t="s">
        <v>1257</v>
      </c>
      <c r="AG446" s="3" t="s">
        <v>133</v>
      </c>
      <c r="AH446" s="3" t="s">
        <v>46</v>
      </c>
      <c r="AI446" s="54" t="str">
        <f t="shared" si="127"/>
        <v>Puspita Dhal|QA|SambalpurNet</v>
      </c>
      <c r="AK446" s="3" t="s">
        <v>1257</v>
      </c>
      <c r="AL446" s="38" t="str">
        <f t="shared" si="128"/>
        <v>P.D.</v>
      </c>
      <c r="AQ446" s="3" t="s">
        <v>1257</v>
      </c>
      <c r="AR446" s="52" t="str">
        <f t="shared" si="130"/>
        <v>NO</v>
      </c>
      <c r="AW446" s="54">
        <f ca="1">DATEDIF(BI446,TODAY(),"Y")</f>
        <v>3</v>
      </c>
      <c r="AX446" s="54"/>
      <c r="BH446" s="3" t="s">
        <v>776</v>
      </c>
      <c r="BI446" s="51">
        <f t="shared" si="137"/>
        <v>44824</v>
      </c>
      <c r="BJ446" s="38">
        <f t="shared" ca="1" si="138"/>
        <v>1019</v>
      </c>
      <c r="BK446" s="38"/>
      <c r="BL446" s="38" t="str">
        <f t="shared" si="139"/>
        <v>No</v>
      </c>
      <c r="BM446"/>
      <c r="BN446" s="51"/>
      <c r="BP446" s="3" t="s">
        <v>1256</v>
      </c>
      <c r="BQ446" s="3" t="s">
        <v>133</v>
      </c>
      <c r="BR446" s="19" t="s">
        <v>72</v>
      </c>
      <c r="BS446" s="19" t="s">
        <v>3070</v>
      </c>
      <c r="BT446" s="54" t="str">
        <f t="shared" si="135"/>
        <v>Design</v>
      </c>
      <c r="BV446" s="3" t="s">
        <v>1256</v>
      </c>
      <c r="BW446" s="3" t="s">
        <v>1257</v>
      </c>
      <c r="CC446" s="3" t="s">
        <v>1257</v>
      </c>
      <c r="CD446" s="3" t="s">
        <v>162</v>
      </c>
      <c r="CG446" s="54">
        <f>IFERROR(_xlfn.XLOOKUP(Hiring!A446,Hiring!A446:A845,Hiring!B446:B845,,0),"Not Found")</f>
        <v>0</v>
      </c>
    </row>
    <row r="447" spans="6:85">
      <c r="F447" s="4">
        <v>4.2</v>
      </c>
      <c r="G447" s="52" t="str" cm="1">
        <f t="array" ref="G447">_xlfn.IFS(F447&gt;=4.5,"Excellent",AND(F447&gt;=3.5,F447&lt;=4.4),"Good",F447&lt;3.5,"Needs Improvement")</f>
        <v>Good</v>
      </c>
      <c r="Q447" s="18">
        <v>8.0399999999999991</v>
      </c>
      <c r="R447" s="56" t="str">
        <f t="shared" si="124"/>
        <v>Yes</v>
      </c>
      <c r="W447" s="18" t="s">
        <v>72</v>
      </c>
      <c r="X447" s="54" t="str">
        <f>VLOOKUP(W447,Employees!$A$1:$B$601,2,FALSE)</f>
        <v>Sudhansu Dhal</v>
      </c>
      <c r="Z447" s="4" t="s">
        <v>1258</v>
      </c>
      <c r="AA447" s="54" t="str">
        <f t="shared" si="125"/>
        <v>0446</v>
      </c>
      <c r="AC447" s="4" t="s">
        <v>51</v>
      </c>
      <c r="AD447" s="54" t="str">
        <f t="shared" si="126"/>
        <v>Sales</v>
      </c>
      <c r="AF447" s="4" t="s">
        <v>1259</v>
      </c>
      <c r="AG447" s="4" t="s">
        <v>51</v>
      </c>
      <c r="AH447" s="4" t="s">
        <v>172</v>
      </c>
      <c r="AI447" s="54" t="str">
        <f t="shared" si="127"/>
        <v>Smita Mahapatra|Sales|TechNova Solutions</v>
      </c>
      <c r="AK447" s="4" t="s">
        <v>1259</v>
      </c>
      <c r="AL447" s="38" t="str">
        <f t="shared" si="128"/>
        <v>S.M.</v>
      </c>
      <c r="AQ447" s="4" t="s">
        <v>1259</v>
      </c>
      <c r="AR447" s="52" t="str">
        <f t="shared" si="130"/>
        <v>NO</v>
      </c>
      <c r="AW447" s="54">
        <f ca="1">DATEDIF(BI447,TODAY(),"Y")</f>
        <v>3</v>
      </c>
      <c r="AX447" s="54"/>
      <c r="BH447" s="4" t="s">
        <v>1260</v>
      </c>
      <c r="BI447" s="51">
        <f t="shared" si="137"/>
        <v>45062</v>
      </c>
      <c r="BJ447" s="38">
        <f t="shared" ca="1" si="138"/>
        <v>849</v>
      </c>
      <c r="BK447" s="38"/>
      <c r="BL447" s="38" t="str">
        <f t="shared" si="139"/>
        <v>No</v>
      </c>
      <c r="BM447"/>
      <c r="BN447" s="51"/>
      <c r="BP447" s="4" t="s">
        <v>1258</v>
      </c>
      <c r="BQ447" s="4" t="s">
        <v>51</v>
      </c>
      <c r="BR447" s="18" t="s">
        <v>72</v>
      </c>
      <c r="BS447" s="18" t="s">
        <v>3072</v>
      </c>
      <c r="BT447" s="54" t="str">
        <f t="shared" si="135"/>
        <v>Design</v>
      </c>
      <c r="BV447" s="4" t="s">
        <v>1258</v>
      </c>
      <c r="BW447" s="4" t="s">
        <v>1259</v>
      </c>
      <c r="CC447" s="4" t="s">
        <v>1259</v>
      </c>
      <c r="CD447" s="4" t="s">
        <v>105</v>
      </c>
      <c r="CG447" s="54">
        <f>IFERROR(_xlfn.XLOOKUP(Hiring!A447,Hiring!A447:A846,Hiring!B447:B846,,0),"Not Found")</f>
        <v>0</v>
      </c>
    </row>
    <row r="448" spans="6:85">
      <c r="F448" s="3">
        <v>3.5</v>
      </c>
      <c r="G448" s="52" t="str" cm="1">
        <f t="array" ref="G448">_xlfn.IFS(F448&gt;=4.5,"Excellent",AND(F448&gt;=3.5,F448&lt;=4.4),"Good",F448&lt;3.5,"Needs Improvement")</f>
        <v>Good</v>
      </c>
      <c r="Q448" s="19"/>
      <c r="R448" s="56" t="str">
        <f t="shared" si="124"/>
        <v>No</v>
      </c>
      <c r="W448" s="19" t="s">
        <v>72</v>
      </c>
      <c r="X448" s="54" t="str">
        <f>VLOOKUP(W448,Employees!$A$1:$B$601,2,FALSE)</f>
        <v>Sudhansu Dhal</v>
      </c>
      <c r="Z448" s="3" t="s">
        <v>1261</v>
      </c>
      <c r="AA448" s="54" t="str">
        <f t="shared" si="125"/>
        <v>0447</v>
      </c>
      <c r="AC448" s="3" t="s">
        <v>63</v>
      </c>
      <c r="AD448" s="54" t="str">
        <f t="shared" si="126"/>
        <v>Product</v>
      </c>
      <c r="AF448" s="3" t="s">
        <v>1123</v>
      </c>
      <c r="AG448" s="3" t="s">
        <v>63</v>
      </c>
      <c r="AH448" s="3" t="s">
        <v>149</v>
      </c>
      <c r="AI448" s="54" t="str">
        <f t="shared" si="127"/>
        <v>Soumya Mohapatra|Product|SilverByte Systems</v>
      </c>
      <c r="AK448" s="3" t="s">
        <v>1123</v>
      </c>
      <c r="AL448" s="38" t="str">
        <f t="shared" si="128"/>
        <v>S.M.</v>
      </c>
      <c r="AQ448" s="3" t="s">
        <v>1123</v>
      </c>
      <c r="AR448" s="52" t="str">
        <f t="shared" si="130"/>
        <v>NO</v>
      </c>
      <c r="AW448" s="54">
        <f ca="1">DATEDIF(BI448,TODAY(),"Y")</f>
        <v>5</v>
      </c>
      <c r="AX448" s="54"/>
      <c r="BH448" s="3" t="s">
        <v>1262</v>
      </c>
      <c r="BI448" s="51">
        <f t="shared" si="137"/>
        <v>44081</v>
      </c>
      <c r="BJ448" s="38">
        <f t="shared" ca="1" si="138"/>
        <v>1550</v>
      </c>
      <c r="BK448" s="38"/>
      <c r="BL448" s="38" t="str">
        <f t="shared" si="139"/>
        <v>No</v>
      </c>
      <c r="BM448"/>
      <c r="BN448" s="51"/>
      <c r="BP448" s="3" t="s">
        <v>1261</v>
      </c>
      <c r="BQ448" s="3" t="s">
        <v>63</v>
      </c>
      <c r="BR448" s="19" t="s">
        <v>72</v>
      </c>
      <c r="BS448" s="19" t="s">
        <v>3073</v>
      </c>
      <c r="BT448" s="54" t="str">
        <f t="shared" si="135"/>
        <v>Design</v>
      </c>
      <c r="BV448" s="3" t="s">
        <v>1261</v>
      </c>
      <c r="BW448" s="3" t="s">
        <v>1123</v>
      </c>
      <c r="CC448" s="3" t="s">
        <v>1123</v>
      </c>
      <c r="CD448" s="3" t="s">
        <v>225</v>
      </c>
      <c r="CG448" s="54">
        <f>IFERROR(_xlfn.XLOOKUP(Hiring!A448,Hiring!A448:A847,Hiring!B448:B847,,0),"Not Found")</f>
        <v>0</v>
      </c>
    </row>
    <row r="449" spans="6:85">
      <c r="F449" s="4">
        <v>3</v>
      </c>
      <c r="G449" s="52" t="str" cm="1">
        <f t="array" ref="G449">_xlfn.IFS(F449&gt;=4.5,"Excellent",AND(F449&gt;=3.5,F449&lt;=4.4),"Good",F449&lt;3.5,"Needs Improvement")</f>
        <v>Needs Improvement</v>
      </c>
      <c r="Q449" s="18">
        <v>6.95</v>
      </c>
      <c r="R449" s="56" t="str">
        <f t="shared" si="124"/>
        <v>Yes</v>
      </c>
      <c r="W449" s="18" t="s">
        <v>72</v>
      </c>
      <c r="X449" s="54" t="str">
        <f>VLOOKUP(W449,Employees!$A$1:$B$601,2,FALSE)</f>
        <v>Sudhansu Dhal</v>
      </c>
      <c r="Z449" s="4" t="s">
        <v>1263</v>
      </c>
      <c r="AA449" s="54" t="str">
        <f t="shared" si="125"/>
        <v>0448</v>
      </c>
      <c r="AC449" s="4" t="s">
        <v>84</v>
      </c>
      <c r="AD449" s="54" t="str">
        <f t="shared" si="126"/>
        <v>Hr</v>
      </c>
      <c r="AF449" s="4" t="s">
        <v>1264</v>
      </c>
      <c r="AG449" s="4" t="s">
        <v>84</v>
      </c>
      <c r="AH449" s="4" t="s">
        <v>75</v>
      </c>
      <c r="AI449" s="54" t="str">
        <f t="shared" si="127"/>
        <v>Barsha Routray|HR|KalingaTech Pvt Ltd</v>
      </c>
      <c r="AK449" s="4" t="s">
        <v>1264</v>
      </c>
      <c r="AL449" s="38" t="str">
        <f t="shared" si="128"/>
        <v>B.R.</v>
      </c>
      <c r="AQ449" s="4" t="s">
        <v>1264</v>
      </c>
      <c r="AR449" s="52" t="str">
        <f t="shared" si="130"/>
        <v>NO</v>
      </c>
      <c r="AW449" s="54">
        <f ca="1">DATEDIF(BI449,TODAY(),"Y")</f>
        <v>3</v>
      </c>
      <c r="AX449" s="54"/>
      <c r="BH449" s="4" t="s">
        <v>1265</v>
      </c>
      <c r="BI449" s="51">
        <f t="shared" si="137"/>
        <v>44884</v>
      </c>
      <c r="BJ449" s="38">
        <f t="shared" ca="1" si="138"/>
        <v>975</v>
      </c>
      <c r="BK449" s="38"/>
      <c r="BL449" s="38" t="str">
        <f t="shared" si="139"/>
        <v>No</v>
      </c>
      <c r="BM449"/>
      <c r="BN449" s="51"/>
      <c r="BP449" s="4" t="s">
        <v>1263</v>
      </c>
      <c r="BQ449" s="4" t="s">
        <v>84</v>
      </c>
      <c r="BR449" s="18" t="s">
        <v>72</v>
      </c>
      <c r="BS449" s="18" t="s">
        <v>3074</v>
      </c>
      <c r="BT449" s="54" t="str">
        <f t="shared" si="135"/>
        <v>Design</v>
      </c>
      <c r="BV449" s="4" t="s">
        <v>1263</v>
      </c>
      <c r="BW449" s="4" t="s">
        <v>1264</v>
      </c>
      <c r="CC449" s="4" t="s">
        <v>1264</v>
      </c>
      <c r="CD449" s="4" t="s">
        <v>138</v>
      </c>
      <c r="CG449" s="54">
        <f>IFERROR(_xlfn.XLOOKUP(Hiring!A449,Hiring!A449:A848,Hiring!B449:B848,,0),"Not Found")</f>
        <v>0</v>
      </c>
    </row>
    <row r="450" spans="6:85">
      <c r="F450" s="3">
        <v>3.3</v>
      </c>
      <c r="G450" s="52" t="str" cm="1">
        <f t="array" ref="G450">_xlfn.IFS(F450&gt;=4.5,"Excellent",AND(F450&gt;=3.5,F450&lt;=4.4),"Good",F450&lt;3.5,"Needs Improvement")</f>
        <v>Needs Improvement</v>
      </c>
      <c r="Q450" s="19">
        <v>10.45</v>
      </c>
      <c r="R450" s="56" t="str">
        <f t="shared" si="124"/>
        <v>Yes</v>
      </c>
      <c r="W450" s="19" t="s">
        <v>72</v>
      </c>
      <c r="X450" s="54" t="str">
        <f>VLOOKUP(W450,Employees!$A$1:$B$601,2,FALSE)</f>
        <v>Sudhansu Dhal</v>
      </c>
      <c r="Z450" s="3" t="s">
        <v>1266</v>
      </c>
      <c r="AA450" s="54" t="str">
        <f t="shared" si="125"/>
        <v>0449</v>
      </c>
      <c r="AC450" s="3" t="s">
        <v>51</v>
      </c>
      <c r="AD450" s="54" t="str">
        <f t="shared" si="126"/>
        <v>Sales</v>
      </c>
      <c r="AF450" s="3" t="s">
        <v>1267</v>
      </c>
      <c r="AG450" s="3" t="s">
        <v>51</v>
      </c>
      <c r="AH450" s="3" t="s">
        <v>53</v>
      </c>
      <c r="AI450" s="54" t="str">
        <f t="shared" si="127"/>
        <v>Amlan Routray|Sales|BlueLotus IT</v>
      </c>
      <c r="AK450" s="3" t="s">
        <v>1267</v>
      </c>
      <c r="AL450" s="38" t="str">
        <f t="shared" si="128"/>
        <v>A.R.</v>
      </c>
      <c r="AQ450" s="3" t="s">
        <v>1267</v>
      </c>
      <c r="AR450" s="52" t="str">
        <f t="shared" si="130"/>
        <v>NO</v>
      </c>
      <c r="AW450" s="54">
        <f ca="1">DATEDIF(BI450,TODAY(),"Y")</f>
        <v>3</v>
      </c>
      <c r="AX450" s="54"/>
      <c r="BH450" s="3" t="s">
        <v>1268</v>
      </c>
      <c r="BI450" s="51">
        <f t="shared" si="137"/>
        <v>44848</v>
      </c>
      <c r="BJ450" s="38">
        <f t="shared" ca="1" si="138"/>
        <v>1001</v>
      </c>
      <c r="BK450" s="38"/>
      <c r="BL450" s="38" t="str">
        <f t="shared" si="139"/>
        <v>No</v>
      </c>
      <c r="BM450"/>
      <c r="BN450" s="51"/>
      <c r="BP450" s="3" t="s">
        <v>1266</v>
      </c>
      <c r="BQ450" s="3" t="s">
        <v>51</v>
      </c>
      <c r="BR450" s="19" t="s">
        <v>72</v>
      </c>
      <c r="BS450" s="19" t="s">
        <v>3076</v>
      </c>
      <c r="BT450" s="54" t="str">
        <f t="shared" si="135"/>
        <v>Design</v>
      </c>
      <c r="BV450" s="3" t="s">
        <v>1266</v>
      </c>
      <c r="BW450" s="3" t="s">
        <v>1267</v>
      </c>
      <c r="CC450" s="3" t="s">
        <v>1267</v>
      </c>
      <c r="CD450" s="3" t="s">
        <v>52</v>
      </c>
      <c r="CG450" s="54">
        <f>IFERROR(_xlfn.XLOOKUP(Hiring!A450,Hiring!A450:A849,Hiring!B450:B849,,0),"Not Found")</f>
        <v>0</v>
      </c>
    </row>
    <row r="451" spans="6:85">
      <c r="F451" s="4">
        <v>1.8</v>
      </c>
      <c r="G451" s="52" t="str" cm="1">
        <f t="array" ref="G451">_xlfn.IFS(F451&gt;=4.5,"Excellent",AND(F451&gt;=3.5,F451&lt;=4.4),"Good",F451&lt;3.5,"Needs Improvement")</f>
        <v>Needs Improvement</v>
      </c>
      <c r="Q451" s="18">
        <v>10.220000000000001</v>
      </c>
      <c r="R451" s="56" t="str">
        <f t="shared" ref="R451:R514" si="141">IF(ISBLANK(Q451),"No","Yes")</f>
        <v>Yes</v>
      </c>
      <c r="W451" s="18" t="s">
        <v>72</v>
      </c>
      <c r="X451" s="54" t="str">
        <f>VLOOKUP(W451,Employees!$A$1:$B$601,2,FALSE)</f>
        <v>Sudhansu Dhal</v>
      </c>
      <c r="Z451" s="4" t="s">
        <v>1269</v>
      </c>
      <c r="AA451" s="54" t="str">
        <f t="shared" ref="AA451:AA514" si="142">RIGHT(Z451,4)</f>
        <v>0450</v>
      </c>
      <c r="AC451" s="4" t="s">
        <v>39</v>
      </c>
      <c r="AD451" s="54" t="str">
        <f t="shared" ref="AD451:AD514" si="143">PROPER(AC451)</f>
        <v>Engineering</v>
      </c>
      <c r="AF451" s="4" t="s">
        <v>516</v>
      </c>
      <c r="AG451" s="4" t="s">
        <v>39</v>
      </c>
      <c r="AH451" s="4" t="s">
        <v>70</v>
      </c>
      <c r="AI451" s="54" t="str">
        <f t="shared" ref="AI451:AI514" si="144">_xlfn.CONCAT(AF451,"|",AG451,"|",AH451)</f>
        <v>Soumya Padhi|Engineering|OdishaCode Labs</v>
      </c>
      <c r="AK451" s="4" t="s">
        <v>516</v>
      </c>
      <c r="AL451" s="38" t="str">
        <f t="shared" ref="AL451:AL514" si="145">LEFT(AK451,1)&amp;"."&amp;MID(AK451,FIND(" ",AK451)+1,1)&amp;"."</f>
        <v>S.P.</v>
      </c>
      <c r="AQ451" s="4" t="s">
        <v>516</v>
      </c>
      <c r="AR451" s="52" t="str">
        <f t="shared" ref="AR451:AR514" si="146">IF(ISNUMBER(SEARCH("Mishra",AQ451)),"Mishra","NO")</f>
        <v>NO</v>
      </c>
      <c r="AW451" s="54">
        <f ca="1">DATEDIF(BI451,TODAY(),"Y")</f>
        <v>2</v>
      </c>
      <c r="AX451" s="54"/>
      <c r="BH451" s="4" t="s">
        <v>1270</v>
      </c>
      <c r="BI451" s="51">
        <f t="shared" si="137"/>
        <v>45412</v>
      </c>
      <c r="BJ451" s="38">
        <f t="shared" ca="1" si="138"/>
        <v>599</v>
      </c>
      <c r="BK451" s="38"/>
      <c r="BL451" s="38" t="str">
        <f t="shared" si="139"/>
        <v>No</v>
      </c>
      <c r="BM451"/>
      <c r="BN451" s="51"/>
      <c r="BP451" s="4" t="s">
        <v>1269</v>
      </c>
      <c r="BQ451" s="4" t="s">
        <v>39</v>
      </c>
      <c r="BR451" s="18" t="s">
        <v>72</v>
      </c>
      <c r="BS451" s="18" t="s">
        <v>3079</v>
      </c>
      <c r="BT451" s="54" t="str">
        <f t="shared" ref="BT451:BT514" si="147">VLOOKUP(BR451,$BP$2:$BQ$601,2,FALSE)</f>
        <v>Design</v>
      </c>
      <c r="BV451" s="4" t="s">
        <v>1269</v>
      </c>
      <c r="BW451" s="4" t="s">
        <v>516</v>
      </c>
      <c r="CC451" s="4" t="s">
        <v>516</v>
      </c>
      <c r="CD451" s="4" t="s">
        <v>109</v>
      </c>
      <c r="CG451" s="54">
        <f>IFERROR(_xlfn.XLOOKUP(Hiring!A451,Hiring!A451:A850,Hiring!B451:B850,,0),"Not Found")</f>
        <v>0</v>
      </c>
    </row>
    <row r="452" spans="6:85">
      <c r="F452" s="3">
        <v>4.5999999999999996</v>
      </c>
      <c r="G452" s="52" t="str" cm="1">
        <f t="array" ref="G452">_xlfn.IFS(F452&gt;=4.5,"Excellent",AND(F452&gt;=3.5,F452&lt;=4.4),"Good",F452&lt;3.5,"Needs Improvement")</f>
        <v>Excellent</v>
      </c>
      <c r="Q452" s="19">
        <v>11.33</v>
      </c>
      <c r="R452" s="56" t="str">
        <f t="shared" si="141"/>
        <v>Yes</v>
      </c>
      <c r="W452" s="19" t="s">
        <v>72</v>
      </c>
      <c r="X452" s="54" t="str">
        <f>VLOOKUP(W452,Employees!$A$1:$B$601,2,FALSE)</f>
        <v>Sudhansu Dhal</v>
      </c>
      <c r="Z452" s="3" t="s">
        <v>1271</v>
      </c>
      <c r="AA452" s="54" t="str">
        <f t="shared" si="142"/>
        <v>0451</v>
      </c>
      <c r="AC452" s="3" t="s">
        <v>84</v>
      </c>
      <c r="AD452" s="54" t="str">
        <f t="shared" si="143"/>
        <v>Hr</v>
      </c>
      <c r="AF452" s="3" t="s">
        <v>344</v>
      </c>
      <c r="AG452" s="3" t="s">
        <v>84</v>
      </c>
      <c r="AH452" s="3" t="s">
        <v>46</v>
      </c>
      <c r="AI452" s="54" t="str">
        <f t="shared" si="144"/>
        <v>Namita Pattnaik|HR|SambalpurNet</v>
      </c>
      <c r="AK452" s="3" t="s">
        <v>344</v>
      </c>
      <c r="AL452" s="38" t="str">
        <f t="shared" si="145"/>
        <v>N.P.</v>
      </c>
      <c r="AQ452" s="3" t="s">
        <v>344</v>
      </c>
      <c r="AR452" s="52" t="str">
        <f t="shared" si="146"/>
        <v>NO</v>
      </c>
      <c r="AW452" s="54">
        <f ca="1">DATEDIF(BI452,TODAY(),"Y")</f>
        <v>2</v>
      </c>
      <c r="AX452" s="54"/>
      <c r="BH452" s="3" t="s">
        <v>1272</v>
      </c>
      <c r="BI452" s="51">
        <f t="shared" ref="BI452:BI515" si="148">IF(LEN(LEFT(BH452,FIND("-",BH452)-1))=4,DATE(LEFT(BH452,4),MID(BH452,6,2),RIGHT(BH452,2)),DATE(RIGHT(BH452,4),MID(BH452,4,2),LEFT(BH452,2)))</f>
        <v>45177</v>
      </c>
      <c r="BJ452" s="38">
        <f t="shared" ref="BJ452:BJ515" ca="1" si="149">NETWORKDAYS(BI452,TODAY())</f>
        <v>766</v>
      </c>
      <c r="BK452" s="38"/>
      <c r="BL452" s="38" t="str">
        <f t="shared" ref="BL452:BL515" si="150">IF(MONTH(BI452)&lt;=3,"Q1","No")</f>
        <v>No</v>
      </c>
      <c r="BM452"/>
      <c r="BN452" s="51"/>
      <c r="BP452" s="3" t="s">
        <v>1271</v>
      </c>
      <c r="BQ452" s="3" t="s">
        <v>84</v>
      </c>
      <c r="BR452" s="19" t="s">
        <v>72</v>
      </c>
      <c r="BS452" s="19" t="s">
        <v>3080</v>
      </c>
      <c r="BT452" s="54" t="str">
        <f t="shared" si="147"/>
        <v>Design</v>
      </c>
      <c r="BV452" s="3" t="s">
        <v>1271</v>
      </c>
      <c r="BW452" s="3" t="s">
        <v>344</v>
      </c>
      <c r="CC452" s="3" t="s">
        <v>344</v>
      </c>
      <c r="CD452" s="3" t="s">
        <v>85</v>
      </c>
      <c r="CG452" s="54">
        <f>IFERROR(_xlfn.XLOOKUP(Hiring!A452,Hiring!A452:A851,Hiring!B452:B851,,0),"Not Found")</f>
        <v>0</v>
      </c>
    </row>
    <row r="453" spans="6:85">
      <c r="F453" s="4">
        <v>3.5</v>
      </c>
      <c r="G453" s="52" t="str" cm="1">
        <f t="array" ref="G453">_xlfn.IFS(F453&gt;=4.5,"Excellent",AND(F453&gt;=3.5,F453&lt;=4.4),"Good",F453&lt;3.5,"Needs Improvement")</f>
        <v>Good</v>
      </c>
      <c r="Q453" s="18">
        <v>10.09</v>
      </c>
      <c r="R453" s="56" t="str">
        <f t="shared" si="141"/>
        <v>Yes</v>
      </c>
      <c r="W453" s="18" t="s">
        <v>72</v>
      </c>
      <c r="X453" s="54" t="str">
        <f>VLOOKUP(W453,Employees!$A$1:$B$601,2,FALSE)</f>
        <v>Sudhansu Dhal</v>
      </c>
      <c r="Z453" s="4" t="s">
        <v>1273</v>
      </c>
      <c r="AA453" s="54" t="str">
        <f t="shared" si="142"/>
        <v>0452</v>
      </c>
      <c r="AC453" s="4" t="s">
        <v>176</v>
      </c>
      <c r="AD453" s="54" t="str">
        <f t="shared" si="143"/>
        <v>Finance</v>
      </c>
      <c r="AF453" s="4" t="s">
        <v>1274</v>
      </c>
      <c r="AG453" s="4" t="s">
        <v>176</v>
      </c>
      <c r="AH453" s="4" t="s">
        <v>70</v>
      </c>
      <c r="AI453" s="54" t="str">
        <f t="shared" si="144"/>
        <v>Rajan Jena|Finance|OdishaCode Labs</v>
      </c>
      <c r="AK453" s="4" t="s">
        <v>1274</v>
      </c>
      <c r="AL453" s="38" t="str">
        <f t="shared" si="145"/>
        <v>R.J.</v>
      </c>
      <c r="AQ453" s="4" t="s">
        <v>1274</v>
      </c>
      <c r="AR453" s="52" t="str">
        <f t="shared" si="146"/>
        <v>NO</v>
      </c>
      <c r="AW453" s="54">
        <f ca="1">DATEDIF(BI453,TODAY(),"Y")</f>
        <v>3</v>
      </c>
      <c r="AX453" s="54"/>
      <c r="BH453" s="4" t="s">
        <v>1275</v>
      </c>
      <c r="BI453" s="51">
        <f t="shared" si="148"/>
        <v>44836</v>
      </c>
      <c r="BJ453" s="38">
        <f t="shared" ca="1" si="149"/>
        <v>1010</v>
      </c>
      <c r="BK453" s="38"/>
      <c r="BL453" s="38" t="str">
        <f t="shared" si="150"/>
        <v>No</v>
      </c>
      <c r="BM453"/>
      <c r="BN453" s="51"/>
      <c r="BP453" s="4" t="s">
        <v>1273</v>
      </c>
      <c r="BQ453" s="4" t="s">
        <v>176</v>
      </c>
      <c r="BR453" s="18" t="s">
        <v>72</v>
      </c>
      <c r="BS453" s="18" t="s">
        <v>3082</v>
      </c>
      <c r="BT453" s="54" t="str">
        <f t="shared" si="147"/>
        <v>Design</v>
      </c>
      <c r="BV453" s="4" t="s">
        <v>1273</v>
      </c>
      <c r="BW453" s="4" t="s">
        <v>1274</v>
      </c>
      <c r="CC453" s="4" t="s">
        <v>1274</v>
      </c>
      <c r="CD453" s="4" t="s">
        <v>359</v>
      </c>
      <c r="CG453" s="54">
        <f>IFERROR(_xlfn.XLOOKUP(Hiring!A453,Hiring!A453:A852,Hiring!B453:B852,,0),"Not Found")</f>
        <v>0</v>
      </c>
    </row>
    <row r="454" spans="6:85">
      <c r="F454" s="3">
        <v>3.9</v>
      </c>
      <c r="G454" s="52" t="str" cm="1">
        <f t="array" ref="G454">_xlfn.IFS(F454&gt;=4.5,"Excellent",AND(F454&gt;=3.5,F454&lt;=4.4),"Good",F454&lt;3.5,"Needs Improvement")</f>
        <v>Good</v>
      </c>
      <c r="Q454" s="19"/>
      <c r="R454" s="56" t="str">
        <f t="shared" si="141"/>
        <v>No</v>
      </c>
      <c r="W454" s="19" t="s">
        <v>72</v>
      </c>
      <c r="X454" s="54" t="str">
        <f>VLOOKUP(W454,Employees!$A$1:$B$601,2,FALSE)</f>
        <v>Sudhansu Dhal</v>
      </c>
      <c r="Z454" s="3" t="s">
        <v>1276</v>
      </c>
      <c r="AA454" s="54" t="str">
        <f t="shared" si="142"/>
        <v>0453</v>
      </c>
      <c r="AC454" s="3" t="s">
        <v>176</v>
      </c>
      <c r="AD454" s="54" t="str">
        <f t="shared" si="143"/>
        <v>Finance</v>
      </c>
      <c r="AF454" s="3" t="s">
        <v>104</v>
      </c>
      <c r="AG454" s="3" t="s">
        <v>176</v>
      </c>
      <c r="AH454" s="3" t="s">
        <v>65</v>
      </c>
      <c r="AI454" s="54" t="str">
        <f t="shared" si="144"/>
        <v>Sangita Padhi|Finance|TributeAI</v>
      </c>
      <c r="AK454" s="3" t="s">
        <v>104</v>
      </c>
      <c r="AL454" s="38" t="str">
        <f t="shared" si="145"/>
        <v>S.P.</v>
      </c>
      <c r="AQ454" s="3" t="s">
        <v>104</v>
      </c>
      <c r="AR454" s="52" t="str">
        <f t="shared" si="146"/>
        <v>NO</v>
      </c>
      <c r="AW454" s="54">
        <f ca="1">DATEDIF(BI454,TODAY(),"Y")</f>
        <v>4</v>
      </c>
      <c r="AX454" s="54"/>
      <c r="BH454" s="3" t="s">
        <v>1277</v>
      </c>
      <c r="BI454" s="51">
        <f t="shared" si="148"/>
        <v>44614</v>
      </c>
      <c r="BJ454" s="38">
        <f t="shared" ca="1" si="149"/>
        <v>1169</v>
      </c>
      <c r="BK454" s="38"/>
      <c r="BL454" s="38" t="str">
        <f t="shared" si="150"/>
        <v>Q1</v>
      </c>
      <c r="BM454"/>
      <c r="BN454" s="51"/>
      <c r="BP454" s="3" t="s">
        <v>1276</v>
      </c>
      <c r="BQ454" s="3" t="s">
        <v>176</v>
      </c>
      <c r="BR454" s="19" t="s">
        <v>72</v>
      </c>
      <c r="BS454" s="19" t="s">
        <v>3083</v>
      </c>
      <c r="BT454" s="54" t="str">
        <f t="shared" si="147"/>
        <v>Design</v>
      </c>
      <c r="BV454" s="3" t="s">
        <v>1276</v>
      </c>
      <c r="BW454" s="3" t="s">
        <v>104</v>
      </c>
      <c r="CC454" s="3" t="s">
        <v>104</v>
      </c>
      <c r="CD454" s="3" t="s">
        <v>229</v>
      </c>
      <c r="CG454" s="54">
        <f>IFERROR(_xlfn.XLOOKUP(Hiring!A454,Hiring!A454:A853,Hiring!B454:B853,,0),"Not Found")</f>
        <v>0</v>
      </c>
    </row>
    <row r="455" spans="6:85">
      <c r="F455" s="4">
        <v>3.1</v>
      </c>
      <c r="G455" s="52" t="str" cm="1">
        <f t="array" ref="G455">_xlfn.IFS(F455&gt;=4.5,"Excellent",AND(F455&gt;=3.5,F455&lt;=4.4),"Good",F455&lt;3.5,"Needs Improvement")</f>
        <v>Needs Improvement</v>
      </c>
      <c r="Q455" s="18">
        <v>11.38</v>
      </c>
      <c r="R455" s="56" t="str">
        <f t="shared" si="141"/>
        <v>Yes</v>
      </c>
      <c r="W455" s="18" t="s">
        <v>72</v>
      </c>
      <c r="X455" s="54" t="str">
        <f>VLOOKUP(W455,Employees!$A$1:$B$601,2,FALSE)</f>
        <v>Sudhansu Dhal</v>
      </c>
      <c r="Z455" s="4" t="s">
        <v>1278</v>
      </c>
      <c r="AA455" s="54" t="str">
        <f t="shared" si="142"/>
        <v>0454</v>
      </c>
      <c r="AC455" s="4" t="s">
        <v>133</v>
      </c>
      <c r="AD455" s="54" t="str">
        <f t="shared" si="143"/>
        <v>Qa</v>
      </c>
      <c r="AF455" s="4" t="s">
        <v>851</v>
      </c>
      <c r="AG455" s="4" t="s">
        <v>133</v>
      </c>
      <c r="AH455" s="4" t="s">
        <v>70</v>
      </c>
      <c r="AI455" s="54" t="str">
        <f t="shared" si="144"/>
        <v>Subhasree Samal|QA|OdishaCode Labs</v>
      </c>
      <c r="AK455" s="4" t="s">
        <v>851</v>
      </c>
      <c r="AL455" s="38" t="str">
        <f t="shared" si="145"/>
        <v>S.S.</v>
      </c>
      <c r="AQ455" s="4" t="s">
        <v>851</v>
      </c>
      <c r="AR455" s="52" t="str">
        <f t="shared" si="146"/>
        <v>NO</v>
      </c>
      <c r="AW455" s="54">
        <f ca="1">DATEDIF(BI455,TODAY(),"Y")</f>
        <v>3</v>
      </c>
      <c r="AX455" s="54"/>
      <c r="BH455" s="4" t="s">
        <v>1279</v>
      </c>
      <c r="BI455" s="51">
        <f t="shared" si="148"/>
        <v>44970</v>
      </c>
      <c r="BJ455" s="38">
        <f t="shared" ca="1" si="149"/>
        <v>915</v>
      </c>
      <c r="BK455" s="38"/>
      <c r="BL455" s="38" t="str">
        <f t="shared" si="150"/>
        <v>Q1</v>
      </c>
      <c r="BM455"/>
      <c r="BN455" s="51"/>
      <c r="BP455" s="4" t="s">
        <v>1278</v>
      </c>
      <c r="BQ455" s="4" t="s">
        <v>133</v>
      </c>
      <c r="BR455" s="18" t="s">
        <v>72</v>
      </c>
      <c r="BS455" s="18" t="s">
        <v>3084</v>
      </c>
      <c r="BT455" s="54" t="str">
        <f t="shared" si="147"/>
        <v>Design</v>
      </c>
      <c r="BV455" s="4" t="s">
        <v>1278</v>
      </c>
      <c r="BW455" s="4" t="s">
        <v>851</v>
      </c>
      <c r="CC455" s="4" t="s">
        <v>851</v>
      </c>
      <c r="CD455" s="4" t="s">
        <v>486</v>
      </c>
      <c r="CG455" s="54">
        <f>IFERROR(_xlfn.XLOOKUP(Hiring!A455,Hiring!A455:A854,Hiring!B455:B854,,0),"Not Found")</f>
        <v>0</v>
      </c>
    </row>
    <row r="456" spans="6:85">
      <c r="F456" s="3">
        <v>3.4</v>
      </c>
      <c r="G456" s="52" t="str" cm="1">
        <f t="array" ref="G456">_xlfn.IFS(F456&gt;=4.5,"Excellent",AND(F456&gt;=3.5,F456&lt;=4.4),"Good",F456&lt;3.5,"Needs Improvement")</f>
        <v>Needs Improvement</v>
      </c>
      <c r="Q456" s="19"/>
      <c r="R456" s="56" t="str">
        <f t="shared" si="141"/>
        <v>No</v>
      </c>
      <c r="W456" s="19" t="s">
        <v>72</v>
      </c>
      <c r="X456" s="54" t="str">
        <f>VLOOKUP(W456,Employees!$A$1:$B$601,2,FALSE)</f>
        <v>Sudhansu Dhal</v>
      </c>
      <c r="Z456" s="3" t="s">
        <v>1280</v>
      </c>
      <c r="AA456" s="54" t="str">
        <f t="shared" si="142"/>
        <v>0455</v>
      </c>
      <c r="AC456" s="3" t="s">
        <v>63</v>
      </c>
      <c r="AD456" s="54" t="str">
        <f t="shared" si="143"/>
        <v>Product</v>
      </c>
      <c r="AF456" s="3" t="s">
        <v>668</v>
      </c>
      <c r="AG456" s="3" t="s">
        <v>63</v>
      </c>
      <c r="AH456" s="3" t="s">
        <v>65</v>
      </c>
      <c r="AI456" s="54" t="str">
        <f t="shared" si="144"/>
        <v>Chinmaya Dhal|Product|TributeAI</v>
      </c>
      <c r="AK456" s="3" t="s">
        <v>668</v>
      </c>
      <c r="AL456" s="38" t="str">
        <f t="shared" si="145"/>
        <v>C.D.</v>
      </c>
      <c r="AQ456" s="3" t="s">
        <v>668</v>
      </c>
      <c r="AR456" s="52" t="str">
        <f t="shared" si="146"/>
        <v>NO</v>
      </c>
      <c r="AW456" s="54">
        <f ca="1">DATEDIF(BI456,TODAY(),"Y")</f>
        <v>5</v>
      </c>
      <c r="AX456" s="54"/>
      <c r="BH456" s="3" t="s">
        <v>1281</v>
      </c>
      <c r="BI456" s="51">
        <f t="shared" si="148"/>
        <v>44159</v>
      </c>
      <c r="BJ456" s="38">
        <f t="shared" ca="1" si="149"/>
        <v>1494</v>
      </c>
      <c r="BK456" s="38"/>
      <c r="BL456" s="38" t="str">
        <f t="shared" si="150"/>
        <v>No</v>
      </c>
      <c r="BM456"/>
      <c r="BN456" s="51"/>
      <c r="BP456" s="3" t="s">
        <v>1280</v>
      </c>
      <c r="BQ456" s="3" t="s">
        <v>63</v>
      </c>
      <c r="BR456" s="19" t="s">
        <v>72</v>
      </c>
      <c r="BS456" s="19" t="s">
        <v>3087</v>
      </c>
      <c r="BT456" s="54" t="str">
        <f t="shared" si="147"/>
        <v>Design</v>
      </c>
      <c r="BV456" s="3" t="s">
        <v>1280</v>
      </c>
      <c r="BW456" s="3" t="s">
        <v>668</v>
      </c>
      <c r="CC456" s="3" t="s">
        <v>668</v>
      </c>
      <c r="CD456" s="3" t="s">
        <v>225</v>
      </c>
      <c r="CG456" s="54">
        <f>IFERROR(_xlfn.XLOOKUP(Hiring!A456,Hiring!A456:A855,Hiring!B456:B855,,0),"Not Found")</f>
        <v>0</v>
      </c>
    </row>
    <row r="457" spans="6:85">
      <c r="F457" s="4">
        <v>2.1</v>
      </c>
      <c r="G457" s="52" t="str" cm="1">
        <f t="array" ref="G457">_xlfn.IFS(F457&gt;=4.5,"Excellent",AND(F457&gt;=3.5,F457&lt;=4.4),"Good",F457&lt;3.5,"Needs Improvement")</f>
        <v>Needs Improvement</v>
      </c>
      <c r="Q457" s="18">
        <v>8.3800000000000008</v>
      </c>
      <c r="R457" s="56" t="str">
        <f t="shared" si="141"/>
        <v>Yes</v>
      </c>
      <c r="W457" s="18" t="s">
        <v>72</v>
      </c>
      <c r="X457" s="54" t="str">
        <f>VLOOKUP(W457,Employees!$A$1:$B$601,2,FALSE)</f>
        <v>Sudhansu Dhal</v>
      </c>
      <c r="Z457" s="4" t="s">
        <v>1282</v>
      </c>
      <c r="AA457" s="54" t="str">
        <f t="shared" si="142"/>
        <v>0456</v>
      </c>
      <c r="AC457" s="4" t="s">
        <v>89</v>
      </c>
      <c r="AD457" s="54" t="str">
        <f t="shared" si="143"/>
        <v>Data Science</v>
      </c>
      <c r="AF457" s="4" t="s">
        <v>1283</v>
      </c>
      <c r="AG457" s="4" t="s">
        <v>89</v>
      </c>
      <c r="AH457" s="4" t="s">
        <v>53</v>
      </c>
      <c r="AI457" s="54" t="str">
        <f t="shared" si="144"/>
        <v>Dibya Samal|Data Science|BlueLotus IT</v>
      </c>
      <c r="AK457" s="4" t="s">
        <v>1283</v>
      </c>
      <c r="AL457" s="38" t="str">
        <f t="shared" si="145"/>
        <v>D.S.</v>
      </c>
      <c r="AQ457" s="4" t="s">
        <v>1283</v>
      </c>
      <c r="AR457" s="52" t="str">
        <f t="shared" si="146"/>
        <v>NO</v>
      </c>
      <c r="AW457" s="54">
        <f ca="1">DATEDIF(BI457,TODAY(),"Y")</f>
        <v>7</v>
      </c>
      <c r="AX457" s="54"/>
      <c r="BH457" s="4" t="s">
        <v>1284</v>
      </c>
      <c r="BI457" s="51">
        <f t="shared" si="148"/>
        <v>43655</v>
      </c>
      <c r="BJ457" s="38">
        <f t="shared" ca="1" si="149"/>
        <v>1854</v>
      </c>
      <c r="BK457" s="38"/>
      <c r="BL457" s="38" t="str">
        <f t="shared" si="150"/>
        <v>No</v>
      </c>
      <c r="BM457"/>
      <c r="BN457" s="51"/>
      <c r="BP457" s="4" t="s">
        <v>1282</v>
      </c>
      <c r="BQ457" s="4" t="s">
        <v>89</v>
      </c>
      <c r="BR457" s="18" t="s">
        <v>72</v>
      </c>
      <c r="BS457" s="18" t="s">
        <v>3088</v>
      </c>
      <c r="BT457" s="54" t="str">
        <f t="shared" si="147"/>
        <v>Design</v>
      </c>
      <c r="BV457" s="4" t="s">
        <v>1282</v>
      </c>
      <c r="BW457" s="4" t="s">
        <v>1283</v>
      </c>
      <c r="CC457" s="4" t="s">
        <v>1283</v>
      </c>
      <c r="CD457" s="4" t="s">
        <v>221</v>
      </c>
      <c r="CG457" s="54">
        <f>IFERROR(_xlfn.XLOOKUP(Hiring!A457,Hiring!A457:A856,Hiring!B457:B856,,0),"Not Found")</f>
        <v>0</v>
      </c>
    </row>
    <row r="458" spans="6:85">
      <c r="F458" s="3">
        <v>3.9</v>
      </c>
      <c r="G458" s="52" t="str" cm="1">
        <f t="array" ref="G458">_xlfn.IFS(F458&gt;=4.5,"Excellent",AND(F458&gt;=3.5,F458&lt;=4.4),"Good",F458&lt;3.5,"Needs Improvement")</f>
        <v>Good</v>
      </c>
      <c r="Q458" s="19">
        <v>9.2200000000000006</v>
      </c>
      <c r="R458" s="56" t="str">
        <f t="shared" si="141"/>
        <v>Yes</v>
      </c>
      <c r="W458" s="19" t="s">
        <v>72</v>
      </c>
      <c r="X458" s="54" t="str">
        <f>VLOOKUP(W458,Employees!$A$1:$B$601,2,FALSE)</f>
        <v>Sudhansu Dhal</v>
      </c>
      <c r="Z458" s="3" t="s">
        <v>1285</v>
      </c>
      <c r="AA458" s="54" t="str">
        <f t="shared" si="142"/>
        <v>0457</v>
      </c>
      <c r="AC458" s="3" t="s">
        <v>51</v>
      </c>
      <c r="AD458" s="54" t="str">
        <f t="shared" si="143"/>
        <v>Sales</v>
      </c>
      <c r="AF458" s="3" t="s">
        <v>1286</v>
      </c>
      <c r="AG458" s="3" t="s">
        <v>51</v>
      </c>
      <c r="AH458" s="3" t="s">
        <v>46</v>
      </c>
      <c r="AI458" s="54" t="str">
        <f t="shared" si="144"/>
        <v>Nirmal Mohapatra|Sales|SambalpurNet</v>
      </c>
      <c r="AK458" s="3" t="s">
        <v>1286</v>
      </c>
      <c r="AL458" s="38" t="str">
        <f t="shared" si="145"/>
        <v>N.M.</v>
      </c>
      <c r="AQ458" s="3" t="s">
        <v>1286</v>
      </c>
      <c r="AR458" s="52" t="str">
        <f t="shared" si="146"/>
        <v>NO</v>
      </c>
      <c r="AW458" s="54">
        <f ca="1">DATEDIF(BI458,TODAY(),"Y")</f>
        <v>2</v>
      </c>
      <c r="AX458" s="54"/>
      <c r="BH458" s="3" t="s">
        <v>1287</v>
      </c>
      <c r="BI458" s="51">
        <f t="shared" si="148"/>
        <v>45468</v>
      </c>
      <c r="BJ458" s="38">
        <f t="shared" ca="1" si="149"/>
        <v>559</v>
      </c>
      <c r="BK458" s="38"/>
      <c r="BL458" s="38" t="str">
        <f t="shared" si="150"/>
        <v>No</v>
      </c>
      <c r="BM458"/>
      <c r="BN458" s="51"/>
      <c r="BP458" s="3" t="s">
        <v>1285</v>
      </c>
      <c r="BQ458" s="3" t="s">
        <v>51</v>
      </c>
      <c r="BR458" s="19" t="s">
        <v>72</v>
      </c>
      <c r="BS458" s="19" t="s">
        <v>3090</v>
      </c>
      <c r="BT458" s="54" t="str">
        <f t="shared" si="147"/>
        <v>Design</v>
      </c>
      <c r="BV458" s="3" t="s">
        <v>1285</v>
      </c>
      <c r="BW458" s="3" t="s">
        <v>1286</v>
      </c>
      <c r="CC458" s="3" t="s">
        <v>1286</v>
      </c>
      <c r="CD458" s="3" t="s">
        <v>105</v>
      </c>
      <c r="CG458" s="54">
        <f>IFERROR(_xlfn.XLOOKUP(Hiring!A458,Hiring!A458:A857,Hiring!B458:B857,,0),"Not Found")</f>
        <v>0</v>
      </c>
    </row>
    <row r="459" spans="6:85">
      <c r="F459" s="4">
        <v>4.4000000000000004</v>
      </c>
      <c r="G459" s="52" t="str" cm="1">
        <f t="array" ref="G459">_xlfn.IFS(F459&gt;=4.5,"Excellent",AND(F459&gt;=3.5,F459&lt;=4.4),"Good",F459&lt;3.5,"Needs Improvement")</f>
        <v>Good</v>
      </c>
      <c r="Q459" s="18">
        <v>7.7</v>
      </c>
      <c r="R459" s="56" t="str">
        <f t="shared" si="141"/>
        <v>Yes</v>
      </c>
      <c r="W459" s="18" t="s">
        <v>72</v>
      </c>
      <c r="X459" s="54" t="str">
        <f>VLOOKUP(W459,Employees!$A$1:$B$601,2,FALSE)</f>
        <v>Sudhansu Dhal</v>
      </c>
      <c r="Z459" s="4" t="s">
        <v>1288</v>
      </c>
      <c r="AA459" s="54" t="str">
        <f t="shared" si="142"/>
        <v>0458</v>
      </c>
      <c r="AC459" s="4" t="s">
        <v>39</v>
      </c>
      <c r="AD459" s="54" t="str">
        <f t="shared" si="143"/>
        <v>Engineering</v>
      </c>
      <c r="AF459" s="4" t="s">
        <v>1235</v>
      </c>
      <c r="AG459" s="4" t="s">
        <v>39</v>
      </c>
      <c r="AH459" s="4" t="s">
        <v>214</v>
      </c>
      <c r="AI459" s="54" t="str">
        <f t="shared" si="144"/>
        <v>Jyotirmayee Samal|Engineering|ZeroOneSystems</v>
      </c>
      <c r="AK459" s="4" t="s">
        <v>1235</v>
      </c>
      <c r="AL459" s="38" t="str">
        <f t="shared" si="145"/>
        <v>J.S.</v>
      </c>
      <c r="AQ459" s="4" t="s">
        <v>1235</v>
      </c>
      <c r="AR459" s="52" t="str">
        <f t="shared" si="146"/>
        <v>NO</v>
      </c>
      <c r="AW459" s="54">
        <f ca="1">DATEDIF(BI459,TODAY(),"Y")</f>
        <v>4</v>
      </c>
      <c r="AX459" s="54"/>
      <c r="BH459" s="4" t="s">
        <v>1289</v>
      </c>
      <c r="BI459" s="51">
        <f t="shared" si="148"/>
        <v>44470</v>
      </c>
      <c r="BJ459" s="38">
        <f t="shared" ca="1" si="149"/>
        <v>1271</v>
      </c>
      <c r="BK459" s="38"/>
      <c r="BL459" s="38" t="str">
        <f t="shared" si="150"/>
        <v>No</v>
      </c>
      <c r="BM459"/>
      <c r="BN459" s="51"/>
      <c r="BP459" s="4" t="s">
        <v>1288</v>
      </c>
      <c r="BQ459" s="4" t="s">
        <v>39</v>
      </c>
      <c r="BR459" s="18" t="s">
        <v>72</v>
      </c>
      <c r="BS459" s="18" t="s">
        <v>3091</v>
      </c>
      <c r="BT459" s="54" t="str">
        <f t="shared" si="147"/>
        <v>Design</v>
      </c>
      <c r="BV459" s="4" t="s">
        <v>1288</v>
      </c>
      <c r="BW459" s="4" t="s">
        <v>1235</v>
      </c>
      <c r="CC459" s="4" t="s">
        <v>1235</v>
      </c>
      <c r="CD459" s="4" t="s">
        <v>197</v>
      </c>
      <c r="CG459" s="54">
        <f>IFERROR(_xlfn.XLOOKUP(Hiring!A459,Hiring!A459:A858,Hiring!B459:B858,,0),"Not Found")</f>
        <v>0</v>
      </c>
    </row>
    <row r="460" spans="6:85">
      <c r="F460" s="3">
        <v>1.8</v>
      </c>
      <c r="G460" s="52" t="str" cm="1">
        <f t="array" ref="G460">_xlfn.IFS(F460&gt;=4.5,"Excellent",AND(F460&gt;=3.5,F460&lt;=4.4),"Good",F460&lt;3.5,"Needs Improvement")</f>
        <v>Needs Improvement</v>
      </c>
      <c r="Q460" s="19">
        <v>10.35</v>
      </c>
      <c r="R460" s="56" t="str">
        <f t="shared" si="141"/>
        <v>Yes</v>
      </c>
      <c r="W460" s="19" t="s">
        <v>72</v>
      </c>
      <c r="X460" s="54" t="str">
        <f>VLOOKUP(W460,Employees!$A$1:$B$601,2,FALSE)</f>
        <v>Sudhansu Dhal</v>
      </c>
      <c r="Z460" s="3" t="s">
        <v>1290</v>
      </c>
      <c r="AA460" s="54" t="str">
        <f t="shared" si="142"/>
        <v>0459</v>
      </c>
      <c r="AC460" s="3" t="s">
        <v>176</v>
      </c>
      <c r="AD460" s="54" t="str">
        <f t="shared" si="143"/>
        <v>Finance</v>
      </c>
      <c r="AF460" s="3" t="s">
        <v>1291</v>
      </c>
      <c r="AG460" s="3" t="s">
        <v>176</v>
      </c>
      <c r="AH460" s="3" t="s">
        <v>172</v>
      </c>
      <c r="AI460" s="54" t="str">
        <f t="shared" si="144"/>
        <v>Dibya Padhi|Finance|TechNova Solutions</v>
      </c>
      <c r="AK460" s="3" t="s">
        <v>1291</v>
      </c>
      <c r="AL460" s="38" t="str">
        <f t="shared" si="145"/>
        <v>D.P.</v>
      </c>
      <c r="AQ460" s="3" t="s">
        <v>1291</v>
      </c>
      <c r="AR460" s="52" t="str">
        <f t="shared" si="146"/>
        <v>NO</v>
      </c>
      <c r="AW460" s="54">
        <f ca="1">DATEDIF(BI460,TODAY(),"Y")</f>
        <v>2</v>
      </c>
      <c r="AX460" s="54"/>
      <c r="BH460" s="3" t="s">
        <v>474</v>
      </c>
      <c r="BI460" s="51">
        <f t="shared" si="148"/>
        <v>45314</v>
      </c>
      <c r="BJ460" s="38">
        <f t="shared" ca="1" si="149"/>
        <v>669</v>
      </c>
      <c r="BK460" s="38"/>
      <c r="BL460" s="38" t="str">
        <f t="shared" si="150"/>
        <v>Q1</v>
      </c>
      <c r="BM460"/>
      <c r="BN460" s="51"/>
      <c r="BP460" s="3" t="s">
        <v>1290</v>
      </c>
      <c r="BQ460" s="3" t="s">
        <v>176</v>
      </c>
      <c r="BR460" s="19" t="s">
        <v>72</v>
      </c>
      <c r="BS460" s="19" t="s">
        <v>3092</v>
      </c>
      <c r="BT460" s="54" t="str">
        <f t="shared" si="147"/>
        <v>Design</v>
      </c>
      <c r="BV460" s="3" t="s">
        <v>1290</v>
      </c>
      <c r="BW460" s="3" t="s">
        <v>1291</v>
      </c>
      <c r="CC460" s="3" t="s">
        <v>1291</v>
      </c>
      <c r="CD460" s="3" t="s">
        <v>229</v>
      </c>
      <c r="CG460" s="54">
        <f>IFERROR(_xlfn.XLOOKUP(Hiring!A460,Hiring!A460:A859,Hiring!B460:B859,,0),"Not Found")</f>
        <v>0</v>
      </c>
    </row>
    <row r="461" spans="6:85">
      <c r="F461" s="4">
        <v>3.6</v>
      </c>
      <c r="G461" s="52" t="str" cm="1">
        <f t="array" ref="G461">_xlfn.IFS(F461&gt;=4.5,"Excellent",AND(F461&gt;=3.5,F461&lt;=4.4),"Good",F461&lt;3.5,"Needs Improvement")</f>
        <v>Good</v>
      </c>
      <c r="Q461" s="18">
        <v>9.5399999999999991</v>
      </c>
      <c r="R461" s="56" t="str">
        <f t="shared" si="141"/>
        <v>Yes</v>
      </c>
      <c r="W461" s="18" t="s">
        <v>72</v>
      </c>
      <c r="X461" s="54" t="str">
        <f>VLOOKUP(W461,Employees!$A$1:$B$601,2,FALSE)</f>
        <v>Sudhansu Dhal</v>
      </c>
      <c r="Z461" s="4" t="s">
        <v>1292</v>
      </c>
      <c r="AA461" s="54" t="str">
        <f t="shared" si="142"/>
        <v>0460</v>
      </c>
      <c r="AC461" s="4" t="s">
        <v>16</v>
      </c>
      <c r="AD461" s="54" t="str">
        <f t="shared" si="143"/>
        <v>Devops</v>
      </c>
      <c r="AF461" s="4" t="s">
        <v>1293</v>
      </c>
      <c r="AG461" s="4" t="s">
        <v>16</v>
      </c>
      <c r="AH461" s="4" t="s">
        <v>214</v>
      </c>
      <c r="AI461" s="54" t="str">
        <f t="shared" si="144"/>
        <v>Aditya Mahapatra|DevOps|ZeroOneSystems</v>
      </c>
      <c r="AK461" s="4" t="s">
        <v>1293</v>
      </c>
      <c r="AL461" s="38" t="str">
        <f t="shared" si="145"/>
        <v>A.M.</v>
      </c>
      <c r="AQ461" s="4" t="s">
        <v>1293</v>
      </c>
      <c r="AR461" s="52" t="str">
        <f t="shared" si="146"/>
        <v>NO</v>
      </c>
      <c r="AW461" s="54">
        <f ca="1">DATEDIF(BI461,TODAY(),"Y")</f>
        <v>5</v>
      </c>
      <c r="AX461" s="54"/>
      <c r="BH461" s="4" t="s">
        <v>899</v>
      </c>
      <c r="BI461" s="51">
        <f t="shared" si="148"/>
        <v>44207</v>
      </c>
      <c r="BJ461" s="38">
        <f t="shared" ca="1" si="149"/>
        <v>1460</v>
      </c>
      <c r="BK461" s="38"/>
      <c r="BL461" s="38" t="str">
        <f t="shared" si="150"/>
        <v>Q1</v>
      </c>
      <c r="BM461"/>
      <c r="BN461" s="51"/>
      <c r="BP461" s="4" t="s">
        <v>1292</v>
      </c>
      <c r="BQ461" s="4" t="s">
        <v>16</v>
      </c>
      <c r="BR461" s="18" t="s">
        <v>72</v>
      </c>
      <c r="BS461" s="18" t="s">
        <v>3094</v>
      </c>
      <c r="BT461" s="54" t="str">
        <f t="shared" si="147"/>
        <v>Design</v>
      </c>
      <c r="BV461" s="4" t="s">
        <v>1292</v>
      </c>
      <c r="BW461" s="4" t="s">
        <v>1293</v>
      </c>
      <c r="CC461" s="4" t="s">
        <v>1293</v>
      </c>
      <c r="CD461" s="4" t="s">
        <v>335</v>
      </c>
      <c r="CG461" s="54">
        <f>IFERROR(_xlfn.XLOOKUP(Hiring!A461,Hiring!A461:A860,Hiring!B461:B860,,0),"Not Found")</f>
        <v>0</v>
      </c>
    </row>
    <row r="462" spans="6:85">
      <c r="F462" s="3">
        <v>3.3</v>
      </c>
      <c r="G462" s="52" t="str" cm="1">
        <f t="array" ref="G462">_xlfn.IFS(F462&gt;=4.5,"Excellent",AND(F462&gt;=3.5,F462&lt;=4.4),"Good",F462&lt;3.5,"Needs Improvement")</f>
        <v>Needs Improvement</v>
      </c>
      <c r="Q462" s="19">
        <v>9.8000000000000007</v>
      </c>
      <c r="R462" s="56" t="str">
        <f t="shared" si="141"/>
        <v>Yes</v>
      </c>
      <c r="W462" s="19" t="s">
        <v>72</v>
      </c>
      <c r="X462" s="54" t="str">
        <f>VLOOKUP(W462,Employees!$A$1:$B$601,2,FALSE)</f>
        <v>Sudhansu Dhal</v>
      </c>
      <c r="Z462" s="3" t="s">
        <v>1294</v>
      </c>
      <c r="AA462" s="54" t="str">
        <f t="shared" si="142"/>
        <v>0461</v>
      </c>
      <c r="AC462" s="3" t="s">
        <v>16</v>
      </c>
      <c r="AD462" s="54" t="str">
        <f t="shared" si="143"/>
        <v>Devops</v>
      </c>
      <c r="AF462" s="3" t="s">
        <v>1295</v>
      </c>
      <c r="AG462" s="3" t="s">
        <v>16</v>
      </c>
      <c r="AH462" s="3" t="s">
        <v>53</v>
      </c>
      <c r="AI462" s="54" t="str">
        <f t="shared" si="144"/>
        <v>Namita Samal|DevOps|BlueLotus IT</v>
      </c>
      <c r="AK462" s="3" t="s">
        <v>1295</v>
      </c>
      <c r="AL462" s="38" t="str">
        <f t="shared" si="145"/>
        <v>N.S.</v>
      </c>
      <c r="AQ462" s="3" t="s">
        <v>1295</v>
      </c>
      <c r="AR462" s="52" t="str">
        <f t="shared" si="146"/>
        <v>NO</v>
      </c>
      <c r="AW462" s="54">
        <f ca="1">DATEDIF(BI462,TODAY(),"Y")</f>
        <v>3</v>
      </c>
      <c r="AX462" s="54"/>
      <c r="BH462" s="3" t="s">
        <v>959</v>
      </c>
      <c r="BI462" s="51">
        <f t="shared" si="148"/>
        <v>44881</v>
      </c>
      <c r="BJ462" s="38">
        <f t="shared" ca="1" si="149"/>
        <v>978</v>
      </c>
      <c r="BK462" s="38"/>
      <c r="BL462" s="38" t="str">
        <f t="shared" si="150"/>
        <v>No</v>
      </c>
      <c r="BM462"/>
      <c r="BN462" s="51"/>
      <c r="BP462" s="3" t="s">
        <v>1294</v>
      </c>
      <c r="BQ462" s="3" t="s">
        <v>16</v>
      </c>
      <c r="BR462" s="19" t="s">
        <v>72</v>
      </c>
      <c r="BS462" s="19" t="s">
        <v>3095</v>
      </c>
      <c r="BT462" s="54" t="str">
        <f t="shared" si="147"/>
        <v>Design</v>
      </c>
      <c r="BV462" s="3" t="s">
        <v>1294</v>
      </c>
      <c r="BW462" s="3" t="s">
        <v>1295</v>
      </c>
      <c r="CC462" s="3" t="s">
        <v>1295</v>
      </c>
      <c r="CD462" s="3" t="s">
        <v>335</v>
      </c>
      <c r="CG462" s="54">
        <f>IFERROR(_xlfn.XLOOKUP(Hiring!A462,Hiring!A462:A861,Hiring!B462:B861,,0),"Not Found")</f>
        <v>0</v>
      </c>
    </row>
    <row r="463" spans="6:85">
      <c r="F463" s="4">
        <v>3.6</v>
      </c>
      <c r="G463" s="52" t="str" cm="1">
        <f t="array" ref="G463">_xlfn.IFS(F463&gt;=4.5,"Excellent",AND(F463&gt;=3.5,F463&lt;=4.4),"Good",F463&lt;3.5,"Needs Improvement")</f>
        <v>Good</v>
      </c>
      <c r="Q463" s="18">
        <v>11.05</v>
      </c>
      <c r="R463" s="56" t="str">
        <f t="shared" si="141"/>
        <v>Yes</v>
      </c>
      <c r="W463" s="18" t="s">
        <v>72</v>
      </c>
      <c r="X463" s="54" t="str">
        <f>VLOOKUP(W463,Employees!$A$1:$B$601,2,FALSE)</f>
        <v>Sudhansu Dhal</v>
      </c>
      <c r="Z463" s="4" t="s">
        <v>1296</v>
      </c>
      <c r="AA463" s="54" t="str">
        <f t="shared" si="142"/>
        <v>0462</v>
      </c>
      <c r="AC463" s="4" t="s">
        <v>63</v>
      </c>
      <c r="AD463" s="54" t="str">
        <f t="shared" si="143"/>
        <v>Product</v>
      </c>
      <c r="AF463" s="4" t="s">
        <v>1297</v>
      </c>
      <c r="AG463" s="4" t="s">
        <v>63</v>
      </c>
      <c r="AH463" s="4" t="s">
        <v>53</v>
      </c>
      <c r="AI463" s="54" t="str">
        <f t="shared" si="144"/>
        <v>Ranjit Parida|Product|BlueLotus IT</v>
      </c>
      <c r="AK463" s="4" t="s">
        <v>1297</v>
      </c>
      <c r="AL463" s="38" t="str">
        <f t="shared" si="145"/>
        <v>R.P.</v>
      </c>
      <c r="AQ463" s="4" t="s">
        <v>1297</v>
      </c>
      <c r="AR463" s="52" t="str">
        <f t="shared" si="146"/>
        <v>NO</v>
      </c>
      <c r="AW463" s="54">
        <f ca="1">DATEDIF(BI463,TODAY(),"Y")</f>
        <v>4</v>
      </c>
      <c r="AX463" s="54"/>
      <c r="BH463" s="4" t="s">
        <v>429</v>
      </c>
      <c r="BI463" s="51">
        <f t="shared" si="148"/>
        <v>44682</v>
      </c>
      <c r="BJ463" s="38">
        <f t="shared" ca="1" si="149"/>
        <v>1120</v>
      </c>
      <c r="BK463" s="38"/>
      <c r="BL463" s="38" t="str">
        <f t="shared" si="150"/>
        <v>No</v>
      </c>
      <c r="BM463"/>
      <c r="BN463" s="51"/>
      <c r="BP463" s="4" t="s">
        <v>1296</v>
      </c>
      <c r="BQ463" s="4" t="s">
        <v>63</v>
      </c>
      <c r="BR463" s="18" t="s">
        <v>72</v>
      </c>
      <c r="BS463" s="18" t="s">
        <v>3096</v>
      </c>
      <c r="BT463" s="54" t="str">
        <f t="shared" si="147"/>
        <v>Design</v>
      </c>
      <c r="BV463" s="4" t="s">
        <v>1296</v>
      </c>
      <c r="BW463" s="4" t="s">
        <v>1297</v>
      </c>
      <c r="CC463" s="4" t="s">
        <v>1297</v>
      </c>
      <c r="CD463" s="4" t="s">
        <v>225</v>
      </c>
      <c r="CG463" s="54">
        <f>IFERROR(_xlfn.XLOOKUP(Hiring!A463,Hiring!A463:A862,Hiring!B463:B862,,0),"Not Found")</f>
        <v>0</v>
      </c>
    </row>
    <row r="464" spans="6:85">
      <c r="F464" s="3">
        <v>3</v>
      </c>
      <c r="G464" s="52" t="str" cm="1">
        <f t="array" ref="G464">_xlfn.IFS(F464&gt;=4.5,"Excellent",AND(F464&gt;=3.5,F464&lt;=4.4),"Good",F464&lt;3.5,"Needs Improvement")</f>
        <v>Needs Improvement</v>
      </c>
      <c r="Q464" s="19">
        <v>11.4</v>
      </c>
      <c r="R464" s="56" t="str">
        <f t="shared" si="141"/>
        <v>Yes</v>
      </c>
      <c r="W464" s="19" t="s">
        <v>72</v>
      </c>
      <c r="X464" s="54" t="str">
        <f>VLOOKUP(W464,Employees!$A$1:$B$601,2,FALSE)</f>
        <v>Sudhansu Dhal</v>
      </c>
      <c r="Z464" s="3" t="s">
        <v>1298</v>
      </c>
      <c r="AA464" s="54" t="str">
        <f t="shared" si="142"/>
        <v>0463</v>
      </c>
      <c r="AC464" s="3" t="s">
        <v>24</v>
      </c>
      <c r="AD464" s="54" t="str">
        <f t="shared" si="143"/>
        <v>Design</v>
      </c>
      <c r="AF464" s="3" t="s">
        <v>990</v>
      </c>
      <c r="AG464" s="3" t="s">
        <v>24</v>
      </c>
      <c r="AH464" s="3" t="s">
        <v>53</v>
      </c>
      <c r="AI464" s="54" t="str">
        <f t="shared" si="144"/>
        <v>Tapas Mishra|Design|BlueLotus IT</v>
      </c>
      <c r="AK464" s="3" t="s">
        <v>990</v>
      </c>
      <c r="AL464" s="38" t="str">
        <f t="shared" si="145"/>
        <v>T.M.</v>
      </c>
      <c r="AQ464" s="3" t="s">
        <v>990</v>
      </c>
      <c r="AR464" s="52" t="str">
        <f t="shared" si="146"/>
        <v>Mishra</v>
      </c>
      <c r="AW464" s="54">
        <f ca="1">DATEDIF(BI464,TODAY(),"Y")</f>
        <v>4</v>
      </c>
      <c r="AX464" s="54"/>
      <c r="BH464" s="3" t="s">
        <v>1299</v>
      </c>
      <c r="BI464" s="51">
        <f t="shared" si="148"/>
        <v>44469</v>
      </c>
      <c r="BJ464" s="38">
        <f t="shared" ca="1" si="149"/>
        <v>1272</v>
      </c>
      <c r="BK464" s="38"/>
      <c r="BL464" s="38" t="str">
        <f t="shared" si="150"/>
        <v>No</v>
      </c>
      <c r="BM464"/>
      <c r="BN464" s="51"/>
      <c r="BP464" s="3" t="s">
        <v>1298</v>
      </c>
      <c r="BQ464" s="3" t="s">
        <v>24</v>
      </c>
      <c r="BR464" s="19" t="s">
        <v>72</v>
      </c>
      <c r="BS464" s="19" t="s">
        <v>3098</v>
      </c>
      <c r="BT464" s="54" t="str">
        <f t="shared" si="147"/>
        <v>Design</v>
      </c>
      <c r="BV464" s="3" t="s">
        <v>1298</v>
      </c>
      <c r="BW464" s="3" t="s">
        <v>990</v>
      </c>
      <c r="CC464" s="3" t="s">
        <v>990</v>
      </c>
      <c r="CD464" s="3" t="s">
        <v>94</v>
      </c>
      <c r="CG464" s="54">
        <f>IFERROR(_xlfn.XLOOKUP(Hiring!A464,Hiring!A464:A863,Hiring!B464:B863,,0),"Not Found")</f>
        <v>0</v>
      </c>
    </row>
    <row r="465" spans="6:85">
      <c r="F465" s="4">
        <v>5</v>
      </c>
      <c r="G465" s="52" t="str" cm="1">
        <f t="array" ref="G465">_xlfn.IFS(F465&gt;=4.5,"Excellent",AND(F465&gt;=3.5,F465&lt;=4.4),"Good",F465&lt;3.5,"Needs Improvement")</f>
        <v>Excellent</v>
      </c>
      <c r="Q465" s="18">
        <v>9.01</v>
      </c>
      <c r="R465" s="56" t="str">
        <f t="shared" si="141"/>
        <v>Yes</v>
      </c>
      <c r="W465" s="18" t="s">
        <v>72</v>
      </c>
      <c r="X465" s="54" t="str">
        <f>VLOOKUP(W465,Employees!$A$1:$B$601,2,FALSE)</f>
        <v>Sudhansu Dhal</v>
      </c>
      <c r="Z465" s="4" t="s">
        <v>1300</v>
      </c>
      <c r="AA465" s="54" t="str">
        <f t="shared" si="142"/>
        <v>0464</v>
      </c>
      <c r="AC465" s="4" t="s">
        <v>84</v>
      </c>
      <c r="AD465" s="54" t="str">
        <f t="shared" si="143"/>
        <v>Hr</v>
      </c>
      <c r="AF465" s="4" t="s">
        <v>548</v>
      </c>
      <c r="AG465" s="4" t="s">
        <v>84</v>
      </c>
      <c r="AH465" s="4" t="s">
        <v>18</v>
      </c>
      <c r="AI465" s="54" t="str">
        <f t="shared" si="144"/>
        <v>Barsha Pattnaik|HR|CoastalDev Studio</v>
      </c>
      <c r="AK465" s="4" t="s">
        <v>548</v>
      </c>
      <c r="AL465" s="38" t="str">
        <f t="shared" si="145"/>
        <v>B.P.</v>
      </c>
      <c r="AQ465" s="4" t="s">
        <v>548</v>
      </c>
      <c r="AR465" s="52" t="str">
        <f t="shared" si="146"/>
        <v>NO</v>
      </c>
      <c r="AW465" s="54">
        <f ca="1">DATEDIF(BI465,TODAY(),"Y")</f>
        <v>8</v>
      </c>
      <c r="AX465" s="54"/>
      <c r="BH465" s="4" t="s">
        <v>1301</v>
      </c>
      <c r="BI465" s="51">
        <f t="shared" si="148"/>
        <v>43197</v>
      </c>
      <c r="BJ465" s="38">
        <f t="shared" ca="1" si="149"/>
        <v>2180</v>
      </c>
      <c r="BK465" s="38"/>
      <c r="BL465" s="38" t="str">
        <f t="shared" si="150"/>
        <v>No</v>
      </c>
      <c r="BM465"/>
      <c r="BN465" s="51"/>
      <c r="BP465" s="4" t="s">
        <v>1300</v>
      </c>
      <c r="BQ465" s="4" t="s">
        <v>84</v>
      </c>
      <c r="BR465" s="18" t="s">
        <v>72</v>
      </c>
      <c r="BS465" s="18" t="s">
        <v>3099</v>
      </c>
      <c r="BT465" s="54" t="str">
        <f t="shared" si="147"/>
        <v>Design</v>
      </c>
      <c r="BV465" s="4" t="s">
        <v>1300</v>
      </c>
      <c r="BW465" s="4" t="s">
        <v>548</v>
      </c>
      <c r="CC465" s="4" t="s">
        <v>548</v>
      </c>
      <c r="CD465" s="4" t="s">
        <v>85</v>
      </c>
      <c r="CG465" s="54">
        <f>IFERROR(_xlfn.XLOOKUP(Hiring!A465,Hiring!A465:A864,Hiring!B465:B864,,0),"Not Found")</f>
        <v>0</v>
      </c>
    </row>
    <row r="466" spans="6:85">
      <c r="F466" s="3">
        <v>3.8</v>
      </c>
      <c r="G466" s="52" t="str" cm="1">
        <f t="array" ref="G466">_xlfn.IFS(F466&gt;=4.5,"Excellent",AND(F466&gt;=3.5,F466&lt;=4.4),"Good",F466&lt;3.5,"Needs Improvement")</f>
        <v>Good</v>
      </c>
      <c r="Q466" s="19">
        <v>8.8699999999999992</v>
      </c>
      <c r="R466" s="56" t="str">
        <f t="shared" si="141"/>
        <v>Yes</v>
      </c>
      <c r="W466" s="19" t="s">
        <v>72</v>
      </c>
      <c r="X466" s="54" t="str">
        <f>VLOOKUP(W466,Employees!$A$1:$B$601,2,FALSE)</f>
        <v>Sudhansu Dhal</v>
      </c>
      <c r="Z466" s="3" t="s">
        <v>1302</v>
      </c>
      <c r="AA466" s="54" t="str">
        <f t="shared" si="142"/>
        <v>0465</v>
      </c>
      <c r="AC466" s="3" t="s">
        <v>176</v>
      </c>
      <c r="AD466" s="54" t="str">
        <f t="shared" si="143"/>
        <v>Finance</v>
      </c>
      <c r="AF466" s="3" t="s">
        <v>1048</v>
      </c>
      <c r="AG466" s="3" t="s">
        <v>176</v>
      </c>
      <c r="AH466" s="3" t="s">
        <v>114</v>
      </c>
      <c r="AI466" s="54" t="str">
        <f t="shared" si="144"/>
        <v>Prasant Behura|Finance|UtkalSoft Technologies</v>
      </c>
      <c r="AK466" s="3" t="s">
        <v>1048</v>
      </c>
      <c r="AL466" s="38" t="str">
        <f t="shared" si="145"/>
        <v>P.B.</v>
      </c>
      <c r="AQ466" s="3" t="s">
        <v>1048</v>
      </c>
      <c r="AR466" s="52" t="str">
        <f t="shared" si="146"/>
        <v>NO</v>
      </c>
      <c r="AW466" s="54">
        <f ca="1">DATEDIF(BI466,TODAY(),"Y")</f>
        <v>6</v>
      </c>
      <c r="AX466" s="54"/>
      <c r="BH466" s="3" t="s">
        <v>491</v>
      </c>
      <c r="BI466" s="51">
        <f t="shared" si="148"/>
        <v>43932</v>
      </c>
      <c r="BJ466" s="38">
        <f t="shared" ca="1" si="149"/>
        <v>1655</v>
      </c>
      <c r="BK466" s="38"/>
      <c r="BL466" s="38" t="str">
        <f t="shared" si="150"/>
        <v>No</v>
      </c>
      <c r="BM466"/>
      <c r="BN466" s="51"/>
      <c r="BP466" s="3" t="s">
        <v>1302</v>
      </c>
      <c r="BQ466" s="3" t="s">
        <v>176</v>
      </c>
      <c r="BR466" s="19" t="s">
        <v>72</v>
      </c>
      <c r="BS466" s="19" t="s">
        <v>3102</v>
      </c>
      <c r="BT466" s="54" t="str">
        <f t="shared" si="147"/>
        <v>Design</v>
      </c>
      <c r="BV466" s="3" t="s">
        <v>1302</v>
      </c>
      <c r="BW466" s="3" t="s">
        <v>1048</v>
      </c>
      <c r="CC466" s="3" t="s">
        <v>1048</v>
      </c>
      <c r="CD466" s="3" t="s">
        <v>359</v>
      </c>
      <c r="CG466" s="54">
        <f>IFERROR(_xlfn.XLOOKUP(Hiring!A466,Hiring!A466:A865,Hiring!B466:B865,,0),"Not Found")</f>
        <v>0</v>
      </c>
    </row>
    <row r="467" spans="6:85">
      <c r="F467" s="4">
        <v>2.8</v>
      </c>
      <c r="G467" s="52" t="str" cm="1">
        <f t="array" ref="G467">_xlfn.IFS(F467&gt;=4.5,"Excellent",AND(F467&gt;=3.5,F467&lt;=4.4),"Good",F467&lt;3.5,"Needs Improvement")</f>
        <v>Needs Improvement</v>
      </c>
      <c r="Q467" s="18"/>
      <c r="R467" s="56" t="str">
        <f t="shared" si="141"/>
        <v>No</v>
      </c>
      <c r="W467" s="18" t="s">
        <v>72</v>
      </c>
      <c r="X467" s="54" t="str">
        <f>VLOOKUP(W467,Employees!$A$1:$B$601,2,FALSE)</f>
        <v>Sudhansu Dhal</v>
      </c>
      <c r="Z467" s="4" t="s">
        <v>1303</v>
      </c>
      <c r="AA467" s="54" t="str">
        <f t="shared" si="142"/>
        <v>0466</v>
      </c>
      <c r="AC467" s="4" t="s">
        <v>51</v>
      </c>
      <c r="AD467" s="54" t="str">
        <f t="shared" si="143"/>
        <v>Sales</v>
      </c>
      <c r="AF467" s="4" t="s">
        <v>528</v>
      </c>
      <c r="AG467" s="4" t="s">
        <v>51</v>
      </c>
      <c r="AH467" s="4" t="s">
        <v>18</v>
      </c>
      <c r="AI467" s="54" t="str">
        <f t="shared" si="144"/>
        <v>Ankita Prusty|Sales|CoastalDev Studio</v>
      </c>
      <c r="AK467" s="4" t="s">
        <v>528</v>
      </c>
      <c r="AL467" s="38" t="str">
        <f t="shared" si="145"/>
        <v>A.P.</v>
      </c>
      <c r="AQ467" s="4" t="s">
        <v>528</v>
      </c>
      <c r="AR467" s="52" t="str">
        <f t="shared" si="146"/>
        <v>NO</v>
      </c>
      <c r="AW467" s="54">
        <f ca="1">DATEDIF(BI467,TODAY(),"Y")</f>
        <v>7</v>
      </c>
      <c r="AX467" s="54"/>
      <c r="BH467" s="4" t="s">
        <v>1304</v>
      </c>
      <c r="BI467" s="51">
        <f t="shared" si="148"/>
        <v>43456</v>
      </c>
      <c r="BJ467" s="38">
        <f t="shared" ca="1" si="149"/>
        <v>1995</v>
      </c>
      <c r="BK467" s="38"/>
      <c r="BL467" s="38" t="str">
        <f t="shared" si="150"/>
        <v>No</v>
      </c>
      <c r="BM467"/>
      <c r="BN467" s="51"/>
      <c r="BP467" s="4" t="s">
        <v>1303</v>
      </c>
      <c r="BQ467" s="4" t="s">
        <v>51</v>
      </c>
      <c r="BR467" s="18" t="s">
        <v>72</v>
      </c>
      <c r="BS467" s="18" t="s">
        <v>3104</v>
      </c>
      <c r="BT467" s="54" t="str">
        <f t="shared" si="147"/>
        <v>Design</v>
      </c>
      <c r="BV467" s="4" t="s">
        <v>1303</v>
      </c>
      <c r="BW467" s="4" t="s">
        <v>528</v>
      </c>
      <c r="CC467" s="4" t="s">
        <v>528</v>
      </c>
      <c r="CD467" s="4" t="s">
        <v>105</v>
      </c>
      <c r="CG467" s="54">
        <f>IFERROR(_xlfn.XLOOKUP(Hiring!A467,Hiring!A467:A866,Hiring!B467:B866,,0),"Not Found")</f>
        <v>0</v>
      </c>
    </row>
    <row r="468" spans="6:85">
      <c r="F468" s="3">
        <v>3.2</v>
      </c>
      <c r="G468" s="52" t="str" cm="1">
        <f t="array" ref="G468">_xlfn.IFS(F468&gt;=4.5,"Excellent",AND(F468&gt;=3.5,F468&lt;=4.4),"Good",F468&lt;3.5,"Needs Improvement")</f>
        <v>Needs Improvement</v>
      </c>
      <c r="Q468" s="19">
        <v>8.9</v>
      </c>
      <c r="R468" s="56" t="str">
        <f t="shared" si="141"/>
        <v>Yes</v>
      </c>
      <c r="W468" s="19" t="s">
        <v>72</v>
      </c>
      <c r="X468" s="54" t="str">
        <f>VLOOKUP(W468,Employees!$A$1:$B$601,2,FALSE)</f>
        <v>Sudhansu Dhal</v>
      </c>
      <c r="Z468" s="3" t="s">
        <v>1305</v>
      </c>
      <c r="AA468" s="54" t="str">
        <f t="shared" si="142"/>
        <v>0467</v>
      </c>
      <c r="AC468" s="3" t="s">
        <v>63</v>
      </c>
      <c r="AD468" s="54" t="str">
        <f t="shared" si="143"/>
        <v>Product</v>
      </c>
      <c r="AF468" s="3" t="s">
        <v>1125</v>
      </c>
      <c r="AG468" s="3" t="s">
        <v>63</v>
      </c>
      <c r="AH468" s="3" t="s">
        <v>172</v>
      </c>
      <c r="AI468" s="54" t="str">
        <f t="shared" si="144"/>
        <v>Priyanka Samal|Product|TechNova Solutions</v>
      </c>
      <c r="AK468" s="3" t="s">
        <v>1125</v>
      </c>
      <c r="AL468" s="38" t="str">
        <f t="shared" si="145"/>
        <v>P.S.</v>
      </c>
      <c r="AQ468" s="3" t="s">
        <v>1125</v>
      </c>
      <c r="AR468" s="52" t="str">
        <f t="shared" si="146"/>
        <v>NO</v>
      </c>
      <c r="AW468" s="54">
        <f ca="1">DATEDIF(BI468,TODAY(),"Y")</f>
        <v>6</v>
      </c>
      <c r="AX468" s="54"/>
      <c r="BH468" s="3" t="s">
        <v>1306</v>
      </c>
      <c r="BI468" s="51">
        <f t="shared" si="148"/>
        <v>43760</v>
      </c>
      <c r="BJ468" s="38">
        <f t="shared" ca="1" si="149"/>
        <v>1779</v>
      </c>
      <c r="BK468" s="38"/>
      <c r="BL468" s="38" t="str">
        <f t="shared" si="150"/>
        <v>No</v>
      </c>
      <c r="BM468"/>
      <c r="BN468" s="51"/>
      <c r="BP468" s="3" t="s">
        <v>1305</v>
      </c>
      <c r="BQ468" s="3" t="s">
        <v>63</v>
      </c>
      <c r="BR468" s="19" t="s">
        <v>72</v>
      </c>
      <c r="BS468" s="19" t="s">
        <v>3105</v>
      </c>
      <c r="BT468" s="54" t="str">
        <f t="shared" si="147"/>
        <v>Design</v>
      </c>
      <c r="BV468" s="3" t="s">
        <v>1305</v>
      </c>
      <c r="BW468" s="3" t="s">
        <v>1125</v>
      </c>
      <c r="CC468" s="3" t="s">
        <v>1125</v>
      </c>
      <c r="CD468" s="3" t="s">
        <v>145</v>
      </c>
      <c r="CG468" s="54">
        <f>IFERROR(_xlfn.XLOOKUP(Hiring!A468,Hiring!A468:A867,Hiring!B468:B867,,0),"Not Found")</f>
        <v>0</v>
      </c>
    </row>
    <row r="469" spans="6:85">
      <c r="F469" s="4">
        <v>3</v>
      </c>
      <c r="G469" s="52" t="str" cm="1">
        <f t="array" ref="G469">_xlfn.IFS(F469&gt;=4.5,"Excellent",AND(F469&gt;=3.5,F469&lt;=4.4),"Good",F469&lt;3.5,"Needs Improvement")</f>
        <v>Needs Improvement</v>
      </c>
      <c r="Q469" s="18">
        <v>11.25</v>
      </c>
      <c r="R469" s="56" t="str">
        <f t="shared" si="141"/>
        <v>Yes</v>
      </c>
      <c r="W469" s="18" t="s">
        <v>72</v>
      </c>
      <c r="X469" s="54" t="str">
        <f>VLOOKUP(W469,Employees!$A$1:$B$601,2,FALSE)</f>
        <v>Sudhansu Dhal</v>
      </c>
      <c r="Z469" s="4" t="s">
        <v>1307</v>
      </c>
      <c r="AA469" s="54" t="str">
        <f t="shared" si="142"/>
        <v>0468</v>
      </c>
      <c r="AC469" s="4" t="s">
        <v>133</v>
      </c>
      <c r="AD469" s="54" t="str">
        <f t="shared" si="143"/>
        <v>Qa</v>
      </c>
      <c r="AF469" s="4" t="s">
        <v>1308</v>
      </c>
      <c r="AG469" s="4" t="s">
        <v>133</v>
      </c>
      <c r="AH469" s="4" t="s">
        <v>18</v>
      </c>
      <c r="AI469" s="54" t="str">
        <f t="shared" si="144"/>
        <v>Priyanka Pattnaik|QA|CoastalDev Studio</v>
      </c>
      <c r="AK469" s="4" t="s">
        <v>1308</v>
      </c>
      <c r="AL469" s="38" t="str">
        <f t="shared" si="145"/>
        <v>P.P.</v>
      </c>
      <c r="AQ469" s="4" t="s">
        <v>1308</v>
      </c>
      <c r="AR469" s="52" t="str">
        <f t="shared" si="146"/>
        <v>NO</v>
      </c>
      <c r="AW469" s="54">
        <f ca="1">DATEDIF(BI469,TODAY(),"Y")</f>
        <v>8</v>
      </c>
      <c r="AX469" s="54"/>
      <c r="BH469" s="4" t="s">
        <v>599</v>
      </c>
      <c r="BI469" s="51">
        <f t="shared" si="148"/>
        <v>43249</v>
      </c>
      <c r="BJ469" s="38">
        <f t="shared" ca="1" si="149"/>
        <v>2144</v>
      </c>
      <c r="BK469" s="38"/>
      <c r="BL469" s="38" t="str">
        <f t="shared" si="150"/>
        <v>No</v>
      </c>
      <c r="BM469"/>
      <c r="BN469" s="51"/>
      <c r="BP469" s="4" t="s">
        <v>1307</v>
      </c>
      <c r="BQ469" s="4" t="s">
        <v>133</v>
      </c>
      <c r="BR469" s="18" t="s">
        <v>72</v>
      </c>
      <c r="BS469" s="18" t="s">
        <v>3108</v>
      </c>
      <c r="BT469" s="54" t="str">
        <f t="shared" si="147"/>
        <v>Design</v>
      </c>
      <c r="BV469" s="4" t="s">
        <v>1307</v>
      </c>
      <c r="BW469" s="4" t="s">
        <v>1308</v>
      </c>
      <c r="CC469" s="4" t="s">
        <v>1308</v>
      </c>
      <c r="CD469" s="4" t="s">
        <v>134</v>
      </c>
      <c r="CG469" s="54">
        <f>IFERROR(_xlfn.XLOOKUP(Hiring!A469,Hiring!A469:A868,Hiring!B469:B868,,0),"Not Found")</f>
        <v>0</v>
      </c>
    </row>
    <row r="470" spans="6:85">
      <c r="F470" s="3">
        <v>4.8</v>
      </c>
      <c r="G470" s="52" t="str" cm="1">
        <f t="array" ref="G470">_xlfn.IFS(F470&gt;=4.5,"Excellent",AND(F470&gt;=3.5,F470&lt;=4.4),"Good",F470&lt;3.5,"Needs Improvement")</f>
        <v>Excellent</v>
      </c>
      <c r="Q470" s="19">
        <v>7.57</v>
      </c>
      <c r="R470" s="56" t="str">
        <f t="shared" si="141"/>
        <v>Yes</v>
      </c>
      <c r="W470" s="19" t="s">
        <v>72</v>
      </c>
      <c r="X470" s="54" t="str">
        <f>VLOOKUP(W470,Employees!$A$1:$B$601,2,FALSE)</f>
        <v>Sudhansu Dhal</v>
      </c>
      <c r="Z470" s="3" t="s">
        <v>1309</v>
      </c>
      <c r="AA470" s="54" t="str">
        <f t="shared" si="142"/>
        <v>0469</v>
      </c>
      <c r="AC470" s="3" t="s">
        <v>39</v>
      </c>
      <c r="AD470" s="54" t="str">
        <f t="shared" si="143"/>
        <v>Engineering</v>
      </c>
      <c r="AF470" s="3" t="s">
        <v>718</v>
      </c>
      <c r="AG470" s="3" t="s">
        <v>39</v>
      </c>
      <c r="AH470" s="3" t="s">
        <v>18</v>
      </c>
      <c r="AI470" s="54" t="str">
        <f t="shared" si="144"/>
        <v>Ranjit Nanda|Engineering|CoastalDev Studio</v>
      </c>
      <c r="AK470" s="3" t="s">
        <v>718</v>
      </c>
      <c r="AL470" s="38" t="str">
        <f t="shared" si="145"/>
        <v>R.N.</v>
      </c>
      <c r="AQ470" s="3" t="s">
        <v>718</v>
      </c>
      <c r="AR470" s="52" t="str">
        <f t="shared" si="146"/>
        <v>NO</v>
      </c>
      <c r="AW470" s="54">
        <f ca="1">DATEDIF(BI470,TODAY(),"Y")</f>
        <v>4</v>
      </c>
      <c r="AX470" s="54"/>
      <c r="BH470" s="3" t="s">
        <v>1310</v>
      </c>
      <c r="BI470" s="51">
        <f t="shared" si="148"/>
        <v>44424</v>
      </c>
      <c r="BJ470" s="38">
        <f t="shared" ca="1" si="149"/>
        <v>1305</v>
      </c>
      <c r="BK470" s="38"/>
      <c r="BL470" s="38" t="str">
        <f t="shared" si="150"/>
        <v>No</v>
      </c>
      <c r="BM470"/>
      <c r="BN470" s="51"/>
      <c r="BP470" s="3" t="s">
        <v>1309</v>
      </c>
      <c r="BQ470" s="3" t="s">
        <v>39</v>
      </c>
      <c r="BR470" s="19" t="s">
        <v>72</v>
      </c>
      <c r="BS470" s="19" t="s">
        <v>3110</v>
      </c>
      <c r="BT470" s="54" t="str">
        <f t="shared" si="147"/>
        <v>Design</v>
      </c>
      <c r="BV470" s="3" t="s">
        <v>1309</v>
      </c>
      <c r="BW470" s="3" t="s">
        <v>718</v>
      </c>
      <c r="CC470" s="3" t="s">
        <v>718</v>
      </c>
      <c r="CD470" s="3" t="s">
        <v>79</v>
      </c>
      <c r="CG470" s="54">
        <f>IFERROR(_xlfn.XLOOKUP(Hiring!A470,Hiring!A470:A869,Hiring!B470:B869,,0),"Not Found")</f>
        <v>0</v>
      </c>
    </row>
    <row r="471" spans="6:85">
      <c r="F471" s="4">
        <v>1.5</v>
      </c>
      <c r="G471" s="52" t="str" cm="1">
        <f t="array" ref="G471">_xlfn.IFS(F471&gt;=4.5,"Excellent",AND(F471&gt;=3.5,F471&lt;=4.4),"Good",F471&lt;3.5,"Needs Improvement")</f>
        <v>Needs Improvement</v>
      </c>
      <c r="Q471" s="18">
        <v>10.31</v>
      </c>
      <c r="R471" s="56" t="str">
        <f t="shared" si="141"/>
        <v>Yes</v>
      </c>
      <c r="W471" s="18" t="s">
        <v>72</v>
      </c>
      <c r="X471" s="54" t="str">
        <f>VLOOKUP(W471,Employees!$A$1:$B$601,2,FALSE)</f>
        <v>Sudhansu Dhal</v>
      </c>
      <c r="Z471" s="4" t="s">
        <v>1311</v>
      </c>
      <c r="AA471" s="54" t="str">
        <f t="shared" si="142"/>
        <v>0470</v>
      </c>
      <c r="AC471" s="4" t="s">
        <v>63</v>
      </c>
      <c r="AD471" s="54" t="str">
        <f t="shared" si="143"/>
        <v>Product</v>
      </c>
      <c r="AF471" s="4" t="s">
        <v>1312</v>
      </c>
      <c r="AG471" s="4" t="s">
        <v>63</v>
      </c>
      <c r="AH471" s="4" t="s">
        <v>32</v>
      </c>
      <c r="AI471" s="54" t="str">
        <f t="shared" si="144"/>
        <v>Namita Padhi|Product|NilGiri Digitals</v>
      </c>
      <c r="AK471" s="4" t="s">
        <v>1312</v>
      </c>
      <c r="AL471" s="38" t="str">
        <f t="shared" si="145"/>
        <v>N.P.</v>
      </c>
      <c r="AQ471" s="4" t="s">
        <v>1312</v>
      </c>
      <c r="AR471" s="52" t="str">
        <f t="shared" si="146"/>
        <v>NO</v>
      </c>
      <c r="AW471" s="54">
        <f ca="1">DATEDIF(BI471,TODAY(),"Y")</f>
        <v>6</v>
      </c>
      <c r="AX471" s="54"/>
      <c r="BH471" s="4" t="s">
        <v>1094</v>
      </c>
      <c r="BI471" s="51">
        <f t="shared" si="148"/>
        <v>43741</v>
      </c>
      <c r="BJ471" s="38">
        <f t="shared" ca="1" si="149"/>
        <v>1792</v>
      </c>
      <c r="BK471" s="38"/>
      <c r="BL471" s="38" t="str">
        <f t="shared" si="150"/>
        <v>No</v>
      </c>
      <c r="BM471"/>
      <c r="BN471" s="51"/>
      <c r="BP471" s="4" t="s">
        <v>1311</v>
      </c>
      <c r="BQ471" s="4" t="s">
        <v>63</v>
      </c>
      <c r="BR471" s="18" t="s">
        <v>72</v>
      </c>
      <c r="BS471" s="18" t="s">
        <v>3111</v>
      </c>
      <c r="BT471" s="54" t="str">
        <f t="shared" si="147"/>
        <v>Design</v>
      </c>
      <c r="BV471" s="4" t="s">
        <v>1311</v>
      </c>
      <c r="BW471" s="4" t="s">
        <v>1312</v>
      </c>
      <c r="CC471" s="4" t="s">
        <v>1312</v>
      </c>
      <c r="CD471" s="4" t="s">
        <v>225</v>
      </c>
      <c r="CG471" s="54">
        <f>IFERROR(_xlfn.XLOOKUP(Hiring!A471,Hiring!A471:A870,Hiring!B471:B870,,0),"Not Found")</f>
        <v>0</v>
      </c>
    </row>
    <row r="472" spans="6:85">
      <c r="F472" s="3">
        <v>2.9</v>
      </c>
      <c r="G472" s="52" t="str" cm="1">
        <f t="array" ref="G472">_xlfn.IFS(F472&gt;=4.5,"Excellent",AND(F472&gt;=3.5,F472&lt;=4.4),"Good",F472&lt;3.5,"Needs Improvement")</f>
        <v>Needs Improvement</v>
      </c>
      <c r="Q472" s="19">
        <v>8.4600000000000009</v>
      </c>
      <c r="R472" s="56" t="str">
        <f t="shared" si="141"/>
        <v>Yes</v>
      </c>
      <c r="W472" s="19" t="s">
        <v>72</v>
      </c>
      <c r="X472" s="54" t="str">
        <f>VLOOKUP(W472,Employees!$A$1:$B$601,2,FALSE)</f>
        <v>Sudhansu Dhal</v>
      </c>
      <c r="Z472" s="3" t="s">
        <v>1313</v>
      </c>
      <c r="AA472" s="54" t="str">
        <f t="shared" si="142"/>
        <v>0471</v>
      </c>
      <c r="AC472" s="3" t="s">
        <v>176</v>
      </c>
      <c r="AD472" s="54" t="str">
        <f t="shared" si="143"/>
        <v>Finance</v>
      </c>
      <c r="AF472" s="3" t="s">
        <v>200</v>
      </c>
      <c r="AG472" s="3" t="s">
        <v>176</v>
      </c>
      <c r="AH472" s="3" t="s">
        <v>32</v>
      </c>
      <c r="AI472" s="54" t="str">
        <f t="shared" si="144"/>
        <v>Rahul Ratha|Finance|NilGiri Digitals</v>
      </c>
      <c r="AK472" s="3" t="s">
        <v>200</v>
      </c>
      <c r="AL472" s="38" t="str">
        <f t="shared" si="145"/>
        <v>R.R.</v>
      </c>
      <c r="AQ472" s="3" t="s">
        <v>200</v>
      </c>
      <c r="AR472" s="52" t="str">
        <f t="shared" si="146"/>
        <v>NO</v>
      </c>
      <c r="AW472" s="54">
        <f ca="1">DATEDIF(BI472,TODAY(),"Y")</f>
        <v>6</v>
      </c>
      <c r="AX472" s="54"/>
      <c r="BH472" s="3" t="s">
        <v>1314</v>
      </c>
      <c r="BI472" s="51">
        <f t="shared" si="148"/>
        <v>43913</v>
      </c>
      <c r="BJ472" s="38">
        <f t="shared" ca="1" si="149"/>
        <v>1670</v>
      </c>
      <c r="BK472" s="38"/>
      <c r="BL472" s="38" t="str">
        <f t="shared" si="150"/>
        <v>Q1</v>
      </c>
      <c r="BM472"/>
      <c r="BN472" s="51"/>
      <c r="BP472" s="3" t="s">
        <v>1313</v>
      </c>
      <c r="BQ472" s="3" t="s">
        <v>176</v>
      </c>
      <c r="BR472" s="19" t="s">
        <v>72</v>
      </c>
      <c r="BS472" s="19" t="s">
        <v>3112</v>
      </c>
      <c r="BT472" s="54" t="str">
        <f t="shared" si="147"/>
        <v>Design</v>
      </c>
      <c r="BV472" s="3" t="s">
        <v>1313</v>
      </c>
      <c r="BW472" s="3" t="s">
        <v>200</v>
      </c>
      <c r="CC472" s="3" t="s">
        <v>200</v>
      </c>
      <c r="CD472" s="3" t="s">
        <v>229</v>
      </c>
      <c r="CG472" s="54">
        <f>IFERROR(_xlfn.XLOOKUP(Hiring!A472,Hiring!A472:A871,Hiring!B472:B871,,0),"Not Found")</f>
        <v>0</v>
      </c>
    </row>
    <row r="473" spans="6:85">
      <c r="F473" s="4">
        <v>4.3</v>
      </c>
      <c r="G473" s="52" t="str" cm="1">
        <f t="array" ref="G473">_xlfn.IFS(F473&gt;=4.5,"Excellent",AND(F473&gt;=3.5,F473&lt;=4.4),"Good",F473&lt;3.5,"Needs Improvement")</f>
        <v>Good</v>
      </c>
      <c r="Q473" s="18">
        <v>10.119999999999999</v>
      </c>
      <c r="R473" s="56" t="str">
        <f t="shared" si="141"/>
        <v>Yes</v>
      </c>
      <c r="W473" s="18" t="s">
        <v>72</v>
      </c>
      <c r="X473" s="54" t="str">
        <f>VLOOKUP(W473,Employees!$A$1:$B$601,2,FALSE)</f>
        <v>Sudhansu Dhal</v>
      </c>
      <c r="Z473" s="4" t="s">
        <v>1315</v>
      </c>
      <c r="AA473" s="54" t="str">
        <f t="shared" si="142"/>
        <v>0472</v>
      </c>
      <c r="AC473" s="4" t="s">
        <v>39</v>
      </c>
      <c r="AD473" s="54" t="str">
        <f t="shared" si="143"/>
        <v>Engineering</v>
      </c>
      <c r="AF473" s="4" t="s">
        <v>1134</v>
      </c>
      <c r="AG473" s="4" t="s">
        <v>39</v>
      </c>
      <c r="AH473" s="4" t="s">
        <v>32</v>
      </c>
      <c r="AI473" s="54" t="str">
        <f t="shared" si="144"/>
        <v>Satyajit Biswal|Engineering|NilGiri Digitals</v>
      </c>
      <c r="AK473" s="4" t="s">
        <v>1134</v>
      </c>
      <c r="AL473" s="38" t="str">
        <f t="shared" si="145"/>
        <v>S.B.</v>
      </c>
      <c r="AQ473" s="4" t="s">
        <v>1134</v>
      </c>
      <c r="AR473" s="52" t="str">
        <f t="shared" si="146"/>
        <v>NO</v>
      </c>
      <c r="AW473" s="54">
        <f ca="1">DATEDIF(BI473,TODAY(),"Y")</f>
        <v>7</v>
      </c>
      <c r="AX473" s="54"/>
      <c r="BH473" s="4" t="s">
        <v>1316</v>
      </c>
      <c r="BI473" s="51">
        <f t="shared" si="148"/>
        <v>43370</v>
      </c>
      <c r="BJ473" s="38">
        <f t="shared" ca="1" si="149"/>
        <v>2057</v>
      </c>
      <c r="BK473" s="38"/>
      <c r="BL473" s="38" t="str">
        <f t="shared" si="150"/>
        <v>No</v>
      </c>
      <c r="BM473"/>
      <c r="BN473" s="51"/>
      <c r="BP473" s="4" t="s">
        <v>1315</v>
      </c>
      <c r="BQ473" s="4" t="s">
        <v>39</v>
      </c>
      <c r="BR473" s="18" t="s">
        <v>72</v>
      </c>
      <c r="BS473" s="18" t="s">
        <v>3113</v>
      </c>
      <c r="BT473" s="54" t="str">
        <f t="shared" si="147"/>
        <v>Design</v>
      </c>
      <c r="BV473" s="4" t="s">
        <v>1315</v>
      </c>
      <c r="BW473" s="4" t="s">
        <v>1134</v>
      </c>
      <c r="CC473" s="4" t="s">
        <v>1134</v>
      </c>
      <c r="CD473" s="4" t="s">
        <v>242</v>
      </c>
      <c r="CG473" s="54">
        <f>IFERROR(_xlfn.XLOOKUP(Hiring!A473,Hiring!A473:A872,Hiring!B473:B872,,0),"Not Found")</f>
        <v>0</v>
      </c>
    </row>
    <row r="474" spans="6:85">
      <c r="F474" s="3">
        <v>2.4</v>
      </c>
      <c r="G474" s="52" t="str" cm="1">
        <f t="array" ref="G474">_xlfn.IFS(F474&gt;=4.5,"Excellent",AND(F474&gt;=3.5,F474&lt;=4.4),"Good",F474&lt;3.5,"Needs Improvement")</f>
        <v>Needs Improvement</v>
      </c>
      <c r="Q474" s="19">
        <v>11.41</v>
      </c>
      <c r="R474" s="56" t="str">
        <f t="shared" si="141"/>
        <v>Yes</v>
      </c>
      <c r="W474" s="19" t="s">
        <v>72</v>
      </c>
      <c r="X474" s="54" t="str">
        <f>VLOOKUP(W474,Employees!$A$1:$B$601,2,FALSE)</f>
        <v>Sudhansu Dhal</v>
      </c>
      <c r="Z474" s="3" t="s">
        <v>1317</v>
      </c>
      <c r="AA474" s="54" t="str">
        <f t="shared" si="142"/>
        <v>0473</v>
      </c>
      <c r="AC474" s="3" t="s">
        <v>24</v>
      </c>
      <c r="AD474" s="54" t="str">
        <f t="shared" si="143"/>
        <v>Design</v>
      </c>
      <c r="AF474" s="3" t="s">
        <v>141</v>
      </c>
      <c r="AG474" s="3" t="s">
        <v>24</v>
      </c>
      <c r="AH474" s="3" t="s">
        <v>75</v>
      </c>
      <c r="AI474" s="54" t="str">
        <f t="shared" si="144"/>
        <v>Saurav Routray|Design|KalingaTech Pvt Ltd</v>
      </c>
      <c r="AK474" s="3" t="s">
        <v>141</v>
      </c>
      <c r="AL474" s="38" t="str">
        <f t="shared" si="145"/>
        <v>S.R.</v>
      </c>
      <c r="AQ474" s="3" t="s">
        <v>141</v>
      </c>
      <c r="AR474" s="52" t="str">
        <f t="shared" si="146"/>
        <v>NO</v>
      </c>
      <c r="AW474" s="54">
        <f ca="1">DATEDIF(BI474,TODAY(),"Y")</f>
        <v>3</v>
      </c>
      <c r="AX474" s="54"/>
      <c r="BH474" s="3" t="s">
        <v>469</v>
      </c>
      <c r="BI474" s="51">
        <f t="shared" si="148"/>
        <v>44823</v>
      </c>
      <c r="BJ474" s="38">
        <f t="shared" ca="1" si="149"/>
        <v>1020</v>
      </c>
      <c r="BK474" s="38"/>
      <c r="BL474" s="38" t="str">
        <f t="shared" si="150"/>
        <v>No</v>
      </c>
      <c r="BM474"/>
      <c r="BN474" s="51"/>
      <c r="BP474" s="3" t="s">
        <v>1317</v>
      </c>
      <c r="BQ474" s="3" t="s">
        <v>24</v>
      </c>
      <c r="BR474" s="19" t="s">
        <v>72</v>
      </c>
      <c r="BS474" s="19" t="s">
        <v>3115</v>
      </c>
      <c r="BT474" s="54" t="str">
        <f t="shared" si="147"/>
        <v>Design</v>
      </c>
      <c r="BV474" s="3" t="s">
        <v>1317</v>
      </c>
      <c r="BW474" s="3" t="s">
        <v>141</v>
      </c>
      <c r="CC474" s="3" t="s">
        <v>141</v>
      </c>
      <c r="CD474" s="3" t="s">
        <v>45</v>
      </c>
      <c r="CG474" s="54">
        <f>IFERROR(_xlfn.XLOOKUP(Hiring!A474,Hiring!A474:A873,Hiring!B474:B873,,0),"Not Found")</f>
        <v>0</v>
      </c>
    </row>
    <row r="475" spans="6:85">
      <c r="F475" s="4">
        <v>2.5</v>
      </c>
      <c r="G475" s="52" t="str" cm="1">
        <f t="array" ref="G475">_xlfn.IFS(F475&gt;=4.5,"Excellent",AND(F475&gt;=3.5,F475&lt;=4.4),"Good",F475&lt;3.5,"Needs Improvement")</f>
        <v>Needs Improvement</v>
      </c>
      <c r="Q475" s="18">
        <v>10.75</v>
      </c>
      <c r="R475" s="56" t="str">
        <f t="shared" si="141"/>
        <v>Yes</v>
      </c>
      <c r="W475" s="18" t="s">
        <v>705</v>
      </c>
      <c r="X475" s="54" t="str">
        <f>VLOOKUP(W475,Employees!$A$1:$B$601,2,FALSE)</f>
        <v>Puspita Ratha</v>
      </c>
      <c r="Z475" s="4" t="s">
        <v>1318</v>
      </c>
      <c r="AA475" s="54" t="str">
        <f t="shared" si="142"/>
        <v>0474</v>
      </c>
      <c r="AC475" s="4" t="s">
        <v>24</v>
      </c>
      <c r="AD475" s="54" t="str">
        <f t="shared" si="143"/>
        <v>Design</v>
      </c>
      <c r="AF475" s="4" t="s">
        <v>673</v>
      </c>
      <c r="AG475" s="4" t="s">
        <v>24</v>
      </c>
      <c r="AH475" s="4" t="s">
        <v>32</v>
      </c>
      <c r="AI475" s="54" t="str">
        <f t="shared" si="144"/>
        <v>Sudhansu Mishra|Design|NilGiri Digitals</v>
      </c>
      <c r="AK475" s="4" t="s">
        <v>673</v>
      </c>
      <c r="AL475" s="38" t="str">
        <f t="shared" si="145"/>
        <v>S.M.</v>
      </c>
      <c r="AQ475" s="4" t="s">
        <v>673</v>
      </c>
      <c r="AR475" s="52" t="str">
        <f t="shared" si="146"/>
        <v>Mishra</v>
      </c>
      <c r="AW475" s="54">
        <f ca="1">DATEDIF(BI475,TODAY(),"Y")</f>
        <v>5</v>
      </c>
      <c r="AX475" s="54"/>
      <c r="BH475" s="4" t="s">
        <v>321</v>
      </c>
      <c r="BI475" s="51">
        <f t="shared" si="148"/>
        <v>44411</v>
      </c>
      <c r="BJ475" s="38">
        <f t="shared" ca="1" si="149"/>
        <v>1314</v>
      </c>
      <c r="BK475" s="38"/>
      <c r="BL475" s="38" t="str">
        <f t="shared" si="150"/>
        <v>No</v>
      </c>
      <c r="BM475"/>
      <c r="BN475" s="51"/>
      <c r="BP475" s="4" t="s">
        <v>1318</v>
      </c>
      <c r="BQ475" s="4" t="s">
        <v>24</v>
      </c>
      <c r="BR475" s="18" t="s">
        <v>705</v>
      </c>
      <c r="BS475" s="18" t="s">
        <v>3117</v>
      </c>
      <c r="BT475" s="54" t="str">
        <f t="shared" si="147"/>
        <v>Engineering</v>
      </c>
      <c r="BV475" s="4" t="s">
        <v>1318</v>
      </c>
      <c r="BW475" s="4" t="s">
        <v>673</v>
      </c>
      <c r="CC475" s="4" t="s">
        <v>673</v>
      </c>
      <c r="CD475" s="4" t="s">
        <v>45</v>
      </c>
      <c r="CG475" s="54">
        <f>IFERROR(_xlfn.XLOOKUP(Hiring!A475,Hiring!A475:A874,Hiring!B475:B874,,0),"Not Found")</f>
        <v>0</v>
      </c>
    </row>
    <row r="476" spans="6:85">
      <c r="F476" s="3">
        <v>3.2</v>
      </c>
      <c r="G476" s="52" t="str" cm="1">
        <f t="array" ref="G476">_xlfn.IFS(F476&gt;=4.5,"Excellent",AND(F476&gt;=3.5,F476&lt;=4.4),"Good",F476&lt;3.5,"Needs Improvement")</f>
        <v>Needs Improvement</v>
      </c>
      <c r="Q476" s="19">
        <v>8.33</v>
      </c>
      <c r="R476" s="56" t="str">
        <f t="shared" si="141"/>
        <v>Yes</v>
      </c>
      <c r="W476" s="19" t="s">
        <v>705</v>
      </c>
      <c r="X476" s="54" t="str">
        <f>VLOOKUP(W476,Employees!$A$1:$B$601,2,FALSE)</f>
        <v>Puspita Ratha</v>
      </c>
      <c r="Z476" s="3" t="s">
        <v>1319</v>
      </c>
      <c r="AA476" s="54" t="str">
        <f t="shared" si="142"/>
        <v>0475</v>
      </c>
      <c r="AC476" s="3" t="s">
        <v>39</v>
      </c>
      <c r="AD476" s="54" t="str">
        <f t="shared" si="143"/>
        <v>Engineering</v>
      </c>
      <c r="AF476" s="3" t="s">
        <v>1320</v>
      </c>
      <c r="AG476" s="3" t="s">
        <v>39</v>
      </c>
      <c r="AH476" s="3" t="s">
        <v>46</v>
      </c>
      <c r="AI476" s="54" t="str">
        <f t="shared" si="144"/>
        <v>Aditya Mishra|Engineering|SambalpurNet</v>
      </c>
      <c r="AK476" s="3" t="s">
        <v>1320</v>
      </c>
      <c r="AL476" s="38" t="str">
        <f t="shared" si="145"/>
        <v>A.M.</v>
      </c>
      <c r="AQ476" s="3" t="s">
        <v>1320</v>
      </c>
      <c r="AR476" s="52" t="str">
        <f t="shared" si="146"/>
        <v>Mishra</v>
      </c>
      <c r="AW476" s="54">
        <f ca="1">DATEDIF(BI476,TODAY(),"Y")</f>
        <v>2</v>
      </c>
      <c r="AX476" s="54"/>
      <c r="BH476" s="3" t="s">
        <v>1321</v>
      </c>
      <c r="BI476" s="51">
        <f t="shared" si="148"/>
        <v>45351</v>
      </c>
      <c r="BJ476" s="38">
        <f t="shared" ca="1" si="149"/>
        <v>642</v>
      </c>
      <c r="BK476" s="38"/>
      <c r="BL476" s="38" t="str">
        <f t="shared" si="150"/>
        <v>Q1</v>
      </c>
      <c r="BM476"/>
      <c r="BN476" s="51"/>
      <c r="BP476" s="3" t="s">
        <v>1319</v>
      </c>
      <c r="BQ476" s="3" t="s">
        <v>39</v>
      </c>
      <c r="BR476" s="19" t="s">
        <v>705</v>
      </c>
      <c r="BS476" s="19" t="s">
        <v>3119</v>
      </c>
      <c r="BT476" s="54" t="str">
        <f t="shared" si="147"/>
        <v>Engineering</v>
      </c>
      <c r="BV476" s="3" t="s">
        <v>1319</v>
      </c>
      <c r="BW476" s="3" t="s">
        <v>1320</v>
      </c>
      <c r="CC476" s="3" t="s">
        <v>1320</v>
      </c>
      <c r="CD476" s="3" t="s">
        <v>40</v>
      </c>
      <c r="CG476" s="54">
        <f>IFERROR(_xlfn.XLOOKUP(Hiring!A476,Hiring!A476:A875,Hiring!B476:B875,,0),"Not Found")</f>
        <v>0</v>
      </c>
    </row>
    <row r="477" spans="6:85">
      <c r="F477" s="4">
        <v>4.3</v>
      </c>
      <c r="G477" s="52" t="str" cm="1">
        <f t="array" ref="G477">_xlfn.IFS(F477&gt;=4.5,"Excellent",AND(F477&gt;=3.5,F477&lt;=4.4),"Good",F477&lt;3.5,"Needs Improvement")</f>
        <v>Good</v>
      </c>
      <c r="Q477" s="18">
        <v>7.01</v>
      </c>
      <c r="R477" s="56" t="str">
        <f t="shared" si="141"/>
        <v>Yes</v>
      </c>
      <c r="W477" s="18" t="s">
        <v>705</v>
      </c>
      <c r="X477" s="54" t="str">
        <f>VLOOKUP(W477,Employees!$A$1:$B$601,2,FALSE)</f>
        <v>Puspita Ratha</v>
      </c>
      <c r="Z477" s="4" t="s">
        <v>1322</v>
      </c>
      <c r="AA477" s="54" t="str">
        <f t="shared" si="142"/>
        <v>0476</v>
      </c>
      <c r="AC477" s="4" t="s">
        <v>118</v>
      </c>
      <c r="AD477" s="54" t="str">
        <f t="shared" si="143"/>
        <v>Marketing</v>
      </c>
      <c r="AF477" s="4" t="s">
        <v>1323</v>
      </c>
      <c r="AG477" s="4" t="s">
        <v>118</v>
      </c>
      <c r="AH477" s="4" t="s">
        <v>26</v>
      </c>
      <c r="AI477" s="54" t="str">
        <f t="shared" si="144"/>
        <v>Namita Ratha|Marketing|InfySoft Bhubaneswar</v>
      </c>
      <c r="AK477" s="4" t="s">
        <v>1323</v>
      </c>
      <c r="AL477" s="38" t="str">
        <f t="shared" si="145"/>
        <v>N.R.</v>
      </c>
      <c r="AQ477" s="4" t="s">
        <v>1323</v>
      </c>
      <c r="AR477" s="52" t="str">
        <f t="shared" si="146"/>
        <v>NO</v>
      </c>
      <c r="AW477" s="54">
        <f ca="1">DATEDIF(BI477,TODAY(),"Y")</f>
        <v>4</v>
      </c>
      <c r="AX477" s="54"/>
      <c r="BH477" s="4" t="s">
        <v>1324</v>
      </c>
      <c r="BI477" s="51">
        <f t="shared" si="148"/>
        <v>44424</v>
      </c>
      <c r="BJ477" s="38">
        <f t="shared" ca="1" si="149"/>
        <v>1305</v>
      </c>
      <c r="BK477" s="38"/>
      <c r="BL477" s="38" t="str">
        <f t="shared" si="150"/>
        <v>No</v>
      </c>
      <c r="BM477"/>
      <c r="BN477" s="51"/>
      <c r="BP477" s="4" t="s">
        <v>1322</v>
      </c>
      <c r="BQ477" s="4" t="s">
        <v>118</v>
      </c>
      <c r="BR477" s="18" t="s">
        <v>705</v>
      </c>
      <c r="BS477" s="18" t="s">
        <v>3121</v>
      </c>
      <c r="BT477" s="54" t="str">
        <f t="shared" si="147"/>
        <v>Engineering</v>
      </c>
      <c r="BV477" s="4" t="s">
        <v>1322</v>
      </c>
      <c r="BW477" s="4" t="s">
        <v>1323</v>
      </c>
      <c r="CC477" s="4" t="s">
        <v>1323</v>
      </c>
      <c r="CD477" s="4" t="s">
        <v>119</v>
      </c>
      <c r="CG477" s="54">
        <f>IFERROR(_xlfn.XLOOKUP(Hiring!A477,Hiring!A477:A876,Hiring!B477:B876,,0),"Not Found")</f>
        <v>0</v>
      </c>
    </row>
    <row r="478" spans="6:85">
      <c r="F478" s="3">
        <v>5</v>
      </c>
      <c r="G478" s="52" t="str" cm="1">
        <f t="array" ref="G478">_xlfn.IFS(F478&gt;=4.5,"Excellent",AND(F478&gt;=3.5,F478&lt;=4.4),"Good",F478&lt;3.5,"Needs Improvement")</f>
        <v>Excellent</v>
      </c>
      <c r="Q478" s="19">
        <v>8.2200000000000006</v>
      </c>
      <c r="R478" s="56" t="str">
        <f t="shared" si="141"/>
        <v>Yes</v>
      </c>
      <c r="W478" s="19" t="s">
        <v>705</v>
      </c>
      <c r="X478" s="54" t="str">
        <f>VLOOKUP(W478,Employees!$A$1:$B$601,2,FALSE)</f>
        <v>Puspita Ratha</v>
      </c>
      <c r="Z478" s="3" t="s">
        <v>1325</v>
      </c>
      <c r="AA478" s="54" t="str">
        <f t="shared" si="142"/>
        <v>0477</v>
      </c>
      <c r="AC478" s="3" t="s">
        <v>39</v>
      </c>
      <c r="AD478" s="54" t="str">
        <f t="shared" si="143"/>
        <v>Engineering</v>
      </c>
      <c r="AF478" s="3" t="s">
        <v>101</v>
      </c>
      <c r="AG478" s="3" t="s">
        <v>39</v>
      </c>
      <c r="AH478" s="3" t="s">
        <v>18</v>
      </c>
      <c r="AI478" s="54" t="str">
        <f t="shared" si="144"/>
        <v>Sudhansu Behura|Engineering|CoastalDev Studio</v>
      </c>
      <c r="AK478" s="3" t="s">
        <v>101</v>
      </c>
      <c r="AL478" s="38" t="str">
        <f t="shared" si="145"/>
        <v>S.B.</v>
      </c>
      <c r="AQ478" s="3" t="s">
        <v>101</v>
      </c>
      <c r="AR478" s="52" t="str">
        <f t="shared" si="146"/>
        <v>NO</v>
      </c>
      <c r="AW478" s="54">
        <f ca="1">DATEDIF(BI478,TODAY(),"Y")</f>
        <v>5</v>
      </c>
      <c r="AX478" s="54"/>
      <c r="BH478" s="3" t="s">
        <v>1326</v>
      </c>
      <c r="BI478" s="51">
        <f t="shared" si="148"/>
        <v>44109</v>
      </c>
      <c r="BJ478" s="38">
        <f t="shared" ca="1" si="149"/>
        <v>1530</v>
      </c>
      <c r="BK478" s="38"/>
      <c r="BL478" s="38" t="str">
        <f t="shared" si="150"/>
        <v>No</v>
      </c>
      <c r="BM478"/>
      <c r="BN478" s="51"/>
      <c r="BP478" s="3" t="s">
        <v>1325</v>
      </c>
      <c r="BQ478" s="3" t="s">
        <v>39</v>
      </c>
      <c r="BR478" s="19" t="s">
        <v>705</v>
      </c>
      <c r="BS478" s="19" t="s">
        <v>3122</v>
      </c>
      <c r="BT478" s="54" t="str">
        <f t="shared" si="147"/>
        <v>Engineering</v>
      </c>
      <c r="BV478" s="3" t="s">
        <v>1325</v>
      </c>
      <c r="BW478" s="3" t="s">
        <v>101</v>
      </c>
      <c r="CC478" s="3" t="s">
        <v>101</v>
      </c>
      <c r="CD478" s="3" t="s">
        <v>242</v>
      </c>
      <c r="CG478" s="54">
        <f>IFERROR(_xlfn.XLOOKUP(Hiring!A478,Hiring!A478:A877,Hiring!B478:B877,,0),"Not Found")</f>
        <v>0</v>
      </c>
    </row>
    <row r="479" spans="6:85">
      <c r="F479" s="4">
        <v>4.7</v>
      </c>
      <c r="G479" s="52" t="str" cm="1">
        <f t="array" ref="G479">_xlfn.IFS(F479&gt;=4.5,"Excellent",AND(F479&gt;=3.5,F479&lt;=4.4),"Good",F479&lt;3.5,"Needs Improvement")</f>
        <v>Excellent</v>
      </c>
      <c r="Q479" s="18">
        <v>9.15</v>
      </c>
      <c r="R479" s="56" t="str">
        <f t="shared" si="141"/>
        <v>Yes</v>
      </c>
      <c r="W479" s="18" t="s">
        <v>705</v>
      </c>
      <c r="X479" s="54" t="str">
        <f>VLOOKUP(W479,Employees!$A$1:$B$601,2,FALSE)</f>
        <v>Puspita Ratha</v>
      </c>
      <c r="Z479" s="4" t="s">
        <v>1327</v>
      </c>
      <c r="AA479" s="54" t="str">
        <f t="shared" si="142"/>
        <v>0478</v>
      </c>
      <c r="AC479" s="4" t="s">
        <v>89</v>
      </c>
      <c r="AD479" s="54" t="str">
        <f t="shared" si="143"/>
        <v>Data Science</v>
      </c>
      <c r="AF479" s="4" t="s">
        <v>1328</v>
      </c>
      <c r="AG479" s="4" t="s">
        <v>89</v>
      </c>
      <c r="AH479" s="4" t="s">
        <v>65</v>
      </c>
      <c r="AI479" s="54" t="str">
        <f t="shared" si="144"/>
        <v>Bikash Mahapatra|Data Science|TributeAI</v>
      </c>
      <c r="AK479" s="4" t="s">
        <v>1328</v>
      </c>
      <c r="AL479" s="38" t="str">
        <f t="shared" si="145"/>
        <v>B.M.</v>
      </c>
      <c r="AQ479" s="4" t="s">
        <v>1328</v>
      </c>
      <c r="AR479" s="52" t="str">
        <f t="shared" si="146"/>
        <v>NO</v>
      </c>
      <c r="AW479" s="54">
        <f ca="1">DATEDIF(BI479,TODAY(),"Y")</f>
        <v>2</v>
      </c>
      <c r="AX479" s="54"/>
      <c r="BH479" s="4" t="s">
        <v>1329</v>
      </c>
      <c r="BI479" s="51">
        <f t="shared" si="148"/>
        <v>45252</v>
      </c>
      <c r="BJ479" s="38">
        <f t="shared" ca="1" si="149"/>
        <v>713</v>
      </c>
      <c r="BK479" s="38"/>
      <c r="BL479" s="38" t="str">
        <f t="shared" si="150"/>
        <v>No</v>
      </c>
      <c r="BM479"/>
      <c r="BN479" s="51"/>
      <c r="BP479" s="4" t="s">
        <v>1327</v>
      </c>
      <c r="BQ479" s="4" t="s">
        <v>89</v>
      </c>
      <c r="BR479" s="18" t="s">
        <v>705</v>
      </c>
      <c r="BS479" s="18" t="s">
        <v>3124</v>
      </c>
      <c r="BT479" s="54" t="str">
        <f t="shared" si="147"/>
        <v>Engineering</v>
      </c>
      <c r="BV479" s="4" t="s">
        <v>1327</v>
      </c>
      <c r="BW479" s="4" t="s">
        <v>1328</v>
      </c>
      <c r="CC479" s="4" t="s">
        <v>1328</v>
      </c>
      <c r="CD479" s="4" t="s">
        <v>113</v>
      </c>
      <c r="CG479" s="54">
        <f>IFERROR(_xlfn.XLOOKUP(Hiring!A479,Hiring!A479:A878,Hiring!B479:B878,,0),"Not Found")</f>
        <v>0</v>
      </c>
    </row>
    <row r="480" spans="6:85">
      <c r="F480" s="3">
        <v>4.7</v>
      </c>
      <c r="G480" s="52" t="str" cm="1">
        <f t="array" ref="G480">_xlfn.IFS(F480&gt;=4.5,"Excellent",AND(F480&gt;=3.5,F480&lt;=4.4),"Good",F480&lt;3.5,"Needs Improvement")</f>
        <v>Excellent</v>
      </c>
      <c r="Q480" s="19"/>
      <c r="R480" s="56" t="str">
        <f t="shared" si="141"/>
        <v>No</v>
      </c>
      <c r="W480" s="19" t="s">
        <v>705</v>
      </c>
      <c r="X480" s="54" t="str">
        <f>VLOOKUP(W480,Employees!$A$1:$B$601,2,FALSE)</f>
        <v>Puspita Ratha</v>
      </c>
      <c r="Z480" s="3" t="s">
        <v>1330</v>
      </c>
      <c r="AA480" s="54" t="str">
        <f t="shared" si="142"/>
        <v>0479</v>
      </c>
      <c r="AC480" s="3" t="s">
        <v>63</v>
      </c>
      <c r="AD480" s="54" t="str">
        <f t="shared" si="143"/>
        <v>Product</v>
      </c>
      <c r="AF480" s="3" t="s">
        <v>1194</v>
      </c>
      <c r="AG480" s="3" t="s">
        <v>63</v>
      </c>
      <c r="AH480" s="3" t="s">
        <v>214</v>
      </c>
      <c r="AI480" s="54" t="str">
        <f t="shared" si="144"/>
        <v>Dibya Pattnaik|Product|ZeroOneSystems</v>
      </c>
      <c r="AK480" s="3" t="s">
        <v>1194</v>
      </c>
      <c r="AL480" s="38" t="str">
        <f t="shared" si="145"/>
        <v>D.P.</v>
      </c>
      <c r="AQ480" s="3" t="s">
        <v>1194</v>
      </c>
      <c r="AR480" s="52" t="str">
        <f t="shared" si="146"/>
        <v>NO</v>
      </c>
      <c r="AW480" s="54">
        <f ca="1">DATEDIF(BI480,TODAY(),"Y")</f>
        <v>4</v>
      </c>
      <c r="AX480" s="54"/>
      <c r="BH480" s="3" t="s">
        <v>1331</v>
      </c>
      <c r="BI480" s="51">
        <f t="shared" si="148"/>
        <v>44712</v>
      </c>
      <c r="BJ480" s="38">
        <f t="shared" ca="1" si="149"/>
        <v>1099</v>
      </c>
      <c r="BK480" s="38"/>
      <c r="BL480" s="38" t="str">
        <f t="shared" si="150"/>
        <v>No</v>
      </c>
      <c r="BM480"/>
      <c r="BN480" s="51"/>
      <c r="BP480" s="3" t="s">
        <v>1330</v>
      </c>
      <c r="BQ480" s="3" t="s">
        <v>63</v>
      </c>
      <c r="BR480" s="19" t="s">
        <v>705</v>
      </c>
      <c r="BS480" s="19" t="s">
        <v>3125</v>
      </c>
      <c r="BT480" s="54" t="str">
        <f t="shared" si="147"/>
        <v>Engineering</v>
      </c>
      <c r="BV480" s="3" t="s">
        <v>1330</v>
      </c>
      <c r="BW480" s="3" t="s">
        <v>1194</v>
      </c>
      <c r="CC480" s="3" t="s">
        <v>1194</v>
      </c>
      <c r="CD480" s="3" t="s">
        <v>64</v>
      </c>
      <c r="CG480" s="54">
        <f>IFERROR(_xlfn.XLOOKUP(Hiring!A480,Hiring!A480:A879,Hiring!B480:B879,,0),"Not Found")</f>
        <v>0</v>
      </c>
    </row>
    <row r="481" spans="6:85">
      <c r="F481" s="4">
        <v>0</v>
      </c>
      <c r="G481" s="52" t="str" cm="1">
        <f t="array" ref="G481">_xlfn.IFS(F481&gt;=4.5,"Excellent",AND(F481&gt;=3.5,F481&lt;=4.4),"Good",F481&lt;3.5,"Needs Improvement")</f>
        <v>Needs Improvement</v>
      </c>
      <c r="Q481" s="18">
        <v>9.0399999999999991</v>
      </c>
      <c r="R481" s="56" t="str">
        <f t="shared" si="141"/>
        <v>Yes</v>
      </c>
      <c r="W481" s="18" t="s">
        <v>705</v>
      </c>
      <c r="X481" s="54" t="str">
        <f>VLOOKUP(W481,Employees!$A$1:$B$601,2,FALSE)</f>
        <v>Puspita Ratha</v>
      </c>
      <c r="Z481" s="4" t="s">
        <v>1332</v>
      </c>
      <c r="AA481" s="54" t="str">
        <f t="shared" si="142"/>
        <v>0480</v>
      </c>
      <c r="AC481" s="4" t="s">
        <v>89</v>
      </c>
      <c r="AD481" s="54" t="str">
        <f t="shared" si="143"/>
        <v>Data Science</v>
      </c>
      <c r="AF481" s="4" t="s">
        <v>137</v>
      </c>
      <c r="AG481" s="4" t="s">
        <v>89</v>
      </c>
      <c r="AH481" s="4" t="s">
        <v>172</v>
      </c>
      <c r="AI481" s="54" t="str">
        <f t="shared" si="144"/>
        <v>Alka Padhi|Data Science|TechNova Solutions</v>
      </c>
      <c r="AK481" s="4" t="s">
        <v>137</v>
      </c>
      <c r="AL481" s="38" t="str">
        <f t="shared" si="145"/>
        <v>A.P.</v>
      </c>
      <c r="AQ481" s="4" t="s">
        <v>137</v>
      </c>
      <c r="AR481" s="52" t="str">
        <f t="shared" si="146"/>
        <v>NO</v>
      </c>
      <c r="AW481" s="54">
        <f ca="1">DATEDIF(BI481,TODAY(),"Y")</f>
        <v>7</v>
      </c>
      <c r="AX481" s="54"/>
      <c r="BH481" s="4" t="s">
        <v>1333</v>
      </c>
      <c r="BI481" s="51">
        <f t="shared" si="148"/>
        <v>43406</v>
      </c>
      <c r="BJ481" s="38">
        <f t="shared" ca="1" si="149"/>
        <v>2031</v>
      </c>
      <c r="BK481" s="38"/>
      <c r="BL481" s="38" t="str">
        <f t="shared" si="150"/>
        <v>No</v>
      </c>
      <c r="BM481"/>
      <c r="BN481" s="51"/>
      <c r="BP481" s="4" t="s">
        <v>1332</v>
      </c>
      <c r="BQ481" s="4" t="s">
        <v>89</v>
      </c>
      <c r="BR481" s="18" t="s">
        <v>705</v>
      </c>
      <c r="BS481" s="18" t="s">
        <v>3126</v>
      </c>
      <c r="BT481" s="54" t="str">
        <f t="shared" si="147"/>
        <v>Engineering</v>
      </c>
      <c r="BV481" s="4" t="s">
        <v>1332</v>
      </c>
      <c r="BW481" s="4" t="s">
        <v>137</v>
      </c>
      <c r="CC481" s="4" t="s">
        <v>137</v>
      </c>
      <c r="CD481" s="4" t="s">
        <v>376</v>
      </c>
      <c r="CG481" s="54">
        <f>IFERROR(_xlfn.XLOOKUP(Hiring!A481,Hiring!A481:A880,Hiring!B481:B880,,0),"Not Found")</f>
        <v>0</v>
      </c>
    </row>
    <row r="482" spans="6:85">
      <c r="F482" s="3">
        <v>3.3</v>
      </c>
      <c r="G482" s="52" t="str" cm="1">
        <f t="array" ref="G482">_xlfn.IFS(F482&gt;=4.5,"Excellent",AND(F482&gt;=3.5,F482&lt;=4.4),"Good",F482&lt;3.5,"Needs Improvement")</f>
        <v>Needs Improvement</v>
      </c>
      <c r="Q482" s="19">
        <v>9.49</v>
      </c>
      <c r="R482" s="56" t="str">
        <f t="shared" si="141"/>
        <v>Yes</v>
      </c>
      <c r="W482" s="19" t="s">
        <v>705</v>
      </c>
      <c r="X482" s="54" t="str">
        <f>VLOOKUP(W482,Employees!$A$1:$B$601,2,FALSE)</f>
        <v>Puspita Ratha</v>
      </c>
      <c r="Z482" s="3" t="s">
        <v>1334</v>
      </c>
      <c r="AA482" s="54" t="str">
        <f t="shared" si="142"/>
        <v>0481</v>
      </c>
      <c r="AC482" s="3" t="s">
        <v>118</v>
      </c>
      <c r="AD482" s="54" t="str">
        <f t="shared" si="143"/>
        <v>Marketing</v>
      </c>
      <c r="AF482" s="3" t="s">
        <v>1240</v>
      </c>
      <c r="AG482" s="3" t="s">
        <v>118</v>
      </c>
      <c r="AH482" s="3" t="s">
        <v>65</v>
      </c>
      <c r="AI482" s="54" t="str">
        <f t="shared" si="144"/>
        <v>Bikash Senapati|Marketing|TributeAI</v>
      </c>
      <c r="AK482" s="3" t="s">
        <v>1240</v>
      </c>
      <c r="AL482" s="38" t="str">
        <f t="shared" si="145"/>
        <v>B.S.</v>
      </c>
      <c r="AQ482" s="3" t="s">
        <v>1240</v>
      </c>
      <c r="AR482" s="52" t="str">
        <f t="shared" si="146"/>
        <v>NO</v>
      </c>
      <c r="AW482" s="54">
        <f ca="1">DATEDIF(BI482,TODAY(),"Y")</f>
        <v>7</v>
      </c>
      <c r="AX482" s="54"/>
      <c r="BH482" s="3" t="s">
        <v>1335</v>
      </c>
      <c r="BI482" s="51">
        <f t="shared" si="148"/>
        <v>43638</v>
      </c>
      <c r="BJ482" s="38">
        <f t="shared" ca="1" si="149"/>
        <v>1865</v>
      </c>
      <c r="BK482" s="38"/>
      <c r="BL482" s="38" t="str">
        <f t="shared" si="150"/>
        <v>No</v>
      </c>
      <c r="BM482"/>
      <c r="BN482" s="51"/>
      <c r="BP482" s="3" t="s">
        <v>1334</v>
      </c>
      <c r="BQ482" s="3" t="s">
        <v>118</v>
      </c>
      <c r="BR482" s="19" t="s">
        <v>705</v>
      </c>
      <c r="BS482" s="19" t="s">
        <v>3127</v>
      </c>
      <c r="BT482" s="54" t="str">
        <f t="shared" si="147"/>
        <v>Engineering</v>
      </c>
      <c r="BV482" s="3" t="s">
        <v>1334</v>
      </c>
      <c r="BW482" s="3" t="s">
        <v>1240</v>
      </c>
      <c r="CC482" s="3" t="s">
        <v>1240</v>
      </c>
      <c r="CD482" s="3" t="s">
        <v>254</v>
      </c>
      <c r="CG482" s="54">
        <f>IFERROR(_xlfn.XLOOKUP(Hiring!A482,Hiring!A482:A881,Hiring!B482:B881,,0),"Not Found")</f>
        <v>0</v>
      </c>
    </row>
    <row r="483" spans="6:85">
      <c r="F483" s="4">
        <v>2.8</v>
      </c>
      <c r="G483" s="52" t="str" cm="1">
        <f t="array" ref="G483">_xlfn.IFS(F483&gt;=4.5,"Excellent",AND(F483&gt;=3.5,F483&lt;=4.4),"Good",F483&lt;3.5,"Needs Improvement")</f>
        <v>Needs Improvement</v>
      </c>
      <c r="Q483" s="18">
        <v>10.92</v>
      </c>
      <c r="R483" s="56" t="str">
        <f t="shared" si="141"/>
        <v>Yes</v>
      </c>
      <c r="W483" s="18" t="s">
        <v>705</v>
      </c>
      <c r="X483" s="54" t="str">
        <f>VLOOKUP(W483,Employees!$A$1:$B$601,2,FALSE)</f>
        <v>Puspita Ratha</v>
      </c>
      <c r="Z483" s="4" t="s">
        <v>1336</v>
      </c>
      <c r="AA483" s="54" t="str">
        <f t="shared" si="142"/>
        <v>0482</v>
      </c>
      <c r="AC483" s="4" t="s">
        <v>16</v>
      </c>
      <c r="AD483" s="54" t="str">
        <f t="shared" si="143"/>
        <v>Devops</v>
      </c>
      <c r="AF483" s="4" t="s">
        <v>344</v>
      </c>
      <c r="AG483" s="4" t="s">
        <v>16</v>
      </c>
      <c r="AH483" s="4" t="s">
        <v>26</v>
      </c>
      <c r="AI483" s="54" t="str">
        <f t="shared" si="144"/>
        <v>Namita Pattnaik|DevOps|InfySoft Bhubaneswar</v>
      </c>
      <c r="AK483" s="4" t="s">
        <v>344</v>
      </c>
      <c r="AL483" s="38" t="str">
        <f t="shared" si="145"/>
        <v>N.P.</v>
      </c>
      <c r="AQ483" s="4" t="s">
        <v>344</v>
      </c>
      <c r="AR483" s="52" t="str">
        <f t="shared" si="146"/>
        <v>NO</v>
      </c>
      <c r="AW483" s="54">
        <f ca="1">DATEDIF(BI483,TODAY(),"Y")</f>
        <v>2</v>
      </c>
      <c r="AX483" s="54"/>
      <c r="BH483" s="4" t="s">
        <v>1337</v>
      </c>
      <c r="BI483" s="51">
        <f t="shared" si="148"/>
        <v>45447</v>
      </c>
      <c r="BJ483" s="38">
        <f t="shared" ca="1" si="149"/>
        <v>574</v>
      </c>
      <c r="BK483" s="38"/>
      <c r="BL483" s="38" t="str">
        <f t="shared" si="150"/>
        <v>No</v>
      </c>
      <c r="BM483"/>
      <c r="BN483" s="51"/>
      <c r="BP483" s="4" t="s">
        <v>1336</v>
      </c>
      <c r="BQ483" s="4" t="s">
        <v>16</v>
      </c>
      <c r="BR483" s="18" t="s">
        <v>705</v>
      </c>
      <c r="BS483" s="18" t="s">
        <v>3128</v>
      </c>
      <c r="BT483" s="54" t="str">
        <f t="shared" si="147"/>
        <v>Engineering</v>
      </c>
      <c r="BV483" s="4" t="s">
        <v>1336</v>
      </c>
      <c r="BW483" s="4" t="s">
        <v>344</v>
      </c>
      <c r="CC483" s="4" t="s">
        <v>344</v>
      </c>
      <c r="CD483" s="4" t="s">
        <v>335</v>
      </c>
      <c r="CG483" s="54">
        <f>IFERROR(_xlfn.XLOOKUP(Hiring!A483,Hiring!A483:A882,Hiring!B483:B882,,0),"Not Found")</f>
        <v>0</v>
      </c>
    </row>
    <row r="484" spans="6:85">
      <c r="F484" s="3">
        <v>2.5</v>
      </c>
      <c r="G484" s="52" t="str" cm="1">
        <f t="array" ref="G484">_xlfn.IFS(F484&gt;=4.5,"Excellent",AND(F484&gt;=3.5,F484&lt;=4.4),"Good",F484&lt;3.5,"Needs Improvement")</f>
        <v>Needs Improvement</v>
      </c>
      <c r="Q484" s="19">
        <v>6.78</v>
      </c>
      <c r="R484" s="56" t="str">
        <f t="shared" si="141"/>
        <v>Yes</v>
      </c>
      <c r="W484" s="19" t="s">
        <v>705</v>
      </c>
      <c r="X484" s="54" t="str">
        <f>VLOOKUP(W484,Employees!$A$1:$B$601,2,FALSE)</f>
        <v>Puspita Ratha</v>
      </c>
      <c r="Z484" s="3" t="s">
        <v>1338</v>
      </c>
      <c r="AA484" s="54" t="str">
        <f t="shared" si="142"/>
        <v>0483</v>
      </c>
      <c r="AC484" s="3" t="s">
        <v>51</v>
      </c>
      <c r="AD484" s="54" t="str">
        <f t="shared" si="143"/>
        <v>Sales</v>
      </c>
      <c r="AF484" s="3" t="s">
        <v>1251</v>
      </c>
      <c r="AG484" s="3" t="s">
        <v>51</v>
      </c>
      <c r="AH484" s="3" t="s">
        <v>32</v>
      </c>
      <c r="AI484" s="54" t="str">
        <f t="shared" si="144"/>
        <v>Puspita Choudhury|Sales|NilGiri Digitals</v>
      </c>
      <c r="AK484" s="3" t="s">
        <v>1251</v>
      </c>
      <c r="AL484" s="38" t="str">
        <f t="shared" si="145"/>
        <v>P.C.</v>
      </c>
      <c r="AQ484" s="3" t="s">
        <v>1251</v>
      </c>
      <c r="AR484" s="52" t="str">
        <f t="shared" si="146"/>
        <v>NO</v>
      </c>
      <c r="AW484" s="54">
        <f ca="1">DATEDIF(BI484,TODAY(),"Y")</f>
        <v>6</v>
      </c>
      <c r="AX484" s="54"/>
      <c r="BH484" s="3" t="s">
        <v>1052</v>
      </c>
      <c r="BI484" s="51">
        <f t="shared" si="148"/>
        <v>43938</v>
      </c>
      <c r="BJ484" s="38">
        <f t="shared" ca="1" si="149"/>
        <v>1651</v>
      </c>
      <c r="BK484" s="38"/>
      <c r="BL484" s="38" t="str">
        <f t="shared" si="150"/>
        <v>No</v>
      </c>
      <c r="BM484"/>
      <c r="BN484" s="51"/>
      <c r="BP484" s="3" t="s">
        <v>1338</v>
      </c>
      <c r="BQ484" s="3" t="s">
        <v>51</v>
      </c>
      <c r="BR484" s="19" t="s">
        <v>705</v>
      </c>
      <c r="BS484" s="19" t="s">
        <v>3129</v>
      </c>
      <c r="BT484" s="54" t="str">
        <f t="shared" si="147"/>
        <v>Engineering</v>
      </c>
      <c r="BV484" s="3" t="s">
        <v>1338</v>
      </c>
      <c r="BW484" s="3" t="s">
        <v>1251</v>
      </c>
      <c r="CC484" s="3" t="s">
        <v>1251</v>
      </c>
      <c r="CD484" s="3" t="s">
        <v>69</v>
      </c>
      <c r="CG484" s="54">
        <f>IFERROR(_xlfn.XLOOKUP(Hiring!A484,Hiring!A484:A883,Hiring!B484:B883,,0),"Not Found")</f>
        <v>0</v>
      </c>
    </row>
    <row r="485" spans="6:85">
      <c r="F485" s="4">
        <v>4.8</v>
      </c>
      <c r="G485" s="52" t="str" cm="1">
        <f t="array" ref="G485">_xlfn.IFS(F485&gt;=4.5,"Excellent",AND(F485&gt;=3.5,F485&lt;=4.4),"Good",F485&lt;3.5,"Needs Improvement")</f>
        <v>Excellent</v>
      </c>
      <c r="Q485" s="18">
        <v>10.01</v>
      </c>
      <c r="R485" s="56" t="str">
        <f t="shared" si="141"/>
        <v>Yes</v>
      </c>
      <c r="W485" s="18" t="s">
        <v>705</v>
      </c>
      <c r="X485" s="54" t="str">
        <f>VLOOKUP(W485,Employees!$A$1:$B$601,2,FALSE)</f>
        <v>Puspita Ratha</v>
      </c>
      <c r="Z485" s="4" t="s">
        <v>1339</v>
      </c>
      <c r="AA485" s="54" t="str">
        <f t="shared" si="142"/>
        <v>0484</v>
      </c>
      <c r="AC485" s="4" t="s">
        <v>51</v>
      </c>
      <c r="AD485" s="54" t="str">
        <f t="shared" si="143"/>
        <v>Sales</v>
      </c>
      <c r="AF485" s="4" t="s">
        <v>1340</v>
      </c>
      <c r="AG485" s="4" t="s">
        <v>51</v>
      </c>
      <c r="AH485" s="4" t="s">
        <v>172</v>
      </c>
      <c r="AI485" s="54" t="str">
        <f t="shared" si="144"/>
        <v>Chinmaya Mohapatra|Sales|TechNova Solutions</v>
      </c>
      <c r="AK485" s="4" t="s">
        <v>1340</v>
      </c>
      <c r="AL485" s="38" t="str">
        <f t="shared" si="145"/>
        <v>C.M.</v>
      </c>
      <c r="AQ485" s="4" t="s">
        <v>1340</v>
      </c>
      <c r="AR485" s="52" t="str">
        <f t="shared" si="146"/>
        <v>NO</v>
      </c>
      <c r="AW485" s="54">
        <f ca="1">DATEDIF(BI485,TODAY(),"Y")</f>
        <v>5</v>
      </c>
      <c r="AX485" s="54"/>
      <c r="BH485" s="4" t="s">
        <v>830</v>
      </c>
      <c r="BI485" s="51">
        <f t="shared" si="148"/>
        <v>44298</v>
      </c>
      <c r="BJ485" s="38">
        <f t="shared" ca="1" si="149"/>
        <v>1395</v>
      </c>
      <c r="BK485" s="38"/>
      <c r="BL485" s="38" t="str">
        <f t="shared" si="150"/>
        <v>No</v>
      </c>
      <c r="BM485"/>
      <c r="BN485" s="51"/>
      <c r="BP485" s="4" t="s">
        <v>1339</v>
      </c>
      <c r="BQ485" s="4" t="s">
        <v>51</v>
      </c>
      <c r="BR485" s="18" t="s">
        <v>705</v>
      </c>
      <c r="BS485" s="18" t="s">
        <v>3131</v>
      </c>
      <c r="BT485" s="54" t="str">
        <f t="shared" si="147"/>
        <v>Engineering</v>
      </c>
      <c r="BV485" s="4" t="s">
        <v>1339</v>
      </c>
      <c r="BW485" s="4" t="s">
        <v>1340</v>
      </c>
      <c r="CC485" s="4" t="s">
        <v>1340</v>
      </c>
      <c r="CD485" s="4" t="s">
        <v>69</v>
      </c>
      <c r="CG485" s="54">
        <f>IFERROR(_xlfn.XLOOKUP(Hiring!A485,Hiring!A485:A884,Hiring!B485:B884,,0),"Not Found")</f>
        <v>0</v>
      </c>
    </row>
    <row r="486" spans="6:85">
      <c r="F486" s="3">
        <v>1.9</v>
      </c>
      <c r="G486" s="52" t="str" cm="1">
        <f t="array" ref="G486">_xlfn.IFS(F486&gt;=4.5,"Excellent",AND(F486&gt;=3.5,F486&lt;=4.4),"Good",F486&lt;3.5,"Needs Improvement")</f>
        <v>Needs Improvement</v>
      </c>
      <c r="Q486" s="19">
        <v>8.68</v>
      </c>
      <c r="R486" s="56" t="str">
        <f t="shared" si="141"/>
        <v>Yes</v>
      </c>
      <c r="W486" s="19" t="s">
        <v>705</v>
      </c>
      <c r="X486" s="54" t="str">
        <f>VLOOKUP(W486,Employees!$A$1:$B$601,2,FALSE)</f>
        <v>Puspita Ratha</v>
      </c>
      <c r="Z486" s="3" t="s">
        <v>1341</v>
      </c>
      <c r="AA486" s="54" t="str">
        <f t="shared" si="142"/>
        <v>0485</v>
      </c>
      <c r="AC486" s="3" t="s">
        <v>493</v>
      </c>
      <c r="AD486" s="54" t="str">
        <f t="shared" si="143"/>
        <v>Marketing</v>
      </c>
      <c r="AF486" s="3" t="s">
        <v>193</v>
      </c>
      <c r="AG486" s="3" t="s">
        <v>493</v>
      </c>
      <c r="AH486" s="3" t="s">
        <v>46</v>
      </c>
      <c r="AI486" s="54" t="str">
        <f t="shared" si="144"/>
        <v>Sangita Ratha|marketing|SambalpurNet</v>
      </c>
      <c r="AK486" s="3" t="s">
        <v>193</v>
      </c>
      <c r="AL486" s="38" t="str">
        <f t="shared" si="145"/>
        <v>S.R.</v>
      </c>
      <c r="AQ486" s="3" t="s">
        <v>193</v>
      </c>
      <c r="AR486" s="52" t="str">
        <f t="shared" si="146"/>
        <v>NO</v>
      </c>
      <c r="AW486" s="54">
        <f ca="1">DATEDIF(BI486,TODAY(),"Y")</f>
        <v>6</v>
      </c>
      <c r="AX486" s="54"/>
      <c r="BH486" s="3" t="s">
        <v>1342</v>
      </c>
      <c r="BI486" s="51">
        <f t="shared" si="148"/>
        <v>43770</v>
      </c>
      <c r="BJ486" s="38">
        <f t="shared" ca="1" si="149"/>
        <v>1771</v>
      </c>
      <c r="BK486" s="38"/>
      <c r="BL486" s="38" t="str">
        <f t="shared" si="150"/>
        <v>No</v>
      </c>
      <c r="BM486"/>
      <c r="BN486" s="51"/>
      <c r="BP486" s="3" t="s">
        <v>1341</v>
      </c>
      <c r="BQ486" s="3" t="s">
        <v>493</v>
      </c>
      <c r="BR486" s="19" t="s">
        <v>705</v>
      </c>
      <c r="BS486" s="19" t="s">
        <v>3133</v>
      </c>
      <c r="BT486" s="54" t="str">
        <f t="shared" si="147"/>
        <v>Engineering</v>
      </c>
      <c r="BV486" s="3" t="s">
        <v>1341</v>
      </c>
      <c r="BW486" s="3" t="s">
        <v>193</v>
      </c>
      <c r="CC486" s="3" t="s">
        <v>193</v>
      </c>
      <c r="CD486" s="3" t="s">
        <v>119</v>
      </c>
      <c r="CG486" s="54">
        <f>IFERROR(_xlfn.XLOOKUP(Hiring!A486,Hiring!A486:A885,Hiring!B486:B885,,0),"Not Found")</f>
        <v>0</v>
      </c>
    </row>
    <row r="487" spans="6:85">
      <c r="F487" s="4">
        <v>3.1</v>
      </c>
      <c r="G487" s="52" t="str" cm="1">
        <f t="array" ref="G487">_xlfn.IFS(F487&gt;=4.5,"Excellent",AND(F487&gt;=3.5,F487&lt;=4.4),"Good",F487&lt;3.5,"Needs Improvement")</f>
        <v>Needs Improvement</v>
      </c>
      <c r="Q487" s="18">
        <v>7.3</v>
      </c>
      <c r="R487" s="56" t="str">
        <f t="shared" si="141"/>
        <v>Yes</v>
      </c>
      <c r="W487" s="18" t="s">
        <v>705</v>
      </c>
      <c r="X487" s="54" t="str">
        <f>VLOOKUP(W487,Employees!$A$1:$B$601,2,FALSE)</f>
        <v>Puspita Ratha</v>
      </c>
      <c r="Z487" s="4" t="s">
        <v>1343</v>
      </c>
      <c r="AA487" s="54" t="str">
        <f t="shared" si="142"/>
        <v>0486</v>
      </c>
      <c r="AC487" s="4" t="s">
        <v>558</v>
      </c>
      <c r="AD487" s="54" t="str">
        <f t="shared" si="143"/>
        <v>Finance</v>
      </c>
      <c r="AF487" s="4" t="s">
        <v>1344</v>
      </c>
      <c r="AG487" s="4" t="s">
        <v>558</v>
      </c>
      <c r="AH487" s="4" t="s">
        <v>214</v>
      </c>
      <c r="AI487" s="54" t="str">
        <f t="shared" si="144"/>
        <v>Rahul Biswal|finance|ZeroOneSystems</v>
      </c>
      <c r="AK487" s="4" t="s">
        <v>1344</v>
      </c>
      <c r="AL487" s="38" t="str">
        <f t="shared" si="145"/>
        <v>R.B.</v>
      </c>
      <c r="AQ487" s="4" t="s">
        <v>1344</v>
      </c>
      <c r="AR487" s="52" t="str">
        <f t="shared" si="146"/>
        <v>NO</v>
      </c>
      <c r="AW487" s="54">
        <f ca="1">DATEDIF(BI487,TODAY(),"Y")</f>
        <v>3</v>
      </c>
      <c r="AX487" s="54"/>
      <c r="BH487" s="4" t="s">
        <v>1345</v>
      </c>
      <c r="BI487" s="51">
        <f t="shared" si="148"/>
        <v>45003</v>
      </c>
      <c r="BJ487" s="38">
        <f t="shared" ca="1" si="149"/>
        <v>890</v>
      </c>
      <c r="BK487" s="38"/>
      <c r="BL487" s="38" t="str">
        <f t="shared" si="150"/>
        <v>Q1</v>
      </c>
      <c r="BM487"/>
      <c r="BN487" s="51"/>
      <c r="BP487" s="4" t="s">
        <v>1343</v>
      </c>
      <c r="BQ487" s="4" t="s">
        <v>558</v>
      </c>
      <c r="BR487" s="18" t="s">
        <v>705</v>
      </c>
      <c r="BS487" s="18" t="s">
        <v>3134</v>
      </c>
      <c r="BT487" s="54" t="str">
        <f t="shared" si="147"/>
        <v>Engineering</v>
      </c>
      <c r="BV487" s="4" t="s">
        <v>1343</v>
      </c>
      <c r="BW487" s="4" t="s">
        <v>1344</v>
      </c>
      <c r="CC487" s="4" t="s">
        <v>1344</v>
      </c>
      <c r="CD487" s="4" t="s">
        <v>229</v>
      </c>
      <c r="CG487" s="54">
        <f>IFERROR(_xlfn.XLOOKUP(Hiring!A487,Hiring!A487:A886,Hiring!B487:B886,,0),"Not Found")</f>
        <v>0</v>
      </c>
    </row>
    <row r="488" spans="6:85">
      <c r="F488" s="3">
        <v>2.1</v>
      </c>
      <c r="G488" s="52" t="str" cm="1">
        <f t="array" ref="G488">_xlfn.IFS(F488&gt;=4.5,"Excellent",AND(F488&gt;=3.5,F488&lt;=4.4),"Good",F488&lt;3.5,"Needs Improvement")</f>
        <v>Needs Improvement</v>
      </c>
      <c r="Q488" s="19">
        <v>8.24</v>
      </c>
      <c r="R488" s="56" t="str">
        <f t="shared" si="141"/>
        <v>Yes</v>
      </c>
      <c r="W488" s="19" t="s">
        <v>705</v>
      </c>
      <c r="X488" s="54" t="str">
        <f>VLOOKUP(W488,Employees!$A$1:$B$601,2,FALSE)</f>
        <v>Puspita Ratha</v>
      </c>
      <c r="Z488" s="3" t="s">
        <v>1346</v>
      </c>
      <c r="AA488" s="54" t="str">
        <f t="shared" si="142"/>
        <v>0487</v>
      </c>
      <c r="AC488" s="3" t="s">
        <v>118</v>
      </c>
      <c r="AD488" s="54" t="str">
        <f t="shared" si="143"/>
        <v>Marketing</v>
      </c>
      <c r="AF488" s="3" t="s">
        <v>1347</v>
      </c>
      <c r="AG488" s="3" t="s">
        <v>118</v>
      </c>
      <c r="AH488" s="3" t="s">
        <v>46</v>
      </c>
      <c r="AI488" s="54" t="str">
        <f t="shared" si="144"/>
        <v>Prasant Mohapatra|Marketing|SambalpurNet</v>
      </c>
      <c r="AK488" s="3" t="s">
        <v>1347</v>
      </c>
      <c r="AL488" s="38" t="str">
        <f t="shared" si="145"/>
        <v>P.M.</v>
      </c>
      <c r="AQ488" s="3" t="s">
        <v>1347</v>
      </c>
      <c r="AR488" s="52" t="str">
        <f t="shared" si="146"/>
        <v>NO</v>
      </c>
      <c r="AW488" s="54">
        <f ca="1">DATEDIF(BI488,TODAY(),"Y")</f>
        <v>4</v>
      </c>
      <c r="AX488" s="54"/>
      <c r="BH488" s="3" t="s">
        <v>1348</v>
      </c>
      <c r="BI488" s="51">
        <f t="shared" si="148"/>
        <v>44677</v>
      </c>
      <c r="BJ488" s="38">
        <f t="shared" ca="1" si="149"/>
        <v>1124</v>
      </c>
      <c r="BK488" s="38"/>
      <c r="BL488" s="38" t="str">
        <f t="shared" si="150"/>
        <v>No</v>
      </c>
      <c r="BM488"/>
      <c r="BN488" s="51"/>
      <c r="BP488" s="3" t="s">
        <v>1346</v>
      </c>
      <c r="BQ488" s="3" t="s">
        <v>118</v>
      </c>
      <c r="BR488" s="19" t="s">
        <v>705</v>
      </c>
      <c r="BS488" s="19" t="s">
        <v>3135</v>
      </c>
      <c r="BT488" s="54" t="str">
        <f t="shared" si="147"/>
        <v>Engineering</v>
      </c>
      <c r="BV488" s="3" t="s">
        <v>1346</v>
      </c>
      <c r="BW488" s="3" t="s">
        <v>1347</v>
      </c>
      <c r="CC488" s="3" t="s">
        <v>1347</v>
      </c>
      <c r="CD488" s="3" t="s">
        <v>254</v>
      </c>
      <c r="CG488" s="54">
        <f>IFERROR(_xlfn.XLOOKUP(Hiring!A488,Hiring!A488:A887,Hiring!B488:B887,,0),"Not Found")</f>
        <v>0</v>
      </c>
    </row>
    <row r="489" spans="6:85">
      <c r="F489" s="4">
        <v>4.0999999999999996</v>
      </c>
      <c r="G489" s="52" t="str" cm="1">
        <f t="array" ref="G489">_xlfn.IFS(F489&gt;=4.5,"Excellent",AND(F489&gt;=3.5,F489&lt;=4.4),"Good",F489&lt;3.5,"Needs Improvement")</f>
        <v>Good</v>
      </c>
      <c r="Q489" s="18">
        <v>8.49</v>
      </c>
      <c r="R489" s="56" t="str">
        <f t="shared" si="141"/>
        <v>Yes</v>
      </c>
      <c r="W489" s="18" t="s">
        <v>705</v>
      </c>
      <c r="X489" s="54" t="str">
        <f>VLOOKUP(W489,Employees!$A$1:$B$601,2,FALSE)</f>
        <v>Puspita Ratha</v>
      </c>
      <c r="Z489" s="4" t="s">
        <v>1349</v>
      </c>
      <c r="AA489" s="54" t="str">
        <f t="shared" si="142"/>
        <v>0488</v>
      </c>
      <c r="AC489" s="4" t="s">
        <v>16</v>
      </c>
      <c r="AD489" s="54" t="str">
        <f t="shared" si="143"/>
        <v>Devops</v>
      </c>
      <c r="AF489" s="4" t="s">
        <v>1257</v>
      </c>
      <c r="AG489" s="4" t="s">
        <v>16</v>
      </c>
      <c r="AH489" s="4" t="s">
        <v>70</v>
      </c>
      <c r="AI489" s="54" t="str">
        <f t="shared" si="144"/>
        <v>Puspita Dhal|DevOps|OdishaCode Labs</v>
      </c>
      <c r="AK489" s="4" t="s">
        <v>1257</v>
      </c>
      <c r="AL489" s="38" t="str">
        <f t="shared" si="145"/>
        <v>P.D.</v>
      </c>
      <c r="AQ489" s="4" t="s">
        <v>1257</v>
      </c>
      <c r="AR489" s="52" t="str">
        <f t="shared" si="146"/>
        <v>NO</v>
      </c>
      <c r="AW489" s="54">
        <f ca="1">DATEDIF(BI489,TODAY(),"Y")</f>
        <v>2</v>
      </c>
      <c r="AX489" s="54"/>
      <c r="BH489" s="4" t="s">
        <v>1329</v>
      </c>
      <c r="BI489" s="51">
        <f t="shared" si="148"/>
        <v>45252</v>
      </c>
      <c r="BJ489" s="38">
        <f t="shared" ca="1" si="149"/>
        <v>713</v>
      </c>
      <c r="BK489" s="38"/>
      <c r="BL489" s="38" t="str">
        <f t="shared" si="150"/>
        <v>No</v>
      </c>
      <c r="BM489"/>
      <c r="BN489" s="51"/>
      <c r="BP489" s="4" t="s">
        <v>1349</v>
      </c>
      <c r="BQ489" s="4" t="s">
        <v>16</v>
      </c>
      <c r="BR489" s="18" t="s">
        <v>705</v>
      </c>
      <c r="BS489" s="18" t="s">
        <v>3136</v>
      </c>
      <c r="BT489" s="54" t="str">
        <f t="shared" si="147"/>
        <v>Engineering</v>
      </c>
      <c r="BV489" s="4" t="s">
        <v>1349</v>
      </c>
      <c r="BW489" s="4" t="s">
        <v>1257</v>
      </c>
      <c r="CC489" s="4" t="s">
        <v>1257</v>
      </c>
      <c r="CD489" s="4" t="s">
        <v>17</v>
      </c>
      <c r="CG489" s="54">
        <f>IFERROR(_xlfn.XLOOKUP(Hiring!A489,Hiring!A489:A888,Hiring!B489:B888,,0),"Not Found")</f>
        <v>0</v>
      </c>
    </row>
    <row r="490" spans="6:85">
      <c r="F490" s="3">
        <v>3.7</v>
      </c>
      <c r="G490" s="52" t="str" cm="1">
        <f t="array" ref="G490">_xlfn.IFS(F490&gt;=4.5,"Excellent",AND(F490&gt;=3.5,F490&lt;=4.4),"Good",F490&lt;3.5,"Needs Improvement")</f>
        <v>Good</v>
      </c>
      <c r="Q490" s="19">
        <v>8.1300000000000008</v>
      </c>
      <c r="R490" s="56" t="str">
        <f t="shared" si="141"/>
        <v>Yes</v>
      </c>
      <c r="W490" s="19" t="s">
        <v>705</v>
      </c>
      <c r="X490" s="54" t="str">
        <f>VLOOKUP(W490,Employees!$A$1:$B$601,2,FALSE)</f>
        <v>Puspita Ratha</v>
      </c>
      <c r="Z490" s="3" t="s">
        <v>1350</v>
      </c>
      <c r="AA490" s="54" t="str">
        <f t="shared" si="142"/>
        <v>0489</v>
      </c>
      <c r="AC490" s="3" t="s">
        <v>84</v>
      </c>
      <c r="AD490" s="54" t="str">
        <f t="shared" si="143"/>
        <v>Hr</v>
      </c>
      <c r="AF490" s="3" t="s">
        <v>1351</v>
      </c>
      <c r="AG490" s="3" t="s">
        <v>84</v>
      </c>
      <c r="AH490" s="3" t="s">
        <v>214</v>
      </c>
      <c r="AI490" s="54" t="str">
        <f t="shared" si="144"/>
        <v>Sangita Behura|HR|ZeroOneSystems</v>
      </c>
      <c r="AK490" s="3" t="s">
        <v>1351</v>
      </c>
      <c r="AL490" s="38" t="str">
        <f t="shared" si="145"/>
        <v>S.B.</v>
      </c>
      <c r="AQ490" s="3" t="s">
        <v>1351</v>
      </c>
      <c r="AR490" s="52" t="str">
        <f t="shared" si="146"/>
        <v>NO</v>
      </c>
      <c r="AW490" s="54">
        <f ca="1">DATEDIF(BI490,TODAY(),"Y")</f>
        <v>6</v>
      </c>
      <c r="AX490" s="54"/>
      <c r="BH490" s="3" t="s">
        <v>1352</v>
      </c>
      <c r="BI490" s="51">
        <f t="shared" si="148"/>
        <v>43882</v>
      </c>
      <c r="BJ490" s="38">
        <f t="shared" ca="1" si="149"/>
        <v>1691</v>
      </c>
      <c r="BK490" s="38"/>
      <c r="BL490" s="38" t="str">
        <f t="shared" si="150"/>
        <v>Q1</v>
      </c>
      <c r="BM490"/>
      <c r="BN490" s="51"/>
      <c r="BP490" s="3" t="s">
        <v>1350</v>
      </c>
      <c r="BQ490" s="3" t="s">
        <v>84</v>
      </c>
      <c r="BR490" s="19" t="s">
        <v>705</v>
      </c>
      <c r="BS490" s="19" t="s">
        <v>3138</v>
      </c>
      <c r="BT490" s="54" t="str">
        <f t="shared" si="147"/>
        <v>Engineering</v>
      </c>
      <c r="BV490" s="3" t="s">
        <v>1350</v>
      </c>
      <c r="BW490" s="3" t="s">
        <v>1351</v>
      </c>
      <c r="CC490" s="3" t="s">
        <v>1351</v>
      </c>
      <c r="CD490" s="3" t="s">
        <v>85</v>
      </c>
      <c r="CG490" s="54">
        <f>IFERROR(_xlfn.XLOOKUP(Hiring!A490,Hiring!A490:A889,Hiring!B490:B889,,0),"Not Found")</f>
        <v>0</v>
      </c>
    </row>
    <row r="491" spans="6:85">
      <c r="F491" s="4">
        <v>4.7</v>
      </c>
      <c r="G491" s="52" t="str" cm="1">
        <f t="array" ref="G491">_xlfn.IFS(F491&gt;=4.5,"Excellent",AND(F491&gt;=3.5,F491&lt;=4.4),"Good",F491&lt;3.5,"Needs Improvement")</f>
        <v>Excellent</v>
      </c>
      <c r="Q491" s="18">
        <v>7.98</v>
      </c>
      <c r="R491" s="56" t="str">
        <f t="shared" si="141"/>
        <v>Yes</v>
      </c>
      <c r="W491" s="18" t="s">
        <v>705</v>
      </c>
      <c r="X491" s="54" t="str">
        <f>VLOOKUP(W491,Employees!$A$1:$B$601,2,FALSE)</f>
        <v>Puspita Ratha</v>
      </c>
      <c r="Z491" s="4" t="s">
        <v>1353</v>
      </c>
      <c r="AA491" s="54" t="str">
        <f t="shared" si="142"/>
        <v>0490</v>
      </c>
      <c r="AC491" s="4" t="s">
        <v>63</v>
      </c>
      <c r="AD491" s="54" t="str">
        <f t="shared" si="143"/>
        <v>Product</v>
      </c>
      <c r="AF491" s="4" t="s">
        <v>137</v>
      </c>
      <c r="AG491" s="4" t="s">
        <v>63</v>
      </c>
      <c r="AH491" s="4" t="s">
        <v>172</v>
      </c>
      <c r="AI491" s="54" t="str">
        <f t="shared" si="144"/>
        <v>Alka Padhi|Product|TechNova Solutions</v>
      </c>
      <c r="AK491" s="4" t="s">
        <v>137</v>
      </c>
      <c r="AL491" s="38" t="str">
        <f t="shared" si="145"/>
        <v>A.P.</v>
      </c>
      <c r="AQ491" s="4" t="s">
        <v>137</v>
      </c>
      <c r="AR491" s="52" t="str">
        <f t="shared" si="146"/>
        <v>NO</v>
      </c>
      <c r="AW491" s="54">
        <f ca="1">DATEDIF(BI491,TODAY(),"Y")</f>
        <v>6</v>
      </c>
      <c r="AX491" s="54"/>
      <c r="BH491" s="4" t="s">
        <v>1354</v>
      </c>
      <c r="BI491" s="51">
        <f t="shared" si="148"/>
        <v>44020</v>
      </c>
      <c r="BJ491" s="38">
        <f t="shared" ca="1" si="149"/>
        <v>1593</v>
      </c>
      <c r="BK491" s="38"/>
      <c r="BL491" s="38" t="str">
        <f t="shared" si="150"/>
        <v>No</v>
      </c>
      <c r="BM491"/>
      <c r="BN491" s="51"/>
      <c r="BP491" s="4" t="s">
        <v>1353</v>
      </c>
      <c r="BQ491" s="4" t="s">
        <v>63</v>
      </c>
      <c r="BR491" s="18" t="s">
        <v>705</v>
      </c>
      <c r="BS491" s="18" t="s">
        <v>3139</v>
      </c>
      <c r="BT491" s="54" t="str">
        <f t="shared" si="147"/>
        <v>Engineering</v>
      </c>
      <c r="BV491" s="4" t="s">
        <v>1353</v>
      </c>
      <c r="BW491" s="4" t="s">
        <v>137</v>
      </c>
      <c r="CC491" s="4" t="s">
        <v>137</v>
      </c>
      <c r="CD491" s="4" t="s">
        <v>64</v>
      </c>
      <c r="CG491" s="54">
        <f>IFERROR(_xlfn.XLOOKUP(Hiring!A491,Hiring!A491:A890,Hiring!B491:B890,,0),"Not Found")</f>
        <v>0</v>
      </c>
    </row>
    <row r="492" spans="6:85">
      <c r="F492" s="3">
        <v>3.6</v>
      </c>
      <c r="G492" s="52" t="str" cm="1">
        <f t="array" ref="G492">_xlfn.IFS(F492&gt;=4.5,"Excellent",AND(F492&gt;=3.5,F492&lt;=4.4),"Good",F492&lt;3.5,"Needs Improvement")</f>
        <v>Good</v>
      </c>
      <c r="Q492" s="19">
        <v>10.73</v>
      </c>
      <c r="R492" s="56" t="str">
        <f t="shared" si="141"/>
        <v>Yes</v>
      </c>
      <c r="W492" s="19" t="s">
        <v>705</v>
      </c>
      <c r="X492" s="54" t="str">
        <f>VLOOKUP(W492,Employees!$A$1:$B$601,2,FALSE)</f>
        <v>Puspita Ratha</v>
      </c>
      <c r="Z492" s="3" t="s">
        <v>1355</v>
      </c>
      <c r="AA492" s="54" t="str">
        <f t="shared" si="142"/>
        <v>0491</v>
      </c>
      <c r="AC492" s="3" t="s">
        <v>51</v>
      </c>
      <c r="AD492" s="54" t="str">
        <f t="shared" si="143"/>
        <v>Sales</v>
      </c>
      <c r="AF492" s="3" t="s">
        <v>823</v>
      </c>
      <c r="AG492" s="3" t="s">
        <v>51</v>
      </c>
      <c r="AH492" s="3" t="s">
        <v>65</v>
      </c>
      <c r="AI492" s="54" t="str">
        <f t="shared" si="144"/>
        <v>Chinmaya Senapati|Sales|TributeAI</v>
      </c>
      <c r="AK492" s="3" t="s">
        <v>823</v>
      </c>
      <c r="AL492" s="38" t="str">
        <f t="shared" si="145"/>
        <v>C.S.</v>
      </c>
      <c r="AQ492" s="3" t="s">
        <v>823</v>
      </c>
      <c r="AR492" s="52" t="str">
        <f t="shared" si="146"/>
        <v>NO</v>
      </c>
      <c r="AW492" s="54">
        <f ca="1">DATEDIF(BI492,TODAY(),"Y")</f>
        <v>4</v>
      </c>
      <c r="AX492" s="54"/>
      <c r="BH492" s="3" t="s">
        <v>1356</v>
      </c>
      <c r="BI492" s="51">
        <f t="shared" si="148"/>
        <v>44542</v>
      </c>
      <c r="BJ492" s="38">
        <f t="shared" ca="1" si="149"/>
        <v>1220</v>
      </c>
      <c r="BK492" s="38"/>
      <c r="BL492" s="38" t="str">
        <f t="shared" si="150"/>
        <v>No</v>
      </c>
      <c r="BM492"/>
      <c r="BN492" s="51"/>
      <c r="BP492" s="3" t="s">
        <v>1355</v>
      </c>
      <c r="BQ492" s="3" t="s">
        <v>51</v>
      </c>
      <c r="BR492" s="19" t="s">
        <v>705</v>
      </c>
      <c r="BS492" s="19" t="s">
        <v>3140</v>
      </c>
      <c r="BT492" s="54" t="str">
        <f t="shared" si="147"/>
        <v>Engineering</v>
      </c>
      <c r="BV492" s="3" t="s">
        <v>1355</v>
      </c>
      <c r="BW492" s="3" t="s">
        <v>823</v>
      </c>
      <c r="CC492" s="3" t="s">
        <v>823</v>
      </c>
      <c r="CD492" s="3" t="s">
        <v>105</v>
      </c>
      <c r="CG492" s="54">
        <f>IFERROR(_xlfn.XLOOKUP(Hiring!A492,Hiring!A492:A891,Hiring!B492:B891,,0),"Not Found")</f>
        <v>0</v>
      </c>
    </row>
    <row r="493" spans="6:85">
      <c r="F493" s="4">
        <v>3.8</v>
      </c>
      <c r="G493" s="52" t="str" cm="1">
        <f t="array" ref="G493">_xlfn.IFS(F493&gt;=4.5,"Excellent",AND(F493&gt;=3.5,F493&lt;=4.4),"Good",F493&lt;3.5,"Needs Improvement")</f>
        <v>Good</v>
      </c>
      <c r="Q493" s="18">
        <v>11.31</v>
      </c>
      <c r="R493" s="56" t="str">
        <f t="shared" si="141"/>
        <v>Yes</v>
      </c>
      <c r="W493" s="18" t="s">
        <v>705</v>
      </c>
      <c r="X493" s="54" t="str">
        <f>VLOOKUP(W493,Employees!$A$1:$B$601,2,FALSE)</f>
        <v>Puspita Ratha</v>
      </c>
      <c r="Z493" s="4" t="s">
        <v>1357</v>
      </c>
      <c r="AA493" s="54" t="str">
        <f t="shared" si="142"/>
        <v>0492</v>
      </c>
      <c r="AC493" s="4" t="s">
        <v>84</v>
      </c>
      <c r="AD493" s="54" t="str">
        <f t="shared" si="143"/>
        <v>Hr</v>
      </c>
      <c r="AF493" s="4" t="s">
        <v>576</v>
      </c>
      <c r="AG493" s="4" t="s">
        <v>84</v>
      </c>
      <c r="AH493" s="4" t="s">
        <v>32</v>
      </c>
      <c r="AI493" s="54" t="str">
        <f t="shared" si="144"/>
        <v>Prasant Samal|HR|NilGiri Digitals</v>
      </c>
      <c r="AK493" s="4" t="s">
        <v>576</v>
      </c>
      <c r="AL493" s="38" t="str">
        <f t="shared" si="145"/>
        <v>P.S.</v>
      </c>
      <c r="AQ493" s="4" t="s">
        <v>576</v>
      </c>
      <c r="AR493" s="52" t="str">
        <f t="shared" si="146"/>
        <v>NO</v>
      </c>
      <c r="AW493" s="54">
        <f ca="1">DATEDIF(BI493,TODAY(),"Y")</f>
        <v>6</v>
      </c>
      <c r="AX493" s="54"/>
      <c r="BH493" s="4" t="s">
        <v>1358</v>
      </c>
      <c r="BI493" s="51">
        <f t="shared" si="148"/>
        <v>43939</v>
      </c>
      <c r="BJ493" s="38">
        <f t="shared" ca="1" si="149"/>
        <v>1650</v>
      </c>
      <c r="BK493" s="38"/>
      <c r="BL493" s="38" t="str">
        <f t="shared" si="150"/>
        <v>No</v>
      </c>
      <c r="BM493"/>
      <c r="BN493" s="51"/>
      <c r="BP493" s="4" t="s">
        <v>1357</v>
      </c>
      <c r="BQ493" s="4" t="s">
        <v>84</v>
      </c>
      <c r="BR493" s="18" t="s">
        <v>705</v>
      </c>
      <c r="BS493" s="18" t="s">
        <v>3141</v>
      </c>
      <c r="BT493" s="54" t="str">
        <f t="shared" si="147"/>
        <v>Engineering</v>
      </c>
      <c r="BV493" s="4" t="s">
        <v>1357</v>
      </c>
      <c r="BW493" s="4" t="s">
        <v>576</v>
      </c>
      <c r="CC493" s="4" t="s">
        <v>576</v>
      </c>
      <c r="CD493" s="4" t="s">
        <v>204</v>
      </c>
      <c r="CG493" s="54">
        <f>IFERROR(_xlfn.XLOOKUP(Hiring!A493,Hiring!A493:A892,Hiring!B493:B892,,0),"Not Found")</f>
        <v>0</v>
      </c>
    </row>
    <row r="494" spans="6:85">
      <c r="F494" s="3">
        <v>2.8</v>
      </c>
      <c r="G494" s="52" t="str" cm="1">
        <f t="array" ref="G494">_xlfn.IFS(F494&gt;=4.5,"Excellent",AND(F494&gt;=3.5,F494&lt;=4.4),"Good",F494&lt;3.5,"Needs Improvement")</f>
        <v>Needs Improvement</v>
      </c>
      <c r="Q494" s="19">
        <v>8.06</v>
      </c>
      <c r="R494" s="56" t="str">
        <f t="shared" si="141"/>
        <v>Yes</v>
      </c>
      <c r="W494" s="19" t="s">
        <v>705</v>
      </c>
      <c r="X494" s="54" t="str">
        <f>VLOOKUP(W494,Employees!$A$1:$B$601,2,FALSE)</f>
        <v>Puspita Ratha</v>
      </c>
      <c r="Z494" s="3" t="s">
        <v>1359</v>
      </c>
      <c r="AA494" s="54" t="str">
        <f t="shared" si="142"/>
        <v>0493</v>
      </c>
      <c r="AC494" s="3" t="s">
        <v>63</v>
      </c>
      <c r="AD494" s="54" t="str">
        <f t="shared" si="143"/>
        <v>Product</v>
      </c>
      <c r="AF494" s="3" t="s">
        <v>1360</v>
      </c>
      <c r="AG494" s="3" t="s">
        <v>63</v>
      </c>
      <c r="AH494" s="3" t="s">
        <v>18</v>
      </c>
      <c r="AI494" s="54" t="str">
        <f t="shared" si="144"/>
        <v>Alka Dhal|Product|CoastalDev Studio</v>
      </c>
      <c r="AK494" s="3" t="s">
        <v>1360</v>
      </c>
      <c r="AL494" s="38" t="str">
        <f t="shared" si="145"/>
        <v>A.D.</v>
      </c>
      <c r="AQ494" s="3" t="s">
        <v>1360</v>
      </c>
      <c r="AR494" s="52" t="str">
        <f t="shared" si="146"/>
        <v>NO</v>
      </c>
      <c r="AW494" s="54">
        <f ca="1">DATEDIF(BI494,TODAY(),"Y")</f>
        <v>7</v>
      </c>
      <c r="AX494" s="54"/>
      <c r="BH494" s="3" t="s">
        <v>1361</v>
      </c>
      <c r="BI494" s="51">
        <f t="shared" si="148"/>
        <v>43489</v>
      </c>
      <c r="BJ494" s="38">
        <f t="shared" ca="1" si="149"/>
        <v>1972</v>
      </c>
      <c r="BK494" s="38"/>
      <c r="BL494" s="38" t="str">
        <f t="shared" si="150"/>
        <v>Q1</v>
      </c>
      <c r="BM494"/>
      <c r="BN494" s="51"/>
      <c r="BP494" s="3" t="s">
        <v>1359</v>
      </c>
      <c r="BQ494" s="3" t="s">
        <v>63</v>
      </c>
      <c r="BR494" s="19" t="s">
        <v>705</v>
      </c>
      <c r="BS494" s="19" t="s">
        <v>3142</v>
      </c>
      <c r="BT494" s="54" t="str">
        <f t="shared" si="147"/>
        <v>Engineering</v>
      </c>
      <c r="BV494" s="3" t="s">
        <v>1359</v>
      </c>
      <c r="BW494" s="3" t="s">
        <v>1360</v>
      </c>
      <c r="CC494" s="3" t="s">
        <v>1360</v>
      </c>
      <c r="CD494" s="3" t="s">
        <v>64</v>
      </c>
      <c r="CG494" s="54">
        <f>IFERROR(_xlfn.XLOOKUP(Hiring!A494,Hiring!A494:A893,Hiring!B494:B893,,0),"Not Found")</f>
        <v>0</v>
      </c>
    </row>
    <row r="495" spans="6:85">
      <c r="F495" s="4">
        <v>4.4000000000000004</v>
      </c>
      <c r="G495" s="52" t="str" cm="1">
        <f t="array" ref="G495">_xlfn.IFS(F495&gt;=4.5,"Excellent",AND(F495&gt;=3.5,F495&lt;=4.4),"Good",F495&lt;3.5,"Needs Improvement")</f>
        <v>Good</v>
      </c>
      <c r="Q495" s="18">
        <v>8.1199999999999992</v>
      </c>
      <c r="R495" s="56" t="str">
        <f t="shared" si="141"/>
        <v>Yes</v>
      </c>
      <c r="W495" s="18" t="s">
        <v>705</v>
      </c>
      <c r="X495" s="54" t="str">
        <f>VLOOKUP(W495,Employees!$A$1:$B$601,2,FALSE)</f>
        <v>Puspita Ratha</v>
      </c>
      <c r="Z495" s="4" t="s">
        <v>1362</v>
      </c>
      <c r="AA495" s="54" t="str">
        <f t="shared" si="142"/>
        <v>0494</v>
      </c>
      <c r="AC495" s="4" t="s">
        <v>39</v>
      </c>
      <c r="AD495" s="54" t="str">
        <f t="shared" si="143"/>
        <v>Engineering</v>
      </c>
      <c r="AF495" s="4" t="s">
        <v>1363</v>
      </c>
      <c r="AG495" s="4" t="s">
        <v>39</v>
      </c>
      <c r="AH495" s="4" t="s">
        <v>18</v>
      </c>
      <c r="AI495" s="54" t="str">
        <f t="shared" si="144"/>
        <v>Alka Mohapatra|Engineering|CoastalDev Studio</v>
      </c>
      <c r="AK495" s="4" t="s">
        <v>1363</v>
      </c>
      <c r="AL495" s="38" t="str">
        <f t="shared" si="145"/>
        <v>A.M.</v>
      </c>
      <c r="AQ495" s="4" t="s">
        <v>1363</v>
      </c>
      <c r="AR495" s="52" t="str">
        <f t="shared" si="146"/>
        <v>NO</v>
      </c>
      <c r="AW495" s="54">
        <f ca="1">DATEDIF(BI495,TODAY(),"Y")</f>
        <v>4</v>
      </c>
      <c r="AX495" s="54"/>
      <c r="BH495" s="4" t="s">
        <v>1364</v>
      </c>
      <c r="BI495" s="51">
        <f t="shared" si="148"/>
        <v>44562</v>
      </c>
      <c r="BJ495" s="38">
        <f t="shared" ca="1" si="149"/>
        <v>1205</v>
      </c>
      <c r="BK495" s="38"/>
      <c r="BL495" s="38" t="str">
        <f t="shared" si="150"/>
        <v>Q1</v>
      </c>
      <c r="BM495"/>
      <c r="BN495" s="51"/>
      <c r="BP495" s="4" t="s">
        <v>1362</v>
      </c>
      <c r="BQ495" s="4" t="s">
        <v>39</v>
      </c>
      <c r="BR495" s="18" t="s">
        <v>705</v>
      </c>
      <c r="BS495" s="18" t="s">
        <v>3144</v>
      </c>
      <c r="BT495" s="54" t="str">
        <f t="shared" si="147"/>
        <v>Engineering</v>
      </c>
      <c r="BV495" s="4" t="s">
        <v>1362</v>
      </c>
      <c r="BW495" s="4" t="s">
        <v>1363</v>
      </c>
      <c r="CC495" s="4" t="s">
        <v>1363</v>
      </c>
      <c r="CD495" s="4" t="s">
        <v>109</v>
      </c>
      <c r="CG495" s="54">
        <f>IFERROR(_xlfn.XLOOKUP(Hiring!A495,Hiring!A495:A894,Hiring!B495:B894,,0),"Not Found")</f>
        <v>0</v>
      </c>
    </row>
    <row r="496" spans="6:85">
      <c r="F496" s="3">
        <v>3.6</v>
      </c>
      <c r="G496" s="52" t="str" cm="1">
        <f t="array" ref="G496">_xlfn.IFS(F496&gt;=4.5,"Excellent",AND(F496&gt;=3.5,F496&lt;=4.4),"Good",F496&lt;3.5,"Needs Improvement")</f>
        <v>Good</v>
      </c>
      <c r="Q496" s="19">
        <v>8.5299999999999994</v>
      </c>
      <c r="R496" s="56" t="str">
        <f t="shared" si="141"/>
        <v>Yes</v>
      </c>
      <c r="W496" s="19" t="s">
        <v>705</v>
      </c>
      <c r="X496" s="54" t="str">
        <f>VLOOKUP(W496,Employees!$A$1:$B$601,2,FALSE)</f>
        <v>Puspita Ratha</v>
      </c>
      <c r="Z496" s="3" t="s">
        <v>1365</v>
      </c>
      <c r="AA496" s="54" t="str">
        <f t="shared" si="142"/>
        <v>0495</v>
      </c>
      <c r="AC496" s="3" t="s">
        <v>24</v>
      </c>
      <c r="AD496" s="54" t="str">
        <f t="shared" si="143"/>
        <v>Design</v>
      </c>
      <c r="AF496" s="3" t="s">
        <v>1366</v>
      </c>
      <c r="AG496" s="3" t="s">
        <v>24</v>
      </c>
      <c r="AH496" s="3" t="s">
        <v>53</v>
      </c>
      <c r="AI496" s="54" t="str">
        <f t="shared" si="144"/>
        <v>Priyanka Mohapatra|Design|BlueLotus IT</v>
      </c>
      <c r="AK496" s="3" t="s">
        <v>1366</v>
      </c>
      <c r="AL496" s="38" t="str">
        <f t="shared" si="145"/>
        <v>P.M.</v>
      </c>
      <c r="AQ496" s="3" t="s">
        <v>1366</v>
      </c>
      <c r="AR496" s="52" t="str">
        <f t="shared" si="146"/>
        <v>NO</v>
      </c>
      <c r="AW496" s="54">
        <f ca="1">DATEDIF(BI496,TODAY(),"Y")</f>
        <v>3</v>
      </c>
      <c r="AX496" s="54"/>
      <c r="BH496" s="3" t="s">
        <v>1367</v>
      </c>
      <c r="BI496" s="51">
        <f t="shared" si="148"/>
        <v>44828</v>
      </c>
      <c r="BJ496" s="38">
        <f t="shared" ca="1" si="149"/>
        <v>1015</v>
      </c>
      <c r="BK496" s="38"/>
      <c r="BL496" s="38" t="str">
        <f t="shared" si="150"/>
        <v>No</v>
      </c>
      <c r="BM496"/>
      <c r="BN496" s="51"/>
      <c r="BP496" s="3" t="s">
        <v>1365</v>
      </c>
      <c r="BQ496" s="3" t="s">
        <v>24</v>
      </c>
      <c r="BR496" s="19" t="s">
        <v>705</v>
      </c>
      <c r="BS496" s="19" t="s">
        <v>3146</v>
      </c>
      <c r="BT496" s="54" t="str">
        <f t="shared" si="147"/>
        <v>Engineering</v>
      </c>
      <c r="BV496" s="3" t="s">
        <v>1365</v>
      </c>
      <c r="BW496" s="3" t="s">
        <v>1366</v>
      </c>
      <c r="CC496" s="3" t="s">
        <v>1366</v>
      </c>
      <c r="CD496" s="3" t="s">
        <v>74</v>
      </c>
      <c r="CG496" s="54">
        <f>IFERROR(_xlfn.XLOOKUP(Hiring!A496,Hiring!A496:A895,Hiring!B496:B895,,0),"Not Found")</f>
        <v>0</v>
      </c>
    </row>
    <row r="497" spans="6:85">
      <c r="F497" s="4">
        <v>4.7</v>
      </c>
      <c r="G497" s="52" t="str" cm="1">
        <f t="array" ref="G497">_xlfn.IFS(F497&gt;=4.5,"Excellent",AND(F497&gt;=3.5,F497&lt;=4.4),"Good",F497&lt;3.5,"Needs Improvement")</f>
        <v>Excellent</v>
      </c>
      <c r="Q497" s="18">
        <v>10.15</v>
      </c>
      <c r="R497" s="56" t="str">
        <f t="shared" si="141"/>
        <v>Yes</v>
      </c>
      <c r="W497" s="18" t="s">
        <v>705</v>
      </c>
      <c r="X497" s="54" t="str">
        <f>VLOOKUP(W497,Employees!$A$1:$B$601,2,FALSE)</f>
        <v>Puspita Ratha</v>
      </c>
      <c r="Z497" s="4" t="s">
        <v>1368</v>
      </c>
      <c r="AA497" s="54" t="str">
        <f t="shared" si="142"/>
        <v>0496</v>
      </c>
      <c r="AC497" s="4" t="s">
        <v>118</v>
      </c>
      <c r="AD497" s="54" t="str">
        <f t="shared" si="143"/>
        <v>Marketing</v>
      </c>
      <c r="AF497" s="4" t="s">
        <v>756</v>
      </c>
      <c r="AG497" s="4" t="s">
        <v>118</v>
      </c>
      <c r="AH497" s="4" t="s">
        <v>114</v>
      </c>
      <c r="AI497" s="54" t="str">
        <f t="shared" si="144"/>
        <v>Tapas Parida|Marketing|UtkalSoft Technologies</v>
      </c>
      <c r="AK497" s="4" t="s">
        <v>756</v>
      </c>
      <c r="AL497" s="38" t="str">
        <f t="shared" si="145"/>
        <v>T.P.</v>
      </c>
      <c r="AQ497" s="4" t="s">
        <v>756</v>
      </c>
      <c r="AR497" s="52" t="str">
        <f t="shared" si="146"/>
        <v>NO</v>
      </c>
      <c r="AW497" s="54">
        <f ca="1">DATEDIF(BI497,TODAY(),"Y")</f>
        <v>6</v>
      </c>
      <c r="AX497" s="54"/>
      <c r="BH497" s="4" t="s">
        <v>1369</v>
      </c>
      <c r="BI497" s="51">
        <f t="shared" si="148"/>
        <v>43788</v>
      </c>
      <c r="BJ497" s="38">
        <f t="shared" ca="1" si="149"/>
        <v>1759</v>
      </c>
      <c r="BK497" s="38"/>
      <c r="BL497" s="38" t="str">
        <f t="shared" si="150"/>
        <v>No</v>
      </c>
      <c r="BM497"/>
      <c r="BN497" s="51"/>
      <c r="BP497" s="4" t="s">
        <v>1368</v>
      </c>
      <c r="BQ497" s="4" t="s">
        <v>118</v>
      </c>
      <c r="BR497" s="18" t="s">
        <v>705</v>
      </c>
      <c r="BS497" s="18" t="s">
        <v>3147</v>
      </c>
      <c r="BT497" s="54" t="str">
        <f t="shared" si="147"/>
        <v>Engineering</v>
      </c>
      <c r="BV497" s="4" t="s">
        <v>1368</v>
      </c>
      <c r="BW497" s="4" t="s">
        <v>756</v>
      </c>
      <c r="CC497" s="4" t="s">
        <v>756</v>
      </c>
      <c r="CD497" s="4" t="s">
        <v>254</v>
      </c>
      <c r="CG497" s="54">
        <f>IFERROR(_xlfn.XLOOKUP(Hiring!A497,Hiring!A497:A896,Hiring!B497:B896,,0),"Not Found")</f>
        <v>0</v>
      </c>
    </row>
    <row r="498" spans="6:85">
      <c r="F498" s="3">
        <v>2.4</v>
      </c>
      <c r="G498" s="52" t="str" cm="1">
        <f t="array" ref="G498">_xlfn.IFS(F498&gt;=4.5,"Excellent",AND(F498&gt;=3.5,F498&lt;=4.4),"Good",F498&lt;3.5,"Needs Improvement")</f>
        <v>Needs Improvement</v>
      </c>
      <c r="Q498" s="19">
        <v>9.43</v>
      </c>
      <c r="R498" s="56" t="str">
        <f t="shared" si="141"/>
        <v>Yes</v>
      </c>
      <c r="W498" s="19" t="s">
        <v>705</v>
      </c>
      <c r="X498" s="54" t="str">
        <f>VLOOKUP(W498,Employees!$A$1:$B$601,2,FALSE)</f>
        <v>Puspita Ratha</v>
      </c>
      <c r="Z498" s="3" t="s">
        <v>1370</v>
      </c>
      <c r="AA498" s="54" t="str">
        <f t="shared" si="142"/>
        <v>0497</v>
      </c>
      <c r="AC498" s="3" t="s">
        <v>16</v>
      </c>
      <c r="AD498" s="54" t="str">
        <f t="shared" si="143"/>
        <v>Devops</v>
      </c>
      <c r="AF498" s="3" t="s">
        <v>289</v>
      </c>
      <c r="AG498" s="3" t="s">
        <v>16</v>
      </c>
      <c r="AH498" s="3" t="s">
        <v>53</v>
      </c>
      <c r="AI498" s="54" t="str">
        <f t="shared" si="144"/>
        <v>Sudhansu Senapati|DevOps|BlueLotus IT</v>
      </c>
      <c r="AK498" s="3" t="s">
        <v>289</v>
      </c>
      <c r="AL498" s="38" t="str">
        <f t="shared" si="145"/>
        <v>S.S.</v>
      </c>
      <c r="AQ498" s="3" t="s">
        <v>289</v>
      </c>
      <c r="AR498" s="52" t="str">
        <f t="shared" si="146"/>
        <v>NO</v>
      </c>
      <c r="AW498" s="54">
        <f ca="1">DATEDIF(BI498,TODAY(),"Y")</f>
        <v>4</v>
      </c>
      <c r="AX498" s="54"/>
      <c r="BH498" s="3" t="s">
        <v>1371</v>
      </c>
      <c r="BI498" s="51">
        <f t="shared" si="148"/>
        <v>44526</v>
      </c>
      <c r="BJ498" s="38">
        <f t="shared" ca="1" si="149"/>
        <v>1231</v>
      </c>
      <c r="BK498" s="38"/>
      <c r="BL498" s="38" t="str">
        <f t="shared" si="150"/>
        <v>No</v>
      </c>
      <c r="BM498"/>
      <c r="BN498" s="51"/>
      <c r="BP498" s="3" t="s">
        <v>1370</v>
      </c>
      <c r="BQ498" s="3" t="s">
        <v>16</v>
      </c>
      <c r="BR498" s="19" t="s">
        <v>705</v>
      </c>
      <c r="BS498" s="19" t="s">
        <v>3148</v>
      </c>
      <c r="BT498" s="54" t="str">
        <f t="shared" si="147"/>
        <v>Engineering</v>
      </c>
      <c r="BV498" s="3" t="s">
        <v>1370</v>
      </c>
      <c r="BW498" s="3" t="s">
        <v>289</v>
      </c>
      <c r="CC498" s="3" t="s">
        <v>289</v>
      </c>
      <c r="CD498" s="3" t="s">
        <v>17</v>
      </c>
      <c r="CG498" s="54">
        <f>IFERROR(_xlfn.XLOOKUP(Hiring!A498,Hiring!A498:A897,Hiring!B498:B897,,0),"Not Found")</f>
        <v>0</v>
      </c>
    </row>
    <row r="499" spans="6:85">
      <c r="F499" s="4">
        <v>2.4</v>
      </c>
      <c r="G499" s="52" t="str" cm="1">
        <f t="array" ref="G499">_xlfn.IFS(F499&gt;=4.5,"Excellent",AND(F499&gt;=3.5,F499&lt;=4.4),"Good",F499&lt;3.5,"Needs Improvement")</f>
        <v>Needs Improvement</v>
      </c>
      <c r="Q499" s="18">
        <v>8.16</v>
      </c>
      <c r="R499" s="56" t="str">
        <f t="shared" si="141"/>
        <v>Yes</v>
      </c>
      <c r="W499" s="18" t="s">
        <v>705</v>
      </c>
      <c r="X499" s="54" t="str">
        <f>VLOOKUP(W499,Employees!$A$1:$B$601,2,FALSE)</f>
        <v>Puspita Ratha</v>
      </c>
      <c r="Z499" s="4" t="s">
        <v>1372</v>
      </c>
      <c r="AA499" s="54" t="str">
        <f t="shared" si="142"/>
        <v>0498</v>
      </c>
      <c r="AC499" s="4" t="s">
        <v>24</v>
      </c>
      <c r="AD499" s="54" t="str">
        <f t="shared" si="143"/>
        <v>Design</v>
      </c>
      <c r="AF499" s="4" t="s">
        <v>1373</v>
      </c>
      <c r="AG499" s="4" t="s">
        <v>24</v>
      </c>
      <c r="AH499" s="4" t="s">
        <v>46</v>
      </c>
      <c r="AI499" s="54" t="str">
        <f t="shared" si="144"/>
        <v>Saurav Jena|Design|SambalpurNet</v>
      </c>
      <c r="AK499" s="4" t="s">
        <v>1373</v>
      </c>
      <c r="AL499" s="38" t="str">
        <f t="shared" si="145"/>
        <v>S.J.</v>
      </c>
      <c r="AQ499" s="4" t="s">
        <v>1373</v>
      </c>
      <c r="AR499" s="52" t="str">
        <f t="shared" si="146"/>
        <v>NO</v>
      </c>
      <c r="AW499" s="54">
        <f ca="1">DATEDIF(BI499,TODAY(),"Y")</f>
        <v>5</v>
      </c>
      <c r="AX499" s="54"/>
      <c r="BH499" s="4" t="s">
        <v>1374</v>
      </c>
      <c r="BI499" s="51">
        <f t="shared" si="148"/>
        <v>44129</v>
      </c>
      <c r="BJ499" s="38">
        <f t="shared" ca="1" si="149"/>
        <v>1515</v>
      </c>
      <c r="BK499" s="38"/>
      <c r="BL499" s="38" t="str">
        <f t="shared" si="150"/>
        <v>No</v>
      </c>
      <c r="BM499"/>
      <c r="BN499" s="51"/>
      <c r="BP499" s="4" t="s">
        <v>1372</v>
      </c>
      <c r="BQ499" s="4" t="s">
        <v>24</v>
      </c>
      <c r="BR499" s="18" t="s">
        <v>705</v>
      </c>
      <c r="BS499" s="18" t="s">
        <v>3150</v>
      </c>
      <c r="BT499" s="54" t="str">
        <f t="shared" si="147"/>
        <v>Engineering</v>
      </c>
      <c r="BV499" s="4" t="s">
        <v>1372</v>
      </c>
      <c r="BW499" s="4" t="s">
        <v>1373</v>
      </c>
      <c r="CC499" s="4" t="s">
        <v>1373</v>
      </c>
      <c r="CD499" s="4" t="s">
        <v>74</v>
      </c>
      <c r="CG499" s="54">
        <f>IFERROR(_xlfn.XLOOKUP(Hiring!A499,Hiring!A499:A898,Hiring!B499:B898,,0),"Not Found")</f>
        <v>0</v>
      </c>
    </row>
    <row r="500" spans="6:85">
      <c r="F500" s="3">
        <v>0</v>
      </c>
      <c r="G500" s="52" t="str" cm="1">
        <f t="array" ref="G500">_xlfn.IFS(F500&gt;=4.5,"Excellent",AND(F500&gt;=3.5,F500&lt;=4.4),"Good",F500&lt;3.5,"Needs Improvement")</f>
        <v>Needs Improvement</v>
      </c>
      <c r="Q500" s="19">
        <v>11.29</v>
      </c>
      <c r="R500" s="56" t="str">
        <f t="shared" si="141"/>
        <v>Yes</v>
      </c>
      <c r="W500" s="19" t="s">
        <v>705</v>
      </c>
      <c r="X500" s="54" t="str">
        <f>VLOOKUP(W500,Employees!$A$1:$B$601,2,FALSE)</f>
        <v>Puspita Ratha</v>
      </c>
      <c r="Z500" s="3" t="s">
        <v>1375</v>
      </c>
      <c r="AA500" s="54" t="str">
        <f t="shared" si="142"/>
        <v>0499</v>
      </c>
      <c r="AC500" s="3" t="s">
        <v>24</v>
      </c>
      <c r="AD500" s="54" t="str">
        <f t="shared" si="143"/>
        <v>Design</v>
      </c>
      <c r="AF500" s="3" t="s">
        <v>1376</v>
      </c>
      <c r="AG500" s="3" t="s">
        <v>24</v>
      </c>
      <c r="AH500" s="3" t="s">
        <v>70</v>
      </c>
      <c r="AI500" s="54" t="str">
        <f t="shared" si="144"/>
        <v>Puspita Prusty|Design|OdishaCode Labs</v>
      </c>
      <c r="AK500" s="3" t="s">
        <v>1376</v>
      </c>
      <c r="AL500" s="38" t="str">
        <f t="shared" si="145"/>
        <v>P.P.</v>
      </c>
      <c r="AQ500" s="3" t="s">
        <v>1376</v>
      </c>
      <c r="AR500" s="52" t="str">
        <f t="shared" si="146"/>
        <v>NO</v>
      </c>
      <c r="AW500" s="54">
        <f ca="1">DATEDIF(BI500,TODAY(),"Y")</f>
        <v>5</v>
      </c>
      <c r="AX500" s="54"/>
      <c r="BH500" s="3" t="s">
        <v>1377</v>
      </c>
      <c r="BI500" s="51">
        <f t="shared" si="148"/>
        <v>44239</v>
      </c>
      <c r="BJ500" s="38">
        <f t="shared" ca="1" si="149"/>
        <v>1436</v>
      </c>
      <c r="BK500" s="38"/>
      <c r="BL500" s="38" t="str">
        <f t="shared" si="150"/>
        <v>Q1</v>
      </c>
      <c r="BM500"/>
      <c r="BN500" s="51"/>
      <c r="BP500" s="3" t="s">
        <v>1375</v>
      </c>
      <c r="BQ500" s="3" t="s">
        <v>24</v>
      </c>
      <c r="BR500" s="19" t="s">
        <v>705</v>
      </c>
      <c r="BS500" s="19" t="s">
        <v>3152</v>
      </c>
      <c r="BT500" s="54" t="str">
        <f t="shared" si="147"/>
        <v>Engineering</v>
      </c>
      <c r="BV500" s="3" t="s">
        <v>1375</v>
      </c>
      <c r="BW500" s="3" t="s">
        <v>1376</v>
      </c>
      <c r="CC500" s="3" t="s">
        <v>1376</v>
      </c>
      <c r="CD500" s="3" t="s">
        <v>45</v>
      </c>
      <c r="CG500" s="54">
        <f>IFERROR(_xlfn.XLOOKUP(Hiring!A500,Hiring!A500:A899,Hiring!B500:B899,,0),"Not Found")</f>
        <v>0</v>
      </c>
    </row>
    <row r="501" spans="6:85">
      <c r="F501" s="4">
        <v>1.5</v>
      </c>
      <c r="G501" s="52" t="str" cm="1">
        <f t="array" ref="G501">_xlfn.IFS(F501&gt;=4.5,"Excellent",AND(F501&gt;=3.5,F501&lt;=4.4),"Good",F501&lt;3.5,"Needs Improvement")</f>
        <v>Needs Improvement</v>
      </c>
      <c r="Q501" s="18">
        <v>6.74</v>
      </c>
      <c r="R501" s="56" t="str">
        <f t="shared" si="141"/>
        <v>Yes</v>
      </c>
      <c r="W501" s="18" t="s">
        <v>705</v>
      </c>
      <c r="X501" s="54" t="str">
        <f>VLOOKUP(W501,Employees!$A$1:$B$601,2,FALSE)</f>
        <v>Puspita Ratha</v>
      </c>
      <c r="Z501" s="4" t="s">
        <v>1378</v>
      </c>
      <c r="AA501" s="54" t="str">
        <f t="shared" si="142"/>
        <v>0500</v>
      </c>
      <c r="AC501" s="4" t="s">
        <v>84</v>
      </c>
      <c r="AD501" s="54" t="str">
        <f t="shared" si="143"/>
        <v>Hr</v>
      </c>
      <c r="AF501" s="4" t="s">
        <v>1188</v>
      </c>
      <c r="AG501" s="4" t="s">
        <v>84</v>
      </c>
      <c r="AH501" s="4" t="s">
        <v>53</v>
      </c>
      <c r="AI501" s="54" t="str">
        <f t="shared" si="144"/>
        <v>Sudhansu Sahu|HR|BlueLotus IT</v>
      </c>
      <c r="AK501" s="4" t="s">
        <v>1188</v>
      </c>
      <c r="AL501" s="38" t="str">
        <f t="shared" si="145"/>
        <v>S.S.</v>
      </c>
      <c r="AQ501" s="4" t="s">
        <v>1188</v>
      </c>
      <c r="AR501" s="52" t="str">
        <f t="shared" si="146"/>
        <v>NO</v>
      </c>
      <c r="AW501" s="54">
        <f ca="1">DATEDIF(BI501,TODAY(),"Y")</f>
        <v>3</v>
      </c>
      <c r="AX501" s="54"/>
      <c r="BH501" s="4" t="s">
        <v>1379</v>
      </c>
      <c r="BI501" s="51">
        <f t="shared" si="148"/>
        <v>44796</v>
      </c>
      <c r="BJ501" s="38">
        <f t="shared" ca="1" si="149"/>
        <v>1039</v>
      </c>
      <c r="BK501" s="38"/>
      <c r="BL501" s="38" t="str">
        <f t="shared" si="150"/>
        <v>No</v>
      </c>
      <c r="BM501"/>
      <c r="BN501" s="51"/>
      <c r="BP501" s="4" t="s">
        <v>1378</v>
      </c>
      <c r="BQ501" s="4" t="s">
        <v>84</v>
      </c>
      <c r="BR501" s="18" t="s">
        <v>705</v>
      </c>
      <c r="BS501" s="18" t="s">
        <v>3154</v>
      </c>
      <c r="BT501" s="54" t="str">
        <f t="shared" si="147"/>
        <v>Engineering</v>
      </c>
      <c r="BV501" s="4" t="s">
        <v>1378</v>
      </c>
      <c r="BW501" s="4" t="s">
        <v>1188</v>
      </c>
      <c r="CC501" s="4" t="s">
        <v>1188</v>
      </c>
      <c r="CD501" s="4" t="s">
        <v>138</v>
      </c>
      <c r="CG501" s="54">
        <f>IFERROR(_xlfn.XLOOKUP(Hiring!A501,Hiring!A501:A900,Hiring!B501:B900,,0),"Not Found")</f>
        <v>0</v>
      </c>
    </row>
    <row r="502" spans="6:85">
      <c r="F502" s="3">
        <v>1.6</v>
      </c>
      <c r="G502" s="52" t="str" cm="1">
        <f t="array" ref="G502">_xlfn.IFS(F502&gt;=4.5,"Excellent",AND(F502&gt;=3.5,F502&lt;=4.4),"Good",F502&lt;3.5,"Needs Improvement")</f>
        <v>Needs Improvement</v>
      </c>
      <c r="Q502" s="19"/>
      <c r="R502" s="56" t="str">
        <f t="shared" si="141"/>
        <v>No</v>
      </c>
      <c r="W502" s="19" t="s">
        <v>705</v>
      </c>
      <c r="X502" s="54" t="str">
        <f>VLOOKUP(W502,Employees!$A$1:$B$601,2,FALSE)</f>
        <v>Puspita Ratha</v>
      </c>
      <c r="Z502" s="3" t="s">
        <v>1380</v>
      </c>
      <c r="AA502" s="54" t="str">
        <f t="shared" si="142"/>
        <v>0501</v>
      </c>
      <c r="AC502" s="3" t="s">
        <v>16</v>
      </c>
      <c r="AD502" s="54" t="str">
        <f t="shared" si="143"/>
        <v>Devops</v>
      </c>
      <c r="AF502" s="3" t="s">
        <v>1283</v>
      </c>
      <c r="AG502" s="3" t="s">
        <v>16</v>
      </c>
      <c r="AH502" s="3" t="s">
        <v>26</v>
      </c>
      <c r="AI502" s="54" t="str">
        <f t="shared" si="144"/>
        <v>Dibya Samal|DevOps|InfySoft Bhubaneswar</v>
      </c>
      <c r="AK502" s="3" t="s">
        <v>1283</v>
      </c>
      <c r="AL502" s="38" t="str">
        <f t="shared" si="145"/>
        <v>D.S.</v>
      </c>
      <c r="AQ502" s="3" t="s">
        <v>1283</v>
      </c>
      <c r="AR502" s="52" t="str">
        <f t="shared" si="146"/>
        <v>NO</v>
      </c>
      <c r="AW502" s="54">
        <f ca="1">DATEDIF(BI502,TODAY(),"Y")</f>
        <v>3</v>
      </c>
      <c r="AX502" s="54"/>
      <c r="BH502" s="3" t="s">
        <v>1381</v>
      </c>
      <c r="BI502" s="51">
        <f t="shared" si="148"/>
        <v>44956</v>
      </c>
      <c r="BJ502" s="38">
        <f t="shared" ca="1" si="149"/>
        <v>925</v>
      </c>
      <c r="BK502" s="38"/>
      <c r="BL502" s="38" t="str">
        <f t="shared" si="150"/>
        <v>Q1</v>
      </c>
      <c r="BM502"/>
      <c r="BN502" s="51"/>
      <c r="BP502" s="3" t="s">
        <v>1380</v>
      </c>
      <c r="BQ502" s="3" t="s">
        <v>16</v>
      </c>
      <c r="BR502" s="19" t="s">
        <v>705</v>
      </c>
      <c r="BS502" s="19" t="s">
        <v>3155</v>
      </c>
      <c r="BT502" s="54" t="str">
        <f t="shared" si="147"/>
        <v>Engineering</v>
      </c>
      <c r="BV502" s="3" t="s">
        <v>1380</v>
      </c>
      <c r="BW502" s="3" t="s">
        <v>1283</v>
      </c>
      <c r="CC502" s="3" t="s">
        <v>1283</v>
      </c>
      <c r="CD502" s="3" t="s">
        <v>335</v>
      </c>
      <c r="CG502" s="54">
        <f>IFERROR(_xlfn.XLOOKUP(Hiring!A502,Hiring!A502:A901,Hiring!B502:B901,,0),"Not Found")</f>
        <v>0</v>
      </c>
    </row>
    <row r="503" spans="6:85">
      <c r="F503" s="4">
        <v>4.9000000000000004</v>
      </c>
      <c r="G503" s="52" t="str" cm="1">
        <f t="array" ref="G503">_xlfn.IFS(F503&gt;=4.5,"Excellent",AND(F503&gt;=3.5,F503&lt;=4.4),"Good",F503&lt;3.5,"Needs Improvement")</f>
        <v>Excellent</v>
      </c>
      <c r="Q503" s="18">
        <v>7.42</v>
      </c>
      <c r="R503" s="56" t="str">
        <f t="shared" si="141"/>
        <v>Yes</v>
      </c>
      <c r="W503" s="18" t="s">
        <v>705</v>
      </c>
      <c r="X503" s="54" t="str">
        <f>VLOOKUP(W503,Employees!$A$1:$B$601,2,FALSE)</f>
        <v>Puspita Ratha</v>
      </c>
      <c r="Z503" s="4" t="s">
        <v>1382</v>
      </c>
      <c r="AA503" s="54" t="str">
        <f t="shared" si="142"/>
        <v>0502</v>
      </c>
      <c r="AC503" s="4" t="s">
        <v>51</v>
      </c>
      <c r="AD503" s="54" t="str">
        <f t="shared" si="143"/>
        <v>Sales</v>
      </c>
      <c r="AF503" s="4" t="s">
        <v>1383</v>
      </c>
      <c r="AG503" s="4" t="s">
        <v>51</v>
      </c>
      <c r="AH503" s="4" t="s">
        <v>65</v>
      </c>
      <c r="AI503" s="54" t="str">
        <f t="shared" si="144"/>
        <v>Tapas Choudhury|Sales|TributeAI</v>
      </c>
      <c r="AK503" s="4" t="s">
        <v>1383</v>
      </c>
      <c r="AL503" s="38" t="str">
        <f t="shared" si="145"/>
        <v>T.C.</v>
      </c>
      <c r="AQ503" s="4" t="s">
        <v>1383</v>
      </c>
      <c r="AR503" s="52" t="str">
        <f t="shared" si="146"/>
        <v>NO</v>
      </c>
      <c r="AW503" s="54">
        <f ca="1">DATEDIF(BI503,TODAY(),"Y")</f>
        <v>4</v>
      </c>
      <c r="AX503" s="54"/>
      <c r="BH503" s="4" t="s">
        <v>1384</v>
      </c>
      <c r="BI503" s="51">
        <f t="shared" si="148"/>
        <v>44642</v>
      </c>
      <c r="BJ503" s="38">
        <f t="shared" ca="1" si="149"/>
        <v>1149</v>
      </c>
      <c r="BK503" s="38"/>
      <c r="BL503" s="38" t="str">
        <f t="shared" si="150"/>
        <v>Q1</v>
      </c>
      <c r="BM503"/>
      <c r="BN503" s="51"/>
      <c r="BP503" s="4" t="s">
        <v>1382</v>
      </c>
      <c r="BQ503" s="4" t="s">
        <v>51</v>
      </c>
      <c r="BR503" s="18" t="s">
        <v>705</v>
      </c>
      <c r="BS503" s="18" t="s">
        <v>3156</v>
      </c>
      <c r="BT503" s="54" t="str">
        <f t="shared" si="147"/>
        <v>Engineering</v>
      </c>
      <c r="BV503" s="4" t="s">
        <v>1382</v>
      </c>
      <c r="BW503" s="4" t="s">
        <v>1383</v>
      </c>
      <c r="CC503" s="4" t="s">
        <v>1383</v>
      </c>
      <c r="CD503" s="4" t="s">
        <v>69</v>
      </c>
      <c r="CG503" s="54">
        <f>IFERROR(_xlfn.XLOOKUP(Hiring!A503,Hiring!A503:A902,Hiring!B503:B902,,0),"Not Found")</f>
        <v>0</v>
      </c>
    </row>
    <row r="504" spans="6:85">
      <c r="F504" s="3">
        <v>3.1</v>
      </c>
      <c r="G504" s="52" t="str" cm="1">
        <f t="array" ref="G504">_xlfn.IFS(F504&gt;=4.5,"Excellent",AND(F504&gt;=3.5,F504&lt;=4.4),"Good",F504&lt;3.5,"Needs Improvement")</f>
        <v>Needs Improvement</v>
      </c>
      <c r="Q504" s="19">
        <v>10.32</v>
      </c>
      <c r="R504" s="56" t="str">
        <f t="shared" si="141"/>
        <v>Yes</v>
      </c>
      <c r="W504" s="19" t="s">
        <v>705</v>
      </c>
      <c r="X504" s="54" t="str">
        <f>VLOOKUP(W504,Employees!$A$1:$B$601,2,FALSE)</f>
        <v>Puspita Ratha</v>
      </c>
      <c r="Z504" s="3" t="s">
        <v>1385</v>
      </c>
      <c r="AA504" s="54" t="str">
        <f t="shared" si="142"/>
        <v>0503</v>
      </c>
      <c r="AC504" s="3" t="s">
        <v>39</v>
      </c>
      <c r="AD504" s="54" t="str">
        <f t="shared" si="143"/>
        <v>Engineering</v>
      </c>
      <c r="AF504" s="3" t="s">
        <v>1386</v>
      </c>
      <c r="AG504" s="3" t="s">
        <v>39</v>
      </c>
      <c r="AH504" s="3" t="s">
        <v>70</v>
      </c>
      <c r="AI504" s="54" t="str">
        <f t="shared" si="144"/>
        <v>Abhishek Prusty|Engineering|OdishaCode Labs</v>
      </c>
      <c r="AK504" s="3" t="s">
        <v>1386</v>
      </c>
      <c r="AL504" s="38" t="str">
        <f t="shared" si="145"/>
        <v>A.P.</v>
      </c>
      <c r="AQ504" s="3" t="s">
        <v>1386</v>
      </c>
      <c r="AR504" s="52" t="str">
        <f t="shared" si="146"/>
        <v>NO</v>
      </c>
      <c r="AW504" s="54">
        <f ca="1">DATEDIF(BI504,TODAY(),"Y")</f>
        <v>4</v>
      </c>
      <c r="AX504" s="54"/>
      <c r="BH504" s="3" t="s">
        <v>1387</v>
      </c>
      <c r="BI504" s="51">
        <f t="shared" si="148"/>
        <v>44651</v>
      </c>
      <c r="BJ504" s="38">
        <f t="shared" ca="1" si="149"/>
        <v>1142</v>
      </c>
      <c r="BK504" s="38"/>
      <c r="BL504" s="38" t="str">
        <f t="shared" si="150"/>
        <v>Q1</v>
      </c>
      <c r="BM504"/>
      <c r="BN504" s="51"/>
      <c r="BP504" s="3" t="s">
        <v>1385</v>
      </c>
      <c r="BQ504" s="3" t="s">
        <v>39</v>
      </c>
      <c r="BR504" s="19" t="s">
        <v>705</v>
      </c>
      <c r="BS504" s="19" t="s">
        <v>3158</v>
      </c>
      <c r="BT504" s="54" t="str">
        <f t="shared" si="147"/>
        <v>Engineering</v>
      </c>
      <c r="BV504" s="3" t="s">
        <v>1385</v>
      </c>
      <c r="BW504" s="3" t="s">
        <v>1386</v>
      </c>
      <c r="CC504" s="3" t="s">
        <v>1386</v>
      </c>
      <c r="CD504" s="3" t="s">
        <v>242</v>
      </c>
      <c r="CG504" s="54">
        <f>IFERROR(_xlfn.XLOOKUP(Hiring!A504,Hiring!A504:A903,Hiring!B504:B903,,0),"Not Found")</f>
        <v>0</v>
      </c>
    </row>
    <row r="505" spans="6:85">
      <c r="F505" s="4">
        <v>2.6</v>
      </c>
      <c r="G505" s="52" t="str" cm="1">
        <f t="array" ref="G505">_xlfn.IFS(F505&gt;=4.5,"Excellent",AND(F505&gt;=3.5,F505&lt;=4.4),"Good",F505&lt;3.5,"Needs Improvement")</f>
        <v>Needs Improvement</v>
      </c>
      <c r="Q505" s="18">
        <v>9.6999999999999993</v>
      </c>
      <c r="R505" s="56" t="str">
        <f t="shared" si="141"/>
        <v>Yes</v>
      </c>
      <c r="W505" s="18" t="s">
        <v>705</v>
      </c>
      <c r="X505" s="54" t="str">
        <f>VLOOKUP(W505,Employees!$A$1:$B$601,2,FALSE)</f>
        <v>Puspita Ratha</v>
      </c>
      <c r="Z505" s="4" t="s">
        <v>1388</v>
      </c>
      <c r="AA505" s="54" t="str">
        <f t="shared" si="142"/>
        <v>0504</v>
      </c>
      <c r="AC505" s="4" t="s">
        <v>89</v>
      </c>
      <c r="AD505" s="54" t="str">
        <f t="shared" si="143"/>
        <v>Data Science</v>
      </c>
      <c r="AF505" s="4" t="s">
        <v>1209</v>
      </c>
      <c r="AG505" s="4" t="s">
        <v>89</v>
      </c>
      <c r="AH505" s="4" t="s">
        <v>214</v>
      </c>
      <c r="AI505" s="54" t="str">
        <f t="shared" si="144"/>
        <v>Ankita Jena|Data Science|ZeroOneSystems</v>
      </c>
      <c r="AK505" s="4" t="s">
        <v>1209</v>
      </c>
      <c r="AL505" s="38" t="str">
        <f t="shared" si="145"/>
        <v>A.J.</v>
      </c>
      <c r="AQ505" s="4" t="s">
        <v>1209</v>
      </c>
      <c r="AR505" s="52" t="str">
        <f t="shared" si="146"/>
        <v>NO</v>
      </c>
      <c r="AW505" s="54">
        <f ca="1">DATEDIF(BI505,TODAY(),"Y")</f>
        <v>8</v>
      </c>
      <c r="AX505" s="54"/>
      <c r="BH505" s="4" t="s">
        <v>1389</v>
      </c>
      <c r="BI505" s="51">
        <f t="shared" si="148"/>
        <v>43112</v>
      </c>
      <c r="BJ505" s="38">
        <f t="shared" ca="1" si="149"/>
        <v>2241</v>
      </c>
      <c r="BK505" s="38"/>
      <c r="BL505" s="38" t="str">
        <f t="shared" si="150"/>
        <v>Q1</v>
      </c>
      <c r="BM505"/>
      <c r="BN505" s="51"/>
      <c r="BP505" s="4" t="s">
        <v>1388</v>
      </c>
      <c r="BQ505" s="4" t="s">
        <v>89</v>
      </c>
      <c r="BR505" s="18" t="s">
        <v>705</v>
      </c>
      <c r="BS505" s="18" t="s">
        <v>3160</v>
      </c>
      <c r="BT505" s="54" t="str">
        <f t="shared" si="147"/>
        <v>Engineering</v>
      </c>
      <c r="BV505" s="4" t="s">
        <v>1388</v>
      </c>
      <c r="BW505" s="4" t="s">
        <v>1209</v>
      </c>
      <c r="CC505" s="4" t="s">
        <v>1209</v>
      </c>
      <c r="CD505" s="4" t="s">
        <v>221</v>
      </c>
      <c r="CG505" s="54">
        <f>IFERROR(_xlfn.XLOOKUP(Hiring!A505,Hiring!A505:A904,Hiring!B505:B904,,0),"Not Found")</f>
        <v>0</v>
      </c>
    </row>
    <row r="506" spans="6:85">
      <c r="F506" s="3">
        <v>4.4000000000000004</v>
      </c>
      <c r="G506" s="52" t="str" cm="1">
        <f t="array" ref="G506">_xlfn.IFS(F506&gt;=4.5,"Excellent",AND(F506&gt;=3.5,F506&lt;=4.4),"Good",F506&lt;3.5,"Needs Improvement")</f>
        <v>Good</v>
      </c>
      <c r="Q506" s="19">
        <v>10.38</v>
      </c>
      <c r="R506" s="56" t="str">
        <f t="shared" si="141"/>
        <v>Yes</v>
      </c>
      <c r="W506" s="19" t="s">
        <v>705</v>
      </c>
      <c r="X506" s="54" t="str">
        <f>VLOOKUP(W506,Employees!$A$1:$B$601,2,FALSE)</f>
        <v>Puspita Ratha</v>
      </c>
      <c r="Z506" s="3" t="s">
        <v>1390</v>
      </c>
      <c r="AA506" s="54" t="str">
        <f t="shared" si="142"/>
        <v>0505</v>
      </c>
      <c r="AC506" s="3" t="s">
        <v>503</v>
      </c>
      <c r="AD506" s="54" t="str">
        <f t="shared" si="143"/>
        <v>Data Science</v>
      </c>
      <c r="AF506" s="3" t="s">
        <v>1391</v>
      </c>
      <c r="AG506" s="3" t="s">
        <v>503</v>
      </c>
      <c r="AH506" s="3" t="s">
        <v>46</v>
      </c>
      <c r="AI506" s="54" t="str">
        <f t="shared" si="144"/>
        <v>Rahul Behura|data science|SambalpurNet</v>
      </c>
      <c r="AK506" s="3" t="s">
        <v>1391</v>
      </c>
      <c r="AL506" s="38" t="str">
        <f t="shared" si="145"/>
        <v>R.B.</v>
      </c>
      <c r="AQ506" s="3" t="s">
        <v>1391</v>
      </c>
      <c r="AR506" s="52" t="str">
        <f t="shared" si="146"/>
        <v>NO</v>
      </c>
      <c r="AW506" s="54">
        <f ca="1">DATEDIF(BI506,TODAY(),"Y")</f>
        <v>8</v>
      </c>
      <c r="AX506" s="54"/>
      <c r="BH506" s="3" t="s">
        <v>1392</v>
      </c>
      <c r="BI506" s="51">
        <f t="shared" si="148"/>
        <v>43196</v>
      </c>
      <c r="BJ506" s="38">
        <f t="shared" ca="1" si="149"/>
        <v>2181</v>
      </c>
      <c r="BK506" s="38"/>
      <c r="BL506" s="38" t="str">
        <f t="shared" si="150"/>
        <v>No</v>
      </c>
      <c r="BM506"/>
      <c r="BN506" s="51"/>
      <c r="BP506" s="3" t="s">
        <v>1390</v>
      </c>
      <c r="BQ506" s="3" t="s">
        <v>503</v>
      </c>
      <c r="BR506" s="19" t="s">
        <v>705</v>
      </c>
      <c r="BS506" s="19" t="s">
        <v>3162</v>
      </c>
      <c r="BT506" s="54" t="str">
        <f t="shared" si="147"/>
        <v>Engineering</v>
      </c>
      <c r="BV506" s="3" t="s">
        <v>1390</v>
      </c>
      <c r="BW506" s="3" t="s">
        <v>1391</v>
      </c>
      <c r="CC506" s="3" t="s">
        <v>1391</v>
      </c>
      <c r="CD506" s="3" t="s">
        <v>221</v>
      </c>
      <c r="CG506" s="54">
        <f>IFERROR(_xlfn.XLOOKUP(Hiring!A506,Hiring!A506:A905,Hiring!B506:B905,,0),"Not Found")</f>
        <v>0</v>
      </c>
    </row>
    <row r="507" spans="6:85">
      <c r="F507" s="4">
        <v>1.5</v>
      </c>
      <c r="G507" s="52" t="str" cm="1">
        <f t="array" ref="G507">_xlfn.IFS(F507&gt;=4.5,"Excellent",AND(F507&gt;=3.5,F507&lt;=4.4),"Good",F507&lt;3.5,"Needs Improvement")</f>
        <v>Needs Improvement</v>
      </c>
      <c r="Q507" s="18">
        <v>10.11</v>
      </c>
      <c r="R507" s="56" t="str">
        <f t="shared" si="141"/>
        <v>Yes</v>
      </c>
      <c r="W507" s="18" t="s">
        <v>705</v>
      </c>
      <c r="X507" s="54" t="str">
        <f>VLOOKUP(W507,Employees!$A$1:$B$601,2,FALSE)</f>
        <v>Puspita Ratha</v>
      </c>
      <c r="Z507" s="4" t="s">
        <v>1393</v>
      </c>
      <c r="AA507" s="54" t="str">
        <f t="shared" si="142"/>
        <v>0506</v>
      </c>
      <c r="AC507" s="4" t="s">
        <v>89</v>
      </c>
      <c r="AD507" s="54" t="str">
        <f t="shared" si="143"/>
        <v>Data Science</v>
      </c>
      <c r="AF507" s="4" t="s">
        <v>196</v>
      </c>
      <c r="AG507" s="4" t="s">
        <v>89</v>
      </c>
      <c r="AH507" s="4" t="s">
        <v>53</v>
      </c>
      <c r="AI507" s="54" t="str">
        <f t="shared" si="144"/>
        <v>Sangita Jena|Data Science|BlueLotus IT</v>
      </c>
      <c r="AK507" s="4" t="s">
        <v>196</v>
      </c>
      <c r="AL507" s="38" t="str">
        <f t="shared" si="145"/>
        <v>S.J.</v>
      </c>
      <c r="AQ507" s="4" t="s">
        <v>196</v>
      </c>
      <c r="AR507" s="52" t="str">
        <f t="shared" si="146"/>
        <v>NO</v>
      </c>
      <c r="AW507" s="54">
        <f ca="1">DATEDIF(BI507,TODAY(),"Y")</f>
        <v>6</v>
      </c>
      <c r="AX507" s="54"/>
      <c r="BH507" s="4" t="s">
        <v>1394</v>
      </c>
      <c r="BI507" s="51">
        <f t="shared" si="148"/>
        <v>43776</v>
      </c>
      <c r="BJ507" s="38">
        <f t="shared" ca="1" si="149"/>
        <v>1767</v>
      </c>
      <c r="BK507" s="38"/>
      <c r="BL507" s="38" t="str">
        <f t="shared" si="150"/>
        <v>No</v>
      </c>
      <c r="BM507"/>
      <c r="BN507" s="51"/>
      <c r="BP507" s="4" t="s">
        <v>1393</v>
      </c>
      <c r="BQ507" s="4" t="s">
        <v>89</v>
      </c>
      <c r="BR507" s="18" t="s">
        <v>705</v>
      </c>
      <c r="BS507" s="18" t="s">
        <v>3163</v>
      </c>
      <c r="BT507" s="54" t="str">
        <f t="shared" si="147"/>
        <v>Engineering</v>
      </c>
      <c r="BV507" s="4" t="s">
        <v>1393</v>
      </c>
      <c r="BW507" s="4" t="s">
        <v>196</v>
      </c>
      <c r="CC507" s="4" t="s">
        <v>196</v>
      </c>
      <c r="CD507" s="4" t="s">
        <v>90</v>
      </c>
      <c r="CG507" s="54">
        <f>IFERROR(_xlfn.XLOOKUP(Hiring!A507,Hiring!A507:A906,Hiring!B507:B906,,0),"Not Found")</f>
        <v>0</v>
      </c>
    </row>
    <row r="508" spans="6:85">
      <c r="F508" s="3">
        <v>4.5</v>
      </c>
      <c r="G508" s="52" t="str" cm="1">
        <f t="array" ref="G508">_xlfn.IFS(F508&gt;=4.5,"Excellent",AND(F508&gt;=3.5,F508&lt;=4.4),"Good",F508&lt;3.5,"Needs Improvement")</f>
        <v>Excellent</v>
      </c>
      <c r="Q508" s="19">
        <v>10.99</v>
      </c>
      <c r="R508" s="56" t="str">
        <f t="shared" si="141"/>
        <v>Yes</v>
      </c>
      <c r="W508" s="19" t="s">
        <v>705</v>
      </c>
      <c r="X508" s="54" t="str">
        <f>VLOOKUP(W508,Employees!$A$1:$B$601,2,FALSE)</f>
        <v>Puspita Ratha</v>
      </c>
      <c r="Z508" s="3" t="s">
        <v>1395</v>
      </c>
      <c r="AA508" s="54" t="str">
        <f t="shared" si="142"/>
        <v>0507</v>
      </c>
      <c r="AC508" s="3" t="s">
        <v>16</v>
      </c>
      <c r="AD508" s="54" t="str">
        <f t="shared" si="143"/>
        <v>Devops</v>
      </c>
      <c r="AF508" s="3" t="s">
        <v>1396</v>
      </c>
      <c r="AG508" s="3" t="s">
        <v>16</v>
      </c>
      <c r="AH508" s="3" t="s">
        <v>65</v>
      </c>
      <c r="AI508" s="54" t="str">
        <f t="shared" si="144"/>
        <v>Dibya Mishra|DevOps|TributeAI</v>
      </c>
      <c r="AK508" s="3" t="s">
        <v>1396</v>
      </c>
      <c r="AL508" s="38" t="str">
        <f t="shared" si="145"/>
        <v>D.M.</v>
      </c>
      <c r="AQ508" s="3" t="s">
        <v>1396</v>
      </c>
      <c r="AR508" s="52" t="str">
        <f t="shared" si="146"/>
        <v>Mishra</v>
      </c>
      <c r="AW508" s="54">
        <f ca="1">DATEDIF(BI508,TODAY(),"Y")</f>
        <v>7</v>
      </c>
      <c r="AX508" s="54"/>
      <c r="BH508" s="3" t="s">
        <v>1397</v>
      </c>
      <c r="BI508" s="51">
        <f t="shared" si="148"/>
        <v>43331</v>
      </c>
      <c r="BJ508" s="38">
        <f t="shared" ca="1" si="149"/>
        <v>2085</v>
      </c>
      <c r="BK508" s="38"/>
      <c r="BL508" s="38" t="str">
        <f t="shared" si="150"/>
        <v>No</v>
      </c>
      <c r="BM508"/>
      <c r="BN508" s="51"/>
      <c r="BP508" s="3" t="s">
        <v>1395</v>
      </c>
      <c r="BQ508" s="3" t="s">
        <v>16</v>
      </c>
      <c r="BR508" s="19" t="s">
        <v>705</v>
      </c>
      <c r="BS508" s="19" t="s">
        <v>3164</v>
      </c>
      <c r="BT508" s="54" t="str">
        <f t="shared" si="147"/>
        <v>Engineering</v>
      </c>
      <c r="BV508" s="3" t="s">
        <v>1395</v>
      </c>
      <c r="BW508" s="3" t="s">
        <v>1396</v>
      </c>
      <c r="CC508" s="3" t="s">
        <v>1396</v>
      </c>
      <c r="CD508" s="3" t="s">
        <v>335</v>
      </c>
      <c r="CG508" s="54">
        <f>IFERROR(_xlfn.XLOOKUP(Hiring!A508,Hiring!A508:A907,Hiring!B508:B907,,0),"Not Found")</f>
        <v>0</v>
      </c>
    </row>
    <row r="509" spans="6:85">
      <c r="F509" s="4">
        <v>4.4000000000000004</v>
      </c>
      <c r="G509" s="52" t="str" cm="1">
        <f t="array" ref="G509">_xlfn.IFS(F509&gt;=4.5,"Excellent",AND(F509&gt;=3.5,F509&lt;=4.4),"Good",F509&lt;3.5,"Needs Improvement")</f>
        <v>Good</v>
      </c>
      <c r="Q509" s="18">
        <v>7.97</v>
      </c>
      <c r="R509" s="56" t="str">
        <f t="shared" si="141"/>
        <v>Yes</v>
      </c>
      <c r="W509" s="18" t="s">
        <v>705</v>
      </c>
      <c r="X509" s="54" t="str">
        <f>VLOOKUP(W509,Employees!$A$1:$B$601,2,FALSE)</f>
        <v>Puspita Ratha</v>
      </c>
      <c r="Z509" s="4" t="s">
        <v>1398</v>
      </c>
      <c r="AA509" s="54" t="str">
        <f t="shared" si="142"/>
        <v>0508</v>
      </c>
      <c r="AC509" s="4" t="s">
        <v>89</v>
      </c>
      <c r="AD509" s="54" t="str">
        <f t="shared" si="143"/>
        <v>Data Science</v>
      </c>
      <c r="AF509" s="4" t="s">
        <v>548</v>
      </c>
      <c r="AG509" s="4" t="s">
        <v>89</v>
      </c>
      <c r="AH509" s="4" t="s">
        <v>26</v>
      </c>
      <c r="AI509" s="54" t="str">
        <f t="shared" si="144"/>
        <v>Barsha Pattnaik|Data Science|InfySoft Bhubaneswar</v>
      </c>
      <c r="AK509" s="4" t="s">
        <v>548</v>
      </c>
      <c r="AL509" s="38" t="str">
        <f t="shared" si="145"/>
        <v>B.P.</v>
      </c>
      <c r="AQ509" s="4" t="s">
        <v>548</v>
      </c>
      <c r="AR509" s="52" t="str">
        <f t="shared" si="146"/>
        <v>NO</v>
      </c>
      <c r="AW509" s="54">
        <f ca="1">DATEDIF(BI509,TODAY(),"Y")</f>
        <v>7</v>
      </c>
      <c r="AX509" s="54"/>
      <c r="BH509" s="4" t="s">
        <v>656</v>
      </c>
      <c r="BI509" s="51">
        <f t="shared" si="148"/>
        <v>43590</v>
      </c>
      <c r="BJ509" s="38">
        <f t="shared" ca="1" si="149"/>
        <v>1900</v>
      </c>
      <c r="BK509" s="38"/>
      <c r="BL509" s="38" t="str">
        <f t="shared" si="150"/>
        <v>No</v>
      </c>
      <c r="BM509"/>
      <c r="BN509" s="51"/>
      <c r="BP509" s="4" t="s">
        <v>1398</v>
      </c>
      <c r="BQ509" s="4" t="s">
        <v>89</v>
      </c>
      <c r="BR509" s="18" t="s">
        <v>705</v>
      </c>
      <c r="BS509" s="18" t="s">
        <v>3166</v>
      </c>
      <c r="BT509" s="54" t="str">
        <f t="shared" si="147"/>
        <v>Engineering</v>
      </c>
      <c r="BV509" s="4" t="s">
        <v>1398</v>
      </c>
      <c r="BW509" s="4" t="s">
        <v>548</v>
      </c>
      <c r="CC509" s="4" t="s">
        <v>548</v>
      </c>
      <c r="CD509" s="4" t="s">
        <v>221</v>
      </c>
      <c r="CG509" s="54">
        <f>IFERROR(_xlfn.XLOOKUP(Hiring!A509,Hiring!A509:A908,Hiring!B509:B908,,0),"Not Found")</f>
        <v>0</v>
      </c>
    </row>
    <row r="510" spans="6:85">
      <c r="F510" s="3">
        <v>3.4</v>
      </c>
      <c r="G510" s="52" t="str" cm="1">
        <f t="array" ref="G510">_xlfn.IFS(F510&gt;=4.5,"Excellent",AND(F510&gt;=3.5,F510&lt;=4.4),"Good",F510&lt;3.5,"Needs Improvement")</f>
        <v>Needs Improvement</v>
      </c>
      <c r="Q510" s="19">
        <v>9.85</v>
      </c>
      <c r="R510" s="56" t="str">
        <f t="shared" si="141"/>
        <v>Yes</v>
      </c>
      <c r="W510" s="19" t="s">
        <v>705</v>
      </c>
      <c r="X510" s="54" t="str">
        <f>VLOOKUP(W510,Employees!$A$1:$B$601,2,FALSE)</f>
        <v>Puspita Ratha</v>
      </c>
      <c r="Z510" s="3" t="s">
        <v>1399</v>
      </c>
      <c r="AA510" s="54" t="str">
        <f t="shared" si="142"/>
        <v>0509</v>
      </c>
      <c r="AC510" s="3" t="s">
        <v>89</v>
      </c>
      <c r="AD510" s="54" t="str">
        <f t="shared" si="143"/>
        <v>Data Science</v>
      </c>
      <c r="AF510" s="3" t="s">
        <v>1400</v>
      </c>
      <c r="AG510" s="3" t="s">
        <v>89</v>
      </c>
      <c r="AH510" s="3" t="s">
        <v>18</v>
      </c>
      <c r="AI510" s="54" t="str">
        <f t="shared" si="144"/>
        <v>Barsha Mishra|Data Science|CoastalDev Studio</v>
      </c>
      <c r="AK510" s="3" t="s">
        <v>1400</v>
      </c>
      <c r="AL510" s="38" t="str">
        <f t="shared" si="145"/>
        <v>B.M.</v>
      </c>
      <c r="AQ510" s="3" t="s">
        <v>1400</v>
      </c>
      <c r="AR510" s="52" t="str">
        <f t="shared" si="146"/>
        <v>Mishra</v>
      </c>
      <c r="AW510" s="54">
        <f ca="1">DATEDIF(BI510,TODAY(),"Y")</f>
        <v>4</v>
      </c>
      <c r="AX510" s="54"/>
      <c r="BH510" s="3" t="s">
        <v>1401</v>
      </c>
      <c r="BI510" s="51">
        <f t="shared" si="148"/>
        <v>44687</v>
      </c>
      <c r="BJ510" s="38">
        <f t="shared" ca="1" si="149"/>
        <v>1116</v>
      </c>
      <c r="BK510" s="38"/>
      <c r="BL510" s="38" t="str">
        <f t="shared" si="150"/>
        <v>No</v>
      </c>
      <c r="BM510"/>
      <c r="BN510" s="51"/>
      <c r="BP510" s="3" t="s">
        <v>1399</v>
      </c>
      <c r="BQ510" s="3" t="s">
        <v>89</v>
      </c>
      <c r="BR510" s="19" t="s">
        <v>705</v>
      </c>
      <c r="BS510" s="19" t="s">
        <v>3167</v>
      </c>
      <c r="BT510" s="54" t="str">
        <f t="shared" si="147"/>
        <v>Engineering</v>
      </c>
      <c r="BV510" s="3" t="s">
        <v>1399</v>
      </c>
      <c r="BW510" s="3" t="s">
        <v>1400</v>
      </c>
      <c r="CC510" s="3" t="s">
        <v>1400</v>
      </c>
      <c r="CD510" s="3" t="s">
        <v>376</v>
      </c>
      <c r="CG510" s="54">
        <f>IFERROR(_xlfn.XLOOKUP(Hiring!A510,Hiring!A510:A909,Hiring!B510:B909,,0),"Not Found")</f>
        <v>0</v>
      </c>
    </row>
    <row r="511" spans="6:85">
      <c r="F511" s="4">
        <v>3.1</v>
      </c>
      <c r="G511" s="52" t="str" cm="1">
        <f t="array" ref="G511">_xlfn.IFS(F511&gt;=4.5,"Excellent",AND(F511&gt;=3.5,F511&lt;=4.4),"Good",F511&lt;3.5,"Needs Improvement")</f>
        <v>Needs Improvement</v>
      </c>
      <c r="Q511" s="18">
        <v>10.53</v>
      </c>
      <c r="R511" s="56" t="str">
        <f t="shared" si="141"/>
        <v>Yes</v>
      </c>
      <c r="W511" s="18" t="s">
        <v>705</v>
      </c>
      <c r="X511" s="54" t="str">
        <f>VLOOKUP(W511,Employees!$A$1:$B$601,2,FALSE)</f>
        <v>Puspita Ratha</v>
      </c>
      <c r="Z511" s="4" t="s">
        <v>1402</v>
      </c>
      <c r="AA511" s="54" t="str">
        <f t="shared" si="142"/>
        <v>0510</v>
      </c>
      <c r="AC511" s="4" t="s">
        <v>16</v>
      </c>
      <c r="AD511" s="54" t="str">
        <f t="shared" si="143"/>
        <v>Devops</v>
      </c>
      <c r="AF511" s="4" t="s">
        <v>1403</v>
      </c>
      <c r="AG511" s="4" t="s">
        <v>16</v>
      </c>
      <c r="AH511" s="4" t="s">
        <v>26</v>
      </c>
      <c r="AI511" s="54" t="str">
        <f t="shared" si="144"/>
        <v>Sangita Routray|DevOps|InfySoft Bhubaneswar</v>
      </c>
      <c r="AK511" s="4" t="s">
        <v>1403</v>
      </c>
      <c r="AL511" s="38" t="str">
        <f t="shared" si="145"/>
        <v>S.R.</v>
      </c>
      <c r="AQ511" s="4" t="s">
        <v>1403</v>
      </c>
      <c r="AR511" s="52" t="str">
        <f t="shared" si="146"/>
        <v>NO</v>
      </c>
      <c r="AW511" s="54">
        <f ca="1">DATEDIF(BI511,TODAY(),"Y")</f>
        <v>2</v>
      </c>
      <c r="AX511" s="54"/>
      <c r="BH511" s="4" t="s">
        <v>1404</v>
      </c>
      <c r="BI511" s="51">
        <f t="shared" si="148"/>
        <v>45218</v>
      </c>
      <c r="BJ511" s="38">
        <f t="shared" ca="1" si="149"/>
        <v>737</v>
      </c>
      <c r="BK511" s="38"/>
      <c r="BL511" s="38" t="str">
        <f t="shared" si="150"/>
        <v>No</v>
      </c>
      <c r="BM511"/>
      <c r="BN511" s="51"/>
      <c r="BP511" s="4" t="s">
        <v>1402</v>
      </c>
      <c r="BQ511" s="4" t="s">
        <v>16</v>
      </c>
      <c r="BR511" s="18" t="s">
        <v>705</v>
      </c>
      <c r="BS511" s="18" t="s">
        <v>3168</v>
      </c>
      <c r="BT511" s="54" t="str">
        <f t="shared" si="147"/>
        <v>Engineering</v>
      </c>
      <c r="BV511" s="4" t="s">
        <v>1402</v>
      </c>
      <c r="BW511" s="4" t="s">
        <v>1403</v>
      </c>
      <c r="CC511" s="4" t="s">
        <v>1403</v>
      </c>
      <c r="CD511" s="4" t="s">
        <v>123</v>
      </c>
      <c r="CG511" s="54">
        <f>IFERROR(_xlfn.XLOOKUP(Hiring!A511,Hiring!A511:A910,Hiring!B511:B910,,0),"Not Found")</f>
        <v>0</v>
      </c>
    </row>
    <row r="512" spans="6:85">
      <c r="F512" s="3">
        <v>2.4</v>
      </c>
      <c r="G512" s="52" t="str" cm="1">
        <f t="array" ref="G512">_xlfn.IFS(F512&gt;=4.5,"Excellent",AND(F512&gt;=3.5,F512&lt;=4.4),"Good",F512&lt;3.5,"Needs Improvement")</f>
        <v>Needs Improvement</v>
      </c>
      <c r="Q512" s="19">
        <v>9.66</v>
      </c>
      <c r="R512" s="56" t="str">
        <f t="shared" si="141"/>
        <v>Yes</v>
      </c>
      <c r="W512" s="19" t="s">
        <v>705</v>
      </c>
      <c r="X512" s="54" t="str">
        <f>VLOOKUP(W512,Employees!$A$1:$B$601,2,FALSE)</f>
        <v>Puspita Ratha</v>
      </c>
      <c r="Z512" s="3" t="s">
        <v>1405</v>
      </c>
      <c r="AA512" s="54" t="str">
        <f t="shared" si="142"/>
        <v>0511</v>
      </c>
      <c r="AC512" s="3" t="s">
        <v>89</v>
      </c>
      <c r="AD512" s="54" t="str">
        <f t="shared" si="143"/>
        <v>Data Science</v>
      </c>
      <c r="AF512" s="3" t="s">
        <v>389</v>
      </c>
      <c r="AG512" s="3" t="s">
        <v>89</v>
      </c>
      <c r="AH512" s="3" t="s">
        <v>114</v>
      </c>
      <c r="AI512" s="54" t="str">
        <f t="shared" si="144"/>
        <v>Rahul Prusty|Data Science|UtkalSoft Technologies</v>
      </c>
      <c r="AK512" s="3" t="s">
        <v>389</v>
      </c>
      <c r="AL512" s="38" t="str">
        <f t="shared" si="145"/>
        <v>R.P.</v>
      </c>
      <c r="AQ512" s="3" t="s">
        <v>389</v>
      </c>
      <c r="AR512" s="52" t="str">
        <f t="shared" si="146"/>
        <v>NO</v>
      </c>
      <c r="AW512" s="54">
        <f ca="1">DATEDIF(BI512,TODAY(),"Y")</f>
        <v>6</v>
      </c>
      <c r="AX512" s="54"/>
      <c r="BH512" s="3" t="s">
        <v>1406</v>
      </c>
      <c r="BI512" s="51">
        <f t="shared" si="148"/>
        <v>43825</v>
      </c>
      <c r="BJ512" s="38">
        <f t="shared" ca="1" si="149"/>
        <v>1732</v>
      </c>
      <c r="BK512" s="38"/>
      <c r="BL512" s="38" t="str">
        <f t="shared" si="150"/>
        <v>No</v>
      </c>
      <c r="BM512"/>
      <c r="BN512" s="51"/>
      <c r="BP512" s="3" t="s">
        <v>1405</v>
      </c>
      <c r="BQ512" s="3" t="s">
        <v>89</v>
      </c>
      <c r="BR512" s="19" t="s">
        <v>705</v>
      </c>
      <c r="BS512" s="19" t="s">
        <v>3170</v>
      </c>
      <c r="BT512" s="54" t="str">
        <f t="shared" si="147"/>
        <v>Engineering</v>
      </c>
      <c r="BV512" s="3" t="s">
        <v>1405</v>
      </c>
      <c r="BW512" s="3" t="s">
        <v>389</v>
      </c>
      <c r="CC512" s="3" t="s">
        <v>389</v>
      </c>
      <c r="CD512" s="3" t="s">
        <v>221</v>
      </c>
      <c r="CG512" s="54">
        <f>IFERROR(_xlfn.XLOOKUP(Hiring!A512,Hiring!A512:A911,Hiring!B512:B911,,0),"Not Found")</f>
        <v>0</v>
      </c>
    </row>
    <row r="513" spans="6:85">
      <c r="F513" s="4">
        <v>0</v>
      </c>
      <c r="G513" s="52" t="str" cm="1">
        <f t="array" ref="G513">_xlfn.IFS(F513&gt;=4.5,"Excellent",AND(F513&gt;=3.5,F513&lt;=4.4),"Good",F513&lt;3.5,"Needs Improvement")</f>
        <v>Needs Improvement</v>
      </c>
      <c r="Q513" s="18">
        <v>9.64</v>
      </c>
      <c r="R513" s="56" t="str">
        <f t="shared" si="141"/>
        <v>Yes</v>
      </c>
      <c r="W513" s="18" t="s">
        <v>705</v>
      </c>
      <c r="X513" s="54" t="str">
        <f>VLOOKUP(W513,Employees!$A$1:$B$601,2,FALSE)</f>
        <v>Puspita Ratha</v>
      </c>
      <c r="Z513" s="4" t="s">
        <v>1407</v>
      </c>
      <c r="AA513" s="54" t="str">
        <f t="shared" si="142"/>
        <v>0512</v>
      </c>
      <c r="AC513" s="4" t="s">
        <v>118</v>
      </c>
      <c r="AD513" s="54" t="str">
        <f t="shared" si="143"/>
        <v>Marketing</v>
      </c>
      <c r="AF513" s="4" t="s">
        <v>1408</v>
      </c>
      <c r="AG513" s="4" t="s">
        <v>118</v>
      </c>
      <c r="AH513" s="4" t="s">
        <v>53</v>
      </c>
      <c r="AI513" s="54" t="str">
        <f t="shared" si="144"/>
        <v>Saurav Pattnaik|Marketing|BlueLotus IT</v>
      </c>
      <c r="AK513" s="4" t="s">
        <v>1408</v>
      </c>
      <c r="AL513" s="38" t="str">
        <f t="shared" si="145"/>
        <v>S.P.</v>
      </c>
      <c r="AQ513" s="4" t="s">
        <v>1408</v>
      </c>
      <c r="AR513" s="52" t="str">
        <f t="shared" si="146"/>
        <v>NO</v>
      </c>
      <c r="AW513" s="54">
        <f ca="1">DATEDIF(BI513,TODAY(),"Y")</f>
        <v>4</v>
      </c>
      <c r="AX513" s="54"/>
      <c r="BH513" s="4" t="s">
        <v>1409</v>
      </c>
      <c r="BI513" s="51">
        <f t="shared" si="148"/>
        <v>44554</v>
      </c>
      <c r="BJ513" s="38">
        <f t="shared" ca="1" si="149"/>
        <v>1211</v>
      </c>
      <c r="BK513" s="38"/>
      <c r="BL513" s="38" t="str">
        <f t="shared" si="150"/>
        <v>No</v>
      </c>
      <c r="BM513"/>
      <c r="BN513" s="51"/>
      <c r="BP513" s="4" t="s">
        <v>1407</v>
      </c>
      <c r="BQ513" s="4" t="s">
        <v>118</v>
      </c>
      <c r="BR513" s="18" t="s">
        <v>705</v>
      </c>
      <c r="BS513" s="18" t="s">
        <v>3171</v>
      </c>
      <c r="BT513" s="54" t="str">
        <f t="shared" si="147"/>
        <v>Engineering</v>
      </c>
      <c r="BV513" s="4" t="s">
        <v>1407</v>
      </c>
      <c r="BW513" s="4" t="s">
        <v>1408</v>
      </c>
      <c r="CC513" s="4" t="s">
        <v>1408</v>
      </c>
      <c r="CD513" s="4" t="s">
        <v>119</v>
      </c>
      <c r="CG513" s="54">
        <f>IFERROR(_xlfn.XLOOKUP(Hiring!A513,Hiring!A513:A912,Hiring!B513:B912,,0),"Not Found")</f>
        <v>0</v>
      </c>
    </row>
    <row r="514" spans="6:85">
      <c r="F514" s="3">
        <v>2.5</v>
      </c>
      <c r="G514" s="52" t="str" cm="1">
        <f t="array" ref="G514">_xlfn.IFS(F514&gt;=4.5,"Excellent",AND(F514&gt;=3.5,F514&lt;=4.4),"Good",F514&lt;3.5,"Needs Improvement")</f>
        <v>Needs Improvement</v>
      </c>
      <c r="Q514" s="19">
        <v>11.11</v>
      </c>
      <c r="R514" s="56" t="str">
        <f t="shared" si="141"/>
        <v>Yes</v>
      </c>
      <c r="W514" s="19" t="s">
        <v>705</v>
      </c>
      <c r="X514" s="54" t="str">
        <f>VLOOKUP(W514,Employees!$A$1:$B$601,2,FALSE)</f>
        <v>Puspita Ratha</v>
      </c>
      <c r="Z514" s="3" t="s">
        <v>1410</v>
      </c>
      <c r="AA514" s="54" t="str">
        <f t="shared" si="142"/>
        <v>0513</v>
      </c>
      <c r="AC514" s="3" t="s">
        <v>16</v>
      </c>
      <c r="AD514" s="54" t="str">
        <f t="shared" si="143"/>
        <v>Devops</v>
      </c>
      <c r="AF514" s="3" t="s">
        <v>1274</v>
      </c>
      <c r="AG514" s="3" t="s">
        <v>16</v>
      </c>
      <c r="AH514" s="3" t="s">
        <v>172</v>
      </c>
      <c r="AI514" s="54" t="str">
        <f t="shared" si="144"/>
        <v>Rajan Jena|DevOps|TechNova Solutions</v>
      </c>
      <c r="AK514" s="3" t="s">
        <v>1274</v>
      </c>
      <c r="AL514" s="38" t="str">
        <f t="shared" si="145"/>
        <v>R.J.</v>
      </c>
      <c r="AQ514" s="3" t="s">
        <v>1274</v>
      </c>
      <c r="AR514" s="52" t="str">
        <f t="shared" si="146"/>
        <v>NO</v>
      </c>
      <c r="AW514" s="54">
        <f ca="1">DATEDIF(BI514,TODAY(),"Y")</f>
        <v>2</v>
      </c>
      <c r="AX514" s="54"/>
      <c r="BH514" s="3" t="s">
        <v>106</v>
      </c>
      <c r="BI514" s="51">
        <f t="shared" si="148"/>
        <v>45238</v>
      </c>
      <c r="BJ514" s="38">
        <f t="shared" ca="1" si="149"/>
        <v>723</v>
      </c>
      <c r="BK514" s="38"/>
      <c r="BL514" s="38" t="str">
        <f t="shared" si="150"/>
        <v>No</v>
      </c>
      <c r="BM514"/>
      <c r="BN514" s="51"/>
      <c r="BP514" s="3" t="s">
        <v>1410</v>
      </c>
      <c r="BQ514" s="3" t="s">
        <v>16</v>
      </c>
      <c r="BR514" s="19" t="s">
        <v>705</v>
      </c>
      <c r="BS514" s="19" t="s">
        <v>3172</v>
      </c>
      <c r="BT514" s="54" t="str">
        <f t="shared" si="147"/>
        <v>Engineering</v>
      </c>
      <c r="BV514" s="3" t="s">
        <v>1410</v>
      </c>
      <c r="BW514" s="3" t="s">
        <v>1274</v>
      </c>
      <c r="CC514" s="3" t="s">
        <v>1274</v>
      </c>
      <c r="CD514" s="3" t="s">
        <v>335</v>
      </c>
      <c r="CG514" s="54">
        <f>IFERROR(_xlfn.XLOOKUP(Hiring!A514,Hiring!A514:A913,Hiring!B514:B913,,0),"Not Found")</f>
        <v>0</v>
      </c>
    </row>
    <row r="515" spans="6:85">
      <c r="F515" s="4">
        <v>2.5</v>
      </c>
      <c r="G515" s="52" t="str" cm="1">
        <f t="array" ref="G515">_xlfn.IFS(F515&gt;=4.5,"Excellent",AND(F515&gt;=3.5,F515&lt;=4.4),"Good",F515&lt;3.5,"Needs Improvement")</f>
        <v>Needs Improvement</v>
      </c>
      <c r="Q515" s="18">
        <v>9.9</v>
      </c>
      <c r="R515" s="56" t="str">
        <f t="shared" ref="R515:R578" si="151">IF(ISBLANK(Q515),"No","Yes")</f>
        <v>Yes</v>
      </c>
      <c r="W515" s="18" t="s">
        <v>705</v>
      </c>
      <c r="X515" s="54" t="str">
        <f>VLOOKUP(W515,Employees!$A$1:$B$601,2,FALSE)</f>
        <v>Puspita Ratha</v>
      </c>
      <c r="Z515" s="4" t="s">
        <v>1411</v>
      </c>
      <c r="AA515" s="54" t="str">
        <f t="shared" ref="AA515:AA578" si="152">RIGHT(Z515,4)</f>
        <v>0514</v>
      </c>
      <c r="AC515" s="4" t="s">
        <v>63</v>
      </c>
      <c r="AD515" s="54" t="str">
        <f t="shared" ref="AD515:AD578" si="153">PROPER(AC515)</f>
        <v>Product</v>
      </c>
      <c r="AF515" s="4" t="s">
        <v>958</v>
      </c>
      <c r="AG515" s="4" t="s">
        <v>63</v>
      </c>
      <c r="AH515" s="4" t="s">
        <v>172</v>
      </c>
      <c r="AI515" s="54" t="str">
        <f t="shared" ref="AI515:AI578" si="154">_xlfn.CONCAT(AF515,"|",AG515,"|",AH515)</f>
        <v>Bikash Parida|Product|TechNova Solutions</v>
      </c>
      <c r="AK515" s="4" t="s">
        <v>958</v>
      </c>
      <c r="AL515" s="38" t="str">
        <f t="shared" ref="AL515:AL578" si="155">LEFT(AK515,1)&amp;"."&amp;MID(AK515,FIND(" ",AK515)+1,1)&amp;"."</f>
        <v>B.P.</v>
      </c>
      <c r="AQ515" s="4" t="s">
        <v>958</v>
      </c>
      <c r="AR515" s="52" t="str">
        <f t="shared" ref="AR515:AR578" si="156">IF(ISNUMBER(SEARCH("Mishra",AQ515)),"Mishra","NO")</f>
        <v>NO</v>
      </c>
      <c r="AW515" s="54">
        <f ca="1">DATEDIF(BI515,TODAY(),"Y")</f>
        <v>4</v>
      </c>
      <c r="AX515" s="54"/>
      <c r="BH515" s="4" t="s">
        <v>1412</v>
      </c>
      <c r="BI515" s="51">
        <f t="shared" si="148"/>
        <v>44436</v>
      </c>
      <c r="BJ515" s="38">
        <f t="shared" ca="1" si="149"/>
        <v>1295</v>
      </c>
      <c r="BK515" s="38"/>
      <c r="BL515" s="38" t="str">
        <f t="shared" si="150"/>
        <v>No</v>
      </c>
      <c r="BM515"/>
      <c r="BN515" s="51"/>
      <c r="BP515" s="4" t="s">
        <v>1411</v>
      </c>
      <c r="BQ515" s="4" t="s">
        <v>63</v>
      </c>
      <c r="BR515" s="18" t="s">
        <v>705</v>
      </c>
      <c r="BS515" s="18" t="s">
        <v>3174</v>
      </c>
      <c r="BT515" s="54" t="str">
        <f t="shared" ref="BT515:BT578" si="157">VLOOKUP(BR515,$BP$2:$BQ$601,2,FALSE)</f>
        <v>Engineering</v>
      </c>
      <c r="BV515" s="4" t="s">
        <v>1411</v>
      </c>
      <c r="BW515" s="4" t="s">
        <v>958</v>
      </c>
      <c r="CC515" s="4" t="s">
        <v>958</v>
      </c>
      <c r="CD515" s="4" t="s">
        <v>145</v>
      </c>
      <c r="CG515" s="54">
        <f>IFERROR(_xlfn.XLOOKUP(Hiring!A515,Hiring!A515:A914,Hiring!B515:B914,,0),"Not Found")</f>
        <v>0</v>
      </c>
    </row>
    <row r="516" spans="6:85">
      <c r="F516" s="3">
        <v>3.8</v>
      </c>
      <c r="G516" s="52" t="str" cm="1">
        <f t="array" ref="G516">_xlfn.IFS(F516&gt;=4.5,"Excellent",AND(F516&gt;=3.5,F516&lt;=4.4),"Good",F516&lt;3.5,"Needs Improvement")</f>
        <v>Good</v>
      </c>
      <c r="Q516" s="19">
        <v>6.83</v>
      </c>
      <c r="R516" s="56" t="str">
        <f t="shared" si="151"/>
        <v>Yes</v>
      </c>
      <c r="W516" s="19" t="s">
        <v>705</v>
      </c>
      <c r="X516" s="54" t="str">
        <f>VLOOKUP(W516,Employees!$A$1:$B$601,2,FALSE)</f>
        <v>Puspita Ratha</v>
      </c>
      <c r="Z516" s="3" t="s">
        <v>1413</v>
      </c>
      <c r="AA516" s="54" t="str">
        <f t="shared" si="152"/>
        <v>0515</v>
      </c>
      <c r="AC516" s="3" t="s">
        <v>24</v>
      </c>
      <c r="AD516" s="54" t="str">
        <f t="shared" si="153"/>
        <v>Design</v>
      </c>
      <c r="AF516" s="3" t="s">
        <v>1414</v>
      </c>
      <c r="AG516" s="3" t="s">
        <v>24</v>
      </c>
      <c r="AH516" s="3" t="s">
        <v>32</v>
      </c>
      <c r="AI516" s="54" t="str">
        <f t="shared" si="154"/>
        <v>Puspita Biswal|Design|NilGiri Digitals</v>
      </c>
      <c r="AK516" s="3" t="s">
        <v>1414</v>
      </c>
      <c r="AL516" s="38" t="str">
        <f t="shared" si="155"/>
        <v>P.B.</v>
      </c>
      <c r="AQ516" s="3" t="s">
        <v>1414</v>
      </c>
      <c r="AR516" s="52" t="str">
        <f t="shared" si="156"/>
        <v>NO</v>
      </c>
      <c r="AW516" s="54">
        <f ca="1">DATEDIF(BI516,TODAY(),"Y")</f>
        <v>6</v>
      </c>
      <c r="AX516" s="54"/>
      <c r="BH516" s="3" t="s">
        <v>1415</v>
      </c>
      <c r="BI516" s="51">
        <f t="shared" ref="BI516:BI579" si="158">IF(LEN(LEFT(BH516,FIND("-",BH516)-1))=4,DATE(LEFT(BH516,4),MID(BH516,6,2),RIGHT(BH516,2)),DATE(RIGHT(BH516,4),MID(BH516,4,2),LEFT(BH516,2)))</f>
        <v>44013</v>
      </c>
      <c r="BJ516" s="38">
        <f t="shared" ref="BJ516:BJ579" ca="1" si="159">NETWORKDAYS(BI516,TODAY())</f>
        <v>1598</v>
      </c>
      <c r="BK516" s="38"/>
      <c r="BL516" s="38" t="str">
        <f t="shared" ref="BL516:BL579" si="160">IF(MONTH(BI516)&lt;=3,"Q1","No")</f>
        <v>No</v>
      </c>
      <c r="BM516"/>
      <c r="BN516" s="51"/>
      <c r="BP516" s="3" t="s">
        <v>1413</v>
      </c>
      <c r="BQ516" s="3" t="s">
        <v>24</v>
      </c>
      <c r="BR516" s="19" t="s">
        <v>705</v>
      </c>
      <c r="BS516" s="19" t="s">
        <v>3176</v>
      </c>
      <c r="BT516" s="54" t="str">
        <f t="shared" si="157"/>
        <v>Engineering</v>
      </c>
      <c r="BV516" s="3" t="s">
        <v>1413</v>
      </c>
      <c r="BW516" s="3" t="s">
        <v>1414</v>
      </c>
      <c r="CC516" s="3" t="s">
        <v>1414</v>
      </c>
      <c r="CD516" s="3" t="s">
        <v>45</v>
      </c>
      <c r="CG516" s="54">
        <f>IFERROR(_xlfn.XLOOKUP(Hiring!A516,Hiring!A516:A915,Hiring!B516:B915,,0),"Not Found")</f>
        <v>0</v>
      </c>
    </row>
    <row r="517" spans="6:85">
      <c r="F517" s="4">
        <v>2.6</v>
      </c>
      <c r="G517" s="52" t="str" cm="1">
        <f t="array" ref="G517">_xlfn.IFS(F517&gt;=4.5,"Excellent",AND(F517&gt;=3.5,F517&lt;=4.4),"Good",F517&lt;3.5,"Needs Improvement")</f>
        <v>Needs Improvement</v>
      </c>
      <c r="Q517" s="18">
        <v>7.75</v>
      </c>
      <c r="R517" s="56" t="str">
        <f t="shared" si="151"/>
        <v>Yes</v>
      </c>
      <c r="W517" s="18" t="s">
        <v>705</v>
      </c>
      <c r="X517" s="54" t="str">
        <f>VLOOKUP(W517,Employees!$A$1:$B$601,2,FALSE)</f>
        <v>Puspita Ratha</v>
      </c>
      <c r="Z517" s="4" t="s">
        <v>1416</v>
      </c>
      <c r="AA517" s="54" t="str">
        <f t="shared" si="152"/>
        <v>0516</v>
      </c>
      <c r="AC517" s="4" t="s">
        <v>89</v>
      </c>
      <c r="AD517" s="54" t="str">
        <f t="shared" si="153"/>
        <v>Data Science</v>
      </c>
      <c r="AF517" s="4" t="s">
        <v>364</v>
      </c>
      <c r="AG517" s="4" t="s">
        <v>89</v>
      </c>
      <c r="AH517" s="4" t="s">
        <v>26</v>
      </c>
      <c r="AI517" s="54" t="str">
        <f t="shared" si="154"/>
        <v>Jyotirmayee Nanda|Data Science|InfySoft Bhubaneswar</v>
      </c>
      <c r="AK517" s="4" t="s">
        <v>364</v>
      </c>
      <c r="AL517" s="38" t="str">
        <f t="shared" si="155"/>
        <v>J.N.</v>
      </c>
      <c r="AQ517" s="4" t="s">
        <v>364</v>
      </c>
      <c r="AR517" s="52" t="str">
        <f t="shared" si="156"/>
        <v>NO</v>
      </c>
      <c r="AW517" s="54">
        <f ca="1">DATEDIF(BI517,TODAY(),"Y")</f>
        <v>5</v>
      </c>
      <c r="AX517" s="54"/>
      <c r="BH517" s="4" t="s">
        <v>1417</v>
      </c>
      <c r="BI517" s="51">
        <f t="shared" si="158"/>
        <v>44345</v>
      </c>
      <c r="BJ517" s="38">
        <f t="shared" ca="1" si="159"/>
        <v>1360</v>
      </c>
      <c r="BK517" s="38"/>
      <c r="BL517" s="38" t="str">
        <f t="shared" si="160"/>
        <v>No</v>
      </c>
      <c r="BM517"/>
      <c r="BN517" s="51"/>
      <c r="BP517" s="4" t="s">
        <v>1416</v>
      </c>
      <c r="BQ517" s="4" t="s">
        <v>89</v>
      </c>
      <c r="BR517" s="18" t="s">
        <v>705</v>
      </c>
      <c r="BS517" s="18" t="s">
        <v>3177</v>
      </c>
      <c r="BT517" s="54" t="str">
        <f t="shared" si="157"/>
        <v>Engineering</v>
      </c>
      <c r="BV517" s="4" t="s">
        <v>1416</v>
      </c>
      <c r="BW517" s="4" t="s">
        <v>364</v>
      </c>
      <c r="CC517" s="4" t="s">
        <v>364</v>
      </c>
      <c r="CD517" s="4" t="s">
        <v>90</v>
      </c>
      <c r="CG517" s="54">
        <f>IFERROR(_xlfn.XLOOKUP(Hiring!A517,Hiring!A517:A916,Hiring!B517:B916,,0),"Not Found")</f>
        <v>0</v>
      </c>
    </row>
    <row r="518" spans="6:85">
      <c r="F518" s="3">
        <v>5</v>
      </c>
      <c r="G518" s="52" t="str" cm="1">
        <f t="array" ref="G518">_xlfn.IFS(F518&gt;=4.5,"Excellent",AND(F518&gt;=3.5,F518&lt;=4.4),"Good",F518&lt;3.5,"Needs Improvement")</f>
        <v>Excellent</v>
      </c>
      <c r="Q518" s="19">
        <v>7.69</v>
      </c>
      <c r="R518" s="56" t="str">
        <f t="shared" si="151"/>
        <v>Yes</v>
      </c>
      <c r="W518" s="19" t="s">
        <v>346</v>
      </c>
      <c r="X518" s="54" t="str">
        <f>VLOOKUP(W518,Employees!$A$1:$B$601,2,FALSE)</f>
        <v>Alka Nanda</v>
      </c>
      <c r="Z518" s="3" t="s">
        <v>1418</v>
      </c>
      <c r="AA518" s="54" t="str">
        <f t="shared" si="152"/>
        <v>0517</v>
      </c>
      <c r="AC518" s="3" t="s">
        <v>133</v>
      </c>
      <c r="AD518" s="54" t="str">
        <f t="shared" si="153"/>
        <v>Qa</v>
      </c>
      <c r="AF518" s="3" t="s">
        <v>1419</v>
      </c>
      <c r="AG518" s="3" t="s">
        <v>133</v>
      </c>
      <c r="AH518" s="3" t="s">
        <v>65</v>
      </c>
      <c r="AI518" s="54" t="str">
        <f t="shared" si="154"/>
        <v>Puspita Samal|QA|TributeAI</v>
      </c>
      <c r="AK518" s="3" t="s">
        <v>1419</v>
      </c>
      <c r="AL518" s="38" t="str">
        <f t="shared" si="155"/>
        <v>P.S.</v>
      </c>
      <c r="AQ518" s="3" t="s">
        <v>1419</v>
      </c>
      <c r="AR518" s="52" t="str">
        <f t="shared" si="156"/>
        <v>NO</v>
      </c>
      <c r="AW518" s="54">
        <f ca="1">DATEDIF(BI518,TODAY(),"Y")</f>
        <v>2</v>
      </c>
      <c r="AX518" s="54"/>
      <c r="BH518" s="3" t="s">
        <v>1420</v>
      </c>
      <c r="BI518" s="51">
        <f t="shared" si="158"/>
        <v>45413</v>
      </c>
      <c r="BJ518" s="38">
        <f t="shared" ca="1" si="159"/>
        <v>598</v>
      </c>
      <c r="BK518" s="38"/>
      <c r="BL518" s="38" t="str">
        <f t="shared" si="160"/>
        <v>No</v>
      </c>
      <c r="BM518"/>
      <c r="BN518" s="51"/>
      <c r="BP518" s="3" t="s">
        <v>1418</v>
      </c>
      <c r="BQ518" s="3" t="s">
        <v>133</v>
      </c>
      <c r="BR518" s="19" t="s">
        <v>346</v>
      </c>
      <c r="BS518" s="19" t="s">
        <v>3178</v>
      </c>
      <c r="BT518" s="54" t="str">
        <f t="shared" si="157"/>
        <v>Sales</v>
      </c>
      <c r="BV518" s="3" t="s">
        <v>1418</v>
      </c>
      <c r="BW518" s="3" t="s">
        <v>1419</v>
      </c>
      <c r="CC518" s="3" t="s">
        <v>1419</v>
      </c>
      <c r="CD518" s="3" t="s">
        <v>486</v>
      </c>
      <c r="CG518" s="54">
        <f>IFERROR(_xlfn.XLOOKUP(Hiring!A518,Hiring!A518:A917,Hiring!B518:B917,,0),"Not Found")</f>
        <v>0</v>
      </c>
    </row>
    <row r="519" spans="6:85">
      <c r="F519" s="4">
        <v>4.4000000000000004</v>
      </c>
      <c r="G519" s="52" t="str" cm="1">
        <f t="array" ref="G519">_xlfn.IFS(F519&gt;=4.5,"Excellent",AND(F519&gt;=3.5,F519&lt;=4.4),"Good",F519&lt;3.5,"Needs Improvement")</f>
        <v>Good</v>
      </c>
      <c r="Q519" s="18">
        <v>6.98</v>
      </c>
      <c r="R519" s="56" t="str">
        <f t="shared" si="151"/>
        <v>Yes</v>
      </c>
      <c r="W519" s="18" t="s">
        <v>346</v>
      </c>
      <c r="X519" s="54" t="str">
        <f>VLOOKUP(W519,Employees!$A$1:$B$601,2,FALSE)</f>
        <v>Alka Nanda</v>
      </c>
      <c r="Z519" s="4" t="s">
        <v>1421</v>
      </c>
      <c r="AA519" s="54" t="str">
        <f t="shared" si="152"/>
        <v>0518</v>
      </c>
      <c r="AC519" s="4" t="s">
        <v>176</v>
      </c>
      <c r="AD519" s="54" t="str">
        <f t="shared" si="153"/>
        <v>Finance</v>
      </c>
      <c r="AF519" s="4" t="s">
        <v>220</v>
      </c>
      <c r="AG519" s="4" t="s">
        <v>176</v>
      </c>
      <c r="AH519" s="4" t="s">
        <v>65</v>
      </c>
      <c r="AI519" s="54" t="str">
        <f t="shared" si="154"/>
        <v>Debasmita Mishra|Finance|TributeAI</v>
      </c>
      <c r="AK519" s="4" t="s">
        <v>220</v>
      </c>
      <c r="AL519" s="38" t="str">
        <f t="shared" si="155"/>
        <v>D.M.</v>
      </c>
      <c r="AQ519" s="4" t="s">
        <v>220</v>
      </c>
      <c r="AR519" s="52" t="str">
        <f t="shared" si="156"/>
        <v>Mishra</v>
      </c>
      <c r="AW519" s="54">
        <f ca="1">DATEDIF(BI519,TODAY(),"Y")</f>
        <v>8</v>
      </c>
      <c r="AX519" s="54"/>
      <c r="BH519" s="4" t="s">
        <v>1422</v>
      </c>
      <c r="BI519" s="51">
        <f t="shared" si="158"/>
        <v>43305</v>
      </c>
      <c r="BJ519" s="38">
        <f t="shared" ca="1" si="159"/>
        <v>2104</v>
      </c>
      <c r="BK519" s="38"/>
      <c r="BL519" s="38" t="str">
        <f t="shared" si="160"/>
        <v>No</v>
      </c>
      <c r="BM519"/>
      <c r="BN519" s="51"/>
      <c r="BP519" s="4" t="s">
        <v>1421</v>
      </c>
      <c r="BQ519" s="4" t="s">
        <v>176</v>
      </c>
      <c r="BR519" s="18" t="s">
        <v>346</v>
      </c>
      <c r="BS519" s="18" t="s">
        <v>3179</v>
      </c>
      <c r="BT519" s="54" t="str">
        <f t="shared" si="157"/>
        <v>Sales</v>
      </c>
      <c r="BV519" s="4" t="s">
        <v>1421</v>
      </c>
      <c r="BW519" s="4" t="s">
        <v>220</v>
      </c>
      <c r="CC519" s="4" t="s">
        <v>220</v>
      </c>
      <c r="CD519" s="4" t="s">
        <v>177</v>
      </c>
      <c r="CG519" s="54">
        <f>IFERROR(_xlfn.XLOOKUP(Hiring!A519,Hiring!A519:A918,Hiring!B519:B918,,0),"Not Found")</f>
        <v>0</v>
      </c>
    </row>
    <row r="520" spans="6:85">
      <c r="F520" s="3">
        <v>4.4000000000000004</v>
      </c>
      <c r="G520" s="52" t="str" cm="1">
        <f t="array" ref="G520">_xlfn.IFS(F520&gt;=4.5,"Excellent",AND(F520&gt;=3.5,F520&lt;=4.4),"Good",F520&lt;3.5,"Needs Improvement")</f>
        <v>Good</v>
      </c>
      <c r="Q520" s="19">
        <v>10.26</v>
      </c>
      <c r="R520" s="56" t="str">
        <f t="shared" si="151"/>
        <v>Yes</v>
      </c>
      <c r="W520" s="19" t="s">
        <v>346</v>
      </c>
      <c r="X520" s="54" t="str">
        <f>VLOOKUP(W520,Employees!$A$1:$B$601,2,FALSE)</f>
        <v>Alka Nanda</v>
      </c>
      <c r="Z520" s="3" t="s">
        <v>1423</v>
      </c>
      <c r="AA520" s="54" t="str">
        <f t="shared" si="152"/>
        <v>0519</v>
      </c>
      <c r="AC520" s="3" t="s">
        <v>51</v>
      </c>
      <c r="AD520" s="54" t="str">
        <f t="shared" si="153"/>
        <v>Sales</v>
      </c>
      <c r="AF520" s="3" t="s">
        <v>44</v>
      </c>
      <c r="AG520" s="3" t="s">
        <v>51</v>
      </c>
      <c r="AH520" s="3" t="s">
        <v>46</v>
      </c>
      <c r="AI520" s="54" t="str">
        <f t="shared" si="154"/>
        <v>Bikash Nanda|Sales|SambalpurNet</v>
      </c>
      <c r="AK520" s="3" t="s">
        <v>44</v>
      </c>
      <c r="AL520" s="38" t="str">
        <f t="shared" si="155"/>
        <v>B.N.</v>
      </c>
      <c r="AQ520" s="3" t="s">
        <v>44</v>
      </c>
      <c r="AR520" s="52" t="str">
        <f t="shared" si="156"/>
        <v>NO</v>
      </c>
      <c r="AW520" s="54">
        <f ca="1">DATEDIF(BI520,TODAY(),"Y")</f>
        <v>3</v>
      </c>
      <c r="AX520" s="54"/>
      <c r="BH520" s="3" t="s">
        <v>1424</v>
      </c>
      <c r="BI520" s="51">
        <f t="shared" si="158"/>
        <v>45012</v>
      </c>
      <c r="BJ520" s="38">
        <f t="shared" ca="1" si="159"/>
        <v>885</v>
      </c>
      <c r="BK520" s="38"/>
      <c r="BL520" s="38" t="str">
        <f t="shared" si="160"/>
        <v>Q1</v>
      </c>
      <c r="BM520"/>
      <c r="BN520" s="51"/>
      <c r="BP520" s="3" t="s">
        <v>1423</v>
      </c>
      <c r="BQ520" s="3" t="s">
        <v>51</v>
      </c>
      <c r="BR520" s="19" t="s">
        <v>346</v>
      </c>
      <c r="BS520" s="19" t="s">
        <v>3182</v>
      </c>
      <c r="BT520" s="54" t="str">
        <f t="shared" si="157"/>
        <v>Sales</v>
      </c>
      <c r="BV520" s="3" t="s">
        <v>1423</v>
      </c>
      <c r="BW520" s="3" t="s">
        <v>44</v>
      </c>
      <c r="CC520" s="3" t="s">
        <v>44</v>
      </c>
      <c r="CD520" s="3" t="s">
        <v>52</v>
      </c>
      <c r="CG520" s="54">
        <f>IFERROR(_xlfn.XLOOKUP(Hiring!A520,Hiring!A520:A919,Hiring!B520:B919,,0),"Not Found")</f>
        <v>0</v>
      </c>
    </row>
    <row r="521" spans="6:85">
      <c r="F521" s="4">
        <v>5</v>
      </c>
      <c r="G521" s="52" t="str" cm="1">
        <f t="array" ref="G521">_xlfn.IFS(F521&gt;=4.5,"Excellent",AND(F521&gt;=3.5,F521&lt;=4.4),"Good",F521&lt;3.5,"Needs Improvement")</f>
        <v>Excellent</v>
      </c>
      <c r="Q521" s="18">
        <v>11</v>
      </c>
      <c r="R521" s="56" t="str">
        <f t="shared" si="151"/>
        <v>Yes</v>
      </c>
      <c r="W521" s="18" t="s">
        <v>346</v>
      </c>
      <c r="X521" s="54" t="str">
        <f>VLOOKUP(W521,Employees!$A$1:$B$601,2,FALSE)</f>
        <v>Alka Nanda</v>
      </c>
      <c r="Z521" s="4" t="s">
        <v>1425</v>
      </c>
      <c r="AA521" s="54" t="str">
        <f t="shared" si="152"/>
        <v>0520</v>
      </c>
      <c r="AC521" s="4" t="s">
        <v>39</v>
      </c>
      <c r="AD521" s="54" t="str">
        <f t="shared" si="153"/>
        <v>Engineering</v>
      </c>
      <c r="AF521" s="4" t="s">
        <v>1060</v>
      </c>
      <c r="AG521" s="4" t="s">
        <v>39</v>
      </c>
      <c r="AH521" s="4" t="s">
        <v>53</v>
      </c>
      <c r="AI521" s="54" t="str">
        <f t="shared" si="154"/>
        <v>Dibya Sahu|Engineering|BlueLotus IT</v>
      </c>
      <c r="AK521" s="4" t="s">
        <v>1060</v>
      </c>
      <c r="AL521" s="38" t="str">
        <f t="shared" si="155"/>
        <v>D.S.</v>
      </c>
      <c r="AQ521" s="4" t="s">
        <v>1060</v>
      </c>
      <c r="AR521" s="52" t="str">
        <f t="shared" si="156"/>
        <v>NO</v>
      </c>
      <c r="AW521" s="54">
        <f ca="1">DATEDIF(BI521,TODAY(),"Y")</f>
        <v>2</v>
      </c>
      <c r="AX521" s="54"/>
      <c r="BH521" s="4" t="s">
        <v>1426</v>
      </c>
      <c r="BI521" s="51">
        <f t="shared" si="158"/>
        <v>45371</v>
      </c>
      <c r="BJ521" s="38">
        <f t="shared" ca="1" si="159"/>
        <v>628</v>
      </c>
      <c r="BK521" s="38"/>
      <c r="BL521" s="38" t="str">
        <f t="shared" si="160"/>
        <v>Q1</v>
      </c>
      <c r="BM521"/>
      <c r="BN521" s="51"/>
      <c r="BP521" s="4" t="s">
        <v>1425</v>
      </c>
      <c r="BQ521" s="4" t="s">
        <v>39</v>
      </c>
      <c r="BR521" s="18" t="s">
        <v>346</v>
      </c>
      <c r="BS521" s="18" t="s">
        <v>3184</v>
      </c>
      <c r="BT521" s="54" t="str">
        <f t="shared" si="157"/>
        <v>Sales</v>
      </c>
      <c r="BV521" s="4" t="s">
        <v>1425</v>
      </c>
      <c r="BW521" s="4" t="s">
        <v>1060</v>
      </c>
      <c r="CC521" s="4" t="s">
        <v>1060</v>
      </c>
      <c r="CD521" s="4" t="s">
        <v>242</v>
      </c>
      <c r="CG521" s="54">
        <f>IFERROR(_xlfn.XLOOKUP(Hiring!A521,Hiring!A521:A920,Hiring!B521:B920,,0),"Not Found")</f>
        <v>0</v>
      </c>
    </row>
    <row r="522" spans="6:85">
      <c r="F522" s="3">
        <v>4.0999999999999996</v>
      </c>
      <c r="G522" s="52" t="str" cm="1">
        <f t="array" ref="G522">_xlfn.IFS(F522&gt;=4.5,"Excellent",AND(F522&gt;=3.5,F522&lt;=4.4),"Good",F522&lt;3.5,"Needs Improvement")</f>
        <v>Good</v>
      </c>
      <c r="Q522" s="19">
        <v>8.34</v>
      </c>
      <c r="R522" s="56" t="str">
        <f t="shared" si="151"/>
        <v>Yes</v>
      </c>
      <c r="W522" s="19" t="s">
        <v>346</v>
      </c>
      <c r="X522" s="54" t="str">
        <f>VLOOKUP(W522,Employees!$A$1:$B$601,2,FALSE)</f>
        <v>Alka Nanda</v>
      </c>
      <c r="Z522" s="3" t="s">
        <v>1427</v>
      </c>
      <c r="AA522" s="54" t="str">
        <f t="shared" si="152"/>
        <v>0521</v>
      </c>
      <c r="AC522" s="3" t="s">
        <v>24</v>
      </c>
      <c r="AD522" s="54" t="str">
        <f t="shared" si="153"/>
        <v>Design</v>
      </c>
      <c r="AF522" s="3" t="s">
        <v>715</v>
      </c>
      <c r="AG522" s="3" t="s">
        <v>24</v>
      </c>
      <c r="AH522" s="3" t="s">
        <v>75</v>
      </c>
      <c r="AI522" s="54" t="str">
        <f t="shared" si="154"/>
        <v>Namita Tripathy|Design|KalingaTech Pvt Ltd</v>
      </c>
      <c r="AK522" s="3" t="s">
        <v>715</v>
      </c>
      <c r="AL522" s="38" t="str">
        <f t="shared" si="155"/>
        <v>N.T.</v>
      </c>
      <c r="AQ522" s="3" t="s">
        <v>715</v>
      </c>
      <c r="AR522" s="52" t="str">
        <f t="shared" si="156"/>
        <v>NO</v>
      </c>
      <c r="AW522" s="54">
        <f ca="1">DATEDIF(BI522,TODAY(),"Y")</f>
        <v>7</v>
      </c>
      <c r="AX522" s="54"/>
      <c r="BH522" s="3" t="s">
        <v>1428</v>
      </c>
      <c r="BI522" s="51">
        <f t="shared" si="158"/>
        <v>43443</v>
      </c>
      <c r="BJ522" s="38">
        <f t="shared" ca="1" si="159"/>
        <v>2005</v>
      </c>
      <c r="BK522" s="38"/>
      <c r="BL522" s="38" t="str">
        <f t="shared" si="160"/>
        <v>No</v>
      </c>
      <c r="BM522"/>
      <c r="BN522" s="51"/>
      <c r="BP522" s="3" t="s">
        <v>1427</v>
      </c>
      <c r="BQ522" s="3" t="s">
        <v>24</v>
      </c>
      <c r="BR522" s="19" t="s">
        <v>346</v>
      </c>
      <c r="BS522" s="19" t="s">
        <v>3185</v>
      </c>
      <c r="BT522" s="54" t="str">
        <f t="shared" si="157"/>
        <v>Sales</v>
      </c>
      <c r="BV522" s="3" t="s">
        <v>1427</v>
      </c>
      <c r="BW522" s="3" t="s">
        <v>715</v>
      </c>
      <c r="CC522" s="3" t="s">
        <v>715</v>
      </c>
      <c r="CD522" s="3" t="s">
        <v>74</v>
      </c>
      <c r="CG522" s="54">
        <f>IFERROR(_xlfn.XLOOKUP(Hiring!A522,Hiring!A522:A921,Hiring!B522:B921,,0),"Not Found")</f>
        <v>0</v>
      </c>
    </row>
    <row r="523" spans="6:85">
      <c r="F523" s="4">
        <v>3.8</v>
      </c>
      <c r="G523" s="52" t="str" cm="1">
        <f t="array" ref="G523">_xlfn.IFS(F523&gt;=4.5,"Excellent",AND(F523&gt;=3.5,F523&lt;=4.4),"Good",F523&lt;3.5,"Needs Improvement")</f>
        <v>Good</v>
      </c>
      <c r="Q523" s="18">
        <v>10.18</v>
      </c>
      <c r="R523" s="56" t="str">
        <f t="shared" si="151"/>
        <v>Yes</v>
      </c>
      <c r="W523" s="18" t="s">
        <v>346</v>
      </c>
      <c r="X523" s="54" t="str">
        <f>VLOOKUP(W523,Employees!$A$1:$B$601,2,FALSE)</f>
        <v>Alka Nanda</v>
      </c>
      <c r="Z523" s="4" t="s">
        <v>1429</v>
      </c>
      <c r="AA523" s="54" t="str">
        <f t="shared" si="152"/>
        <v>0522</v>
      </c>
      <c r="AC523" s="4" t="s">
        <v>118</v>
      </c>
      <c r="AD523" s="54" t="str">
        <f t="shared" si="153"/>
        <v>Marketing</v>
      </c>
      <c r="AF523" s="4" t="s">
        <v>879</v>
      </c>
      <c r="AG523" s="4" t="s">
        <v>118</v>
      </c>
      <c r="AH523" s="4" t="s">
        <v>32</v>
      </c>
      <c r="AI523" s="54" t="str">
        <f t="shared" si="154"/>
        <v>Satyajit Samal|Marketing|NilGiri Digitals</v>
      </c>
      <c r="AK523" s="4" t="s">
        <v>879</v>
      </c>
      <c r="AL523" s="38" t="str">
        <f t="shared" si="155"/>
        <v>S.S.</v>
      </c>
      <c r="AQ523" s="4" t="s">
        <v>879</v>
      </c>
      <c r="AR523" s="52" t="str">
        <f t="shared" si="156"/>
        <v>NO</v>
      </c>
      <c r="AW523" s="54">
        <f ca="1">DATEDIF(BI523,TODAY(),"Y")</f>
        <v>3</v>
      </c>
      <c r="AX523" s="54"/>
      <c r="BH523" s="4" t="s">
        <v>1430</v>
      </c>
      <c r="BI523" s="51">
        <f t="shared" si="158"/>
        <v>45018</v>
      </c>
      <c r="BJ523" s="38">
        <f t="shared" ca="1" si="159"/>
        <v>880</v>
      </c>
      <c r="BK523" s="38"/>
      <c r="BL523" s="38" t="str">
        <f t="shared" si="160"/>
        <v>No</v>
      </c>
      <c r="BM523"/>
      <c r="BN523" s="51"/>
      <c r="BP523" s="4" t="s">
        <v>1429</v>
      </c>
      <c r="BQ523" s="4" t="s">
        <v>118</v>
      </c>
      <c r="BR523" s="18" t="s">
        <v>346</v>
      </c>
      <c r="BS523" s="18" t="s">
        <v>3186</v>
      </c>
      <c r="BT523" s="54" t="str">
        <f t="shared" si="157"/>
        <v>Sales</v>
      </c>
      <c r="BV523" s="4" t="s">
        <v>1429</v>
      </c>
      <c r="BW523" s="4" t="s">
        <v>879</v>
      </c>
      <c r="CC523" s="4" t="s">
        <v>879</v>
      </c>
      <c r="CD523" s="4" t="s">
        <v>119</v>
      </c>
      <c r="CG523" s="54">
        <f>IFERROR(_xlfn.XLOOKUP(Hiring!A523,Hiring!A523:A922,Hiring!B523:B922,,0),"Not Found")</f>
        <v>0</v>
      </c>
    </row>
    <row r="524" spans="6:85">
      <c r="F524" s="3">
        <v>4.3</v>
      </c>
      <c r="G524" s="52" t="str" cm="1">
        <f t="array" ref="G524">_xlfn.IFS(F524&gt;=4.5,"Excellent",AND(F524&gt;=3.5,F524&lt;=4.4),"Good",F524&lt;3.5,"Needs Improvement")</f>
        <v>Good</v>
      </c>
      <c r="Q524" s="19">
        <v>9.8800000000000008</v>
      </c>
      <c r="R524" s="56" t="str">
        <f t="shared" si="151"/>
        <v>Yes</v>
      </c>
      <c r="W524" s="19" t="s">
        <v>346</v>
      </c>
      <c r="X524" s="54" t="str">
        <f>VLOOKUP(W524,Employees!$A$1:$B$601,2,FALSE)</f>
        <v>Alka Nanda</v>
      </c>
      <c r="Z524" s="3" t="s">
        <v>1431</v>
      </c>
      <c r="AA524" s="54" t="str">
        <f t="shared" si="152"/>
        <v>0523</v>
      </c>
      <c r="AC524" s="3" t="s">
        <v>89</v>
      </c>
      <c r="AD524" s="54" t="str">
        <f t="shared" si="153"/>
        <v>Data Science</v>
      </c>
      <c r="AF524" s="3" t="s">
        <v>104</v>
      </c>
      <c r="AG524" s="3" t="s">
        <v>89</v>
      </c>
      <c r="AH524" s="3" t="s">
        <v>172</v>
      </c>
      <c r="AI524" s="54" t="str">
        <f t="shared" si="154"/>
        <v>Sangita Padhi|Data Science|TechNova Solutions</v>
      </c>
      <c r="AK524" s="3" t="s">
        <v>104</v>
      </c>
      <c r="AL524" s="38" t="str">
        <f t="shared" si="155"/>
        <v>S.P.</v>
      </c>
      <c r="AQ524" s="3" t="s">
        <v>104</v>
      </c>
      <c r="AR524" s="52" t="str">
        <f t="shared" si="156"/>
        <v>NO</v>
      </c>
      <c r="AW524" s="54">
        <f ca="1">DATEDIF(BI524,TODAY(),"Y")</f>
        <v>7</v>
      </c>
      <c r="AX524" s="54"/>
      <c r="BH524" s="3" t="s">
        <v>1432</v>
      </c>
      <c r="BI524" s="51">
        <f t="shared" si="158"/>
        <v>43659</v>
      </c>
      <c r="BJ524" s="38">
        <f t="shared" ca="1" si="159"/>
        <v>1850</v>
      </c>
      <c r="BK524" s="38"/>
      <c r="BL524" s="38" t="str">
        <f t="shared" si="160"/>
        <v>No</v>
      </c>
      <c r="BM524"/>
      <c r="BN524" s="51"/>
      <c r="BP524" s="3" t="s">
        <v>1431</v>
      </c>
      <c r="BQ524" s="3" t="s">
        <v>89</v>
      </c>
      <c r="BR524" s="19" t="s">
        <v>346</v>
      </c>
      <c r="BS524" s="19" t="s">
        <v>3188</v>
      </c>
      <c r="BT524" s="54" t="str">
        <f t="shared" si="157"/>
        <v>Sales</v>
      </c>
      <c r="BV524" s="3" t="s">
        <v>1431</v>
      </c>
      <c r="BW524" s="3" t="s">
        <v>104</v>
      </c>
      <c r="CC524" s="3" t="s">
        <v>104</v>
      </c>
      <c r="CD524" s="3" t="s">
        <v>376</v>
      </c>
      <c r="CG524" s="54">
        <f>IFERROR(_xlfn.XLOOKUP(Hiring!A524,Hiring!A524:A923,Hiring!B524:B923,,0),"Not Found")</f>
        <v>0</v>
      </c>
    </row>
    <row r="525" spans="6:85">
      <c r="F525" s="4">
        <v>3.9</v>
      </c>
      <c r="G525" s="52" t="str" cm="1">
        <f t="array" ref="G525">_xlfn.IFS(F525&gt;=4.5,"Excellent",AND(F525&gt;=3.5,F525&lt;=4.4),"Good",F525&lt;3.5,"Needs Improvement")</f>
        <v>Good</v>
      </c>
      <c r="Q525" s="18">
        <v>11.13</v>
      </c>
      <c r="R525" s="56" t="str">
        <f t="shared" si="151"/>
        <v>Yes</v>
      </c>
      <c r="W525" s="18" t="s">
        <v>346</v>
      </c>
      <c r="X525" s="54" t="str">
        <f>VLOOKUP(W525,Employees!$A$1:$B$601,2,FALSE)</f>
        <v>Alka Nanda</v>
      </c>
      <c r="Z525" s="4" t="s">
        <v>1433</v>
      </c>
      <c r="AA525" s="54" t="str">
        <f t="shared" si="152"/>
        <v>0524</v>
      </c>
      <c r="AC525" s="4" t="s">
        <v>16</v>
      </c>
      <c r="AD525" s="54" t="str">
        <f t="shared" si="153"/>
        <v>Devops</v>
      </c>
      <c r="AF525" s="4" t="s">
        <v>1434</v>
      </c>
      <c r="AG525" s="4" t="s">
        <v>16</v>
      </c>
      <c r="AH525" s="4" t="s">
        <v>46</v>
      </c>
      <c r="AI525" s="54" t="str">
        <f t="shared" si="154"/>
        <v>Tapas Routray|DevOps|SambalpurNet</v>
      </c>
      <c r="AK525" s="4" t="s">
        <v>1434</v>
      </c>
      <c r="AL525" s="38" t="str">
        <f t="shared" si="155"/>
        <v>T.R.</v>
      </c>
      <c r="AQ525" s="4" t="s">
        <v>1434</v>
      </c>
      <c r="AR525" s="52" t="str">
        <f t="shared" si="156"/>
        <v>NO</v>
      </c>
      <c r="AW525" s="54">
        <f ca="1">DATEDIF(BI525,TODAY(),"Y")</f>
        <v>2</v>
      </c>
      <c r="AX525" s="54"/>
      <c r="BH525" s="4" t="s">
        <v>1435</v>
      </c>
      <c r="BI525" s="51">
        <f t="shared" si="158"/>
        <v>45465</v>
      </c>
      <c r="BJ525" s="38">
        <f t="shared" ca="1" si="159"/>
        <v>560</v>
      </c>
      <c r="BK525" s="38"/>
      <c r="BL525" s="38" t="str">
        <f t="shared" si="160"/>
        <v>No</v>
      </c>
      <c r="BM525"/>
      <c r="BN525" s="51"/>
      <c r="BP525" s="4" t="s">
        <v>1433</v>
      </c>
      <c r="BQ525" s="4" t="s">
        <v>16</v>
      </c>
      <c r="BR525" s="18" t="s">
        <v>346</v>
      </c>
      <c r="BS525" s="18" t="s">
        <v>3189</v>
      </c>
      <c r="BT525" s="54" t="str">
        <f t="shared" si="157"/>
        <v>Sales</v>
      </c>
      <c r="BV525" s="4" t="s">
        <v>1433</v>
      </c>
      <c r="BW525" s="4" t="s">
        <v>1434</v>
      </c>
      <c r="CC525" s="4" t="s">
        <v>1434</v>
      </c>
      <c r="CD525" s="4" t="s">
        <v>17</v>
      </c>
      <c r="CG525" s="54">
        <f>IFERROR(_xlfn.XLOOKUP(Hiring!A525,Hiring!A525:A924,Hiring!B525:B924,,0),"Not Found")</f>
        <v>0</v>
      </c>
    </row>
    <row r="526" spans="6:85">
      <c r="F526" s="3">
        <v>1.9</v>
      </c>
      <c r="G526" s="52" t="str" cm="1">
        <f t="array" ref="G526">_xlfn.IFS(F526&gt;=4.5,"Excellent",AND(F526&gt;=3.5,F526&lt;=4.4),"Good",F526&lt;3.5,"Needs Improvement")</f>
        <v>Needs Improvement</v>
      </c>
      <c r="Q526" s="19">
        <v>9.24</v>
      </c>
      <c r="R526" s="56" t="str">
        <f t="shared" si="151"/>
        <v>Yes</v>
      </c>
      <c r="W526" s="19" t="s">
        <v>346</v>
      </c>
      <c r="X526" s="54" t="str">
        <f>VLOOKUP(W526,Employees!$A$1:$B$601,2,FALSE)</f>
        <v>Alka Nanda</v>
      </c>
      <c r="Z526" s="3" t="s">
        <v>1436</v>
      </c>
      <c r="AA526" s="54" t="str">
        <f t="shared" si="152"/>
        <v>0525</v>
      </c>
      <c r="AC526" s="3" t="s">
        <v>24</v>
      </c>
      <c r="AD526" s="54" t="str">
        <f t="shared" si="153"/>
        <v>Design</v>
      </c>
      <c r="AF526" s="3" t="s">
        <v>1251</v>
      </c>
      <c r="AG526" s="3" t="s">
        <v>24</v>
      </c>
      <c r="AH526" s="3" t="s">
        <v>75</v>
      </c>
      <c r="AI526" s="54" t="str">
        <f t="shared" si="154"/>
        <v>Puspita Choudhury|Design|KalingaTech Pvt Ltd</v>
      </c>
      <c r="AK526" s="3" t="s">
        <v>1251</v>
      </c>
      <c r="AL526" s="38" t="str">
        <f t="shared" si="155"/>
        <v>P.C.</v>
      </c>
      <c r="AQ526" s="3" t="s">
        <v>1251</v>
      </c>
      <c r="AR526" s="52" t="str">
        <f t="shared" si="156"/>
        <v>NO</v>
      </c>
      <c r="AW526" s="54">
        <f ca="1">DATEDIF(BI526,TODAY(),"Y")</f>
        <v>2</v>
      </c>
      <c r="AX526" s="54"/>
      <c r="BH526" s="3" t="s">
        <v>1437</v>
      </c>
      <c r="BI526" s="51">
        <f t="shared" si="158"/>
        <v>45241</v>
      </c>
      <c r="BJ526" s="38">
        <f t="shared" ca="1" si="159"/>
        <v>720</v>
      </c>
      <c r="BK526" s="38"/>
      <c r="BL526" s="38" t="str">
        <f t="shared" si="160"/>
        <v>No</v>
      </c>
      <c r="BM526"/>
      <c r="BN526" s="51"/>
      <c r="BP526" s="3" t="s">
        <v>1436</v>
      </c>
      <c r="BQ526" s="3" t="s">
        <v>24</v>
      </c>
      <c r="BR526" s="19" t="s">
        <v>346</v>
      </c>
      <c r="BS526" s="19" t="s">
        <v>3190</v>
      </c>
      <c r="BT526" s="54" t="str">
        <f t="shared" si="157"/>
        <v>Sales</v>
      </c>
      <c r="BV526" s="3" t="s">
        <v>1436</v>
      </c>
      <c r="BW526" s="3" t="s">
        <v>1251</v>
      </c>
      <c r="CC526" s="3" t="s">
        <v>1251</v>
      </c>
      <c r="CD526" s="3" t="s">
        <v>94</v>
      </c>
      <c r="CG526" s="54">
        <f>IFERROR(_xlfn.XLOOKUP(Hiring!A526,Hiring!A526:A925,Hiring!B526:B925,,0),"Not Found")</f>
        <v>0</v>
      </c>
    </row>
    <row r="527" spans="6:85">
      <c r="F527" s="4">
        <v>2.4</v>
      </c>
      <c r="G527" s="52" t="str" cm="1">
        <f t="array" ref="G527">_xlfn.IFS(F527&gt;=4.5,"Excellent",AND(F527&gt;=3.5,F527&lt;=4.4),"Good",F527&lt;3.5,"Needs Improvement")</f>
        <v>Needs Improvement</v>
      </c>
      <c r="Q527" s="18">
        <v>7.1</v>
      </c>
      <c r="R527" s="56" t="str">
        <f t="shared" si="151"/>
        <v>Yes</v>
      </c>
      <c r="W527" s="18" t="s">
        <v>346</v>
      </c>
      <c r="X527" s="54" t="str">
        <f>VLOOKUP(W527,Employees!$A$1:$B$601,2,FALSE)</f>
        <v>Alka Nanda</v>
      </c>
      <c r="Z527" s="4" t="s">
        <v>1438</v>
      </c>
      <c r="AA527" s="54" t="str">
        <f t="shared" si="152"/>
        <v>0526</v>
      </c>
      <c r="AC527" s="4" t="s">
        <v>24</v>
      </c>
      <c r="AD527" s="54" t="str">
        <f t="shared" si="153"/>
        <v>Design</v>
      </c>
      <c r="AF527" s="4" t="s">
        <v>1439</v>
      </c>
      <c r="AG527" s="4" t="s">
        <v>24</v>
      </c>
      <c r="AH527" s="4" t="s">
        <v>149</v>
      </c>
      <c r="AI527" s="54" t="str">
        <f t="shared" si="154"/>
        <v>Ipsita Biswal|Design|SilverByte Systems</v>
      </c>
      <c r="AK527" s="4" t="s">
        <v>1439</v>
      </c>
      <c r="AL527" s="38" t="str">
        <f t="shared" si="155"/>
        <v>I.B.</v>
      </c>
      <c r="AQ527" s="4" t="s">
        <v>1439</v>
      </c>
      <c r="AR527" s="52" t="str">
        <f t="shared" si="156"/>
        <v>NO</v>
      </c>
      <c r="AW527" s="54">
        <f ca="1">DATEDIF(BI527,TODAY(),"Y")</f>
        <v>4</v>
      </c>
      <c r="AX527" s="54"/>
      <c r="BH527" s="4" t="s">
        <v>1440</v>
      </c>
      <c r="BI527" s="51">
        <f t="shared" si="158"/>
        <v>44610</v>
      </c>
      <c r="BJ527" s="38">
        <f t="shared" ca="1" si="159"/>
        <v>1171</v>
      </c>
      <c r="BK527" s="38"/>
      <c r="BL527" s="38" t="str">
        <f t="shared" si="160"/>
        <v>Q1</v>
      </c>
      <c r="BM527"/>
      <c r="BN527" s="51"/>
      <c r="BP527" s="4" t="s">
        <v>1438</v>
      </c>
      <c r="BQ527" s="4" t="s">
        <v>24</v>
      </c>
      <c r="BR527" s="18" t="s">
        <v>346</v>
      </c>
      <c r="BS527" s="18" t="s">
        <v>3192</v>
      </c>
      <c r="BT527" s="54" t="str">
        <f t="shared" si="157"/>
        <v>Sales</v>
      </c>
      <c r="BV527" s="4" t="s">
        <v>1438</v>
      </c>
      <c r="BW527" s="4" t="s">
        <v>1439</v>
      </c>
      <c r="CC527" s="4" t="s">
        <v>1439</v>
      </c>
      <c r="CD527" s="4" t="s">
        <v>25</v>
      </c>
      <c r="CG527" s="54">
        <f>IFERROR(_xlfn.XLOOKUP(Hiring!A527,Hiring!A527:A926,Hiring!B527:B926,,0),"Not Found")</f>
        <v>0</v>
      </c>
    </row>
    <row r="528" spans="6:85">
      <c r="F528" s="3">
        <v>4</v>
      </c>
      <c r="G528" s="52" t="str" cm="1">
        <f t="array" ref="G528">_xlfn.IFS(F528&gt;=4.5,"Excellent",AND(F528&gt;=3.5,F528&lt;=4.4),"Good",F528&lt;3.5,"Needs Improvement")</f>
        <v>Good</v>
      </c>
      <c r="Q528" s="19">
        <v>10.67</v>
      </c>
      <c r="R528" s="56" t="str">
        <f t="shared" si="151"/>
        <v>Yes</v>
      </c>
      <c r="W528" s="19" t="s">
        <v>346</v>
      </c>
      <c r="X528" s="54" t="str">
        <f>VLOOKUP(W528,Employees!$A$1:$B$601,2,FALSE)</f>
        <v>Alka Nanda</v>
      </c>
      <c r="Z528" s="3" t="s">
        <v>1441</v>
      </c>
      <c r="AA528" s="54" t="str">
        <f t="shared" si="152"/>
        <v>0527</v>
      </c>
      <c r="AC528" s="3" t="s">
        <v>118</v>
      </c>
      <c r="AD528" s="54" t="str">
        <f t="shared" si="153"/>
        <v>Marketing</v>
      </c>
      <c r="AF528" s="3" t="s">
        <v>73</v>
      </c>
      <c r="AG528" s="3" t="s">
        <v>118</v>
      </c>
      <c r="AH528" s="3" t="s">
        <v>214</v>
      </c>
      <c r="AI528" s="54" t="str">
        <f t="shared" si="154"/>
        <v>Sudhansu Dhal|Marketing|ZeroOneSystems</v>
      </c>
      <c r="AK528" s="3" t="s">
        <v>73</v>
      </c>
      <c r="AL528" s="38" t="str">
        <f t="shared" si="155"/>
        <v>S.D.</v>
      </c>
      <c r="AQ528" s="3" t="s">
        <v>73</v>
      </c>
      <c r="AR528" s="52" t="str">
        <f t="shared" si="156"/>
        <v>NO</v>
      </c>
      <c r="AW528" s="54">
        <f ca="1">DATEDIF(BI528,TODAY(),"Y")</f>
        <v>6</v>
      </c>
      <c r="AX528" s="54"/>
      <c r="BH528" s="3" t="s">
        <v>1442</v>
      </c>
      <c r="BI528" s="51">
        <f t="shared" si="158"/>
        <v>43713</v>
      </c>
      <c r="BJ528" s="38">
        <f t="shared" ca="1" si="159"/>
        <v>1812</v>
      </c>
      <c r="BK528" s="38"/>
      <c r="BL528" s="38" t="str">
        <f t="shared" si="160"/>
        <v>No</v>
      </c>
      <c r="BM528"/>
      <c r="BN528" s="51"/>
      <c r="BP528" s="3" t="s">
        <v>1441</v>
      </c>
      <c r="BQ528" s="3" t="s">
        <v>118</v>
      </c>
      <c r="BR528" s="19" t="s">
        <v>346</v>
      </c>
      <c r="BS528" s="19" t="s">
        <v>3194</v>
      </c>
      <c r="BT528" s="54" t="str">
        <f t="shared" si="157"/>
        <v>Sales</v>
      </c>
      <c r="BV528" s="3" t="s">
        <v>1441</v>
      </c>
      <c r="BW528" s="3" t="s">
        <v>73</v>
      </c>
      <c r="CC528" s="3" t="s">
        <v>73</v>
      </c>
      <c r="CD528" s="3" t="s">
        <v>119</v>
      </c>
      <c r="CG528" s="54">
        <f>IFERROR(_xlfn.XLOOKUP(Hiring!A528,Hiring!A528:A927,Hiring!B528:B927,,0),"Not Found")</f>
        <v>0</v>
      </c>
    </row>
    <row r="529" spans="6:85">
      <c r="F529" s="4">
        <v>0</v>
      </c>
      <c r="G529" s="52" t="str" cm="1">
        <f t="array" ref="G529">_xlfn.IFS(F529&gt;=4.5,"Excellent",AND(F529&gt;=3.5,F529&lt;=4.4),"Good",F529&lt;3.5,"Needs Improvement")</f>
        <v>Needs Improvement</v>
      </c>
      <c r="Q529" s="18">
        <v>11.48</v>
      </c>
      <c r="R529" s="56" t="str">
        <f t="shared" si="151"/>
        <v>Yes</v>
      </c>
      <c r="W529" s="18" t="s">
        <v>346</v>
      </c>
      <c r="X529" s="54" t="str">
        <f>VLOOKUP(W529,Employees!$A$1:$B$601,2,FALSE)</f>
        <v>Alka Nanda</v>
      </c>
      <c r="Z529" s="4" t="s">
        <v>1443</v>
      </c>
      <c r="AA529" s="54" t="str">
        <f t="shared" si="152"/>
        <v>0528</v>
      </c>
      <c r="AC529" s="4" t="s">
        <v>89</v>
      </c>
      <c r="AD529" s="54" t="str">
        <f t="shared" si="153"/>
        <v>Data Science</v>
      </c>
      <c r="AF529" s="4" t="s">
        <v>1344</v>
      </c>
      <c r="AG529" s="4" t="s">
        <v>89</v>
      </c>
      <c r="AH529" s="4" t="s">
        <v>65</v>
      </c>
      <c r="AI529" s="54" t="str">
        <f t="shared" si="154"/>
        <v>Rahul Biswal|Data Science|TributeAI</v>
      </c>
      <c r="AK529" s="4" t="s">
        <v>1344</v>
      </c>
      <c r="AL529" s="38" t="str">
        <f t="shared" si="155"/>
        <v>R.B.</v>
      </c>
      <c r="AQ529" s="4" t="s">
        <v>1344</v>
      </c>
      <c r="AR529" s="52" t="str">
        <f t="shared" si="156"/>
        <v>NO</v>
      </c>
      <c r="AW529" s="54">
        <f ca="1">DATEDIF(BI529,TODAY(),"Y")</f>
        <v>2</v>
      </c>
      <c r="AX529" s="54"/>
      <c r="BH529" s="4" t="s">
        <v>273</v>
      </c>
      <c r="BI529" s="51">
        <f t="shared" si="158"/>
        <v>45360</v>
      </c>
      <c r="BJ529" s="38">
        <f t="shared" ca="1" si="159"/>
        <v>635</v>
      </c>
      <c r="BK529" s="38"/>
      <c r="BL529" s="38" t="str">
        <f t="shared" si="160"/>
        <v>Q1</v>
      </c>
      <c r="BM529"/>
      <c r="BN529" s="51"/>
      <c r="BP529" s="4" t="s">
        <v>1443</v>
      </c>
      <c r="BQ529" s="4" t="s">
        <v>89</v>
      </c>
      <c r="BR529" s="18" t="s">
        <v>346</v>
      </c>
      <c r="BS529" s="18" t="s">
        <v>3196</v>
      </c>
      <c r="BT529" s="54" t="str">
        <f t="shared" si="157"/>
        <v>Sales</v>
      </c>
      <c r="BV529" s="4" t="s">
        <v>1443</v>
      </c>
      <c r="BW529" s="4" t="s">
        <v>1344</v>
      </c>
      <c r="CC529" s="4" t="s">
        <v>1344</v>
      </c>
      <c r="CD529" s="4" t="s">
        <v>221</v>
      </c>
      <c r="CG529" s="54">
        <f>IFERROR(_xlfn.XLOOKUP(Hiring!A529,Hiring!A529:A928,Hiring!B529:B928,,0),"Not Found")</f>
        <v>0</v>
      </c>
    </row>
    <row r="530" spans="6:85">
      <c r="F530" s="3">
        <v>4.5</v>
      </c>
      <c r="G530" s="52" t="str" cm="1">
        <f t="array" ref="G530">_xlfn.IFS(F530&gt;=4.5,"Excellent",AND(F530&gt;=3.5,F530&lt;=4.4),"Good",F530&lt;3.5,"Needs Improvement")</f>
        <v>Excellent</v>
      </c>
      <c r="Q530" s="19">
        <v>9.85</v>
      </c>
      <c r="R530" s="56" t="str">
        <f t="shared" si="151"/>
        <v>Yes</v>
      </c>
      <c r="W530" s="19" t="s">
        <v>346</v>
      </c>
      <c r="X530" s="54" t="str">
        <f>VLOOKUP(W530,Employees!$A$1:$B$601,2,FALSE)</f>
        <v>Alka Nanda</v>
      </c>
      <c r="Z530" s="3" t="s">
        <v>1444</v>
      </c>
      <c r="AA530" s="54" t="str">
        <f t="shared" si="152"/>
        <v>0529</v>
      </c>
      <c r="AC530" s="3" t="s">
        <v>24</v>
      </c>
      <c r="AD530" s="54" t="str">
        <f t="shared" si="153"/>
        <v>Design</v>
      </c>
      <c r="AF530" s="3" t="s">
        <v>1083</v>
      </c>
      <c r="AG530" s="3" t="s">
        <v>24</v>
      </c>
      <c r="AH530" s="3" t="s">
        <v>75</v>
      </c>
      <c r="AI530" s="54" t="str">
        <f t="shared" si="154"/>
        <v>Subhasree Prusty|Design|KalingaTech Pvt Ltd</v>
      </c>
      <c r="AK530" s="3" t="s">
        <v>1083</v>
      </c>
      <c r="AL530" s="38" t="str">
        <f t="shared" si="155"/>
        <v>S.P.</v>
      </c>
      <c r="AQ530" s="3" t="s">
        <v>1083</v>
      </c>
      <c r="AR530" s="52" t="str">
        <f t="shared" si="156"/>
        <v>NO</v>
      </c>
      <c r="AW530" s="54">
        <f ca="1">DATEDIF(BI530,TODAY(),"Y")</f>
        <v>5</v>
      </c>
      <c r="AX530" s="54"/>
      <c r="BH530" s="3" t="s">
        <v>1445</v>
      </c>
      <c r="BI530" s="51">
        <f t="shared" si="158"/>
        <v>44299</v>
      </c>
      <c r="BJ530" s="38">
        <f t="shared" ca="1" si="159"/>
        <v>1394</v>
      </c>
      <c r="BK530" s="38"/>
      <c r="BL530" s="38" t="str">
        <f t="shared" si="160"/>
        <v>No</v>
      </c>
      <c r="BM530"/>
      <c r="BN530" s="51"/>
      <c r="BP530" s="3" t="s">
        <v>1444</v>
      </c>
      <c r="BQ530" s="3" t="s">
        <v>24</v>
      </c>
      <c r="BR530" s="19" t="s">
        <v>346</v>
      </c>
      <c r="BS530" s="19" t="s">
        <v>3198</v>
      </c>
      <c r="BT530" s="54" t="str">
        <f t="shared" si="157"/>
        <v>Sales</v>
      </c>
      <c r="BV530" s="3" t="s">
        <v>1444</v>
      </c>
      <c r="BW530" s="3" t="s">
        <v>1083</v>
      </c>
      <c r="CC530" s="3" t="s">
        <v>1083</v>
      </c>
      <c r="CD530" s="3" t="s">
        <v>25</v>
      </c>
      <c r="CG530" s="54">
        <f>IFERROR(_xlfn.XLOOKUP(Hiring!A530,Hiring!A530:A929,Hiring!B530:B929,,0),"Not Found")</f>
        <v>0</v>
      </c>
    </row>
    <row r="531" spans="6:85">
      <c r="F531" s="4">
        <v>4.5999999999999996</v>
      </c>
      <c r="G531" s="52" t="str" cm="1">
        <f t="array" ref="G531">_xlfn.IFS(F531&gt;=4.5,"Excellent",AND(F531&gt;=3.5,F531&lt;=4.4),"Good",F531&lt;3.5,"Needs Improvement")</f>
        <v>Excellent</v>
      </c>
      <c r="Q531" s="18">
        <v>10.59</v>
      </c>
      <c r="R531" s="56" t="str">
        <f t="shared" si="151"/>
        <v>Yes</v>
      </c>
      <c r="W531" s="18" t="s">
        <v>346</v>
      </c>
      <c r="X531" s="54" t="str">
        <f>VLOOKUP(W531,Employees!$A$1:$B$601,2,FALSE)</f>
        <v>Alka Nanda</v>
      </c>
      <c r="Z531" s="4" t="s">
        <v>1446</v>
      </c>
      <c r="AA531" s="54" t="str">
        <f t="shared" si="152"/>
        <v>0530</v>
      </c>
      <c r="AC531" s="4" t="s">
        <v>176</v>
      </c>
      <c r="AD531" s="54" t="str">
        <f t="shared" si="153"/>
        <v>Finance</v>
      </c>
      <c r="AF531" s="4" t="s">
        <v>1447</v>
      </c>
      <c r="AG531" s="4" t="s">
        <v>176</v>
      </c>
      <c r="AH531" s="4" t="s">
        <v>65</v>
      </c>
      <c r="AI531" s="54" t="str">
        <f t="shared" si="154"/>
        <v>Ankita Choudhury|Finance|TributeAI</v>
      </c>
      <c r="AK531" s="4" t="s">
        <v>1447</v>
      </c>
      <c r="AL531" s="38" t="str">
        <f t="shared" si="155"/>
        <v>A.C.</v>
      </c>
      <c r="AQ531" s="4" t="s">
        <v>1447</v>
      </c>
      <c r="AR531" s="52" t="str">
        <f t="shared" si="156"/>
        <v>NO</v>
      </c>
      <c r="AW531" s="54">
        <f ca="1">DATEDIF(BI531,TODAY(),"Y")</f>
        <v>8</v>
      </c>
      <c r="AX531" s="54"/>
      <c r="BH531" s="4" t="s">
        <v>1392</v>
      </c>
      <c r="BI531" s="51">
        <f t="shared" si="158"/>
        <v>43196</v>
      </c>
      <c r="BJ531" s="38">
        <f t="shared" ca="1" si="159"/>
        <v>2181</v>
      </c>
      <c r="BK531" s="38"/>
      <c r="BL531" s="38" t="str">
        <f t="shared" si="160"/>
        <v>No</v>
      </c>
      <c r="BM531"/>
      <c r="BN531" s="51"/>
      <c r="BP531" s="4" t="s">
        <v>1446</v>
      </c>
      <c r="BQ531" s="4" t="s">
        <v>176</v>
      </c>
      <c r="BR531" s="18" t="s">
        <v>346</v>
      </c>
      <c r="BS531" s="18" t="s">
        <v>3199</v>
      </c>
      <c r="BT531" s="54" t="str">
        <f t="shared" si="157"/>
        <v>Sales</v>
      </c>
      <c r="BV531" s="4" t="s">
        <v>1446</v>
      </c>
      <c r="BW531" s="4" t="s">
        <v>1447</v>
      </c>
      <c r="CC531" s="4" t="s">
        <v>1447</v>
      </c>
      <c r="CD531" s="4" t="s">
        <v>177</v>
      </c>
      <c r="CG531" s="54">
        <f>IFERROR(_xlfn.XLOOKUP(Hiring!A531,Hiring!A531:A930,Hiring!B531:B930,,0),"Not Found")</f>
        <v>0</v>
      </c>
    </row>
    <row r="532" spans="6:85">
      <c r="F532" s="3">
        <v>2.2000000000000002</v>
      </c>
      <c r="G532" s="52" t="str" cm="1">
        <f t="array" ref="G532">_xlfn.IFS(F532&gt;=4.5,"Excellent",AND(F532&gt;=3.5,F532&lt;=4.4),"Good",F532&lt;3.5,"Needs Improvement")</f>
        <v>Needs Improvement</v>
      </c>
      <c r="Q532" s="19">
        <v>9.5</v>
      </c>
      <c r="R532" s="56" t="str">
        <f t="shared" si="151"/>
        <v>Yes</v>
      </c>
      <c r="W532" s="19" t="s">
        <v>346</v>
      </c>
      <c r="X532" s="54" t="str">
        <f>VLOOKUP(W532,Employees!$A$1:$B$601,2,FALSE)</f>
        <v>Alka Nanda</v>
      </c>
      <c r="Z532" s="3" t="s">
        <v>1448</v>
      </c>
      <c r="AA532" s="54" t="str">
        <f t="shared" si="152"/>
        <v>0531</v>
      </c>
      <c r="AC532" s="3" t="s">
        <v>51</v>
      </c>
      <c r="AD532" s="54" t="str">
        <f t="shared" si="153"/>
        <v>Sales</v>
      </c>
      <c r="AF532" s="3" t="s">
        <v>235</v>
      </c>
      <c r="AG532" s="3" t="s">
        <v>51</v>
      </c>
      <c r="AH532" s="3" t="s">
        <v>53</v>
      </c>
      <c r="AI532" s="54" t="str">
        <f t="shared" si="154"/>
        <v>Jyotirmayee Dhal|Sales|BlueLotus IT</v>
      </c>
      <c r="AK532" s="3" t="s">
        <v>235</v>
      </c>
      <c r="AL532" s="38" t="str">
        <f t="shared" si="155"/>
        <v>J.D.</v>
      </c>
      <c r="AQ532" s="3" t="s">
        <v>235</v>
      </c>
      <c r="AR532" s="52" t="str">
        <f t="shared" si="156"/>
        <v>NO</v>
      </c>
      <c r="AW532" s="54">
        <f ca="1">DATEDIF(BI532,TODAY(),"Y")</f>
        <v>3</v>
      </c>
      <c r="AX532" s="54"/>
      <c r="BH532" s="3" t="s">
        <v>1449</v>
      </c>
      <c r="BI532" s="51">
        <f t="shared" si="158"/>
        <v>44813</v>
      </c>
      <c r="BJ532" s="38">
        <f t="shared" ca="1" si="159"/>
        <v>1026</v>
      </c>
      <c r="BK532" s="38"/>
      <c r="BL532" s="38" t="str">
        <f t="shared" si="160"/>
        <v>No</v>
      </c>
      <c r="BM532"/>
      <c r="BN532" s="51"/>
      <c r="BP532" s="3" t="s">
        <v>1448</v>
      </c>
      <c r="BQ532" s="3" t="s">
        <v>51</v>
      </c>
      <c r="BR532" s="19" t="s">
        <v>346</v>
      </c>
      <c r="BS532" s="19" t="s">
        <v>3200</v>
      </c>
      <c r="BT532" s="54" t="str">
        <f t="shared" si="157"/>
        <v>Sales</v>
      </c>
      <c r="BV532" s="3" t="s">
        <v>1448</v>
      </c>
      <c r="BW532" s="3" t="s">
        <v>235</v>
      </c>
      <c r="CC532" s="3" t="s">
        <v>235</v>
      </c>
      <c r="CD532" s="3" t="s">
        <v>52</v>
      </c>
      <c r="CG532" s="54">
        <f>IFERROR(_xlfn.XLOOKUP(Hiring!A532,Hiring!A532:A931,Hiring!B532:B931,,0),"Not Found")</f>
        <v>0</v>
      </c>
    </row>
    <row r="533" spans="6:85">
      <c r="F533" s="4">
        <v>4.2</v>
      </c>
      <c r="G533" s="52" t="str" cm="1">
        <f t="array" ref="G533">_xlfn.IFS(F533&gt;=4.5,"Excellent",AND(F533&gt;=3.5,F533&lt;=4.4),"Good",F533&lt;3.5,"Needs Improvement")</f>
        <v>Good</v>
      </c>
      <c r="Q533" s="18">
        <v>8.92</v>
      </c>
      <c r="R533" s="56" t="str">
        <f t="shared" si="151"/>
        <v>Yes</v>
      </c>
      <c r="W533" s="18" t="s">
        <v>346</v>
      </c>
      <c r="X533" s="54" t="str">
        <f>VLOOKUP(W533,Employees!$A$1:$B$601,2,FALSE)</f>
        <v>Alka Nanda</v>
      </c>
      <c r="Z533" s="4" t="s">
        <v>1450</v>
      </c>
      <c r="AA533" s="54" t="str">
        <f t="shared" si="152"/>
        <v>0532</v>
      </c>
      <c r="AC533" s="4" t="s">
        <v>133</v>
      </c>
      <c r="AD533" s="54" t="str">
        <f t="shared" si="153"/>
        <v>Qa</v>
      </c>
      <c r="AF533" s="4" t="s">
        <v>1451</v>
      </c>
      <c r="AG533" s="4" t="s">
        <v>133</v>
      </c>
      <c r="AH533" s="4" t="s">
        <v>32</v>
      </c>
      <c r="AI533" s="54" t="str">
        <f t="shared" si="154"/>
        <v>Ankita Mohapatra|QA|NilGiri Digitals</v>
      </c>
      <c r="AK533" s="4" t="s">
        <v>1451</v>
      </c>
      <c r="AL533" s="38" t="str">
        <f t="shared" si="155"/>
        <v>A.M.</v>
      </c>
      <c r="AQ533" s="4" t="s">
        <v>1451</v>
      </c>
      <c r="AR533" s="52" t="str">
        <f t="shared" si="156"/>
        <v>NO</v>
      </c>
      <c r="AW533" s="54">
        <f ca="1">DATEDIF(BI533,TODAY(),"Y")</f>
        <v>6</v>
      </c>
      <c r="AX533" s="54"/>
      <c r="BH533" s="4" t="s">
        <v>1452</v>
      </c>
      <c r="BI533" s="51">
        <f t="shared" si="158"/>
        <v>43981</v>
      </c>
      <c r="BJ533" s="38">
        <f t="shared" ca="1" si="159"/>
        <v>1620</v>
      </c>
      <c r="BK533" s="38"/>
      <c r="BL533" s="38" t="str">
        <f t="shared" si="160"/>
        <v>No</v>
      </c>
      <c r="BM533"/>
      <c r="BN533" s="51"/>
      <c r="BP533" s="4" t="s">
        <v>1450</v>
      </c>
      <c r="BQ533" s="4" t="s">
        <v>133</v>
      </c>
      <c r="BR533" s="18" t="s">
        <v>346</v>
      </c>
      <c r="BS533" s="18" t="s">
        <v>3202</v>
      </c>
      <c r="BT533" s="54" t="str">
        <f t="shared" si="157"/>
        <v>Sales</v>
      </c>
      <c r="BV533" s="4" t="s">
        <v>1450</v>
      </c>
      <c r="BW533" s="4" t="s">
        <v>1451</v>
      </c>
      <c r="CC533" s="4" t="s">
        <v>1451</v>
      </c>
      <c r="CD533" s="4" t="s">
        <v>486</v>
      </c>
      <c r="CG533" s="54">
        <f>IFERROR(_xlfn.XLOOKUP(Hiring!A533,Hiring!A533:A932,Hiring!B533:B932,,0),"Not Found")</f>
        <v>0</v>
      </c>
    </row>
    <row r="534" spans="6:85">
      <c r="F534" s="3">
        <v>3.6</v>
      </c>
      <c r="G534" s="52" t="str" cm="1">
        <f t="array" ref="G534">_xlfn.IFS(F534&gt;=4.5,"Excellent",AND(F534&gt;=3.5,F534&lt;=4.4),"Good",F534&lt;3.5,"Needs Improvement")</f>
        <v>Good</v>
      </c>
      <c r="Q534" s="19">
        <v>10.93</v>
      </c>
      <c r="R534" s="56" t="str">
        <f t="shared" si="151"/>
        <v>Yes</v>
      </c>
      <c r="W534" s="19" t="s">
        <v>346</v>
      </c>
      <c r="X534" s="54" t="str">
        <f>VLOOKUP(W534,Employees!$A$1:$B$601,2,FALSE)</f>
        <v>Alka Nanda</v>
      </c>
      <c r="Z534" s="3" t="s">
        <v>1453</v>
      </c>
      <c r="AA534" s="54" t="str">
        <f t="shared" si="152"/>
        <v>0533</v>
      </c>
      <c r="AC534" s="3" t="s">
        <v>176</v>
      </c>
      <c r="AD534" s="54" t="str">
        <f t="shared" si="153"/>
        <v>Finance</v>
      </c>
      <c r="AF534" s="3" t="s">
        <v>1219</v>
      </c>
      <c r="AG534" s="3" t="s">
        <v>176</v>
      </c>
      <c r="AH534" s="3" t="s">
        <v>18</v>
      </c>
      <c r="AI534" s="54" t="str">
        <f t="shared" si="154"/>
        <v>Sudhansu Parida|Finance|CoastalDev Studio</v>
      </c>
      <c r="AK534" s="3" t="s">
        <v>1219</v>
      </c>
      <c r="AL534" s="38" t="str">
        <f t="shared" si="155"/>
        <v>S.P.</v>
      </c>
      <c r="AQ534" s="3" t="s">
        <v>1219</v>
      </c>
      <c r="AR534" s="52" t="str">
        <f t="shared" si="156"/>
        <v>NO</v>
      </c>
      <c r="AW534" s="54">
        <f ca="1">DATEDIF(BI534,TODAY(),"Y")</f>
        <v>3</v>
      </c>
      <c r="AX534" s="54"/>
      <c r="BH534" s="3" t="s">
        <v>1454</v>
      </c>
      <c r="BI534" s="51">
        <f t="shared" si="158"/>
        <v>44901</v>
      </c>
      <c r="BJ534" s="38">
        <f t="shared" ca="1" si="159"/>
        <v>964</v>
      </c>
      <c r="BK534" s="38"/>
      <c r="BL534" s="38" t="str">
        <f t="shared" si="160"/>
        <v>No</v>
      </c>
      <c r="BM534"/>
      <c r="BN534" s="51"/>
      <c r="BP534" s="3" t="s">
        <v>1453</v>
      </c>
      <c r="BQ534" s="3" t="s">
        <v>176</v>
      </c>
      <c r="BR534" s="19" t="s">
        <v>346</v>
      </c>
      <c r="BS534" s="19" t="s">
        <v>3203</v>
      </c>
      <c r="BT534" s="54" t="str">
        <f t="shared" si="157"/>
        <v>Sales</v>
      </c>
      <c r="BV534" s="3" t="s">
        <v>1453</v>
      </c>
      <c r="BW534" s="3" t="s">
        <v>1219</v>
      </c>
      <c r="CC534" s="3" t="s">
        <v>1219</v>
      </c>
      <c r="CD534" s="3" t="s">
        <v>359</v>
      </c>
      <c r="CG534" s="54">
        <f>IFERROR(_xlfn.XLOOKUP(Hiring!A534,Hiring!A534:A933,Hiring!B534:B933,,0),"Not Found")</f>
        <v>0</v>
      </c>
    </row>
    <row r="535" spans="6:85">
      <c r="F535" s="4">
        <v>4.5</v>
      </c>
      <c r="G535" s="52" t="str" cm="1">
        <f t="array" ref="G535">_xlfn.IFS(F535&gt;=4.5,"Excellent",AND(F535&gt;=3.5,F535&lt;=4.4),"Good",F535&lt;3.5,"Needs Improvement")</f>
        <v>Excellent</v>
      </c>
      <c r="Q535" s="18">
        <v>8.44</v>
      </c>
      <c r="R535" s="56" t="str">
        <f t="shared" si="151"/>
        <v>Yes</v>
      </c>
      <c r="W535" s="18" t="s">
        <v>346</v>
      </c>
      <c r="X535" s="54" t="str">
        <f>VLOOKUP(W535,Employees!$A$1:$B$601,2,FALSE)</f>
        <v>Alka Nanda</v>
      </c>
      <c r="Z535" s="4" t="s">
        <v>1455</v>
      </c>
      <c r="AA535" s="54" t="str">
        <f t="shared" si="152"/>
        <v>0534</v>
      </c>
      <c r="AC535" s="4" t="s">
        <v>89</v>
      </c>
      <c r="AD535" s="54" t="str">
        <f t="shared" si="153"/>
        <v>Data Science</v>
      </c>
      <c r="AF535" s="4" t="s">
        <v>193</v>
      </c>
      <c r="AG535" s="4" t="s">
        <v>89</v>
      </c>
      <c r="AH535" s="4" t="s">
        <v>70</v>
      </c>
      <c r="AI535" s="54" t="str">
        <f t="shared" si="154"/>
        <v>Sangita Ratha|Data Science|OdishaCode Labs</v>
      </c>
      <c r="AK535" s="4" t="s">
        <v>193</v>
      </c>
      <c r="AL535" s="38" t="str">
        <f t="shared" si="155"/>
        <v>S.R.</v>
      </c>
      <c r="AQ535" s="4" t="s">
        <v>193</v>
      </c>
      <c r="AR535" s="52" t="str">
        <f t="shared" si="156"/>
        <v>NO</v>
      </c>
      <c r="AW535" s="54">
        <f ca="1">DATEDIF(BI535,TODAY(),"Y")</f>
        <v>6</v>
      </c>
      <c r="AX535" s="54"/>
      <c r="BH535" s="4" t="s">
        <v>1456</v>
      </c>
      <c r="BI535" s="51">
        <f t="shared" si="158"/>
        <v>44014</v>
      </c>
      <c r="BJ535" s="38">
        <f t="shared" ca="1" si="159"/>
        <v>1597</v>
      </c>
      <c r="BK535" s="38"/>
      <c r="BL535" s="38" t="str">
        <f t="shared" si="160"/>
        <v>No</v>
      </c>
      <c r="BM535"/>
      <c r="BN535" s="51"/>
      <c r="BP535" s="4" t="s">
        <v>1455</v>
      </c>
      <c r="BQ535" s="4" t="s">
        <v>89</v>
      </c>
      <c r="BR535" s="18" t="s">
        <v>346</v>
      </c>
      <c r="BS535" s="18" t="s">
        <v>3205</v>
      </c>
      <c r="BT535" s="54" t="str">
        <f t="shared" si="157"/>
        <v>Sales</v>
      </c>
      <c r="BV535" s="4" t="s">
        <v>1455</v>
      </c>
      <c r="BW535" s="4" t="s">
        <v>193</v>
      </c>
      <c r="CC535" s="4" t="s">
        <v>193</v>
      </c>
      <c r="CD535" s="4" t="s">
        <v>90</v>
      </c>
      <c r="CG535" s="54">
        <f>IFERROR(_xlfn.XLOOKUP(Hiring!A535,Hiring!A535:A934,Hiring!B535:B934,,0),"Not Found")</f>
        <v>0</v>
      </c>
    </row>
    <row r="536" spans="6:85">
      <c r="F536" s="3">
        <v>2</v>
      </c>
      <c r="G536" s="52" t="str" cm="1">
        <f t="array" ref="G536">_xlfn.IFS(F536&gt;=4.5,"Excellent",AND(F536&gt;=3.5,F536&lt;=4.4),"Good",F536&lt;3.5,"Needs Improvement")</f>
        <v>Needs Improvement</v>
      </c>
      <c r="Q536" s="19"/>
      <c r="R536" s="56" t="str">
        <f t="shared" si="151"/>
        <v>No</v>
      </c>
      <c r="W536" s="19" t="s">
        <v>346</v>
      </c>
      <c r="X536" s="54" t="str">
        <f>VLOOKUP(W536,Employees!$A$1:$B$601,2,FALSE)</f>
        <v>Alka Nanda</v>
      </c>
      <c r="Z536" s="3" t="s">
        <v>1457</v>
      </c>
      <c r="AA536" s="54" t="str">
        <f t="shared" si="152"/>
        <v>0535</v>
      </c>
      <c r="AC536" s="3" t="s">
        <v>84</v>
      </c>
      <c r="AD536" s="54" t="str">
        <f t="shared" si="153"/>
        <v>Hr</v>
      </c>
      <c r="AF536" s="3" t="s">
        <v>901</v>
      </c>
      <c r="AG536" s="3" t="s">
        <v>84</v>
      </c>
      <c r="AH536" s="3" t="s">
        <v>75</v>
      </c>
      <c r="AI536" s="54" t="str">
        <f t="shared" si="154"/>
        <v>Ankita Dhal|HR|KalingaTech Pvt Ltd</v>
      </c>
      <c r="AK536" s="3" t="s">
        <v>901</v>
      </c>
      <c r="AL536" s="38" t="str">
        <f t="shared" si="155"/>
        <v>A.D.</v>
      </c>
      <c r="AQ536" s="3" t="s">
        <v>901</v>
      </c>
      <c r="AR536" s="52" t="str">
        <f t="shared" si="156"/>
        <v>NO</v>
      </c>
      <c r="AW536" s="54">
        <f ca="1">DATEDIF(BI536,TODAY(),"Y")</f>
        <v>4</v>
      </c>
      <c r="AX536" s="54"/>
      <c r="BH536" s="3" t="s">
        <v>1458</v>
      </c>
      <c r="BI536" s="51">
        <f t="shared" si="158"/>
        <v>44443</v>
      </c>
      <c r="BJ536" s="38">
        <f t="shared" ca="1" si="159"/>
        <v>1290</v>
      </c>
      <c r="BK536" s="38"/>
      <c r="BL536" s="38" t="str">
        <f t="shared" si="160"/>
        <v>No</v>
      </c>
      <c r="BM536"/>
      <c r="BN536" s="51"/>
      <c r="BP536" s="3" t="s">
        <v>1457</v>
      </c>
      <c r="BQ536" s="3" t="s">
        <v>84</v>
      </c>
      <c r="BR536" s="19" t="s">
        <v>346</v>
      </c>
      <c r="BS536" s="19" t="s">
        <v>3206</v>
      </c>
      <c r="BT536" s="54" t="str">
        <f t="shared" si="157"/>
        <v>Sales</v>
      </c>
      <c r="BV536" s="3" t="s">
        <v>1457</v>
      </c>
      <c r="BW536" s="3" t="s">
        <v>901</v>
      </c>
      <c r="CC536" s="3" t="s">
        <v>901</v>
      </c>
      <c r="CD536" s="3" t="s">
        <v>204</v>
      </c>
      <c r="CG536" s="54">
        <f>IFERROR(_xlfn.XLOOKUP(Hiring!A536,Hiring!A536:A935,Hiring!B536:B935,,0),"Not Found")</f>
        <v>0</v>
      </c>
    </row>
    <row r="537" spans="6:85">
      <c r="F537" s="4">
        <v>3.3</v>
      </c>
      <c r="G537" s="52" t="str" cm="1">
        <f t="array" ref="G537">_xlfn.IFS(F537&gt;=4.5,"Excellent",AND(F537&gt;=3.5,F537&lt;=4.4),"Good",F537&lt;3.5,"Needs Improvement")</f>
        <v>Needs Improvement</v>
      </c>
      <c r="Q537" s="18"/>
      <c r="R537" s="56" t="str">
        <f t="shared" si="151"/>
        <v>No</v>
      </c>
      <c r="W537" s="18" t="s">
        <v>346</v>
      </c>
      <c r="X537" s="54" t="str">
        <f>VLOOKUP(W537,Employees!$A$1:$B$601,2,FALSE)</f>
        <v>Alka Nanda</v>
      </c>
      <c r="Z537" s="4" t="s">
        <v>1459</v>
      </c>
      <c r="AA537" s="54" t="str">
        <f t="shared" si="152"/>
        <v>0536</v>
      </c>
      <c r="AC537" s="4" t="s">
        <v>51</v>
      </c>
      <c r="AD537" s="54" t="str">
        <f t="shared" si="153"/>
        <v>Sales</v>
      </c>
      <c r="AF537" s="4" t="s">
        <v>1460</v>
      </c>
      <c r="AG537" s="4" t="s">
        <v>51</v>
      </c>
      <c r="AH537" s="4" t="s">
        <v>75</v>
      </c>
      <c r="AI537" s="54" t="str">
        <f t="shared" si="154"/>
        <v>Soumya Prusty|Sales|KalingaTech Pvt Ltd</v>
      </c>
      <c r="AK537" s="4" t="s">
        <v>1460</v>
      </c>
      <c r="AL537" s="38" t="str">
        <f t="shared" si="155"/>
        <v>S.P.</v>
      </c>
      <c r="AQ537" s="4" t="s">
        <v>1460</v>
      </c>
      <c r="AR537" s="52" t="str">
        <f t="shared" si="156"/>
        <v>NO</v>
      </c>
      <c r="AW537" s="54">
        <f ca="1">DATEDIF(BI537,TODAY(),"Y")</f>
        <v>4</v>
      </c>
      <c r="AX537" s="54"/>
      <c r="BH537" s="4" t="s">
        <v>1461</v>
      </c>
      <c r="BI537" s="51">
        <f t="shared" si="158"/>
        <v>44684</v>
      </c>
      <c r="BJ537" s="38">
        <f t="shared" ca="1" si="159"/>
        <v>1119</v>
      </c>
      <c r="BK537" s="38"/>
      <c r="BL537" s="38" t="str">
        <f t="shared" si="160"/>
        <v>No</v>
      </c>
      <c r="BM537"/>
      <c r="BN537" s="51"/>
      <c r="BP537" s="4" t="s">
        <v>1459</v>
      </c>
      <c r="BQ537" s="4" t="s">
        <v>51</v>
      </c>
      <c r="BR537" s="18" t="s">
        <v>346</v>
      </c>
      <c r="BS537" s="18" t="s">
        <v>3207</v>
      </c>
      <c r="BT537" s="54" t="str">
        <f t="shared" si="157"/>
        <v>Sales</v>
      </c>
      <c r="BV537" s="4" t="s">
        <v>1459</v>
      </c>
      <c r="BW537" s="4" t="s">
        <v>1460</v>
      </c>
      <c r="CC537" s="4" t="s">
        <v>1460</v>
      </c>
      <c r="CD537" s="4" t="s">
        <v>105</v>
      </c>
      <c r="CG537" s="54">
        <f>IFERROR(_xlfn.XLOOKUP(Hiring!A537,Hiring!A537:A936,Hiring!B537:B936,,0),"Not Found")</f>
        <v>0</v>
      </c>
    </row>
    <row r="538" spans="6:85">
      <c r="F538" s="3">
        <v>3.8</v>
      </c>
      <c r="G538" s="52" t="str" cm="1">
        <f t="array" ref="G538">_xlfn.IFS(F538&gt;=4.5,"Excellent",AND(F538&gt;=3.5,F538&lt;=4.4),"Good",F538&lt;3.5,"Needs Improvement")</f>
        <v>Good</v>
      </c>
      <c r="Q538" s="19">
        <v>11.11</v>
      </c>
      <c r="R538" s="56" t="str">
        <f t="shared" si="151"/>
        <v>Yes</v>
      </c>
      <c r="W538" s="19" t="s">
        <v>346</v>
      </c>
      <c r="X538" s="54" t="str">
        <f>VLOOKUP(W538,Employees!$A$1:$B$601,2,FALSE)</f>
        <v>Alka Nanda</v>
      </c>
      <c r="Z538" s="3" t="s">
        <v>1462</v>
      </c>
      <c r="AA538" s="54" t="str">
        <f t="shared" si="152"/>
        <v>0537</v>
      </c>
      <c r="AC538" s="3" t="s">
        <v>118</v>
      </c>
      <c r="AD538" s="54" t="str">
        <f t="shared" si="153"/>
        <v>Marketing</v>
      </c>
      <c r="AF538" s="3" t="s">
        <v>601</v>
      </c>
      <c r="AG538" s="3" t="s">
        <v>118</v>
      </c>
      <c r="AH538" s="3" t="s">
        <v>149</v>
      </c>
      <c r="AI538" s="54" t="str">
        <f t="shared" si="154"/>
        <v>Priyanka Mishra|Marketing|SilverByte Systems</v>
      </c>
      <c r="AK538" s="3" t="s">
        <v>601</v>
      </c>
      <c r="AL538" s="38" t="str">
        <f t="shared" si="155"/>
        <v>P.M.</v>
      </c>
      <c r="AQ538" s="3" t="s">
        <v>601</v>
      </c>
      <c r="AR538" s="52" t="str">
        <f t="shared" si="156"/>
        <v>Mishra</v>
      </c>
      <c r="AW538" s="54">
        <f ca="1">DATEDIF(BI538,TODAY(),"Y")</f>
        <v>8</v>
      </c>
      <c r="AX538" s="54"/>
      <c r="BH538" s="3" t="s">
        <v>248</v>
      </c>
      <c r="BI538" s="51">
        <f t="shared" si="158"/>
        <v>43252</v>
      </c>
      <c r="BJ538" s="38">
        <f t="shared" ca="1" si="159"/>
        <v>2141</v>
      </c>
      <c r="BK538" s="38"/>
      <c r="BL538" s="38" t="str">
        <f t="shared" si="160"/>
        <v>No</v>
      </c>
      <c r="BM538"/>
      <c r="BN538" s="51"/>
      <c r="BP538" s="3" t="s">
        <v>1462</v>
      </c>
      <c r="BQ538" s="3" t="s">
        <v>118</v>
      </c>
      <c r="BR538" s="19" t="s">
        <v>346</v>
      </c>
      <c r="BS538" s="19" t="s">
        <v>3208</v>
      </c>
      <c r="BT538" s="54" t="str">
        <f t="shared" si="157"/>
        <v>Sales</v>
      </c>
      <c r="BV538" s="3" t="s">
        <v>1462</v>
      </c>
      <c r="BW538" s="3" t="s">
        <v>601</v>
      </c>
      <c r="CC538" s="3" t="s">
        <v>601</v>
      </c>
      <c r="CD538" s="3" t="s">
        <v>254</v>
      </c>
      <c r="CG538" s="54">
        <f>IFERROR(_xlfn.XLOOKUP(Hiring!A538,Hiring!A538:A937,Hiring!B538:B937,,0),"Not Found")</f>
        <v>0</v>
      </c>
    </row>
    <row r="539" spans="6:85">
      <c r="F539" s="4">
        <v>4.3</v>
      </c>
      <c r="G539" s="52" t="str" cm="1">
        <f t="array" ref="G539">_xlfn.IFS(F539&gt;=4.5,"Excellent",AND(F539&gt;=3.5,F539&lt;=4.4),"Good",F539&lt;3.5,"Needs Improvement")</f>
        <v>Good</v>
      </c>
      <c r="Q539" s="18">
        <v>9.42</v>
      </c>
      <c r="R539" s="56" t="str">
        <f t="shared" si="151"/>
        <v>Yes</v>
      </c>
      <c r="W539" s="18" t="s">
        <v>346</v>
      </c>
      <c r="X539" s="54" t="str">
        <f>VLOOKUP(W539,Employees!$A$1:$B$601,2,FALSE)</f>
        <v>Alka Nanda</v>
      </c>
      <c r="Z539" s="4" t="s">
        <v>1463</v>
      </c>
      <c r="AA539" s="54" t="str">
        <f t="shared" si="152"/>
        <v>0538</v>
      </c>
      <c r="AC539" s="4" t="s">
        <v>133</v>
      </c>
      <c r="AD539" s="54" t="str">
        <f t="shared" si="153"/>
        <v>Qa</v>
      </c>
      <c r="AF539" s="4" t="s">
        <v>1264</v>
      </c>
      <c r="AG539" s="4" t="s">
        <v>133</v>
      </c>
      <c r="AH539" s="4" t="s">
        <v>26</v>
      </c>
      <c r="AI539" s="54" t="str">
        <f t="shared" si="154"/>
        <v>Barsha Routray|QA|InfySoft Bhubaneswar</v>
      </c>
      <c r="AK539" s="4" t="s">
        <v>1264</v>
      </c>
      <c r="AL539" s="38" t="str">
        <f t="shared" si="155"/>
        <v>B.R.</v>
      </c>
      <c r="AQ539" s="4" t="s">
        <v>1264</v>
      </c>
      <c r="AR539" s="52" t="str">
        <f t="shared" si="156"/>
        <v>NO</v>
      </c>
      <c r="AW539" s="54">
        <f ca="1">DATEDIF(BI539,TODAY(),"Y")</f>
        <v>4</v>
      </c>
      <c r="AX539" s="54"/>
      <c r="BH539" s="4" t="s">
        <v>1464</v>
      </c>
      <c r="BI539" s="51">
        <f t="shared" si="158"/>
        <v>44629</v>
      </c>
      <c r="BJ539" s="38">
        <f t="shared" ca="1" si="159"/>
        <v>1158</v>
      </c>
      <c r="BK539" s="38"/>
      <c r="BL539" s="38" t="str">
        <f t="shared" si="160"/>
        <v>Q1</v>
      </c>
      <c r="BM539"/>
      <c r="BN539" s="51"/>
      <c r="BP539" s="4" t="s">
        <v>1463</v>
      </c>
      <c r="BQ539" s="4" t="s">
        <v>133</v>
      </c>
      <c r="BR539" s="18" t="s">
        <v>346</v>
      </c>
      <c r="BS539" s="18" t="s">
        <v>3209</v>
      </c>
      <c r="BT539" s="54" t="str">
        <f t="shared" si="157"/>
        <v>Sales</v>
      </c>
      <c r="BV539" s="4" t="s">
        <v>1463</v>
      </c>
      <c r="BW539" s="4" t="s">
        <v>1264</v>
      </c>
      <c r="CC539" s="4" t="s">
        <v>1264</v>
      </c>
      <c r="CD539" s="4" t="s">
        <v>134</v>
      </c>
      <c r="CG539" s="54">
        <f>IFERROR(_xlfn.XLOOKUP(Hiring!A539,Hiring!A539:A938,Hiring!B539:B938,,0),"Not Found")</f>
        <v>0</v>
      </c>
    </row>
    <row r="540" spans="6:85">
      <c r="F540" s="3">
        <v>3.9</v>
      </c>
      <c r="G540" s="52" t="str" cm="1">
        <f t="array" ref="G540">_xlfn.IFS(F540&gt;=4.5,"Excellent",AND(F540&gt;=3.5,F540&lt;=4.4),"Good",F540&lt;3.5,"Needs Improvement")</f>
        <v>Good</v>
      </c>
      <c r="Q540" s="19">
        <v>9.5</v>
      </c>
      <c r="R540" s="56" t="str">
        <f t="shared" si="151"/>
        <v>Yes</v>
      </c>
      <c r="W540" s="19" t="s">
        <v>346</v>
      </c>
      <c r="X540" s="54" t="str">
        <f>VLOOKUP(W540,Employees!$A$1:$B$601,2,FALSE)</f>
        <v>Alka Nanda</v>
      </c>
      <c r="Z540" s="3" t="s">
        <v>1465</v>
      </c>
      <c r="AA540" s="54" t="str">
        <f t="shared" si="152"/>
        <v>0539</v>
      </c>
      <c r="AC540" s="3" t="s">
        <v>24</v>
      </c>
      <c r="AD540" s="54" t="str">
        <f t="shared" si="153"/>
        <v>Design</v>
      </c>
      <c r="AF540" s="3" t="s">
        <v>1123</v>
      </c>
      <c r="AG540" s="3" t="s">
        <v>24</v>
      </c>
      <c r="AH540" s="3" t="s">
        <v>32</v>
      </c>
      <c r="AI540" s="54" t="str">
        <f t="shared" si="154"/>
        <v>Soumya Mohapatra|Design|NilGiri Digitals</v>
      </c>
      <c r="AK540" s="3" t="s">
        <v>1123</v>
      </c>
      <c r="AL540" s="38" t="str">
        <f t="shared" si="155"/>
        <v>S.M.</v>
      </c>
      <c r="AQ540" s="3" t="s">
        <v>1123</v>
      </c>
      <c r="AR540" s="52" t="str">
        <f t="shared" si="156"/>
        <v>NO</v>
      </c>
      <c r="AW540" s="54">
        <f ca="1">DATEDIF(BI540,TODAY(),"Y")</f>
        <v>5</v>
      </c>
      <c r="AX540" s="54"/>
      <c r="BH540" s="3" t="s">
        <v>1466</v>
      </c>
      <c r="BI540" s="51">
        <f t="shared" si="158"/>
        <v>44395</v>
      </c>
      <c r="BJ540" s="38">
        <f t="shared" ca="1" si="159"/>
        <v>1325</v>
      </c>
      <c r="BK540" s="38"/>
      <c r="BL540" s="38" t="str">
        <f t="shared" si="160"/>
        <v>No</v>
      </c>
      <c r="BM540"/>
      <c r="BN540" s="51"/>
      <c r="BP540" s="3" t="s">
        <v>1465</v>
      </c>
      <c r="BQ540" s="3" t="s">
        <v>24</v>
      </c>
      <c r="BR540" s="19" t="s">
        <v>346</v>
      </c>
      <c r="BS540" s="19" t="s">
        <v>3210</v>
      </c>
      <c r="BT540" s="54" t="str">
        <f t="shared" si="157"/>
        <v>Sales</v>
      </c>
      <c r="BV540" s="3" t="s">
        <v>1465</v>
      </c>
      <c r="BW540" s="3" t="s">
        <v>1123</v>
      </c>
      <c r="CC540" s="3" t="s">
        <v>1123</v>
      </c>
      <c r="CD540" s="3" t="s">
        <v>94</v>
      </c>
      <c r="CG540" s="54">
        <f>IFERROR(_xlfn.XLOOKUP(Hiring!A540,Hiring!A540:A939,Hiring!B540:B939,,0),"Not Found")</f>
        <v>0</v>
      </c>
    </row>
    <row r="541" spans="6:85">
      <c r="F541" s="4">
        <v>4.2</v>
      </c>
      <c r="G541" s="52" t="str" cm="1">
        <f t="array" ref="G541">_xlfn.IFS(F541&gt;=4.5,"Excellent",AND(F541&gt;=3.5,F541&lt;=4.4),"Good",F541&lt;3.5,"Needs Improvement")</f>
        <v>Good</v>
      </c>
      <c r="Q541" s="18">
        <v>7.52</v>
      </c>
      <c r="R541" s="56" t="str">
        <f t="shared" si="151"/>
        <v>Yes</v>
      </c>
      <c r="W541" s="18" t="s">
        <v>346</v>
      </c>
      <c r="X541" s="54" t="str">
        <f>VLOOKUP(W541,Employees!$A$1:$B$601,2,FALSE)</f>
        <v>Alka Nanda</v>
      </c>
      <c r="Z541" s="4" t="s">
        <v>1467</v>
      </c>
      <c r="AA541" s="54" t="str">
        <f t="shared" si="152"/>
        <v>0540</v>
      </c>
      <c r="AC541" s="4" t="s">
        <v>176</v>
      </c>
      <c r="AD541" s="54" t="str">
        <f t="shared" si="153"/>
        <v>Finance</v>
      </c>
      <c r="AF541" s="4" t="s">
        <v>802</v>
      </c>
      <c r="AG541" s="4" t="s">
        <v>176</v>
      </c>
      <c r="AH541" s="4" t="s">
        <v>65</v>
      </c>
      <c r="AI541" s="54" t="str">
        <f t="shared" si="154"/>
        <v>Tanmay Senapati|Finance|TributeAI</v>
      </c>
      <c r="AK541" s="4" t="s">
        <v>802</v>
      </c>
      <c r="AL541" s="38" t="str">
        <f t="shared" si="155"/>
        <v>T.S.</v>
      </c>
      <c r="AQ541" s="4" t="s">
        <v>802</v>
      </c>
      <c r="AR541" s="52" t="str">
        <f t="shared" si="156"/>
        <v>NO</v>
      </c>
      <c r="AW541" s="54">
        <f ca="1">DATEDIF(BI541,TODAY(),"Y")</f>
        <v>2</v>
      </c>
      <c r="AX541" s="54"/>
      <c r="BH541" s="4" t="s">
        <v>1468</v>
      </c>
      <c r="BI541" s="51">
        <f t="shared" si="158"/>
        <v>45347</v>
      </c>
      <c r="BJ541" s="38">
        <f t="shared" ca="1" si="159"/>
        <v>645</v>
      </c>
      <c r="BK541" s="38"/>
      <c r="BL541" s="38" t="str">
        <f t="shared" si="160"/>
        <v>Q1</v>
      </c>
      <c r="BM541"/>
      <c r="BN541" s="51"/>
      <c r="BP541" s="4" t="s">
        <v>1467</v>
      </c>
      <c r="BQ541" s="4" t="s">
        <v>176</v>
      </c>
      <c r="BR541" s="18" t="s">
        <v>346</v>
      </c>
      <c r="BS541" s="18" t="s">
        <v>3211</v>
      </c>
      <c r="BT541" s="54" t="str">
        <f t="shared" si="157"/>
        <v>Sales</v>
      </c>
      <c r="BV541" s="4" t="s">
        <v>1467</v>
      </c>
      <c r="BW541" s="4" t="s">
        <v>802</v>
      </c>
      <c r="CC541" s="4" t="s">
        <v>802</v>
      </c>
      <c r="CD541" s="4" t="s">
        <v>359</v>
      </c>
      <c r="CG541" s="54">
        <f>IFERROR(_xlfn.XLOOKUP(Hiring!A541,Hiring!A541:A940,Hiring!B541:B940,,0),"Not Found")</f>
        <v>0</v>
      </c>
    </row>
    <row r="542" spans="6:85">
      <c r="F542" s="3">
        <v>0</v>
      </c>
      <c r="G542" s="52" t="str" cm="1">
        <f t="array" ref="G542">_xlfn.IFS(F542&gt;=4.5,"Excellent",AND(F542&gt;=3.5,F542&lt;=4.4),"Good",F542&lt;3.5,"Needs Improvement")</f>
        <v>Needs Improvement</v>
      </c>
      <c r="Q542" s="19">
        <v>9.4600000000000009</v>
      </c>
      <c r="R542" s="56" t="str">
        <f t="shared" si="151"/>
        <v>Yes</v>
      </c>
      <c r="W542" s="19" t="s">
        <v>346</v>
      </c>
      <c r="X542" s="54" t="str">
        <f>VLOOKUP(W542,Employees!$A$1:$B$601,2,FALSE)</f>
        <v>Alka Nanda</v>
      </c>
      <c r="Z542" s="3" t="s">
        <v>1469</v>
      </c>
      <c r="AA542" s="54" t="str">
        <f t="shared" si="152"/>
        <v>0541</v>
      </c>
      <c r="AC542" s="3" t="s">
        <v>39</v>
      </c>
      <c r="AD542" s="54" t="str">
        <f t="shared" si="153"/>
        <v>Engineering</v>
      </c>
      <c r="AF542" s="3" t="s">
        <v>1089</v>
      </c>
      <c r="AG542" s="3" t="s">
        <v>39</v>
      </c>
      <c r="AH542" s="3" t="s">
        <v>65</v>
      </c>
      <c r="AI542" s="54" t="str">
        <f t="shared" si="154"/>
        <v>Aditya Nanda|Engineering|TributeAI</v>
      </c>
      <c r="AK542" s="3" t="s">
        <v>1089</v>
      </c>
      <c r="AL542" s="38" t="str">
        <f t="shared" si="155"/>
        <v>A.N.</v>
      </c>
      <c r="AQ542" s="3" t="s">
        <v>1089</v>
      </c>
      <c r="AR542" s="52" t="str">
        <f t="shared" si="156"/>
        <v>NO</v>
      </c>
      <c r="AW542" s="54">
        <f ca="1">DATEDIF(BI542,TODAY(),"Y")</f>
        <v>4</v>
      </c>
      <c r="AX542" s="54"/>
      <c r="BH542" s="3" t="s">
        <v>1470</v>
      </c>
      <c r="BI542" s="51">
        <f t="shared" si="158"/>
        <v>44740</v>
      </c>
      <c r="BJ542" s="38">
        <f t="shared" ca="1" si="159"/>
        <v>1079</v>
      </c>
      <c r="BK542" s="38"/>
      <c r="BL542" s="38" t="str">
        <f t="shared" si="160"/>
        <v>No</v>
      </c>
      <c r="BM542"/>
      <c r="BN542" s="51"/>
      <c r="BP542" s="3" t="s">
        <v>1469</v>
      </c>
      <c r="BQ542" s="3" t="s">
        <v>39</v>
      </c>
      <c r="BR542" s="19" t="s">
        <v>346</v>
      </c>
      <c r="BS542" s="19" t="s">
        <v>3212</v>
      </c>
      <c r="BT542" s="54" t="str">
        <f t="shared" si="157"/>
        <v>Sales</v>
      </c>
      <c r="BV542" s="3" t="s">
        <v>1469</v>
      </c>
      <c r="BW542" s="3" t="s">
        <v>1089</v>
      </c>
      <c r="CC542" s="3" t="s">
        <v>1089</v>
      </c>
      <c r="CD542" s="3" t="s">
        <v>40</v>
      </c>
      <c r="CG542" s="54">
        <f>IFERROR(_xlfn.XLOOKUP(Hiring!A542,Hiring!A542:A941,Hiring!B542:B941,,0),"Not Found")</f>
        <v>0</v>
      </c>
    </row>
    <row r="543" spans="6:85">
      <c r="F543" s="4">
        <v>2.1</v>
      </c>
      <c r="G543" s="52" t="str" cm="1">
        <f t="array" ref="G543">_xlfn.IFS(F543&gt;=4.5,"Excellent",AND(F543&gt;=3.5,F543&lt;=4.4),"Good",F543&lt;3.5,"Needs Improvement")</f>
        <v>Needs Improvement</v>
      </c>
      <c r="Q543" s="18">
        <v>10.029999999999999</v>
      </c>
      <c r="R543" s="56" t="str">
        <f t="shared" si="151"/>
        <v>Yes</v>
      </c>
      <c r="W543" s="18" t="s">
        <v>346</v>
      </c>
      <c r="X543" s="54" t="str">
        <f>VLOOKUP(W543,Employees!$A$1:$B$601,2,FALSE)</f>
        <v>Alka Nanda</v>
      </c>
      <c r="Z543" s="4" t="s">
        <v>1471</v>
      </c>
      <c r="AA543" s="54" t="str">
        <f t="shared" si="152"/>
        <v>0542</v>
      </c>
      <c r="AC543" s="4" t="s">
        <v>176</v>
      </c>
      <c r="AD543" s="54" t="str">
        <f t="shared" si="153"/>
        <v>Finance</v>
      </c>
      <c r="AF543" s="4" t="s">
        <v>868</v>
      </c>
      <c r="AG543" s="4" t="s">
        <v>176</v>
      </c>
      <c r="AH543" s="4" t="s">
        <v>149</v>
      </c>
      <c r="AI543" s="54" t="str">
        <f t="shared" si="154"/>
        <v>Tanmay Samal|Finance|SilverByte Systems</v>
      </c>
      <c r="AK543" s="4" t="s">
        <v>868</v>
      </c>
      <c r="AL543" s="38" t="str">
        <f t="shared" si="155"/>
        <v>T.S.</v>
      </c>
      <c r="AQ543" s="4" t="s">
        <v>868</v>
      </c>
      <c r="AR543" s="52" t="str">
        <f t="shared" si="156"/>
        <v>NO</v>
      </c>
      <c r="AW543" s="54">
        <f ca="1">DATEDIF(BI543,TODAY(),"Y")</f>
        <v>7</v>
      </c>
      <c r="AX543" s="54"/>
      <c r="BH543" s="4" t="s">
        <v>1472</v>
      </c>
      <c r="BI543" s="51">
        <f t="shared" si="158"/>
        <v>43563</v>
      </c>
      <c r="BJ543" s="38">
        <f t="shared" ca="1" si="159"/>
        <v>1920</v>
      </c>
      <c r="BK543" s="38"/>
      <c r="BL543" s="38" t="str">
        <f t="shared" si="160"/>
        <v>No</v>
      </c>
      <c r="BM543"/>
      <c r="BN543" s="51"/>
      <c r="BP543" s="4" t="s">
        <v>1471</v>
      </c>
      <c r="BQ543" s="4" t="s">
        <v>176</v>
      </c>
      <c r="BR543" s="18" t="s">
        <v>346</v>
      </c>
      <c r="BS543" s="18" t="s">
        <v>3214</v>
      </c>
      <c r="BT543" s="54" t="str">
        <f t="shared" si="157"/>
        <v>Sales</v>
      </c>
      <c r="BV543" s="4" t="s">
        <v>1471</v>
      </c>
      <c r="BW543" s="4" t="s">
        <v>868</v>
      </c>
      <c r="CC543" s="4" t="s">
        <v>868</v>
      </c>
      <c r="CD543" s="4" t="s">
        <v>229</v>
      </c>
      <c r="CG543" s="54">
        <f>IFERROR(_xlfn.XLOOKUP(Hiring!A543,Hiring!A543:A942,Hiring!B543:B942,,0),"Not Found")</f>
        <v>0</v>
      </c>
    </row>
    <row r="544" spans="6:85">
      <c r="F544" s="3">
        <v>2.2999999999999998</v>
      </c>
      <c r="G544" s="52" t="str" cm="1">
        <f t="array" ref="G544">_xlfn.IFS(F544&gt;=4.5,"Excellent",AND(F544&gt;=3.5,F544&lt;=4.4),"Good",F544&lt;3.5,"Needs Improvement")</f>
        <v>Needs Improvement</v>
      </c>
      <c r="Q544" s="19">
        <v>9.65</v>
      </c>
      <c r="R544" s="56" t="str">
        <f t="shared" si="151"/>
        <v>Yes</v>
      </c>
      <c r="W544" s="19" t="s">
        <v>346</v>
      </c>
      <c r="X544" s="54" t="str">
        <f>VLOOKUP(W544,Employees!$A$1:$B$601,2,FALSE)</f>
        <v>Alka Nanda</v>
      </c>
      <c r="Z544" s="3" t="s">
        <v>1473</v>
      </c>
      <c r="AA544" s="54" t="str">
        <f t="shared" si="152"/>
        <v>0543</v>
      </c>
      <c r="AC544" s="3" t="s">
        <v>89</v>
      </c>
      <c r="AD544" s="54" t="str">
        <f t="shared" si="153"/>
        <v>Data Science</v>
      </c>
      <c r="AF544" s="3" t="s">
        <v>1474</v>
      </c>
      <c r="AG544" s="3" t="s">
        <v>89</v>
      </c>
      <c r="AH544" s="3" t="s">
        <v>46</v>
      </c>
      <c r="AI544" s="54" t="str">
        <f t="shared" si="154"/>
        <v>Soumya Samal|Data Science|SambalpurNet</v>
      </c>
      <c r="AK544" s="3" t="s">
        <v>1474</v>
      </c>
      <c r="AL544" s="38" t="str">
        <f t="shared" si="155"/>
        <v>S.S.</v>
      </c>
      <c r="AQ544" s="3" t="s">
        <v>1474</v>
      </c>
      <c r="AR544" s="52" t="str">
        <f t="shared" si="156"/>
        <v>NO</v>
      </c>
      <c r="AW544" s="54">
        <f ca="1">DATEDIF(BI544,TODAY(),"Y")</f>
        <v>8</v>
      </c>
      <c r="AX544" s="54"/>
      <c r="BH544" s="3" t="s">
        <v>1475</v>
      </c>
      <c r="BI544" s="51">
        <f t="shared" si="158"/>
        <v>43325</v>
      </c>
      <c r="BJ544" s="38">
        <f t="shared" ca="1" si="159"/>
        <v>2090</v>
      </c>
      <c r="BK544" s="38"/>
      <c r="BL544" s="38" t="str">
        <f t="shared" si="160"/>
        <v>No</v>
      </c>
      <c r="BM544"/>
      <c r="BN544" s="51"/>
      <c r="BP544" s="3" t="s">
        <v>1473</v>
      </c>
      <c r="BQ544" s="3" t="s">
        <v>89</v>
      </c>
      <c r="BR544" s="19" t="s">
        <v>346</v>
      </c>
      <c r="BS544" s="19" t="s">
        <v>3215</v>
      </c>
      <c r="BT544" s="54" t="str">
        <f t="shared" si="157"/>
        <v>Sales</v>
      </c>
      <c r="BV544" s="3" t="s">
        <v>1473</v>
      </c>
      <c r="BW544" s="3" t="s">
        <v>1474</v>
      </c>
      <c r="CC544" s="3" t="s">
        <v>1474</v>
      </c>
      <c r="CD544" s="3" t="s">
        <v>90</v>
      </c>
      <c r="CG544" s="54">
        <f>IFERROR(_xlfn.XLOOKUP(Hiring!A544,Hiring!A544:A943,Hiring!B544:B943,,0),"Not Found")</f>
        <v>0</v>
      </c>
    </row>
    <row r="545" spans="6:85">
      <c r="F545" s="4">
        <v>4.2</v>
      </c>
      <c r="G545" s="52" t="str" cm="1">
        <f t="array" ref="G545">_xlfn.IFS(F545&gt;=4.5,"Excellent",AND(F545&gt;=3.5,F545&lt;=4.4),"Good",F545&lt;3.5,"Needs Improvement")</f>
        <v>Good</v>
      </c>
      <c r="Q545" s="18">
        <v>9.5500000000000007</v>
      </c>
      <c r="R545" s="56" t="str">
        <f t="shared" si="151"/>
        <v>Yes</v>
      </c>
      <c r="W545" s="18" t="s">
        <v>346</v>
      </c>
      <c r="X545" s="54" t="str">
        <f>VLOOKUP(W545,Employees!$A$1:$B$601,2,FALSE)</f>
        <v>Alka Nanda</v>
      </c>
      <c r="Z545" s="4" t="s">
        <v>1476</v>
      </c>
      <c r="AA545" s="54" t="str">
        <f t="shared" si="152"/>
        <v>0544</v>
      </c>
      <c r="AC545" s="4" t="s">
        <v>84</v>
      </c>
      <c r="AD545" s="54" t="str">
        <f t="shared" si="153"/>
        <v>Hr</v>
      </c>
      <c r="AF545" s="4" t="s">
        <v>715</v>
      </c>
      <c r="AG545" s="4" t="s">
        <v>84</v>
      </c>
      <c r="AH545" s="4" t="s">
        <v>114</v>
      </c>
      <c r="AI545" s="54" t="str">
        <f t="shared" si="154"/>
        <v>Namita Tripathy|HR|UtkalSoft Technologies</v>
      </c>
      <c r="AK545" s="4" t="s">
        <v>715</v>
      </c>
      <c r="AL545" s="38" t="str">
        <f t="shared" si="155"/>
        <v>N.T.</v>
      </c>
      <c r="AQ545" s="4" t="s">
        <v>715</v>
      </c>
      <c r="AR545" s="52" t="str">
        <f t="shared" si="156"/>
        <v>NO</v>
      </c>
      <c r="AW545" s="54">
        <f ca="1">DATEDIF(BI545,TODAY(),"Y")</f>
        <v>2</v>
      </c>
      <c r="AX545" s="54"/>
      <c r="BH545" s="4" t="s">
        <v>1477</v>
      </c>
      <c r="BI545" s="51">
        <f t="shared" si="158"/>
        <v>45375</v>
      </c>
      <c r="BJ545" s="38">
        <f t="shared" ca="1" si="159"/>
        <v>625</v>
      </c>
      <c r="BK545" s="38"/>
      <c r="BL545" s="38" t="str">
        <f t="shared" si="160"/>
        <v>Q1</v>
      </c>
      <c r="BM545"/>
      <c r="BN545" s="51"/>
      <c r="BP545" s="4" t="s">
        <v>1476</v>
      </c>
      <c r="BQ545" s="4" t="s">
        <v>84</v>
      </c>
      <c r="BR545" s="18" t="s">
        <v>346</v>
      </c>
      <c r="BS545" s="18" t="s">
        <v>3217</v>
      </c>
      <c r="BT545" s="54" t="str">
        <f t="shared" si="157"/>
        <v>Sales</v>
      </c>
      <c r="BV545" s="4" t="s">
        <v>1476</v>
      </c>
      <c r="BW545" s="4" t="s">
        <v>715</v>
      </c>
      <c r="CC545" s="4" t="s">
        <v>715</v>
      </c>
      <c r="CD545" s="4" t="s">
        <v>204</v>
      </c>
      <c r="CG545" s="54">
        <f>IFERROR(_xlfn.XLOOKUP(Hiring!A545,Hiring!A545:A944,Hiring!B545:B944,,0),"Not Found")</f>
        <v>0</v>
      </c>
    </row>
    <row r="546" spans="6:85">
      <c r="F546" s="3">
        <v>2.7</v>
      </c>
      <c r="G546" s="52" t="str" cm="1">
        <f t="array" ref="G546">_xlfn.IFS(F546&gt;=4.5,"Excellent",AND(F546&gt;=3.5,F546&lt;=4.4),"Good",F546&lt;3.5,"Needs Improvement")</f>
        <v>Needs Improvement</v>
      </c>
      <c r="Q546" s="19">
        <v>7.88</v>
      </c>
      <c r="R546" s="56" t="str">
        <f t="shared" si="151"/>
        <v>Yes</v>
      </c>
      <c r="W546" s="19" t="s">
        <v>346</v>
      </c>
      <c r="X546" s="54" t="str">
        <f>VLOOKUP(W546,Employees!$A$1:$B$601,2,FALSE)</f>
        <v>Alka Nanda</v>
      </c>
      <c r="Z546" s="3" t="s">
        <v>1478</v>
      </c>
      <c r="AA546" s="54" t="str">
        <f t="shared" si="152"/>
        <v>0545</v>
      </c>
      <c r="AC546" s="3" t="s">
        <v>84</v>
      </c>
      <c r="AD546" s="54" t="str">
        <f t="shared" si="153"/>
        <v>Hr</v>
      </c>
      <c r="AF546" s="3" t="s">
        <v>681</v>
      </c>
      <c r="AG546" s="3" t="s">
        <v>84</v>
      </c>
      <c r="AH546" s="3" t="s">
        <v>46</v>
      </c>
      <c r="AI546" s="54" t="str">
        <f t="shared" si="154"/>
        <v>Namita Prusty|HR|SambalpurNet</v>
      </c>
      <c r="AK546" s="3" t="s">
        <v>681</v>
      </c>
      <c r="AL546" s="38" t="str">
        <f t="shared" si="155"/>
        <v>N.P.</v>
      </c>
      <c r="AQ546" s="3" t="s">
        <v>681</v>
      </c>
      <c r="AR546" s="52" t="str">
        <f t="shared" si="156"/>
        <v>NO</v>
      </c>
      <c r="AW546" s="54">
        <f ca="1">DATEDIF(BI546,TODAY(),"Y")</f>
        <v>6</v>
      </c>
      <c r="AX546" s="54"/>
      <c r="BH546" s="3" t="s">
        <v>648</v>
      </c>
      <c r="BI546" s="51">
        <f t="shared" si="158"/>
        <v>43754</v>
      </c>
      <c r="BJ546" s="38">
        <f t="shared" ca="1" si="159"/>
        <v>1783</v>
      </c>
      <c r="BK546" s="38"/>
      <c r="BL546" s="38" t="str">
        <f t="shared" si="160"/>
        <v>No</v>
      </c>
      <c r="BM546"/>
      <c r="BN546" s="51"/>
      <c r="BP546" s="3" t="s">
        <v>1478</v>
      </c>
      <c r="BQ546" s="3" t="s">
        <v>84</v>
      </c>
      <c r="BR546" s="19" t="s">
        <v>346</v>
      </c>
      <c r="BS546" s="19" t="s">
        <v>3219</v>
      </c>
      <c r="BT546" s="54" t="str">
        <f t="shared" si="157"/>
        <v>Sales</v>
      </c>
      <c r="BV546" s="3" t="s">
        <v>1478</v>
      </c>
      <c r="BW546" s="3" t="s">
        <v>681</v>
      </c>
      <c r="CC546" s="3" t="s">
        <v>681</v>
      </c>
      <c r="CD546" s="3" t="s">
        <v>138</v>
      </c>
      <c r="CG546" s="54">
        <f>IFERROR(_xlfn.XLOOKUP(Hiring!A546,Hiring!A546:A945,Hiring!B546:B945,,0),"Not Found")</f>
        <v>0</v>
      </c>
    </row>
    <row r="547" spans="6:85">
      <c r="F547" s="4">
        <v>4</v>
      </c>
      <c r="G547" s="52" t="str" cm="1">
        <f t="array" ref="G547">_xlfn.IFS(F547&gt;=4.5,"Excellent",AND(F547&gt;=3.5,F547&lt;=4.4),"Good",F547&lt;3.5,"Needs Improvement")</f>
        <v>Good</v>
      </c>
      <c r="Q547" s="18">
        <v>6.99</v>
      </c>
      <c r="R547" s="56" t="str">
        <f t="shared" si="151"/>
        <v>Yes</v>
      </c>
      <c r="W547" s="18" t="s">
        <v>346</v>
      </c>
      <c r="X547" s="54" t="str">
        <f>VLOOKUP(W547,Employees!$A$1:$B$601,2,FALSE)</f>
        <v>Alka Nanda</v>
      </c>
      <c r="Z547" s="4" t="s">
        <v>1479</v>
      </c>
      <c r="AA547" s="54" t="str">
        <f t="shared" si="152"/>
        <v>0546</v>
      </c>
      <c r="AC547" s="4" t="s">
        <v>16</v>
      </c>
      <c r="AD547" s="54" t="str">
        <f t="shared" si="153"/>
        <v>Devops</v>
      </c>
      <c r="AF547" s="4" t="s">
        <v>736</v>
      </c>
      <c r="AG547" s="4" t="s">
        <v>16</v>
      </c>
      <c r="AH547" s="4" t="s">
        <v>70</v>
      </c>
      <c r="AI547" s="54" t="str">
        <f t="shared" si="154"/>
        <v>Soumya Pattnaik|DevOps|OdishaCode Labs</v>
      </c>
      <c r="AK547" s="4" t="s">
        <v>736</v>
      </c>
      <c r="AL547" s="38" t="str">
        <f t="shared" si="155"/>
        <v>S.P.</v>
      </c>
      <c r="AQ547" s="4" t="s">
        <v>736</v>
      </c>
      <c r="AR547" s="52" t="str">
        <f t="shared" si="156"/>
        <v>NO</v>
      </c>
      <c r="AW547" s="54">
        <f ca="1">DATEDIF(BI547,TODAY(),"Y")</f>
        <v>8</v>
      </c>
      <c r="AX547" s="54"/>
      <c r="BH547" s="4" t="s">
        <v>1480</v>
      </c>
      <c r="BI547" s="51">
        <f t="shared" si="158"/>
        <v>43170</v>
      </c>
      <c r="BJ547" s="38">
        <f t="shared" ca="1" si="159"/>
        <v>2200</v>
      </c>
      <c r="BK547" s="38"/>
      <c r="BL547" s="38" t="str">
        <f t="shared" si="160"/>
        <v>Q1</v>
      </c>
      <c r="BM547"/>
      <c r="BN547" s="51"/>
      <c r="BP547" s="4" t="s">
        <v>1479</v>
      </c>
      <c r="BQ547" s="4" t="s">
        <v>16</v>
      </c>
      <c r="BR547" s="18" t="s">
        <v>346</v>
      </c>
      <c r="BS547" s="18" t="s">
        <v>3221</v>
      </c>
      <c r="BT547" s="54" t="str">
        <f t="shared" si="157"/>
        <v>Sales</v>
      </c>
      <c r="BV547" s="4" t="s">
        <v>1479</v>
      </c>
      <c r="BW547" s="4" t="s">
        <v>736</v>
      </c>
      <c r="CC547" s="4" t="s">
        <v>736</v>
      </c>
      <c r="CD547" s="4" t="s">
        <v>335</v>
      </c>
      <c r="CG547" s="54">
        <f>IFERROR(_xlfn.XLOOKUP(Hiring!A547,Hiring!A547:A946,Hiring!B547:B946,,0),"Not Found")</f>
        <v>0</v>
      </c>
    </row>
    <row r="548" spans="6:85">
      <c r="F548" s="3">
        <v>1.9</v>
      </c>
      <c r="G548" s="52" t="str" cm="1">
        <f t="array" ref="G548">_xlfn.IFS(F548&gt;=4.5,"Excellent",AND(F548&gt;=3.5,F548&lt;=4.4),"Good",F548&lt;3.5,"Needs Improvement")</f>
        <v>Needs Improvement</v>
      </c>
      <c r="Q548" s="19">
        <v>10.23</v>
      </c>
      <c r="R548" s="56" t="str">
        <f t="shared" si="151"/>
        <v>Yes</v>
      </c>
      <c r="W548" s="19" t="s">
        <v>346</v>
      </c>
      <c r="X548" s="54" t="str">
        <f>VLOOKUP(W548,Employees!$A$1:$B$601,2,FALSE)</f>
        <v>Alka Nanda</v>
      </c>
      <c r="Z548" s="3" t="s">
        <v>1481</v>
      </c>
      <c r="AA548" s="54" t="str">
        <f t="shared" si="152"/>
        <v>0547</v>
      </c>
      <c r="AC548" s="3" t="s">
        <v>133</v>
      </c>
      <c r="AD548" s="54" t="str">
        <f t="shared" si="153"/>
        <v>Qa</v>
      </c>
      <c r="AF548" s="3" t="s">
        <v>1482</v>
      </c>
      <c r="AG548" s="3" t="s">
        <v>133</v>
      </c>
      <c r="AH548" s="3" t="s">
        <v>65</v>
      </c>
      <c r="AI548" s="54" t="str">
        <f t="shared" si="154"/>
        <v>Lipsa Samal|QA|TributeAI</v>
      </c>
      <c r="AK548" s="3" t="s">
        <v>1482</v>
      </c>
      <c r="AL548" s="38" t="str">
        <f t="shared" si="155"/>
        <v>L.S.</v>
      </c>
      <c r="AQ548" s="3" t="s">
        <v>1482</v>
      </c>
      <c r="AR548" s="52" t="str">
        <f t="shared" si="156"/>
        <v>NO</v>
      </c>
      <c r="AW548" s="54">
        <f ca="1">DATEDIF(BI548,TODAY(),"Y")</f>
        <v>8</v>
      </c>
      <c r="AX548" s="54"/>
      <c r="BH548" s="3" t="s">
        <v>1483</v>
      </c>
      <c r="BI548" s="51">
        <f t="shared" si="158"/>
        <v>43200</v>
      </c>
      <c r="BJ548" s="38">
        <f t="shared" ca="1" si="159"/>
        <v>2179</v>
      </c>
      <c r="BK548" s="38"/>
      <c r="BL548" s="38" t="str">
        <f t="shared" si="160"/>
        <v>No</v>
      </c>
      <c r="BM548"/>
      <c r="BN548" s="51"/>
      <c r="BP548" s="3" t="s">
        <v>1481</v>
      </c>
      <c r="BQ548" s="3" t="s">
        <v>133</v>
      </c>
      <c r="BR548" s="19" t="s">
        <v>346</v>
      </c>
      <c r="BS548" s="19" t="s">
        <v>3222</v>
      </c>
      <c r="BT548" s="54" t="str">
        <f t="shared" si="157"/>
        <v>Sales</v>
      </c>
      <c r="BV548" s="3" t="s">
        <v>1481</v>
      </c>
      <c r="BW548" s="3" t="s">
        <v>1482</v>
      </c>
      <c r="CC548" s="3" t="s">
        <v>1482</v>
      </c>
      <c r="CD548" s="3" t="s">
        <v>162</v>
      </c>
      <c r="CG548" s="54">
        <f>IFERROR(_xlfn.XLOOKUP(Hiring!A548,Hiring!A548:A947,Hiring!B548:B947,,0),"Not Found")</f>
        <v>0</v>
      </c>
    </row>
    <row r="549" spans="6:85">
      <c r="F549" s="4">
        <v>0</v>
      </c>
      <c r="G549" s="52" t="str" cm="1">
        <f t="array" ref="G549">_xlfn.IFS(F549&gt;=4.5,"Excellent",AND(F549&gt;=3.5,F549&lt;=4.4),"Good",F549&lt;3.5,"Needs Improvement")</f>
        <v>Needs Improvement</v>
      </c>
      <c r="Q549" s="18"/>
      <c r="R549" s="56" t="str">
        <f t="shared" si="151"/>
        <v>No</v>
      </c>
      <c r="W549" s="18" t="s">
        <v>346</v>
      </c>
      <c r="X549" s="54" t="str">
        <f>VLOOKUP(W549,Employees!$A$1:$B$601,2,FALSE)</f>
        <v>Alka Nanda</v>
      </c>
      <c r="Z549" s="4" t="s">
        <v>1484</v>
      </c>
      <c r="AA549" s="54" t="str">
        <f t="shared" si="152"/>
        <v>0548</v>
      </c>
      <c r="AC549" s="4" t="s">
        <v>133</v>
      </c>
      <c r="AD549" s="54" t="str">
        <f t="shared" si="153"/>
        <v>Qa</v>
      </c>
      <c r="AF549" s="4" t="s">
        <v>417</v>
      </c>
      <c r="AG549" s="4" t="s">
        <v>133</v>
      </c>
      <c r="AH549" s="4" t="s">
        <v>26</v>
      </c>
      <c r="AI549" s="54" t="str">
        <f t="shared" si="154"/>
        <v>Dibya Parida|QA|InfySoft Bhubaneswar</v>
      </c>
      <c r="AK549" s="4" t="s">
        <v>417</v>
      </c>
      <c r="AL549" s="38" t="str">
        <f t="shared" si="155"/>
        <v>D.P.</v>
      </c>
      <c r="AQ549" s="4" t="s">
        <v>417</v>
      </c>
      <c r="AR549" s="52" t="str">
        <f t="shared" si="156"/>
        <v>NO</v>
      </c>
      <c r="AW549" s="54">
        <f ca="1">DATEDIF(BI549,TODAY(),"Y")</f>
        <v>8</v>
      </c>
      <c r="AX549" s="54"/>
      <c r="BH549" s="4" t="s">
        <v>1485</v>
      </c>
      <c r="BI549" s="51">
        <f t="shared" si="158"/>
        <v>43275</v>
      </c>
      <c r="BJ549" s="38">
        <f t="shared" ca="1" si="159"/>
        <v>2125</v>
      </c>
      <c r="BK549" s="38"/>
      <c r="BL549" s="38" t="str">
        <f t="shared" si="160"/>
        <v>No</v>
      </c>
      <c r="BM549"/>
      <c r="BN549" s="51"/>
      <c r="BP549" s="4" t="s">
        <v>1484</v>
      </c>
      <c r="BQ549" s="4" t="s">
        <v>133</v>
      </c>
      <c r="BR549" s="18" t="s">
        <v>346</v>
      </c>
      <c r="BS549" s="18" t="s">
        <v>3223</v>
      </c>
      <c r="BT549" s="54" t="str">
        <f t="shared" si="157"/>
        <v>Sales</v>
      </c>
      <c r="BV549" s="4" t="s">
        <v>1484</v>
      </c>
      <c r="BW549" s="4" t="s">
        <v>417</v>
      </c>
      <c r="CC549" s="4" t="s">
        <v>417</v>
      </c>
      <c r="CD549" s="4" t="s">
        <v>153</v>
      </c>
      <c r="CG549" s="54">
        <f>IFERROR(_xlfn.XLOOKUP(Hiring!A549,Hiring!A549:A948,Hiring!B549:B948,,0),"Not Found")</f>
        <v>0</v>
      </c>
    </row>
    <row r="550" spans="6:85">
      <c r="F550" s="3">
        <v>4.8</v>
      </c>
      <c r="G550" s="52" t="str" cm="1">
        <f t="array" ref="G550">_xlfn.IFS(F550&gt;=4.5,"Excellent",AND(F550&gt;=3.5,F550&lt;=4.4),"Good",F550&lt;3.5,"Needs Improvement")</f>
        <v>Excellent</v>
      </c>
      <c r="Q550" s="19">
        <v>10.65</v>
      </c>
      <c r="R550" s="56" t="str">
        <f t="shared" si="151"/>
        <v>Yes</v>
      </c>
      <c r="W550" s="19" t="s">
        <v>346</v>
      </c>
      <c r="X550" s="54" t="str">
        <f>VLOOKUP(W550,Employees!$A$1:$B$601,2,FALSE)</f>
        <v>Alka Nanda</v>
      </c>
      <c r="Z550" s="3" t="s">
        <v>1486</v>
      </c>
      <c r="AA550" s="54" t="str">
        <f t="shared" si="152"/>
        <v>0549</v>
      </c>
      <c r="AC550" s="3" t="s">
        <v>133</v>
      </c>
      <c r="AD550" s="54" t="str">
        <f t="shared" si="153"/>
        <v>Qa</v>
      </c>
      <c r="AF550" s="3" t="s">
        <v>798</v>
      </c>
      <c r="AG550" s="3" t="s">
        <v>133</v>
      </c>
      <c r="AH550" s="3" t="s">
        <v>70</v>
      </c>
      <c r="AI550" s="54" t="str">
        <f t="shared" si="154"/>
        <v>Sudhansu Ratha|QA|OdishaCode Labs</v>
      </c>
      <c r="AK550" s="3" t="s">
        <v>798</v>
      </c>
      <c r="AL550" s="38" t="str">
        <f t="shared" si="155"/>
        <v>S.R.</v>
      </c>
      <c r="AQ550" s="3" t="s">
        <v>798</v>
      </c>
      <c r="AR550" s="52" t="str">
        <f t="shared" si="156"/>
        <v>NO</v>
      </c>
      <c r="AW550" s="54">
        <f ca="1">DATEDIF(BI550,TODAY(),"Y")</f>
        <v>6</v>
      </c>
      <c r="AX550" s="54"/>
      <c r="BH550" s="3" t="s">
        <v>1487</v>
      </c>
      <c r="BI550" s="51">
        <f t="shared" si="158"/>
        <v>43982</v>
      </c>
      <c r="BJ550" s="38">
        <f t="shared" ca="1" si="159"/>
        <v>1620</v>
      </c>
      <c r="BK550" s="38"/>
      <c r="BL550" s="38" t="str">
        <f t="shared" si="160"/>
        <v>No</v>
      </c>
      <c r="BM550"/>
      <c r="BN550" s="51"/>
      <c r="BP550" s="3" t="s">
        <v>1486</v>
      </c>
      <c r="BQ550" s="3" t="s">
        <v>133</v>
      </c>
      <c r="BR550" s="19" t="s">
        <v>346</v>
      </c>
      <c r="BS550" s="19" t="s">
        <v>3224</v>
      </c>
      <c r="BT550" s="54" t="str">
        <f t="shared" si="157"/>
        <v>Sales</v>
      </c>
      <c r="BV550" s="3" t="s">
        <v>1486</v>
      </c>
      <c r="BW550" s="3" t="s">
        <v>798</v>
      </c>
      <c r="CC550" s="3" t="s">
        <v>798</v>
      </c>
      <c r="CD550" s="3" t="s">
        <v>486</v>
      </c>
      <c r="CG550" s="54">
        <f>IFERROR(_xlfn.XLOOKUP(Hiring!A550,Hiring!A550:A949,Hiring!B550:B949,,0),"Not Found")</f>
        <v>0</v>
      </c>
    </row>
    <row r="551" spans="6:85">
      <c r="F551" s="4">
        <v>1.8</v>
      </c>
      <c r="G551" s="52" t="str" cm="1">
        <f t="array" ref="G551">_xlfn.IFS(F551&gt;=4.5,"Excellent",AND(F551&gt;=3.5,F551&lt;=4.4),"Good",F551&lt;3.5,"Needs Improvement")</f>
        <v>Needs Improvement</v>
      </c>
      <c r="Q551" s="18">
        <v>7.97</v>
      </c>
      <c r="R551" s="56" t="str">
        <f t="shared" si="151"/>
        <v>Yes</v>
      </c>
      <c r="W551" s="18" t="s">
        <v>346</v>
      </c>
      <c r="X551" s="54" t="str">
        <f>VLOOKUP(W551,Employees!$A$1:$B$601,2,FALSE)</f>
        <v>Alka Nanda</v>
      </c>
      <c r="Z551" s="4" t="s">
        <v>1488</v>
      </c>
      <c r="AA551" s="54" t="str">
        <f t="shared" si="152"/>
        <v>0550</v>
      </c>
      <c r="AC551" s="4" t="s">
        <v>133</v>
      </c>
      <c r="AD551" s="54" t="str">
        <f t="shared" si="153"/>
        <v>Qa</v>
      </c>
      <c r="AF551" s="4" t="s">
        <v>1283</v>
      </c>
      <c r="AG551" s="4" t="s">
        <v>133</v>
      </c>
      <c r="AH551" s="4" t="s">
        <v>26</v>
      </c>
      <c r="AI551" s="54" t="str">
        <f t="shared" si="154"/>
        <v>Dibya Samal|QA|InfySoft Bhubaneswar</v>
      </c>
      <c r="AK551" s="4" t="s">
        <v>1283</v>
      </c>
      <c r="AL551" s="38" t="str">
        <f t="shared" si="155"/>
        <v>D.S.</v>
      </c>
      <c r="AQ551" s="4" t="s">
        <v>1283</v>
      </c>
      <c r="AR551" s="52" t="str">
        <f t="shared" si="156"/>
        <v>NO</v>
      </c>
      <c r="AW551" s="54">
        <f ca="1">DATEDIF(BI551,TODAY(),"Y")</f>
        <v>4</v>
      </c>
      <c r="AX551" s="54"/>
      <c r="BH551" s="4" t="s">
        <v>1489</v>
      </c>
      <c r="BI551" s="51">
        <f t="shared" si="158"/>
        <v>44690</v>
      </c>
      <c r="BJ551" s="38">
        <f t="shared" ca="1" si="159"/>
        <v>1115</v>
      </c>
      <c r="BK551" s="38"/>
      <c r="BL551" s="38" t="str">
        <f t="shared" si="160"/>
        <v>No</v>
      </c>
      <c r="BM551"/>
      <c r="BN551" s="51"/>
      <c r="BP551" s="4" t="s">
        <v>1488</v>
      </c>
      <c r="BQ551" s="4" t="s">
        <v>133</v>
      </c>
      <c r="BR551" s="18" t="s">
        <v>346</v>
      </c>
      <c r="BS551" s="18" t="s">
        <v>3225</v>
      </c>
      <c r="BT551" s="54" t="str">
        <f t="shared" si="157"/>
        <v>Sales</v>
      </c>
      <c r="BV551" s="4" t="s">
        <v>1488</v>
      </c>
      <c r="BW551" s="4" t="s">
        <v>1283</v>
      </c>
      <c r="CC551" s="4" t="s">
        <v>1283</v>
      </c>
      <c r="CD551" s="4" t="s">
        <v>162</v>
      </c>
      <c r="CG551" s="54">
        <f>IFERROR(_xlfn.XLOOKUP(Hiring!A551,Hiring!A551:A950,Hiring!B551:B950,,0),"Not Found")</f>
        <v>0</v>
      </c>
    </row>
    <row r="552" spans="6:85">
      <c r="F552" s="3">
        <v>3.5</v>
      </c>
      <c r="G552" s="52" t="str" cm="1">
        <f t="array" ref="G552">_xlfn.IFS(F552&gt;=4.5,"Excellent",AND(F552&gt;=3.5,F552&lt;=4.4),"Good",F552&lt;3.5,"Needs Improvement")</f>
        <v>Good</v>
      </c>
      <c r="Q552" s="19">
        <v>10.38</v>
      </c>
      <c r="R552" s="56" t="str">
        <f t="shared" si="151"/>
        <v>Yes</v>
      </c>
      <c r="W552" s="19" t="s">
        <v>346</v>
      </c>
      <c r="X552" s="54" t="str">
        <f>VLOOKUP(W552,Employees!$A$1:$B$601,2,FALSE)</f>
        <v>Alka Nanda</v>
      </c>
      <c r="Z552" s="3" t="s">
        <v>1490</v>
      </c>
      <c r="AA552" s="54" t="str">
        <f t="shared" si="152"/>
        <v>0551</v>
      </c>
      <c r="AC552" s="3" t="s">
        <v>84</v>
      </c>
      <c r="AD552" s="54" t="str">
        <f t="shared" si="153"/>
        <v>Hr</v>
      </c>
      <c r="AF552" s="3" t="s">
        <v>1491</v>
      </c>
      <c r="AG552" s="3" t="s">
        <v>84</v>
      </c>
      <c r="AH552" s="3" t="s">
        <v>70</v>
      </c>
      <c r="AI552" s="54" t="str">
        <f t="shared" si="154"/>
        <v>Ranjit Jena|HR|OdishaCode Labs</v>
      </c>
      <c r="AK552" s="3" t="s">
        <v>1491</v>
      </c>
      <c r="AL552" s="38" t="str">
        <f t="shared" si="155"/>
        <v>R.J.</v>
      </c>
      <c r="AQ552" s="3" t="s">
        <v>1491</v>
      </c>
      <c r="AR552" s="52" t="str">
        <f t="shared" si="156"/>
        <v>NO</v>
      </c>
      <c r="AW552" s="54">
        <f ca="1">DATEDIF(BI552,TODAY(),"Y")</f>
        <v>8</v>
      </c>
      <c r="AX552" s="54"/>
      <c r="BH552" s="3" t="s">
        <v>1492</v>
      </c>
      <c r="BI552" s="51">
        <f t="shared" si="158"/>
        <v>43299</v>
      </c>
      <c r="BJ552" s="38">
        <f t="shared" ca="1" si="159"/>
        <v>2108</v>
      </c>
      <c r="BK552" s="38"/>
      <c r="BL552" s="38" t="str">
        <f t="shared" si="160"/>
        <v>No</v>
      </c>
      <c r="BM552"/>
      <c r="BN552" s="51"/>
      <c r="BP552" s="3" t="s">
        <v>1490</v>
      </c>
      <c r="BQ552" s="3" t="s">
        <v>84</v>
      </c>
      <c r="BR552" s="19" t="s">
        <v>346</v>
      </c>
      <c r="BS552" s="19" t="s">
        <v>3227</v>
      </c>
      <c r="BT552" s="54" t="str">
        <f t="shared" si="157"/>
        <v>Sales</v>
      </c>
      <c r="BV552" s="3" t="s">
        <v>1490</v>
      </c>
      <c r="BW552" s="3" t="s">
        <v>1491</v>
      </c>
      <c r="CC552" s="3" t="s">
        <v>1491</v>
      </c>
      <c r="CD552" s="3" t="s">
        <v>204</v>
      </c>
      <c r="CG552" s="54">
        <f>IFERROR(_xlfn.XLOOKUP(Hiring!A552,Hiring!A552:A951,Hiring!B552:B951,,0),"Not Found")</f>
        <v>0</v>
      </c>
    </row>
    <row r="553" spans="6:85">
      <c r="F553" s="4">
        <v>2.6</v>
      </c>
      <c r="G553" s="52" t="str" cm="1">
        <f t="array" ref="G553">_xlfn.IFS(F553&gt;=4.5,"Excellent",AND(F553&gt;=3.5,F553&lt;=4.4),"Good",F553&lt;3.5,"Needs Improvement")</f>
        <v>Needs Improvement</v>
      </c>
      <c r="Q553" s="18">
        <v>7.06</v>
      </c>
      <c r="R553" s="56" t="str">
        <f t="shared" si="151"/>
        <v>Yes</v>
      </c>
      <c r="W553" s="18" t="s">
        <v>346</v>
      </c>
      <c r="X553" s="54" t="str">
        <f>VLOOKUP(W553,Employees!$A$1:$B$601,2,FALSE)</f>
        <v>Alka Nanda</v>
      </c>
      <c r="Z553" s="4" t="s">
        <v>1493</v>
      </c>
      <c r="AA553" s="54" t="str">
        <f t="shared" si="152"/>
        <v>0552</v>
      </c>
      <c r="AC553" s="4" t="s">
        <v>89</v>
      </c>
      <c r="AD553" s="54" t="str">
        <f t="shared" si="153"/>
        <v>Data Science</v>
      </c>
      <c r="AF553" s="4" t="s">
        <v>404</v>
      </c>
      <c r="AG553" s="4" t="s">
        <v>89</v>
      </c>
      <c r="AH553" s="4" t="s">
        <v>53</v>
      </c>
      <c r="AI553" s="54" t="str">
        <f t="shared" si="154"/>
        <v>Nirmal Choudhury|Data Science|BlueLotus IT</v>
      </c>
      <c r="AK553" s="4" t="s">
        <v>404</v>
      </c>
      <c r="AL553" s="38" t="str">
        <f t="shared" si="155"/>
        <v>N.C.</v>
      </c>
      <c r="AQ553" s="4" t="s">
        <v>404</v>
      </c>
      <c r="AR553" s="52" t="str">
        <f t="shared" si="156"/>
        <v>NO</v>
      </c>
      <c r="AW553" s="54">
        <f ca="1">DATEDIF(BI553,TODAY(),"Y")</f>
        <v>6</v>
      </c>
      <c r="AX553" s="54"/>
      <c r="BH553" s="4" t="s">
        <v>1494</v>
      </c>
      <c r="BI553" s="51">
        <f t="shared" si="158"/>
        <v>43868</v>
      </c>
      <c r="BJ553" s="38">
        <f t="shared" ca="1" si="159"/>
        <v>1701</v>
      </c>
      <c r="BK553" s="38"/>
      <c r="BL553" s="38" t="str">
        <f t="shared" si="160"/>
        <v>Q1</v>
      </c>
      <c r="BM553"/>
      <c r="BN553" s="51"/>
      <c r="BP553" s="4" t="s">
        <v>1493</v>
      </c>
      <c r="BQ553" s="4" t="s">
        <v>89</v>
      </c>
      <c r="BR553" s="18" t="s">
        <v>346</v>
      </c>
      <c r="BS553" s="18" t="s">
        <v>3228</v>
      </c>
      <c r="BT553" s="54" t="str">
        <f t="shared" si="157"/>
        <v>Sales</v>
      </c>
      <c r="BV553" s="4" t="s">
        <v>1493</v>
      </c>
      <c r="BW553" s="4" t="s">
        <v>404</v>
      </c>
      <c r="CC553" s="4" t="s">
        <v>404</v>
      </c>
      <c r="CD553" s="4" t="s">
        <v>113</v>
      </c>
      <c r="CG553" s="54">
        <f>IFERROR(_xlfn.XLOOKUP(Hiring!A553,Hiring!A553:A952,Hiring!B553:B952,,0),"Not Found")</f>
        <v>0</v>
      </c>
    </row>
    <row r="554" spans="6:85">
      <c r="F554" s="3">
        <v>2.2999999999999998</v>
      </c>
      <c r="G554" s="52" t="str" cm="1">
        <f t="array" ref="G554">_xlfn.IFS(F554&gt;=4.5,"Excellent",AND(F554&gt;=3.5,F554&lt;=4.4),"Good",F554&lt;3.5,"Needs Improvement")</f>
        <v>Needs Improvement</v>
      </c>
      <c r="Q554" s="19">
        <v>11.46</v>
      </c>
      <c r="R554" s="56" t="str">
        <f t="shared" si="151"/>
        <v>Yes</v>
      </c>
      <c r="W554" s="19" t="s">
        <v>346</v>
      </c>
      <c r="X554" s="54" t="str">
        <f>VLOOKUP(W554,Employees!$A$1:$B$601,2,FALSE)</f>
        <v>Alka Nanda</v>
      </c>
      <c r="Z554" s="3" t="s">
        <v>1495</v>
      </c>
      <c r="AA554" s="54" t="str">
        <f t="shared" si="152"/>
        <v>0553</v>
      </c>
      <c r="AC554" s="3" t="s">
        <v>133</v>
      </c>
      <c r="AD554" s="54" t="str">
        <f t="shared" si="153"/>
        <v>Qa</v>
      </c>
      <c r="AF554" s="3" t="s">
        <v>1496</v>
      </c>
      <c r="AG554" s="3" t="s">
        <v>133</v>
      </c>
      <c r="AH554" s="3" t="s">
        <v>53</v>
      </c>
      <c r="AI554" s="54" t="str">
        <f t="shared" si="154"/>
        <v>Ipsita Parida|QA|BlueLotus IT</v>
      </c>
      <c r="AK554" s="3" t="s">
        <v>1496</v>
      </c>
      <c r="AL554" s="38" t="str">
        <f t="shared" si="155"/>
        <v>I.P.</v>
      </c>
      <c r="AQ554" s="3" t="s">
        <v>1496</v>
      </c>
      <c r="AR554" s="52" t="str">
        <f t="shared" si="156"/>
        <v>NO</v>
      </c>
      <c r="AW554" s="54">
        <f ca="1">DATEDIF(BI554,TODAY(),"Y")</f>
        <v>4</v>
      </c>
      <c r="AX554" s="54"/>
      <c r="BH554" s="3" t="s">
        <v>1497</v>
      </c>
      <c r="BI554" s="51">
        <f t="shared" si="158"/>
        <v>44485</v>
      </c>
      <c r="BJ554" s="38">
        <f t="shared" ca="1" si="159"/>
        <v>1260</v>
      </c>
      <c r="BK554" s="38"/>
      <c r="BL554" s="38" t="str">
        <f t="shared" si="160"/>
        <v>No</v>
      </c>
      <c r="BM554"/>
      <c r="BN554" s="51"/>
      <c r="BP554" s="3" t="s">
        <v>1495</v>
      </c>
      <c r="BQ554" s="3" t="s">
        <v>133</v>
      </c>
      <c r="BR554" s="19" t="s">
        <v>346</v>
      </c>
      <c r="BS554" s="19" t="s">
        <v>3229</v>
      </c>
      <c r="BT554" s="54" t="str">
        <f t="shared" si="157"/>
        <v>Sales</v>
      </c>
      <c r="BV554" s="3" t="s">
        <v>1495</v>
      </c>
      <c r="BW554" s="3" t="s">
        <v>1496</v>
      </c>
      <c r="CC554" s="3" t="s">
        <v>1496</v>
      </c>
      <c r="CD554" s="3" t="s">
        <v>153</v>
      </c>
      <c r="CG554" s="54">
        <f>IFERROR(_xlfn.XLOOKUP(Hiring!A554,Hiring!A554:A953,Hiring!B554:B953,,0),"Not Found")</f>
        <v>0</v>
      </c>
    </row>
    <row r="555" spans="6:85">
      <c r="F555" s="4">
        <v>3.7</v>
      </c>
      <c r="G555" s="52" t="str" cm="1">
        <f t="array" ref="G555">_xlfn.IFS(F555&gt;=4.5,"Excellent",AND(F555&gt;=3.5,F555&lt;=4.4),"Good",F555&lt;3.5,"Needs Improvement")</f>
        <v>Good</v>
      </c>
      <c r="Q555" s="18">
        <v>7.32</v>
      </c>
      <c r="R555" s="56" t="str">
        <f t="shared" si="151"/>
        <v>Yes</v>
      </c>
      <c r="W555" s="18" t="s">
        <v>346</v>
      </c>
      <c r="X555" s="54" t="str">
        <f>VLOOKUP(W555,Employees!$A$1:$B$601,2,FALSE)</f>
        <v>Alka Nanda</v>
      </c>
      <c r="Z555" s="4" t="s">
        <v>1498</v>
      </c>
      <c r="AA555" s="54" t="str">
        <f t="shared" si="152"/>
        <v>0554</v>
      </c>
      <c r="AC555" s="4" t="s">
        <v>118</v>
      </c>
      <c r="AD555" s="54" t="str">
        <f t="shared" si="153"/>
        <v>Marketing</v>
      </c>
      <c r="AF555" s="4" t="s">
        <v>736</v>
      </c>
      <c r="AG555" s="4" t="s">
        <v>118</v>
      </c>
      <c r="AH555" s="4" t="s">
        <v>75</v>
      </c>
      <c r="AI555" s="54" t="str">
        <f t="shared" si="154"/>
        <v>Soumya Pattnaik|Marketing|KalingaTech Pvt Ltd</v>
      </c>
      <c r="AK555" s="4" t="s">
        <v>736</v>
      </c>
      <c r="AL555" s="38" t="str">
        <f t="shared" si="155"/>
        <v>S.P.</v>
      </c>
      <c r="AQ555" s="4" t="s">
        <v>736</v>
      </c>
      <c r="AR555" s="52" t="str">
        <f t="shared" si="156"/>
        <v>NO</v>
      </c>
      <c r="AW555" s="54">
        <f ca="1">DATEDIF(BI555,TODAY(),"Y")</f>
        <v>6</v>
      </c>
      <c r="AX555" s="54"/>
      <c r="BH555" s="4" t="s">
        <v>1499</v>
      </c>
      <c r="BI555" s="51">
        <f t="shared" si="158"/>
        <v>43926</v>
      </c>
      <c r="BJ555" s="38">
        <f t="shared" ca="1" si="159"/>
        <v>1660</v>
      </c>
      <c r="BK555" s="38"/>
      <c r="BL555" s="38" t="str">
        <f t="shared" si="160"/>
        <v>No</v>
      </c>
      <c r="BM555"/>
      <c r="BN555" s="51"/>
      <c r="BP555" s="4" t="s">
        <v>1498</v>
      </c>
      <c r="BQ555" s="4" t="s">
        <v>118</v>
      </c>
      <c r="BR555" s="18" t="s">
        <v>346</v>
      </c>
      <c r="BS555" s="18" t="s">
        <v>3230</v>
      </c>
      <c r="BT555" s="54" t="str">
        <f t="shared" si="157"/>
        <v>Sales</v>
      </c>
      <c r="BV555" s="4" t="s">
        <v>1498</v>
      </c>
      <c r="BW555" s="4" t="s">
        <v>736</v>
      </c>
      <c r="CC555" s="4" t="s">
        <v>736</v>
      </c>
      <c r="CD555" s="4" t="s">
        <v>119</v>
      </c>
      <c r="CG555" s="54">
        <f>IFERROR(_xlfn.XLOOKUP(Hiring!A555,Hiring!A555:A954,Hiring!B555:B954,,0),"Not Found")</f>
        <v>0</v>
      </c>
    </row>
    <row r="556" spans="6:85">
      <c r="F556" s="3">
        <v>3.6</v>
      </c>
      <c r="G556" s="52" t="str" cm="1">
        <f t="array" ref="G556">_xlfn.IFS(F556&gt;=4.5,"Excellent",AND(F556&gt;=3.5,F556&lt;=4.4),"Good",F556&lt;3.5,"Needs Improvement")</f>
        <v>Good</v>
      </c>
      <c r="Q556" s="19">
        <v>9.1999999999999993</v>
      </c>
      <c r="R556" s="56" t="str">
        <f t="shared" si="151"/>
        <v>Yes</v>
      </c>
      <c r="W556" s="19" t="s">
        <v>346</v>
      </c>
      <c r="X556" s="54" t="str">
        <f>VLOOKUP(W556,Employees!$A$1:$B$601,2,FALSE)</f>
        <v>Alka Nanda</v>
      </c>
      <c r="Z556" s="3" t="s">
        <v>1500</v>
      </c>
      <c r="AA556" s="54" t="str">
        <f t="shared" si="152"/>
        <v>0555</v>
      </c>
      <c r="AC556" s="3" t="s">
        <v>89</v>
      </c>
      <c r="AD556" s="54" t="str">
        <f t="shared" si="153"/>
        <v>Data Science</v>
      </c>
      <c r="AF556" s="3" t="s">
        <v>1145</v>
      </c>
      <c r="AG556" s="3" t="s">
        <v>89</v>
      </c>
      <c r="AH556" s="3" t="s">
        <v>32</v>
      </c>
      <c r="AI556" s="54" t="str">
        <f t="shared" si="154"/>
        <v>Satyajit Pattnaik|Data Science|NilGiri Digitals</v>
      </c>
      <c r="AK556" s="3" t="s">
        <v>1145</v>
      </c>
      <c r="AL556" s="38" t="str">
        <f t="shared" si="155"/>
        <v>S.P.</v>
      </c>
      <c r="AQ556" s="3" t="s">
        <v>1145</v>
      </c>
      <c r="AR556" s="52" t="str">
        <f t="shared" si="156"/>
        <v>NO</v>
      </c>
      <c r="AW556" s="54">
        <f ca="1">DATEDIF(BI556,TODAY(),"Y")</f>
        <v>5</v>
      </c>
      <c r="AX556" s="54"/>
      <c r="BH556" s="3" t="s">
        <v>1377</v>
      </c>
      <c r="BI556" s="51">
        <f t="shared" si="158"/>
        <v>44239</v>
      </c>
      <c r="BJ556" s="38">
        <f t="shared" ca="1" si="159"/>
        <v>1436</v>
      </c>
      <c r="BK556" s="38"/>
      <c r="BL556" s="38" t="str">
        <f t="shared" si="160"/>
        <v>Q1</v>
      </c>
      <c r="BM556"/>
      <c r="BN556" s="51"/>
      <c r="BP556" s="3" t="s">
        <v>1500</v>
      </c>
      <c r="BQ556" s="3" t="s">
        <v>89</v>
      </c>
      <c r="BR556" s="19" t="s">
        <v>346</v>
      </c>
      <c r="BS556" s="19" t="s">
        <v>3231</v>
      </c>
      <c r="BT556" s="54" t="str">
        <f t="shared" si="157"/>
        <v>Sales</v>
      </c>
      <c r="BV556" s="3" t="s">
        <v>1500</v>
      </c>
      <c r="BW556" s="3" t="s">
        <v>1145</v>
      </c>
      <c r="CC556" s="3" t="s">
        <v>1145</v>
      </c>
      <c r="CD556" s="3" t="s">
        <v>113</v>
      </c>
      <c r="CG556" s="54">
        <f>IFERROR(_xlfn.XLOOKUP(Hiring!A556,Hiring!A556:A955,Hiring!B556:B955,,0),"Not Found")</f>
        <v>0</v>
      </c>
    </row>
    <row r="557" spans="6:85">
      <c r="F557" s="4">
        <v>4</v>
      </c>
      <c r="G557" s="52" t="str" cm="1">
        <f t="array" ref="G557">_xlfn.IFS(F557&gt;=4.5,"Excellent",AND(F557&gt;=3.5,F557&lt;=4.4),"Good",F557&lt;3.5,"Needs Improvement")</f>
        <v>Good</v>
      </c>
      <c r="Q557" s="18">
        <v>9.8800000000000008</v>
      </c>
      <c r="R557" s="56" t="str">
        <f t="shared" si="151"/>
        <v>Yes</v>
      </c>
      <c r="W557" s="18" t="s">
        <v>346</v>
      </c>
      <c r="X557" s="54" t="str">
        <f>VLOOKUP(W557,Employees!$A$1:$B$601,2,FALSE)</f>
        <v>Alka Nanda</v>
      </c>
      <c r="Z557" s="4" t="s">
        <v>1501</v>
      </c>
      <c r="AA557" s="54" t="str">
        <f t="shared" si="152"/>
        <v>0556</v>
      </c>
      <c r="AC557" s="4" t="s">
        <v>39</v>
      </c>
      <c r="AD557" s="54" t="str">
        <f t="shared" si="153"/>
        <v>Engineering</v>
      </c>
      <c r="AF557" s="4" t="s">
        <v>1286</v>
      </c>
      <c r="AG557" s="4" t="s">
        <v>39</v>
      </c>
      <c r="AH557" s="4" t="s">
        <v>172</v>
      </c>
      <c r="AI557" s="54" t="str">
        <f t="shared" si="154"/>
        <v>Nirmal Mohapatra|Engineering|TechNova Solutions</v>
      </c>
      <c r="AK557" s="4" t="s">
        <v>1286</v>
      </c>
      <c r="AL557" s="38" t="str">
        <f t="shared" si="155"/>
        <v>N.M.</v>
      </c>
      <c r="AQ557" s="4" t="s">
        <v>1286</v>
      </c>
      <c r="AR557" s="52" t="str">
        <f t="shared" si="156"/>
        <v>NO</v>
      </c>
      <c r="AW557" s="54">
        <f ca="1">DATEDIF(BI557,TODAY(),"Y")</f>
        <v>4</v>
      </c>
      <c r="AX557" s="54"/>
      <c r="BH557" s="4" t="s">
        <v>1502</v>
      </c>
      <c r="BI557" s="51">
        <f t="shared" si="158"/>
        <v>44577</v>
      </c>
      <c r="BJ557" s="38">
        <f t="shared" ca="1" si="159"/>
        <v>1195</v>
      </c>
      <c r="BK557" s="38"/>
      <c r="BL557" s="38" t="str">
        <f t="shared" si="160"/>
        <v>Q1</v>
      </c>
      <c r="BM557"/>
      <c r="BN557" s="51"/>
      <c r="BP557" s="4" t="s">
        <v>1501</v>
      </c>
      <c r="BQ557" s="4" t="s">
        <v>39</v>
      </c>
      <c r="BR557" s="18" t="s">
        <v>346</v>
      </c>
      <c r="BS557" s="18" t="s">
        <v>3233</v>
      </c>
      <c r="BT557" s="54" t="str">
        <f t="shared" si="157"/>
        <v>Sales</v>
      </c>
      <c r="BV557" s="4" t="s">
        <v>1501</v>
      </c>
      <c r="BW557" s="4" t="s">
        <v>1286</v>
      </c>
      <c r="CC557" s="4" t="s">
        <v>1286</v>
      </c>
      <c r="CD557" s="4" t="s">
        <v>40</v>
      </c>
      <c r="CG557" s="54">
        <f>IFERROR(_xlfn.XLOOKUP(Hiring!A557,Hiring!A557:A956,Hiring!B557:B956,,0),"Not Found")</f>
        <v>0</v>
      </c>
    </row>
    <row r="558" spans="6:85">
      <c r="F558" s="3">
        <v>2.8</v>
      </c>
      <c r="G558" s="52" t="str" cm="1">
        <f t="array" ref="G558">_xlfn.IFS(F558&gt;=4.5,"Excellent",AND(F558&gt;=3.5,F558&lt;=4.4),"Good",F558&lt;3.5,"Needs Improvement")</f>
        <v>Needs Improvement</v>
      </c>
      <c r="Q558" s="19">
        <v>10.7</v>
      </c>
      <c r="R558" s="56" t="str">
        <f t="shared" si="151"/>
        <v>Yes</v>
      </c>
      <c r="W558" s="19" t="s">
        <v>346</v>
      </c>
      <c r="X558" s="54" t="str">
        <f>VLOOKUP(W558,Employees!$A$1:$B$601,2,FALSE)</f>
        <v>Alka Nanda</v>
      </c>
      <c r="Z558" s="3" t="s">
        <v>1503</v>
      </c>
      <c r="AA558" s="54" t="str">
        <f t="shared" si="152"/>
        <v>0557</v>
      </c>
      <c r="AC558" s="3" t="s">
        <v>24</v>
      </c>
      <c r="AD558" s="54" t="str">
        <f t="shared" si="153"/>
        <v>Design</v>
      </c>
      <c r="AF558" s="3" t="s">
        <v>1496</v>
      </c>
      <c r="AG558" s="3" t="s">
        <v>24</v>
      </c>
      <c r="AH558" s="3" t="s">
        <v>65</v>
      </c>
      <c r="AI558" s="54" t="str">
        <f t="shared" si="154"/>
        <v>Ipsita Parida|Design|TributeAI</v>
      </c>
      <c r="AK558" s="3" t="s">
        <v>1496</v>
      </c>
      <c r="AL558" s="38" t="str">
        <f t="shared" si="155"/>
        <v>I.P.</v>
      </c>
      <c r="AQ558" s="3" t="s">
        <v>1496</v>
      </c>
      <c r="AR558" s="52" t="str">
        <f t="shared" si="156"/>
        <v>NO</v>
      </c>
      <c r="AW558" s="54">
        <f ca="1">DATEDIF(BI558,TODAY(),"Y")</f>
        <v>4</v>
      </c>
      <c r="AX558" s="54"/>
      <c r="BH558" s="3" t="s">
        <v>1504</v>
      </c>
      <c r="BI558" s="51">
        <f t="shared" si="158"/>
        <v>44617</v>
      </c>
      <c r="BJ558" s="38">
        <f t="shared" ca="1" si="159"/>
        <v>1166</v>
      </c>
      <c r="BK558" s="38"/>
      <c r="BL558" s="38" t="str">
        <f t="shared" si="160"/>
        <v>Q1</v>
      </c>
      <c r="BM558"/>
      <c r="BN558" s="51"/>
      <c r="BP558" s="3" t="s">
        <v>1503</v>
      </c>
      <c r="BQ558" s="3" t="s">
        <v>24</v>
      </c>
      <c r="BR558" s="19" t="s">
        <v>346</v>
      </c>
      <c r="BS558" s="19" t="s">
        <v>3234</v>
      </c>
      <c r="BT558" s="54" t="str">
        <f t="shared" si="157"/>
        <v>Sales</v>
      </c>
      <c r="BV558" s="3" t="s">
        <v>1503</v>
      </c>
      <c r="BW558" s="3" t="s">
        <v>1496</v>
      </c>
      <c r="CC558" s="3" t="s">
        <v>1496</v>
      </c>
      <c r="CD558" s="3" t="s">
        <v>74</v>
      </c>
      <c r="CG558" s="54">
        <f>IFERROR(_xlfn.XLOOKUP(Hiring!A558,Hiring!A558:A957,Hiring!B558:B957,,0),"Not Found")</f>
        <v>0</v>
      </c>
    </row>
    <row r="559" spans="6:85">
      <c r="F559" s="4">
        <v>1.9</v>
      </c>
      <c r="G559" s="52" t="str" cm="1">
        <f t="array" ref="G559">_xlfn.IFS(F559&gt;=4.5,"Excellent",AND(F559&gt;=3.5,F559&lt;=4.4),"Good",F559&lt;3.5,"Needs Improvement")</f>
        <v>Needs Improvement</v>
      </c>
      <c r="Q559" s="18">
        <v>6.95</v>
      </c>
      <c r="R559" s="56" t="str">
        <f t="shared" si="151"/>
        <v>Yes</v>
      </c>
      <c r="W559" s="18" t="s">
        <v>346</v>
      </c>
      <c r="X559" s="54" t="str">
        <f>VLOOKUP(W559,Employees!$A$1:$B$601,2,FALSE)</f>
        <v>Alka Nanda</v>
      </c>
      <c r="Z559" s="4" t="s">
        <v>1505</v>
      </c>
      <c r="AA559" s="54" t="str">
        <f t="shared" si="152"/>
        <v>0558</v>
      </c>
      <c r="AC559" s="4" t="s">
        <v>39</v>
      </c>
      <c r="AD559" s="54" t="str">
        <f t="shared" si="153"/>
        <v>Engineering</v>
      </c>
      <c r="AF559" s="4" t="s">
        <v>1240</v>
      </c>
      <c r="AG559" s="4" t="s">
        <v>39</v>
      </c>
      <c r="AH559" s="4" t="s">
        <v>26</v>
      </c>
      <c r="AI559" s="54" t="str">
        <f t="shared" si="154"/>
        <v>Bikash Senapati|Engineering|InfySoft Bhubaneswar</v>
      </c>
      <c r="AK559" s="4" t="s">
        <v>1240</v>
      </c>
      <c r="AL559" s="38" t="str">
        <f t="shared" si="155"/>
        <v>B.S.</v>
      </c>
      <c r="AQ559" s="4" t="s">
        <v>1240</v>
      </c>
      <c r="AR559" s="52" t="str">
        <f t="shared" si="156"/>
        <v>NO</v>
      </c>
      <c r="AW559" s="54">
        <f ca="1">DATEDIF(BI559,TODAY(),"Y")</f>
        <v>4</v>
      </c>
      <c r="AX559" s="54"/>
      <c r="BH559" s="4" t="s">
        <v>1506</v>
      </c>
      <c r="BI559" s="51">
        <f t="shared" si="158"/>
        <v>44638</v>
      </c>
      <c r="BJ559" s="38">
        <f t="shared" ca="1" si="159"/>
        <v>1151</v>
      </c>
      <c r="BK559" s="38"/>
      <c r="BL559" s="38" t="str">
        <f t="shared" si="160"/>
        <v>Q1</v>
      </c>
      <c r="BM559"/>
      <c r="BN559" s="51"/>
      <c r="BP559" s="4" t="s">
        <v>1505</v>
      </c>
      <c r="BQ559" s="4" t="s">
        <v>39</v>
      </c>
      <c r="BR559" s="18" t="s">
        <v>346</v>
      </c>
      <c r="BS559" s="18" t="s">
        <v>3236</v>
      </c>
      <c r="BT559" s="54" t="str">
        <f t="shared" si="157"/>
        <v>Sales</v>
      </c>
      <c r="BV559" s="4" t="s">
        <v>1505</v>
      </c>
      <c r="BW559" s="4" t="s">
        <v>1240</v>
      </c>
      <c r="CC559" s="4" t="s">
        <v>1240</v>
      </c>
      <c r="CD559" s="4" t="s">
        <v>109</v>
      </c>
      <c r="CG559" s="54">
        <f>IFERROR(_xlfn.XLOOKUP(Hiring!A559,Hiring!A559:A958,Hiring!B559:B958,,0),"Not Found")</f>
        <v>0</v>
      </c>
    </row>
    <row r="560" spans="6:85">
      <c r="F560" s="3">
        <v>2.9</v>
      </c>
      <c r="G560" s="52" t="str" cm="1">
        <f t="array" ref="G560">_xlfn.IFS(F560&gt;=4.5,"Excellent",AND(F560&gt;=3.5,F560&lt;=4.4),"Good",F560&lt;3.5,"Needs Improvement")</f>
        <v>Needs Improvement</v>
      </c>
      <c r="Q560" s="19">
        <v>8.5399999999999991</v>
      </c>
      <c r="R560" s="56" t="str">
        <f t="shared" si="151"/>
        <v>Yes</v>
      </c>
      <c r="W560" s="19" t="s">
        <v>346</v>
      </c>
      <c r="X560" s="54" t="str">
        <f>VLOOKUP(W560,Employees!$A$1:$B$601,2,FALSE)</f>
        <v>Alka Nanda</v>
      </c>
      <c r="Z560" s="3" t="s">
        <v>1507</v>
      </c>
      <c r="AA560" s="54" t="str">
        <f t="shared" si="152"/>
        <v>0559</v>
      </c>
      <c r="AC560" s="3" t="s">
        <v>133</v>
      </c>
      <c r="AD560" s="54" t="str">
        <f t="shared" si="153"/>
        <v>Qa</v>
      </c>
      <c r="AF560" s="3" t="s">
        <v>331</v>
      </c>
      <c r="AG560" s="3" t="s">
        <v>133</v>
      </c>
      <c r="AH560" s="3" t="s">
        <v>26</v>
      </c>
      <c r="AI560" s="54" t="str">
        <f t="shared" si="154"/>
        <v>Tapas Sahoo|QA|InfySoft Bhubaneswar</v>
      </c>
      <c r="AK560" s="3" t="s">
        <v>331</v>
      </c>
      <c r="AL560" s="38" t="str">
        <f t="shared" si="155"/>
        <v>T.S.</v>
      </c>
      <c r="AQ560" s="3" t="s">
        <v>331</v>
      </c>
      <c r="AR560" s="52" t="str">
        <f t="shared" si="156"/>
        <v>NO</v>
      </c>
      <c r="AW560" s="54">
        <f ca="1">DATEDIF(BI560,TODAY(),"Y")</f>
        <v>2</v>
      </c>
      <c r="AX560" s="54"/>
      <c r="BH560" s="3" t="s">
        <v>1255</v>
      </c>
      <c r="BI560" s="51">
        <f t="shared" si="158"/>
        <v>45470</v>
      </c>
      <c r="BJ560" s="38">
        <f t="shared" ca="1" si="159"/>
        <v>557</v>
      </c>
      <c r="BK560" s="38"/>
      <c r="BL560" s="38" t="str">
        <f t="shared" si="160"/>
        <v>No</v>
      </c>
      <c r="BM560"/>
      <c r="BN560" s="51"/>
      <c r="BP560" s="3" t="s">
        <v>1507</v>
      </c>
      <c r="BQ560" s="3" t="s">
        <v>133</v>
      </c>
      <c r="BR560" s="19" t="s">
        <v>346</v>
      </c>
      <c r="BS560" s="19" t="s">
        <v>3237</v>
      </c>
      <c r="BT560" s="54" t="str">
        <f t="shared" si="157"/>
        <v>Sales</v>
      </c>
      <c r="BV560" s="3" t="s">
        <v>1507</v>
      </c>
      <c r="BW560" s="3" t="s">
        <v>331</v>
      </c>
      <c r="CC560" s="3" t="s">
        <v>331</v>
      </c>
      <c r="CD560" s="3" t="s">
        <v>162</v>
      </c>
      <c r="CG560" s="54">
        <f>IFERROR(_xlfn.XLOOKUP(Hiring!A560,Hiring!A560:A959,Hiring!B560:B959,,0),"Not Found")</f>
        <v>0</v>
      </c>
    </row>
    <row r="561" spans="6:85">
      <c r="F561" s="4">
        <v>4.0999999999999996</v>
      </c>
      <c r="G561" s="52" t="str" cm="1">
        <f t="array" ref="G561">_xlfn.IFS(F561&gt;=4.5,"Excellent",AND(F561&gt;=3.5,F561&lt;=4.4),"Good",F561&lt;3.5,"Needs Improvement")</f>
        <v>Good</v>
      </c>
      <c r="Q561" s="18">
        <v>8.17</v>
      </c>
      <c r="R561" s="56" t="str">
        <f t="shared" si="151"/>
        <v>Yes</v>
      </c>
      <c r="W561" s="18" t="s">
        <v>1085</v>
      </c>
      <c r="X561" s="54" t="str">
        <f>VLOOKUP(W561,Employees!$A$1:$B$601,2,FALSE)</f>
        <v>Satyajit Sahoo</v>
      </c>
      <c r="Z561" s="4" t="s">
        <v>1508</v>
      </c>
      <c r="AA561" s="54" t="str">
        <f t="shared" si="152"/>
        <v>0560</v>
      </c>
      <c r="AC561" s="4" t="s">
        <v>133</v>
      </c>
      <c r="AD561" s="54" t="str">
        <f t="shared" si="153"/>
        <v>Qa</v>
      </c>
      <c r="AF561" s="4" t="s">
        <v>1496</v>
      </c>
      <c r="AG561" s="4" t="s">
        <v>133</v>
      </c>
      <c r="AH561" s="4" t="s">
        <v>32</v>
      </c>
      <c r="AI561" s="54" t="str">
        <f t="shared" si="154"/>
        <v>Ipsita Parida|QA|NilGiri Digitals</v>
      </c>
      <c r="AK561" s="4" t="s">
        <v>1496</v>
      </c>
      <c r="AL561" s="38" t="str">
        <f t="shared" si="155"/>
        <v>I.P.</v>
      </c>
      <c r="AQ561" s="4" t="s">
        <v>1496</v>
      </c>
      <c r="AR561" s="52" t="str">
        <f t="shared" si="156"/>
        <v>NO</v>
      </c>
      <c r="AW561" s="54">
        <f ca="1">DATEDIF(BI561,TODAY(),"Y")</f>
        <v>5</v>
      </c>
      <c r="AX561" s="54"/>
      <c r="BH561" s="4" t="s">
        <v>1509</v>
      </c>
      <c r="BI561" s="51">
        <f t="shared" si="158"/>
        <v>44263</v>
      </c>
      <c r="BJ561" s="38">
        <f t="shared" ca="1" si="159"/>
        <v>1420</v>
      </c>
      <c r="BK561" s="38"/>
      <c r="BL561" s="38" t="str">
        <f t="shared" si="160"/>
        <v>Q1</v>
      </c>
      <c r="BM561"/>
      <c r="BN561" s="51"/>
      <c r="BP561" s="4" t="s">
        <v>1508</v>
      </c>
      <c r="BQ561" s="4" t="s">
        <v>133</v>
      </c>
      <c r="BR561" s="18" t="s">
        <v>1085</v>
      </c>
      <c r="BS561" s="18" t="s">
        <v>3238</v>
      </c>
      <c r="BT561" s="54" t="str">
        <f t="shared" si="157"/>
        <v>DevOps</v>
      </c>
      <c r="BV561" s="4" t="s">
        <v>1508</v>
      </c>
      <c r="BW561" s="4" t="s">
        <v>1496</v>
      </c>
      <c r="CC561" s="4" t="s">
        <v>1496</v>
      </c>
      <c r="CD561" s="4" t="s">
        <v>486</v>
      </c>
      <c r="CG561" s="54">
        <f>IFERROR(_xlfn.XLOOKUP(Hiring!A561,Hiring!A561:A960,Hiring!B561:B960,,0),"Not Found")</f>
        <v>0</v>
      </c>
    </row>
    <row r="562" spans="6:85">
      <c r="F562" s="3">
        <v>1.8</v>
      </c>
      <c r="G562" s="52" t="str" cm="1">
        <f t="array" ref="G562">_xlfn.IFS(F562&gt;=4.5,"Excellent",AND(F562&gt;=3.5,F562&lt;=4.4),"Good",F562&lt;3.5,"Needs Improvement")</f>
        <v>Needs Improvement</v>
      </c>
      <c r="Q562" s="19">
        <v>9.27</v>
      </c>
      <c r="R562" s="56" t="str">
        <f t="shared" si="151"/>
        <v>Yes</v>
      </c>
      <c r="W562" s="19" t="s">
        <v>1085</v>
      </c>
      <c r="X562" s="54" t="str">
        <f>VLOOKUP(W562,Employees!$A$1:$B$601,2,FALSE)</f>
        <v>Satyajit Sahoo</v>
      </c>
      <c r="Z562" s="3" t="s">
        <v>1510</v>
      </c>
      <c r="AA562" s="54" t="str">
        <f t="shared" si="152"/>
        <v>0561</v>
      </c>
      <c r="AC562" s="3" t="s">
        <v>84</v>
      </c>
      <c r="AD562" s="54" t="str">
        <f t="shared" si="153"/>
        <v>Hr</v>
      </c>
      <c r="AF562" s="3" t="s">
        <v>1283</v>
      </c>
      <c r="AG562" s="3" t="s">
        <v>84</v>
      </c>
      <c r="AH562" s="3" t="s">
        <v>26</v>
      </c>
      <c r="AI562" s="54" t="str">
        <f t="shared" si="154"/>
        <v>Dibya Samal|HR|InfySoft Bhubaneswar</v>
      </c>
      <c r="AK562" s="3" t="s">
        <v>1283</v>
      </c>
      <c r="AL562" s="38" t="str">
        <f t="shared" si="155"/>
        <v>D.S.</v>
      </c>
      <c r="AQ562" s="3" t="s">
        <v>1283</v>
      </c>
      <c r="AR562" s="52" t="str">
        <f t="shared" si="156"/>
        <v>NO</v>
      </c>
      <c r="AW562" s="54">
        <f ca="1">DATEDIF(BI562,TODAY(),"Y")</f>
        <v>2</v>
      </c>
      <c r="AX562" s="54"/>
      <c r="BH562" s="3" t="s">
        <v>1511</v>
      </c>
      <c r="BI562" s="51">
        <f t="shared" si="158"/>
        <v>45377</v>
      </c>
      <c r="BJ562" s="38">
        <f t="shared" ca="1" si="159"/>
        <v>624</v>
      </c>
      <c r="BK562" s="38"/>
      <c r="BL562" s="38" t="str">
        <f t="shared" si="160"/>
        <v>Q1</v>
      </c>
      <c r="BM562"/>
      <c r="BN562" s="51"/>
      <c r="BP562" s="3" t="s">
        <v>1510</v>
      </c>
      <c r="BQ562" s="3" t="s">
        <v>84</v>
      </c>
      <c r="BR562" s="19" t="s">
        <v>1085</v>
      </c>
      <c r="BS562" s="19" t="s">
        <v>3240</v>
      </c>
      <c r="BT562" s="54" t="str">
        <f t="shared" si="157"/>
        <v>DevOps</v>
      </c>
      <c r="BV562" s="3" t="s">
        <v>1510</v>
      </c>
      <c r="BW562" s="3" t="s">
        <v>1283</v>
      </c>
      <c r="CC562" s="3" t="s">
        <v>1283</v>
      </c>
      <c r="CD562" s="3" t="s">
        <v>138</v>
      </c>
      <c r="CG562" s="54">
        <f>IFERROR(_xlfn.XLOOKUP(Hiring!A562,Hiring!A562:A961,Hiring!B562:B961,,0),"Not Found")</f>
        <v>0</v>
      </c>
    </row>
    <row r="563" spans="6:85">
      <c r="F563" s="4">
        <v>4.7</v>
      </c>
      <c r="G563" s="52" t="str" cm="1">
        <f t="array" ref="G563">_xlfn.IFS(F563&gt;=4.5,"Excellent",AND(F563&gt;=3.5,F563&lt;=4.4),"Good",F563&lt;3.5,"Needs Improvement")</f>
        <v>Excellent</v>
      </c>
      <c r="Q563" s="18">
        <v>8.76</v>
      </c>
      <c r="R563" s="56" t="str">
        <f t="shared" si="151"/>
        <v>Yes</v>
      </c>
      <c r="W563" s="18" t="s">
        <v>1085</v>
      </c>
      <c r="X563" s="54" t="str">
        <f>VLOOKUP(W563,Employees!$A$1:$B$601,2,FALSE)</f>
        <v>Satyajit Sahoo</v>
      </c>
      <c r="Z563" s="4" t="s">
        <v>1512</v>
      </c>
      <c r="AA563" s="54" t="str">
        <f t="shared" si="152"/>
        <v>0562</v>
      </c>
      <c r="AC563" s="4" t="s">
        <v>63</v>
      </c>
      <c r="AD563" s="54" t="str">
        <f t="shared" si="153"/>
        <v>Product</v>
      </c>
      <c r="AF563" s="4" t="s">
        <v>739</v>
      </c>
      <c r="AG563" s="4" t="s">
        <v>63</v>
      </c>
      <c r="AH563" s="4" t="s">
        <v>172</v>
      </c>
      <c r="AI563" s="54" t="str">
        <f t="shared" si="154"/>
        <v>Tanmay Behura|Product|TechNova Solutions</v>
      </c>
      <c r="AK563" s="4" t="s">
        <v>739</v>
      </c>
      <c r="AL563" s="38" t="str">
        <f t="shared" si="155"/>
        <v>T.B.</v>
      </c>
      <c r="AQ563" s="4" t="s">
        <v>739</v>
      </c>
      <c r="AR563" s="52" t="str">
        <f t="shared" si="156"/>
        <v>NO</v>
      </c>
      <c r="AW563" s="54">
        <f ca="1">DATEDIF(BI563,TODAY(),"Y")</f>
        <v>3</v>
      </c>
      <c r="AX563" s="54"/>
      <c r="BH563" s="4" t="s">
        <v>267</v>
      </c>
      <c r="BI563" s="51">
        <f t="shared" si="158"/>
        <v>45022</v>
      </c>
      <c r="BJ563" s="38">
        <f t="shared" ca="1" si="159"/>
        <v>877</v>
      </c>
      <c r="BK563" s="38"/>
      <c r="BL563" s="38" t="str">
        <f t="shared" si="160"/>
        <v>No</v>
      </c>
      <c r="BM563"/>
      <c r="BN563" s="51"/>
      <c r="BP563" s="4" t="s">
        <v>1512</v>
      </c>
      <c r="BQ563" s="4" t="s">
        <v>63</v>
      </c>
      <c r="BR563" s="18" t="s">
        <v>1085</v>
      </c>
      <c r="BS563" s="18" t="s">
        <v>3242</v>
      </c>
      <c r="BT563" s="54" t="str">
        <f t="shared" si="157"/>
        <v>DevOps</v>
      </c>
      <c r="BV563" s="4" t="s">
        <v>1512</v>
      </c>
      <c r="BW563" s="4" t="s">
        <v>739</v>
      </c>
      <c r="CC563" s="4" t="s">
        <v>739</v>
      </c>
      <c r="CD563" s="4" t="s">
        <v>64</v>
      </c>
      <c r="CG563" s="54">
        <f>IFERROR(_xlfn.XLOOKUP(Hiring!A563,Hiring!A563:A962,Hiring!B563:B962,,0),"Not Found")</f>
        <v>0</v>
      </c>
    </row>
    <row r="564" spans="6:85">
      <c r="F564" s="3">
        <v>4</v>
      </c>
      <c r="G564" s="52" t="str" cm="1">
        <f t="array" ref="G564">_xlfn.IFS(F564&gt;=4.5,"Excellent",AND(F564&gt;=3.5,F564&lt;=4.4),"Good",F564&lt;3.5,"Needs Improvement")</f>
        <v>Good</v>
      </c>
      <c r="Q564" s="19">
        <v>7.03</v>
      </c>
      <c r="R564" s="56" t="str">
        <f t="shared" si="151"/>
        <v>Yes</v>
      </c>
      <c r="W564" s="19" t="s">
        <v>1085</v>
      </c>
      <c r="X564" s="54" t="str">
        <f>VLOOKUP(W564,Employees!$A$1:$B$601,2,FALSE)</f>
        <v>Satyajit Sahoo</v>
      </c>
      <c r="Z564" s="3" t="s">
        <v>1513</v>
      </c>
      <c r="AA564" s="54" t="str">
        <f t="shared" si="152"/>
        <v>0563</v>
      </c>
      <c r="AC564" s="3" t="s">
        <v>24</v>
      </c>
      <c r="AD564" s="54" t="str">
        <f t="shared" si="153"/>
        <v>Design</v>
      </c>
      <c r="AF564" s="3" t="s">
        <v>1254</v>
      </c>
      <c r="AG564" s="3" t="s">
        <v>24</v>
      </c>
      <c r="AH564" s="3" t="s">
        <v>26</v>
      </c>
      <c r="AI564" s="54" t="str">
        <f t="shared" si="154"/>
        <v>Sangita Mahapatra|Design|InfySoft Bhubaneswar</v>
      </c>
      <c r="AK564" s="3" t="s">
        <v>1254</v>
      </c>
      <c r="AL564" s="38" t="str">
        <f t="shared" si="155"/>
        <v>S.M.</v>
      </c>
      <c r="AQ564" s="3" t="s">
        <v>1254</v>
      </c>
      <c r="AR564" s="52" t="str">
        <f t="shared" si="156"/>
        <v>NO</v>
      </c>
      <c r="AW564" s="54">
        <f ca="1">DATEDIF(BI564,TODAY(),"Y")</f>
        <v>8</v>
      </c>
      <c r="AX564" s="54"/>
      <c r="BH564" s="3" t="s">
        <v>373</v>
      </c>
      <c r="BI564" s="51">
        <f t="shared" si="158"/>
        <v>43176</v>
      </c>
      <c r="BJ564" s="38">
        <f t="shared" ca="1" si="159"/>
        <v>2195</v>
      </c>
      <c r="BK564" s="38"/>
      <c r="BL564" s="38" t="str">
        <f t="shared" si="160"/>
        <v>Q1</v>
      </c>
      <c r="BM564"/>
      <c r="BN564" s="51"/>
      <c r="BP564" s="3" t="s">
        <v>1513</v>
      </c>
      <c r="BQ564" s="3" t="s">
        <v>24</v>
      </c>
      <c r="BR564" s="19" t="s">
        <v>1085</v>
      </c>
      <c r="BS564" s="19" t="s">
        <v>3243</v>
      </c>
      <c r="BT564" s="54" t="str">
        <f t="shared" si="157"/>
        <v>DevOps</v>
      </c>
      <c r="BV564" s="3" t="s">
        <v>1513</v>
      </c>
      <c r="BW564" s="3" t="s">
        <v>1254</v>
      </c>
      <c r="CC564" s="3" t="s">
        <v>1254</v>
      </c>
      <c r="CD564" s="3" t="s">
        <v>94</v>
      </c>
      <c r="CG564" s="54">
        <f>IFERROR(_xlfn.XLOOKUP(Hiring!A564,Hiring!A564:A963,Hiring!B564:B963,,0),"Not Found")</f>
        <v>0</v>
      </c>
    </row>
    <row r="565" spans="6:85">
      <c r="F565" s="4">
        <v>3.6</v>
      </c>
      <c r="G565" s="52" t="str" cm="1">
        <f t="array" ref="G565">_xlfn.IFS(F565&gt;=4.5,"Excellent",AND(F565&gt;=3.5,F565&lt;=4.4),"Good",F565&lt;3.5,"Needs Improvement")</f>
        <v>Good</v>
      </c>
      <c r="Q565" s="18">
        <v>8.39</v>
      </c>
      <c r="R565" s="56" t="str">
        <f t="shared" si="151"/>
        <v>Yes</v>
      </c>
      <c r="W565" s="18" t="s">
        <v>1085</v>
      </c>
      <c r="X565" s="54" t="str">
        <f>VLOOKUP(W565,Employees!$A$1:$B$601,2,FALSE)</f>
        <v>Satyajit Sahoo</v>
      </c>
      <c r="Z565" s="4" t="s">
        <v>1514</v>
      </c>
      <c r="AA565" s="54" t="str">
        <f t="shared" si="152"/>
        <v>0564</v>
      </c>
      <c r="AC565" s="4" t="s">
        <v>16</v>
      </c>
      <c r="AD565" s="54" t="str">
        <f t="shared" si="153"/>
        <v>Devops</v>
      </c>
      <c r="AF565" s="4" t="s">
        <v>1083</v>
      </c>
      <c r="AG565" s="4" t="s">
        <v>16</v>
      </c>
      <c r="AH565" s="4" t="s">
        <v>65</v>
      </c>
      <c r="AI565" s="54" t="str">
        <f t="shared" si="154"/>
        <v>Subhasree Prusty|DevOps|TributeAI</v>
      </c>
      <c r="AK565" s="4" t="s">
        <v>1083</v>
      </c>
      <c r="AL565" s="38" t="str">
        <f t="shared" si="155"/>
        <v>S.P.</v>
      </c>
      <c r="AQ565" s="4" t="s">
        <v>1083</v>
      </c>
      <c r="AR565" s="52" t="str">
        <f t="shared" si="156"/>
        <v>NO</v>
      </c>
      <c r="AW565" s="54">
        <f ca="1">DATEDIF(BI565,TODAY(),"Y")</f>
        <v>8</v>
      </c>
      <c r="AX565" s="54"/>
      <c r="BH565" s="4" t="s">
        <v>1515</v>
      </c>
      <c r="BI565" s="51">
        <f t="shared" si="158"/>
        <v>43256</v>
      </c>
      <c r="BJ565" s="38">
        <f t="shared" ca="1" si="159"/>
        <v>2139</v>
      </c>
      <c r="BK565" s="38"/>
      <c r="BL565" s="38" t="str">
        <f t="shared" si="160"/>
        <v>No</v>
      </c>
      <c r="BM565"/>
      <c r="BN565" s="51"/>
      <c r="BP565" s="4" t="s">
        <v>1514</v>
      </c>
      <c r="BQ565" s="4" t="s">
        <v>16</v>
      </c>
      <c r="BR565" s="18" t="s">
        <v>1085</v>
      </c>
      <c r="BS565" s="18" t="s">
        <v>3244</v>
      </c>
      <c r="BT565" s="54" t="str">
        <f t="shared" si="157"/>
        <v>DevOps</v>
      </c>
      <c r="BV565" s="4" t="s">
        <v>1514</v>
      </c>
      <c r="BW565" s="4" t="s">
        <v>1083</v>
      </c>
      <c r="CC565" s="4" t="s">
        <v>1083</v>
      </c>
      <c r="CD565" s="4" t="s">
        <v>123</v>
      </c>
      <c r="CG565" s="54">
        <f>IFERROR(_xlfn.XLOOKUP(Hiring!A565,Hiring!A565:A964,Hiring!B565:B964,,0),"Not Found")</f>
        <v>0</v>
      </c>
    </row>
    <row r="566" spans="6:85">
      <c r="F566" s="3">
        <v>3</v>
      </c>
      <c r="G566" s="52" t="str" cm="1">
        <f t="array" ref="G566">_xlfn.IFS(F566&gt;=4.5,"Excellent",AND(F566&gt;=3.5,F566&lt;=4.4),"Good",F566&lt;3.5,"Needs Improvement")</f>
        <v>Needs Improvement</v>
      </c>
      <c r="Q566" s="19">
        <v>7.57</v>
      </c>
      <c r="R566" s="56" t="str">
        <f t="shared" si="151"/>
        <v>Yes</v>
      </c>
      <c r="W566" s="19" t="s">
        <v>1085</v>
      </c>
      <c r="X566" s="54" t="str">
        <f>VLOOKUP(W566,Employees!$A$1:$B$601,2,FALSE)</f>
        <v>Satyajit Sahoo</v>
      </c>
      <c r="Z566" s="3" t="s">
        <v>1516</v>
      </c>
      <c r="AA566" s="54" t="str">
        <f t="shared" si="152"/>
        <v>0565</v>
      </c>
      <c r="AC566" s="3" t="s">
        <v>176</v>
      </c>
      <c r="AD566" s="54" t="str">
        <f t="shared" si="153"/>
        <v>Finance</v>
      </c>
      <c r="AF566" s="3" t="s">
        <v>534</v>
      </c>
      <c r="AG566" s="3" t="s">
        <v>176</v>
      </c>
      <c r="AH566" s="3" t="s">
        <v>18</v>
      </c>
      <c r="AI566" s="54" t="str">
        <f t="shared" si="154"/>
        <v>Tanmay Pattnaik|Finance|CoastalDev Studio</v>
      </c>
      <c r="AK566" s="3" t="s">
        <v>534</v>
      </c>
      <c r="AL566" s="38" t="str">
        <f t="shared" si="155"/>
        <v>T.P.</v>
      </c>
      <c r="AQ566" s="3" t="s">
        <v>534</v>
      </c>
      <c r="AR566" s="52" t="str">
        <f t="shared" si="156"/>
        <v>NO</v>
      </c>
      <c r="AW566" s="54">
        <f ca="1">DATEDIF(BI566,TODAY(),"Y")</f>
        <v>6</v>
      </c>
      <c r="AX566" s="54"/>
      <c r="BH566" s="3" t="s">
        <v>80</v>
      </c>
      <c r="BI566" s="51">
        <f t="shared" si="158"/>
        <v>43912</v>
      </c>
      <c r="BJ566" s="38">
        <f t="shared" ca="1" si="159"/>
        <v>1670</v>
      </c>
      <c r="BK566" s="38"/>
      <c r="BL566" s="38" t="str">
        <f t="shared" si="160"/>
        <v>Q1</v>
      </c>
      <c r="BM566"/>
      <c r="BN566" s="51"/>
      <c r="BP566" s="3" t="s">
        <v>1516</v>
      </c>
      <c r="BQ566" s="3" t="s">
        <v>176</v>
      </c>
      <c r="BR566" s="19" t="s">
        <v>1085</v>
      </c>
      <c r="BS566" s="19" t="s">
        <v>3246</v>
      </c>
      <c r="BT566" s="54" t="str">
        <f t="shared" si="157"/>
        <v>DevOps</v>
      </c>
      <c r="BV566" s="3" t="s">
        <v>1516</v>
      </c>
      <c r="BW566" s="3" t="s">
        <v>534</v>
      </c>
      <c r="CC566" s="3" t="s">
        <v>534</v>
      </c>
      <c r="CD566" s="3" t="s">
        <v>359</v>
      </c>
      <c r="CG566" s="54">
        <f>IFERROR(_xlfn.XLOOKUP(Hiring!A566,Hiring!A566:A965,Hiring!B566:B965,,0),"Not Found")</f>
        <v>0</v>
      </c>
    </row>
    <row r="567" spans="6:85">
      <c r="F567" s="4">
        <v>3.1</v>
      </c>
      <c r="G567" s="52" t="str" cm="1">
        <f t="array" ref="G567">_xlfn.IFS(F567&gt;=4.5,"Excellent",AND(F567&gt;=3.5,F567&lt;=4.4),"Good",F567&lt;3.5,"Needs Improvement")</f>
        <v>Needs Improvement</v>
      </c>
      <c r="Q567" s="18">
        <v>7.73</v>
      </c>
      <c r="R567" s="56" t="str">
        <f t="shared" si="151"/>
        <v>Yes</v>
      </c>
      <c r="W567" s="18" t="s">
        <v>1085</v>
      </c>
      <c r="X567" s="54" t="str">
        <f>VLOOKUP(W567,Employees!$A$1:$B$601,2,FALSE)</f>
        <v>Satyajit Sahoo</v>
      </c>
      <c r="Z567" s="4" t="s">
        <v>1517</v>
      </c>
      <c r="AA567" s="54" t="str">
        <f t="shared" si="152"/>
        <v>0566</v>
      </c>
      <c r="AC567" s="4" t="s">
        <v>16</v>
      </c>
      <c r="AD567" s="54" t="str">
        <f t="shared" si="153"/>
        <v>Devops</v>
      </c>
      <c r="AF567" s="4" t="s">
        <v>1518</v>
      </c>
      <c r="AG567" s="4" t="s">
        <v>16</v>
      </c>
      <c r="AH567" s="4" t="s">
        <v>53</v>
      </c>
      <c r="AI567" s="54" t="str">
        <f t="shared" si="154"/>
        <v>Saurav Senapati|DevOps|BlueLotus IT</v>
      </c>
      <c r="AK567" s="4" t="s">
        <v>1518</v>
      </c>
      <c r="AL567" s="38" t="str">
        <f t="shared" si="155"/>
        <v>S.S.</v>
      </c>
      <c r="AQ567" s="4" t="s">
        <v>1518</v>
      </c>
      <c r="AR567" s="52" t="str">
        <f t="shared" si="156"/>
        <v>NO</v>
      </c>
      <c r="AW567" s="54">
        <f ca="1">DATEDIF(BI567,TODAY(),"Y")</f>
        <v>5</v>
      </c>
      <c r="AX567" s="54"/>
      <c r="BH567" s="4" t="s">
        <v>1519</v>
      </c>
      <c r="BI567" s="51">
        <f t="shared" si="158"/>
        <v>44143</v>
      </c>
      <c r="BJ567" s="38">
        <f t="shared" ca="1" si="159"/>
        <v>1505</v>
      </c>
      <c r="BK567" s="38"/>
      <c r="BL567" s="38" t="str">
        <f t="shared" si="160"/>
        <v>No</v>
      </c>
      <c r="BM567"/>
      <c r="BN567" s="51"/>
      <c r="BP567" s="4" t="s">
        <v>1517</v>
      </c>
      <c r="BQ567" s="4" t="s">
        <v>16</v>
      </c>
      <c r="BR567" s="18" t="s">
        <v>1085</v>
      </c>
      <c r="BS567" s="18" t="s">
        <v>3247</v>
      </c>
      <c r="BT567" s="54" t="str">
        <f t="shared" si="157"/>
        <v>DevOps</v>
      </c>
      <c r="BV567" s="4" t="s">
        <v>1517</v>
      </c>
      <c r="BW567" s="4" t="s">
        <v>1518</v>
      </c>
      <c r="CC567" s="4" t="s">
        <v>1518</v>
      </c>
      <c r="CD567" s="4" t="s">
        <v>98</v>
      </c>
      <c r="CG567" s="54">
        <f>IFERROR(_xlfn.XLOOKUP(Hiring!A567,Hiring!A567:A966,Hiring!B567:B966,,0),"Not Found")</f>
        <v>0</v>
      </c>
    </row>
    <row r="568" spans="6:85">
      <c r="F568" s="3">
        <v>2.7</v>
      </c>
      <c r="G568" s="52" t="str" cm="1">
        <f t="array" ref="G568">_xlfn.IFS(F568&gt;=4.5,"Excellent",AND(F568&gt;=3.5,F568&lt;=4.4),"Good",F568&lt;3.5,"Needs Improvement")</f>
        <v>Needs Improvement</v>
      </c>
      <c r="Q568" s="19">
        <v>7.78</v>
      </c>
      <c r="R568" s="56" t="str">
        <f t="shared" si="151"/>
        <v>Yes</v>
      </c>
      <c r="W568" s="19" t="s">
        <v>1085</v>
      </c>
      <c r="X568" s="54" t="str">
        <f>VLOOKUP(W568,Employees!$A$1:$B$601,2,FALSE)</f>
        <v>Satyajit Sahoo</v>
      </c>
      <c r="Z568" s="3" t="s">
        <v>1520</v>
      </c>
      <c r="AA568" s="54" t="str">
        <f t="shared" si="152"/>
        <v>0567</v>
      </c>
      <c r="AC568" s="3" t="s">
        <v>133</v>
      </c>
      <c r="AD568" s="54" t="str">
        <f t="shared" si="153"/>
        <v>Qa</v>
      </c>
      <c r="AF568" s="3" t="s">
        <v>1096</v>
      </c>
      <c r="AG568" s="3" t="s">
        <v>133</v>
      </c>
      <c r="AH568" s="3" t="s">
        <v>32</v>
      </c>
      <c r="AI568" s="54" t="str">
        <f t="shared" si="154"/>
        <v>Ankita Mahapatra|QA|NilGiri Digitals</v>
      </c>
      <c r="AK568" s="3" t="s">
        <v>1096</v>
      </c>
      <c r="AL568" s="38" t="str">
        <f t="shared" si="155"/>
        <v>A.M.</v>
      </c>
      <c r="AQ568" s="3" t="s">
        <v>1096</v>
      </c>
      <c r="AR568" s="52" t="str">
        <f t="shared" si="156"/>
        <v>NO</v>
      </c>
      <c r="AW568" s="54">
        <f ca="1">DATEDIF(BI568,TODAY(),"Y")</f>
        <v>3</v>
      </c>
      <c r="AX568" s="54"/>
      <c r="BH568" s="3" t="s">
        <v>1521</v>
      </c>
      <c r="BI568" s="51">
        <f t="shared" si="158"/>
        <v>44940</v>
      </c>
      <c r="BJ568" s="38">
        <f t="shared" ca="1" si="159"/>
        <v>935</v>
      </c>
      <c r="BK568" s="38"/>
      <c r="BL568" s="38" t="str">
        <f t="shared" si="160"/>
        <v>Q1</v>
      </c>
      <c r="BM568"/>
      <c r="BN568" s="51"/>
      <c r="BP568" s="3" t="s">
        <v>1520</v>
      </c>
      <c r="BQ568" s="3" t="s">
        <v>133</v>
      </c>
      <c r="BR568" s="19" t="s">
        <v>1085</v>
      </c>
      <c r="BS568" s="19" t="s">
        <v>3249</v>
      </c>
      <c r="BT568" s="54" t="str">
        <f t="shared" si="157"/>
        <v>DevOps</v>
      </c>
      <c r="BV568" s="3" t="s">
        <v>1520</v>
      </c>
      <c r="BW568" s="3" t="s">
        <v>1096</v>
      </c>
      <c r="CC568" s="3" t="s">
        <v>1096</v>
      </c>
      <c r="CD568" s="3" t="s">
        <v>162</v>
      </c>
      <c r="CG568" s="54">
        <f>IFERROR(_xlfn.XLOOKUP(Hiring!A568,Hiring!A568:A967,Hiring!B568:B967,,0),"Not Found")</f>
        <v>0</v>
      </c>
    </row>
    <row r="569" spans="6:85">
      <c r="F569" s="4">
        <v>0</v>
      </c>
      <c r="G569" s="52" t="str" cm="1">
        <f t="array" ref="G569">_xlfn.IFS(F569&gt;=4.5,"Excellent",AND(F569&gt;=3.5,F569&lt;=4.4),"Good",F569&lt;3.5,"Needs Improvement")</f>
        <v>Needs Improvement</v>
      </c>
      <c r="Q569" s="18">
        <v>8.1300000000000008</v>
      </c>
      <c r="R569" s="56" t="str">
        <f t="shared" si="151"/>
        <v>Yes</v>
      </c>
      <c r="W569" s="18" t="s">
        <v>1085</v>
      </c>
      <c r="X569" s="54" t="str">
        <f>VLOOKUP(W569,Employees!$A$1:$B$601,2,FALSE)</f>
        <v>Satyajit Sahoo</v>
      </c>
      <c r="Z569" s="4" t="s">
        <v>1522</v>
      </c>
      <c r="AA569" s="54" t="str">
        <f t="shared" si="152"/>
        <v>0568</v>
      </c>
      <c r="AC569" s="4" t="s">
        <v>89</v>
      </c>
      <c r="AD569" s="54" t="str">
        <f t="shared" si="153"/>
        <v>Data Science</v>
      </c>
      <c r="AF569" s="4" t="s">
        <v>1523</v>
      </c>
      <c r="AG569" s="4" t="s">
        <v>89</v>
      </c>
      <c r="AH569" s="4" t="s">
        <v>65</v>
      </c>
      <c r="AI569" s="54" t="str">
        <f t="shared" si="154"/>
        <v>Smita Jena|Data Science|TributeAI</v>
      </c>
      <c r="AK569" s="4" t="s">
        <v>1523</v>
      </c>
      <c r="AL569" s="38" t="str">
        <f t="shared" si="155"/>
        <v>S.J.</v>
      </c>
      <c r="AQ569" s="4" t="s">
        <v>1523</v>
      </c>
      <c r="AR569" s="52" t="str">
        <f t="shared" si="156"/>
        <v>NO</v>
      </c>
      <c r="AW569" s="54">
        <f ca="1">DATEDIF(BI569,TODAY(),"Y")</f>
        <v>7</v>
      </c>
      <c r="AX569" s="54"/>
      <c r="BH569" s="4" t="s">
        <v>1524</v>
      </c>
      <c r="BI569" s="51">
        <f t="shared" si="158"/>
        <v>43524</v>
      </c>
      <c r="BJ569" s="38">
        <f t="shared" ca="1" si="159"/>
        <v>1947</v>
      </c>
      <c r="BK569" s="38"/>
      <c r="BL569" s="38" t="str">
        <f t="shared" si="160"/>
        <v>Q1</v>
      </c>
      <c r="BM569"/>
      <c r="BN569" s="51"/>
      <c r="BP569" s="4" t="s">
        <v>1522</v>
      </c>
      <c r="BQ569" s="4" t="s">
        <v>89</v>
      </c>
      <c r="BR569" s="18" t="s">
        <v>1085</v>
      </c>
      <c r="BS569" s="18" t="s">
        <v>3250</v>
      </c>
      <c r="BT569" s="54" t="str">
        <f t="shared" si="157"/>
        <v>DevOps</v>
      </c>
      <c r="BV569" s="4" t="s">
        <v>1522</v>
      </c>
      <c r="BW569" s="4" t="s">
        <v>1523</v>
      </c>
      <c r="CC569" s="4" t="s">
        <v>1523</v>
      </c>
      <c r="CD569" s="4" t="s">
        <v>113</v>
      </c>
      <c r="CG569" s="54">
        <f>IFERROR(_xlfn.XLOOKUP(Hiring!A569,Hiring!A569:A968,Hiring!B569:B968,,0),"Not Found")</f>
        <v>0</v>
      </c>
    </row>
    <row r="570" spans="6:85">
      <c r="F570" s="3">
        <v>2.9</v>
      </c>
      <c r="G570" s="52" t="str" cm="1">
        <f t="array" ref="G570">_xlfn.IFS(F570&gt;=4.5,"Excellent",AND(F570&gt;=3.5,F570&lt;=4.4),"Good",F570&lt;3.5,"Needs Improvement")</f>
        <v>Needs Improvement</v>
      </c>
      <c r="Q570" s="19">
        <v>7.93</v>
      </c>
      <c r="R570" s="56" t="str">
        <f t="shared" si="151"/>
        <v>Yes</v>
      </c>
      <c r="W570" s="19" t="s">
        <v>1085</v>
      </c>
      <c r="X570" s="54" t="str">
        <f>VLOOKUP(W570,Employees!$A$1:$B$601,2,FALSE)</f>
        <v>Satyajit Sahoo</v>
      </c>
      <c r="Z570" s="3" t="s">
        <v>1525</v>
      </c>
      <c r="AA570" s="54" t="str">
        <f t="shared" si="152"/>
        <v>0569</v>
      </c>
      <c r="AC570" s="3" t="s">
        <v>51</v>
      </c>
      <c r="AD570" s="54" t="str">
        <f t="shared" si="153"/>
        <v>Sales</v>
      </c>
      <c r="AF570" s="3" t="s">
        <v>766</v>
      </c>
      <c r="AG570" s="3" t="s">
        <v>51</v>
      </c>
      <c r="AH570" s="3" t="s">
        <v>26</v>
      </c>
      <c r="AI570" s="54" t="str">
        <f t="shared" si="154"/>
        <v>Amlan Choudhury|Sales|InfySoft Bhubaneswar</v>
      </c>
      <c r="AK570" s="3" t="s">
        <v>766</v>
      </c>
      <c r="AL570" s="38" t="str">
        <f t="shared" si="155"/>
        <v>A.C.</v>
      </c>
      <c r="AQ570" s="3" t="s">
        <v>766</v>
      </c>
      <c r="AR570" s="52" t="str">
        <f t="shared" si="156"/>
        <v>NO</v>
      </c>
      <c r="AW570" s="54">
        <f ca="1">DATEDIF(BI570,TODAY(),"Y")</f>
        <v>4</v>
      </c>
      <c r="AX570" s="54"/>
      <c r="BH570" s="3" t="s">
        <v>1526</v>
      </c>
      <c r="BI570" s="51">
        <f t="shared" si="158"/>
        <v>44683</v>
      </c>
      <c r="BJ570" s="38">
        <f t="shared" ca="1" si="159"/>
        <v>1120</v>
      </c>
      <c r="BK570" s="38"/>
      <c r="BL570" s="38" t="str">
        <f t="shared" si="160"/>
        <v>No</v>
      </c>
      <c r="BM570"/>
      <c r="BN570" s="51"/>
      <c r="BP570" s="3" t="s">
        <v>1525</v>
      </c>
      <c r="BQ570" s="3" t="s">
        <v>51</v>
      </c>
      <c r="BR570" s="19" t="s">
        <v>1085</v>
      </c>
      <c r="BS570" s="19" t="s">
        <v>3252</v>
      </c>
      <c r="BT570" s="54" t="str">
        <f t="shared" si="157"/>
        <v>DevOps</v>
      </c>
      <c r="BV570" s="3" t="s">
        <v>1525</v>
      </c>
      <c r="BW570" s="3" t="s">
        <v>766</v>
      </c>
      <c r="CC570" s="3" t="s">
        <v>766</v>
      </c>
      <c r="CD570" s="3" t="s">
        <v>69</v>
      </c>
      <c r="CG570" s="54">
        <f>IFERROR(_xlfn.XLOOKUP(Hiring!A570,Hiring!A570:A969,Hiring!B570:B969,,0),"Not Found")</f>
        <v>0</v>
      </c>
    </row>
    <row r="571" spans="6:85">
      <c r="F571" s="4">
        <v>5</v>
      </c>
      <c r="G571" s="52" t="str" cm="1">
        <f t="array" ref="G571">_xlfn.IFS(F571&gt;=4.5,"Excellent",AND(F571&gt;=3.5,F571&lt;=4.4),"Good",F571&lt;3.5,"Needs Improvement")</f>
        <v>Excellent</v>
      </c>
      <c r="Q571" s="18">
        <v>7.89</v>
      </c>
      <c r="R571" s="56" t="str">
        <f t="shared" si="151"/>
        <v>Yes</v>
      </c>
      <c r="W571" s="18" t="s">
        <v>1085</v>
      </c>
      <c r="X571" s="54" t="str">
        <f>VLOOKUP(W571,Employees!$A$1:$B$601,2,FALSE)</f>
        <v>Satyajit Sahoo</v>
      </c>
      <c r="Z571" s="4" t="s">
        <v>1527</v>
      </c>
      <c r="AA571" s="54" t="str">
        <f t="shared" si="152"/>
        <v>0570</v>
      </c>
      <c r="AC571" s="4" t="s">
        <v>51</v>
      </c>
      <c r="AD571" s="54" t="str">
        <f t="shared" si="153"/>
        <v>Sales</v>
      </c>
      <c r="AF571" s="4" t="s">
        <v>1383</v>
      </c>
      <c r="AG571" s="4" t="s">
        <v>51</v>
      </c>
      <c r="AH571" s="4" t="s">
        <v>114</v>
      </c>
      <c r="AI571" s="54" t="str">
        <f t="shared" si="154"/>
        <v>Tapas Choudhury|Sales|UtkalSoft Technologies</v>
      </c>
      <c r="AK571" s="4" t="s">
        <v>1383</v>
      </c>
      <c r="AL571" s="38" t="str">
        <f t="shared" si="155"/>
        <v>T.C.</v>
      </c>
      <c r="AQ571" s="4" t="s">
        <v>1383</v>
      </c>
      <c r="AR571" s="52" t="str">
        <f t="shared" si="156"/>
        <v>NO</v>
      </c>
      <c r="AW571" s="54">
        <f ca="1">DATEDIF(BI571,TODAY(),"Y")</f>
        <v>7</v>
      </c>
      <c r="AX571" s="54"/>
      <c r="BH571" s="4" t="s">
        <v>1528</v>
      </c>
      <c r="BI571" s="51">
        <f t="shared" si="158"/>
        <v>43419</v>
      </c>
      <c r="BJ571" s="38">
        <f t="shared" ca="1" si="159"/>
        <v>2022</v>
      </c>
      <c r="BK571" s="38"/>
      <c r="BL571" s="38" t="str">
        <f t="shared" si="160"/>
        <v>No</v>
      </c>
      <c r="BM571"/>
      <c r="BN571" s="51"/>
      <c r="BP571" s="4" t="s">
        <v>1527</v>
      </c>
      <c r="BQ571" s="4" t="s">
        <v>51</v>
      </c>
      <c r="BR571" s="18" t="s">
        <v>1085</v>
      </c>
      <c r="BS571" s="18" t="s">
        <v>3255</v>
      </c>
      <c r="BT571" s="54" t="str">
        <f t="shared" si="157"/>
        <v>DevOps</v>
      </c>
      <c r="BV571" s="4" t="s">
        <v>1527</v>
      </c>
      <c r="BW571" s="4" t="s">
        <v>1383</v>
      </c>
      <c r="CC571" s="4" t="s">
        <v>1383</v>
      </c>
      <c r="CD571" s="4" t="s">
        <v>69</v>
      </c>
      <c r="CG571" s="54">
        <f>IFERROR(_xlfn.XLOOKUP(Hiring!A571,Hiring!A571:A970,Hiring!B571:B970,,0),"Not Found")</f>
        <v>0</v>
      </c>
    </row>
    <row r="572" spans="6:85">
      <c r="F572" s="3">
        <v>0</v>
      </c>
      <c r="G572" s="52" t="str" cm="1">
        <f t="array" ref="G572">_xlfn.IFS(F572&gt;=4.5,"Excellent",AND(F572&gt;=3.5,F572&lt;=4.4),"Good",F572&lt;3.5,"Needs Improvement")</f>
        <v>Needs Improvement</v>
      </c>
      <c r="Q572" s="19">
        <v>9.7899999999999991</v>
      </c>
      <c r="R572" s="56" t="str">
        <f t="shared" si="151"/>
        <v>Yes</v>
      </c>
      <c r="W572" s="19" t="s">
        <v>1085</v>
      </c>
      <c r="X572" s="54" t="str">
        <f>VLOOKUP(W572,Employees!$A$1:$B$601,2,FALSE)</f>
        <v>Satyajit Sahoo</v>
      </c>
      <c r="Z572" s="3" t="s">
        <v>1529</v>
      </c>
      <c r="AA572" s="54" t="str">
        <f t="shared" si="152"/>
        <v>0571</v>
      </c>
      <c r="AC572" s="3" t="s">
        <v>16</v>
      </c>
      <c r="AD572" s="54" t="str">
        <f t="shared" si="153"/>
        <v>Devops</v>
      </c>
      <c r="AF572" s="3" t="s">
        <v>1530</v>
      </c>
      <c r="AG572" s="3" t="s">
        <v>16</v>
      </c>
      <c r="AH572" s="3" t="s">
        <v>65</v>
      </c>
      <c r="AI572" s="54" t="str">
        <f t="shared" si="154"/>
        <v>Satyajit Tripathy|DevOps|TributeAI</v>
      </c>
      <c r="AK572" s="3" t="s">
        <v>1530</v>
      </c>
      <c r="AL572" s="38" t="str">
        <f t="shared" si="155"/>
        <v>S.T.</v>
      </c>
      <c r="AQ572" s="3" t="s">
        <v>1530</v>
      </c>
      <c r="AR572" s="52" t="str">
        <f t="shared" si="156"/>
        <v>NO</v>
      </c>
      <c r="AW572" s="54">
        <f ca="1">DATEDIF(BI572,TODAY(),"Y")</f>
        <v>7</v>
      </c>
      <c r="AX572" s="54"/>
      <c r="BH572" s="3" t="s">
        <v>1531</v>
      </c>
      <c r="BI572" s="51">
        <f t="shared" si="158"/>
        <v>43591</v>
      </c>
      <c r="BJ572" s="38">
        <f t="shared" ca="1" si="159"/>
        <v>1900</v>
      </c>
      <c r="BK572" s="38"/>
      <c r="BL572" s="38" t="str">
        <f t="shared" si="160"/>
        <v>No</v>
      </c>
      <c r="BM572"/>
      <c r="BN572" s="51"/>
      <c r="BP572" s="3" t="s">
        <v>1529</v>
      </c>
      <c r="BQ572" s="3" t="s">
        <v>16</v>
      </c>
      <c r="BR572" s="19" t="s">
        <v>1085</v>
      </c>
      <c r="BS572" s="19" t="s">
        <v>3256</v>
      </c>
      <c r="BT572" s="54" t="str">
        <f t="shared" si="157"/>
        <v>DevOps</v>
      </c>
      <c r="BV572" s="3" t="s">
        <v>1529</v>
      </c>
      <c r="BW572" s="3" t="s">
        <v>1530</v>
      </c>
      <c r="CC572" s="3" t="s">
        <v>1530</v>
      </c>
      <c r="CD572" s="3" t="s">
        <v>335</v>
      </c>
      <c r="CG572" s="54">
        <f>IFERROR(_xlfn.XLOOKUP(Hiring!A572,Hiring!A572:A971,Hiring!B572:B971,,0),"Not Found")</f>
        <v>0</v>
      </c>
    </row>
    <row r="573" spans="6:85">
      <c r="F573" s="4">
        <v>3.9</v>
      </c>
      <c r="G573" s="52" t="str" cm="1">
        <f t="array" ref="G573">_xlfn.IFS(F573&gt;=4.5,"Excellent",AND(F573&gt;=3.5,F573&lt;=4.4),"Good",F573&lt;3.5,"Needs Improvement")</f>
        <v>Good</v>
      </c>
      <c r="Q573" s="18">
        <v>11.46</v>
      </c>
      <c r="R573" s="56" t="str">
        <f t="shared" si="151"/>
        <v>Yes</v>
      </c>
      <c r="W573" s="18" t="s">
        <v>1085</v>
      </c>
      <c r="X573" s="54" t="str">
        <f>VLOOKUP(W573,Employees!$A$1:$B$601,2,FALSE)</f>
        <v>Satyajit Sahoo</v>
      </c>
      <c r="Z573" s="4" t="s">
        <v>1532</v>
      </c>
      <c r="AA573" s="54" t="str">
        <f t="shared" si="152"/>
        <v>0572</v>
      </c>
      <c r="AC573" s="4" t="s">
        <v>176</v>
      </c>
      <c r="AD573" s="54" t="str">
        <f t="shared" si="153"/>
        <v>Finance</v>
      </c>
      <c r="AF573" s="4" t="s">
        <v>655</v>
      </c>
      <c r="AG573" s="4" t="s">
        <v>176</v>
      </c>
      <c r="AH573" s="4" t="s">
        <v>53</v>
      </c>
      <c r="AI573" s="54" t="str">
        <f t="shared" si="154"/>
        <v>Ipsita Behura|Finance|BlueLotus IT</v>
      </c>
      <c r="AK573" s="4" t="s">
        <v>655</v>
      </c>
      <c r="AL573" s="38" t="str">
        <f t="shared" si="155"/>
        <v>I.B.</v>
      </c>
      <c r="AQ573" s="4" t="s">
        <v>655</v>
      </c>
      <c r="AR573" s="52" t="str">
        <f t="shared" si="156"/>
        <v>NO</v>
      </c>
      <c r="AW573" s="54">
        <f ca="1">DATEDIF(BI573,TODAY(),"Y")</f>
        <v>6</v>
      </c>
      <c r="AX573" s="54"/>
      <c r="BH573" s="4" t="s">
        <v>971</v>
      </c>
      <c r="BI573" s="51">
        <f t="shared" si="158"/>
        <v>43861</v>
      </c>
      <c r="BJ573" s="38">
        <f t="shared" ca="1" si="159"/>
        <v>1706</v>
      </c>
      <c r="BK573" s="38"/>
      <c r="BL573" s="38" t="str">
        <f t="shared" si="160"/>
        <v>Q1</v>
      </c>
      <c r="BM573"/>
      <c r="BN573" s="51"/>
      <c r="BP573" s="4" t="s">
        <v>1532</v>
      </c>
      <c r="BQ573" s="4" t="s">
        <v>176</v>
      </c>
      <c r="BR573" s="18" t="s">
        <v>1085</v>
      </c>
      <c r="BS573" s="18" t="s">
        <v>3258</v>
      </c>
      <c r="BT573" s="54" t="str">
        <f t="shared" si="157"/>
        <v>DevOps</v>
      </c>
      <c r="BV573" s="4" t="s">
        <v>1532</v>
      </c>
      <c r="BW573" s="4" t="s">
        <v>655</v>
      </c>
      <c r="CC573" s="4" t="s">
        <v>655</v>
      </c>
      <c r="CD573" s="4" t="s">
        <v>177</v>
      </c>
      <c r="CG573" s="54">
        <f>IFERROR(_xlfn.XLOOKUP(Hiring!A573,Hiring!A573:A972,Hiring!B573:B972,,0),"Not Found")</f>
        <v>0</v>
      </c>
    </row>
    <row r="574" spans="6:85">
      <c r="F574" s="3">
        <v>4.5</v>
      </c>
      <c r="G574" s="52" t="str" cm="1">
        <f t="array" ref="G574">_xlfn.IFS(F574&gt;=4.5,"Excellent",AND(F574&gt;=3.5,F574&lt;=4.4),"Good",F574&lt;3.5,"Needs Improvement")</f>
        <v>Excellent</v>
      </c>
      <c r="Q574" s="19">
        <v>7.79</v>
      </c>
      <c r="R574" s="56" t="str">
        <f t="shared" si="151"/>
        <v>Yes</v>
      </c>
      <c r="W574" s="19" t="s">
        <v>1085</v>
      </c>
      <c r="X574" s="54" t="str">
        <f>VLOOKUP(W574,Employees!$A$1:$B$601,2,FALSE)</f>
        <v>Satyajit Sahoo</v>
      </c>
      <c r="Z574" s="3" t="s">
        <v>1533</v>
      </c>
      <c r="AA574" s="54" t="str">
        <f t="shared" si="152"/>
        <v>0573</v>
      </c>
      <c r="AC574" s="3" t="s">
        <v>133</v>
      </c>
      <c r="AD574" s="54" t="str">
        <f t="shared" si="153"/>
        <v>Qa</v>
      </c>
      <c r="AF574" s="3" t="s">
        <v>1534</v>
      </c>
      <c r="AG574" s="3" t="s">
        <v>133</v>
      </c>
      <c r="AH574" s="3" t="s">
        <v>65</v>
      </c>
      <c r="AI574" s="54" t="str">
        <f t="shared" si="154"/>
        <v>Tapas Tripathy|QA|TributeAI</v>
      </c>
      <c r="AK574" s="3" t="s">
        <v>1534</v>
      </c>
      <c r="AL574" s="38" t="str">
        <f t="shared" si="155"/>
        <v>T.T.</v>
      </c>
      <c r="AQ574" s="3" t="s">
        <v>1534</v>
      </c>
      <c r="AR574" s="52" t="str">
        <f t="shared" si="156"/>
        <v>NO</v>
      </c>
      <c r="AW574" s="54">
        <f ca="1">DATEDIF(BI574,TODAY(),"Y")</f>
        <v>4</v>
      </c>
      <c r="AX574" s="54"/>
      <c r="BH574" s="3" t="s">
        <v>1143</v>
      </c>
      <c r="BI574" s="51">
        <f t="shared" si="158"/>
        <v>44530</v>
      </c>
      <c r="BJ574" s="38">
        <f t="shared" ca="1" si="159"/>
        <v>1229</v>
      </c>
      <c r="BK574" s="38"/>
      <c r="BL574" s="38" t="str">
        <f t="shared" si="160"/>
        <v>No</v>
      </c>
      <c r="BM574"/>
      <c r="BN574" s="51"/>
      <c r="BP574" s="3" t="s">
        <v>1533</v>
      </c>
      <c r="BQ574" s="3" t="s">
        <v>133</v>
      </c>
      <c r="BR574" s="19" t="s">
        <v>1085</v>
      </c>
      <c r="BS574" s="19" t="s">
        <v>3260</v>
      </c>
      <c r="BT574" s="54" t="str">
        <f t="shared" si="157"/>
        <v>DevOps</v>
      </c>
      <c r="BV574" s="3" t="s">
        <v>1533</v>
      </c>
      <c r="BW574" s="3" t="s">
        <v>1534</v>
      </c>
      <c r="CC574" s="3" t="s">
        <v>1534</v>
      </c>
      <c r="CD574" s="3" t="s">
        <v>153</v>
      </c>
      <c r="CG574" s="54">
        <f>IFERROR(_xlfn.XLOOKUP(Hiring!A574,Hiring!A574:A973,Hiring!B574:B973,,0),"Not Found")</f>
        <v>0</v>
      </c>
    </row>
    <row r="575" spans="6:85">
      <c r="F575" s="4">
        <v>3.3</v>
      </c>
      <c r="G575" s="52" t="str" cm="1">
        <f t="array" ref="G575">_xlfn.IFS(F575&gt;=4.5,"Excellent",AND(F575&gt;=3.5,F575&lt;=4.4),"Good",F575&lt;3.5,"Needs Improvement")</f>
        <v>Needs Improvement</v>
      </c>
      <c r="Q575" s="18">
        <v>7.92</v>
      </c>
      <c r="R575" s="56" t="str">
        <f t="shared" si="151"/>
        <v>Yes</v>
      </c>
      <c r="W575" s="18" t="s">
        <v>1085</v>
      </c>
      <c r="X575" s="54" t="str">
        <f>VLOOKUP(W575,Employees!$A$1:$B$601,2,FALSE)</f>
        <v>Satyajit Sahoo</v>
      </c>
      <c r="Z575" s="4" t="s">
        <v>1535</v>
      </c>
      <c r="AA575" s="54" t="str">
        <f t="shared" si="152"/>
        <v>0574</v>
      </c>
      <c r="AC575" s="4" t="s">
        <v>51</v>
      </c>
      <c r="AD575" s="54" t="str">
        <f t="shared" si="153"/>
        <v>Sales</v>
      </c>
      <c r="AF575" s="4" t="s">
        <v>1123</v>
      </c>
      <c r="AG575" s="4" t="s">
        <v>51</v>
      </c>
      <c r="AH575" s="4" t="s">
        <v>46</v>
      </c>
      <c r="AI575" s="54" t="str">
        <f t="shared" si="154"/>
        <v>Soumya Mohapatra|Sales|SambalpurNet</v>
      </c>
      <c r="AK575" s="4" t="s">
        <v>1123</v>
      </c>
      <c r="AL575" s="38" t="str">
        <f t="shared" si="155"/>
        <v>S.M.</v>
      </c>
      <c r="AQ575" s="4" t="s">
        <v>1123</v>
      </c>
      <c r="AR575" s="52" t="str">
        <f t="shared" si="156"/>
        <v>NO</v>
      </c>
      <c r="AW575" s="54">
        <f ca="1">DATEDIF(BI575,TODAY(),"Y")</f>
        <v>6</v>
      </c>
      <c r="AX575" s="54"/>
      <c r="BH575" s="4" t="s">
        <v>1536</v>
      </c>
      <c r="BI575" s="51">
        <f t="shared" si="158"/>
        <v>44030</v>
      </c>
      <c r="BJ575" s="38">
        <f t="shared" ca="1" si="159"/>
        <v>1585</v>
      </c>
      <c r="BK575" s="38"/>
      <c r="BL575" s="38" t="str">
        <f t="shared" si="160"/>
        <v>No</v>
      </c>
      <c r="BM575"/>
      <c r="BN575" s="51"/>
      <c r="BP575" s="4" t="s">
        <v>1535</v>
      </c>
      <c r="BQ575" s="4" t="s">
        <v>51</v>
      </c>
      <c r="BR575" s="18" t="s">
        <v>1085</v>
      </c>
      <c r="BS575" s="18" t="s">
        <v>3263</v>
      </c>
      <c r="BT575" s="54" t="str">
        <f t="shared" si="157"/>
        <v>DevOps</v>
      </c>
      <c r="BV575" s="4" t="s">
        <v>1535</v>
      </c>
      <c r="BW575" s="4" t="s">
        <v>1123</v>
      </c>
      <c r="CC575" s="4" t="s">
        <v>1123</v>
      </c>
      <c r="CD575" s="4" t="s">
        <v>69</v>
      </c>
      <c r="CG575" s="54">
        <f>IFERROR(_xlfn.XLOOKUP(Hiring!A575,Hiring!A575:A974,Hiring!B575:B974,,0),"Not Found")</f>
        <v>0</v>
      </c>
    </row>
    <row r="576" spans="6:85">
      <c r="F576" s="3">
        <v>2.6</v>
      </c>
      <c r="G576" s="52" t="str" cm="1">
        <f t="array" ref="G576">_xlfn.IFS(F576&gt;=4.5,"Excellent",AND(F576&gt;=3.5,F576&lt;=4.4),"Good",F576&lt;3.5,"Needs Improvement")</f>
        <v>Needs Improvement</v>
      </c>
      <c r="Q576" s="19">
        <v>8.0500000000000007</v>
      </c>
      <c r="R576" s="56" t="str">
        <f t="shared" si="151"/>
        <v>Yes</v>
      </c>
      <c r="W576" s="19" t="s">
        <v>1085</v>
      </c>
      <c r="X576" s="54" t="str">
        <f>VLOOKUP(W576,Employees!$A$1:$B$601,2,FALSE)</f>
        <v>Satyajit Sahoo</v>
      </c>
      <c r="Z576" s="3" t="s">
        <v>1537</v>
      </c>
      <c r="AA576" s="54" t="str">
        <f t="shared" si="152"/>
        <v>0575</v>
      </c>
      <c r="AC576" s="3" t="s">
        <v>51</v>
      </c>
      <c r="AD576" s="54" t="str">
        <f t="shared" si="153"/>
        <v>Sales</v>
      </c>
      <c r="AF576" s="3" t="s">
        <v>1538</v>
      </c>
      <c r="AG576" s="3" t="s">
        <v>51</v>
      </c>
      <c r="AH576" s="3" t="s">
        <v>46</v>
      </c>
      <c r="AI576" s="54" t="str">
        <f t="shared" si="154"/>
        <v>Namita Jena|Sales|SambalpurNet</v>
      </c>
      <c r="AK576" s="3" t="s">
        <v>1538</v>
      </c>
      <c r="AL576" s="38" t="str">
        <f t="shared" si="155"/>
        <v>N.J.</v>
      </c>
      <c r="AQ576" s="3" t="s">
        <v>1538</v>
      </c>
      <c r="AR576" s="52" t="str">
        <f t="shared" si="156"/>
        <v>NO</v>
      </c>
      <c r="AW576" s="54">
        <f ca="1">DATEDIF(BI576,TODAY(),"Y")</f>
        <v>7</v>
      </c>
      <c r="AX576" s="54"/>
      <c r="BH576" s="3" t="s">
        <v>1539</v>
      </c>
      <c r="BI576" s="51">
        <f t="shared" si="158"/>
        <v>43604</v>
      </c>
      <c r="BJ576" s="38">
        <f t="shared" ca="1" si="159"/>
        <v>1890</v>
      </c>
      <c r="BK576" s="38"/>
      <c r="BL576" s="38" t="str">
        <f t="shared" si="160"/>
        <v>No</v>
      </c>
      <c r="BM576"/>
      <c r="BN576" s="51"/>
      <c r="BP576" s="3" t="s">
        <v>1537</v>
      </c>
      <c r="BQ576" s="3" t="s">
        <v>51</v>
      </c>
      <c r="BR576" s="19" t="s">
        <v>1085</v>
      </c>
      <c r="BS576" s="19" t="s">
        <v>3264</v>
      </c>
      <c r="BT576" s="54" t="str">
        <f t="shared" si="157"/>
        <v>DevOps</v>
      </c>
      <c r="BV576" s="3" t="s">
        <v>1537</v>
      </c>
      <c r="BW576" s="3" t="s">
        <v>1538</v>
      </c>
      <c r="CC576" s="3" t="s">
        <v>1538</v>
      </c>
      <c r="CD576" s="3" t="s">
        <v>105</v>
      </c>
      <c r="CG576" s="54">
        <f>IFERROR(_xlfn.XLOOKUP(Hiring!A576,Hiring!A576:A975,Hiring!B576:B975,,0),"Not Found")</f>
        <v>0</v>
      </c>
    </row>
    <row r="577" spans="6:85">
      <c r="F577" s="4">
        <v>2.4</v>
      </c>
      <c r="G577" s="52" t="str" cm="1">
        <f t="array" ref="G577">_xlfn.IFS(F577&gt;=4.5,"Excellent",AND(F577&gt;=3.5,F577&lt;=4.4),"Good",F577&lt;3.5,"Needs Improvement")</f>
        <v>Needs Improvement</v>
      </c>
      <c r="Q577" s="18">
        <v>7.17</v>
      </c>
      <c r="R577" s="56" t="str">
        <f t="shared" si="151"/>
        <v>Yes</v>
      </c>
      <c r="W577" s="18" t="s">
        <v>1085</v>
      </c>
      <c r="X577" s="54" t="str">
        <f>VLOOKUP(W577,Employees!$A$1:$B$601,2,FALSE)</f>
        <v>Satyajit Sahoo</v>
      </c>
      <c r="Z577" s="4" t="s">
        <v>1540</v>
      </c>
      <c r="AA577" s="54" t="str">
        <f t="shared" si="152"/>
        <v>0576</v>
      </c>
      <c r="AC577" s="4" t="s">
        <v>84</v>
      </c>
      <c r="AD577" s="54" t="str">
        <f t="shared" si="153"/>
        <v>Hr</v>
      </c>
      <c r="AF577" s="4" t="s">
        <v>129</v>
      </c>
      <c r="AG577" s="4" t="s">
        <v>84</v>
      </c>
      <c r="AH577" s="4" t="s">
        <v>53</v>
      </c>
      <c r="AI577" s="54" t="str">
        <f t="shared" si="154"/>
        <v>Barsha Choudhury|HR|BlueLotus IT</v>
      </c>
      <c r="AK577" s="4" t="s">
        <v>129</v>
      </c>
      <c r="AL577" s="38" t="str">
        <f t="shared" si="155"/>
        <v>B.C.</v>
      </c>
      <c r="AQ577" s="4" t="s">
        <v>129</v>
      </c>
      <c r="AR577" s="52" t="str">
        <f t="shared" si="156"/>
        <v>NO</v>
      </c>
      <c r="AW577" s="54">
        <f ca="1">DATEDIF(BI577,TODAY(),"Y")</f>
        <v>7</v>
      </c>
      <c r="AX577" s="54"/>
      <c r="BH577" s="4" t="s">
        <v>1541</v>
      </c>
      <c r="BI577" s="51">
        <f t="shared" si="158"/>
        <v>43577</v>
      </c>
      <c r="BJ577" s="38">
        <f t="shared" ca="1" si="159"/>
        <v>1910</v>
      </c>
      <c r="BK577" s="38"/>
      <c r="BL577" s="38" t="str">
        <f t="shared" si="160"/>
        <v>No</v>
      </c>
      <c r="BM577"/>
      <c r="BN577" s="51"/>
      <c r="BP577" s="4" t="s">
        <v>1540</v>
      </c>
      <c r="BQ577" s="4" t="s">
        <v>84</v>
      </c>
      <c r="BR577" s="18" t="s">
        <v>1085</v>
      </c>
      <c r="BS577" s="18" t="s">
        <v>3265</v>
      </c>
      <c r="BT577" s="54" t="str">
        <f t="shared" si="157"/>
        <v>DevOps</v>
      </c>
      <c r="BV577" s="4" t="s">
        <v>1540</v>
      </c>
      <c r="BW577" s="4" t="s">
        <v>129</v>
      </c>
      <c r="CC577" s="4" t="s">
        <v>129</v>
      </c>
      <c r="CD577" s="4" t="s">
        <v>204</v>
      </c>
      <c r="CG577" s="54">
        <f>IFERROR(_xlfn.XLOOKUP(Hiring!A577,Hiring!A577:A976,Hiring!B577:B976,,0),"Not Found")</f>
        <v>0</v>
      </c>
    </row>
    <row r="578" spans="6:85">
      <c r="F578" s="3">
        <v>3.1</v>
      </c>
      <c r="G578" s="52" t="str" cm="1">
        <f t="array" ref="G578">_xlfn.IFS(F578&gt;=4.5,"Excellent",AND(F578&gt;=3.5,F578&lt;=4.4),"Good",F578&lt;3.5,"Needs Improvement")</f>
        <v>Needs Improvement</v>
      </c>
      <c r="Q578" s="19"/>
      <c r="R578" s="56" t="str">
        <f t="shared" si="151"/>
        <v>No</v>
      </c>
      <c r="W578" s="19" t="s">
        <v>1085</v>
      </c>
      <c r="X578" s="54" t="str">
        <f>VLOOKUP(W578,Employees!$A$1:$B$601,2,FALSE)</f>
        <v>Satyajit Sahoo</v>
      </c>
      <c r="Z578" s="3" t="s">
        <v>1542</v>
      </c>
      <c r="AA578" s="54" t="str">
        <f t="shared" si="152"/>
        <v>0577</v>
      </c>
      <c r="AC578" s="3" t="s">
        <v>89</v>
      </c>
      <c r="AD578" s="54" t="str">
        <f t="shared" si="153"/>
        <v>Data Science</v>
      </c>
      <c r="AF578" s="3" t="s">
        <v>1543</v>
      </c>
      <c r="AG578" s="3" t="s">
        <v>89</v>
      </c>
      <c r="AH578" s="3" t="s">
        <v>46</v>
      </c>
      <c r="AI578" s="54" t="str">
        <f t="shared" si="154"/>
        <v>Amlan Mahapatra|Data Science|SambalpurNet</v>
      </c>
      <c r="AK578" s="3" t="s">
        <v>1543</v>
      </c>
      <c r="AL578" s="38" t="str">
        <f t="shared" si="155"/>
        <v>A.M.</v>
      </c>
      <c r="AQ578" s="3" t="s">
        <v>1543</v>
      </c>
      <c r="AR578" s="52" t="str">
        <f t="shared" si="156"/>
        <v>NO</v>
      </c>
      <c r="AW578" s="54">
        <f ca="1">DATEDIF(BI578,TODAY(),"Y")</f>
        <v>5</v>
      </c>
      <c r="AX578" s="54"/>
      <c r="BH578" s="3" t="s">
        <v>1544</v>
      </c>
      <c r="BI578" s="51">
        <f t="shared" si="158"/>
        <v>44389</v>
      </c>
      <c r="BJ578" s="38">
        <f t="shared" ca="1" si="159"/>
        <v>1330</v>
      </c>
      <c r="BK578" s="38"/>
      <c r="BL578" s="38" t="str">
        <f t="shared" si="160"/>
        <v>No</v>
      </c>
      <c r="BM578"/>
      <c r="BN578" s="51"/>
      <c r="BP578" s="3" t="s">
        <v>1542</v>
      </c>
      <c r="BQ578" s="3" t="s">
        <v>89</v>
      </c>
      <c r="BR578" s="19" t="s">
        <v>1085</v>
      </c>
      <c r="BS578" s="19" t="s">
        <v>3267</v>
      </c>
      <c r="BT578" s="54" t="str">
        <f t="shared" si="157"/>
        <v>DevOps</v>
      </c>
      <c r="BV578" s="3" t="s">
        <v>1542</v>
      </c>
      <c r="BW578" s="3" t="s">
        <v>1543</v>
      </c>
      <c r="CC578" s="3" t="s">
        <v>1543</v>
      </c>
      <c r="CD578" s="3" t="s">
        <v>376</v>
      </c>
      <c r="CG578" s="54">
        <f>IFERROR(_xlfn.XLOOKUP(Hiring!A578,Hiring!A578:A977,Hiring!B578:B977,,0),"Not Found")</f>
        <v>0</v>
      </c>
    </row>
    <row r="579" spans="6:85">
      <c r="F579" s="4">
        <v>5</v>
      </c>
      <c r="G579" s="52" t="str" cm="1">
        <f t="array" ref="G579">_xlfn.IFS(F579&gt;=4.5,"Excellent",AND(F579&gt;=3.5,F579&lt;=4.4),"Good",F579&lt;3.5,"Needs Improvement")</f>
        <v>Excellent</v>
      </c>
      <c r="Q579" s="18">
        <v>8.8800000000000008</v>
      </c>
      <c r="R579" s="56" t="str">
        <f t="shared" ref="R579:R642" si="161">IF(ISBLANK(Q579),"No","Yes")</f>
        <v>Yes</v>
      </c>
      <c r="W579" s="18" t="s">
        <v>1085</v>
      </c>
      <c r="X579" s="54" t="str">
        <f>VLOOKUP(W579,Employees!$A$1:$B$601,2,FALSE)</f>
        <v>Satyajit Sahoo</v>
      </c>
      <c r="Z579" s="4" t="s">
        <v>1545</v>
      </c>
      <c r="AA579" s="54" t="str">
        <f t="shared" ref="AA579:AA601" si="162">RIGHT(Z579,4)</f>
        <v>0578</v>
      </c>
      <c r="AC579" s="4" t="s">
        <v>84</v>
      </c>
      <c r="AD579" s="54" t="str">
        <f t="shared" ref="AD579:AD601" si="163">PROPER(AC579)</f>
        <v>Hr</v>
      </c>
      <c r="AF579" s="4" t="s">
        <v>1546</v>
      </c>
      <c r="AG579" s="4" t="s">
        <v>84</v>
      </c>
      <c r="AH579" s="4" t="s">
        <v>149</v>
      </c>
      <c r="AI579" s="54" t="str">
        <f t="shared" ref="AI579:AI601" si="164">_xlfn.CONCAT(AF579,"|",AG579,"|",AH579)</f>
        <v>Abhishek Senapati|HR|SilverByte Systems</v>
      </c>
      <c r="AK579" s="4" t="s">
        <v>1546</v>
      </c>
      <c r="AL579" s="38" t="str">
        <f t="shared" ref="AL579:AL601" si="165">LEFT(AK579,1)&amp;"."&amp;MID(AK579,FIND(" ",AK579)+1,1)&amp;"."</f>
        <v>A.S.</v>
      </c>
      <c r="AQ579" s="4" t="s">
        <v>1546</v>
      </c>
      <c r="AR579" s="52" t="str">
        <f t="shared" ref="AR579:AR601" si="166">IF(ISNUMBER(SEARCH("Mishra",AQ579)),"Mishra","NO")</f>
        <v>NO</v>
      </c>
      <c r="AW579" s="54">
        <f ca="1">DATEDIF(BI579,TODAY(),"Y")</f>
        <v>7</v>
      </c>
      <c r="AX579" s="54"/>
      <c r="BH579" s="4" t="s">
        <v>1547</v>
      </c>
      <c r="BI579" s="51">
        <f t="shared" si="158"/>
        <v>43423</v>
      </c>
      <c r="BJ579" s="38">
        <f t="shared" ca="1" si="159"/>
        <v>2020</v>
      </c>
      <c r="BK579" s="38"/>
      <c r="BL579" s="38" t="str">
        <f t="shared" si="160"/>
        <v>No</v>
      </c>
      <c r="BM579"/>
      <c r="BN579" s="51"/>
      <c r="BP579" s="4" t="s">
        <v>1545</v>
      </c>
      <c r="BQ579" s="4" t="s">
        <v>84</v>
      </c>
      <c r="BR579" s="18" t="s">
        <v>1085</v>
      </c>
      <c r="BS579" s="18" t="s">
        <v>3268</v>
      </c>
      <c r="BT579" s="54" t="str">
        <f t="shared" ref="BT579:BT642" si="167">VLOOKUP(BR579,$BP$2:$BQ$601,2,FALSE)</f>
        <v>DevOps</v>
      </c>
      <c r="BV579" s="4" t="s">
        <v>1545</v>
      </c>
      <c r="BW579" s="4" t="s">
        <v>1546</v>
      </c>
      <c r="CC579" s="4" t="s">
        <v>1546</v>
      </c>
      <c r="CD579" s="4" t="s">
        <v>204</v>
      </c>
      <c r="CG579" s="54">
        <f>IFERROR(_xlfn.XLOOKUP(Hiring!A579,Hiring!A579:A978,Hiring!B579:B978,,0),"Not Found")</f>
        <v>0</v>
      </c>
    </row>
    <row r="580" spans="6:85">
      <c r="F580" s="3">
        <v>3.5</v>
      </c>
      <c r="G580" s="52" t="str" cm="1">
        <f t="array" ref="G580">_xlfn.IFS(F580&gt;=4.5,"Excellent",AND(F580&gt;=3.5,F580&lt;=4.4),"Good",F580&lt;3.5,"Needs Improvement")</f>
        <v>Good</v>
      </c>
      <c r="Q580" s="19">
        <v>10.38</v>
      </c>
      <c r="R580" s="56" t="str">
        <f t="shared" si="161"/>
        <v>Yes</v>
      </c>
      <c r="W580" s="19" t="s">
        <v>1085</v>
      </c>
      <c r="X580" s="54" t="str">
        <f>VLOOKUP(W580,Employees!$A$1:$B$601,2,FALSE)</f>
        <v>Satyajit Sahoo</v>
      </c>
      <c r="Z580" s="3" t="s">
        <v>1548</v>
      </c>
      <c r="AA580" s="54" t="str">
        <f t="shared" si="162"/>
        <v>0579</v>
      </c>
      <c r="AC580" s="3" t="s">
        <v>63</v>
      </c>
      <c r="AD580" s="54" t="str">
        <f t="shared" si="163"/>
        <v>Product</v>
      </c>
      <c r="AF580" s="3" t="s">
        <v>1414</v>
      </c>
      <c r="AG580" s="3" t="s">
        <v>63</v>
      </c>
      <c r="AH580" s="3" t="s">
        <v>149</v>
      </c>
      <c r="AI580" s="54" t="str">
        <f t="shared" si="164"/>
        <v>Puspita Biswal|Product|SilverByte Systems</v>
      </c>
      <c r="AK580" s="3" t="s">
        <v>1414</v>
      </c>
      <c r="AL580" s="38" t="str">
        <f t="shared" si="165"/>
        <v>P.B.</v>
      </c>
      <c r="AQ580" s="3" t="s">
        <v>1414</v>
      </c>
      <c r="AR580" s="52" t="str">
        <f t="shared" si="166"/>
        <v>NO</v>
      </c>
      <c r="AW580" s="54">
        <f ca="1">DATEDIF(BI580,TODAY(),"Y")</f>
        <v>6</v>
      </c>
      <c r="AX580" s="54"/>
      <c r="BH580" s="3" t="s">
        <v>1549</v>
      </c>
      <c r="BI580" s="51">
        <f t="shared" ref="BI580:BI601" si="168">IF(LEN(LEFT(BH580,FIND("-",BH580)-1))=4,DATE(LEFT(BH580,4),MID(BH580,6,2),RIGHT(BH580,2)),DATE(RIGHT(BH580,4),MID(BH580,4,2),LEFT(BH580,2)))</f>
        <v>44045</v>
      </c>
      <c r="BJ580" s="38">
        <f t="shared" ref="BJ580:BJ601" ca="1" si="169">NETWORKDAYS(BI580,TODAY())</f>
        <v>1575</v>
      </c>
      <c r="BK580" s="38"/>
      <c r="BL580" s="38" t="str">
        <f t="shared" ref="BL580:BL643" si="170">IF(MONTH(BI580)&lt;=3,"Q1","No")</f>
        <v>No</v>
      </c>
      <c r="BM580"/>
      <c r="BN580" s="51"/>
      <c r="BP580" s="3" t="s">
        <v>1548</v>
      </c>
      <c r="BQ580" s="3" t="s">
        <v>63</v>
      </c>
      <c r="BR580" s="19" t="s">
        <v>1085</v>
      </c>
      <c r="BS580" s="19" t="s">
        <v>3269</v>
      </c>
      <c r="BT580" s="54" t="str">
        <f t="shared" si="167"/>
        <v>DevOps</v>
      </c>
      <c r="BV580" s="3" t="s">
        <v>1548</v>
      </c>
      <c r="BW580" s="3" t="s">
        <v>1414</v>
      </c>
      <c r="CC580" s="3" t="s">
        <v>1414</v>
      </c>
      <c r="CD580" s="3" t="s">
        <v>64</v>
      </c>
      <c r="CG580" s="54">
        <f>IFERROR(_xlfn.XLOOKUP(Hiring!A580,Hiring!A580:A979,Hiring!B580:B979,,0),"Not Found")</f>
        <v>0</v>
      </c>
    </row>
    <row r="581" spans="6:85">
      <c r="F581" s="4">
        <v>2.4</v>
      </c>
      <c r="G581" s="52" t="str" cm="1">
        <f t="array" ref="G581">_xlfn.IFS(F581&gt;=4.5,"Excellent",AND(F581&gt;=3.5,F581&lt;=4.4),"Good",F581&lt;3.5,"Needs Improvement")</f>
        <v>Needs Improvement</v>
      </c>
      <c r="Q581" s="18">
        <v>8.94</v>
      </c>
      <c r="R581" s="56" t="str">
        <f t="shared" si="161"/>
        <v>Yes</v>
      </c>
      <c r="W581" s="18" t="s">
        <v>1085</v>
      </c>
      <c r="X581" s="54" t="str">
        <f>VLOOKUP(W581,Employees!$A$1:$B$601,2,FALSE)</f>
        <v>Satyajit Sahoo</v>
      </c>
      <c r="Z581" s="4" t="s">
        <v>1550</v>
      </c>
      <c r="AA581" s="54" t="str">
        <f t="shared" si="162"/>
        <v>0580</v>
      </c>
      <c r="AC581" s="4" t="s">
        <v>410</v>
      </c>
      <c r="AD581" s="54" t="str">
        <f t="shared" si="163"/>
        <v>Sales</v>
      </c>
      <c r="AF581" s="4" t="s">
        <v>452</v>
      </c>
      <c r="AG581" s="4" t="s">
        <v>410</v>
      </c>
      <c r="AH581" s="4" t="s">
        <v>32</v>
      </c>
      <c r="AI581" s="54" t="str">
        <f t="shared" si="164"/>
        <v>Lipsa Nanda|sales|NilGiri Digitals</v>
      </c>
      <c r="AK581" s="4" t="s">
        <v>452</v>
      </c>
      <c r="AL581" s="38" t="str">
        <f t="shared" si="165"/>
        <v>L.N.</v>
      </c>
      <c r="AQ581" s="4" t="s">
        <v>452</v>
      </c>
      <c r="AR581" s="52" t="str">
        <f t="shared" si="166"/>
        <v>NO</v>
      </c>
      <c r="AW581" s="54">
        <f ca="1">DATEDIF(BI581,TODAY(),"Y")</f>
        <v>8</v>
      </c>
      <c r="AX581" s="54"/>
      <c r="BH581" s="4" t="s">
        <v>1551</v>
      </c>
      <c r="BI581" s="51">
        <f t="shared" si="168"/>
        <v>43131</v>
      </c>
      <c r="BJ581" s="38">
        <f t="shared" ca="1" si="169"/>
        <v>2228</v>
      </c>
      <c r="BK581" s="38"/>
      <c r="BL581" s="38" t="str">
        <f t="shared" si="170"/>
        <v>Q1</v>
      </c>
      <c r="BM581"/>
      <c r="BN581" s="51"/>
      <c r="BP581" s="4" t="s">
        <v>1550</v>
      </c>
      <c r="BQ581" s="4" t="s">
        <v>410</v>
      </c>
      <c r="BR581" s="18" t="s">
        <v>1085</v>
      </c>
      <c r="BS581" s="18" t="s">
        <v>3270</v>
      </c>
      <c r="BT581" s="54" t="str">
        <f t="shared" si="167"/>
        <v>DevOps</v>
      </c>
      <c r="BV581" s="4" t="s">
        <v>1550</v>
      </c>
      <c r="BW581" s="4" t="s">
        <v>452</v>
      </c>
      <c r="CC581" s="4" t="s">
        <v>452</v>
      </c>
      <c r="CD581" s="4" t="s">
        <v>105</v>
      </c>
      <c r="CG581" s="54">
        <f>IFERROR(_xlfn.XLOOKUP(Hiring!A581,Hiring!A581:A980,Hiring!B581:B980,,0),"Not Found")</f>
        <v>0</v>
      </c>
    </row>
    <row r="582" spans="6:85">
      <c r="F582" s="3">
        <v>1.8</v>
      </c>
      <c r="G582" s="52" t="str" cm="1">
        <f t="array" ref="G582">_xlfn.IFS(F582&gt;=4.5,"Excellent",AND(F582&gt;=3.5,F582&lt;=4.4),"Good",F582&lt;3.5,"Needs Improvement")</f>
        <v>Needs Improvement</v>
      </c>
      <c r="Q582" s="19">
        <v>8.7100000000000009</v>
      </c>
      <c r="R582" s="56" t="str">
        <f t="shared" si="161"/>
        <v>Yes</v>
      </c>
      <c r="W582" s="19" t="s">
        <v>1085</v>
      </c>
      <c r="X582" s="54" t="str">
        <f>VLOOKUP(W582,Employees!$A$1:$B$601,2,FALSE)</f>
        <v>Satyajit Sahoo</v>
      </c>
      <c r="Z582" s="3" t="s">
        <v>1552</v>
      </c>
      <c r="AA582" s="54" t="str">
        <f t="shared" si="162"/>
        <v>0581</v>
      </c>
      <c r="AC582" s="3" t="s">
        <v>84</v>
      </c>
      <c r="AD582" s="54" t="str">
        <f t="shared" si="163"/>
        <v>Hr</v>
      </c>
      <c r="AF582" s="3" t="s">
        <v>314</v>
      </c>
      <c r="AG582" s="3" t="s">
        <v>84</v>
      </c>
      <c r="AH582" s="3" t="s">
        <v>172</v>
      </c>
      <c r="AI582" s="54" t="str">
        <f t="shared" si="164"/>
        <v>Ipsita Dhal|HR|TechNova Solutions</v>
      </c>
      <c r="AK582" s="3" t="s">
        <v>314</v>
      </c>
      <c r="AL582" s="38" t="str">
        <f t="shared" si="165"/>
        <v>I.D.</v>
      </c>
      <c r="AQ582" s="3" t="s">
        <v>314</v>
      </c>
      <c r="AR582" s="52" t="str">
        <f t="shared" si="166"/>
        <v>NO</v>
      </c>
      <c r="AW582" s="54">
        <f ca="1">DATEDIF(BI582,TODAY(),"Y")</f>
        <v>5</v>
      </c>
      <c r="AX582" s="54"/>
      <c r="BH582" s="3" t="s">
        <v>1553</v>
      </c>
      <c r="BI582" s="51">
        <f t="shared" si="168"/>
        <v>44177</v>
      </c>
      <c r="BJ582" s="38">
        <f t="shared" ca="1" si="169"/>
        <v>1480</v>
      </c>
      <c r="BK582" s="38"/>
      <c r="BL582" s="38" t="str">
        <f t="shared" si="170"/>
        <v>No</v>
      </c>
      <c r="BM582"/>
      <c r="BN582" s="51"/>
      <c r="BP582" s="3" t="s">
        <v>1552</v>
      </c>
      <c r="BQ582" s="3" t="s">
        <v>84</v>
      </c>
      <c r="BR582" s="19" t="s">
        <v>1085</v>
      </c>
      <c r="BS582" s="19" t="s">
        <v>3271</v>
      </c>
      <c r="BT582" s="54" t="str">
        <f t="shared" si="167"/>
        <v>DevOps</v>
      </c>
      <c r="BV582" s="3" t="s">
        <v>1552</v>
      </c>
      <c r="BW582" s="3" t="s">
        <v>314</v>
      </c>
      <c r="CC582" s="3" t="s">
        <v>314</v>
      </c>
      <c r="CD582" s="3" t="s">
        <v>138</v>
      </c>
      <c r="CG582" s="54">
        <f>IFERROR(_xlfn.XLOOKUP(Hiring!A582,Hiring!A582:A981,Hiring!B582:B981,,0),"Not Found")</f>
        <v>0</v>
      </c>
    </row>
    <row r="583" spans="6:85">
      <c r="F583" s="4">
        <v>0</v>
      </c>
      <c r="G583" s="52" t="str" cm="1">
        <f t="array" ref="G583">_xlfn.IFS(F583&gt;=4.5,"Excellent",AND(F583&gt;=3.5,F583&lt;=4.4),"Good",F583&lt;3.5,"Needs Improvement")</f>
        <v>Needs Improvement</v>
      </c>
      <c r="Q583" s="18">
        <v>7.79</v>
      </c>
      <c r="R583" s="56" t="str">
        <f t="shared" si="161"/>
        <v>Yes</v>
      </c>
      <c r="W583" s="18" t="s">
        <v>1085</v>
      </c>
      <c r="X583" s="54" t="str">
        <f>VLOOKUP(W583,Employees!$A$1:$B$601,2,FALSE)</f>
        <v>Satyajit Sahoo</v>
      </c>
      <c r="Z583" s="4" t="s">
        <v>1554</v>
      </c>
      <c r="AA583" s="54" t="str">
        <f t="shared" si="162"/>
        <v>0582</v>
      </c>
      <c r="AC583" s="4" t="s">
        <v>16</v>
      </c>
      <c r="AD583" s="54" t="str">
        <f t="shared" si="163"/>
        <v>Devops</v>
      </c>
      <c r="AF583" s="4" t="s">
        <v>1235</v>
      </c>
      <c r="AG583" s="4" t="s">
        <v>16</v>
      </c>
      <c r="AH583" s="4" t="s">
        <v>172</v>
      </c>
      <c r="AI583" s="54" t="str">
        <f t="shared" si="164"/>
        <v>Jyotirmayee Samal|DevOps|TechNova Solutions</v>
      </c>
      <c r="AK583" s="4" t="s">
        <v>1235</v>
      </c>
      <c r="AL583" s="38" t="str">
        <f t="shared" si="165"/>
        <v>J.S.</v>
      </c>
      <c r="AQ583" s="4" t="s">
        <v>1235</v>
      </c>
      <c r="AR583" s="52" t="str">
        <f t="shared" si="166"/>
        <v>NO</v>
      </c>
      <c r="AW583" s="54">
        <f ca="1">DATEDIF(BI583,TODAY(),"Y")</f>
        <v>6</v>
      </c>
      <c r="AX583" s="54"/>
      <c r="BH583" s="4" t="s">
        <v>1555</v>
      </c>
      <c r="BI583" s="51">
        <f t="shared" si="168"/>
        <v>43799</v>
      </c>
      <c r="BJ583" s="38">
        <f t="shared" ca="1" si="169"/>
        <v>1750</v>
      </c>
      <c r="BK583" s="38"/>
      <c r="BL583" s="38" t="str">
        <f t="shared" si="170"/>
        <v>No</v>
      </c>
      <c r="BM583"/>
      <c r="BN583" s="51"/>
      <c r="BP583" s="4" t="s">
        <v>1554</v>
      </c>
      <c r="BQ583" s="4" t="s">
        <v>16</v>
      </c>
      <c r="BR583" s="18" t="s">
        <v>1085</v>
      </c>
      <c r="BS583" s="18" t="s">
        <v>3272</v>
      </c>
      <c r="BT583" s="54" t="str">
        <f t="shared" si="167"/>
        <v>DevOps</v>
      </c>
      <c r="BV583" s="4" t="s">
        <v>1554</v>
      </c>
      <c r="BW583" s="4" t="s">
        <v>1235</v>
      </c>
      <c r="CC583" s="4" t="s">
        <v>1235</v>
      </c>
      <c r="CD583" s="4" t="s">
        <v>335</v>
      </c>
      <c r="CG583" s="54">
        <f>IFERROR(_xlfn.XLOOKUP(Hiring!A583,Hiring!A583:A982,Hiring!B583:B982,,0),"Not Found")</f>
        <v>0</v>
      </c>
    </row>
    <row r="584" spans="6:85">
      <c r="F584" s="3">
        <v>4.8</v>
      </c>
      <c r="G584" s="52" t="str" cm="1">
        <f t="array" ref="G584">_xlfn.IFS(F584&gt;=4.5,"Excellent",AND(F584&gt;=3.5,F584&lt;=4.4),"Good",F584&lt;3.5,"Needs Improvement")</f>
        <v>Excellent</v>
      </c>
      <c r="Q584" s="19">
        <v>9.14</v>
      </c>
      <c r="R584" s="56" t="str">
        <f t="shared" si="161"/>
        <v>Yes</v>
      </c>
      <c r="W584" s="19" t="s">
        <v>1085</v>
      </c>
      <c r="X584" s="54" t="str">
        <f>VLOOKUP(W584,Employees!$A$1:$B$601,2,FALSE)</f>
        <v>Satyajit Sahoo</v>
      </c>
      <c r="Z584" s="3" t="s">
        <v>1556</v>
      </c>
      <c r="AA584" s="54" t="str">
        <f t="shared" si="162"/>
        <v>0583</v>
      </c>
      <c r="AC584" s="3" t="s">
        <v>24</v>
      </c>
      <c r="AD584" s="54" t="str">
        <f t="shared" si="163"/>
        <v>Design</v>
      </c>
      <c r="AF584" s="3" t="s">
        <v>468</v>
      </c>
      <c r="AG584" s="3" t="s">
        <v>24</v>
      </c>
      <c r="AH584" s="3" t="s">
        <v>53</v>
      </c>
      <c r="AI584" s="54" t="str">
        <f t="shared" si="164"/>
        <v>Dibya Behura|Design|BlueLotus IT</v>
      </c>
      <c r="AK584" s="3" t="s">
        <v>468</v>
      </c>
      <c r="AL584" s="38" t="str">
        <f t="shared" si="165"/>
        <v>D.B.</v>
      </c>
      <c r="AQ584" s="3" t="s">
        <v>468</v>
      </c>
      <c r="AR584" s="52" t="str">
        <f t="shared" si="166"/>
        <v>NO</v>
      </c>
      <c r="AW584" s="54">
        <f ca="1">DATEDIF(BI584,TODAY(),"Y")</f>
        <v>5</v>
      </c>
      <c r="AX584" s="54"/>
      <c r="BH584" s="3" t="s">
        <v>1154</v>
      </c>
      <c r="BI584" s="51">
        <f t="shared" si="168"/>
        <v>44351</v>
      </c>
      <c r="BJ584" s="38">
        <f t="shared" ca="1" si="169"/>
        <v>1356</v>
      </c>
      <c r="BK584" s="38"/>
      <c r="BL584" s="38" t="str">
        <f t="shared" si="170"/>
        <v>No</v>
      </c>
      <c r="BM584"/>
      <c r="BN584" s="51"/>
      <c r="BP584" s="3" t="s">
        <v>1556</v>
      </c>
      <c r="BQ584" s="3" t="s">
        <v>24</v>
      </c>
      <c r="BR584" s="19" t="s">
        <v>1085</v>
      </c>
      <c r="BS584" s="19" t="s">
        <v>3273</v>
      </c>
      <c r="BT584" s="54" t="str">
        <f t="shared" si="167"/>
        <v>DevOps</v>
      </c>
      <c r="BV584" s="3" t="s">
        <v>1556</v>
      </c>
      <c r="BW584" s="3" t="s">
        <v>468</v>
      </c>
      <c r="CC584" s="3" t="s">
        <v>468</v>
      </c>
      <c r="CD584" s="3" t="s">
        <v>94</v>
      </c>
      <c r="CG584" s="54">
        <f>IFERROR(_xlfn.XLOOKUP(Hiring!A584,Hiring!A584:A983,Hiring!B584:B983,,0),"Not Found")</f>
        <v>0</v>
      </c>
    </row>
    <row r="585" spans="6:85">
      <c r="F585" s="4">
        <v>3.8</v>
      </c>
      <c r="G585" s="52" t="str" cm="1">
        <f t="array" ref="G585">_xlfn.IFS(F585&gt;=4.5,"Excellent",AND(F585&gt;=3.5,F585&lt;=4.4),"Good",F585&lt;3.5,"Needs Improvement")</f>
        <v>Good</v>
      </c>
      <c r="Q585" s="18">
        <v>7.19</v>
      </c>
      <c r="R585" s="56" t="str">
        <f t="shared" si="161"/>
        <v>Yes</v>
      </c>
      <c r="W585" s="18" t="s">
        <v>1085</v>
      </c>
      <c r="X585" s="54" t="str">
        <f>VLOOKUP(W585,Employees!$A$1:$B$601,2,FALSE)</f>
        <v>Satyajit Sahoo</v>
      </c>
      <c r="Z585" s="4" t="s">
        <v>1557</v>
      </c>
      <c r="AA585" s="54" t="str">
        <f t="shared" si="162"/>
        <v>0584</v>
      </c>
      <c r="AC585" s="4" t="s">
        <v>24</v>
      </c>
      <c r="AD585" s="54" t="str">
        <f t="shared" si="163"/>
        <v>Design</v>
      </c>
      <c r="AF585" s="4" t="s">
        <v>499</v>
      </c>
      <c r="AG585" s="4" t="s">
        <v>24</v>
      </c>
      <c r="AH585" s="4" t="s">
        <v>18</v>
      </c>
      <c r="AI585" s="54" t="str">
        <f t="shared" si="164"/>
        <v>Chinmaya Samal|Design|CoastalDev Studio</v>
      </c>
      <c r="AK585" s="4" t="s">
        <v>499</v>
      </c>
      <c r="AL585" s="38" t="str">
        <f t="shared" si="165"/>
        <v>C.S.</v>
      </c>
      <c r="AQ585" s="4" t="s">
        <v>499</v>
      </c>
      <c r="AR585" s="52" t="str">
        <f t="shared" si="166"/>
        <v>NO</v>
      </c>
      <c r="AW585" s="54">
        <f ca="1">DATEDIF(BI585,TODAY(),"Y")</f>
        <v>8</v>
      </c>
      <c r="AX585" s="54"/>
      <c r="BH585" s="4" t="s">
        <v>1558</v>
      </c>
      <c r="BI585" s="51">
        <f t="shared" si="168"/>
        <v>43157</v>
      </c>
      <c r="BJ585" s="38">
        <f t="shared" ca="1" si="169"/>
        <v>2210</v>
      </c>
      <c r="BK585" s="38"/>
      <c r="BL585" s="38" t="str">
        <f t="shared" si="170"/>
        <v>Q1</v>
      </c>
      <c r="BM585"/>
      <c r="BN585" s="51"/>
      <c r="BP585" s="4" t="s">
        <v>1557</v>
      </c>
      <c r="BQ585" s="4" t="s">
        <v>24</v>
      </c>
      <c r="BR585" s="18" t="s">
        <v>1085</v>
      </c>
      <c r="BS585" s="18" t="s">
        <v>3274</v>
      </c>
      <c r="BT585" s="54" t="str">
        <f t="shared" si="167"/>
        <v>DevOps</v>
      </c>
      <c r="BV585" s="4" t="s">
        <v>1557</v>
      </c>
      <c r="BW585" s="4" t="s">
        <v>499</v>
      </c>
      <c r="CC585" s="4" t="s">
        <v>499</v>
      </c>
      <c r="CD585" s="4" t="s">
        <v>45</v>
      </c>
      <c r="CG585" s="54">
        <f>IFERROR(_xlfn.XLOOKUP(Hiring!A585,Hiring!A585:A984,Hiring!B585:B984,,0),"Not Found")</f>
        <v>0</v>
      </c>
    </row>
    <row r="586" spans="6:85">
      <c r="F586" s="3">
        <v>3</v>
      </c>
      <c r="G586" s="52" t="str" cm="1">
        <f t="array" ref="G586">_xlfn.IFS(F586&gt;=4.5,"Excellent",AND(F586&gt;=3.5,F586&lt;=4.4),"Good",F586&lt;3.5,"Needs Improvement")</f>
        <v>Needs Improvement</v>
      </c>
      <c r="Q586" s="19">
        <v>8.7200000000000006</v>
      </c>
      <c r="R586" s="56" t="str">
        <f t="shared" si="161"/>
        <v>Yes</v>
      </c>
      <c r="W586" s="19" t="s">
        <v>1085</v>
      </c>
      <c r="X586" s="54" t="str">
        <f>VLOOKUP(W586,Employees!$A$1:$B$601,2,FALSE)</f>
        <v>Satyajit Sahoo</v>
      </c>
      <c r="Z586" s="3" t="s">
        <v>1559</v>
      </c>
      <c r="AA586" s="54" t="str">
        <f t="shared" si="162"/>
        <v>0585</v>
      </c>
      <c r="AC586" s="3" t="s">
        <v>63</v>
      </c>
      <c r="AD586" s="54" t="str">
        <f t="shared" si="163"/>
        <v>Product</v>
      </c>
      <c r="AF586" s="3" t="s">
        <v>509</v>
      </c>
      <c r="AG586" s="3" t="s">
        <v>63</v>
      </c>
      <c r="AH586" s="3" t="s">
        <v>214</v>
      </c>
      <c r="AI586" s="54" t="str">
        <f t="shared" si="164"/>
        <v>Priyanka Biswal|Product|ZeroOneSystems</v>
      </c>
      <c r="AK586" s="3" t="s">
        <v>509</v>
      </c>
      <c r="AL586" s="38" t="str">
        <f t="shared" si="165"/>
        <v>P.B.</v>
      </c>
      <c r="AQ586" s="3" t="s">
        <v>509</v>
      </c>
      <c r="AR586" s="52" t="str">
        <f t="shared" si="166"/>
        <v>NO</v>
      </c>
      <c r="AW586" s="54">
        <f ca="1">DATEDIF(BI586,TODAY(),"Y")</f>
        <v>4</v>
      </c>
      <c r="AX586" s="54"/>
      <c r="BH586" s="3" t="s">
        <v>1560</v>
      </c>
      <c r="BI586" s="51">
        <f t="shared" si="168"/>
        <v>44758</v>
      </c>
      <c r="BJ586" s="38">
        <f t="shared" ca="1" si="169"/>
        <v>1065</v>
      </c>
      <c r="BK586" s="38"/>
      <c r="BL586" s="38" t="str">
        <f t="shared" si="170"/>
        <v>No</v>
      </c>
      <c r="BM586"/>
      <c r="BN586" s="51"/>
      <c r="BP586" s="3" t="s">
        <v>1559</v>
      </c>
      <c r="BQ586" s="3" t="s">
        <v>63</v>
      </c>
      <c r="BR586" s="19" t="s">
        <v>1085</v>
      </c>
      <c r="BS586" s="19" t="s">
        <v>3275</v>
      </c>
      <c r="BT586" s="54" t="str">
        <f t="shared" si="167"/>
        <v>DevOps</v>
      </c>
      <c r="BV586" s="3" t="s">
        <v>1559</v>
      </c>
      <c r="BW586" s="3" t="s">
        <v>509</v>
      </c>
      <c r="CC586" s="3" t="s">
        <v>509</v>
      </c>
      <c r="CD586" s="3" t="s">
        <v>64</v>
      </c>
      <c r="CG586" s="54">
        <f>IFERROR(_xlfn.XLOOKUP(Hiring!A586,Hiring!A586:A985,Hiring!B586:B985,,0),"Not Found")</f>
        <v>0</v>
      </c>
    </row>
    <row r="587" spans="6:85">
      <c r="F587" s="4">
        <v>4.2</v>
      </c>
      <c r="G587" s="52" t="str" cm="1">
        <f t="array" ref="G587">_xlfn.IFS(F587&gt;=4.5,"Excellent",AND(F587&gt;=3.5,F587&lt;=4.4),"Good",F587&lt;3.5,"Needs Improvement")</f>
        <v>Good</v>
      </c>
      <c r="Q587" s="18">
        <v>6.75</v>
      </c>
      <c r="R587" s="56" t="str">
        <f t="shared" si="161"/>
        <v>Yes</v>
      </c>
      <c r="W587" s="18" t="s">
        <v>1085</v>
      </c>
      <c r="X587" s="54" t="str">
        <f>VLOOKUP(W587,Employees!$A$1:$B$601,2,FALSE)</f>
        <v>Satyajit Sahoo</v>
      </c>
      <c r="Z587" s="4" t="s">
        <v>1561</v>
      </c>
      <c r="AA587" s="54" t="str">
        <f t="shared" si="162"/>
        <v>0586</v>
      </c>
      <c r="AC587" s="4" t="s">
        <v>133</v>
      </c>
      <c r="AD587" s="54" t="str">
        <f t="shared" si="163"/>
        <v>Qa</v>
      </c>
      <c r="AF587" s="4" t="s">
        <v>1183</v>
      </c>
      <c r="AG587" s="4" t="s">
        <v>133</v>
      </c>
      <c r="AH587" s="4" t="s">
        <v>32</v>
      </c>
      <c r="AI587" s="54" t="str">
        <f t="shared" si="164"/>
        <v>Alka Prusty|QA|NilGiri Digitals</v>
      </c>
      <c r="AK587" s="4" t="s">
        <v>1183</v>
      </c>
      <c r="AL587" s="38" t="str">
        <f t="shared" si="165"/>
        <v>A.P.</v>
      </c>
      <c r="AQ587" s="4" t="s">
        <v>1183</v>
      </c>
      <c r="AR587" s="52" t="str">
        <f t="shared" si="166"/>
        <v>NO</v>
      </c>
      <c r="AW587" s="54">
        <f ca="1">DATEDIF(BI587,TODAY(),"Y")</f>
        <v>6</v>
      </c>
      <c r="AX587" s="54"/>
      <c r="BH587" s="4" t="s">
        <v>1562</v>
      </c>
      <c r="BI587" s="51">
        <f t="shared" si="168"/>
        <v>43857</v>
      </c>
      <c r="BJ587" s="38">
        <f t="shared" ca="1" si="169"/>
        <v>1710</v>
      </c>
      <c r="BK587" s="38"/>
      <c r="BL587" s="38" t="str">
        <f t="shared" si="170"/>
        <v>Q1</v>
      </c>
      <c r="BM587"/>
      <c r="BN587" s="51"/>
      <c r="BP587" s="4" t="s">
        <v>1561</v>
      </c>
      <c r="BQ587" s="4" t="s">
        <v>133</v>
      </c>
      <c r="BR587" s="18" t="s">
        <v>1085</v>
      </c>
      <c r="BS587" s="18" t="s">
        <v>3276</v>
      </c>
      <c r="BT587" s="54" t="str">
        <f t="shared" si="167"/>
        <v>DevOps</v>
      </c>
      <c r="BV587" s="4" t="s">
        <v>1561</v>
      </c>
      <c r="BW587" s="4" t="s">
        <v>1183</v>
      </c>
      <c r="CC587" s="4" t="s">
        <v>1183</v>
      </c>
      <c r="CD587" s="4" t="s">
        <v>153</v>
      </c>
      <c r="CG587" s="54">
        <f>IFERROR(_xlfn.XLOOKUP(Hiring!A587,Hiring!A587:A986,Hiring!B587:B986,,0),"Not Found")</f>
        <v>0</v>
      </c>
    </row>
    <row r="588" spans="6:85">
      <c r="F588" s="3">
        <v>3.5</v>
      </c>
      <c r="G588" s="52" t="str" cm="1">
        <f t="array" ref="G588">_xlfn.IFS(F588&gt;=4.5,"Excellent",AND(F588&gt;=3.5,F588&lt;=4.4),"Good",F588&lt;3.5,"Needs Improvement")</f>
        <v>Good</v>
      </c>
      <c r="Q588" s="19">
        <v>11.09</v>
      </c>
      <c r="R588" s="56" t="str">
        <f t="shared" si="161"/>
        <v>Yes</v>
      </c>
      <c r="W588" s="19" t="s">
        <v>1085</v>
      </c>
      <c r="X588" s="54" t="str">
        <f>VLOOKUP(W588,Employees!$A$1:$B$601,2,FALSE)</f>
        <v>Satyajit Sahoo</v>
      </c>
      <c r="Z588" s="3" t="s">
        <v>1563</v>
      </c>
      <c r="AA588" s="54" t="str">
        <f t="shared" si="162"/>
        <v>0587</v>
      </c>
      <c r="AC588" s="3" t="s">
        <v>39</v>
      </c>
      <c r="AD588" s="54" t="str">
        <f t="shared" si="163"/>
        <v>Engineering</v>
      </c>
      <c r="AF588" s="3" t="s">
        <v>1564</v>
      </c>
      <c r="AG588" s="3" t="s">
        <v>39</v>
      </c>
      <c r="AH588" s="3" t="s">
        <v>214</v>
      </c>
      <c r="AI588" s="54" t="str">
        <f t="shared" si="164"/>
        <v>Nirmal Parida|Engineering|ZeroOneSystems</v>
      </c>
      <c r="AK588" s="3" t="s">
        <v>1564</v>
      </c>
      <c r="AL588" s="38" t="str">
        <f t="shared" si="165"/>
        <v>N.P.</v>
      </c>
      <c r="AQ588" s="3" t="s">
        <v>1564</v>
      </c>
      <c r="AR588" s="52" t="str">
        <f t="shared" si="166"/>
        <v>NO</v>
      </c>
      <c r="AW588" s="54">
        <f ca="1">DATEDIF(BI588,TODAY(),"Y")</f>
        <v>6</v>
      </c>
      <c r="AX588" s="54"/>
      <c r="BH588" s="3" t="s">
        <v>1499</v>
      </c>
      <c r="BI588" s="51">
        <f t="shared" si="168"/>
        <v>43926</v>
      </c>
      <c r="BJ588" s="38">
        <f t="shared" ca="1" si="169"/>
        <v>1660</v>
      </c>
      <c r="BK588" s="38"/>
      <c r="BL588" s="38" t="str">
        <f t="shared" si="170"/>
        <v>No</v>
      </c>
      <c r="BM588"/>
      <c r="BN588" s="51"/>
      <c r="BP588" s="3" t="s">
        <v>1563</v>
      </c>
      <c r="BQ588" s="3" t="s">
        <v>39</v>
      </c>
      <c r="BR588" s="19" t="s">
        <v>1085</v>
      </c>
      <c r="BS588" s="19" t="s">
        <v>3277</v>
      </c>
      <c r="BT588" s="54" t="str">
        <f t="shared" si="167"/>
        <v>DevOps</v>
      </c>
      <c r="BV588" s="3" t="s">
        <v>1563</v>
      </c>
      <c r="BW588" s="3" t="s">
        <v>1564</v>
      </c>
      <c r="CC588" s="3" t="s">
        <v>1564</v>
      </c>
      <c r="CD588" s="3" t="s">
        <v>109</v>
      </c>
      <c r="CG588" s="54">
        <f>IFERROR(_xlfn.XLOOKUP(Hiring!A588,Hiring!A588:A987,Hiring!B588:B987,,0),"Not Found")</f>
        <v>0</v>
      </c>
    </row>
    <row r="589" spans="6:85">
      <c r="F589" s="4">
        <v>1.5</v>
      </c>
      <c r="G589" s="52" t="str" cm="1">
        <f t="array" ref="G589">_xlfn.IFS(F589&gt;=4.5,"Excellent",AND(F589&gt;=3.5,F589&lt;=4.4),"Good",F589&lt;3.5,"Needs Improvement")</f>
        <v>Needs Improvement</v>
      </c>
      <c r="Q589" s="18">
        <v>7.3</v>
      </c>
      <c r="R589" s="56" t="str">
        <f t="shared" si="161"/>
        <v>Yes</v>
      </c>
      <c r="W589" s="18" t="s">
        <v>1085</v>
      </c>
      <c r="X589" s="54" t="str">
        <f>VLOOKUP(W589,Employees!$A$1:$B$601,2,FALSE)</f>
        <v>Satyajit Sahoo</v>
      </c>
      <c r="Z589" s="4" t="s">
        <v>1565</v>
      </c>
      <c r="AA589" s="54" t="str">
        <f t="shared" si="162"/>
        <v>0588</v>
      </c>
      <c r="AC589" s="4" t="s">
        <v>16</v>
      </c>
      <c r="AD589" s="54" t="str">
        <f t="shared" si="163"/>
        <v>Devops</v>
      </c>
      <c r="AF589" s="4" t="s">
        <v>1566</v>
      </c>
      <c r="AG589" s="4" t="s">
        <v>16</v>
      </c>
      <c r="AH589" s="4" t="s">
        <v>114</v>
      </c>
      <c r="AI589" s="54" t="str">
        <f t="shared" si="164"/>
        <v>Prasant Routray|DevOps|UtkalSoft Technologies</v>
      </c>
      <c r="AK589" s="4" t="s">
        <v>1566</v>
      </c>
      <c r="AL589" s="38" t="str">
        <f t="shared" si="165"/>
        <v>P.R.</v>
      </c>
      <c r="AQ589" s="4" t="s">
        <v>1566</v>
      </c>
      <c r="AR589" s="52" t="str">
        <f t="shared" si="166"/>
        <v>NO</v>
      </c>
      <c r="AW589" s="54">
        <f ca="1">DATEDIF(BI589,TODAY(),"Y")</f>
        <v>8</v>
      </c>
      <c r="AX589" s="54"/>
      <c r="BH589" s="4" t="s">
        <v>1567</v>
      </c>
      <c r="BI589" s="51">
        <f t="shared" si="168"/>
        <v>43128</v>
      </c>
      <c r="BJ589" s="38">
        <f t="shared" ca="1" si="169"/>
        <v>2230</v>
      </c>
      <c r="BK589" s="38"/>
      <c r="BL589" s="38" t="str">
        <f t="shared" si="170"/>
        <v>Q1</v>
      </c>
      <c r="BM589"/>
      <c r="BN589" s="51"/>
      <c r="BP589" s="4" t="s">
        <v>1565</v>
      </c>
      <c r="BQ589" s="4" t="s">
        <v>16</v>
      </c>
      <c r="BR589" s="18" t="s">
        <v>1085</v>
      </c>
      <c r="BS589" s="18" t="s">
        <v>3280</v>
      </c>
      <c r="BT589" s="54" t="str">
        <f t="shared" si="167"/>
        <v>DevOps</v>
      </c>
      <c r="BV589" s="4" t="s">
        <v>1565</v>
      </c>
      <c r="BW589" s="4" t="s">
        <v>1566</v>
      </c>
      <c r="CC589" s="4" t="s">
        <v>1566</v>
      </c>
      <c r="CD589" s="4" t="s">
        <v>123</v>
      </c>
      <c r="CG589" s="54">
        <f>IFERROR(_xlfn.XLOOKUP(Hiring!A589,Hiring!A589:A988,Hiring!B589:B988,,0),"Not Found")</f>
        <v>0</v>
      </c>
    </row>
    <row r="590" spans="6:85">
      <c r="F590" s="3">
        <v>3.9</v>
      </c>
      <c r="G590" s="52" t="str" cm="1">
        <f t="array" ref="G590">_xlfn.IFS(F590&gt;=4.5,"Excellent",AND(F590&gt;=3.5,F590&lt;=4.4),"Good",F590&lt;3.5,"Needs Improvement")</f>
        <v>Good</v>
      </c>
      <c r="Q590" s="19">
        <v>8.8000000000000007</v>
      </c>
      <c r="R590" s="56" t="str">
        <f t="shared" si="161"/>
        <v>Yes</v>
      </c>
      <c r="W590" s="19" t="s">
        <v>1085</v>
      </c>
      <c r="X590" s="54" t="str">
        <f>VLOOKUP(W590,Employees!$A$1:$B$601,2,FALSE)</f>
        <v>Satyajit Sahoo</v>
      </c>
      <c r="Z590" s="3" t="s">
        <v>1568</v>
      </c>
      <c r="AA590" s="54" t="str">
        <f t="shared" si="162"/>
        <v>0589</v>
      </c>
      <c r="AC590" s="3" t="s">
        <v>133</v>
      </c>
      <c r="AD590" s="54" t="str">
        <f t="shared" si="163"/>
        <v>Qa</v>
      </c>
      <c r="AF590" s="3" t="s">
        <v>1569</v>
      </c>
      <c r="AG590" s="3" t="s">
        <v>133</v>
      </c>
      <c r="AH590" s="3" t="s">
        <v>75</v>
      </c>
      <c r="AI590" s="54" t="str">
        <f t="shared" si="164"/>
        <v>Ipsita Tripathy|QA|KalingaTech Pvt Ltd</v>
      </c>
      <c r="AK590" s="3" t="s">
        <v>1569</v>
      </c>
      <c r="AL590" s="38" t="str">
        <f t="shared" si="165"/>
        <v>I.T.</v>
      </c>
      <c r="AQ590" s="3" t="s">
        <v>1569</v>
      </c>
      <c r="AR590" s="52" t="str">
        <f t="shared" si="166"/>
        <v>NO</v>
      </c>
      <c r="AW590" s="54">
        <f ca="1">DATEDIF(BI590,TODAY(),"Y")</f>
        <v>3</v>
      </c>
      <c r="AX590" s="54"/>
      <c r="BH590" s="3" t="s">
        <v>1570</v>
      </c>
      <c r="BI590" s="51">
        <f t="shared" si="168"/>
        <v>45055</v>
      </c>
      <c r="BJ590" s="38">
        <f t="shared" ca="1" si="169"/>
        <v>854</v>
      </c>
      <c r="BK590" s="38"/>
      <c r="BL590" s="38" t="str">
        <f t="shared" si="170"/>
        <v>No</v>
      </c>
      <c r="BM590"/>
      <c r="BN590" s="51"/>
      <c r="BP590" s="3" t="s">
        <v>1568</v>
      </c>
      <c r="BQ590" s="3" t="s">
        <v>133</v>
      </c>
      <c r="BR590" s="19" t="s">
        <v>1085</v>
      </c>
      <c r="BS590" s="19" t="s">
        <v>3281</v>
      </c>
      <c r="BT590" s="54" t="str">
        <f t="shared" si="167"/>
        <v>DevOps</v>
      </c>
      <c r="BV590" s="3" t="s">
        <v>1568</v>
      </c>
      <c r="BW590" s="3" t="s">
        <v>1569</v>
      </c>
      <c r="CC590" s="3" t="s">
        <v>1569</v>
      </c>
      <c r="CD590" s="3" t="s">
        <v>134</v>
      </c>
      <c r="CG590" s="54">
        <f>IFERROR(_xlfn.XLOOKUP(Hiring!A590,Hiring!A590:A989,Hiring!B590:B989,,0),"Not Found")</f>
        <v>0</v>
      </c>
    </row>
    <row r="591" spans="6:85">
      <c r="F591" s="4">
        <v>1.8</v>
      </c>
      <c r="G591" s="52" t="str" cm="1">
        <f t="array" ref="G591">_xlfn.IFS(F591&gt;=4.5,"Excellent",AND(F591&gt;=3.5,F591&lt;=4.4),"Good",F591&lt;3.5,"Needs Improvement")</f>
        <v>Needs Improvement</v>
      </c>
      <c r="Q591" s="18">
        <v>7.4</v>
      </c>
      <c r="R591" s="56" t="str">
        <f t="shared" si="161"/>
        <v>Yes</v>
      </c>
      <c r="W591" s="18" t="s">
        <v>1085</v>
      </c>
      <c r="X591" s="54" t="str">
        <f>VLOOKUP(W591,Employees!$A$1:$B$601,2,FALSE)</f>
        <v>Satyajit Sahoo</v>
      </c>
      <c r="Z591" s="4" t="s">
        <v>1571</v>
      </c>
      <c r="AA591" s="54" t="str">
        <f t="shared" si="162"/>
        <v>0590</v>
      </c>
      <c r="AC591" s="4" t="s">
        <v>84</v>
      </c>
      <c r="AD591" s="54" t="str">
        <f t="shared" si="163"/>
        <v>Hr</v>
      </c>
      <c r="AF591" s="4" t="s">
        <v>468</v>
      </c>
      <c r="AG591" s="4" t="s">
        <v>84</v>
      </c>
      <c r="AH591" s="4" t="s">
        <v>70</v>
      </c>
      <c r="AI591" s="54" t="str">
        <f t="shared" si="164"/>
        <v>Dibya Behura|HR|OdishaCode Labs</v>
      </c>
      <c r="AK591" s="4" t="s">
        <v>468</v>
      </c>
      <c r="AL591" s="38" t="str">
        <f t="shared" si="165"/>
        <v>D.B.</v>
      </c>
      <c r="AQ591" s="4" t="s">
        <v>468</v>
      </c>
      <c r="AR591" s="52" t="str">
        <f t="shared" si="166"/>
        <v>NO</v>
      </c>
      <c r="AW591" s="54">
        <f ca="1">DATEDIF(BI591,TODAY(),"Y")</f>
        <v>2</v>
      </c>
      <c r="AX591" s="54"/>
      <c r="BH591" s="4" t="s">
        <v>653</v>
      </c>
      <c r="BI591" s="51">
        <f t="shared" si="168"/>
        <v>45388</v>
      </c>
      <c r="BJ591" s="38">
        <f t="shared" ca="1" si="169"/>
        <v>615</v>
      </c>
      <c r="BK591" s="38"/>
      <c r="BL591" s="38" t="str">
        <f t="shared" si="170"/>
        <v>No</v>
      </c>
      <c r="BM591"/>
      <c r="BN591" s="51"/>
      <c r="BP591" s="4" t="s">
        <v>1571</v>
      </c>
      <c r="BQ591" s="4" t="s">
        <v>84</v>
      </c>
      <c r="BR591" s="18" t="s">
        <v>1085</v>
      </c>
      <c r="BS591" s="18" t="s">
        <v>3282</v>
      </c>
      <c r="BT591" s="54" t="str">
        <f t="shared" si="167"/>
        <v>DevOps</v>
      </c>
      <c r="BV591" s="4" t="s">
        <v>1571</v>
      </c>
      <c r="BW591" s="4" t="s">
        <v>468</v>
      </c>
      <c r="CC591" s="4" t="s">
        <v>468</v>
      </c>
      <c r="CD591" s="4" t="s">
        <v>85</v>
      </c>
      <c r="CG591" s="54">
        <f>IFERROR(_xlfn.XLOOKUP(Hiring!A591,Hiring!A591:A990,Hiring!B591:B990,,0),"Not Found")</f>
        <v>0</v>
      </c>
    </row>
    <row r="592" spans="6:85">
      <c r="F592" s="3">
        <v>2.4</v>
      </c>
      <c r="G592" s="52" t="str" cm="1">
        <f t="array" ref="G592">_xlfn.IFS(F592&gt;=4.5,"Excellent",AND(F592&gt;=3.5,F592&lt;=4.4),"Good",F592&lt;3.5,"Needs Improvement")</f>
        <v>Needs Improvement</v>
      </c>
      <c r="Q592" s="19">
        <v>7.91</v>
      </c>
      <c r="R592" s="56" t="str">
        <f t="shared" si="161"/>
        <v>Yes</v>
      </c>
      <c r="W592" s="19" t="s">
        <v>1085</v>
      </c>
      <c r="X592" s="54" t="str">
        <f>VLOOKUP(W592,Employees!$A$1:$B$601,2,FALSE)</f>
        <v>Satyajit Sahoo</v>
      </c>
      <c r="Z592" s="3" t="s">
        <v>1572</v>
      </c>
      <c r="AA592" s="54" t="str">
        <f t="shared" si="162"/>
        <v>0591</v>
      </c>
      <c r="AC592" s="3" t="s">
        <v>176</v>
      </c>
      <c r="AD592" s="54" t="str">
        <f t="shared" si="163"/>
        <v>Finance</v>
      </c>
      <c r="AF592" s="3" t="s">
        <v>1573</v>
      </c>
      <c r="AG592" s="3" t="s">
        <v>176</v>
      </c>
      <c r="AH592" s="3" t="s">
        <v>172</v>
      </c>
      <c r="AI592" s="54" t="str">
        <f t="shared" si="164"/>
        <v>Ankita Padhi|Finance|TechNova Solutions</v>
      </c>
      <c r="AK592" s="3" t="s">
        <v>1573</v>
      </c>
      <c r="AL592" s="38" t="str">
        <f t="shared" si="165"/>
        <v>A.P.</v>
      </c>
      <c r="AQ592" s="3" t="s">
        <v>1573</v>
      </c>
      <c r="AR592" s="52" t="str">
        <f t="shared" si="166"/>
        <v>NO</v>
      </c>
      <c r="AW592" s="54">
        <f ca="1">DATEDIF(BI592,TODAY(),"Y")</f>
        <v>8</v>
      </c>
      <c r="AX592" s="54"/>
      <c r="BH592" s="3" t="s">
        <v>1574</v>
      </c>
      <c r="BI592" s="51">
        <f t="shared" si="168"/>
        <v>43311</v>
      </c>
      <c r="BJ592" s="38">
        <f t="shared" ca="1" si="169"/>
        <v>2100</v>
      </c>
      <c r="BK592" s="38"/>
      <c r="BL592" s="38" t="str">
        <f t="shared" si="170"/>
        <v>No</v>
      </c>
      <c r="BM592"/>
      <c r="BN592" s="51"/>
      <c r="BP592" s="3" t="s">
        <v>1572</v>
      </c>
      <c r="BQ592" s="3" t="s">
        <v>176</v>
      </c>
      <c r="BR592" s="19" t="s">
        <v>1085</v>
      </c>
      <c r="BS592" s="19" t="s">
        <v>3283</v>
      </c>
      <c r="BT592" s="54" t="str">
        <f t="shared" si="167"/>
        <v>DevOps</v>
      </c>
      <c r="BV592" s="3" t="s">
        <v>1572</v>
      </c>
      <c r="BW592" s="3" t="s">
        <v>1573</v>
      </c>
      <c r="CC592" s="3" t="s">
        <v>1573</v>
      </c>
      <c r="CD592" s="3" t="s">
        <v>177</v>
      </c>
      <c r="CG592" s="54">
        <f>IFERROR(_xlfn.XLOOKUP(Hiring!A592,Hiring!A592:A991,Hiring!B592:B991,,0),"Not Found")</f>
        <v>0</v>
      </c>
    </row>
    <row r="593" spans="6:85">
      <c r="F593" s="4">
        <v>4.7</v>
      </c>
      <c r="G593" s="52" t="str" cm="1">
        <f t="array" ref="G593">_xlfn.IFS(F593&gt;=4.5,"Excellent",AND(F593&gt;=3.5,F593&lt;=4.4),"Good",F593&lt;3.5,"Needs Improvement")</f>
        <v>Excellent</v>
      </c>
      <c r="Q593" s="18">
        <v>8.23</v>
      </c>
      <c r="R593" s="56" t="str">
        <f t="shared" si="161"/>
        <v>Yes</v>
      </c>
      <c r="W593" s="18" t="s">
        <v>1085</v>
      </c>
      <c r="X593" s="54" t="str">
        <f>VLOOKUP(W593,Employees!$A$1:$B$601,2,FALSE)</f>
        <v>Satyajit Sahoo</v>
      </c>
      <c r="Z593" s="4" t="s">
        <v>1575</v>
      </c>
      <c r="AA593" s="54" t="str">
        <f t="shared" si="162"/>
        <v>0592</v>
      </c>
      <c r="AC593" s="4" t="s">
        <v>84</v>
      </c>
      <c r="AD593" s="54" t="str">
        <f t="shared" si="163"/>
        <v>Hr</v>
      </c>
      <c r="AF593" s="4" t="s">
        <v>1576</v>
      </c>
      <c r="AG593" s="4" t="s">
        <v>84</v>
      </c>
      <c r="AH593" s="4" t="s">
        <v>114</v>
      </c>
      <c r="AI593" s="54" t="str">
        <f t="shared" si="164"/>
        <v>Sudhansu Padhi|HR|UtkalSoft Technologies</v>
      </c>
      <c r="AK593" s="4" t="s">
        <v>1576</v>
      </c>
      <c r="AL593" s="38" t="str">
        <f t="shared" si="165"/>
        <v>S.P.</v>
      </c>
      <c r="AQ593" s="4" t="s">
        <v>1576</v>
      </c>
      <c r="AR593" s="52" t="str">
        <f t="shared" si="166"/>
        <v>NO</v>
      </c>
      <c r="AW593" s="54">
        <f ca="1">DATEDIF(BI593,TODAY(),"Y")</f>
        <v>3</v>
      </c>
      <c r="AX593" s="54"/>
      <c r="BH593" s="4" t="s">
        <v>1577</v>
      </c>
      <c r="BI593" s="51">
        <f t="shared" si="168"/>
        <v>45034</v>
      </c>
      <c r="BJ593" s="38">
        <f t="shared" ca="1" si="169"/>
        <v>869</v>
      </c>
      <c r="BK593" s="38"/>
      <c r="BL593" s="38" t="str">
        <f t="shared" si="170"/>
        <v>No</v>
      </c>
      <c r="BM593"/>
      <c r="BN593" s="51"/>
      <c r="BP593" s="4" t="s">
        <v>1575</v>
      </c>
      <c r="BQ593" s="4" t="s">
        <v>84</v>
      </c>
      <c r="BR593" s="18" t="s">
        <v>1085</v>
      </c>
      <c r="BS593" s="18" t="s">
        <v>3285</v>
      </c>
      <c r="BT593" s="54" t="str">
        <f t="shared" si="167"/>
        <v>DevOps</v>
      </c>
      <c r="BV593" s="4" t="s">
        <v>1575</v>
      </c>
      <c r="BW593" s="4" t="s">
        <v>1576</v>
      </c>
      <c r="CC593" s="4" t="s">
        <v>1576</v>
      </c>
      <c r="CD593" s="4" t="s">
        <v>138</v>
      </c>
      <c r="CG593" s="54">
        <f>IFERROR(_xlfn.XLOOKUP(Hiring!A593,Hiring!A593:A992,Hiring!B593:B992,,0),"Not Found")</f>
        <v>0</v>
      </c>
    </row>
    <row r="594" spans="6:85">
      <c r="F594" s="3">
        <v>3.1</v>
      </c>
      <c r="G594" s="52" t="str" cm="1">
        <f t="array" ref="G594">_xlfn.IFS(F594&gt;=4.5,"Excellent",AND(F594&gt;=3.5,F594&lt;=4.4),"Good",F594&lt;3.5,"Needs Improvement")</f>
        <v>Needs Improvement</v>
      </c>
      <c r="Q594" s="19">
        <v>9.6</v>
      </c>
      <c r="R594" s="56" t="str">
        <f t="shared" si="161"/>
        <v>Yes</v>
      </c>
      <c r="W594" s="19" t="s">
        <v>1085</v>
      </c>
      <c r="X594" s="54" t="str">
        <f>VLOOKUP(W594,Employees!$A$1:$B$601,2,FALSE)</f>
        <v>Satyajit Sahoo</v>
      </c>
      <c r="Z594" s="3" t="s">
        <v>1578</v>
      </c>
      <c r="AA594" s="54" t="str">
        <f t="shared" si="162"/>
        <v>0593</v>
      </c>
      <c r="AC594" s="3" t="s">
        <v>39</v>
      </c>
      <c r="AD594" s="54" t="str">
        <f t="shared" si="163"/>
        <v>Engineering</v>
      </c>
      <c r="AF594" s="3" t="s">
        <v>1579</v>
      </c>
      <c r="AG594" s="3" t="s">
        <v>39</v>
      </c>
      <c r="AH594" s="3" t="s">
        <v>18</v>
      </c>
      <c r="AI594" s="54" t="str">
        <f t="shared" si="164"/>
        <v>Saurav Ratha|Engineering|CoastalDev Studio</v>
      </c>
      <c r="AK594" s="3" t="s">
        <v>1579</v>
      </c>
      <c r="AL594" s="38" t="str">
        <f t="shared" si="165"/>
        <v>S.R.</v>
      </c>
      <c r="AQ594" s="3" t="s">
        <v>1579</v>
      </c>
      <c r="AR594" s="52" t="str">
        <f t="shared" si="166"/>
        <v>NO</v>
      </c>
      <c r="AW594" s="54">
        <f ca="1">DATEDIF(BI594,TODAY(),"Y")</f>
        <v>2</v>
      </c>
      <c r="AX594" s="54"/>
      <c r="BH594" s="3" t="s">
        <v>1580</v>
      </c>
      <c r="BI594" s="51">
        <f t="shared" si="168"/>
        <v>45192</v>
      </c>
      <c r="BJ594" s="38">
        <f t="shared" ca="1" si="169"/>
        <v>755</v>
      </c>
      <c r="BK594" s="38"/>
      <c r="BL594" s="38" t="str">
        <f t="shared" si="170"/>
        <v>No</v>
      </c>
      <c r="BM594"/>
      <c r="BN594" s="51"/>
      <c r="BP594" s="3" t="s">
        <v>1578</v>
      </c>
      <c r="BQ594" s="3" t="s">
        <v>39</v>
      </c>
      <c r="BR594" s="19" t="s">
        <v>1085</v>
      </c>
      <c r="BS594" s="19" t="s">
        <v>3286</v>
      </c>
      <c r="BT594" s="54" t="str">
        <f t="shared" si="167"/>
        <v>DevOps</v>
      </c>
      <c r="BV594" s="3" t="s">
        <v>1578</v>
      </c>
      <c r="BW594" s="3" t="s">
        <v>1579</v>
      </c>
      <c r="CC594" s="3" t="s">
        <v>1579</v>
      </c>
      <c r="CD594" s="3" t="s">
        <v>242</v>
      </c>
      <c r="CG594" s="54">
        <f>IFERROR(_xlfn.XLOOKUP(Hiring!A594,Hiring!A594:A993,Hiring!B594:B993,,0),"Not Found")</f>
        <v>0</v>
      </c>
    </row>
    <row r="595" spans="6:85">
      <c r="F595" s="4">
        <v>3.3</v>
      </c>
      <c r="G595" s="52" t="str" cm="1">
        <f t="array" ref="G595">_xlfn.IFS(F595&gt;=4.5,"Excellent",AND(F595&gt;=3.5,F595&lt;=4.4),"Good",F595&lt;3.5,"Needs Improvement")</f>
        <v>Needs Improvement</v>
      </c>
      <c r="Q595" s="18">
        <v>9.3000000000000007</v>
      </c>
      <c r="R595" s="56" t="str">
        <f t="shared" si="161"/>
        <v>Yes</v>
      </c>
      <c r="W595" s="18" t="s">
        <v>1085</v>
      </c>
      <c r="X595" s="54" t="str">
        <f>VLOOKUP(W595,Employees!$A$1:$B$601,2,FALSE)</f>
        <v>Satyajit Sahoo</v>
      </c>
      <c r="Z595" s="4" t="s">
        <v>1581</v>
      </c>
      <c r="AA595" s="54" t="str">
        <f t="shared" si="162"/>
        <v>0594</v>
      </c>
      <c r="AC595" s="4" t="s">
        <v>89</v>
      </c>
      <c r="AD595" s="54" t="str">
        <f t="shared" si="163"/>
        <v>Data Science</v>
      </c>
      <c r="AF595" s="4" t="s">
        <v>769</v>
      </c>
      <c r="AG595" s="4" t="s">
        <v>89</v>
      </c>
      <c r="AH595" s="4" t="s">
        <v>114</v>
      </c>
      <c r="AI595" s="54" t="str">
        <f t="shared" si="164"/>
        <v>Tanmay Tripathy|Data Science|UtkalSoft Technologies</v>
      </c>
      <c r="AK595" s="4" t="s">
        <v>769</v>
      </c>
      <c r="AL595" s="38" t="str">
        <f t="shared" si="165"/>
        <v>T.T.</v>
      </c>
      <c r="AQ595" s="4" t="s">
        <v>769</v>
      </c>
      <c r="AR595" s="52" t="str">
        <f t="shared" si="166"/>
        <v>NO</v>
      </c>
      <c r="AW595" s="54">
        <f ca="1">DATEDIF(BI595,TODAY(),"Y")</f>
        <v>3</v>
      </c>
      <c r="AX595" s="54"/>
      <c r="BH595" s="4" t="s">
        <v>1582</v>
      </c>
      <c r="BI595" s="51">
        <f t="shared" si="168"/>
        <v>44936</v>
      </c>
      <c r="BJ595" s="38">
        <f t="shared" ca="1" si="169"/>
        <v>939</v>
      </c>
      <c r="BK595" s="38"/>
      <c r="BL595" s="38" t="str">
        <f t="shared" si="170"/>
        <v>Q1</v>
      </c>
      <c r="BM595"/>
      <c r="BN595" s="51"/>
      <c r="BP595" s="4" t="s">
        <v>1581</v>
      </c>
      <c r="BQ595" s="4" t="s">
        <v>89</v>
      </c>
      <c r="BR595" s="18" t="s">
        <v>1085</v>
      </c>
      <c r="BS595" s="18" t="s">
        <v>3287</v>
      </c>
      <c r="BT595" s="54" t="str">
        <f t="shared" si="167"/>
        <v>DevOps</v>
      </c>
      <c r="BV595" s="4" t="s">
        <v>1581</v>
      </c>
      <c r="BW595" s="4" t="s">
        <v>769</v>
      </c>
      <c r="CC595" s="4" t="s">
        <v>769</v>
      </c>
      <c r="CD595" s="4" t="s">
        <v>90</v>
      </c>
      <c r="CG595" s="54">
        <f>IFERROR(_xlfn.XLOOKUP(Hiring!A595,Hiring!A595:A994,Hiring!B595:B994,,0),"Not Found")</f>
        <v>0</v>
      </c>
    </row>
    <row r="596" spans="6:85">
      <c r="F596" s="3">
        <v>2.1</v>
      </c>
      <c r="G596" s="52" t="str" cm="1">
        <f t="array" ref="G596">_xlfn.IFS(F596&gt;=4.5,"Excellent",AND(F596&gt;=3.5,F596&lt;=4.4),"Good",F596&lt;3.5,"Needs Improvement")</f>
        <v>Needs Improvement</v>
      </c>
      <c r="Q596" s="19">
        <v>7.45</v>
      </c>
      <c r="R596" s="56" t="str">
        <f t="shared" si="161"/>
        <v>Yes</v>
      </c>
      <c r="W596" s="19" t="s">
        <v>1085</v>
      </c>
      <c r="X596" s="54" t="str">
        <f>VLOOKUP(W596,Employees!$A$1:$B$601,2,FALSE)</f>
        <v>Satyajit Sahoo</v>
      </c>
      <c r="Z596" s="3" t="s">
        <v>1583</v>
      </c>
      <c r="AA596" s="54" t="str">
        <f t="shared" si="162"/>
        <v>0595</v>
      </c>
      <c r="AC596" s="3" t="s">
        <v>89</v>
      </c>
      <c r="AD596" s="54" t="str">
        <f t="shared" si="163"/>
        <v>Data Science</v>
      </c>
      <c r="AF596" s="3" t="s">
        <v>730</v>
      </c>
      <c r="AG596" s="3" t="s">
        <v>89</v>
      </c>
      <c r="AH596" s="3" t="s">
        <v>65</v>
      </c>
      <c r="AI596" s="54" t="str">
        <f t="shared" si="164"/>
        <v>Satyajit Ratha|Data Science|TributeAI</v>
      </c>
      <c r="AK596" s="3" t="s">
        <v>730</v>
      </c>
      <c r="AL596" s="38" t="str">
        <f t="shared" si="165"/>
        <v>S.R.</v>
      </c>
      <c r="AQ596" s="3" t="s">
        <v>730</v>
      </c>
      <c r="AR596" s="52" t="str">
        <f t="shared" si="166"/>
        <v>NO</v>
      </c>
      <c r="AW596" s="54">
        <f ca="1">DATEDIF(BI596,TODAY(),"Y")</f>
        <v>6</v>
      </c>
      <c r="AX596" s="54"/>
      <c r="BH596" s="3" t="s">
        <v>1141</v>
      </c>
      <c r="BI596" s="51">
        <f t="shared" si="168"/>
        <v>43815</v>
      </c>
      <c r="BJ596" s="38">
        <f t="shared" ca="1" si="169"/>
        <v>1740</v>
      </c>
      <c r="BK596" s="38"/>
      <c r="BL596" s="38" t="str">
        <f t="shared" si="170"/>
        <v>No</v>
      </c>
      <c r="BM596"/>
      <c r="BN596" s="51"/>
      <c r="BP596" s="3" t="s">
        <v>1583</v>
      </c>
      <c r="BQ596" s="3" t="s">
        <v>89</v>
      </c>
      <c r="BR596" s="19" t="s">
        <v>1085</v>
      </c>
      <c r="BS596" s="19" t="s">
        <v>3289</v>
      </c>
      <c r="BT596" s="54" t="str">
        <f t="shared" si="167"/>
        <v>DevOps</v>
      </c>
      <c r="BV596" s="3" t="s">
        <v>1583</v>
      </c>
      <c r="BW596" s="3" t="s">
        <v>730</v>
      </c>
      <c r="CC596" s="3" t="s">
        <v>730</v>
      </c>
      <c r="CD596" s="3" t="s">
        <v>221</v>
      </c>
      <c r="CG596" s="54">
        <f>IFERROR(_xlfn.XLOOKUP(Hiring!A596,Hiring!A596:A995,Hiring!B596:B995,,0),"Not Found")</f>
        <v>0</v>
      </c>
    </row>
    <row r="597" spans="6:85">
      <c r="F597" s="4">
        <v>1.6</v>
      </c>
      <c r="G597" s="52" t="str" cm="1">
        <f t="array" ref="G597">_xlfn.IFS(F597&gt;=4.5,"Excellent",AND(F597&gt;=3.5,F597&lt;=4.4),"Good",F597&lt;3.5,"Needs Improvement")</f>
        <v>Needs Improvement</v>
      </c>
      <c r="Q597" s="18">
        <v>9.32</v>
      </c>
      <c r="R597" s="56" t="str">
        <f t="shared" si="161"/>
        <v>Yes</v>
      </c>
      <c r="W597" s="18" t="s">
        <v>1085</v>
      </c>
      <c r="X597" s="54" t="str">
        <f>VLOOKUP(W597,Employees!$A$1:$B$601,2,FALSE)</f>
        <v>Satyajit Sahoo</v>
      </c>
      <c r="Z597" s="4" t="s">
        <v>1584</v>
      </c>
      <c r="AA597" s="54" t="str">
        <f t="shared" si="162"/>
        <v>0596</v>
      </c>
      <c r="AC597" s="4" t="s">
        <v>51</v>
      </c>
      <c r="AD597" s="54" t="str">
        <f t="shared" si="163"/>
        <v>Sales</v>
      </c>
      <c r="AF597" s="4" t="s">
        <v>865</v>
      </c>
      <c r="AG597" s="4" t="s">
        <v>51</v>
      </c>
      <c r="AH597" s="4" t="s">
        <v>70</v>
      </c>
      <c r="AI597" s="54" t="str">
        <f t="shared" si="164"/>
        <v>Aditya Ratha|Sales|OdishaCode Labs</v>
      </c>
      <c r="AK597" s="4" t="s">
        <v>865</v>
      </c>
      <c r="AL597" s="38" t="str">
        <f t="shared" si="165"/>
        <v>A.R.</v>
      </c>
      <c r="AQ597" s="4" t="s">
        <v>865</v>
      </c>
      <c r="AR597" s="52" t="str">
        <f t="shared" si="166"/>
        <v>NO</v>
      </c>
      <c r="AW597" s="54">
        <f ca="1">DATEDIF(BI597,TODAY(),"Y")</f>
        <v>4</v>
      </c>
      <c r="AX597" s="54"/>
      <c r="BH597" s="4" t="s">
        <v>1585</v>
      </c>
      <c r="BI597" s="51">
        <f t="shared" si="168"/>
        <v>44693</v>
      </c>
      <c r="BJ597" s="38">
        <f t="shared" ca="1" si="169"/>
        <v>1112</v>
      </c>
      <c r="BK597" s="38"/>
      <c r="BL597" s="38" t="str">
        <f t="shared" si="170"/>
        <v>No</v>
      </c>
      <c r="BM597"/>
      <c r="BN597" s="51"/>
      <c r="BP597" s="4" t="s">
        <v>1584</v>
      </c>
      <c r="BQ597" s="4" t="s">
        <v>51</v>
      </c>
      <c r="BR597" s="18" t="s">
        <v>1085</v>
      </c>
      <c r="BS597" s="18" t="s">
        <v>3290</v>
      </c>
      <c r="BT597" s="54" t="str">
        <f t="shared" si="167"/>
        <v>DevOps</v>
      </c>
      <c r="BV597" s="4" t="s">
        <v>1584</v>
      </c>
      <c r="BW597" s="4" t="s">
        <v>865</v>
      </c>
      <c r="CC597" s="4" t="s">
        <v>865</v>
      </c>
      <c r="CD597" s="4" t="s">
        <v>105</v>
      </c>
      <c r="CG597" s="54">
        <f>IFERROR(_xlfn.XLOOKUP(Hiring!A597,Hiring!A597:A996,Hiring!B597:B996,,0),"Not Found")</f>
        <v>0</v>
      </c>
    </row>
    <row r="598" spans="6:85">
      <c r="F598" s="3">
        <v>5</v>
      </c>
      <c r="G598" s="52" t="str" cm="1">
        <f t="array" ref="G598">_xlfn.IFS(F598&gt;=4.5,"Excellent",AND(F598&gt;=3.5,F598&lt;=4.4),"Good",F598&lt;3.5,"Needs Improvement")</f>
        <v>Excellent</v>
      </c>
      <c r="Q598" s="19">
        <v>6.56</v>
      </c>
      <c r="R598" s="56" t="str">
        <f t="shared" si="161"/>
        <v>Yes</v>
      </c>
      <c r="W598" s="19" t="s">
        <v>1085</v>
      </c>
      <c r="X598" s="54" t="str">
        <f>VLOOKUP(W598,Employees!$A$1:$B$601,2,FALSE)</f>
        <v>Satyajit Sahoo</v>
      </c>
      <c r="Z598" s="3" t="s">
        <v>1586</v>
      </c>
      <c r="AA598" s="54" t="str">
        <f t="shared" si="162"/>
        <v>0597</v>
      </c>
      <c r="AC598" s="3" t="s">
        <v>63</v>
      </c>
      <c r="AD598" s="54" t="str">
        <f t="shared" si="163"/>
        <v>Product</v>
      </c>
      <c r="AF598" s="3" t="s">
        <v>1587</v>
      </c>
      <c r="AG598" s="3" t="s">
        <v>63</v>
      </c>
      <c r="AH598" s="3" t="s">
        <v>70</v>
      </c>
      <c r="AI598" s="54" t="str">
        <f t="shared" si="164"/>
        <v>Priyanka Nanda|Product|OdishaCode Labs</v>
      </c>
      <c r="AK598" s="3" t="s">
        <v>1587</v>
      </c>
      <c r="AL598" s="38" t="str">
        <f t="shared" si="165"/>
        <v>P.N.</v>
      </c>
      <c r="AQ598" s="3" t="s">
        <v>1587</v>
      </c>
      <c r="AR598" s="52" t="str">
        <f t="shared" si="166"/>
        <v>NO</v>
      </c>
      <c r="AW598" s="54">
        <f ca="1">DATEDIF(BI598,TODAY(),"Y")</f>
        <v>5</v>
      </c>
      <c r="AX598" s="54"/>
      <c r="BH598" s="3" t="s">
        <v>1199</v>
      </c>
      <c r="BI598" s="51">
        <f t="shared" si="168"/>
        <v>44308</v>
      </c>
      <c r="BJ598" s="38">
        <f t="shared" ca="1" si="169"/>
        <v>1387</v>
      </c>
      <c r="BK598" s="38"/>
      <c r="BL598" s="38" t="str">
        <f t="shared" si="170"/>
        <v>No</v>
      </c>
      <c r="BM598"/>
      <c r="BN598" s="51"/>
      <c r="BP598" s="3" t="s">
        <v>1586</v>
      </c>
      <c r="BQ598" s="3" t="s">
        <v>63</v>
      </c>
      <c r="BR598" s="19" t="s">
        <v>1085</v>
      </c>
      <c r="BS598" s="19" t="s">
        <v>3291</v>
      </c>
      <c r="BT598" s="54" t="str">
        <f t="shared" si="167"/>
        <v>DevOps</v>
      </c>
      <c r="BV598" s="3" t="s">
        <v>1586</v>
      </c>
      <c r="BW598" s="3" t="s">
        <v>1587</v>
      </c>
      <c r="CC598" s="3" t="s">
        <v>1587</v>
      </c>
      <c r="CD598" s="3" t="s">
        <v>225</v>
      </c>
      <c r="CG598" s="54">
        <f>IFERROR(_xlfn.XLOOKUP(Hiring!A598,Hiring!A598:A997,Hiring!B598:B997,,0),"Not Found")</f>
        <v>0</v>
      </c>
    </row>
    <row r="599" spans="6:85">
      <c r="F599" s="4">
        <v>4.9000000000000004</v>
      </c>
      <c r="G599" s="52" t="str" cm="1">
        <f t="array" ref="G599">_xlfn.IFS(F599&gt;=4.5,"Excellent",AND(F599&gt;=3.5,F599&lt;=4.4),"Good",F599&lt;3.5,"Needs Improvement")</f>
        <v>Excellent</v>
      </c>
      <c r="Q599" s="18">
        <v>7.43</v>
      </c>
      <c r="R599" s="56" t="str">
        <f t="shared" si="161"/>
        <v>Yes</v>
      </c>
      <c r="W599" s="18" t="s">
        <v>1085</v>
      </c>
      <c r="X599" s="54" t="str">
        <f>VLOOKUP(W599,Employees!$A$1:$B$601,2,FALSE)</f>
        <v>Satyajit Sahoo</v>
      </c>
      <c r="Z599" s="4" t="s">
        <v>1588</v>
      </c>
      <c r="AA599" s="54" t="str">
        <f t="shared" si="162"/>
        <v>0598</v>
      </c>
      <c r="AC599" s="4" t="s">
        <v>16</v>
      </c>
      <c r="AD599" s="54" t="str">
        <f t="shared" si="163"/>
        <v>Devops</v>
      </c>
      <c r="AF599" s="4" t="s">
        <v>673</v>
      </c>
      <c r="AG599" s="4" t="s">
        <v>16</v>
      </c>
      <c r="AH599" s="4" t="s">
        <v>75</v>
      </c>
      <c r="AI599" s="54" t="str">
        <f t="shared" si="164"/>
        <v>Sudhansu Mishra|DevOps|KalingaTech Pvt Ltd</v>
      </c>
      <c r="AK599" s="4" t="s">
        <v>673</v>
      </c>
      <c r="AL599" s="38" t="str">
        <f t="shared" si="165"/>
        <v>S.M.</v>
      </c>
      <c r="AQ599" s="4" t="s">
        <v>673</v>
      </c>
      <c r="AR599" s="52" t="str">
        <f t="shared" si="166"/>
        <v>Mishra</v>
      </c>
      <c r="AW599" s="54">
        <f ca="1">DATEDIF(BI599,TODAY(),"Y")</f>
        <v>3</v>
      </c>
      <c r="AX599" s="54"/>
      <c r="BH599" s="4" t="s">
        <v>1589</v>
      </c>
      <c r="BI599" s="51">
        <f t="shared" si="168"/>
        <v>44938</v>
      </c>
      <c r="BJ599" s="38">
        <f t="shared" ca="1" si="169"/>
        <v>937</v>
      </c>
      <c r="BK599" s="38"/>
      <c r="BL599" s="38" t="str">
        <f t="shared" si="170"/>
        <v>Q1</v>
      </c>
      <c r="BM599"/>
      <c r="BN599" s="51"/>
      <c r="BP599" s="4" t="s">
        <v>1588</v>
      </c>
      <c r="BQ599" s="4" t="s">
        <v>16</v>
      </c>
      <c r="BR599" s="18" t="s">
        <v>1085</v>
      </c>
      <c r="BS599" s="18" t="s">
        <v>3292</v>
      </c>
      <c r="BT599" s="54" t="str">
        <f t="shared" si="167"/>
        <v>DevOps</v>
      </c>
      <c r="BV599" s="4" t="s">
        <v>1588</v>
      </c>
      <c r="BW599" s="4" t="s">
        <v>673</v>
      </c>
      <c r="CC599" s="4" t="s">
        <v>673</v>
      </c>
      <c r="CD599" s="4" t="s">
        <v>17</v>
      </c>
      <c r="CG599" s="54">
        <f>IFERROR(_xlfn.XLOOKUP(Hiring!A599,Hiring!A599:A998,Hiring!B599:B998,,0),"Not Found")</f>
        <v>0</v>
      </c>
    </row>
    <row r="600" spans="6:85">
      <c r="F600" s="3">
        <v>4</v>
      </c>
      <c r="G600" s="52" t="str" cm="1">
        <f t="array" ref="G600">_xlfn.IFS(F600&gt;=4.5,"Excellent",AND(F600&gt;=3.5,F600&lt;=4.4),"Good",F600&lt;3.5,"Needs Improvement")</f>
        <v>Good</v>
      </c>
      <c r="Q600" s="19">
        <v>10.36</v>
      </c>
      <c r="R600" s="56" t="str">
        <f t="shared" si="161"/>
        <v>Yes</v>
      </c>
      <c r="W600" s="19" t="s">
        <v>1085</v>
      </c>
      <c r="X600" s="54" t="str">
        <f>VLOOKUP(W600,Employees!$A$1:$B$601,2,FALSE)</f>
        <v>Satyajit Sahoo</v>
      </c>
      <c r="Z600" s="3" t="s">
        <v>1590</v>
      </c>
      <c r="AA600" s="54" t="str">
        <f t="shared" si="162"/>
        <v>0599</v>
      </c>
      <c r="AC600" s="3" t="s">
        <v>84</v>
      </c>
      <c r="AD600" s="54" t="str">
        <f t="shared" si="163"/>
        <v>Hr</v>
      </c>
      <c r="AF600" s="3" t="s">
        <v>1591</v>
      </c>
      <c r="AG600" s="3" t="s">
        <v>84</v>
      </c>
      <c r="AH600" s="3" t="s">
        <v>26</v>
      </c>
      <c r="AI600" s="54" t="str">
        <f t="shared" si="164"/>
        <v>Alka Routray|HR|InfySoft Bhubaneswar</v>
      </c>
      <c r="AK600" s="3" t="s">
        <v>1591</v>
      </c>
      <c r="AL600" s="38" t="str">
        <f t="shared" si="165"/>
        <v>A.R.</v>
      </c>
      <c r="AQ600" s="3" t="s">
        <v>1591</v>
      </c>
      <c r="AR600" s="52" t="str">
        <f t="shared" si="166"/>
        <v>NO</v>
      </c>
      <c r="AW600" s="54">
        <f ca="1">DATEDIF(BI600,TODAY(),"Y")</f>
        <v>4</v>
      </c>
      <c r="AX600" s="54"/>
      <c r="BH600" s="3" t="s">
        <v>1592</v>
      </c>
      <c r="BI600" s="51">
        <f t="shared" si="168"/>
        <v>44460</v>
      </c>
      <c r="BJ600" s="38">
        <f t="shared" ca="1" si="169"/>
        <v>1279</v>
      </c>
      <c r="BK600" s="38"/>
      <c r="BL600" s="38" t="str">
        <f t="shared" si="170"/>
        <v>No</v>
      </c>
      <c r="BM600"/>
      <c r="BN600" s="51"/>
      <c r="BP600" s="3" t="s">
        <v>1590</v>
      </c>
      <c r="BQ600" s="3" t="s">
        <v>84</v>
      </c>
      <c r="BR600" s="19" t="s">
        <v>1085</v>
      </c>
      <c r="BS600" s="19" t="s">
        <v>3293</v>
      </c>
      <c r="BT600" s="54" t="str">
        <f t="shared" si="167"/>
        <v>DevOps</v>
      </c>
      <c r="BV600" s="3" t="s">
        <v>1590</v>
      </c>
      <c r="BW600" s="3" t="s">
        <v>1591</v>
      </c>
      <c r="CC600" s="3" t="s">
        <v>1591</v>
      </c>
      <c r="CD600" s="3" t="s">
        <v>204</v>
      </c>
      <c r="CG600" s="54">
        <f>IFERROR(_xlfn.XLOOKUP(Hiring!A600,Hiring!A600:A999,Hiring!B600:B999,,0),"Not Found")</f>
        <v>0</v>
      </c>
    </row>
    <row r="601" spans="6:85">
      <c r="F601" s="5">
        <v>3</v>
      </c>
      <c r="G601" s="52" t="str" cm="1">
        <f t="array" ref="G601">_xlfn.IFS(F601&gt;=4.5,"Excellent",AND(F601&gt;=3.5,F601&lt;=4.4),"Good",F601&lt;3.5,"Needs Improvement")</f>
        <v>Needs Improvement</v>
      </c>
      <c r="Q601" s="18">
        <v>10.199999999999999</v>
      </c>
      <c r="R601" s="56" t="str">
        <f t="shared" si="161"/>
        <v>Yes</v>
      </c>
      <c r="W601" s="18" t="s">
        <v>1085</v>
      </c>
      <c r="X601" s="54" t="str">
        <f>VLOOKUP(W601,Employees!$A$1:$B$601,2,FALSE)</f>
        <v>Satyajit Sahoo</v>
      </c>
      <c r="Z601" s="5" t="s">
        <v>1593</v>
      </c>
      <c r="AA601" s="54" t="str">
        <f t="shared" si="162"/>
        <v>0600</v>
      </c>
      <c r="AC601" s="5" t="s">
        <v>24</v>
      </c>
      <c r="AD601" s="54" t="str">
        <f t="shared" si="163"/>
        <v>Design</v>
      </c>
      <c r="AF601" s="5" t="s">
        <v>601</v>
      </c>
      <c r="AG601" s="5" t="s">
        <v>24</v>
      </c>
      <c r="AH601" s="5" t="s">
        <v>172</v>
      </c>
      <c r="AI601" s="54" t="str">
        <f t="shared" si="164"/>
        <v>Priyanka Mishra|Design|TechNova Solutions</v>
      </c>
      <c r="AK601" s="5" t="s">
        <v>601</v>
      </c>
      <c r="AL601" s="38" t="str">
        <f t="shared" si="165"/>
        <v>P.M.</v>
      </c>
      <c r="AQ601" s="5" t="s">
        <v>601</v>
      </c>
      <c r="AR601" s="52" t="str">
        <f t="shared" si="166"/>
        <v>Mishra</v>
      </c>
      <c r="AW601" s="54">
        <f ca="1">DATEDIF(BI601,TODAY(),"Y")</f>
        <v>6</v>
      </c>
      <c r="AX601" s="54"/>
      <c r="BH601" s="5" t="s">
        <v>1594</v>
      </c>
      <c r="BI601" s="51">
        <f t="shared" si="168"/>
        <v>43999</v>
      </c>
      <c r="BJ601" s="38">
        <f t="shared" ca="1" si="169"/>
        <v>1608</v>
      </c>
      <c r="BK601" s="38"/>
      <c r="BL601" s="38" t="str">
        <f t="shared" si="170"/>
        <v>No</v>
      </c>
      <c r="BM601"/>
      <c r="BN601" s="51"/>
      <c r="BP601" s="5" t="s">
        <v>1593</v>
      </c>
      <c r="BQ601" s="5" t="s">
        <v>24</v>
      </c>
      <c r="BR601" s="18" t="s">
        <v>1085</v>
      </c>
      <c r="BS601" s="18" t="s">
        <v>3294</v>
      </c>
      <c r="BT601" s="54" t="str">
        <f t="shared" si="167"/>
        <v>DevOps</v>
      </c>
      <c r="BV601" s="5" t="s">
        <v>1593</v>
      </c>
      <c r="BW601" s="5" t="s">
        <v>601</v>
      </c>
      <c r="CC601" s="5" t="s">
        <v>601</v>
      </c>
      <c r="CD601" s="5" t="s">
        <v>94</v>
      </c>
      <c r="CG601" s="54">
        <f>IFERROR(_xlfn.XLOOKUP(Hiring!A601,Hiring!A601:A1000,Hiring!B601:B1000,,0),"Not Found")</f>
        <v>0</v>
      </c>
    </row>
    <row r="602" spans="6:85">
      <c r="Q602" s="19">
        <v>7.97</v>
      </c>
      <c r="R602" s="56" t="str">
        <f t="shared" si="161"/>
        <v>Yes</v>
      </c>
      <c r="W602" s="19" t="s">
        <v>1085</v>
      </c>
      <c r="X602" s="54" t="str">
        <f>VLOOKUP(W602,Employees!$A$1:$B$601,2,FALSE)</f>
        <v>Satyajit Sahoo</v>
      </c>
      <c r="AW602" s="54"/>
      <c r="AX602" s="54"/>
      <c r="BI602" s="48"/>
      <c r="BJ602" s="38"/>
      <c r="BK602" s="38"/>
      <c r="BL602" s="38"/>
      <c r="BM602"/>
      <c r="BN602" s="48"/>
      <c r="BR602" s="19" t="s">
        <v>1085</v>
      </c>
      <c r="BS602" s="19" t="s">
        <v>3295</v>
      </c>
      <c r="BT602" s="54" t="str">
        <f t="shared" si="167"/>
        <v>DevOps</v>
      </c>
    </row>
    <row r="603" spans="6:85">
      <c r="Q603" s="18">
        <v>8.99</v>
      </c>
      <c r="R603" s="56" t="str">
        <f t="shared" si="161"/>
        <v>Yes</v>
      </c>
      <c r="W603" s="18" t="s">
        <v>1085</v>
      </c>
      <c r="X603" s="54" t="str">
        <f>VLOOKUP(W603,Employees!$A$1:$B$601,2,FALSE)</f>
        <v>Satyajit Sahoo</v>
      </c>
      <c r="AW603" s="54"/>
      <c r="AX603" s="54"/>
      <c r="BI603" s="48"/>
      <c r="BJ603" s="38"/>
      <c r="BK603" s="38"/>
      <c r="BL603" s="38"/>
      <c r="BM603"/>
      <c r="BN603" s="48"/>
      <c r="BR603" s="18" t="s">
        <v>1085</v>
      </c>
      <c r="BS603" s="18" t="s">
        <v>3296</v>
      </c>
      <c r="BT603" s="54" t="str">
        <f t="shared" si="167"/>
        <v>DevOps</v>
      </c>
    </row>
    <row r="604" spans="6:85">
      <c r="Q604" s="19">
        <v>9.36</v>
      </c>
      <c r="R604" s="56" t="str">
        <f t="shared" si="161"/>
        <v>Yes</v>
      </c>
      <c r="W604" s="19" t="s">
        <v>1457</v>
      </c>
      <c r="X604" s="54" t="str">
        <f>VLOOKUP(W604,Employees!$A$1:$B$601,2,FALSE)</f>
        <v>Ankita Dhal</v>
      </c>
      <c r="AW604" s="54"/>
      <c r="AX604" s="54"/>
      <c r="BI604" s="48"/>
      <c r="BJ604" s="38"/>
      <c r="BK604" s="38"/>
      <c r="BL604" s="38"/>
      <c r="BM604"/>
      <c r="BN604" s="48"/>
      <c r="BR604" s="19" t="s">
        <v>1457</v>
      </c>
      <c r="BS604" s="19" t="s">
        <v>3297</v>
      </c>
      <c r="BT604" s="54" t="str">
        <f t="shared" si="167"/>
        <v>HR</v>
      </c>
    </row>
    <row r="605" spans="6:85">
      <c r="Q605" s="18">
        <v>11.05</v>
      </c>
      <c r="R605" s="56" t="str">
        <f t="shared" si="161"/>
        <v>Yes</v>
      </c>
      <c r="W605" s="18" t="s">
        <v>1457</v>
      </c>
      <c r="X605" s="54" t="str">
        <f>VLOOKUP(W605,Employees!$A$1:$B$601,2,FALSE)</f>
        <v>Ankita Dhal</v>
      </c>
      <c r="AW605" s="54"/>
      <c r="AX605" s="54"/>
      <c r="BI605" s="48"/>
      <c r="BJ605" s="38"/>
      <c r="BK605" s="38"/>
      <c r="BL605" s="38"/>
      <c r="BM605"/>
      <c r="BN605" s="48"/>
      <c r="BR605" s="18" t="s">
        <v>1457</v>
      </c>
      <c r="BS605" s="18" t="s">
        <v>3298</v>
      </c>
      <c r="BT605" s="54" t="str">
        <f t="shared" si="167"/>
        <v>HR</v>
      </c>
    </row>
    <row r="606" spans="6:85">
      <c r="Q606" s="19">
        <v>9.44</v>
      </c>
      <c r="R606" s="56" t="str">
        <f t="shared" si="161"/>
        <v>Yes</v>
      </c>
      <c r="W606" s="19" t="s">
        <v>1457</v>
      </c>
      <c r="X606" s="54" t="str">
        <f>VLOOKUP(W606,Employees!$A$1:$B$601,2,FALSE)</f>
        <v>Ankita Dhal</v>
      </c>
      <c r="AW606" s="54"/>
      <c r="AX606" s="54"/>
      <c r="BI606" s="48"/>
      <c r="BJ606" s="38"/>
      <c r="BK606" s="38"/>
      <c r="BL606" s="38"/>
      <c r="BM606"/>
      <c r="BN606" s="48"/>
      <c r="BR606" s="19" t="s">
        <v>1457</v>
      </c>
      <c r="BS606" s="19" t="s">
        <v>3300</v>
      </c>
      <c r="BT606" s="54" t="str">
        <f t="shared" si="167"/>
        <v>HR</v>
      </c>
    </row>
    <row r="607" spans="6:85">
      <c r="Q607" s="18">
        <v>11.45</v>
      </c>
      <c r="R607" s="56" t="str">
        <f t="shared" si="161"/>
        <v>Yes</v>
      </c>
      <c r="W607" s="18" t="s">
        <v>1457</v>
      </c>
      <c r="X607" s="54" t="str">
        <f>VLOOKUP(W607,Employees!$A$1:$B$601,2,FALSE)</f>
        <v>Ankita Dhal</v>
      </c>
      <c r="AW607" s="54"/>
      <c r="AX607" s="54"/>
      <c r="BI607" s="48"/>
      <c r="BJ607" s="38"/>
      <c r="BK607" s="38"/>
      <c r="BL607" s="38"/>
      <c r="BM607"/>
      <c r="BN607" s="48"/>
      <c r="BR607" s="18" t="s">
        <v>1457</v>
      </c>
      <c r="BS607" s="18" t="s">
        <v>3301</v>
      </c>
      <c r="BT607" s="54" t="str">
        <f t="shared" si="167"/>
        <v>HR</v>
      </c>
    </row>
    <row r="608" spans="6:85">
      <c r="Q608" s="19">
        <v>9.6199999999999992</v>
      </c>
      <c r="R608" s="56" t="str">
        <f t="shared" si="161"/>
        <v>Yes</v>
      </c>
      <c r="W608" s="19" t="s">
        <v>1457</v>
      </c>
      <c r="X608" s="54" t="str">
        <f>VLOOKUP(W608,Employees!$A$1:$B$601,2,FALSE)</f>
        <v>Ankita Dhal</v>
      </c>
      <c r="AW608" s="54"/>
      <c r="AX608" s="54"/>
      <c r="BI608" s="48"/>
      <c r="BJ608" s="38"/>
      <c r="BK608" s="38"/>
      <c r="BL608" s="38"/>
      <c r="BM608"/>
      <c r="BN608" s="48"/>
      <c r="BR608" s="19" t="s">
        <v>1457</v>
      </c>
      <c r="BS608" s="19" t="s">
        <v>3303</v>
      </c>
      <c r="BT608" s="54" t="str">
        <f t="shared" si="167"/>
        <v>HR</v>
      </c>
    </row>
    <row r="609" spans="17:72">
      <c r="Q609" s="18">
        <v>9.64</v>
      </c>
      <c r="R609" s="56" t="str">
        <f t="shared" si="161"/>
        <v>Yes</v>
      </c>
      <c r="W609" s="18" t="s">
        <v>1457</v>
      </c>
      <c r="X609" s="54" t="str">
        <f>VLOOKUP(W609,Employees!$A$1:$B$601,2,FALSE)</f>
        <v>Ankita Dhal</v>
      </c>
      <c r="AW609" s="54"/>
      <c r="AX609" s="54"/>
      <c r="BI609" s="48"/>
      <c r="BJ609" s="38"/>
      <c r="BK609" s="38"/>
      <c r="BL609" s="38"/>
      <c r="BM609"/>
      <c r="BN609" s="48"/>
      <c r="BR609" s="18" t="s">
        <v>1457</v>
      </c>
      <c r="BS609" s="18" t="s">
        <v>3305</v>
      </c>
      <c r="BT609" s="54" t="str">
        <f t="shared" si="167"/>
        <v>HR</v>
      </c>
    </row>
    <row r="610" spans="17:72">
      <c r="Q610" s="19">
        <v>11.17</v>
      </c>
      <c r="R610" s="56" t="str">
        <f t="shared" si="161"/>
        <v>Yes</v>
      </c>
      <c r="W610" s="19" t="s">
        <v>1457</v>
      </c>
      <c r="X610" s="54" t="str">
        <f>VLOOKUP(W610,Employees!$A$1:$B$601,2,FALSE)</f>
        <v>Ankita Dhal</v>
      </c>
      <c r="AW610" s="54"/>
      <c r="AX610" s="54"/>
      <c r="BI610" s="48"/>
      <c r="BJ610" s="38"/>
      <c r="BK610" s="38"/>
      <c r="BL610" s="38"/>
      <c r="BM610"/>
      <c r="BN610" s="48"/>
      <c r="BR610" s="19" t="s">
        <v>1457</v>
      </c>
      <c r="BS610" s="19" t="s">
        <v>3307</v>
      </c>
      <c r="BT610" s="54" t="str">
        <f t="shared" si="167"/>
        <v>HR</v>
      </c>
    </row>
    <row r="611" spans="17:72">
      <c r="Q611" s="18">
        <v>8.5299999999999994</v>
      </c>
      <c r="R611" s="56" t="str">
        <f t="shared" si="161"/>
        <v>Yes</v>
      </c>
      <c r="W611" s="18" t="s">
        <v>1457</v>
      </c>
      <c r="X611" s="54" t="str">
        <f>VLOOKUP(W611,Employees!$A$1:$B$601,2,FALSE)</f>
        <v>Ankita Dhal</v>
      </c>
      <c r="AW611" s="54"/>
      <c r="AX611" s="54"/>
      <c r="BI611" s="48"/>
      <c r="BJ611" s="38"/>
      <c r="BK611" s="38"/>
      <c r="BL611" s="38"/>
      <c r="BM611"/>
      <c r="BN611" s="48"/>
      <c r="BR611" s="18" t="s">
        <v>1457</v>
      </c>
      <c r="BS611" s="18" t="s">
        <v>3309</v>
      </c>
      <c r="BT611" s="54" t="str">
        <f t="shared" si="167"/>
        <v>HR</v>
      </c>
    </row>
    <row r="612" spans="17:72">
      <c r="Q612" s="19">
        <v>7.88</v>
      </c>
      <c r="R612" s="56" t="str">
        <f t="shared" si="161"/>
        <v>Yes</v>
      </c>
      <c r="W612" s="19" t="s">
        <v>1457</v>
      </c>
      <c r="X612" s="54" t="str">
        <f>VLOOKUP(W612,Employees!$A$1:$B$601,2,FALSE)</f>
        <v>Ankita Dhal</v>
      </c>
      <c r="AW612" s="54"/>
      <c r="AX612" s="54"/>
      <c r="BI612" s="48"/>
      <c r="BJ612" s="38"/>
      <c r="BK612" s="38"/>
      <c r="BL612" s="38"/>
      <c r="BM612"/>
      <c r="BN612" s="48"/>
      <c r="BR612" s="19" t="s">
        <v>1457</v>
      </c>
      <c r="BS612" s="19" t="s">
        <v>3310</v>
      </c>
      <c r="BT612" s="54" t="str">
        <f t="shared" si="167"/>
        <v>HR</v>
      </c>
    </row>
    <row r="613" spans="17:72">
      <c r="Q613" s="18">
        <v>7.09</v>
      </c>
      <c r="R613" s="56" t="str">
        <f t="shared" si="161"/>
        <v>Yes</v>
      </c>
      <c r="W613" s="18" t="s">
        <v>1457</v>
      </c>
      <c r="X613" s="54" t="str">
        <f>VLOOKUP(W613,Employees!$A$1:$B$601,2,FALSE)</f>
        <v>Ankita Dhal</v>
      </c>
      <c r="AW613" s="54"/>
      <c r="AX613" s="54"/>
      <c r="BI613" s="48"/>
      <c r="BJ613" s="38"/>
      <c r="BK613" s="38"/>
      <c r="BL613" s="38"/>
      <c r="BM613"/>
      <c r="BN613" s="48"/>
      <c r="BR613" s="18" t="s">
        <v>1457</v>
      </c>
      <c r="BS613" s="18" t="s">
        <v>3311</v>
      </c>
      <c r="BT613" s="54" t="str">
        <f t="shared" si="167"/>
        <v>HR</v>
      </c>
    </row>
    <row r="614" spans="17:72">
      <c r="Q614" s="19">
        <v>8.86</v>
      </c>
      <c r="R614" s="56" t="str">
        <f t="shared" si="161"/>
        <v>Yes</v>
      </c>
      <c r="W614" s="19" t="s">
        <v>1457</v>
      </c>
      <c r="X614" s="54" t="str">
        <f>VLOOKUP(W614,Employees!$A$1:$B$601,2,FALSE)</f>
        <v>Ankita Dhal</v>
      </c>
      <c r="AW614" s="54"/>
      <c r="AX614" s="54"/>
      <c r="BI614" s="48"/>
      <c r="BJ614" s="38"/>
      <c r="BK614" s="38"/>
      <c r="BL614" s="38"/>
      <c r="BM614"/>
      <c r="BN614" s="48"/>
      <c r="BR614" s="19" t="s">
        <v>1457</v>
      </c>
      <c r="BS614" s="19" t="s">
        <v>3312</v>
      </c>
      <c r="BT614" s="54" t="str">
        <f t="shared" si="167"/>
        <v>HR</v>
      </c>
    </row>
    <row r="615" spans="17:72">
      <c r="Q615" s="18">
        <v>10.8</v>
      </c>
      <c r="R615" s="56" t="str">
        <f t="shared" si="161"/>
        <v>Yes</v>
      </c>
      <c r="W615" s="18" t="s">
        <v>1457</v>
      </c>
      <c r="X615" s="54" t="str">
        <f>VLOOKUP(W615,Employees!$A$1:$B$601,2,FALSE)</f>
        <v>Ankita Dhal</v>
      </c>
      <c r="AW615" s="54"/>
      <c r="AX615" s="54"/>
      <c r="BI615" s="48"/>
      <c r="BJ615" s="38"/>
      <c r="BK615" s="38"/>
      <c r="BL615" s="38"/>
      <c r="BM615"/>
      <c r="BN615" s="48"/>
      <c r="BR615" s="18" t="s">
        <v>1457</v>
      </c>
      <c r="BS615" s="18" t="s">
        <v>3313</v>
      </c>
      <c r="BT615" s="54" t="str">
        <f t="shared" si="167"/>
        <v>HR</v>
      </c>
    </row>
    <row r="616" spans="17:72">
      <c r="Q616" s="19">
        <v>11.16</v>
      </c>
      <c r="R616" s="56" t="str">
        <f t="shared" si="161"/>
        <v>Yes</v>
      </c>
      <c r="W616" s="19" t="s">
        <v>1457</v>
      </c>
      <c r="X616" s="54" t="str">
        <f>VLOOKUP(W616,Employees!$A$1:$B$601,2,FALSE)</f>
        <v>Ankita Dhal</v>
      </c>
      <c r="AW616" s="54"/>
      <c r="AX616" s="54"/>
      <c r="BI616" s="48"/>
      <c r="BJ616" s="38"/>
      <c r="BK616" s="38"/>
      <c r="BL616" s="38"/>
      <c r="BM616"/>
      <c r="BN616" s="48"/>
      <c r="BR616" s="19" t="s">
        <v>1457</v>
      </c>
      <c r="BS616" s="19" t="s">
        <v>3314</v>
      </c>
      <c r="BT616" s="54" t="str">
        <f t="shared" si="167"/>
        <v>HR</v>
      </c>
    </row>
    <row r="617" spans="17:72">
      <c r="Q617" s="18">
        <v>10.49</v>
      </c>
      <c r="R617" s="56" t="str">
        <f t="shared" si="161"/>
        <v>Yes</v>
      </c>
      <c r="W617" s="18" t="s">
        <v>1457</v>
      </c>
      <c r="X617" s="54" t="str">
        <f>VLOOKUP(W617,Employees!$A$1:$B$601,2,FALSE)</f>
        <v>Ankita Dhal</v>
      </c>
      <c r="AW617" s="54"/>
      <c r="AX617" s="54"/>
      <c r="BI617" s="48"/>
      <c r="BJ617" s="38"/>
      <c r="BK617" s="38"/>
      <c r="BL617" s="38"/>
      <c r="BM617"/>
      <c r="BN617" s="48"/>
      <c r="BR617" s="18" t="s">
        <v>1457</v>
      </c>
      <c r="BS617" s="18" t="s">
        <v>3316</v>
      </c>
      <c r="BT617" s="54" t="str">
        <f t="shared" si="167"/>
        <v>HR</v>
      </c>
    </row>
    <row r="618" spans="17:72">
      <c r="Q618" s="19">
        <v>8.33</v>
      </c>
      <c r="R618" s="56" t="str">
        <f t="shared" si="161"/>
        <v>Yes</v>
      </c>
      <c r="W618" s="19" t="s">
        <v>1457</v>
      </c>
      <c r="X618" s="54" t="str">
        <f>VLOOKUP(W618,Employees!$A$1:$B$601,2,FALSE)</f>
        <v>Ankita Dhal</v>
      </c>
      <c r="AW618" s="54"/>
      <c r="AX618" s="54"/>
      <c r="BI618" s="48"/>
      <c r="BJ618" s="38"/>
      <c r="BK618" s="38"/>
      <c r="BL618" s="38"/>
      <c r="BM618"/>
      <c r="BN618" s="48"/>
      <c r="BR618" s="19" t="s">
        <v>1457</v>
      </c>
      <c r="BS618" s="19" t="s">
        <v>3317</v>
      </c>
      <c r="BT618" s="54" t="str">
        <f t="shared" si="167"/>
        <v>HR</v>
      </c>
    </row>
    <row r="619" spans="17:72">
      <c r="Q619" s="18"/>
      <c r="R619" s="56" t="str">
        <f t="shared" si="161"/>
        <v>No</v>
      </c>
      <c r="W619" s="18" t="s">
        <v>1457</v>
      </c>
      <c r="X619" s="54" t="str">
        <f>VLOOKUP(W619,Employees!$A$1:$B$601,2,FALSE)</f>
        <v>Ankita Dhal</v>
      </c>
      <c r="AW619" s="54"/>
      <c r="AX619" s="54"/>
      <c r="BI619" s="48"/>
      <c r="BJ619" s="38"/>
      <c r="BK619" s="38"/>
      <c r="BL619" s="38"/>
      <c r="BM619"/>
      <c r="BN619" s="48"/>
      <c r="BR619" s="18" t="s">
        <v>1457</v>
      </c>
      <c r="BS619" s="18" t="s">
        <v>3318</v>
      </c>
      <c r="BT619" s="54" t="str">
        <f t="shared" si="167"/>
        <v>HR</v>
      </c>
    </row>
    <row r="620" spans="17:72">
      <c r="Q620" s="19">
        <v>8.5399999999999991</v>
      </c>
      <c r="R620" s="56" t="str">
        <f t="shared" si="161"/>
        <v>Yes</v>
      </c>
      <c r="W620" s="19" t="s">
        <v>1457</v>
      </c>
      <c r="X620" s="54" t="str">
        <f>VLOOKUP(W620,Employees!$A$1:$B$601,2,FALSE)</f>
        <v>Ankita Dhal</v>
      </c>
      <c r="AW620" s="54"/>
      <c r="AX620" s="54"/>
      <c r="BI620" s="48"/>
      <c r="BJ620" s="38"/>
      <c r="BK620" s="38"/>
      <c r="BL620" s="38"/>
      <c r="BM620"/>
      <c r="BN620" s="48"/>
      <c r="BR620" s="19" t="s">
        <v>1457</v>
      </c>
      <c r="BS620" s="19" t="s">
        <v>3319</v>
      </c>
      <c r="BT620" s="54" t="str">
        <f t="shared" si="167"/>
        <v>HR</v>
      </c>
    </row>
    <row r="621" spans="17:72">
      <c r="Q621" s="18">
        <v>7.2</v>
      </c>
      <c r="R621" s="56" t="str">
        <f t="shared" si="161"/>
        <v>Yes</v>
      </c>
      <c r="W621" s="18" t="s">
        <v>1457</v>
      </c>
      <c r="X621" s="54" t="str">
        <f>VLOOKUP(W621,Employees!$A$1:$B$601,2,FALSE)</f>
        <v>Ankita Dhal</v>
      </c>
      <c r="AW621" s="54"/>
      <c r="AX621" s="54"/>
      <c r="BI621" s="48"/>
      <c r="BJ621" s="38"/>
      <c r="BK621" s="38"/>
      <c r="BL621" s="38"/>
      <c r="BM621"/>
      <c r="BN621" s="48"/>
      <c r="BR621" s="18" t="s">
        <v>1457</v>
      </c>
      <c r="BS621" s="18" t="s">
        <v>3320</v>
      </c>
      <c r="BT621" s="54" t="str">
        <f t="shared" si="167"/>
        <v>HR</v>
      </c>
    </row>
    <row r="622" spans="17:72">
      <c r="Q622" s="19">
        <v>6.76</v>
      </c>
      <c r="R622" s="56" t="str">
        <f t="shared" si="161"/>
        <v>Yes</v>
      </c>
      <c r="W622" s="19" t="s">
        <v>1457</v>
      </c>
      <c r="X622" s="54" t="str">
        <f>VLOOKUP(W622,Employees!$A$1:$B$601,2,FALSE)</f>
        <v>Ankita Dhal</v>
      </c>
      <c r="AW622" s="54"/>
      <c r="AX622" s="54"/>
      <c r="BI622" s="48"/>
      <c r="BJ622" s="38"/>
      <c r="BK622" s="38"/>
      <c r="BL622" s="38"/>
      <c r="BM622"/>
      <c r="BN622" s="48"/>
      <c r="BR622" s="19" t="s">
        <v>1457</v>
      </c>
      <c r="BS622" s="19" t="s">
        <v>3321</v>
      </c>
      <c r="BT622" s="54" t="str">
        <f t="shared" si="167"/>
        <v>HR</v>
      </c>
    </row>
    <row r="623" spans="17:72">
      <c r="Q623" s="18">
        <v>8.42</v>
      </c>
      <c r="R623" s="56" t="str">
        <f t="shared" si="161"/>
        <v>Yes</v>
      </c>
      <c r="W623" s="18" t="s">
        <v>1457</v>
      </c>
      <c r="X623" s="54" t="str">
        <f>VLOOKUP(W623,Employees!$A$1:$B$601,2,FALSE)</f>
        <v>Ankita Dhal</v>
      </c>
      <c r="AW623" s="54"/>
      <c r="AX623" s="54"/>
      <c r="BI623" s="48"/>
      <c r="BJ623" s="38"/>
      <c r="BK623" s="38"/>
      <c r="BL623" s="38"/>
      <c r="BM623"/>
      <c r="BN623" s="48"/>
      <c r="BR623" s="18" t="s">
        <v>1457</v>
      </c>
      <c r="BS623" s="18" t="s">
        <v>3323</v>
      </c>
      <c r="BT623" s="54" t="str">
        <f t="shared" si="167"/>
        <v>HR</v>
      </c>
    </row>
    <row r="624" spans="17:72">
      <c r="Q624" s="19">
        <v>9.8800000000000008</v>
      </c>
      <c r="R624" s="56" t="str">
        <f t="shared" si="161"/>
        <v>Yes</v>
      </c>
      <c r="W624" s="19" t="s">
        <v>1457</v>
      </c>
      <c r="X624" s="54" t="str">
        <f>VLOOKUP(W624,Employees!$A$1:$B$601,2,FALSE)</f>
        <v>Ankita Dhal</v>
      </c>
      <c r="AW624" s="54"/>
      <c r="AX624" s="54"/>
      <c r="BI624" s="48"/>
      <c r="BJ624" s="38"/>
      <c r="BK624" s="38"/>
      <c r="BL624" s="38"/>
      <c r="BM624"/>
      <c r="BN624" s="48"/>
      <c r="BR624" s="19" t="s">
        <v>1457</v>
      </c>
      <c r="BS624" s="19" t="s">
        <v>3324</v>
      </c>
      <c r="BT624" s="54" t="str">
        <f t="shared" si="167"/>
        <v>HR</v>
      </c>
    </row>
    <row r="625" spans="17:72">
      <c r="Q625" s="18">
        <v>7.91</v>
      </c>
      <c r="R625" s="56" t="str">
        <f t="shared" si="161"/>
        <v>Yes</v>
      </c>
      <c r="W625" s="18" t="s">
        <v>1457</v>
      </c>
      <c r="X625" s="54" t="str">
        <f>VLOOKUP(W625,Employees!$A$1:$B$601,2,FALSE)</f>
        <v>Ankita Dhal</v>
      </c>
      <c r="AW625" s="54"/>
      <c r="AX625" s="54"/>
      <c r="BI625" s="48"/>
      <c r="BJ625" s="38"/>
      <c r="BK625" s="38"/>
      <c r="BL625" s="38"/>
      <c r="BM625"/>
      <c r="BN625" s="48"/>
      <c r="BR625" s="18" t="s">
        <v>1457</v>
      </c>
      <c r="BS625" s="18" t="s">
        <v>3325</v>
      </c>
      <c r="BT625" s="54" t="str">
        <f t="shared" si="167"/>
        <v>HR</v>
      </c>
    </row>
    <row r="626" spans="17:72">
      <c r="Q626" s="19">
        <v>8.3800000000000008</v>
      </c>
      <c r="R626" s="56" t="str">
        <f t="shared" si="161"/>
        <v>Yes</v>
      </c>
      <c r="W626" s="19" t="s">
        <v>1457</v>
      </c>
      <c r="X626" s="54" t="str">
        <f>VLOOKUP(W626,Employees!$A$1:$B$601,2,FALSE)</f>
        <v>Ankita Dhal</v>
      </c>
      <c r="AW626" s="54"/>
      <c r="AX626" s="54"/>
      <c r="BI626" s="48"/>
      <c r="BJ626" s="38"/>
      <c r="BK626" s="38"/>
      <c r="BL626" s="38"/>
      <c r="BM626"/>
      <c r="BN626" s="48"/>
      <c r="BR626" s="19" t="s">
        <v>1457</v>
      </c>
      <c r="BS626" s="19" t="s">
        <v>3327</v>
      </c>
      <c r="BT626" s="54" t="str">
        <f t="shared" si="167"/>
        <v>HR</v>
      </c>
    </row>
    <row r="627" spans="17:72">
      <c r="Q627" s="18">
        <v>11</v>
      </c>
      <c r="R627" s="56" t="str">
        <f t="shared" si="161"/>
        <v>Yes</v>
      </c>
      <c r="W627" s="18" t="s">
        <v>1457</v>
      </c>
      <c r="X627" s="54" t="str">
        <f>VLOOKUP(W627,Employees!$A$1:$B$601,2,FALSE)</f>
        <v>Ankita Dhal</v>
      </c>
      <c r="AW627" s="54"/>
      <c r="AX627" s="54"/>
      <c r="BI627" s="48"/>
      <c r="BJ627" s="38"/>
      <c r="BK627" s="38"/>
      <c r="BL627" s="38"/>
      <c r="BM627"/>
      <c r="BN627" s="48"/>
      <c r="BR627" s="18" t="s">
        <v>1457</v>
      </c>
      <c r="BS627" s="18" t="s">
        <v>3328</v>
      </c>
      <c r="BT627" s="54" t="str">
        <f t="shared" si="167"/>
        <v>HR</v>
      </c>
    </row>
    <row r="628" spans="17:72">
      <c r="Q628" s="19">
        <v>10.24</v>
      </c>
      <c r="R628" s="56" t="str">
        <f t="shared" si="161"/>
        <v>Yes</v>
      </c>
      <c r="W628" s="19" t="s">
        <v>1457</v>
      </c>
      <c r="X628" s="54" t="str">
        <f>VLOOKUP(W628,Employees!$A$1:$B$601,2,FALSE)</f>
        <v>Ankita Dhal</v>
      </c>
      <c r="AW628" s="54"/>
      <c r="AX628" s="54"/>
      <c r="BI628" s="48"/>
      <c r="BJ628" s="38"/>
      <c r="BK628" s="38"/>
      <c r="BL628" s="38"/>
      <c r="BM628"/>
      <c r="BN628" s="48"/>
      <c r="BR628" s="19" t="s">
        <v>1457</v>
      </c>
      <c r="BS628" s="19" t="s">
        <v>3329</v>
      </c>
      <c r="BT628" s="54" t="str">
        <f t="shared" si="167"/>
        <v>HR</v>
      </c>
    </row>
    <row r="629" spans="17:72">
      <c r="Q629" s="18">
        <v>11.39</v>
      </c>
      <c r="R629" s="56" t="str">
        <f t="shared" si="161"/>
        <v>Yes</v>
      </c>
      <c r="W629" s="18" t="s">
        <v>1457</v>
      </c>
      <c r="X629" s="54" t="str">
        <f>VLOOKUP(W629,Employees!$A$1:$B$601,2,FALSE)</f>
        <v>Ankita Dhal</v>
      </c>
      <c r="AW629" s="54"/>
      <c r="AX629" s="54"/>
      <c r="BI629" s="48"/>
      <c r="BJ629" s="38"/>
      <c r="BK629" s="38"/>
      <c r="BL629" s="38"/>
      <c r="BM629"/>
      <c r="BN629" s="48"/>
      <c r="BR629" s="18" t="s">
        <v>1457</v>
      </c>
      <c r="BS629" s="18" t="s">
        <v>3330</v>
      </c>
      <c r="BT629" s="54" t="str">
        <f t="shared" si="167"/>
        <v>HR</v>
      </c>
    </row>
    <row r="630" spans="17:72">
      <c r="Q630" s="19">
        <v>7.34</v>
      </c>
      <c r="R630" s="56" t="str">
        <f t="shared" si="161"/>
        <v>Yes</v>
      </c>
      <c r="W630" s="19" t="s">
        <v>1457</v>
      </c>
      <c r="X630" s="54" t="str">
        <f>VLOOKUP(W630,Employees!$A$1:$B$601,2,FALSE)</f>
        <v>Ankita Dhal</v>
      </c>
      <c r="AW630" s="54"/>
      <c r="AX630" s="54"/>
      <c r="BI630" s="48"/>
      <c r="BJ630" s="38"/>
      <c r="BK630" s="38"/>
      <c r="BL630" s="38"/>
      <c r="BM630"/>
      <c r="BN630" s="48"/>
      <c r="BR630" s="19" t="s">
        <v>1457</v>
      </c>
      <c r="BS630" s="19" t="s">
        <v>3332</v>
      </c>
      <c r="BT630" s="54" t="str">
        <f t="shared" si="167"/>
        <v>HR</v>
      </c>
    </row>
    <row r="631" spans="17:72">
      <c r="Q631" s="18">
        <v>9.44</v>
      </c>
      <c r="R631" s="56" t="str">
        <f t="shared" si="161"/>
        <v>Yes</v>
      </c>
      <c r="W631" s="18" t="s">
        <v>1457</v>
      </c>
      <c r="X631" s="54" t="str">
        <f>VLOOKUP(W631,Employees!$A$1:$B$601,2,FALSE)</f>
        <v>Ankita Dhal</v>
      </c>
      <c r="AW631" s="54"/>
      <c r="AX631" s="54"/>
      <c r="BI631" s="48"/>
      <c r="BJ631" s="38"/>
      <c r="BK631" s="38"/>
      <c r="BL631" s="38"/>
      <c r="BM631"/>
      <c r="BN631" s="48"/>
      <c r="BR631" s="18" t="s">
        <v>1457</v>
      </c>
      <c r="BS631" s="18" t="s">
        <v>3333</v>
      </c>
      <c r="BT631" s="54" t="str">
        <f t="shared" si="167"/>
        <v>HR</v>
      </c>
    </row>
    <row r="632" spans="17:72">
      <c r="Q632" s="19">
        <v>7.97</v>
      </c>
      <c r="R632" s="56" t="str">
        <f t="shared" si="161"/>
        <v>Yes</v>
      </c>
      <c r="W632" s="19" t="s">
        <v>1457</v>
      </c>
      <c r="X632" s="54" t="str">
        <f>VLOOKUP(W632,Employees!$A$1:$B$601,2,FALSE)</f>
        <v>Ankita Dhal</v>
      </c>
      <c r="AW632" s="54"/>
      <c r="AX632" s="54"/>
      <c r="BI632" s="48"/>
      <c r="BJ632" s="38"/>
      <c r="BK632" s="38"/>
      <c r="BL632" s="38"/>
      <c r="BM632"/>
      <c r="BN632" s="48"/>
      <c r="BR632" s="19" t="s">
        <v>1457</v>
      </c>
      <c r="BS632" s="19" t="s">
        <v>3334</v>
      </c>
      <c r="BT632" s="54" t="str">
        <f t="shared" si="167"/>
        <v>HR</v>
      </c>
    </row>
    <row r="633" spans="17:72">
      <c r="Q633" s="18">
        <v>7.8</v>
      </c>
      <c r="R633" s="56" t="str">
        <f t="shared" si="161"/>
        <v>Yes</v>
      </c>
      <c r="W633" s="18" t="s">
        <v>1457</v>
      </c>
      <c r="X633" s="54" t="str">
        <f>VLOOKUP(W633,Employees!$A$1:$B$601,2,FALSE)</f>
        <v>Ankita Dhal</v>
      </c>
      <c r="AW633" s="54"/>
      <c r="AX633" s="54"/>
      <c r="BI633" s="48"/>
      <c r="BJ633" s="38"/>
      <c r="BK633" s="38"/>
      <c r="BL633" s="38"/>
      <c r="BM633"/>
      <c r="BN633" s="48"/>
      <c r="BR633" s="18" t="s">
        <v>1457</v>
      </c>
      <c r="BS633" s="18" t="s">
        <v>3335</v>
      </c>
      <c r="BT633" s="54" t="str">
        <f t="shared" si="167"/>
        <v>HR</v>
      </c>
    </row>
    <row r="634" spans="17:72">
      <c r="Q634" s="19">
        <v>8.3800000000000008</v>
      </c>
      <c r="R634" s="56" t="str">
        <f t="shared" si="161"/>
        <v>Yes</v>
      </c>
      <c r="W634" s="19" t="s">
        <v>1457</v>
      </c>
      <c r="X634" s="54" t="str">
        <f>VLOOKUP(W634,Employees!$A$1:$B$601,2,FALSE)</f>
        <v>Ankita Dhal</v>
      </c>
      <c r="AW634" s="54"/>
      <c r="AX634" s="54"/>
      <c r="BI634" s="48"/>
      <c r="BJ634" s="38"/>
      <c r="BK634" s="38"/>
      <c r="BL634" s="38"/>
      <c r="BM634"/>
      <c r="BN634" s="48"/>
      <c r="BR634" s="19" t="s">
        <v>1457</v>
      </c>
      <c r="BS634" s="19" t="s">
        <v>3336</v>
      </c>
      <c r="BT634" s="54" t="str">
        <f t="shared" si="167"/>
        <v>HR</v>
      </c>
    </row>
    <row r="635" spans="17:72">
      <c r="Q635" s="18">
        <v>9.77</v>
      </c>
      <c r="R635" s="56" t="str">
        <f t="shared" si="161"/>
        <v>Yes</v>
      </c>
      <c r="W635" s="18" t="s">
        <v>1457</v>
      </c>
      <c r="X635" s="54" t="str">
        <f>VLOOKUP(W635,Employees!$A$1:$B$601,2,FALSE)</f>
        <v>Ankita Dhal</v>
      </c>
      <c r="AW635" s="54"/>
      <c r="AX635" s="54"/>
      <c r="BI635" s="48"/>
      <c r="BJ635" s="38"/>
      <c r="BK635" s="38"/>
      <c r="BL635" s="38"/>
      <c r="BM635"/>
      <c r="BN635" s="48"/>
      <c r="BR635" s="18" t="s">
        <v>1457</v>
      </c>
      <c r="BS635" s="18" t="s">
        <v>3337</v>
      </c>
      <c r="BT635" s="54" t="str">
        <f t="shared" si="167"/>
        <v>HR</v>
      </c>
    </row>
    <row r="636" spans="17:72">
      <c r="Q636" s="19">
        <v>10.25</v>
      </c>
      <c r="R636" s="56" t="str">
        <f t="shared" si="161"/>
        <v>Yes</v>
      </c>
      <c r="W636" s="19" t="s">
        <v>1457</v>
      </c>
      <c r="X636" s="54" t="str">
        <f>VLOOKUP(W636,Employees!$A$1:$B$601,2,FALSE)</f>
        <v>Ankita Dhal</v>
      </c>
      <c r="AW636" s="54"/>
      <c r="AX636" s="54"/>
      <c r="BI636" s="48"/>
      <c r="BJ636" s="38"/>
      <c r="BK636" s="38"/>
      <c r="BL636" s="38"/>
      <c r="BM636"/>
      <c r="BN636" s="48"/>
      <c r="BR636" s="19" t="s">
        <v>1457</v>
      </c>
      <c r="BS636" s="19" t="s">
        <v>3338</v>
      </c>
      <c r="BT636" s="54" t="str">
        <f t="shared" si="167"/>
        <v>HR</v>
      </c>
    </row>
    <row r="637" spans="17:72">
      <c r="Q637" s="18">
        <v>6.73</v>
      </c>
      <c r="R637" s="56" t="str">
        <f t="shared" si="161"/>
        <v>Yes</v>
      </c>
      <c r="W637" s="18" t="s">
        <v>1457</v>
      </c>
      <c r="X637" s="54" t="str">
        <f>VLOOKUP(W637,Employees!$A$1:$B$601,2,FALSE)</f>
        <v>Ankita Dhal</v>
      </c>
      <c r="AW637" s="54"/>
      <c r="AX637" s="54"/>
      <c r="BI637" s="48"/>
      <c r="BJ637" s="38"/>
      <c r="BK637" s="38"/>
      <c r="BL637" s="38"/>
      <c r="BM637"/>
      <c r="BN637" s="48"/>
      <c r="BR637" s="18" t="s">
        <v>1457</v>
      </c>
      <c r="BS637" s="18" t="s">
        <v>3339</v>
      </c>
      <c r="BT637" s="54" t="str">
        <f t="shared" si="167"/>
        <v>HR</v>
      </c>
    </row>
    <row r="638" spans="17:72">
      <c r="Q638" s="19">
        <v>9.33</v>
      </c>
      <c r="R638" s="56" t="str">
        <f t="shared" si="161"/>
        <v>Yes</v>
      </c>
      <c r="W638" s="19" t="s">
        <v>1457</v>
      </c>
      <c r="X638" s="54" t="str">
        <f>VLOOKUP(W638,Employees!$A$1:$B$601,2,FALSE)</f>
        <v>Ankita Dhal</v>
      </c>
      <c r="AW638" s="54"/>
      <c r="AX638" s="54"/>
      <c r="BI638" s="48"/>
      <c r="BJ638" s="38"/>
      <c r="BK638" s="38"/>
      <c r="BL638" s="38"/>
      <c r="BM638"/>
      <c r="BN638" s="48"/>
      <c r="BR638" s="19" t="s">
        <v>1457</v>
      </c>
      <c r="BS638" s="19" t="s">
        <v>3341</v>
      </c>
      <c r="BT638" s="54" t="str">
        <f t="shared" si="167"/>
        <v>HR</v>
      </c>
    </row>
    <row r="639" spans="17:72">
      <c r="Q639" s="18">
        <v>9.6999999999999993</v>
      </c>
      <c r="R639" s="56" t="str">
        <f t="shared" si="161"/>
        <v>Yes</v>
      </c>
      <c r="W639" s="18" t="s">
        <v>1457</v>
      </c>
      <c r="X639" s="54" t="str">
        <f>VLOOKUP(W639,Employees!$A$1:$B$601,2,FALSE)</f>
        <v>Ankita Dhal</v>
      </c>
      <c r="AW639" s="54"/>
      <c r="AX639" s="54"/>
      <c r="BI639" s="48"/>
      <c r="BJ639" s="38"/>
      <c r="BK639" s="38"/>
      <c r="BL639" s="38"/>
      <c r="BM639"/>
      <c r="BN639" s="48"/>
      <c r="BR639" s="18" t="s">
        <v>1457</v>
      </c>
      <c r="BS639" s="18" t="s">
        <v>3342</v>
      </c>
      <c r="BT639" s="54" t="str">
        <f t="shared" si="167"/>
        <v>HR</v>
      </c>
    </row>
    <row r="640" spans="17:72">
      <c r="Q640" s="19"/>
      <c r="R640" s="56" t="str">
        <f t="shared" si="161"/>
        <v>No</v>
      </c>
      <c r="W640" s="19" t="s">
        <v>1457</v>
      </c>
      <c r="X640" s="54" t="str">
        <f>VLOOKUP(W640,Employees!$A$1:$B$601,2,FALSE)</f>
        <v>Ankita Dhal</v>
      </c>
      <c r="AW640" s="54"/>
      <c r="AX640" s="54"/>
      <c r="BI640" s="48"/>
      <c r="BJ640" s="38"/>
      <c r="BK640" s="38"/>
      <c r="BL640" s="38"/>
      <c r="BM640"/>
      <c r="BN640" s="48"/>
      <c r="BR640" s="19" t="s">
        <v>1457</v>
      </c>
      <c r="BS640" s="19" t="s">
        <v>3343</v>
      </c>
      <c r="BT640" s="54" t="str">
        <f t="shared" si="167"/>
        <v>HR</v>
      </c>
    </row>
    <row r="641" spans="17:72">
      <c r="Q641" s="18">
        <v>8.83</v>
      </c>
      <c r="R641" s="56" t="str">
        <f t="shared" si="161"/>
        <v>Yes</v>
      </c>
      <c r="W641" s="18" t="s">
        <v>1457</v>
      </c>
      <c r="X641" s="54" t="str">
        <f>VLOOKUP(W641,Employees!$A$1:$B$601,2,FALSE)</f>
        <v>Ankita Dhal</v>
      </c>
      <c r="AW641" s="54"/>
      <c r="AX641" s="54"/>
      <c r="BI641" s="48"/>
      <c r="BJ641" s="38"/>
      <c r="BK641" s="38"/>
      <c r="BL641" s="38"/>
      <c r="BM641"/>
      <c r="BN641" s="48"/>
      <c r="BR641" s="18" t="s">
        <v>1457</v>
      </c>
      <c r="BS641" s="18" t="s">
        <v>3344</v>
      </c>
      <c r="BT641" s="54" t="str">
        <f t="shared" si="167"/>
        <v>HR</v>
      </c>
    </row>
    <row r="642" spans="17:72">
      <c r="Q642" s="19">
        <v>9.16</v>
      </c>
      <c r="R642" s="56" t="str">
        <f t="shared" si="161"/>
        <v>Yes</v>
      </c>
      <c r="W642" s="19" t="s">
        <v>1457</v>
      </c>
      <c r="X642" s="54" t="str">
        <f>VLOOKUP(W642,Employees!$A$1:$B$601,2,FALSE)</f>
        <v>Ankita Dhal</v>
      </c>
      <c r="AW642" s="54"/>
      <c r="AX642" s="54"/>
      <c r="BI642" s="48"/>
      <c r="BJ642" s="38"/>
      <c r="BK642" s="38"/>
      <c r="BL642" s="38"/>
      <c r="BM642"/>
      <c r="BN642" s="48"/>
      <c r="BR642" s="19" t="s">
        <v>1457</v>
      </c>
      <c r="BS642" s="19" t="s">
        <v>3345</v>
      </c>
      <c r="BT642" s="54" t="str">
        <f t="shared" si="167"/>
        <v>HR</v>
      </c>
    </row>
    <row r="643" spans="17:72">
      <c r="Q643" s="18">
        <v>8.26</v>
      </c>
      <c r="R643" s="56" t="str">
        <f t="shared" ref="R643:R706" si="171">IF(ISBLANK(Q643),"No","Yes")</f>
        <v>Yes</v>
      </c>
      <c r="W643" s="18" t="s">
        <v>1457</v>
      </c>
      <c r="X643" s="54" t="str">
        <f>VLOOKUP(W643,Employees!$A$1:$B$601,2,FALSE)</f>
        <v>Ankita Dhal</v>
      </c>
      <c r="AW643" s="54"/>
      <c r="AX643" s="54"/>
      <c r="BI643" s="48"/>
      <c r="BJ643" s="38"/>
      <c r="BK643" s="38"/>
      <c r="BL643" s="38"/>
      <c r="BM643"/>
      <c r="BN643" s="48"/>
      <c r="BR643" s="18" t="s">
        <v>1457</v>
      </c>
      <c r="BS643" s="18" t="s">
        <v>3346</v>
      </c>
      <c r="BT643" s="54" t="str">
        <f t="shared" ref="BT643:BT706" si="172">VLOOKUP(BR643,$BP$2:$BQ$601,2,FALSE)</f>
        <v>HR</v>
      </c>
    </row>
    <row r="644" spans="17:72">
      <c r="Q644" s="19">
        <v>8.74</v>
      </c>
      <c r="R644" s="56" t="str">
        <f t="shared" si="171"/>
        <v>Yes</v>
      </c>
      <c r="W644" s="19" t="s">
        <v>1457</v>
      </c>
      <c r="X644" s="54" t="str">
        <f>VLOOKUP(W644,Employees!$A$1:$B$601,2,FALSE)</f>
        <v>Ankita Dhal</v>
      </c>
      <c r="AW644" s="54"/>
      <c r="AX644" s="54"/>
      <c r="BI644" s="48"/>
      <c r="BJ644" s="38"/>
      <c r="BK644" s="38"/>
      <c r="BL644" s="38"/>
      <c r="BM644"/>
      <c r="BN644" s="48"/>
      <c r="BR644" s="19" t="s">
        <v>1457</v>
      </c>
      <c r="BS644" s="19" t="s">
        <v>3347</v>
      </c>
      <c r="BT644" s="54" t="str">
        <f t="shared" si="172"/>
        <v>HR</v>
      </c>
    </row>
    <row r="645" spans="17:72">
      <c r="Q645" s="18">
        <v>8.25</v>
      </c>
      <c r="R645" s="56" t="str">
        <f t="shared" si="171"/>
        <v>Yes</v>
      </c>
      <c r="W645" s="18" t="s">
        <v>1457</v>
      </c>
      <c r="X645" s="54" t="str">
        <f>VLOOKUP(W645,Employees!$A$1:$B$601,2,FALSE)</f>
        <v>Ankita Dhal</v>
      </c>
      <c r="AW645" s="54"/>
      <c r="AX645" s="54"/>
      <c r="BI645" s="48"/>
      <c r="BJ645" s="38"/>
      <c r="BK645" s="38"/>
      <c r="BL645" s="38"/>
      <c r="BM645"/>
      <c r="BN645" s="48"/>
      <c r="BR645" s="18" t="s">
        <v>1457</v>
      </c>
      <c r="BS645" s="18" t="s">
        <v>3348</v>
      </c>
      <c r="BT645" s="54" t="str">
        <f t="shared" si="172"/>
        <v>HR</v>
      </c>
    </row>
    <row r="646" spans="17:72">
      <c r="Q646" s="19">
        <v>6.79</v>
      </c>
      <c r="R646" s="56" t="str">
        <f t="shared" si="171"/>
        <v>Yes</v>
      </c>
      <c r="W646" s="19" t="s">
        <v>1457</v>
      </c>
      <c r="X646" s="54" t="str">
        <f>VLOOKUP(W646,Employees!$A$1:$B$601,2,FALSE)</f>
        <v>Ankita Dhal</v>
      </c>
      <c r="AW646" s="54"/>
      <c r="AX646" s="54"/>
      <c r="BI646" s="48"/>
      <c r="BJ646" s="38"/>
      <c r="BK646" s="38"/>
      <c r="BL646" s="38"/>
      <c r="BM646"/>
      <c r="BN646" s="48"/>
      <c r="BR646" s="19" t="s">
        <v>1457</v>
      </c>
      <c r="BS646" s="19" t="s">
        <v>3349</v>
      </c>
      <c r="BT646" s="54" t="str">
        <f t="shared" si="172"/>
        <v>HR</v>
      </c>
    </row>
    <row r="647" spans="17:72">
      <c r="Q647" s="18">
        <v>8.1300000000000008</v>
      </c>
      <c r="R647" s="56" t="str">
        <f t="shared" si="171"/>
        <v>Yes</v>
      </c>
      <c r="W647" s="18" t="s">
        <v>1438</v>
      </c>
      <c r="X647" s="54" t="str">
        <f>VLOOKUP(W647,Employees!$A$1:$B$601,2,FALSE)</f>
        <v>Ipsita Biswal</v>
      </c>
      <c r="AW647" s="54"/>
      <c r="AX647" s="54"/>
      <c r="BI647" s="48"/>
      <c r="BJ647" s="38"/>
      <c r="BK647" s="38"/>
      <c r="BL647" s="38"/>
      <c r="BM647"/>
      <c r="BN647" s="48"/>
      <c r="BR647" s="18" t="s">
        <v>1438</v>
      </c>
      <c r="BS647" s="18" t="s">
        <v>3350</v>
      </c>
      <c r="BT647" s="54" t="str">
        <f t="shared" si="172"/>
        <v>Design</v>
      </c>
    </row>
    <row r="648" spans="17:72">
      <c r="Q648" s="19">
        <v>8.14</v>
      </c>
      <c r="R648" s="56" t="str">
        <f t="shared" si="171"/>
        <v>Yes</v>
      </c>
      <c r="W648" s="19" t="s">
        <v>1438</v>
      </c>
      <c r="X648" s="54" t="str">
        <f>VLOOKUP(W648,Employees!$A$1:$B$601,2,FALSE)</f>
        <v>Ipsita Biswal</v>
      </c>
      <c r="AW648" s="54"/>
      <c r="AX648" s="54"/>
      <c r="BI648" s="48"/>
      <c r="BJ648" s="38"/>
      <c r="BK648" s="38"/>
      <c r="BL648" s="38"/>
      <c r="BM648"/>
      <c r="BN648" s="48"/>
      <c r="BR648" s="19" t="s">
        <v>1438</v>
      </c>
      <c r="BS648" s="19" t="s">
        <v>3352</v>
      </c>
      <c r="BT648" s="54" t="str">
        <f t="shared" si="172"/>
        <v>Design</v>
      </c>
    </row>
    <row r="649" spans="17:72">
      <c r="Q649" s="18">
        <v>10.51</v>
      </c>
      <c r="R649" s="56" t="str">
        <f t="shared" si="171"/>
        <v>Yes</v>
      </c>
      <c r="W649" s="18" t="s">
        <v>1438</v>
      </c>
      <c r="X649" s="54" t="str">
        <f>VLOOKUP(W649,Employees!$A$1:$B$601,2,FALSE)</f>
        <v>Ipsita Biswal</v>
      </c>
      <c r="AW649" s="54"/>
      <c r="AX649" s="54"/>
      <c r="BI649" s="48"/>
      <c r="BJ649" s="38"/>
      <c r="BK649" s="38"/>
      <c r="BL649" s="38"/>
      <c r="BM649"/>
      <c r="BN649" s="48"/>
      <c r="BR649" s="18" t="s">
        <v>1438</v>
      </c>
      <c r="BS649" s="18" t="s">
        <v>3353</v>
      </c>
      <c r="BT649" s="54" t="str">
        <f t="shared" si="172"/>
        <v>Design</v>
      </c>
    </row>
    <row r="650" spans="17:72">
      <c r="Q650" s="19">
        <v>7.03</v>
      </c>
      <c r="R650" s="56" t="str">
        <f t="shared" si="171"/>
        <v>Yes</v>
      </c>
      <c r="W650" s="19" t="s">
        <v>1438</v>
      </c>
      <c r="X650" s="54" t="str">
        <f>VLOOKUP(W650,Employees!$A$1:$B$601,2,FALSE)</f>
        <v>Ipsita Biswal</v>
      </c>
      <c r="AW650" s="54"/>
      <c r="AX650" s="54"/>
      <c r="BI650" s="48"/>
      <c r="BJ650" s="38"/>
      <c r="BK650" s="38"/>
      <c r="BL650" s="38"/>
      <c r="BM650"/>
      <c r="BN650" s="48"/>
      <c r="BR650" s="19" t="s">
        <v>1438</v>
      </c>
      <c r="BS650" s="19" t="s">
        <v>3354</v>
      </c>
      <c r="BT650" s="54" t="str">
        <f t="shared" si="172"/>
        <v>Design</v>
      </c>
    </row>
    <row r="651" spans="17:72">
      <c r="Q651" s="18">
        <v>10.39</v>
      </c>
      <c r="R651" s="56" t="str">
        <f t="shared" si="171"/>
        <v>Yes</v>
      </c>
      <c r="W651" s="18" t="s">
        <v>1438</v>
      </c>
      <c r="X651" s="54" t="str">
        <f>VLOOKUP(W651,Employees!$A$1:$B$601,2,FALSE)</f>
        <v>Ipsita Biswal</v>
      </c>
      <c r="AW651" s="54"/>
      <c r="AX651" s="54"/>
      <c r="BI651" s="48"/>
      <c r="BJ651" s="38"/>
      <c r="BK651" s="38"/>
      <c r="BL651" s="38"/>
      <c r="BM651"/>
      <c r="BN651" s="48"/>
      <c r="BR651" s="18" t="s">
        <v>1438</v>
      </c>
      <c r="BS651" s="18" t="s">
        <v>3356</v>
      </c>
      <c r="BT651" s="54" t="str">
        <f t="shared" si="172"/>
        <v>Design</v>
      </c>
    </row>
    <row r="652" spans="17:72">
      <c r="Q652" s="19">
        <v>9.51</v>
      </c>
      <c r="R652" s="56" t="str">
        <f t="shared" si="171"/>
        <v>Yes</v>
      </c>
      <c r="W652" s="19" t="s">
        <v>1438</v>
      </c>
      <c r="X652" s="54" t="str">
        <f>VLOOKUP(W652,Employees!$A$1:$B$601,2,FALSE)</f>
        <v>Ipsita Biswal</v>
      </c>
      <c r="AW652" s="54"/>
      <c r="AX652" s="54"/>
      <c r="BI652" s="48"/>
      <c r="BJ652" s="38"/>
      <c r="BK652" s="38"/>
      <c r="BL652" s="38"/>
      <c r="BM652"/>
      <c r="BN652" s="48"/>
      <c r="BR652" s="19" t="s">
        <v>1438</v>
      </c>
      <c r="BS652" s="19" t="s">
        <v>3357</v>
      </c>
      <c r="BT652" s="54" t="str">
        <f t="shared" si="172"/>
        <v>Design</v>
      </c>
    </row>
    <row r="653" spans="17:72">
      <c r="Q653" s="18">
        <v>8.91</v>
      </c>
      <c r="R653" s="56" t="str">
        <f t="shared" si="171"/>
        <v>Yes</v>
      </c>
      <c r="W653" s="18" t="s">
        <v>1438</v>
      </c>
      <c r="X653" s="54" t="str">
        <f>VLOOKUP(W653,Employees!$A$1:$B$601,2,FALSE)</f>
        <v>Ipsita Biswal</v>
      </c>
      <c r="AW653" s="54"/>
      <c r="AX653" s="54"/>
      <c r="BI653" s="48"/>
      <c r="BJ653" s="38"/>
      <c r="BK653" s="38"/>
      <c r="BL653" s="38"/>
      <c r="BM653"/>
      <c r="BN653" s="48"/>
      <c r="BR653" s="18" t="s">
        <v>1438</v>
      </c>
      <c r="BS653" s="18" t="s">
        <v>3358</v>
      </c>
      <c r="BT653" s="54" t="str">
        <f t="shared" si="172"/>
        <v>Design</v>
      </c>
    </row>
    <row r="654" spans="17:72">
      <c r="Q654" s="19">
        <v>7.03</v>
      </c>
      <c r="R654" s="56" t="str">
        <f t="shared" si="171"/>
        <v>Yes</v>
      </c>
      <c r="W654" s="19" t="s">
        <v>1438</v>
      </c>
      <c r="X654" s="54" t="str">
        <f>VLOOKUP(W654,Employees!$A$1:$B$601,2,FALSE)</f>
        <v>Ipsita Biswal</v>
      </c>
      <c r="AW654" s="54"/>
      <c r="AX654" s="54"/>
      <c r="BI654" s="48"/>
      <c r="BJ654" s="38"/>
      <c r="BK654" s="38"/>
      <c r="BL654" s="38"/>
      <c r="BM654"/>
      <c r="BN654" s="48"/>
      <c r="BR654" s="19" t="s">
        <v>1438</v>
      </c>
      <c r="BS654" s="19" t="s">
        <v>3359</v>
      </c>
      <c r="BT654" s="54" t="str">
        <f t="shared" si="172"/>
        <v>Design</v>
      </c>
    </row>
    <row r="655" spans="17:72">
      <c r="Q655" s="18">
        <v>10.46</v>
      </c>
      <c r="R655" s="56" t="str">
        <f t="shared" si="171"/>
        <v>Yes</v>
      </c>
      <c r="W655" s="18" t="s">
        <v>1438</v>
      </c>
      <c r="X655" s="54" t="str">
        <f>VLOOKUP(W655,Employees!$A$1:$B$601,2,FALSE)</f>
        <v>Ipsita Biswal</v>
      </c>
      <c r="AW655" s="54"/>
      <c r="AX655" s="54"/>
      <c r="BI655" s="48"/>
      <c r="BJ655" s="38"/>
      <c r="BK655" s="38"/>
      <c r="BL655" s="38"/>
      <c r="BM655"/>
      <c r="BN655" s="48"/>
      <c r="BR655" s="18" t="s">
        <v>1438</v>
      </c>
      <c r="BS655" s="18" t="s">
        <v>3360</v>
      </c>
      <c r="BT655" s="54" t="str">
        <f t="shared" si="172"/>
        <v>Design</v>
      </c>
    </row>
    <row r="656" spans="17:72">
      <c r="Q656" s="19">
        <v>10.74</v>
      </c>
      <c r="R656" s="56" t="str">
        <f t="shared" si="171"/>
        <v>Yes</v>
      </c>
      <c r="W656" s="19" t="s">
        <v>1438</v>
      </c>
      <c r="X656" s="54" t="str">
        <f>VLOOKUP(W656,Employees!$A$1:$B$601,2,FALSE)</f>
        <v>Ipsita Biswal</v>
      </c>
      <c r="AW656" s="54"/>
      <c r="AX656" s="54"/>
      <c r="BI656" s="48"/>
      <c r="BJ656" s="38"/>
      <c r="BK656" s="38"/>
      <c r="BL656" s="38"/>
      <c r="BM656"/>
      <c r="BN656" s="48"/>
      <c r="BR656" s="19" t="s">
        <v>1438</v>
      </c>
      <c r="BS656" s="19" t="s">
        <v>3361</v>
      </c>
      <c r="BT656" s="54" t="str">
        <f t="shared" si="172"/>
        <v>Design</v>
      </c>
    </row>
    <row r="657" spans="17:72">
      <c r="Q657" s="18">
        <v>6.71</v>
      </c>
      <c r="R657" s="56" t="str">
        <f t="shared" si="171"/>
        <v>Yes</v>
      </c>
      <c r="W657" s="18" t="s">
        <v>1438</v>
      </c>
      <c r="X657" s="54" t="str">
        <f>VLOOKUP(W657,Employees!$A$1:$B$601,2,FALSE)</f>
        <v>Ipsita Biswal</v>
      </c>
      <c r="AW657" s="54"/>
      <c r="AX657" s="54"/>
      <c r="BI657" s="48"/>
      <c r="BJ657" s="38"/>
      <c r="BK657" s="38"/>
      <c r="BL657" s="38"/>
      <c r="BM657"/>
      <c r="BN657" s="48"/>
      <c r="BR657" s="18" t="s">
        <v>1438</v>
      </c>
      <c r="BS657" s="18" t="s">
        <v>3362</v>
      </c>
      <c r="BT657" s="54" t="str">
        <f t="shared" si="172"/>
        <v>Design</v>
      </c>
    </row>
    <row r="658" spans="17:72">
      <c r="Q658" s="19">
        <v>6.83</v>
      </c>
      <c r="R658" s="56" t="str">
        <f t="shared" si="171"/>
        <v>Yes</v>
      </c>
      <c r="W658" s="19" t="s">
        <v>1438</v>
      </c>
      <c r="X658" s="54" t="str">
        <f>VLOOKUP(W658,Employees!$A$1:$B$601,2,FALSE)</f>
        <v>Ipsita Biswal</v>
      </c>
      <c r="AW658" s="54"/>
      <c r="AX658" s="54"/>
      <c r="BI658" s="48"/>
      <c r="BJ658" s="38"/>
      <c r="BK658" s="38"/>
      <c r="BL658" s="38"/>
      <c r="BM658"/>
      <c r="BN658" s="48"/>
      <c r="BR658" s="19" t="s">
        <v>1438</v>
      </c>
      <c r="BS658" s="19" t="s">
        <v>3363</v>
      </c>
      <c r="BT658" s="54" t="str">
        <f t="shared" si="172"/>
        <v>Design</v>
      </c>
    </row>
    <row r="659" spans="17:72">
      <c r="Q659" s="18">
        <v>9.61</v>
      </c>
      <c r="R659" s="56" t="str">
        <f t="shared" si="171"/>
        <v>Yes</v>
      </c>
      <c r="W659" s="18" t="s">
        <v>1438</v>
      </c>
      <c r="X659" s="54" t="str">
        <f>VLOOKUP(W659,Employees!$A$1:$B$601,2,FALSE)</f>
        <v>Ipsita Biswal</v>
      </c>
      <c r="AW659" s="54"/>
      <c r="AX659" s="54"/>
      <c r="BI659" s="48"/>
      <c r="BJ659" s="38"/>
      <c r="BK659" s="38"/>
      <c r="BL659" s="38"/>
      <c r="BM659"/>
      <c r="BN659" s="48"/>
      <c r="BR659" s="18" t="s">
        <v>1438</v>
      </c>
      <c r="BS659" s="18" t="s">
        <v>3365</v>
      </c>
      <c r="BT659" s="54" t="str">
        <f t="shared" si="172"/>
        <v>Design</v>
      </c>
    </row>
    <row r="660" spans="17:72">
      <c r="Q660" s="19">
        <v>7.94</v>
      </c>
      <c r="R660" s="56" t="str">
        <f t="shared" si="171"/>
        <v>Yes</v>
      </c>
      <c r="W660" s="19" t="s">
        <v>1438</v>
      </c>
      <c r="X660" s="54" t="str">
        <f>VLOOKUP(W660,Employees!$A$1:$B$601,2,FALSE)</f>
        <v>Ipsita Biswal</v>
      </c>
      <c r="AW660" s="54"/>
      <c r="AX660" s="54"/>
      <c r="BI660" s="48"/>
      <c r="BJ660" s="38"/>
      <c r="BK660" s="38"/>
      <c r="BL660" s="38"/>
      <c r="BM660"/>
      <c r="BN660" s="48"/>
      <c r="BR660" s="19" t="s">
        <v>1438</v>
      </c>
      <c r="BS660" s="19" t="s">
        <v>3367</v>
      </c>
      <c r="BT660" s="54" t="str">
        <f t="shared" si="172"/>
        <v>Design</v>
      </c>
    </row>
    <row r="661" spans="17:72">
      <c r="Q661" s="18">
        <v>6.57</v>
      </c>
      <c r="R661" s="56" t="str">
        <f t="shared" si="171"/>
        <v>Yes</v>
      </c>
      <c r="W661" s="18" t="s">
        <v>1438</v>
      </c>
      <c r="X661" s="54" t="str">
        <f>VLOOKUP(W661,Employees!$A$1:$B$601,2,FALSE)</f>
        <v>Ipsita Biswal</v>
      </c>
      <c r="AW661" s="54"/>
      <c r="AX661" s="54"/>
      <c r="BI661" s="48"/>
      <c r="BJ661" s="38"/>
      <c r="BK661" s="38"/>
      <c r="BL661" s="38"/>
      <c r="BM661"/>
      <c r="BN661" s="48"/>
      <c r="BR661" s="18" t="s">
        <v>1438</v>
      </c>
      <c r="BS661" s="18" t="s">
        <v>3368</v>
      </c>
      <c r="BT661" s="54" t="str">
        <f t="shared" si="172"/>
        <v>Design</v>
      </c>
    </row>
    <row r="662" spans="17:72">
      <c r="Q662" s="19">
        <v>9.1199999999999992</v>
      </c>
      <c r="R662" s="56" t="str">
        <f t="shared" si="171"/>
        <v>Yes</v>
      </c>
      <c r="W662" s="19" t="s">
        <v>1438</v>
      </c>
      <c r="X662" s="54" t="str">
        <f>VLOOKUP(W662,Employees!$A$1:$B$601,2,FALSE)</f>
        <v>Ipsita Biswal</v>
      </c>
      <c r="AW662" s="54"/>
      <c r="AX662" s="54"/>
      <c r="BI662" s="48"/>
      <c r="BJ662" s="38"/>
      <c r="BK662" s="38"/>
      <c r="BL662" s="38"/>
      <c r="BM662"/>
      <c r="BN662" s="48"/>
      <c r="BR662" s="19" t="s">
        <v>1438</v>
      </c>
      <c r="BS662" s="19" t="s">
        <v>3370</v>
      </c>
      <c r="BT662" s="54" t="str">
        <f t="shared" si="172"/>
        <v>Design</v>
      </c>
    </row>
    <row r="663" spans="17:72">
      <c r="Q663" s="18">
        <v>7.45</v>
      </c>
      <c r="R663" s="56" t="str">
        <f t="shared" si="171"/>
        <v>Yes</v>
      </c>
      <c r="W663" s="18" t="s">
        <v>1438</v>
      </c>
      <c r="X663" s="54" t="str">
        <f>VLOOKUP(W663,Employees!$A$1:$B$601,2,FALSE)</f>
        <v>Ipsita Biswal</v>
      </c>
      <c r="AW663" s="54"/>
      <c r="AX663" s="54"/>
      <c r="BI663" s="48"/>
      <c r="BJ663" s="38"/>
      <c r="BK663" s="38"/>
      <c r="BL663" s="38"/>
      <c r="BM663"/>
      <c r="BN663" s="48"/>
      <c r="BR663" s="18" t="s">
        <v>1438</v>
      </c>
      <c r="BS663" s="18" t="s">
        <v>3371</v>
      </c>
      <c r="BT663" s="54" t="str">
        <f t="shared" si="172"/>
        <v>Design</v>
      </c>
    </row>
    <row r="664" spans="17:72">
      <c r="Q664" s="19"/>
      <c r="R664" s="56" t="str">
        <f t="shared" si="171"/>
        <v>No</v>
      </c>
      <c r="W664" s="19" t="s">
        <v>1438</v>
      </c>
      <c r="X664" s="54" t="str">
        <f>VLOOKUP(W664,Employees!$A$1:$B$601,2,FALSE)</f>
        <v>Ipsita Biswal</v>
      </c>
      <c r="AW664" s="54"/>
      <c r="AX664" s="54"/>
      <c r="BI664" s="48"/>
      <c r="BJ664" s="38"/>
      <c r="BK664" s="38"/>
      <c r="BL664" s="38"/>
      <c r="BM664"/>
      <c r="BN664" s="48"/>
      <c r="BR664" s="19" t="s">
        <v>1438</v>
      </c>
      <c r="BS664" s="19" t="s">
        <v>3373</v>
      </c>
      <c r="BT664" s="54" t="str">
        <f t="shared" si="172"/>
        <v>Design</v>
      </c>
    </row>
    <row r="665" spans="17:72">
      <c r="Q665" s="18">
        <v>6.79</v>
      </c>
      <c r="R665" s="56" t="str">
        <f t="shared" si="171"/>
        <v>Yes</v>
      </c>
      <c r="W665" s="18" t="s">
        <v>1438</v>
      </c>
      <c r="X665" s="54" t="str">
        <f>VLOOKUP(W665,Employees!$A$1:$B$601,2,FALSE)</f>
        <v>Ipsita Biswal</v>
      </c>
      <c r="AW665" s="54"/>
      <c r="AX665" s="54"/>
      <c r="BI665" s="48"/>
      <c r="BJ665" s="38"/>
      <c r="BK665" s="38"/>
      <c r="BL665" s="38"/>
      <c r="BM665"/>
      <c r="BN665" s="48"/>
      <c r="BR665" s="18" t="s">
        <v>1438</v>
      </c>
      <c r="BS665" s="18" t="s">
        <v>3374</v>
      </c>
      <c r="BT665" s="54" t="str">
        <f t="shared" si="172"/>
        <v>Design</v>
      </c>
    </row>
    <row r="666" spans="17:72">
      <c r="Q666" s="19">
        <v>11.36</v>
      </c>
      <c r="R666" s="56" t="str">
        <f t="shared" si="171"/>
        <v>Yes</v>
      </c>
      <c r="W666" s="19" t="s">
        <v>1438</v>
      </c>
      <c r="X666" s="54" t="str">
        <f>VLOOKUP(W666,Employees!$A$1:$B$601,2,FALSE)</f>
        <v>Ipsita Biswal</v>
      </c>
      <c r="AW666" s="54"/>
      <c r="AX666" s="54"/>
      <c r="BI666" s="48"/>
      <c r="BJ666" s="38"/>
      <c r="BK666" s="38"/>
      <c r="BL666" s="38"/>
      <c r="BM666"/>
      <c r="BN666" s="48"/>
      <c r="BR666" s="19" t="s">
        <v>1438</v>
      </c>
      <c r="BS666" s="19" t="s">
        <v>3375</v>
      </c>
      <c r="BT666" s="54" t="str">
        <f t="shared" si="172"/>
        <v>Design</v>
      </c>
    </row>
    <row r="667" spans="17:72">
      <c r="Q667" s="18">
        <v>8.23</v>
      </c>
      <c r="R667" s="56" t="str">
        <f t="shared" si="171"/>
        <v>Yes</v>
      </c>
      <c r="W667" s="18" t="s">
        <v>1438</v>
      </c>
      <c r="X667" s="54" t="str">
        <f>VLOOKUP(W667,Employees!$A$1:$B$601,2,FALSE)</f>
        <v>Ipsita Biswal</v>
      </c>
      <c r="AW667" s="54"/>
      <c r="AX667" s="54"/>
      <c r="BI667" s="48"/>
      <c r="BJ667" s="38"/>
      <c r="BK667" s="38"/>
      <c r="BL667" s="38"/>
      <c r="BM667"/>
      <c r="BN667" s="48"/>
      <c r="BR667" s="18" t="s">
        <v>1438</v>
      </c>
      <c r="BS667" s="18" t="s">
        <v>3376</v>
      </c>
      <c r="BT667" s="54" t="str">
        <f t="shared" si="172"/>
        <v>Design</v>
      </c>
    </row>
    <row r="668" spans="17:72">
      <c r="Q668" s="19"/>
      <c r="R668" s="56" t="str">
        <f t="shared" si="171"/>
        <v>No</v>
      </c>
      <c r="W668" s="19" t="s">
        <v>1438</v>
      </c>
      <c r="X668" s="54" t="str">
        <f>VLOOKUP(W668,Employees!$A$1:$B$601,2,FALSE)</f>
        <v>Ipsita Biswal</v>
      </c>
      <c r="AW668" s="54"/>
      <c r="AX668" s="54"/>
      <c r="BI668" s="48"/>
      <c r="BJ668" s="38"/>
      <c r="BK668" s="38"/>
      <c r="BL668" s="38"/>
      <c r="BM668"/>
      <c r="BN668" s="48"/>
      <c r="BR668" s="19" t="s">
        <v>1438</v>
      </c>
      <c r="BS668" s="19" t="s">
        <v>3377</v>
      </c>
      <c r="BT668" s="54" t="str">
        <f t="shared" si="172"/>
        <v>Design</v>
      </c>
    </row>
    <row r="669" spans="17:72">
      <c r="Q669" s="18">
        <v>10.57</v>
      </c>
      <c r="R669" s="56" t="str">
        <f t="shared" si="171"/>
        <v>Yes</v>
      </c>
      <c r="W669" s="18" t="s">
        <v>1438</v>
      </c>
      <c r="X669" s="54" t="str">
        <f>VLOOKUP(W669,Employees!$A$1:$B$601,2,FALSE)</f>
        <v>Ipsita Biswal</v>
      </c>
      <c r="AW669" s="54"/>
      <c r="AX669" s="54"/>
      <c r="BI669" s="48"/>
      <c r="BJ669" s="38"/>
      <c r="BK669" s="38"/>
      <c r="BL669" s="38"/>
      <c r="BM669"/>
      <c r="BN669" s="48"/>
      <c r="BR669" s="18" t="s">
        <v>1438</v>
      </c>
      <c r="BS669" s="18" t="s">
        <v>3378</v>
      </c>
      <c r="BT669" s="54" t="str">
        <f t="shared" si="172"/>
        <v>Design</v>
      </c>
    </row>
    <row r="670" spans="17:72">
      <c r="Q670" s="19">
        <v>6.78</v>
      </c>
      <c r="R670" s="56" t="str">
        <f t="shared" si="171"/>
        <v>Yes</v>
      </c>
      <c r="W670" s="19" t="s">
        <v>1438</v>
      </c>
      <c r="X670" s="54" t="str">
        <f>VLOOKUP(W670,Employees!$A$1:$B$601,2,FALSE)</f>
        <v>Ipsita Biswal</v>
      </c>
      <c r="AW670" s="54"/>
      <c r="AX670" s="54"/>
      <c r="BI670" s="48"/>
      <c r="BJ670" s="38"/>
      <c r="BK670" s="38"/>
      <c r="BL670" s="38"/>
      <c r="BM670"/>
      <c r="BN670" s="48"/>
      <c r="BR670" s="19" t="s">
        <v>1438</v>
      </c>
      <c r="BS670" s="19" t="s">
        <v>3380</v>
      </c>
      <c r="BT670" s="54" t="str">
        <f t="shared" si="172"/>
        <v>Design</v>
      </c>
    </row>
    <row r="671" spans="17:72">
      <c r="Q671" s="18">
        <v>8.49</v>
      </c>
      <c r="R671" s="56" t="str">
        <f t="shared" si="171"/>
        <v>Yes</v>
      </c>
      <c r="W671" s="18" t="s">
        <v>1438</v>
      </c>
      <c r="X671" s="54" t="str">
        <f>VLOOKUP(W671,Employees!$A$1:$B$601,2,FALSE)</f>
        <v>Ipsita Biswal</v>
      </c>
      <c r="AW671" s="54"/>
      <c r="AX671" s="54"/>
      <c r="BI671" s="48"/>
      <c r="BJ671" s="38"/>
      <c r="BK671" s="38"/>
      <c r="BL671" s="38"/>
      <c r="BM671"/>
      <c r="BN671" s="48"/>
      <c r="BR671" s="18" t="s">
        <v>1438</v>
      </c>
      <c r="BS671" s="18" t="s">
        <v>3382</v>
      </c>
      <c r="BT671" s="54" t="str">
        <f t="shared" si="172"/>
        <v>Design</v>
      </c>
    </row>
    <row r="672" spans="17:72">
      <c r="Q672" s="19"/>
      <c r="R672" s="56" t="str">
        <f t="shared" si="171"/>
        <v>No</v>
      </c>
      <c r="W672" s="19" t="s">
        <v>1438</v>
      </c>
      <c r="X672" s="54" t="str">
        <f>VLOOKUP(W672,Employees!$A$1:$B$601,2,FALSE)</f>
        <v>Ipsita Biswal</v>
      </c>
      <c r="AW672" s="54"/>
      <c r="AX672" s="54"/>
      <c r="BI672" s="48"/>
      <c r="BJ672" s="38"/>
      <c r="BK672" s="38"/>
      <c r="BL672" s="38"/>
      <c r="BM672"/>
      <c r="BN672" s="48"/>
      <c r="BR672" s="19" t="s">
        <v>1438</v>
      </c>
      <c r="BS672" s="19" t="s">
        <v>3383</v>
      </c>
      <c r="BT672" s="54" t="str">
        <f t="shared" si="172"/>
        <v>Design</v>
      </c>
    </row>
    <row r="673" spans="17:72">
      <c r="Q673" s="18">
        <v>10.65</v>
      </c>
      <c r="R673" s="56" t="str">
        <f t="shared" si="171"/>
        <v>Yes</v>
      </c>
      <c r="W673" s="18" t="s">
        <v>1438</v>
      </c>
      <c r="X673" s="54" t="str">
        <f>VLOOKUP(W673,Employees!$A$1:$B$601,2,FALSE)</f>
        <v>Ipsita Biswal</v>
      </c>
      <c r="AW673" s="54"/>
      <c r="AX673" s="54"/>
      <c r="BI673" s="48"/>
      <c r="BJ673" s="38"/>
      <c r="BK673" s="38"/>
      <c r="BL673" s="38"/>
      <c r="BM673"/>
      <c r="BN673" s="48"/>
      <c r="BR673" s="18" t="s">
        <v>1438</v>
      </c>
      <c r="BS673" s="18" t="s">
        <v>3384</v>
      </c>
      <c r="BT673" s="54" t="str">
        <f t="shared" si="172"/>
        <v>Design</v>
      </c>
    </row>
    <row r="674" spans="17:72">
      <c r="Q674" s="19">
        <v>10.119999999999999</v>
      </c>
      <c r="R674" s="56" t="str">
        <f t="shared" si="171"/>
        <v>Yes</v>
      </c>
      <c r="W674" s="19" t="s">
        <v>1438</v>
      </c>
      <c r="X674" s="54" t="str">
        <f>VLOOKUP(W674,Employees!$A$1:$B$601,2,FALSE)</f>
        <v>Ipsita Biswal</v>
      </c>
      <c r="AW674" s="54"/>
      <c r="AX674" s="54"/>
      <c r="BI674" s="48"/>
      <c r="BJ674" s="38"/>
      <c r="BK674" s="38"/>
      <c r="BL674" s="38"/>
      <c r="BM674"/>
      <c r="BN674" s="48"/>
      <c r="BR674" s="19" t="s">
        <v>1438</v>
      </c>
      <c r="BS674" s="19" t="s">
        <v>3386</v>
      </c>
      <c r="BT674" s="54" t="str">
        <f t="shared" si="172"/>
        <v>Design</v>
      </c>
    </row>
    <row r="675" spans="17:72">
      <c r="Q675" s="18">
        <v>11.39</v>
      </c>
      <c r="R675" s="56" t="str">
        <f t="shared" si="171"/>
        <v>Yes</v>
      </c>
      <c r="W675" s="18" t="s">
        <v>1438</v>
      </c>
      <c r="X675" s="54" t="str">
        <f>VLOOKUP(W675,Employees!$A$1:$B$601,2,FALSE)</f>
        <v>Ipsita Biswal</v>
      </c>
      <c r="AW675" s="54"/>
      <c r="AX675" s="54"/>
      <c r="BI675" s="48"/>
      <c r="BJ675" s="38"/>
      <c r="BK675" s="38"/>
      <c r="BL675" s="38"/>
      <c r="BM675"/>
      <c r="BN675" s="48"/>
      <c r="BR675" s="18" t="s">
        <v>1438</v>
      </c>
      <c r="BS675" s="18" t="s">
        <v>3387</v>
      </c>
      <c r="BT675" s="54" t="str">
        <f t="shared" si="172"/>
        <v>Design</v>
      </c>
    </row>
    <row r="676" spans="17:72">
      <c r="Q676" s="19">
        <v>11.33</v>
      </c>
      <c r="R676" s="56" t="str">
        <f t="shared" si="171"/>
        <v>Yes</v>
      </c>
      <c r="W676" s="19" t="s">
        <v>1438</v>
      </c>
      <c r="X676" s="54" t="str">
        <f>VLOOKUP(W676,Employees!$A$1:$B$601,2,FALSE)</f>
        <v>Ipsita Biswal</v>
      </c>
      <c r="AW676" s="54"/>
      <c r="AX676" s="54"/>
      <c r="BI676" s="48"/>
      <c r="BJ676" s="38"/>
      <c r="BK676" s="38"/>
      <c r="BL676" s="38"/>
      <c r="BM676"/>
      <c r="BN676" s="48"/>
      <c r="BR676" s="19" t="s">
        <v>1438</v>
      </c>
      <c r="BS676" s="19" t="s">
        <v>3389</v>
      </c>
      <c r="BT676" s="54" t="str">
        <f t="shared" si="172"/>
        <v>Design</v>
      </c>
    </row>
    <row r="677" spans="17:72">
      <c r="Q677" s="18">
        <v>8.39</v>
      </c>
      <c r="R677" s="56" t="str">
        <f t="shared" si="171"/>
        <v>Yes</v>
      </c>
      <c r="W677" s="18" t="s">
        <v>1438</v>
      </c>
      <c r="X677" s="54" t="str">
        <f>VLOOKUP(W677,Employees!$A$1:$B$601,2,FALSE)</f>
        <v>Ipsita Biswal</v>
      </c>
      <c r="AW677" s="54"/>
      <c r="AX677" s="54"/>
      <c r="BI677" s="48"/>
      <c r="BJ677" s="38"/>
      <c r="BK677" s="38"/>
      <c r="BL677" s="38"/>
      <c r="BM677"/>
      <c r="BN677" s="48"/>
      <c r="BR677" s="18" t="s">
        <v>1438</v>
      </c>
      <c r="BS677" s="18" t="s">
        <v>3390</v>
      </c>
      <c r="BT677" s="54" t="str">
        <f t="shared" si="172"/>
        <v>Design</v>
      </c>
    </row>
    <row r="678" spans="17:72">
      <c r="Q678" s="19">
        <v>10.41</v>
      </c>
      <c r="R678" s="56" t="str">
        <f t="shared" si="171"/>
        <v>Yes</v>
      </c>
      <c r="W678" s="19" t="s">
        <v>1438</v>
      </c>
      <c r="X678" s="54" t="str">
        <f>VLOOKUP(W678,Employees!$A$1:$B$601,2,FALSE)</f>
        <v>Ipsita Biswal</v>
      </c>
      <c r="AW678" s="54"/>
      <c r="AX678" s="54"/>
      <c r="BI678" s="48"/>
      <c r="BJ678" s="38"/>
      <c r="BK678" s="38"/>
      <c r="BL678" s="38"/>
      <c r="BM678"/>
      <c r="BN678" s="48"/>
      <c r="BR678" s="19" t="s">
        <v>1438</v>
      </c>
      <c r="BS678" s="19" t="s">
        <v>3392</v>
      </c>
      <c r="BT678" s="54" t="str">
        <f t="shared" si="172"/>
        <v>Design</v>
      </c>
    </row>
    <row r="679" spans="17:72">
      <c r="Q679" s="18">
        <v>6.82</v>
      </c>
      <c r="R679" s="56" t="str">
        <f t="shared" si="171"/>
        <v>Yes</v>
      </c>
      <c r="W679" s="18" t="s">
        <v>1438</v>
      </c>
      <c r="X679" s="54" t="str">
        <f>VLOOKUP(W679,Employees!$A$1:$B$601,2,FALSE)</f>
        <v>Ipsita Biswal</v>
      </c>
      <c r="AW679" s="54"/>
      <c r="AX679" s="54"/>
      <c r="BI679" s="48"/>
      <c r="BJ679" s="38"/>
      <c r="BK679" s="38"/>
      <c r="BL679" s="38"/>
      <c r="BM679"/>
      <c r="BN679" s="48"/>
      <c r="BR679" s="18" t="s">
        <v>1438</v>
      </c>
      <c r="BS679" s="18" t="s">
        <v>3394</v>
      </c>
      <c r="BT679" s="54" t="str">
        <f t="shared" si="172"/>
        <v>Design</v>
      </c>
    </row>
    <row r="680" spans="17:72">
      <c r="Q680" s="19">
        <v>10.52</v>
      </c>
      <c r="R680" s="56" t="str">
        <f t="shared" si="171"/>
        <v>Yes</v>
      </c>
      <c r="W680" s="19" t="s">
        <v>1438</v>
      </c>
      <c r="X680" s="54" t="str">
        <f>VLOOKUP(W680,Employees!$A$1:$B$601,2,FALSE)</f>
        <v>Ipsita Biswal</v>
      </c>
      <c r="AW680" s="54"/>
      <c r="AX680" s="54"/>
      <c r="BI680" s="48"/>
      <c r="BJ680" s="38"/>
      <c r="BK680" s="38"/>
      <c r="BL680" s="38"/>
      <c r="BM680"/>
      <c r="BN680" s="48"/>
      <c r="BR680" s="19" t="s">
        <v>1438</v>
      </c>
      <c r="BS680" s="19" t="s">
        <v>3395</v>
      </c>
      <c r="BT680" s="54" t="str">
        <f t="shared" si="172"/>
        <v>Design</v>
      </c>
    </row>
    <row r="681" spans="17:72">
      <c r="Q681" s="18">
        <v>7.26</v>
      </c>
      <c r="R681" s="56" t="str">
        <f t="shared" si="171"/>
        <v>Yes</v>
      </c>
      <c r="W681" s="18" t="s">
        <v>1438</v>
      </c>
      <c r="X681" s="54" t="str">
        <f>VLOOKUP(W681,Employees!$A$1:$B$601,2,FALSE)</f>
        <v>Ipsita Biswal</v>
      </c>
      <c r="AW681" s="54"/>
      <c r="AX681" s="54"/>
      <c r="BI681" s="48"/>
      <c r="BJ681" s="38"/>
      <c r="BK681" s="38"/>
      <c r="BL681" s="38"/>
      <c r="BM681"/>
      <c r="BN681" s="48"/>
      <c r="BR681" s="18" t="s">
        <v>1438</v>
      </c>
      <c r="BS681" s="18" t="s">
        <v>3397</v>
      </c>
      <c r="BT681" s="54" t="str">
        <f t="shared" si="172"/>
        <v>Design</v>
      </c>
    </row>
    <row r="682" spans="17:72">
      <c r="Q682" s="19">
        <v>11.35</v>
      </c>
      <c r="R682" s="56" t="str">
        <f t="shared" si="171"/>
        <v>Yes</v>
      </c>
      <c r="W682" s="19" t="s">
        <v>1438</v>
      </c>
      <c r="X682" s="54" t="str">
        <f>VLOOKUP(W682,Employees!$A$1:$B$601,2,FALSE)</f>
        <v>Ipsita Biswal</v>
      </c>
      <c r="AW682" s="54"/>
      <c r="AX682" s="54"/>
      <c r="BI682" s="48"/>
      <c r="BJ682" s="38"/>
      <c r="BK682" s="38"/>
      <c r="BL682" s="38"/>
      <c r="BM682"/>
      <c r="BN682" s="48"/>
      <c r="BR682" s="19" t="s">
        <v>1438</v>
      </c>
      <c r="BS682" s="19" t="s">
        <v>3398</v>
      </c>
      <c r="BT682" s="54" t="str">
        <f t="shared" si="172"/>
        <v>Design</v>
      </c>
    </row>
    <row r="683" spans="17:72">
      <c r="Q683" s="18">
        <v>7.23</v>
      </c>
      <c r="R683" s="56" t="str">
        <f t="shared" si="171"/>
        <v>Yes</v>
      </c>
      <c r="W683" s="18" t="s">
        <v>1438</v>
      </c>
      <c r="X683" s="54" t="str">
        <f>VLOOKUP(W683,Employees!$A$1:$B$601,2,FALSE)</f>
        <v>Ipsita Biswal</v>
      </c>
      <c r="AW683" s="54"/>
      <c r="AX683" s="54"/>
      <c r="BI683" s="48"/>
      <c r="BJ683" s="38"/>
      <c r="BK683" s="38"/>
      <c r="BL683" s="38"/>
      <c r="BM683"/>
      <c r="BN683" s="48"/>
      <c r="BR683" s="18" t="s">
        <v>1438</v>
      </c>
      <c r="BS683" s="18" t="s">
        <v>3399</v>
      </c>
      <c r="BT683" s="54" t="str">
        <f t="shared" si="172"/>
        <v>Design</v>
      </c>
    </row>
    <row r="684" spans="17:72">
      <c r="Q684" s="19">
        <v>7.28</v>
      </c>
      <c r="R684" s="56" t="str">
        <f t="shared" si="171"/>
        <v>Yes</v>
      </c>
      <c r="W684" s="19" t="s">
        <v>1438</v>
      </c>
      <c r="X684" s="54" t="str">
        <f>VLOOKUP(W684,Employees!$A$1:$B$601,2,FALSE)</f>
        <v>Ipsita Biswal</v>
      </c>
      <c r="AW684" s="54"/>
      <c r="AX684" s="54"/>
      <c r="BI684" s="48"/>
      <c r="BJ684" s="38"/>
      <c r="BK684" s="38"/>
      <c r="BL684" s="38"/>
      <c r="BM684"/>
      <c r="BN684" s="48"/>
      <c r="BR684" s="19" t="s">
        <v>1438</v>
      </c>
      <c r="BS684" s="19" t="s">
        <v>3401</v>
      </c>
      <c r="BT684" s="54" t="str">
        <f t="shared" si="172"/>
        <v>Design</v>
      </c>
    </row>
    <row r="685" spans="17:72">
      <c r="Q685" s="18">
        <v>8.4499999999999993</v>
      </c>
      <c r="R685" s="56" t="str">
        <f t="shared" si="171"/>
        <v>Yes</v>
      </c>
      <c r="W685" s="18" t="s">
        <v>1438</v>
      </c>
      <c r="X685" s="54" t="str">
        <f>VLOOKUP(W685,Employees!$A$1:$B$601,2,FALSE)</f>
        <v>Ipsita Biswal</v>
      </c>
      <c r="AW685" s="54"/>
      <c r="AX685" s="54"/>
      <c r="BI685" s="48"/>
      <c r="BJ685" s="38"/>
      <c r="BK685" s="38"/>
      <c r="BL685" s="38"/>
      <c r="BM685"/>
      <c r="BN685" s="48"/>
      <c r="BR685" s="18" t="s">
        <v>1438</v>
      </c>
      <c r="BS685" s="18" t="s">
        <v>3402</v>
      </c>
      <c r="BT685" s="54" t="str">
        <f t="shared" si="172"/>
        <v>Design</v>
      </c>
    </row>
    <row r="686" spans="17:72">
      <c r="Q686" s="19">
        <v>10.19</v>
      </c>
      <c r="R686" s="56" t="str">
        <f t="shared" si="171"/>
        <v>Yes</v>
      </c>
      <c r="W686" s="19" t="s">
        <v>1438</v>
      </c>
      <c r="X686" s="54" t="str">
        <f>VLOOKUP(W686,Employees!$A$1:$B$601,2,FALSE)</f>
        <v>Ipsita Biswal</v>
      </c>
      <c r="AW686" s="54"/>
      <c r="AX686" s="54"/>
      <c r="BI686" s="48"/>
      <c r="BJ686" s="38"/>
      <c r="BK686" s="38"/>
      <c r="BL686" s="38"/>
      <c r="BM686"/>
      <c r="BN686" s="48"/>
      <c r="BR686" s="19" t="s">
        <v>1438</v>
      </c>
      <c r="BS686" s="19" t="s">
        <v>3403</v>
      </c>
      <c r="BT686" s="54" t="str">
        <f t="shared" si="172"/>
        <v>Design</v>
      </c>
    </row>
    <row r="687" spans="17:72">
      <c r="Q687" s="18">
        <v>8.1300000000000008</v>
      </c>
      <c r="R687" s="56" t="str">
        <f t="shared" si="171"/>
        <v>Yes</v>
      </c>
      <c r="W687" s="18" t="s">
        <v>1438</v>
      </c>
      <c r="X687" s="54" t="str">
        <f>VLOOKUP(W687,Employees!$A$1:$B$601,2,FALSE)</f>
        <v>Ipsita Biswal</v>
      </c>
      <c r="AW687" s="54"/>
      <c r="AX687" s="54"/>
      <c r="BI687" s="48"/>
      <c r="BJ687" s="38"/>
      <c r="BK687" s="38"/>
      <c r="BL687" s="38"/>
      <c r="BM687"/>
      <c r="BN687" s="48"/>
      <c r="BR687" s="18" t="s">
        <v>1438</v>
      </c>
      <c r="BS687" s="18" t="s">
        <v>3405</v>
      </c>
      <c r="BT687" s="54" t="str">
        <f t="shared" si="172"/>
        <v>Design</v>
      </c>
    </row>
    <row r="688" spans="17:72">
      <c r="Q688" s="19">
        <v>11.24</v>
      </c>
      <c r="R688" s="56" t="str">
        <f t="shared" si="171"/>
        <v>Yes</v>
      </c>
      <c r="W688" s="19" t="s">
        <v>1438</v>
      </c>
      <c r="X688" s="54" t="str">
        <f>VLOOKUP(W688,Employees!$A$1:$B$601,2,FALSE)</f>
        <v>Ipsita Biswal</v>
      </c>
      <c r="AW688" s="54"/>
      <c r="AX688" s="54"/>
      <c r="BI688" s="48"/>
      <c r="BJ688" s="38"/>
      <c r="BK688" s="38"/>
      <c r="BL688" s="38"/>
      <c r="BM688"/>
      <c r="BN688" s="48"/>
      <c r="BR688" s="19" t="s">
        <v>1438</v>
      </c>
      <c r="BS688" s="19" t="s">
        <v>3406</v>
      </c>
      <c r="BT688" s="54" t="str">
        <f t="shared" si="172"/>
        <v>Design</v>
      </c>
    </row>
    <row r="689" spans="17:72">
      <c r="Q689" s="18">
        <v>7.76</v>
      </c>
      <c r="R689" s="56" t="str">
        <f t="shared" si="171"/>
        <v>Yes</v>
      </c>
      <c r="W689" s="18" t="s">
        <v>1438</v>
      </c>
      <c r="X689" s="54" t="str">
        <f>VLOOKUP(W689,Employees!$A$1:$B$601,2,FALSE)</f>
        <v>Ipsita Biswal</v>
      </c>
      <c r="AW689" s="54"/>
      <c r="AX689" s="54"/>
      <c r="BI689" s="48"/>
      <c r="BJ689" s="38"/>
      <c r="BK689" s="38"/>
      <c r="BL689" s="38"/>
      <c r="BM689"/>
      <c r="BN689" s="48"/>
      <c r="BR689" s="18" t="s">
        <v>1438</v>
      </c>
      <c r="BS689" s="18" t="s">
        <v>3407</v>
      </c>
      <c r="BT689" s="54" t="str">
        <f t="shared" si="172"/>
        <v>Design</v>
      </c>
    </row>
    <row r="690" spans="17:72">
      <c r="Q690" s="19">
        <v>7.08</v>
      </c>
      <c r="R690" s="56" t="str">
        <f t="shared" si="171"/>
        <v>Yes</v>
      </c>
      <c r="W690" s="19" t="s">
        <v>1305</v>
      </c>
      <c r="X690" s="54" t="str">
        <f>VLOOKUP(W690,Employees!$A$1:$B$601,2,FALSE)</f>
        <v>Priyanka Samal</v>
      </c>
      <c r="AW690" s="54"/>
      <c r="AX690" s="54"/>
      <c r="BI690" s="48"/>
      <c r="BJ690" s="38"/>
      <c r="BK690" s="38"/>
      <c r="BL690" s="38"/>
      <c r="BM690"/>
      <c r="BN690" s="48"/>
      <c r="BR690" s="19" t="s">
        <v>1305</v>
      </c>
      <c r="BS690" s="19" t="s">
        <v>3409</v>
      </c>
      <c r="BT690" s="54" t="str">
        <f t="shared" si="172"/>
        <v>Product</v>
      </c>
    </row>
    <row r="691" spans="17:72">
      <c r="Q691" s="18">
        <v>11.22</v>
      </c>
      <c r="R691" s="56" t="str">
        <f t="shared" si="171"/>
        <v>Yes</v>
      </c>
      <c r="W691" s="18" t="s">
        <v>1305</v>
      </c>
      <c r="X691" s="54" t="str">
        <f>VLOOKUP(W691,Employees!$A$1:$B$601,2,FALSE)</f>
        <v>Priyanka Samal</v>
      </c>
      <c r="AW691" s="54"/>
      <c r="AX691" s="54"/>
      <c r="BI691" s="48"/>
      <c r="BJ691" s="38"/>
      <c r="BK691" s="38"/>
      <c r="BL691" s="38"/>
      <c r="BM691"/>
      <c r="BN691" s="48"/>
      <c r="BR691" s="18" t="s">
        <v>1305</v>
      </c>
      <c r="BS691" s="18" t="s">
        <v>3411</v>
      </c>
      <c r="BT691" s="54" t="str">
        <f t="shared" si="172"/>
        <v>Product</v>
      </c>
    </row>
    <row r="692" spans="17:72">
      <c r="Q692" s="19">
        <v>9.9499999999999993</v>
      </c>
      <c r="R692" s="56" t="str">
        <f t="shared" si="171"/>
        <v>Yes</v>
      </c>
      <c r="W692" s="19" t="s">
        <v>1305</v>
      </c>
      <c r="X692" s="54" t="str">
        <f>VLOOKUP(W692,Employees!$A$1:$B$601,2,FALSE)</f>
        <v>Priyanka Samal</v>
      </c>
      <c r="AW692" s="54"/>
      <c r="AX692" s="54"/>
      <c r="BI692" s="48"/>
      <c r="BJ692" s="38"/>
      <c r="BK692" s="38"/>
      <c r="BL692" s="38"/>
      <c r="BM692"/>
      <c r="BN692" s="48"/>
      <c r="BR692" s="19" t="s">
        <v>1305</v>
      </c>
      <c r="BS692" s="19" t="s">
        <v>3413</v>
      </c>
      <c r="BT692" s="54" t="str">
        <f t="shared" si="172"/>
        <v>Product</v>
      </c>
    </row>
    <row r="693" spans="17:72">
      <c r="Q693" s="18">
        <v>8.75</v>
      </c>
      <c r="R693" s="56" t="str">
        <f t="shared" si="171"/>
        <v>Yes</v>
      </c>
      <c r="W693" s="18" t="s">
        <v>1305</v>
      </c>
      <c r="X693" s="54" t="str">
        <f>VLOOKUP(W693,Employees!$A$1:$B$601,2,FALSE)</f>
        <v>Priyanka Samal</v>
      </c>
      <c r="AW693" s="54"/>
      <c r="AX693" s="54"/>
      <c r="BI693" s="48"/>
      <c r="BJ693" s="38"/>
      <c r="BK693" s="38"/>
      <c r="BL693" s="38"/>
      <c r="BM693"/>
      <c r="BN693" s="48"/>
      <c r="BR693" s="18" t="s">
        <v>1305</v>
      </c>
      <c r="BS693" s="18" t="s">
        <v>3415</v>
      </c>
      <c r="BT693" s="54" t="str">
        <f t="shared" si="172"/>
        <v>Product</v>
      </c>
    </row>
    <row r="694" spans="17:72">
      <c r="Q694" s="19">
        <v>9.0500000000000007</v>
      </c>
      <c r="R694" s="56" t="str">
        <f t="shared" si="171"/>
        <v>Yes</v>
      </c>
      <c r="W694" s="19" t="s">
        <v>1305</v>
      </c>
      <c r="X694" s="54" t="str">
        <f>VLOOKUP(W694,Employees!$A$1:$B$601,2,FALSE)</f>
        <v>Priyanka Samal</v>
      </c>
      <c r="AW694" s="54"/>
      <c r="AX694" s="54"/>
      <c r="BI694" s="48"/>
      <c r="BJ694" s="38"/>
      <c r="BK694" s="38"/>
      <c r="BL694" s="38"/>
      <c r="BM694"/>
      <c r="BN694" s="48"/>
      <c r="BR694" s="19" t="s">
        <v>1305</v>
      </c>
      <c r="BS694" s="19" t="s">
        <v>3416</v>
      </c>
      <c r="BT694" s="54" t="str">
        <f t="shared" si="172"/>
        <v>Product</v>
      </c>
    </row>
    <row r="695" spans="17:72">
      <c r="Q695" s="18">
        <v>6.81</v>
      </c>
      <c r="R695" s="56" t="str">
        <f t="shared" si="171"/>
        <v>Yes</v>
      </c>
      <c r="W695" s="18" t="s">
        <v>1305</v>
      </c>
      <c r="X695" s="54" t="str">
        <f>VLOOKUP(W695,Employees!$A$1:$B$601,2,FALSE)</f>
        <v>Priyanka Samal</v>
      </c>
      <c r="AW695" s="54"/>
      <c r="AX695" s="54"/>
      <c r="BI695" s="48"/>
      <c r="BJ695" s="38"/>
      <c r="BK695" s="38"/>
      <c r="BL695" s="38"/>
      <c r="BM695"/>
      <c r="BN695" s="48"/>
      <c r="BR695" s="18" t="s">
        <v>1305</v>
      </c>
      <c r="BS695" s="18" t="s">
        <v>3417</v>
      </c>
      <c r="BT695" s="54" t="str">
        <f t="shared" si="172"/>
        <v>Product</v>
      </c>
    </row>
    <row r="696" spans="17:72">
      <c r="Q696" s="19">
        <v>11.07</v>
      </c>
      <c r="R696" s="56" t="str">
        <f t="shared" si="171"/>
        <v>Yes</v>
      </c>
      <c r="W696" s="19" t="s">
        <v>1305</v>
      </c>
      <c r="X696" s="54" t="str">
        <f>VLOOKUP(W696,Employees!$A$1:$B$601,2,FALSE)</f>
        <v>Priyanka Samal</v>
      </c>
      <c r="AW696" s="54"/>
      <c r="AX696" s="54"/>
      <c r="BI696" s="48"/>
      <c r="BJ696" s="38"/>
      <c r="BK696" s="38"/>
      <c r="BL696" s="38"/>
      <c r="BM696"/>
      <c r="BN696" s="48"/>
      <c r="BR696" s="19" t="s">
        <v>1305</v>
      </c>
      <c r="BS696" s="19" t="s">
        <v>3418</v>
      </c>
      <c r="BT696" s="54" t="str">
        <f t="shared" si="172"/>
        <v>Product</v>
      </c>
    </row>
    <row r="697" spans="17:72">
      <c r="Q697" s="18">
        <v>7.37</v>
      </c>
      <c r="R697" s="56" t="str">
        <f t="shared" si="171"/>
        <v>Yes</v>
      </c>
      <c r="W697" s="18" t="s">
        <v>1305</v>
      </c>
      <c r="X697" s="54" t="str">
        <f>VLOOKUP(W697,Employees!$A$1:$B$601,2,FALSE)</f>
        <v>Priyanka Samal</v>
      </c>
      <c r="AW697" s="54"/>
      <c r="AX697" s="54"/>
      <c r="BI697" s="48"/>
      <c r="BJ697" s="38"/>
      <c r="BK697" s="38"/>
      <c r="BL697" s="38"/>
      <c r="BM697"/>
      <c r="BN697" s="48"/>
      <c r="BR697" s="18" t="s">
        <v>1305</v>
      </c>
      <c r="BS697" s="18" t="s">
        <v>3419</v>
      </c>
      <c r="BT697" s="54" t="str">
        <f t="shared" si="172"/>
        <v>Product</v>
      </c>
    </row>
    <row r="698" spans="17:72">
      <c r="Q698" s="19">
        <v>10.74</v>
      </c>
      <c r="R698" s="56" t="str">
        <f t="shared" si="171"/>
        <v>Yes</v>
      </c>
      <c r="W698" s="19" t="s">
        <v>1305</v>
      </c>
      <c r="X698" s="54" t="str">
        <f>VLOOKUP(W698,Employees!$A$1:$B$601,2,FALSE)</f>
        <v>Priyanka Samal</v>
      </c>
      <c r="AW698" s="54"/>
      <c r="AX698" s="54"/>
      <c r="BI698" s="48"/>
      <c r="BJ698" s="38"/>
      <c r="BK698" s="38"/>
      <c r="BL698" s="38"/>
      <c r="BM698"/>
      <c r="BN698" s="48"/>
      <c r="BR698" s="19" t="s">
        <v>1305</v>
      </c>
      <c r="BS698" s="19" t="s">
        <v>3420</v>
      </c>
      <c r="BT698" s="54" t="str">
        <f t="shared" si="172"/>
        <v>Product</v>
      </c>
    </row>
    <row r="699" spans="17:72">
      <c r="Q699" s="18">
        <v>9.69</v>
      </c>
      <c r="R699" s="56" t="str">
        <f t="shared" si="171"/>
        <v>Yes</v>
      </c>
      <c r="W699" s="18" t="s">
        <v>1305</v>
      </c>
      <c r="X699" s="54" t="str">
        <f>VLOOKUP(W699,Employees!$A$1:$B$601,2,FALSE)</f>
        <v>Priyanka Samal</v>
      </c>
      <c r="AW699" s="54"/>
      <c r="AX699" s="54"/>
      <c r="BI699" s="48"/>
      <c r="BJ699" s="38"/>
      <c r="BK699" s="38"/>
      <c r="BL699" s="38"/>
      <c r="BM699"/>
      <c r="BN699" s="48"/>
      <c r="BR699" s="18" t="s">
        <v>1305</v>
      </c>
      <c r="BS699" s="18" t="s">
        <v>3421</v>
      </c>
      <c r="BT699" s="54" t="str">
        <f t="shared" si="172"/>
        <v>Product</v>
      </c>
    </row>
    <row r="700" spans="17:72">
      <c r="Q700" s="19">
        <v>7.99</v>
      </c>
      <c r="R700" s="56" t="str">
        <f t="shared" si="171"/>
        <v>Yes</v>
      </c>
      <c r="W700" s="19" t="s">
        <v>1305</v>
      </c>
      <c r="X700" s="54" t="str">
        <f>VLOOKUP(W700,Employees!$A$1:$B$601,2,FALSE)</f>
        <v>Priyanka Samal</v>
      </c>
      <c r="AW700" s="54"/>
      <c r="AX700" s="54"/>
      <c r="BI700" s="48"/>
      <c r="BJ700" s="38"/>
      <c r="BK700" s="38"/>
      <c r="BL700" s="38"/>
      <c r="BM700"/>
      <c r="BN700" s="48"/>
      <c r="BR700" s="19" t="s">
        <v>1305</v>
      </c>
      <c r="BS700" s="19" t="s">
        <v>3423</v>
      </c>
      <c r="BT700" s="54" t="str">
        <f t="shared" si="172"/>
        <v>Product</v>
      </c>
    </row>
    <row r="701" spans="17:72">
      <c r="Q701" s="18">
        <v>7.82</v>
      </c>
      <c r="R701" s="56" t="str">
        <f t="shared" si="171"/>
        <v>Yes</v>
      </c>
      <c r="W701" s="18" t="s">
        <v>1305</v>
      </c>
      <c r="X701" s="54" t="str">
        <f>VLOOKUP(W701,Employees!$A$1:$B$601,2,FALSE)</f>
        <v>Priyanka Samal</v>
      </c>
      <c r="AW701" s="54"/>
      <c r="AX701" s="54"/>
      <c r="BI701" s="48"/>
      <c r="BJ701" s="38"/>
      <c r="BK701" s="38"/>
      <c r="BL701" s="38"/>
      <c r="BM701"/>
      <c r="BN701" s="48"/>
      <c r="BR701" s="18" t="s">
        <v>1305</v>
      </c>
      <c r="BS701" s="18" t="s">
        <v>3424</v>
      </c>
      <c r="BT701" s="54" t="str">
        <f t="shared" si="172"/>
        <v>Product</v>
      </c>
    </row>
    <row r="702" spans="17:72">
      <c r="Q702" s="19">
        <v>11.23</v>
      </c>
      <c r="R702" s="56" t="str">
        <f t="shared" si="171"/>
        <v>Yes</v>
      </c>
      <c r="W702" s="19" t="s">
        <v>1305</v>
      </c>
      <c r="X702" s="54" t="str">
        <f>VLOOKUP(W702,Employees!$A$1:$B$601,2,FALSE)</f>
        <v>Priyanka Samal</v>
      </c>
      <c r="AW702" s="54"/>
      <c r="AX702" s="54"/>
      <c r="BI702" s="48"/>
      <c r="BJ702" s="38"/>
      <c r="BK702" s="38"/>
      <c r="BL702" s="38"/>
      <c r="BM702"/>
      <c r="BN702" s="48"/>
      <c r="BR702" s="19" t="s">
        <v>1305</v>
      </c>
      <c r="BS702" s="19" t="s">
        <v>3426</v>
      </c>
      <c r="BT702" s="54" t="str">
        <f t="shared" si="172"/>
        <v>Product</v>
      </c>
    </row>
    <row r="703" spans="17:72">
      <c r="Q703" s="18">
        <v>7.49</v>
      </c>
      <c r="R703" s="56" t="str">
        <f t="shared" si="171"/>
        <v>Yes</v>
      </c>
      <c r="W703" s="18" t="s">
        <v>1305</v>
      </c>
      <c r="X703" s="54" t="str">
        <f>VLOOKUP(W703,Employees!$A$1:$B$601,2,FALSE)</f>
        <v>Priyanka Samal</v>
      </c>
      <c r="AW703" s="54"/>
      <c r="AX703" s="54"/>
      <c r="BI703" s="48"/>
      <c r="BJ703" s="38"/>
      <c r="BK703" s="38"/>
      <c r="BL703" s="38"/>
      <c r="BM703"/>
      <c r="BN703" s="48"/>
      <c r="BR703" s="18" t="s">
        <v>1305</v>
      </c>
      <c r="BS703" s="18" t="s">
        <v>3427</v>
      </c>
      <c r="BT703" s="54" t="str">
        <f t="shared" si="172"/>
        <v>Product</v>
      </c>
    </row>
    <row r="704" spans="17:72">
      <c r="Q704" s="19">
        <v>10.71</v>
      </c>
      <c r="R704" s="56" t="str">
        <f t="shared" si="171"/>
        <v>Yes</v>
      </c>
      <c r="W704" s="19" t="s">
        <v>1305</v>
      </c>
      <c r="X704" s="54" t="str">
        <f>VLOOKUP(W704,Employees!$A$1:$B$601,2,FALSE)</f>
        <v>Priyanka Samal</v>
      </c>
      <c r="AW704" s="54"/>
      <c r="AX704" s="54"/>
      <c r="BI704" s="48"/>
      <c r="BJ704" s="38"/>
      <c r="BK704" s="38"/>
      <c r="BL704" s="38"/>
      <c r="BM704"/>
      <c r="BN704" s="48"/>
      <c r="BR704" s="19" t="s">
        <v>1305</v>
      </c>
      <c r="BS704" s="19" t="s">
        <v>3428</v>
      </c>
      <c r="BT704" s="54" t="str">
        <f t="shared" si="172"/>
        <v>Product</v>
      </c>
    </row>
    <row r="705" spans="17:72">
      <c r="Q705" s="18">
        <v>7.37</v>
      </c>
      <c r="R705" s="56" t="str">
        <f t="shared" si="171"/>
        <v>Yes</v>
      </c>
      <c r="W705" s="18" t="s">
        <v>1305</v>
      </c>
      <c r="X705" s="54" t="str">
        <f>VLOOKUP(W705,Employees!$A$1:$B$601,2,FALSE)</f>
        <v>Priyanka Samal</v>
      </c>
      <c r="AW705" s="54"/>
      <c r="AX705" s="54"/>
      <c r="BI705" s="48"/>
      <c r="BJ705" s="38"/>
      <c r="BK705" s="38"/>
      <c r="BL705" s="38"/>
      <c r="BM705"/>
      <c r="BN705" s="48"/>
      <c r="BR705" s="18" t="s">
        <v>1305</v>
      </c>
      <c r="BS705" s="18" t="s">
        <v>3429</v>
      </c>
      <c r="BT705" s="54" t="str">
        <f t="shared" si="172"/>
        <v>Product</v>
      </c>
    </row>
    <row r="706" spans="17:72">
      <c r="Q706" s="19">
        <v>10.17</v>
      </c>
      <c r="R706" s="56" t="str">
        <f t="shared" si="171"/>
        <v>Yes</v>
      </c>
      <c r="W706" s="19" t="s">
        <v>1305</v>
      </c>
      <c r="X706" s="54" t="str">
        <f>VLOOKUP(W706,Employees!$A$1:$B$601,2,FALSE)</f>
        <v>Priyanka Samal</v>
      </c>
      <c r="AW706" s="54"/>
      <c r="AX706" s="54"/>
      <c r="BI706" s="48"/>
      <c r="BJ706" s="38"/>
      <c r="BK706" s="38"/>
      <c r="BL706" s="38"/>
      <c r="BM706"/>
      <c r="BN706" s="48"/>
      <c r="BR706" s="19" t="s">
        <v>1305</v>
      </c>
      <c r="BS706" s="19" t="s">
        <v>3430</v>
      </c>
      <c r="BT706" s="54" t="str">
        <f t="shared" si="172"/>
        <v>Product</v>
      </c>
    </row>
    <row r="707" spans="17:72">
      <c r="Q707" s="18">
        <v>10.49</v>
      </c>
      <c r="R707" s="56" t="str">
        <f t="shared" ref="R707:R770" si="173">IF(ISBLANK(Q707),"No","Yes")</f>
        <v>Yes</v>
      </c>
      <c r="W707" s="18" t="s">
        <v>1305</v>
      </c>
      <c r="X707" s="54" t="str">
        <f>VLOOKUP(W707,Employees!$A$1:$B$601,2,FALSE)</f>
        <v>Priyanka Samal</v>
      </c>
      <c r="AW707" s="54"/>
      <c r="AX707" s="54"/>
      <c r="BI707" s="48"/>
      <c r="BJ707" s="38"/>
      <c r="BK707" s="38"/>
      <c r="BL707" s="38"/>
      <c r="BM707"/>
      <c r="BN707" s="48"/>
      <c r="BR707" s="18" t="s">
        <v>1305</v>
      </c>
      <c r="BS707" s="18" t="s">
        <v>3431</v>
      </c>
      <c r="BT707" s="54" t="str">
        <f t="shared" ref="BT707:BT770" si="174">VLOOKUP(BR707,$BP$2:$BQ$601,2,FALSE)</f>
        <v>Product</v>
      </c>
    </row>
    <row r="708" spans="17:72">
      <c r="Q708" s="19">
        <v>6.79</v>
      </c>
      <c r="R708" s="56" t="str">
        <f t="shared" si="173"/>
        <v>Yes</v>
      </c>
      <c r="W708" s="19" t="s">
        <v>1305</v>
      </c>
      <c r="X708" s="54" t="str">
        <f>VLOOKUP(W708,Employees!$A$1:$B$601,2,FALSE)</f>
        <v>Priyanka Samal</v>
      </c>
      <c r="AW708" s="54"/>
      <c r="AX708" s="54"/>
      <c r="BI708" s="48"/>
      <c r="BJ708" s="38"/>
      <c r="BK708" s="38"/>
      <c r="BL708" s="38"/>
      <c r="BM708"/>
      <c r="BN708" s="48"/>
      <c r="BR708" s="19" t="s">
        <v>1305</v>
      </c>
      <c r="BS708" s="19" t="s">
        <v>3432</v>
      </c>
      <c r="BT708" s="54" t="str">
        <f t="shared" si="174"/>
        <v>Product</v>
      </c>
    </row>
    <row r="709" spans="17:72">
      <c r="Q709" s="18">
        <v>8</v>
      </c>
      <c r="R709" s="56" t="str">
        <f t="shared" si="173"/>
        <v>Yes</v>
      </c>
      <c r="W709" s="18" t="s">
        <v>1305</v>
      </c>
      <c r="X709" s="54" t="str">
        <f>VLOOKUP(W709,Employees!$A$1:$B$601,2,FALSE)</f>
        <v>Priyanka Samal</v>
      </c>
      <c r="AW709" s="54"/>
      <c r="AX709" s="54"/>
      <c r="BI709" s="48"/>
      <c r="BJ709" s="38"/>
      <c r="BK709" s="38"/>
      <c r="BL709" s="38"/>
      <c r="BM709"/>
      <c r="BN709" s="48"/>
      <c r="BR709" s="18" t="s">
        <v>1305</v>
      </c>
      <c r="BS709" s="18" t="s">
        <v>3433</v>
      </c>
      <c r="BT709" s="54" t="str">
        <f t="shared" si="174"/>
        <v>Product</v>
      </c>
    </row>
    <row r="710" spans="17:72">
      <c r="Q710" s="19">
        <v>11.08</v>
      </c>
      <c r="R710" s="56" t="str">
        <f t="shared" si="173"/>
        <v>Yes</v>
      </c>
      <c r="W710" s="19" t="s">
        <v>1305</v>
      </c>
      <c r="X710" s="54" t="str">
        <f>VLOOKUP(W710,Employees!$A$1:$B$601,2,FALSE)</f>
        <v>Priyanka Samal</v>
      </c>
      <c r="AW710" s="54"/>
      <c r="AX710" s="54"/>
      <c r="BI710" s="48"/>
      <c r="BJ710" s="38"/>
      <c r="BK710" s="38"/>
      <c r="BL710" s="38"/>
      <c r="BM710"/>
      <c r="BN710" s="48"/>
      <c r="BR710" s="19" t="s">
        <v>1305</v>
      </c>
      <c r="BS710" s="19" t="s">
        <v>3434</v>
      </c>
      <c r="BT710" s="54" t="str">
        <f t="shared" si="174"/>
        <v>Product</v>
      </c>
    </row>
    <row r="711" spans="17:72">
      <c r="Q711" s="18">
        <v>8.0299999999999994</v>
      </c>
      <c r="R711" s="56" t="str">
        <f t="shared" si="173"/>
        <v>Yes</v>
      </c>
      <c r="W711" s="18" t="s">
        <v>1305</v>
      </c>
      <c r="X711" s="54" t="str">
        <f>VLOOKUP(W711,Employees!$A$1:$B$601,2,FALSE)</f>
        <v>Priyanka Samal</v>
      </c>
      <c r="AW711" s="54"/>
      <c r="AX711" s="54"/>
      <c r="BI711" s="48"/>
      <c r="BJ711" s="38"/>
      <c r="BK711" s="38"/>
      <c r="BL711" s="38"/>
      <c r="BM711"/>
      <c r="BN711" s="48"/>
      <c r="BR711" s="18" t="s">
        <v>1305</v>
      </c>
      <c r="BS711" s="18" t="s">
        <v>3436</v>
      </c>
      <c r="BT711" s="54" t="str">
        <f t="shared" si="174"/>
        <v>Product</v>
      </c>
    </row>
    <row r="712" spans="17:72">
      <c r="Q712" s="19">
        <v>9.07</v>
      </c>
      <c r="R712" s="56" t="str">
        <f t="shared" si="173"/>
        <v>Yes</v>
      </c>
      <c r="W712" s="19" t="s">
        <v>1305</v>
      </c>
      <c r="X712" s="54" t="str">
        <f>VLOOKUP(W712,Employees!$A$1:$B$601,2,FALSE)</f>
        <v>Priyanka Samal</v>
      </c>
      <c r="AW712" s="54"/>
      <c r="AX712" s="54"/>
      <c r="BI712" s="48"/>
      <c r="BJ712" s="38"/>
      <c r="BK712" s="38"/>
      <c r="BL712" s="38"/>
      <c r="BM712"/>
      <c r="BN712" s="48"/>
      <c r="BR712" s="19" t="s">
        <v>1305</v>
      </c>
      <c r="BS712" s="19" t="s">
        <v>3438</v>
      </c>
      <c r="BT712" s="54" t="str">
        <f t="shared" si="174"/>
        <v>Product</v>
      </c>
    </row>
    <row r="713" spans="17:72">
      <c r="Q713" s="18">
        <v>10.33</v>
      </c>
      <c r="R713" s="56" t="str">
        <f t="shared" si="173"/>
        <v>Yes</v>
      </c>
      <c r="W713" s="18" t="s">
        <v>1305</v>
      </c>
      <c r="X713" s="54" t="str">
        <f>VLOOKUP(W713,Employees!$A$1:$B$601,2,FALSE)</f>
        <v>Priyanka Samal</v>
      </c>
      <c r="AW713" s="54"/>
      <c r="AX713" s="54"/>
      <c r="BI713" s="48"/>
      <c r="BJ713" s="38"/>
      <c r="BK713" s="38"/>
      <c r="BL713" s="38"/>
      <c r="BM713"/>
      <c r="BN713" s="48"/>
      <c r="BR713" s="18" t="s">
        <v>1305</v>
      </c>
      <c r="BS713" s="18" t="s">
        <v>3440</v>
      </c>
      <c r="BT713" s="54" t="str">
        <f t="shared" si="174"/>
        <v>Product</v>
      </c>
    </row>
    <row r="714" spans="17:72">
      <c r="Q714" s="19">
        <v>11.01</v>
      </c>
      <c r="R714" s="56" t="str">
        <f t="shared" si="173"/>
        <v>Yes</v>
      </c>
      <c r="W714" s="19" t="s">
        <v>1305</v>
      </c>
      <c r="X714" s="54" t="str">
        <f>VLOOKUP(W714,Employees!$A$1:$B$601,2,FALSE)</f>
        <v>Priyanka Samal</v>
      </c>
      <c r="AW714" s="54"/>
      <c r="AX714" s="54"/>
      <c r="BI714" s="48"/>
      <c r="BJ714" s="38"/>
      <c r="BK714" s="38"/>
      <c r="BL714" s="38"/>
      <c r="BM714"/>
      <c r="BN714" s="48"/>
      <c r="BR714" s="19" t="s">
        <v>1305</v>
      </c>
      <c r="BS714" s="19" t="s">
        <v>3441</v>
      </c>
      <c r="BT714" s="54" t="str">
        <f t="shared" si="174"/>
        <v>Product</v>
      </c>
    </row>
    <row r="715" spans="17:72">
      <c r="Q715" s="18">
        <v>9.24</v>
      </c>
      <c r="R715" s="56" t="str">
        <f t="shared" si="173"/>
        <v>Yes</v>
      </c>
      <c r="W715" s="18" t="s">
        <v>1305</v>
      </c>
      <c r="X715" s="54" t="str">
        <f>VLOOKUP(W715,Employees!$A$1:$B$601,2,FALSE)</f>
        <v>Priyanka Samal</v>
      </c>
      <c r="AW715" s="54"/>
      <c r="AX715" s="54"/>
      <c r="BI715" s="48"/>
      <c r="BJ715" s="38"/>
      <c r="BK715" s="38"/>
      <c r="BL715" s="38"/>
      <c r="BM715"/>
      <c r="BN715" s="48"/>
      <c r="BR715" s="18" t="s">
        <v>1305</v>
      </c>
      <c r="BS715" s="18" t="s">
        <v>3443</v>
      </c>
      <c r="BT715" s="54" t="str">
        <f t="shared" si="174"/>
        <v>Product</v>
      </c>
    </row>
    <row r="716" spans="17:72">
      <c r="Q716" s="19">
        <v>6.87</v>
      </c>
      <c r="R716" s="56" t="str">
        <f t="shared" si="173"/>
        <v>Yes</v>
      </c>
      <c r="W716" s="19" t="s">
        <v>1305</v>
      </c>
      <c r="X716" s="54" t="str">
        <f>VLOOKUP(W716,Employees!$A$1:$B$601,2,FALSE)</f>
        <v>Priyanka Samal</v>
      </c>
      <c r="AW716" s="54"/>
      <c r="AX716" s="54"/>
      <c r="BI716" s="48"/>
      <c r="BJ716" s="38"/>
      <c r="BK716" s="38"/>
      <c r="BL716" s="38"/>
      <c r="BM716"/>
      <c r="BN716" s="48"/>
      <c r="BR716" s="19" t="s">
        <v>1305</v>
      </c>
      <c r="BS716" s="19" t="s">
        <v>3444</v>
      </c>
      <c r="BT716" s="54" t="str">
        <f t="shared" si="174"/>
        <v>Product</v>
      </c>
    </row>
    <row r="717" spans="17:72">
      <c r="Q717" s="18">
        <v>6.54</v>
      </c>
      <c r="R717" s="56" t="str">
        <f t="shared" si="173"/>
        <v>Yes</v>
      </c>
      <c r="W717" s="18" t="s">
        <v>1305</v>
      </c>
      <c r="X717" s="54" t="str">
        <f>VLOOKUP(W717,Employees!$A$1:$B$601,2,FALSE)</f>
        <v>Priyanka Samal</v>
      </c>
      <c r="AW717" s="54"/>
      <c r="AX717" s="54"/>
      <c r="BI717" s="48"/>
      <c r="BJ717" s="38"/>
      <c r="BK717" s="38"/>
      <c r="BL717" s="38"/>
      <c r="BM717"/>
      <c r="BN717" s="48"/>
      <c r="BR717" s="18" t="s">
        <v>1305</v>
      </c>
      <c r="BS717" s="18" t="s">
        <v>3445</v>
      </c>
      <c r="BT717" s="54" t="str">
        <f t="shared" si="174"/>
        <v>Product</v>
      </c>
    </row>
    <row r="718" spans="17:72">
      <c r="Q718" s="19">
        <v>10.24</v>
      </c>
      <c r="R718" s="56" t="str">
        <f t="shared" si="173"/>
        <v>Yes</v>
      </c>
      <c r="W718" s="19" t="s">
        <v>1305</v>
      </c>
      <c r="X718" s="54" t="str">
        <f>VLOOKUP(W718,Employees!$A$1:$B$601,2,FALSE)</f>
        <v>Priyanka Samal</v>
      </c>
      <c r="AW718" s="54"/>
      <c r="AX718" s="54"/>
      <c r="BI718" s="48"/>
      <c r="BJ718" s="38"/>
      <c r="BK718" s="38"/>
      <c r="BL718" s="38"/>
      <c r="BM718"/>
      <c r="BN718" s="48"/>
      <c r="BR718" s="19" t="s">
        <v>1305</v>
      </c>
      <c r="BS718" s="19" t="s">
        <v>3446</v>
      </c>
      <c r="BT718" s="54" t="str">
        <f t="shared" si="174"/>
        <v>Product</v>
      </c>
    </row>
    <row r="719" spans="17:72">
      <c r="Q719" s="18">
        <v>7.72</v>
      </c>
      <c r="R719" s="56" t="str">
        <f t="shared" si="173"/>
        <v>Yes</v>
      </c>
      <c r="W719" s="18" t="s">
        <v>1305</v>
      </c>
      <c r="X719" s="54" t="str">
        <f>VLOOKUP(W719,Employees!$A$1:$B$601,2,FALSE)</f>
        <v>Priyanka Samal</v>
      </c>
      <c r="AW719" s="54"/>
      <c r="AX719" s="54"/>
      <c r="BI719" s="48"/>
      <c r="BJ719" s="38"/>
      <c r="BK719" s="38"/>
      <c r="BL719" s="38"/>
      <c r="BM719"/>
      <c r="BN719" s="48"/>
      <c r="BR719" s="18" t="s">
        <v>1305</v>
      </c>
      <c r="BS719" s="18" t="s">
        <v>3447</v>
      </c>
      <c r="BT719" s="54" t="str">
        <f t="shared" si="174"/>
        <v>Product</v>
      </c>
    </row>
    <row r="720" spans="17:72">
      <c r="Q720" s="19">
        <v>8.81</v>
      </c>
      <c r="R720" s="56" t="str">
        <f t="shared" si="173"/>
        <v>Yes</v>
      </c>
      <c r="W720" s="19" t="s">
        <v>1305</v>
      </c>
      <c r="X720" s="54" t="str">
        <f>VLOOKUP(W720,Employees!$A$1:$B$601,2,FALSE)</f>
        <v>Priyanka Samal</v>
      </c>
      <c r="AW720" s="54"/>
      <c r="AX720" s="54"/>
      <c r="BI720" s="48"/>
      <c r="BJ720" s="38"/>
      <c r="BK720" s="38"/>
      <c r="BL720" s="38"/>
      <c r="BM720"/>
      <c r="BN720" s="48"/>
      <c r="BR720" s="19" t="s">
        <v>1305</v>
      </c>
      <c r="BS720" s="19" t="s">
        <v>3448</v>
      </c>
      <c r="BT720" s="54" t="str">
        <f t="shared" si="174"/>
        <v>Product</v>
      </c>
    </row>
    <row r="721" spans="17:72">
      <c r="Q721" s="18">
        <v>7.51</v>
      </c>
      <c r="R721" s="56" t="str">
        <f t="shared" si="173"/>
        <v>Yes</v>
      </c>
      <c r="W721" s="18" t="s">
        <v>1305</v>
      </c>
      <c r="X721" s="54" t="str">
        <f>VLOOKUP(W721,Employees!$A$1:$B$601,2,FALSE)</f>
        <v>Priyanka Samal</v>
      </c>
      <c r="AW721" s="54"/>
      <c r="AX721" s="54"/>
      <c r="BI721" s="48"/>
      <c r="BJ721" s="38"/>
      <c r="BK721" s="38"/>
      <c r="BL721" s="38"/>
      <c r="BM721"/>
      <c r="BN721" s="48"/>
      <c r="BR721" s="18" t="s">
        <v>1305</v>
      </c>
      <c r="BS721" s="18" t="s">
        <v>3449</v>
      </c>
      <c r="BT721" s="54" t="str">
        <f t="shared" si="174"/>
        <v>Product</v>
      </c>
    </row>
    <row r="722" spans="17:72">
      <c r="Q722" s="19">
        <v>8.6999999999999993</v>
      </c>
      <c r="R722" s="56" t="str">
        <f t="shared" si="173"/>
        <v>Yes</v>
      </c>
      <c r="W722" s="19" t="s">
        <v>1305</v>
      </c>
      <c r="X722" s="54" t="str">
        <f>VLOOKUP(W722,Employees!$A$1:$B$601,2,FALSE)</f>
        <v>Priyanka Samal</v>
      </c>
      <c r="AW722" s="54"/>
      <c r="AX722" s="54"/>
      <c r="BI722" s="48"/>
      <c r="BJ722" s="38"/>
      <c r="BK722" s="38"/>
      <c r="BL722" s="38"/>
      <c r="BM722"/>
      <c r="BN722" s="48"/>
      <c r="BR722" s="19" t="s">
        <v>1305</v>
      </c>
      <c r="BS722" s="19" t="s">
        <v>3450</v>
      </c>
      <c r="BT722" s="54" t="str">
        <f t="shared" si="174"/>
        <v>Product</v>
      </c>
    </row>
    <row r="723" spans="17:72">
      <c r="Q723" s="18"/>
      <c r="R723" s="56" t="str">
        <f t="shared" si="173"/>
        <v>No</v>
      </c>
      <c r="W723" s="18" t="s">
        <v>1305</v>
      </c>
      <c r="X723" s="54" t="str">
        <f>VLOOKUP(W723,Employees!$A$1:$B$601,2,FALSE)</f>
        <v>Priyanka Samal</v>
      </c>
      <c r="AW723" s="54"/>
      <c r="AX723" s="54"/>
      <c r="BI723" s="48"/>
      <c r="BJ723" s="38"/>
      <c r="BK723" s="38"/>
      <c r="BL723" s="38"/>
      <c r="BM723"/>
      <c r="BN723" s="48"/>
      <c r="BR723" s="18" t="s">
        <v>1305</v>
      </c>
      <c r="BS723" s="18" t="s">
        <v>3451</v>
      </c>
      <c r="BT723" s="54" t="str">
        <f t="shared" si="174"/>
        <v>Product</v>
      </c>
    </row>
    <row r="724" spans="17:72">
      <c r="Q724" s="19">
        <v>7.97</v>
      </c>
      <c r="R724" s="56" t="str">
        <f t="shared" si="173"/>
        <v>Yes</v>
      </c>
      <c r="W724" s="19" t="s">
        <v>1305</v>
      </c>
      <c r="X724" s="54" t="str">
        <f>VLOOKUP(W724,Employees!$A$1:$B$601,2,FALSE)</f>
        <v>Priyanka Samal</v>
      </c>
      <c r="AW724" s="54"/>
      <c r="AX724" s="54"/>
      <c r="BI724" s="48"/>
      <c r="BJ724" s="38"/>
      <c r="BK724" s="38"/>
      <c r="BL724" s="38"/>
      <c r="BM724"/>
      <c r="BN724" s="48"/>
      <c r="BR724" s="19" t="s">
        <v>1305</v>
      </c>
      <c r="BS724" s="19" t="s">
        <v>3452</v>
      </c>
      <c r="BT724" s="54" t="str">
        <f t="shared" si="174"/>
        <v>Product</v>
      </c>
    </row>
    <row r="725" spans="17:72">
      <c r="Q725" s="18">
        <v>10.25</v>
      </c>
      <c r="R725" s="56" t="str">
        <f t="shared" si="173"/>
        <v>Yes</v>
      </c>
      <c r="W725" s="18" t="s">
        <v>1305</v>
      </c>
      <c r="X725" s="54" t="str">
        <f>VLOOKUP(W725,Employees!$A$1:$B$601,2,FALSE)</f>
        <v>Priyanka Samal</v>
      </c>
      <c r="AW725" s="54"/>
      <c r="AX725" s="54"/>
      <c r="BI725" s="48"/>
      <c r="BJ725" s="38"/>
      <c r="BK725" s="38"/>
      <c r="BL725" s="38"/>
      <c r="BM725"/>
      <c r="BN725" s="48"/>
      <c r="BR725" s="18" t="s">
        <v>1305</v>
      </c>
      <c r="BS725" s="18" t="s">
        <v>3453</v>
      </c>
      <c r="BT725" s="54" t="str">
        <f t="shared" si="174"/>
        <v>Product</v>
      </c>
    </row>
    <row r="726" spans="17:72">
      <c r="Q726" s="19">
        <v>9.7200000000000006</v>
      </c>
      <c r="R726" s="56" t="str">
        <f t="shared" si="173"/>
        <v>Yes</v>
      </c>
      <c r="W726" s="19" t="s">
        <v>1305</v>
      </c>
      <c r="X726" s="54" t="str">
        <f>VLOOKUP(W726,Employees!$A$1:$B$601,2,FALSE)</f>
        <v>Priyanka Samal</v>
      </c>
      <c r="AW726" s="54"/>
      <c r="AX726" s="54"/>
      <c r="BI726" s="48"/>
      <c r="BJ726" s="38"/>
      <c r="BK726" s="38"/>
      <c r="BL726" s="38"/>
      <c r="BM726"/>
      <c r="BN726" s="48"/>
      <c r="BR726" s="19" t="s">
        <v>1305</v>
      </c>
      <c r="BS726" s="19" t="s">
        <v>3454</v>
      </c>
      <c r="BT726" s="54" t="str">
        <f t="shared" si="174"/>
        <v>Product</v>
      </c>
    </row>
    <row r="727" spans="17:72">
      <c r="Q727" s="18">
        <v>10.82</v>
      </c>
      <c r="R727" s="56" t="str">
        <f t="shared" si="173"/>
        <v>Yes</v>
      </c>
      <c r="W727" s="18" t="s">
        <v>1305</v>
      </c>
      <c r="X727" s="54" t="str">
        <f>VLOOKUP(W727,Employees!$A$1:$B$601,2,FALSE)</f>
        <v>Priyanka Samal</v>
      </c>
      <c r="AW727" s="54"/>
      <c r="AX727" s="54"/>
      <c r="BI727" s="48"/>
      <c r="BJ727" s="38"/>
      <c r="BK727" s="38"/>
      <c r="BL727" s="38"/>
      <c r="BM727"/>
      <c r="BN727" s="48"/>
      <c r="BR727" s="18" t="s">
        <v>1305</v>
      </c>
      <c r="BS727" s="18" t="s">
        <v>3455</v>
      </c>
      <c r="BT727" s="54" t="str">
        <f t="shared" si="174"/>
        <v>Product</v>
      </c>
    </row>
    <row r="728" spans="17:72">
      <c r="Q728" s="19">
        <v>9.9700000000000006</v>
      </c>
      <c r="R728" s="56" t="str">
        <f t="shared" si="173"/>
        <v>Yes</v>
      </c>
      <c r="W728" s="19" t="s">
        <v>1305</v>
      </c>
      <c r="X728" s="54" t="str">
        <f>VLOOKUP(W728,Employees!$A$1:$B$601,2,FALSE)</f>
        <v>Priyanka Samal</v>
      </c>
      <c r="AW728" s="54"/>
      <c r="AX728" s="54"/>
      <c r="BI728" s="48"/>
      <c r="BJ728" s="38"/>
      <c r="BK728" s="38"/>
      <c r="BL728" s="38"/>
      <c r="BM728"/>
      <c r="BN728" s="48"/>
      <c r="BR728" s="19" t="s">
        <v>1305</v>
      </c>
      <c r="BS728" s="19" t="s">
        <v>3456</v>
      </c>
      <c r="BT728" s="54" t="str">
        <f t="shared" si="174"/>
        <v>Product</v>
      </c>
    </row>
    <row r="729" spans="17:72">
      <c r="Q729" s="18">
        <v>8.7899999999999991</v>
      </c>
      <c r="R729" s="56" t="str">
        <f t="shared" si="173"/>
        <v>Yes</v>
      </c>
      <c r="W729" s="18" t="s">
        <v>1305</v>
      </c>
      <c r="X729" s="54" t="str">
        <f>VLOOKUP(W729,Employees!$A$1:$B$601,2,FALSE)</f>
        <v>Priyanka Samal</v>
      </c>
      <c r="AW729" s="54"/>
      <c r="AX729" s="54"/>
      <c r="BI729" s="48"/>
      <c r="BJ729" s="38"/>
      <c r="BK729" s="38"/>
      <c r="BL729" s="38"/>
      <c r="BM729"/>
      <c r="BN729" s="48"/>
      <c r="BR729" s="18" t="s">
        <v>1305</v>
      </c>
      <c r="BS729" s="18" t="s">
        <v>3458</v>
      </c>
      <c r="BT729" s="54" t="str">
        <f t="shared" si="174"/>
        <v>Product</v>
      </c>
    </row>
    <row r="730" spans="17:72">
      <c r="Q730" s="19">
        <v>10.81</v>
      </c>
      <c r="R730" s="56" t="str">
        <f t="shared" si="173"/>
        <v>Yes</v>
      </c>
      <c r="W730" s="19" t="s">
        <v>1305</v>
      </c>
      <c r="X730" s="54" t="str">
        <f>VLOOKUP(W730,Employees!$A$1:$B$601,2,FALSE)</f>
        <v>Priyanka Samal</v>
      </c>
      <c r="AW730" s="54"/>
      <c r="AX730" s="54"/>
      <c r="BI730" s="48"/>
      <c r="BJ730" s="38"/>
      <c r="BK730" s="38"/>
      <c r="BL730" s="38"/>
      <c r="BM730"/>
      <c r="BN730" s="48"/>
      <c r="BR730" s="19" t="s">
        <v>1305</v>
      </c>
      <c r="BS730" s="19" t="s">
        <v>3459</v>
      </c>
      <c r="BT730" s="54" t="str">
        <f t="shared" si="174"/>
        <v>Product</v>
      </c>
    </row>
    <row r="731" spans="17:72">
      <c r="Q731" s="18">
        <v>7.43</v>
      </c>
      <c r="R731" s="56" t="str">
        <f t="shared" si="173"/>
        <v>Yes</v>
      </c>
      <c r="W731" s="18" t="s">
        <v>1305</v>
      </c>
      <c r="X731" s="54" t="str">
        <f>VLOOKUP(W731,Employees!$A$1:$B$601,2,FALSE)</f>
        <v>Priyanka Samal</v>
      </c>
      <c r="AW731" s="54"/>
      <c r="AX731" s="54"/>
      <c r="BI731" s="48"/>
      <c r="BJ731" s="38"/>
      <c r="BK731" s="38"/>
      <c r="BL731" s="38"/>
      <c r="BM731"/>
      <c r="BN731" s="48"/>
      <c r="BR731" s="18" t="s">
        <v>1305</v>
      </c>
      <c r="BS731" s="18" t="s">
        <v>3460</v>
      </c>
      <c r="BT731" s="54" t="str">
        <f t="shared" si="174"/>
        <v>Product</v>
      </c>
    </row>
    <row r="732" spans="17:72">
      <c r="Q732" s="19">
        <v>9.85</v>
      </c>
      <c r="R732" s="56" t="str">
        <f t="shared" si="173"/>
        <v>Yes</v>
      </c>
      <c r="W732" s="19" t="s">
        <v>1305</v>
      </c>
      <c r="X732" s="54" t="str">
        <f>VLOOKUP(W732,Employees!$A$1:$B$601,2,FALSE)</f>
        <v>Priyanka Samal</v>
      </c>
      <c r="AW732" s="54"/>
      <c r="AX732" s="54"/>
      <c r="BI732" s="48"/>
      <c r="BJ732" s="38"/>
      <c r="BK732" s="38"/>
      <c r="BL732" s="38"/>
      <c r="BM732"/>
      <c r="BN732" s="48"/>
      <c r="BR732" s="19" t="s">
        <v>1305</v>
      </c>
      <c r="BS732" s="19" t="s">
        <v>3461</v>
      </c>
      <c r="BT732" s="54" t="str">
        <f t="shared" si="174"/>
        <v>Product</v>
      </c>
    </row>
    <row r="733" spans="17:72">
      <c r="Q733" s="18">
        <v>9.0299999999999994</v>
      </c>
      <c r="R733" s="56" t="str">
        <f t="shared" si="173"/>
        <v>Yes</v>
      </c>
      <c r="W733" s="18" t="s">
        <v>1513</v>
      </c>
      <c r="X733" s="54" t="str">
        <f>VLOOKUP(W733,Employees!$A$1:$B$601,2,FALSE)</f>
        <v>Sangita Mahapatra</v>
      </c>
      <c r="AW733" s="54"/>
      <c r="AX733" s="54"/>
      <c r="BI733" s="48"/>
      <c r="BJ733" s="38"/>
      <c r="BK733" s="38"/>
      <c r="BL733" s="38"/>
      <c r="BM733"/>
      <c r="BN733" s="48"/>
      <c r="BR733" s="18" t="s">
        <v>1513</v>
      </c>
      <c r="BS733" s="18" t="s">
        <v>3462</v>
      </c>
      <c r="BT733" s="54" t="str">
        <f t="shared" si="174"/>
        <v>Design</v>
      </c>
    </row>
    <row r="734" spans="17:72">
      <c r="Q734" s="19">
        <v>6.82</v>
      </c>
      <c r="R734" s="56" t="str">
        <f t="shared" si="173"/>
        <v>Yes</v>
      </c>
      <c r="W734" s="19" t="s">
        <v>1513</v>
      </c>
      <c r="X734" s="54" t="str">
        <f>VLOOKUP(W734,Employees!$A$1:$B$601,2,FALSE)</f>
        <v>Sangita Mahapatra</v>
      </c>
      <c r="AW734" s="54"/>
      <c r="AX734" s="54"/>
      <c r="BI734" s="48"/>
      <c r="BJ734" s="38"/>
      <c r="BK734" s="38"/>
      <c r="BL734" s="38"/>
      <c r="BM734"/>
      <c r="BN734" s="48"/>
      <c r="BR734" s="19" t="s">
        <v>1513</v>
      </c>
      <c r="BS734" s="19" t="s">
        <v>3464</v>
      </c>
      <c r="BT734" s="54" t="str">
        <f t="shared" si="174"/>
        <v>Design</v>
      </c>
    </row>
    <row r="735" spans="17:72">
      <c r="Q735" s="18">
        <v>10.130000000000001</v>
      </c>
      <c r="R735" s="56" t="str">
        <f t="shared" si="173"/>
        <v>Yes</v>
      </c>
      <c r="W735" s="18" t="s">
        <v>1513</v>
      </c>
      <c r="X735" s="54" t="str">
        <f>VLOOKUP(W735,Employees!$A$1:$B$601,2,FALSE)</f>
        <v>Sangita Mahapatra</v>
      </c>
      <c r="AW735" s="54"/>
      <c r="AX735" s="54"/>
      <c r="BI735" s="48"/>
      <c r="BJ735" s="38"/>
      <c r="BK735" s="38"/>
      <c r="BL735" s="38"/>
      <c r="BM735"/>
      <c r="BN735" s="48"/>
      <c r="BR735" s="18" t="s">
        <v>1513</v>
      </c>
      <c r="BS735" s="18" t="s">
        <v>3465</v>
      </c>
      <c r="BT735" s="54" t="str">
        <f t="shared" si="174"/>
        <v>Design</v>
      </c>
    </row>
    <row r="736" spans="17:72">
      <c r="Q736" s="19">
        <v>9.7799999999999994</v>
      </c>
      <c r="R736" s="56" t="str">
        <f t="shared" si="173"/>
        <v>Yes</v>
      </c>
      <c r="W736" s="19" t="s">
        <v>1513</v>
      </c>
      <c r="X736" s="54" t="str">
        <f>VLOOKUP(W736,Employees!$A$1:$B$601,2,FALSE)</f>
        <v>Sangita Mahapatra</v>
      </c>
      <c r="AW736" s="54"/>
      <c r="AX736" s="54"/>
      <c r="BI736" s="48"/>
      <c r="BJ736" s="38"/>
      <c r="BK736" s="38"/>
      <c r="BL736" s="38"/>
      <c r="BM736"/>
      <c r="BN736" s="48"/>
      <c r="BR736" s="19" t="s">
        <v>1513</v>
      </c>
      <c r="BS736" s="19" t="s">
        <v>3466</v>
      </c>
      <c r="BT736" s="54" t="str">
        <f t="shared" si="174"/>
        <v>Design</v>
      </c>
    </row>
    <row r="737" spans="17:72">
      <c r="Q737" s="18">
        <v>8.18</v>
      </c>
      <c r="R737" s="56" t="str">
        <f t="shared" si="173"/>
        <v>Yes</v>
      </c>
      <c r="W737" s="18" t="s">
        <v>1513</v>
      </c>
      <c r="X737" s="54" t="str">
        <f>VLOOKUP(W737,Employees!$A$1:$B$601,2,FALSE)</f>
        <v>Sangita Mahapatra</v>
      </c>
      <c r="AW737" s="54"/>
      <c r="AX737" s="54"/>
      <c r="BI737" s="48"/>
      <c r="BJ737" s="38"/>
      <c r="BK737" s="38"/>
      <c r="BL737" s="38"/>
      <c r="BM737"/>
      <c r="BN737" s="48"/>
      <c r="BR737" s="18" t="s">
        <v>1513</v>
      </c>
      <c r="BS737" s="18" t="s">
        <v>3467</v>
      </c>
      <c r="BT737" s="54" t="str">
        <f t="shared" si="174"/>
        <v>Design</v>
      </c>
    </row>
    <row r="738" spans="17:72">
      <c r="Q738" s="19">
        <v>10.58</v>
      </c>
      <c r="R738" s="56" t="str">
        <f t="shared" si="173"/>
        <v>Yes</v>
      </c>
      <c r="W738" s="19" t="s">
        <v>1513</v>
      </c>
      <c r="X738" s="54" t="str">
        <f>VLOOKUP(W738,Employees!$A$1:$B$601,2,FALSE)</f>
        <v>Sangita Mahapatra</v>
      </c>
      <c r="AW738" s="54"/>
      <c r="AX738" s="54"/>
      <c r="BI738" s="48"/>
      <c r="BJ738" s="38"/>
      <c r="BK738" s="38"/>
      <c r="BL738" s="38"/>
      <c r="BM738"/>
      <c r="BN738" s="48"/>
      <c r="BR738" s="19" t="s">
        <v>1513</v>
      </c>
      <c r="BS738" s="19" t="s">
        <v>3468</v>
      </c>
      <c r="BT738" s="54" t="str">
        <f t="shared" si="174"/>
        <v>Design</v>
      </c>
    </row>
    <row r="739" spans="17:72">
      <c r="Q739" s="18">
        <v>7.44</v>
      </c>
      <c r="R739" s="56" t="str">
        <f t="shared" si="173"/>
        <v>Yes</v>
      </c>
      <c r="W739" s="18" t="s">
        <v>1513</v>
      </c>
      <c r="X739" s="54" t="str">
        <f>VLOOKUP(W739,Employees!$A$1:$B$601,2,FALSE)</f>
        <v>Sangita Mahapatra</v>
      </c>
      <c r="AW739" s="54"/>
      <c r="AX739" s="54"/>
      <c r="BI739" s="48"/>
      <c r="BJ739" s="38"/>
      <c r="BK739" s="38"/>
      <c r="BL739" s="38"/>
      <c r="BM739"/>
      <c r="BN739" s="48"/>
      <c r="BR739" s="18" t="s">
        <v>1513</v>
      </c>
      <c r="BS739" s="18" t="s">
        <v>3469</v>
      </c>
      <c r="BT739" s="54" t="str">
        <f t="shared" si="174"/>
        <v>Design</v>
      </c>
    </row>
    <row r="740" spans="17:72">
      <c r="Q740" s="19"/>
      <c r="R740" s="56" t="str">
        <f t="shared" si="173"/>
        <v>No</v>
      </c>
      <c r="W740" s="19" t="s">
        <v>1513</v>
      </c>
      <c r="X740" s="54" t="str">
        <f>VLOOKUP(W740,Employees!$A$1:$B$601,2,FALSE)</f>
        <v>Sangita Mahapatra</v>
      </c>
      <c r="AW740" s="54"/>
      <c r="AX740" s="54"/>
      <c r="BI740" s="48"/>
      <c r="BJ740" s="38"/>
      <c r="BK740" s="38"/>
      <c r="BL740" s="38"/>
      <c r="BM740"/>
      <c r="BN740" s="48"/>
      <c r="BR740" s="19" t="s">
        <v>1513</v>
      </c>
      <c r="BS740" s="19" t="s">
        <v>3470</v>
      </c>
      <c r="BT740" s="54" t="str">
        <f t="shared" si="174"/>
        <v>Design</v>
      </c>
    </row>
    <row r="741" spans="17:72">
      <c r="Q741" s="18">
        <v>9.68</v>
      </c>
      <c r="R741" s="56" t="str">
        <f t="shared" si="173"/>
        <v>Yes</v>
      </c>
      <c r="W741" s="18" t="s">
        <v>1513</v>
      </c>
      <c r="X741" s="54" t="str">
        <f>VLOOKUP(W741,Employees!$A$1:$B$601,2,FALSE)</f>
        <v>Sangita Mahapatra</v>
      </c>
      <c r="AW741" s="54"/>
      <c r="AX741" s="54"/>
      <c r="BI741" s="48"/>
      <c r="BJ741" s="38"/>
      <c r="BK741" s="38"/>
      <c r="BL741" s="38"/>
      <c r="BM741"/>
      <c r="BN741" s="48"/>
      <c r="BR741" s="18" t="s">
        <v>1513</v>
      </c>
      <c r="BS741" s="18" t="s">
        <v>3471</v>
      </c>
      <c r="BT741" s="54" t="str">
        <f t="shared" si="174"/>
        <v>Design</v>
      </c>
    </row>
    <row r="742" spans="17:72">
      <c r="Q742" s="19">
        <v>10.5</v>
      </c>
      <c r="R742" s="56" t="str">
        <f t="shared" si="173"/>
        <v>Yes</v>
      </c>
      <c r="W742" s="19" t="s">
        <v>1513</v>
      </c>
      <c r="X742" s="54" t="str">
        <f>VLOOKUP(W742,Employees!$A$1:$B$601,2,FALSE)</f>
        <v>Sangita Mahapatra</v>
      </c>
      <c r="AW742" s="54"/>
      <c r="AX742" s="54"/>
      <c r="BI742" s="48"/>
      <c r="BJ742" s="38"/>
      <c r="BK742" s="38"/>
      <c r="BL742" s="38"/>
      <c r="BM742"/>
      <c r="BN742" s="48"/>
      <c r="BR742" s="19" t="s">
        <v>1513</v>
      </c>
      <c r="BS742" s="19" t="s">
        <v>3472</v>
      </c>
      <c r="BT742" s="54" t="str">
        <f t="shared" si="174"/>
        <v>Design</v>
      </c>
    </row>
    <row r="743" spans="17:72">
      <c r="Q743" s="18">
        <v>10.11</v>
      </c>
      <c r="R743" s="56" t="str">
        <f t="shared" si="173"/>
        <v>Yes</v>
      </c>
      <c r="W743" s="18" t="s">
        <v>1513</v>
      </c>
      <c r="X743" s="54" t="str">
        <f>VLOOKUP(W743,Employees!$A$1:$B$601,2,FALSE)</f>
        <v>Sangita Mahapatra</v>
      </c>
      <c r="AW743" s="54"/>
      <c r="AX743" s="54"/>
      <c r="BI743" s="48"/>
      <c r="BJ743" s="38"/>
      <c r="BK743" s="38"/>
      <c r="BL743" s="38"/>
      <c r="BM743"/>
      <c r="BN743" s="48"/>
      <c r="BR743" s="18" t="s">
        <v>1513</v>
      </c>
      <c r="BS743" s="18" t="s">
        <v>3473</v>
      </c>
      <c r="BT743" s="54" t="str">
        <f t="shared" si="174"/>
        <v>Design</v>
      </c>
    </row>
    <row r="744" spans="17:72">
      <c r="Q744" s="19">
        <v>7.14</v>
      </c>
      <c r="R744" s="56" t="str">
        <f t="shared" si="173"/>
        <v>Yes</v>
      </c>
      <c r="W744" s="19" t="s">
        <v>1513</v>
      </c>
      <c r="X744" s="54" t="str">
        <f>VLOOKUP(W744,Employees!$A$1:$B$601,2,FALSE)</f>
        <v>Sangita Mahapatra</v>
      </c>
      <c r="AW744" s="54"/>
      <c r="AX744" s="54"/>
      <c r="BI744" s="48"/>
      <c r="BJ744" s="38"/>
      <c r="BK744" s="38"/>
      <c r="BL744" s="38"/>
      <c r="BM744"/>
      <c r="BN744" s="48"/>
      <c r="BR744" s="19" t="s">
        <v>1513</v>
      </c>
      <c r="BS744" s="19" t="s">
        <v>3474</v>
      </c>
      <c r="BT744" s="54" t="str">
        <f t="shared" si="174"/>
        <v>Design</v>
      </c>
    </row>
    <row r="745" spans="17:72">
      <c r="Q745" s="18">
        <v>10.51</v>
      </c>
      <c r="R745" s="56" t="str">
        <f t="shared" si="173"/>
        <v>Yes</v>
      </c>
      <c r="W745" s="18" t="s">
        <v>1513</v>
      </c>
      <c r="X745" s="54" t="str">
        <f>VLOOKUP(W745,Employees!$A$1:$B$601,2,FALSE)</f>
        <v>Sangita Mahapatra</v>
      </c>
      <c r="AW745" s="54"/>
      <c r="AX745" s="54"/>
      <c r="BI745" s="48"/>
      <c r="BJ745" s="38"/>
      <c r="BK745" s="38"/>
      <c r="BL745" s="38"/>
      <c r="BM745"/>
      <c r="BN745" s="48"/>
      <c r="BR745" s="18" t="s">
        <v>1513</v>
      </c>
      <c r="BS745" s="18" t="s">
        <v>3475</v>
      </c>
      <c r="BT745" s="54" t="str">
        <f t="shared" si="174"/>
        <v>Design</v>
      </c>
    </row>
    <row r="746" spans="17:72">
      <c r="Q746" s="19">
        <v>9.77</v>
      </c>
      <c r="R746" s="56" t="str">
        <f t="shared" si="173"/>
        <v>Yes</v>
      </c>
      <c r="W746" s="19" t="s">
        <v>1513</v>
      </c>
      <c r="X746" s="54" t="str">
        <f>VLOOKUP(W746,Employees!$A$1:$B$601,2,FALSE)</f>
        <v>Sangita Mahapatra</v>
      </c>
      <c r="AW746" s="54"/>
      <c r="AX746" s="54"/>
      <c r="BI746" s="48"/>
      <c r="BJ746" s="38"/>
      <c r="BK746" s="38"/>
      <c r="BL746" s="38"/>
      <c r="BM746"/>
      <c r="BN746" s="48"/>
      <c r="BR746" s="19" t="s">
        <v>1513</v>
      </c>
      <c r="BS746" s="19" t="s">
        <v>3476</v>
      </c>
      <c r="BT746" s="54" t="str">
        <f t="shared" si="174"/>
        <v>Design</v>
      </c>
    </row>
    <row r="747" spans="17:72">
      <c r="Q747" s="18">
        <v>7.42</v>
      </c>
      <c r="R747" s="56" t="str">
        <f t="shared" si="173"/>
        <v>Yes</v>
      </c>
      <c r="W747" s="18" t="s">
        <v>1513</v>
      </c>
      <c r="X747" s="54" t="str">
        <f>VLOOKUP(W747,Employees!$A$1:$B$601,2,FALSE)</f>
        <v>Sangita Mahapatra</v>
      </c>
      <c r="AW747" s="54"/>
      <c r="AX747" s="54"/>
      <c r="BI747" s="48"/>
      <c r="BJ747" s="38"/>
      <c r="BK747" s="38"/>
      <c r="BL747" s="38"/>
      <c r="BM747"/>
      <c r="BN747" s="48"/>
      <c r="BR747" s="18" t="s">
        <v>1513</v>
      </c>
      <c r="BS747" s="18" t="s">
        <v>3477</v>
      </c>
      <c r="BT747" s="54" t="str">
        <f t="shared" si="174"/>
        <v>Design</v>
      </c>
    </row>
    <row r="748" spans="17:72">
      <c r="Q748" s="19">
        <v>8.94</v>
      </c>
      <c r="R748" s="56" t="str">
        <f t="shared" si="173"/>
        <v>Yes</v>
      </c>
      <c r="W748" s="19" t="s">
        <v>1513</v>
      </c>
      <c r="X748" s="54" t="str">
        <f>VLOOKUP(W748,Employees!$A$1:$B$601,2,FALSE)</f>
        <v>Sangita Mahapatra</v>
      </c>
      <c r="AW748" s="54"/>
      <c r="AX748" s="54"/>
      <c r="BI748" s="48"/>
      <c r="BJ748" s="38"/>
      <c r="BK748" s="38"/>
      <c r="BL748" s="38"/>
      <c r="BM748"/>
      <c r="BN748" s="48"/>
      <c r="BR748" s="19" t="s">
        <v>1513</v>
      </c>
      <c r="BS748" s="19" t="s">
        <v>3478</v>
      </c>
      <c r="BT748" s="54" t="str">
        <f t="shared" si="174"/>
        <v>Design</v>
      </c>
    </row>
    <row r="749" spans="17:72">
      <c r="Q749" s="18">
        <v>9.15</v>
      </c>
      <c r="R749" s="56" t="str">
        <f t="shared" si="173"/>
        <v>Yes</v>
      </c>
      <c r="W749" s="18" t="s">
        <v>1513</v>
      </c>
      <c r="X749" s="54" t="str">
        <f>VLOOKUP(W749,Employees!$A$1:$B$601,2,FALSE)</f>
        <v>Sangita Mahapatra</v>
      </c>
      <c r="AW749" s="54"/>
      <c r="AX749" s="54"/>
      <c r="BI749" s="48"/>
      <c r="BJ749" s="38"/>
      <c r="BK749" s="38"/>
      <c r="BL749" s="38"/>
      <c r="BM749"/>
      <c r="BN749" s="48"/>
      <c r="BR749" s="18" t="s">
        <v>1513</v>
      </c>
      <c r="BS749" s="18" t="s">
        <v>3479</v>
      </c>
      <c r="BT749" s="54" t="str">
        <f t="shared" si="174"/>
        <v>Design</v>
      </c>
    </row>
    <row r="750" spans="17:72">
      <c r="Q750" s="19">
        <v>10.19</v>
      </c>
      <c r="R750" s="56" t="str">
        <f t="shared" si="173"/>
        <v>Yes</v>
      </c>
      <c r="W750" s="19" t="s">
        <v>1513</v>
      </c>
      <c r="X750" s="54" t="str">
        <f>VLOOKUP(W750,Employees!$A$1:$B$601,2,FALSE)</f>
        <v>Sangita Mahapatra</v>
      </c>
      <c r="AW750" s="54"/>
      <c r="AX750" s="54"/>
      <c r="BI750" s="48"/>
      <c r="BJ750" s="38"/>
      <c r="BK750" s="38"/>
      <c r="BL750" s="38"/>
      <c r="BM750"/>
      <c r="BN750" s="48"/>
      <c r="BR750" s="19" t="s">
        <v>1513</v>
      </c>
      <c r="BS750" s="19" t="s">
        <v>3480</v>
      </c>
      <c r="BT750" s="54" t="str">
        <f t="shared" si="174"/>
        <v>Design</v>
      </c>
    </row>
    <row r="751" spans="17:72">
      <c r="Q751" s="18">
        <v>9.84</v>
      </c>
      <c r="R751" s="56" t="str">
        <f t="shared" si="173"/>
        <v>Yes</v>
      </c>
      <c r="W751" s="18" t="s">
        <v>1513</v>
      </c>
      <c r="X751" s="54" t="str">
        <f>VLOOKUP(W751,Employees!$A$1:$B$601,2,FALSE)</f>
        <v>Sangita Mahapatra</v>
      </c>
      <c r="AW751" s="54"/>
      <c r="AX751" s="54"/>
      <c r="BI751" s="48"/>
      <c r="BJ751" s="38"/>
      <c r="BK751" s="38"/>
      <c r="BL751" s="38"/>
      <c r="BM751"/>
      <c r="BN751" s="48"/>
      <c r="BR751" s="18" t="s">
        <v>1513</v>
      </c>
      <c r="BS751" s="18" t="s">
        <v>3481</v>
      </c>
      <c r="BT751" s="54" t="str">
        <f t="shared" si="174"/>
        <v>Design</v>
      </c>
    </row>
    <row r="752" spans="17:72">
      <c r="Q752" s="19">
        <v>10.66</v>
      </c>
      <c r="R752" s="56" t="str">
        <f t="shared" si="173"/>
        <v>Yes</v>
      </c>
      <c r="W752" s="19" t="s">
        <v>1513</v>
      </c>
      <c r="X752" s="54" t="str">
        <f>VLOOKUP(W752,Employees!$A$1:$B$601,2,FALSE)</f>
        <v>Sangita Mahapatra</v>
      </c>
      <c r="AW752" s="54"/>
      <c r="AX752" s="54"/>
      <c r="BI752" s="48"/>
      <c r="BJ752" s="38"/>
      <c r="BK752" s="38"/>
      <c r="BL752" s="38"/>
      <c r="BM752"/>
      <c r="BN752" s="48"/>
      <c r="BR752" s="19" t="s">
        <v>1513</v>
      </c>
      <c r="BS752" s="19" t="s">
        <v>3482</v>
      </c>
      <c r="BT752" s="54" t="str">
        <f t="shared" si="174"/>
        <v>Design</v>
      </c>
    </row>
    <row r="753" spans="17:72">
      <c r="Q753" s="18">
        <v>8.0500000000000007</v>
      </c>
      <c r="R753" s="56" t="str">
        <f t="shared" si="173"/>
        <v>Yes</v>
      </c>
      <c r="W753" s="18" t="s">
        <v>1513</v>
      </c>
      <c r="X753" s="54" t="str">
        <f>VLOOKUP(W753,Employees!$A$1:$B$601,2,FALSE)</f>
        <v>Sangita Mahapatra</v>
      </c>
      <c r="AW753" s="54"/>
      <c r="AX753" s="54"/>
      <c r="BI753" s="48"/>
      <c r="BJ753" s="38"/>
      <c r="BK753" s="38"/>
      <c r="BL753" s="38"/>
      <c r="BM753"/>
      <c r="BN753" s="48"/>
      <c r="BR753" s="18" t="s">
        <v>1513</v>
      </c>
      <c r="BS753" s="18" t="s">
        <v>3483</v>
      </c>
      <c r="BT753" s="54" t="str">
        <f t="shared" si="174"/>
        <v>Design</v>
      </c>
    </row>
    <row r="754" spans="17:72">
      <c r="Q754" s="19">
        <v>11.16</v>
      </c>
      <c r="R754" s="56" t="str">
        <f t="shared" si="173"/>
        <v>Yes</v>
      </c>
      <c r="W754" s="19" t="s">
        <v>1513</v>
      </c>
      <c r="X754" s="54" t="str">
        <f>VLOOKUP(W754,Employees!$A$1:$B$601,2,FALSE)</f>
        <v>Sangita Mahapatra</v>
      </c>
      <c r="AW754" s="54"/>
      <c r="AX754" s="54"/>
      <c r="BI754" s="48"/>
      <c r="BJ754" s="38"/>
      <c r="BK754" s="38"/>
      <c r="BL754" s="38"/>
      <c r="BM754"/>
      <c r="BN754" s="48"/>
      <c r="BR754" s="19" t="s">
        <v>1513</v>
      </c>
      <c r="BS754" s="19" t="s">
        <v>3484</v>
      </c>
      <c r="BT754" s="54" t="str">
        <f t="shared" si="174"/>
        <v>Design</v>
      </c>
    </row>
    <row r="755" spans="17:72">
      <c r="Q755" s="18">
        <v>8.24</v>
      </c>
      <c r="R755" s="56" t="str">
        <f t="shared" si="173"/>
        <v>Yes</v>
      </c>
      <c r="W755" s="18" t="s">
        <v>1513</v>
      </c>
      <c r="X755" s="54" t="str">
        <f>VLOOKUP(W755,Employees!$A$1:$B$601,2,FALSE)</f>
        <v>Sangita Mahapatra</v>
      </c>
      <c r="AW755" s="54"/>
      <c r="AX755" s="54"/>
      <c r="BI755" s="48"/>
      <c r="BJ755" s="38"/>
      <c r="BK755" s="38"/>
      <c r="BL755" s="38"/>
      <c r="BM755"/>
      <c r="BN755" s="48"/>
      <c r="BR755" s="18" t="s">
        <v>1513</v>
      </c>
      <c r="BS755" s="18" t="s">
        <v>3485</v>
      </c>
      <c r="BT755" s="54" t="str">
        <f t="shared" si="174"/>
        <v>Design</v>
      </c>
    </row>
    <row r="756" spans="17:72">
      <c r="Q756" s="19">
        <v>9.19</v>
      </c>
      <c r="R756" s="56" t="str">
        <f t="shared" si="173"/>
        <v>Yes</v>
      </c>
      <c r="W756" s="19" t="s">
        <v>1513</v>
      </c>
      <c r="X756" s="54" t="str">
        <f>VLOOKUP(W756,Employees!$A$1:$B$601,2,FALSE)</f>
        <v>Sangita Mahapatra</v>
      </c>
      <c r="AW756" s="54"/>
      <c r="AX756" s="54"/>
      <c r="BI756" s="48"/>
      <c r="BJ756" s="38"/>
      <c r="BK756" s="38"/>
      <c r="BL756" s="38"/>
      <c r="BM756"/>
      <c r="BN756" s="48"/>
      <c r="BR756" s="19" t="s">
        <v>1513</v>
      </c>
      <c r="BS756" s="19" t="s">
        <v>3486</v>
      </c>
      <c r="BT756" s="54" t="str">
        <f t="shared" si="174"/>
        <v>Design</v>
      </c>
    </row>
    <row r="757" spans="17:72">
      <c r="Q757" s="18">
        <v>7.56</v>
      </c>
      <c r="R757" s="56" t="str">
        <f t="shared" si="173"/>
        <v>Yes</v>
      </c>
      <c r="W757" s="18" t="s">
        <v>1513</v>
      </c>
      <c r="X757" s="54" t="str">
        <f>VLOOKUP(W757,Employees!$A$1:$B$601,2,FALSE)</f>
        <v>Sangita Mahapatra</v>
      </c>
      <c r="AW757" s="54"/>
      <c r="AX757" s="54"/>
      <c r="BI757" s="48"/>
      <c r="BJ757" s="38"/>
      <c r="BK757" s="38"/>
      <c r="BL757" s="38"/>
      <c r="BM757"/>
      <c r="BN757" s="48"/>
      <c r="BR757" s="18" t="s">
        <v>1513</v>
      </c>
      <c r="BS757" s="18" t="s">
        <v>3487</v>
      </c>
      <c r="BT757" s="54" t="str">
        <f t="shared" si="174"/>
        <v>Design</v>
      </c>
    </row>
    <row r="758" spans="17:72">
      <c r="Q758" s="19">
        <v>10.78</v>
      </c>
      <c r="R758" s="56" t="str">
        <f t="shared" si="173"/>
        <v>Yes</v>
      </c>
      <c r="W758" s="19" t="s">
        <v>1513</v>
      </c>
      <c r="X758" s="54" t="str">
        <f>VLOOKUP(W758,Employees!$A$1:$B$601,2,FALSE)</f>
        <v>Sangita Mahapatra</v>
      </c>
      <c r="AW758" s="54"/>
      <c r="AX758" s="54"/>
      <c r="BI758" s="48"/>
      <c r="BJ758" s="38"/>
      <c r="BK758" s="38"/>
      <c r="BL758" s="38"/>
      <c r="BM758"/>
      <c r="BN758" s="48"/>
      <c r="BR758" s="19" t="s">
        <v>1513</v>
      </c>
      <c r="BS758" s="19" t="s">
        <v>3488</v>
      </c>
      <c r="BT758" s="54" t="str">
        <f t="shared" si="174"/>
        <v>Design</v>
      </c>
    </row>
    <row r="759" spans="17:72">
      <c r="Q759" s="18">
        <v>9.58</v>
      </c>
      <c r="R759" s="56" t="str">
        <f t="shared" si="173"/>
        <v>Yes</v>
      </c>
      <c r="W759" s="18" t="s">
        <v>1513</v>
      </c>
      <c r="X759" s="54" t="str">
        <f>VLOOKUP(W759,Employees!$A$1:$B$601,2,FALSE)</f>
        <v>Sangita Mahapatra</v>
      </c>
      <c r="AW759" s="54"/>
      <c r="AX759" s="54"/>
      <c r="BI759" s="48"/>
      <c r="BJ759" s="38"/>
      <c r="BK759" s="38"/>
      <c r="BL759" s="38"/>
      <c r="BM759"/>
      <c r="BN759" s="48"/>
      <c r="BR759" s="18" t="s">
        <v>1513</v>
      </c>
      <c r="BS759" s="18" t="s">
        <v>3489</v>
      </c>
      <c r="BT759" s="54" t="str">
        <f t="shared" si="174"/>
        <v>Design</v>
      </c>
    </row>
    <row r="760" spans="17:72">
      <c r="Q760" s="19">
        <v>9.2899999999999991</v>
      </c>
      <c r="R760" s="56" t="str">
        <f t="shared" si="173"/>
        <v>Yes</v>
      </c>
      <c r="W760" s="19" t="s">
        <v>1513</v>
      </c>
      <c r="X760" s="54" t="str">
        <f>VLOOKUP(W760,Employees!$A$1:$B$601,2,FALSE)</f>
        <v>Sangita Mahapatra</v>
      </c>
      <c r="AW760" s="54"/>
      <c r="AX760" s="54"/>
      <c r="BI760" s="48"/>
      <c r="BJ760" s="38"/>
      <c r="BK760" s="38"/>
      <c r="BL760" s="38"/>
      <c r="BM760"/>
      <c r="BN760" s="48"/>
      <c r="BR760" s="19" t="s">
        <v>1513</v>
      </c>
      <c r="BS760" s="19" t="s">
        <v>3490</v>
      </c>
      <c r="BT760" s="54" t="str">
        <f t="shared" si="174"/>
        <v>Design</v>
      </c>
    </row>
    <row r="761" spans="17:72">
      <c r="Q761" s="18">
        <v>8.07</v>
      </c>
      <c r="R761" s="56" t="str">
        <f t="shared" si="173"/>
        <v>Yes</v>
      </c>
      <c r="W761" s="18" t="s">
        <v>1513</v>
      </c>
      <c r="X761" s="54" t="str">
        <f>VLOOKUP(W761,Employees!$A$1:$B$601,2,FALSE)</f>
        <v>Sangita Mahapatra</v>
      </c>
      <c r="AW761" s="54"/>
      <c r="AX761" s="54"/>
      <c r="BI761" s="48"/>
      <c r="BJ761" s="38"/>
      <c r="BK761" s="38"/>
      <c r="BL761" s="38"/>
      <c r="BM761"/>
      <c r="BN761" s="48"/>
      <c r="BR761" s="18" t="s">
        <v>1513</v>
      </c>
      <c r="BS761" s="18" t="s">
        <v>3491</v>
      </c>
      <c r="BT761" s="54" t="str">
        <f t="shared" si="174"/>
        <v>Design</v>
      </c>
    </row>
    <row r="762" spans="17:72">
      <c r="Q762" s="19">
        <v>8.6999999999999993</v>
      </c>
      <c r="R762" s="56" t="str">
        <f t="shared" si="173"/>
        <v>Yes</v>
      </c>
      <c r="W762" s="19" t="s">
        <v>1513</v>
      </c>
      <c r="X762" s="54" t="str">
        <f>VLOOKUP(W762,Employees!$A$1:$B$601,2,FALSE)</f>
        <v>Sangita Mahapatra</v>
      </c>
      <c r="AW762" s="54"/>
      <c r="AX762" s="54"/>
      <c r="BI762" s="48"/>
      <c r="BJ762" s="38"/>
      <c r="BK762" s="38"/>
      <c r="BL762" s="38"/>
      <c r="BM762"/>
      <c r="BN762" s="48"/>
      <c r="BR762" s="19" t="s">
        <v>1513</v>
      </c>
      <c r="BS762" s="19" t="s">
        <v>3492</v>
      </c>
      <c r="BT762" s="54" t="str">
        <f t="shared" si="174"/>
        <v>Design</v>
      </c>
    </row>
    <row r="763" spans="17:72">
      <c r="Q763" s="18">
        <v>7.02</v>
      </c>
      <c r="R763" s="56" t="str">
        <f t="shared" si="173"/>
        <v>Yes</v>
      </c>
      <c r="W763" s="18" t="s">
        <v>1513</v>
      </c>
      <c r="X763" s="54" t="str">
        <f>VLOOKUP(W763,Employees!$A$1:$B$601,2,FALSE)</f>
        <v>Sangita Mahapatra</v>
      </c>
      <c r="AW763" s="54"/>
      <c r="AX763" s="54"/>
      <c r="BI763" s="48"/>
      <c r="BJ763" s="38"/>
      <c r="BK763" s="38"/>
      <c r="BL763" s="38"/>
      <c r="BM763"/>
      <c r="BN763" s="48"/>
      <c r="BR763" s="18" t="s">
        <v>1513</v>
      </c>
      <c r="BS763" s="18" t="s">
        <v>3493</v>
      </c>
      <c r="BT763" s="54" t="str">
        <f t="shared" si="174"/>
        <v>Design</v>
      </c>
    </row>
    <row r="764" spans="17:72">
      <c r="Q764" s="19">
        <v>10.19</v>
      </c>
      <c r="R764" s="56" t="str">
        <f t="shared" si="173"/>
        <v>Yes</v>
      </c>
      <c r="W764" s="19" t="s">
        <v>1513</v>
      </c>
      <c r="X764" s="54" t="str">
        <f>VLOOKUP(W764,Employees!$A$1:$B$601,2,FALSE)</f>
        <v>Sangita Mahapatra</v>
      </c>
      <c r="AW764" s="54"/>
      <c r="AX764" s="54"/>
      <c r="BI764" s="48"/>
      <c r="BJ764" s="38"/>
      <c r="BK764" s="38"/>
      <c r="BL764" s="38"/>
      <c r="BM764"/>
      <c r="BN764" s="48"/>
      <c r="BR764" s="19" t="s">
        <v>1513</v>
      </c>
      <c r="BS764" s="19" t="s">
        <v>3494</v>
      </c>
      <c r="BT764" s="54" t="str">
        <f t="shared" si="174"/>
        <v>Design</v>
      </c>
    </row>
    <row r="765" spans="17:72">
      <c r="Q765" s="18">
        <v>7.93</v>
      </c>
      <c r="R765" s="56" t="str">
        <f t="shared" si="173"/>
        <v>Yes</v>
      </c>
      <c r="W765" s="18" t="s">
        <v>1513</v>
      </c>
      <c r="X765" s="54" t="str">
        <f>VLOOKUP(W765,Employees!$A$1:$B$601,2,FALSE)</f>
        <v>Sangita Mahapatra</v>
      </c>
      <c r="AW765" s="54"/>
      <c r="AX765" s="54"/>
      <c r="BI765" s="48"/>
      <c r="BJ765" s="38"/>
      <c r="BK765" s="38"/>
      <c r="BL765" s="38"/>
      <c r="BM765"/>
      <c r="BN765" s="48"/>
      <c r="BR765" s="18" t="s">
        <v>1513</v>
      </c>
      <c r="BS765" s="18" t="s">
        <v>3495</v>
      </c>
      <c r="BT765" s="54" t="str">
        <f t="shared" si="174"/>
        <v>Design</v>
      </c>
    </row>
    <row r="766" spans="17:72">
      <c r="Q766" s="19">
        <v>10.28</v>
      </c>
      <c r="R766" s="56" t="str">
        <f t="shared" si="173"/>
        <v>Yes</v>
      </c>
      <c r="W766" s="19" t="s">
        <v>1513</v>
      </c>
      <c r="X766" s="54" t="str">
        <f>VLOOKUP(W766,Employees!$A$1:$B$601,2,FALSE)</f>
        <v>Sangita Mahapatra</v>
      </c>
      <c r="AW766" s="54"/>
      <c r="AX766" s="54"/>
      <c r="BI766" s="48"/>
      <c r="BJ766" s="38"/>
      <c r="BK766" s="38"/>
      <c r="BL766" s="38"/>
      <c r="BM766"/>
      <c r="BN766" s="48"/>
      <c r="BR766" s="19" t="s">
        <v>1513</v>
      </c>
      <c r="BS766" s="19" t="s">
        <v>3498</v>
      </c>
      <c r="BT766" s="54" t="str">
        <f t="shared" si="174"/>
        <v>Design</v>
      </c>
    </row>
    <row r="767" spans="17:72">
      <c r="Q767" s="18">
        <v>10.72</v>
      </c>
      <c r="R767" s="56" t="str">
        <f t="shared" si="173"/>
        <v>Yes</v>
      </c>
      <c r="W767" s="18" t="s">
        <v>1513</v>
      </c>
      <c r="X767" s="54" t="str">
        <f>VLOOKUP(W767,Employees!$A$1:$B$601,2,FALSE)</f>
        <v>Sangita Mahapatra</v>
      </c>
      <c r="AW767" s="54"/>
      <c r="AX767" s="54"/>
      <c r="BI767" s="48"/>
      <c r="BJ767" s="38"/>
      <c r="BK767" s="38"/>
      <c r="BL767" s="38"/>
      <c r="BM767"/>
      <c r="BN767" s="48"/>
      <c r="BR767" s="18" t="s">
        <v>1513</v>
      </c>
      <c r="BS767" s="18" t="s">
        <v>3499</v>
      </c>
      <c r="BT767" s="54" t="str">
        <f t="shared" si="174"/>
        <v>Design</v>
      </c>
    </row>
    <row r="768" spans="17:72">
      <c r="Q768" s="19">
        <v>10.42</v>
      </c>
      <c r="R768" s="56" t="str">
        <f t="shared" si="173"/>
        <v>Yes</v>
      </c>
      <c r="W768" s="19" t="s">
        <v>1513</v>
      </c>
      <c r="X768" s="54" t="str">
        <f>VLOOKUP(W768,Employees!$A$1:$B$601,2,FALSE)</f>
        <v>Sangita Mahapatra</v>
      </c>
      <c r="AW768" s="54"/>
      <c r="AX768" s="54"/>
      <c r="BI768" s="48"/>
      <c r="BJ768" s="38"/>
      <c r="BK768" s="38"/>
      <c r="BL768" s="38"/>
      <c r="BM768"/>
      <c r="BN768" s="48"/>
      <c r="BR768" s="19" t="s">
        <v>1513</v>
      </c>
      <c r="BS768" s="19" t="s">
        <v>3500</v>
      </c>
      <c r="BT768" s="54" t="str">
        <f t="shared" si="174"/>
        <v>Design</v>
      </c>
    </row>
    <row r="769" spans="17:72">
      <c r="Q769" s="18">
        <v>9.92</v>
      </c>
      <c r="R769" s="56" t="str">
        <f t="shared" si="173"/>
        <v>Yes</v>
      </c>
      <c r="W769" s="18" t="s">
        <v>1513</v>
      </c>
      <c r="X769" s="54" t="str">
        <f>VLOOKUP(W769,Employees!$A$1:$B$601,2,FALSE)</f>
        <v>Sangita Mahapatra</v>
      </c>
      <c r="AW769" s="54"/>
      <c r="AX769" s="54"/>
      <c r="BI769" s="48"/>
      <c r="BJ769" s="38"/>
      <c r="BK769" s="38"/>
      <c r="BL769" s="38"/>
      <c r="BM769"/>
      <c r="BN769" s="48"/>
      <c r="BR769" s="18" t="s">
        <v>1513</v>
      </c>
      <c r="BS769" s="18" t="s">
        <v>3501</v>
      </c>
      <c r="BT769" s="54" t="str">
        <f t="shared" si="174"/>
        <v>Design</v>
      </c>
    </row>
    <row r="770" spans="17:72">
      <c r="Q770" s="19">
        <v>6.94</v>
      </c>
      <c r="R770" s="56" t="str">
        <f t="shared" si="173"/>
        <v>Yes</v>
      </c>
      <c r="W770" s="19" t="s">
        <v>1513</v>
      </c>
      <c r="X770" s="54" t="str">
        <f>VLOOKUP(W770,Employees!$A$1:$B$601,2,FALSE)</f>
        <v>Sangita Mahapatra</v>
      </c>
      <c r="AW770" s="54"/>
      <c r="AX770" s="54"/>
      <c r="BI770" s="48"/>
      <c r="BJ770" s="38"/>
      <c r="BK770" s="38"/>
      <c r="BL770" s="38"/>
      <c r="BM770"/>
      <c r="BN770" s="48"/>
      <c r="BR770" s="19" t="s">
        <v>1513</v>
      </c>
      <c r="BS770" s="19" t="s">
        <v>3502</v>
      </c>
      <c r="BT770" s="54" t="str">
        <f t="shared" si="174"/>
        <v>Design</v>
      </c>
    </row>
    <row r="771" spans="17:72">
      <c r="Q771" s="18">
        <v>10.68</v>
      </c>
      <c r="R771" s="56" t="str">
        <f t="shared" ref="R771:R834" si="175">IF(ISBLANK(Q771),"No","Yes")</f>
        <v>Yes</v>
      </c>
      <c r="W771" s="18" t="s">
        <v>1513</v>
      </c>
      <c r="X771" s="54" t="str">
        <f>VLOOKUP(W771,Employees!$A$1:$B$601,2,FALSE)</f>
        <v>Sangita Mahapatra</v>
      </c>
      <c r="AW771" s="54"/>
      <c r="AX771" s="54"/>
      <c r="BI771" s="48"/>
      <c r="BJ771" s="38"/>
      <c r="BK771" s="38"/>
      <c r="BL771" s="38"/>
      <c r="BM771"/>
      <c r="BN771" s="48"/>
      <c r="BR771" s="18" t="s">
        <v>1513</v>
      </c>
      <c r="BS771" s="18" t="s">
        <v>3504</v>
      </c>
      <c r="BT771" s="54" t="str">
        <f t="shared" ref="BT771:BT834" si="176">VLOOKUP(BR771,$BP$2:$BQ$601,2,FALSE)</f>
        <v>Design</v>
      </c>
    </row>
    <row r="772" spans="17:72">
      <c r="Q772" s="19">
        <v>9.85</v>
      </c>
      <c r="R772" s="56" t="str">
        <f t="shared" si="175"/>
        <v>Yes</v>
      </c>
      <c r="W772" s="19" t="s">
        <v>1513</v>
      </c>
      <c r="X772" s="54" t="str">
        <f>VLOOKUP(W772,Employees!$A$1:$B$601,2,FALSE)</f>
        <v>Sangita Mahapatra</v>
      </c>
      <c r="AW772" s="54"/>
      <c r="AX772" s="54"/>
      <c r="BI772" s="48"/>
      <c r="BJ772" s="38"/>
      <c r="BK772" s="38"/>
      <c r="BL772" s="38"/>
      <c r="BM772"/>
      <c r="BN772" s="48"/>
      <c r="BR772" s="19" t="s">
        <v>1513</v>
      </c>
      <c r="BS772" s="19" t="s">
        <v>3505</v>
      </c>
      <c r="BT772" s="54" t="str">
        <f t="shared" si="176"/>
        <v>Design</v>
      </c>
    </row>
    <row r="773" spans="17:72">
      <c r="Q773" s="18">
        <v>7.49</v>
      </c>
      <c r="R773" s="56" t="str">
        <f t="shared" si="175"/>
        <v>Yes</v>
      </c>
      <c r="W773" s="18" t="s">
        <v>1513</v>
      </c>
      <c r="X773" s="54" t="str">
        <f>VLOOKUP(W773,Employees!$A$1:$B$601,2,FALSE)</f>
        <v>Sangita Mahapatra</v>
      </c>
      <c r="AW773" s="54"/>
      <c r="AX773" s="54"/>
      <c r="BI773" s="48"/>
      <c r="BJ773" s="38"/>
      <c r="BK773" s="38"/>
      <c r="BL773" s="38"/>
      <c r="BM773"/>
      <c r="BN773" s="48"/>
      <c r="BR773" s="18" t="s">
        <v>1513</v>
      </c>
      <c r="BS773" s="18" t="s">
        <v>3506</v>
      </c>
      <c r="BT773" s="54" t="str">
        <f t="shared" si="176"/>
        <v>Design</v>
      </c>
    </row>
    <row r="774" spans="17:72">
      <c r="Q774" s="19">
        <v>9.8800000000000008</v>
      </c>
      <c r="R774" s="56" t="str">
        <f t="shared" si="175"/>
        <v>Yes</v>
      </c>
      <c r="W774" s="19" t="s">
        <v>1513</v>
      </c>
      <c r="X774" s="54" t="str">
        <f>VLOOKUP(W774,Employees!$A$1:$B$601,2,FALSE)</f>
        <v>Sangita Mahapatra</v>
      </c>
      <c r="AW774" s="54"/>
      <c r="AX774" s="54"/>
      <c r="BI774" s="48"/>
      <c r="BJ774" s="38"/>
      <c r="BK774" s="38"/>
      <c r="BL774" s="38"/>
      <c r="BM774"/>
      <c r="BN774" s="48"/>
      <c r="BR774" s="19" t="s">
        <v>1513</v>
      </c>
      <c r="BS774" s="19" t="s">
        <v>3507</v>
      </c>
      <c r="BT774" s="54" t="str">
        <f t="shared" si="176"/>
        <v>Design</v>
      </c>
    </row>
    <row r="775" spans="17:72">
      <c r="Q775" s="18">
        <v>9.74</v>
      </c>
      <c r="R775" s="56" t="str">
        <f t="shared" si="175"/>
        <v>Yes</v>
      </c>
      <c r="W775" s="18" t="s">
        <v>1513</v>
      </c>
      <c r="X775" s="54" t="str">
        <f>VLOOKUP(W775,Employees!$A$1:$B$601,2,FALSE)</f>
        <v>Sangita Mahapatra</v>
      </c>
      <c r="AW775" s="54"/>
      <c r="AX775" s="54"/>
      <c r="BI775" s="48"/>
      <c r="BJ775" s="38"/>
      <c r="BK775" s="38"/>
      <c r="BL775" s="38"/>
      <c r="BM775"/>
      <c r="BN775" s="48"/>
      <c r="BR775" s="18" t="s">
        <v>1513</v>
      </c>
      <c r="BS775" s="18" t="s">
        <v>3508</v>
      </c>
      <c r="BT775" s="54" t="str">
        <f t="shared" si="176"/>
        <v>Design</v>
      </c>
    </row>
    <row r="776" spans="17:72">
      <c r="Q776" s="19">
        <v>10.84</v>
      </c>
      <c r="R776" s="56" t="str">
        <f t="shared" si="175"/>
        <v>Yes</v>
      </c>
      <c r="W776" s="19" t="s">
        <v>969</v>
      </c>
      <c r="X776" s="54" t="str">
        <f>VLOOKUP(W776,Employees!$A$1:$B$601,2,FALSE)</f>
        <v>Alka Mishra</v>
      </c>
      <c r="AW776" s="54"/>
      <c r="AX776" s="54"/>
      <c r="BI776" s="48"/>
      <c r="BJ776" s="38"/>
      <c r="BK776" s="38"/>
      <c r="BL776" s="38"/>
      <c r="BM776"/>
      <c r="BN776" s="48"/>
      <c r="BR776" s="19" t="s">
        <v>969</v>
      </c>
      <c r="BS776" s="19" t="s">
        <v>3509</v>
      </c>
      <c r="BT776" s="54" t="str">
        <f t="shared" si="176"/>
        <v>Data Science</v>
      </c>
    </row>
    <row r="777" spans="17:72">
      <c r="Q777" s="18">
        <v>10.93</v>
      </c>
      <c r="R777" s="56" t="str">
        <f t="shared" si="175"/>
        <v>Yes</v>
      </c>
      <c r="W777" s="18" t="s">
        <v>969</v>
      </c>
      <c r="X777" s="54" t="str">
        <f>VLOOKUP(W777,Employees!$A$1:$B$601,2,FALSE)</f>
        <v>Alka Mishra</v>
      </c>
      <c r="AW777" s="54"/>
      <c r="AX777" s="54"/>
      <c r="BI777" s="48"/>
      <c r="BJ777" s="38"/>
      <c r="BK777" s="38"/>
      <c r="BL777" s="38"/>
      <c r="BM777"/>
      <c r="BN777" s="48"/>
      <c r="BR777" s="18" t="s">
        <v>969</v>
      </c>
      <c r="BS777" s="18" t="s">
        <v>3511</v>
      </c>
      <c r="BT777" s="54" t="str">
        <f t="shared" si="176"/>
        <v>Data Science</v>
      </c>
    </row>
    <row r="778" spans="17:72">
      <c r="Q778" s="19">
        <v>6.7</v>
      </c>
      <c r="R778" s="56" t="str">
        <f t="shared" si="175"/>
        <v>Yes</v>
      </c>
      <c r="W778" s="19" t="s">
        <v>969</v>
      </c>
      <c r="X778" s="54" t="str">
        <f>VLOOKUP(W778,Employees!$A$1:$B$601,2,FALSE)</f>
        <v>Alka Mishra</v>
      </c>
      <c r="AW778" s="54"/>
      <c r="AX778" s="54"/>
      <c r="BI778" s="48"/>
      <c r="BJ778" s="38"/>
      <c r="BK778" s="38"/>
      <c r="BL778" s="38"/>
      <c r="BM778"/>
      <c r="BN778" s="48"/>
      <c r="BR778" s="19" t="s">
        <v>969</v>
      </c>
      <c r="BS778" s="19" t="s">
        <v>3512</v>
      </c>
      <c r="BT778" s="54" t="str">
        <f t="shared" si="176"/>
        <v>Data Science</v>
      </c>
    </row>
    <row r="779" spans="17:72">
      <c r="Q779" s="18">
        <v>8.4</v>
      </c>
      <c r="R779" s="56" t="str">
        <f t="shared" si="175"/>
        <v>Yes</v>
      </c>
      <c r="W779" s="18" t="s">
        <v>969</v>
      </c>
      <c r="X779" s="54" t="str">
        <f>VLOOKUP(W779,Employees!$A$1:$B$601,2,FALSE)</f>
        <v>Alka Mishra</v>
      </c>
      <c r="AW779" s="54"/>
      <c r="AX779" s="54"/>
      <c r="BI779" s="48"/>
      <c r="BJ779" s="38"/>
      <c r="BK779" s="38"/>
      <c r="BL779" s="38"/>
      <c r="BM779"/>
      <c r="BN779" s="48"/>
      <c r="BR779" s="18" t="s">
        <v>969</v>
      </c>
      <c r="BS779" s="18" t="s">
        <v>3514</v>
      </c>
      <c r="BT779" s="54" t="str">
        <f t="shared" si="176"/>
        <v>Data Science</v>
      </c>
    </row>
    <row r="780" spans="17:72">
      <c r="Q780" s="19">
        <v>10.83</v>
      </c>
      <c r="R780" s="56" t="str">
        <f t="shared" si="175"/>
        <v>Yes</v>
      </c>
      <c r="W780" s="19" t="s">
        <v>969</v>
      </c>
      <c r="X780" s="54" t="str">
        <f>VLOOKUP(W780,Employees!$A$1:$B$601,2,FALSE)</f>
        <v>Alka Mishra</v>
      </c>
      <c r="AW780" s="54"/>
      <c r="AX780" s="54"/>
      <c r="BI780" s="48"/>
      <c r="BJ780" s="38"/>
      <c r="BK780" s="38"/>
      <c r="BL780" s="38"/>
      <c r="BM780"/>
      <c r="BN780" s="48"/>
      <c r="BR780" s="19" t="s">
        <v>969</v>
      </c>
      <c r="BS780" s="19" t="s">
        <v>3515</v>
      </c>
      <c r="BT780" s="54" t="str">
        <f t="shared" si="176"/>
        <v>Data Science</v>
      </c>
    </row>
    <row r="781" spans="17:72">
      <c r="Q781" s="18">
        <v>11.18</v>
      </c>
      <c r="R781" s="56" t="str">
        <f t="shared" si="175"/>
        <v>Yes</v>
      </c>
      <c r="W781" s="18" t="s">
        <v>969</v>
      </c>
      <c r="X781" s="54" t="str">
        <f>VLOOKUP(W781,Employees!$A$1:$B$601,2,FALSE)</f>
        <v>Alka Mishra</v>
      </c>
      <c r="AW781" s="54"/>
      <c r="AX781" s="54"/>
      <c r="BI781" s="48"/>
      <c r="BJ781" s="38"/>
      <c r="BK781" s="38"/>
      <c r="BL781" s="38"/>
      <c r="BM781"/>
      <c r="BN781" s="48"/>
      <c r="BR781" s="18" t="s">
        <v>969</v>
      </c>
      <c r="BS781" s="18" t="s">
        <v>3516</v>
      </c>
      <c r="BT781" s="54" t="str">
        <f t="shared" si="176"/>
        <v>Data Science</v>
      </c>
    </row>
    <row r="782" spans="17:72">
      <c r="Q782" s="19">
        <v>6.91</v>
      </c>
      <c r="R782" s="56" t="str">
        <f t="shared" si="175"/>
        <v>Yes</v>
      </c>
      <c r="W782" s="19" t="s">
        <v>969</v>
      </c>
      <c r="X782" s="54" t="str">
        <f>VLOOKUP(W782,Employees!$A$1:$B$601,2,FALSE)</f>
        <v>Alka Mishra</v>
      </c>
      <c r="AW782" s="54"/>
      <c r="AX782" s="54"/>
      <c r="BI782" s="48"/>
      <c r="BJ782" s="38"/>
      <c r="BK782" s="38"/>
      <c r="BL782" s="38"/>
      <c r="BM782"/>
      <c r="BN782" s="48"/>
      <c r="BR782" s="19" t="s">
        <v>969</v>
      </c>
      <c r="BS782" s="19" t="s">
        <v>3519</v>
      </c>
      <c r="BT782" s="54" t="str">
        <f t="shared" si="176"/>
        <v>Data Science</v>
      </c>
    </row>
    <row r="783" spans="17:72">
      <c r="Q783" s="18">
        <v>10.8</v>
      </c>
      <c r="R783" s="56" t="str">
        <f t="shared" si="175"/>
        <v>Yes</v>
      </c>
      <c r="W783" s="18" t="s">
        <v>969</v>
      </c>
      <c r="X783" s="54" t="str">
        <f>VLOOKUP(W783,Employees!$A$1:$B$601,2,FALSE)</f>
        <v>Alka Mishra</v>
      </c>
      <c r="AW783" s="54"/>
      <c r="AX783" s="54"/>
      <c r="BI783" s="48"/>
      <c r="BJ783" s="38"/>
      <c r="BK783" s="38"/>
      <c r="BL783" s="38"/>
      <c r="BM783"/>
      <c r="BN783" s="48"/>
      <c r="BR783" s="18" t="s">
        <v>969</v>
      </c>
      <c r="BS783" s="18" t="s">
        <v>3520</v>
      </c>
      <c r="BT783" s="54" t="str">
        <f t="shared" si="176"/>
        <v>Data Science</v>
      </c>
    </row>
    <row r="784" spans="17:72">
      <c r="Q784" s="19">
        <v>7.04</v>
      </c>
      <c r="R784" s="56" t="str">
        <f t="shared" si="175"/>
        <v>Yes</v>
      </c>
      <c r="W784" s="19" t="s">
        <v>969</v>
      </c>
      <c r="X784" s="54" t="str">
        <f>VLOOKUP(W784,Employees!$A$1:$B$601,2,FALSE)</f>
        <v>Alka Mishra</v>
      </c>
      <c r="AW784" s="54"/>
      <c r="AX784" s="54"/>
      <c r="BI784" s="48"/>
      <c r="BJ784" s="38"/>
      <c r="BK784" s="38"/>
      <c r="BL784" s="38"/>
      <c r="BM784"/>
      <c r="BN784" s="48"/>
      <c r="BR784" s="19" t="s">
        <v>969</v>
      </c>
      <c r="BS784" s="19" t="s">
        <v>3521</v>
      </c>
      <c r="BT784" s="54" t="str">
        <f t="shared" si="176"/>
        <v>Data Science</v>
      </c>
    </row>
    <row r="785" spans="17:72">
      <c r="Q785" s="18"/>
      <c r="R785" s="56" t="str">
        <f t="shared" si="175"/>
        <v>No</v>
      </c>
      <c r="W785" s="18" t="s">
        <v>969</v>
      </c>
      <c r="X785" s="54" t="str">
        <f>VLOOKUP(W785,Employees!$A$1:$B$601,2,FALSE)</f>
        <v>Alka Mishra</v>
      </c>
      <c r="AW785" s="54"/>
      <c r="AX785" s="54"/>
      <c r="BI785" s="48"/>
      <c r="BJ785" s="38"/>
      <c r="BK785" s="38"/>
      <c r="BL785" s="38"/>
      <c r="BM785"/>
      <c r="BN785" s="48"/>
      <c r="BR785" s="18" t="s">
        <v>969</v>
      </c>
      <c r="BS785" s="18" t="s">
        <v>3522</v>
      </c>
      <c r="BT785" s="54" t="str">
        <f t="shared" si="176"/>
        <v>Data Science</v>
      </c>
    </row>
    <row r="786" spans="17:72">
      <c r="Q786" s="19">
        <v>7.55</v>
      </c>
      <c r="R786" s="56" t="str">
        <f t="shared" si="175"/>
        <v>Yes</v>
      </c>
      <c r="W786" s="19" t="s">
        <v>969</v>
      </c>
      <c r="X786" s="54" t="str">
        <f>VLOOKUP(W786,Employees!$A$1:$B$601,2,FALSE)</f>
        <v>Alka Mishra</v>
      </c>
      <c r="AW786" s="54"/>
      <c r="AX786" s="54"/>
      <c r="BI786" s="48"/>
      <c r="BJ786" s="38"/>
      <c r="BK786" s="38"/>
      <c r="BL786" s="38"/>
      <c r="BM786"/>
      <c r="BN786" s="48"/>
      <c r="BR786" s="19" t="s">
        <v>969</v>
      </c>
      <c r="BS786" s="19" t="s">
        <v>3523</v>
      </c>
      <c r="BT786" s="54" t="str">
        <f t="shared" si="176"/>
        <v>Data Science</v>
      </c>
    </row>
    <row r="787" spans="17:72">
      <c r="Q787" s="18">
        <v>9.8000000000000007</v>
      </c>
      <c r="R787" s="56" t="str">
        <f t="shared" si="175"/>
        <v>Yes</v>
      </c>
      <c r="W787" s="18" t="s">
        <v>969</v>
      </c>
      <c r="X787" s="54" t="str">
        <f>VLOOKUP(W787,Employees!$A$1:$B$601,2,FALSE)</f>
        <v>Alka Mishra</v>
      </c>
      <c r="AW787" s="54"/>
      <c r="AX787" s="54"/>
      <c r="BI787" s="48"/>
      <c r="BJ787" s="38"/>
      <c r="BK787" s="38"/>
      <c r="BL787" s="38"/>
      <c r="BM787"/>
      <c r="BN787" s="48"/>
      <c r="BR787" s="18" t="s">
        <v>969</v>
      </c>
      <c r="BS787" s="18" t="s">
        <v>3524</v>
      </c>
      <c r="BT787" s="54" t="str">
        <f t="shared" si="176"/>
        <v>Data Science</v>
      </c>
    </row>
    <row r="788" spans="17:72">
      <c r="Q788" s="19">
        <v>9.66</v>
      </c>
      <c r="R788" s="56" t="str">
        <f t="shared" si="175"/>
        <v>Yes</v>
      </c>
      <c r="W788" s="19" t="s">
        <v>969</v>
      </c>
      <c r="X788" s="54" t="str">
        <f>VLOOKUP(W788,Employees!$A$1:$B$601,2,FALSE)</f>
        <v>Alka Mishra</v>
      </c>
      <c r="AW788" s="54"/>
      <c r="AX788" s="54"/>
      <c r="BI788" s="48"/>
      <c r="BJ788" s="38"/>
      <c r="BK788" s="38"/>
      <c r="BL788" s="38"/>
      <c r="BM788"/>
      <c r="BN788" s="48"/>
      <c r="BR788" s="19" t="s">
        <v>969</v>
      </c>
      <c r="BS788" s="19" t="s">
        <v>3525</v>
      </c>
      <c r="BT788" s="54" t="str">
        <f t="shared" si="176"/>
        <v>Data Science</v>
      </c>
    </row>
    <row r="789" spans="17:72">
      <c r="Q789" s="18">
        <v>9.6999999999999993</v>
      </c>
      <c r="R789" s="56" t="str">
        <f t="shared" si="175"/>
        <v>Yes</v>
      </c>
      <c r="W789" s="18" t="s">
        <v>969</v>
      </c>
      <c r="X789" s="54" t="str">
        <f>VLOOKUP(W789,Employees!$A$1:$B$601,2,FALSE)</f>
        <v>Alka Mishra</v>
      </c>
      <c r="AW789" s="54"/>
      <c r="AX789" s="54"/>
      <c r="BI789" s="48"/>
      <c r="BJ789" s="38"/>
      <c r="BK789" s="38"/>
      <c r="BL789" s="38"/>
      <c r="BM789"/>
      <c r="BN789" s="48"/>
      <c r="BR789" s="18" t="s">
        <v>969</v>
      </c>
      <c r="BS789" s="18" t="s">
        <v>3526</v>
      </c>
      <c r="BT789" s="54" t="str">
        <f t="shared" si="176"/>
        <v>Data Science</v>
      </c>
    </row>
    <row r="790" spans="17:72">
      <c r="Q790" s="19">
        <v>10.53</v>
      </c>
      <c r="R790" s="56" t="str">
        <f t="shared" si="175"/>
        <v>Yes</v>
      </c>
      <c r="W790" s="19" t="s">
        <v>969</v>
      </c>
      <c r="X790" s="54" t="str">
        <f>VLOOKUP(W790,Employees!$A$1:$B$601,2,FALSE)</f>
        <v>Alka Mishra</v>
      </c>
      <c r="AW790" s="54"/>
      <c r="AX790" s="54"/>
      <c r="BI790" s="48"/>
      <c r="BJ790" s="38"/>
      <c r="BK790" s="38"/>
      <c r="BL790" s="38"/>
      <c r="BM790"/>
      <c r="BN790" s="48"/>
      <c r="BR790" s="19" t="s">
        <v>969</v>
      </c>
      <c r="BS790" s="19" t="s">
        <v>3527</v>
      </c>
      <c r="BT790" s="54" t="str">
        <f t="shared" si="176"/>
        <v>Data Science</v>
      </c>
    </row>
    <row r="791" spans="17:72">
      <c r="Q791" s="18">
        <v>7.14</v>
      </c>
      <c r="R791" s="56" t="str">
        <f t="shared" si="175"/>
        <v>Yes</v>
      </c>
      <c r="W791" s="18" t="s">
        <v>969</v>
      </c>
      <c r="X791" s="54" t="str">
        <f>VLOOKUP(W791,Employees!$A$1:$B$601,2,FALSE)</f>
        <v>Alka Mishra</v>
      </c>
      <c r="AW791" s="54"/>
      <c r="AX791" s="54"/>
      <c r="BI791" s="48"/>
      <c r="BJ791" s="38"/>
      <c r="BK791" s="38"/>
      <c r="BL791" s="38"/>
      <c r="BM791"/>
      <c r="BN791" s="48"/>
      <c r="BR791" s="18" t="s">
        <v>969</v>
      </c>
      <c r="BS791" s="18" t="s">
        <v>3528</v>
      </c>
      <c r="BT791" s="54" t="str">
        <f t="shared" si="176"/>
        <v>Data Science</v>
      </c>
    </row>
    <row r="792" spans="17:72">
      <c r="Q792" s="19">
        <v>6.87</v>
      </c>
      <c r="R792" s="56" t="str">
        <f t="shared" si="175"/>
        <v>Yes</v>
      </c>
      <c r="W792" s="19" t="s">
        <v>969</v>
      </c>
      <c r="X792" s="54" t="str">
        <f>VLOOKUP(W792,Employees!$A$1:$B$601,2,FALSE)</f>
        <v>Alka Mishra</v>
      </c>
      <c r="AW792" s="54"/>
      <c r="AX792" s="54"/>
      <c r="BI792" s="48"/>
      <c r="BJ792" s="38"/>
      <c r="BK792" s="38"/>
      <c r="BL792" s="38"/>
      <c r="BM792"/>
      <c r="BN792" s="48"/>
      <c r="BR792" s="19" t="s">
        <v>969</v>
      </c>
      <c r="BS792" s="19" t="s">
        <v>3529</v>
      </c>
      <c r="BT792" s="54" t="str">
        <f t="shared" si="176"/>
        <v>Data Science</v>
      </c>
    </row>
    <row r="793" spans="17:72">
      <c r="Q793" s="18">
        <v>6.66</v>
      </c>
      <c r="R793" s="56" t="str">
        <f t="shared" si="175"/>
        <v>Yes</v>
      </c>
      <c r="W793" s="18" t="s">
        <v>969</v>
      </c>
      <c r="X793" s="54" t="str">
        <f>VLOOKUP(W793,Employees!$A$1:$B$601,2,FALSE)</f>
        <v>Alka Mishra</v>
      </c>
      <c r="AW793" s="54"/>
      <c r="AX793" s="54"/>
      <c r="BI793" s="48"/>
      <c r="BJ793" s="38"/>
      <c r="BK793" s="38"/>
      <c r="BL793" s="38"/>
      <c r="BM793"/>
      <c r="BN793" s="48"/>
      <c r="BR793" s="18" t="s">
        <v>969</v>
      </c>
      <c r="BS793" s="18" t="s">
        <v>3530</v>
      </c>
      <c r="BT793" s="54" t="str">
        <f t="shared" si="176"/>
        <v>Data Science</v>
      </c>
    </row>
    <row r="794" spans="17:72">
      <c r="Q794" s="19">
        <v>7.13</v>
      </c>
      <c r="R794" s="56" t="str">
        <f t="shared" si="175"/>
        <v>Yes</v>
      </c>
      <c r="W794" s="19" t="s">
        <v>969</v>
      </c>
      <c r="X794" s="54" t="str">
        <f>VLOOKUP(W794,Employees!$A$1:$B$601,2,FALSE)</f>
        <v>Alka Mishra</v>
      </c>
      <c r="AW794" s="54"/>
      <c r="AX794" s="54"/>
      <c r="BI794" s="48"/>
      <c r="BJ794" s="38"/>
      <c r="BK794" s="38"/>
      <c r="BL794" s="38"/>
      <c r="BM794"/>
      <c r="BN794" s="48"/>
      <c r="BR794" s="19" t="s">
        <v>969</v>
      </c>
      <c r="BS794" s="19" t="s">
        <v>3531</v>
      </c>
      <c r="BT794" s="54" t="str">
        <f t="shared" si="176"/>
        <v>Data Science</v>
      </c>
    </row>
    <row r="795" spans="17:72">
      <c r="Q795" s="18">
        <v>7.14</v>
      </c>
      <c r="R795" s="56" t="str">
        <f t="shared" si="175"/>
        <v>Yes</v>
      </c>
      <c r="W795" s="18" t="s">
        <v>969</v>
      </c>
      <c r="X795" s="54" t="str">
        <f>VLOOKUP(W795,Employees!$A$1:$B$601,2,FALSE)</f>
        <v>Alka Mishra</v>
      </c>
      <c r="AW795" s="54"/>
      <c r="AX795" s="54"/>
      <c r="BI795" s="48"/>
      <c r="BJ795" s="38"/>
      <c r="BK795" s="38"/>
      <c r="BL795" s="38"/>
      <c r="BM795"/>
      <c r="BN795" s="48"/>
      <c r="BR795" s="18" t="s">
        <v>969</v>
      </c>
      <c r="BS795" s="18" t="s">
        <v>3532</v>
      </c>
      <c r="BT795" s="54" t="str">
        <f t="shared" si="176"/>
        <v>Data Science</v>
      </c>
    </row>
    <row r="796" spans="17:72">
      <c r="Q796" s="19">
        <v>10.67</v>
      </c>
      <c r="R796" s="56" t="str">
        <f t="shared" si="175"/>
        <v>Yes</v>
      </c>
      <c r="W796" s="19" t="s">
        <v>969</v>
      </c>
      <c r="X796" s="54" t="str">
        <f>VLOOKUP(W796,Employees!$A$1:$B$601,2,FALSE)</f>
        <v>Alka Mishra</v>
      </c>
      <c r="AW796" s="54"/>
      <c r="AX796" s="54"/>
      <c r="BI796" s="48"/>
      <c r="BJ796" s="38"/>
      <c r="BK796" s="38"/>
      <c r="BL796" s="38"/>
      <c r="BM796"/>
      <c r="BN796" s="48"/>
      <c r="BR796" s="19" t="s">
        <v>969</v>
      </c>
      <c r="BS796" s="19" t="s">
        <v>3533</v>
      </c>
      <c r="BT796" s="54" t="str">
        <f t="shared" si="176"/>
        <v>Data Science</v>
      </c>
    </row>
    <row r="797" spans="17:72">
      <c r="Q797" s="18">
        <v>8.9499999999999993</v>
      </c>
      <c r="R797" s="56" t="str">
        <f t="shared" si="175"/>
        <v>Yes</v>
      </c>
      <c r="W797" s="18" t="s">
        <v>969</v>
      </c>
      <c r="X797" s="54" t="str">
        <f>VLOOKUP(W797,Employees!$A$1:$B$601,2,FALSE)</f>
        <v>Alka Mishra</v>
      </c>
      <c r="AW797" s="54"/>
      <c r="AX797" s="54"/>
      <c r="BI797" s="48"/>
      <c r="BJ797" s="38"/>
      <c r="BK797" s="38"/>
      <c r="BL797" s="38"/>
      <c r="BM797"/>
      <c r="BN797" s="48"/>
      <c r="BR797" s="18" t="s">
        <v>969</v>
      </c>
      <c r="BS797" s="18" t="s">
        <v>3534</v>
      </c>
      <c r="BT797" s="54" t="str">
        <f t="shared" si="176"/>
        <v>Data Science</v>
      </c>
    </row>
    <row r="798" spans="17:72">
      <c r="Q798" s="19">
        <v>11</v>
      </c>
      <c r="R798" s="56" t="str">
        <f t="shared" si="175"/>
        <v>Yes</v>
      </c>
      <c r="W798" s="19" t="s">
        <v>969</v>
      </c>
      <c r="X798" s="54" t="str">
        <f>VLOOKUP(W798,Employees!$A$1:$B$601,2,FALSE)</f>
        <v>Alka Mishra</v>
      </c>
      <c r="AW798" s="54"/>
      <c r="AX798" s="54"/>
      <c r="BI798" s="48"/>
      <c r="BJ798" s="38"/>
      <c r="BK798" s="38"/>
      <c r="BL798" s="38"/>
      <c r="BM798"/>
      <c r="BN798" s="48"/>
      <c r="BR798" s="19" t="s">
        <v>969</v>
      </c>
      <c r="BS798" s="19" t="s">
        <v>3535</v>
      </c>
      <c r="BT798" s="54" t="str">
        <f t="shared" si="176"/>
        <v>Data Science</v>
      </c>
    </row>
    <row r="799" spans="17:72">
      <c r="Q799" s="18">
        <v>10.47</v>
      </c>
      <c r="R799" s="56" t="str">
        <f t="shared" si="175"/>
        <v>Yes</v>
      </c>
      <c r="W799" s="18" t="s">
        <v>969</v>
      </c>
      <c r="X799" s="54" t="str">
        <f>VLOOKUP(W799,Employees!$A$1:$B$601,2,FALSE)</f>
        <v>Alka Mishra</v>
      </c>
      <c r="AW799" s="54"/>
      <c r="AX799" s="54"/>
      <c r="BI799" s="48"/>
      <c r="BJ799" s="38"/>
      <c r="BK799" s="38"/>
      <c r="BL799" s="38"/>
      <c r="BM799"/>
      <c r="BN799" s="48"/>
      <c r="BR799" s="18" t="s">
        <v>969</v>
      </c>
      <c r="BS799" s="18" t="s">
        <v>3537</v>
      </c>
      <c r="BT799" s="54" t="str">
        <f t="shared" si="176"/>
        <v>Data Science</v>
      </c>
    </row>
    <row r="800" spans="17:72">
      <c r="Q800" s="19">
        <v>10.51</v>
      </c>
      <c r="R800" s="56" t="str">
        <f t="shared" si="175"/>
        <v>Yes</v>
      </c>
      <c r="W800" s="19" t="s">
        <v>969</v>
      </c>
      <c r="X800" s="54" t="str">
        <f>VLOOKUP(W800,Employees!$A$1:$B$601,2,FALSE)</f>
        <v>Alka Mishra</v>
      </c>
      <c r="AW800" s="54"/>
      <c r="AX800" s="54"/>
      <c r="BI800" s="48"/>
      <c r="BJ800" s="38"/>
      <c r="BK800" s="38"/>
      <c r="BL800" s="38"/>
      <c r="BM800"/>
      <c r="BN800" s="48"/>
      <c r="BR800" s="19" t="s">
        <v>969</v>
      </c>
      <c r="BS800" s="19" t="s">
        <v>3538</v>
      </c>
      <c r="BT800" s="54" t="str">
        <f t="shared" si="176"/>
        <v>Data Science</v>
      </c>
    </row>
    <row r="801" spans="17:72">
      <c r="Q801" s="18">
        <v>6.81</v>
      </c>
      <c r="R801" s="56" t="str">
        <f t="shared" si="175"/>
        <v>Yes</v>
      </c>
      <c r="W801" s="18" t="s">
        <v>969</v>
      </c>
      <c r="X801" s="54" t="str">
        <f>VLOOKUP(W801,Employees!$A$1:$B$601,2,FALSE)</f>
        <v>Alka Mishra</v>
      </c>
      <c r="AW801" s="54"/>
      <c r="AX801" s="54"/>
      <c r="BI801" s="48"/>
      <c r="BJ801" s="38"/>
      <c r="BK801" s="38"/>
      <c r="BL801" s="38"/>
      <c r="BM801"/>
      <c r="BN801" s="48"/>
      <c r="BR801" s="18" t="s">
        <v>969</v>
      </c>
      <c r="BS801" s="18" t="s">
        <v>3539</v>
      </c>
      <c r="BT801" s="54" t="str">
        <f t="shared" si="176"/>
        <v>Data Science</v>
      </c>
    </row>
    <row r="802" spans="17:72">
      <c r="Q802" s="19">
        <v>7.05</v>
      </c>
      <c r="R802" s="56" t="str">
        <f t="shared" si="175"/>
        <v>Yes</v>
      </c>
      <c r="W802" s="19" t="s">
        <v>969</v>
      </c>
      <c r="X802" s="54" t="str">
        <f>VLOOKUP(W802,Employees!$A$1:$B$601,2,FALSE)</f>
        <v>Alka Mishra</v>
      </c>
      <c r="AW802" s="54"/>
      <c r="AX802" s="54"/>
      <c r="BI802" s="48"/>
      <c r="BJ802" s="38"/>
      <c r="BK802" s="38"/>
      <c r="BL802" s="38"/>
      <c r="BM802"/>
      <c r="BN802" s="48"/>
      <c r="BR802" s="19" t="s">
        <v>969</v>
      </c>
      <c r="BS802" s="19" t="s">
        <v>3540</v>
      </c>
      <c r="BT802" s="54" t="str">
        <f t="shared" si="176"/>
        <v>Data Science</v>
      </c>
    </row>
    <row r="803" spans="17:72">
      <c r="Q803" s="18">
        <v>10.34</v>
      </c>
      <c r="R803" s="56" t="str">
        <f t="shared" si="175"/>
        <v>Yes</v>
      </c>
      <c r="W803" s="18" t="s">
        <v>969</v>
      </c>
      <c r="X803" s="54" t="str">
        <f>VLOOKUP(W803,Employees!$A$1:$B$601,2,FALSE)</f>
        <v>Alka Mishra</v>
      </c>
      <c r="AW803" s="54"/>
      <c r="AX803" s="54"/>
      <c r="BI803" s="48"/>
      <c r="BJ803" s="38"/>
      <c r="BK803" s="38"/>
      <c r="BL803" s="38"/>
      <c r="BM803"/>
      <c r="BN803" s="48"/>
      <c r="BR803" s="18" t="s">
        <v>969</v>
      </c>
      <c r="BS803" s="18" t="s">
        <v>3541</v>
      </c>
      <c r="BT803" s="54" t="str">
        <f t="shared" si="176"/>
        <v>Data Science</v>
      </c>
    </row>
    <row r="804" spans="17:72">
      <c r="Q804" s="19">
        <v>6.97</v>
      </c>
      <c r="R804" s="56" t="str">
        <f t="shared" si="175"/>
        <v>Yes</v>
      </c>
      <c r="W804" s="19" t="s">
        <v>969</v>
      </c>
      <c r="X804" s="54" t="str">
        <f>VLOOKUP(W804,Employees!$A$1:$B$601,2,FALSE)</f>
        <v>Alka Mishra</v>
      </c>
      <c r="AW804" s="54"/>
      <c r="AX804" s="54"/>
      <c r="BI804" s="48"/>
      <c r="BJ804" s="38"/>
      <c r="BK804" s="38"/>
      <c r="BL804" s="38"/>
      <c r="BM804"/>
      <c r="BN804" s="48"/>
      <c r="BR804" s="19" t="s">
        <v>969</v>
      </c>
      <c r="BS804" s="19" t="s">
        <v>3542</v>
      </c>
      <c r="BT804" s="54" t="str">
        <f t="shared" si="176"/>
        <v>Data Science</v>
      </c>
    </row>
    <row r="805" spans="17:72">
      <c r="Q805" s="18">
        <v>7.44</v>
      </c>
      <c r="R805" s="56" t="str">
        <f t="shared" si="175"/>
        <v>Yes</v>
      </c>
      <c r="W805" s="18" t="s">
        <v>969</v>
      </c>
      <c r="X805" s="54" t="str">
        <f>VLOOKUP(W805,Employees!$A$1:$B$601,2,FALSE)</f>
        <v>Alka Mishra</v>
      </c>
      <c r="AW805" s="54"/>
      <c r="AX805" s="54"/>
      <c r="BI805" s="48"/>
      <c r="BJ805" s="38"/>
      <c r="BK805" s="38"/>
      <c r="BL805" s="38"/>
      <c r="BM805"/>
      <c r="BN805" s="48"/>
      <c r="BR805" s="18" t="s">
        <v>969</v>
      </c>
      <c r="BS805" s="18" t="s">
        <v>3544</v>
      </c>
      <c r="BT805" s="54" t="str">
        <f t="shared" si="176"/>
        <v>Data Science</v>
      </c>
    </row>
    <row r="806" spans="17:72">
      <c r="Q806" s="19">
        <v>9.4600000000000009</v>
      </c>
      <c r="R806" s="56" t="str">
        <f t="shared" si="175"/>
        <v>Yes</v>
      </c>
      <c r="W806" s="19" t="s">
        <v>969</v>
      </c>
      <c r="X806" s="54" t="str">
        <f>VLOOKUP(W806,Employees!$A$1:$B$601,2,FALSE)</f>
        <v>Alka Mishra</v>
      </c>
      <c r="AW806" s="54"/>
      <c r="AX806" s="54"/>
      <c r="BI806" s="48"/>
      <c r="BJ806" s="38"/>
      <c r="BK806" s="38"/>
      <c r="BL806" s="38"/>
      <c r="BM806"/>
      <c r="BN806" s="48"/>
      <c r="BR806" s="19" t="s">
        <v>969</v>
      </c>
      <c r="BS806" s="19" t="s">
        <v>3546</v>
      </c>
      <c r="BT806" s="54" t="str">
        <f t="shared" si="176"/>
        <v>Data Science</v>
      </c>
    </row>
    <row r="807" spans="17:72">
      <c r="Q807" s="18">
        <v>8.64</v>
      </c>
      <c r="R807" s="56" t="str">
        <f t="shared" si="175"/>
        <v>Yes</v>
      </c>
      <c r="W807" s="18" t="s">
        <v>969</v>
      </c>
      <c r="X807" s="54" t="str">
        <f>VLOOKUP(W807,Employees!$A$1:$B$601,2,FALSE)</f>
        <v>Alka Mishra</v>
      </c>
      <c r="AW807" s="54"/>
      <c r="AX807" s="54"/>
      <c r="BI807" s="48"/>
      <c r="BJ807" s="38"/>
      <c r="BK807" s="38"/>
      <c r="BL807" s="38"/>
      <c r="BM807"/>
      <c r="BN807" s="48"/>
      <c r="BR807" s="18" t="s">
        <v>969</v>
      </c>
      <c r="BS807" s="18" t="s">
        <v>3547</v>
      </c>
      <c r="BT807" s="54" t="str">
        <f t="shared" si="176"/>
        <v>Data Science</v>
      </c>
    </row>
    <row r="808" spans="17:72">
      <c r="Q808" s="19">
        <v>9.08</v>
      </c>
      <c r="R808" s="56" t="str">
        <f t="shared" si="175"/>
        <v>Yes</v>
      </c>
      <c r="W808" s="19" t="s">
        <v>969</v>
      </c>
      <c r="X808" s="54" t="str">
        <f>VLOOKUP(W808,Employees!$A$1:$B$601,2,FALSE)</f>
        <v>Alka Mishra</v>
      </c>
      <c r="AW808" s="54"/>
      <c r="AX808" s="54"/>
      <c r="BI808" s="48"/>
      <c r="BJ808" s="38"/>
      <c r="BK808" s="38"/>
      <c r="BL808" s="38"/>
      <c r="BM808"/>
      <c r="BN808" s="48"/>
      <c r="BR808" s="19" t="s">
        <v>969</v>
      </c>
      <c r="BS808" s="19" t="s">
        <v>3548</v>
      </c>
      <c r="BT808" s="54" t="str">
        <f t="shared" si="176"/>
        <v>Data Science</v>
      </c>
    </row>
    <row r="809" spans="17:72">
      <c r="Q809" s="18">
        <v>10.29</v>
      </c>
      <c r="R809" s="56" t="str">
        <f t="shared" si="175"/>
        <v>Yes</v>
      </c>
      <c r="W809" s="18" t="s">
        <v>969</v>
      </c>
      <c r="X809" s="54" t="str">
        <f>VLOOKUP(W809,Employees!$A$1:$B$601,2,FALSE)</f>
        <v>Alka Mishra</v>
      </c>
      <c r="AW809" s="54"/>
      <c r="AX809" s="54"/>
      <c r="BI809" s="48"/>
      <c r="BJ809" s="38"/>
      <c r="BK809" s="38"/>
      <c r="BL809" s="38"/>
      <c r="BM809"/>
      <c r="BN809" s="48"/>
      <c r="BR809" s="18" t="s">
        <v>969</v>
      </c>
      <c r="BS809" s="18" t="s">
        <v>3550</v>
      </c>
      <c r="BT809" s="54" t="str">
        <f t="shared" si="176"/>
        <v>Data Science</v>
      </c>
    </row>
    <row r="810" spans="17:72">
      <c r="Q810" s="19">
        <v>11.29</v>
      </c>
      <c r="R810" s="56" t="str">
        <f t="shared" si="175"/>
        <v>Yes</v>
      </c>
      <c r="W810" s="19" t="s">
        <v>969</v>
      </c>
      <c r="X810" s="54" t="str">
        <f>VLOOKUP(W810,Employees!$A$1:$B$601,2,FALSE)</f>
        <v>Alka Mishra</v>
      </c>
      <c r="AW810" s="54"/>
      <c r="AX810" s="54"/>
      <c r="BI810" s="48"/>
      <c r="BJ810" s="38"/>
      <c r="BK810" s="38"/>
      <c r="BL810" s="38"/>
      <c r="BM810"/>
      <c r="BN810" s="48"/>
      <c r="BR810" s="19" t="s">
        <v>969</v>
      </c>
      <c r="BS810" s="19" t="s">
        <v>3551</v>
      </c>
      <c r="BT810" s="54" t="str">
        <f t="shared" si="176"/>
        <v>Data Science</v>
      </c>
    </row>
    <row r="811" spans="17:72">
      <c r="Q811" s="18">
        <v>6.83</v>
      </c>
      <c r="R811" s="56" t="str">
        <f t="shared" si="175"/>
        <v>Yes</v>
      </c>
      <c r="W811" s="18" t="s">
        <v>969</v>
      </c>
      <c r="X811" s="54" t="str">
        <f>VLOOKUP(W811,Employees!$A$1:$B$601,2,FALSE)</f>
        <v>Alka Mishra</v>
      </c>
      <c r="AW811" s="54"/>
      <c r="AX811" s="54"/>
      <c r="BI811" s="48"/>
      <c r="BJ811" s="38"/>
      <c r="BK811" s="38"/>
      <c r="BL811" s="38"/>
      <c r="BM811"/>
      <c r="BN811" s="48"/>
      <c r="BR811" s="18" t="s">
        <v>969</v>
      </c>
      <c r="BS811" s="18" t="s">
        <v>3553</v>
      </c>
      <c r="BT811" s="54" t="str">
        <f t="shared" si="176"/>
        <v>Data Science</v>
      </c>
    </row>
    <row r="812" spans="17:72">
      <c r="Q812" s="19">
        <v>9.23</v>
      </c>
      <c r="R812" s="56" t="str">
        <f t="shared" si="175"/>
        <v>Yes</v>
      </c>
      <c r="W812" s="19" t="s">
        <v>969</v>
      </c>
      <c r="X812" s="54" t="str">
        <f>VLOOKUP(W812,Employees!$A$1:$B$601,2,FALSE)</f>
        <v>Alka Mishra</v>
      </c>
      <c r="AW812" s="54"/>
      <c r="AX812" s="54"/>
      <c r="BI812" s="48"/>
      <c r="BJ812" s="38"/>
      <c r="BK812" s="38"/>
      <c r="BL812" s="38"/>
      <c r="BM812"/>
      <c r="BN812" s="48"/>
      <c r="BR812" s="19" t="s">
        <v>969</v>
      </c>
      <c r="BS812" s="19" t="s">
        <v>3554</v>
      </c>
      <c r="BT812" s="54" t="str">
        <f t="shared" si="176"/>
        <v>Data Science</v>
      </c>
    </row>
    <row r="813" spans="17:72">
      <c r="Q813" s="18">
        <v>8.64</v>
      </c>
      <c r="R813" s="56" t="str">
        <f t="shared" si="175"/>
        <v>Yes</v>
      </c>
      <c r="W813" s="18" t="s">
        <v>969</v>
      </c>
      <c r="X813" s="54" t="str">
        <f>VLOOKUP(W813,Employees!$A$1:$B$601,2,FALSE)</f>
        <v>Alka Mishra</v>
      </c>
      <c r="AW813" s="54"/>
      <c r="AX813" s="54"/>
      <c r="BI813" s="48"/>
      <c r="BJ813" s="38"/>
      <c r="BK813" s="38"/>
      <c r="BL813" s="38"/>
      <c r="BM813"/>
      <c r="BN813" s="48"/>
      <c r="BR813" s="18" t="s">
        <v>969</v>
      </c>
      <c r="BS813" s="18" t="s">
        <v>3556</v>
      </c>
      <c r="BT813" s="54" t="str">
        <f t="shared" si="176"/>
        <v>Data Science</v>
      </c>
    </row>
    <row r="814" spans="17:72">
      <c r="Q814" s="19">
        <v>8.9600000000000009</v>
      </c>
      <c r="R814" s="56" t="str">
        <f t="shared" si="175"/>
        <v>Yes</v>
      </c>
      <c r="W814" s="19" t="s">
        <v>969</v>
      </c>
      <c r="X814" s="54" t="str">
        <f>VLOOKUP(W814,Employees!$A$1:$B$601,2,FALSE)</f>
        <v>Alka Mishra</v>
      </c>
      <c r="AW814" s="54"/>
      <c r="AX814" s="54"/>
      <c r="BI814" s="48"/>
      <c r="BJ814" s="38"/>
      <c r="BK814" s="38"/>
      <c r="BL814" s="38"/>
      <c r="BM814"/>
      <c r="BN814" s="48"/>
      <c r="BR814" s="19" t="s">
        <v>969</v>
      </c>
      <c r="BS814" s="19" t="s">
        <v>3557</v>
      </c>
      <c r="BT814" s="54" t="str">
        <f t="shared" si="176"/>
        <v>Data Science</v>
      </c>
    </row>
    <row r="815" spans="17:72">
      <c r="Q815" s="18">
        <v>9.7100000000000009</v>
      </c>
      <c r="R815" s="56" t="str">
        <f t="shared" si="175"/>
        <v>Yes</v>
      </c>
      <c r="W815" s="18" t="s">
        <v>969</v>
      </c>
      <c r="X815" s="54" t="str">
        <f>VLOOKUP(W815,Employees!$A$1:$B$601,2,FALSE)</f>
        <v>Alka Mishra</v>
      </c>
      <c r="AW815" s="54"/>
      <c r="AX815" s="54"/>
      <c r="BI815" s="48"/>
      <c r="BJ815" s="38"/>
      <c r="BK815" s="38"/>
      <c r="BL815" s="38"/>
      <c r="BM815"/>
      <c r="BN815" s="48"/>
      <c r="BR815" s="18" t="s">
        <v>969</v>
      </c>
      <c r="BS815" s="18" t="s">
        <v>3558</v>
      </c>
      <c r="BT815" s="54" t="str">
        <f t="shared" si="176"/>
        <v>Data Science</v>
      </c>
    </row>
    <row r="816" spans="17:72">
      <c r="Q816" s="19">
        <v>10.38</v>
      </c>
      <c r="R816" s="56" t="str">
        <f t="shared" si="175"/>
        <v>Yes</v>
      </c>
      <c r="W816" s="19" t="s">
        <v>969</v>
      </c>
      <c r="X816" s="54" t="str">
        <f>VLOOKUP(W816,Employees!$A$1:$B$601,2,FALSE)</f>
        <v>Alka Mishra</v>
      </c>
      <c r="AW816" s="54"/>
      <c r="AX816" s="54"/>
      <c r="BI816" s="48"/>
      <c r="BJ816" s="38"/>
      <c r="BK816" s="38"/>
      <c r="BL816" s="38"/>
      <c r="BM816"/>
      <c r="BN816" s="48"/>
      <c r="BR816" s="19" t="s">
        <v>969</v>
      </c>
      <c r="BS816" s="19" t="s">
        <v>3559</v>
      </c>
      <c r="BT816" s="54" t="str">
        <f t="shared" si="176"/>
        <v>Data Science</v>
      </c>
    </row>
    <row r="817" spans="17:72">
      <c r="Q817" s="18">
        <v>8.61</v>
      </c>
      <c r="R817" s="56" t="str">
        <f t="shared" si="175"/>
        <v>Yes</v>
      </c>
      <c r="W817" s="18" t="s">
        <v>969</v>
      </c>
      <c r="X817" s="54" t="str">
        <f>VLOOKUP(W817,Employees!$A$1:$B$601,2,FALSE)</f>
        <v>Alka Mishra</v>
      </c>
      <c r="AW817" s="54"/>
      <c r="AX817" s="54"/>
      <c r="BI817" s="48"/>
      <c r="BJ817" s="38"/>
      <c r="BK817" s="38"/>
      <c r="BL817" s="38"/>
      <c r="BM817"/>
      <c r="BN817" s="48"/>
      <c r="BR817" s="18" t="s">
        <v>969</v>
      </c>
      <c r="BS817" s="18" t="s">
        <v>3560</v>
      </c>
      <c r="BT817" s="54" t="str">
        <f t="shared" si="176"/>
        <v>Data Science</v>
      </c>
    </row>
    <row r="818" spans="17:72">
      <c r="Q818" s="19">
        <v>10.88</v>
      </c>
      <c r="R818" s="56" t="str">
        <f t="shared" si="175"/>
        <v>Yes</v>
      </c>
      <c r="W818" s="19" t="s">
        <v>969</v>
      </c>
      <c r="X818" s="54" t="str">
        <f>VLOOKUP(W818,Employees!$A$1:$B$601,2,FALSE)</f>
        <v>Alka Mishra</v>
      </c>
      <c r="AW818" s="54"/>
      <c r="AX818" s="54"/>
      <c r="BI818" s="48"/>
      <c r="BJ818" s="38"/>
      <c r="BK818" s="38"/>
      <c r="BL818" s="38"/>
      <c r="BM818"/>
      <c r="BN818" s="48"/>
      <c r="BR818" s="19" t="s">
        <v>969</v>
      </c>
      <c r="BS818" s="19" t="s">
        <v>3561</v>
      </c>
      <c r="BT818" s="54" t="str">
        <f t="shared" si="176"/>
        <v>Data Science</v>
      </c>
    </row>
    <row r="819" spans="17:72">
      <c r="Q819" s="18">
        <v>7.57</v>
      </c>
      <c r="R819" s="56" t="str">
        <f t="shared" si="175"/>
        <v>Yes</v>
      </c>
      <c r="W819" s="18" t="s">
        <v>189</v>
      </c>
      <c r="X819" s="54" t="str">
        <f>VLOOKUP(W819,Employees!$A$1:$B$601,2,FALSE)</f>
        <v>Chinmaya Biswal</v>
      </c>
      <c r="AW819" s="54"/>
      <c r="AX819" s="54"/>
      <c r="BI819" s="48"/>
      <c r="BJ819" s="38"/>
      <c r="BK819" s="38"/>
      <c r="BL819" s="38"/>
      <c r="BM819"/>
      <c r="BN819" s="48"/>
      <c r="BR819" s="18" t="s">
        <v>189</v>
      </c>
      <c r="BS819" s="18" t="s">
        <v>3562</v>
      </c>
      <c r="BT819" s="54" t="str">
        <f t="shared" si="176"/>
        <v>Marketing</v>
      </c>
    </row>
    <row r="820" spans="17:72">
      <c r="Q820" s="19">
        <v>8.06</v>
      </c>
      <c r="R820" s="56" t="str">
        <f t="shared" si="175"/>
        <v>Yes</v>
      </c>
      <c r="W820" s="19" t="s">
        <v>189</v>
      </c>
      <c r="X820" s="54" t="str">
        <f>VLOOKUP(W820,Employees!$A$1:$B$601,2,FALSE)</f>
        <v>Chinmaya Biswal</v>
      </c>
      <c r="AW820" s="54"/>
      <c r="AX820" s="54"/>
      <c r="BI820" s="48"/>
      <c r="BJ820" s="38"/>
      <c r="BK820" s="38"/>
      <c r="BL820" s="38"/>
      <c r="BM820"/>
      <c r="BN820" s="48"/>
      <c r="BR820" s="19" t="s">
        <v>189</v>
      </c>
      <c r="BS820" s="19" t="s">
        <v>3564</v>
      </c>
      <c r="BT820" s="54" t="str">
        <f t="shared" si="176"/>
        <v>Marketing</v>
      </c>
    </row>
    <row r="821" spans="17:72">
      <c r="Q821" s="18">
        <v>9.2899999999999991</v>
      </c>
      <c r="R821" s="56" t="str">
        <f t="shared" si="175"/>
        <v>Yes</v>
      </c>
      <c r="W821" s="18" t="s">
        <v>189</v>
      </c>
      <c r="X821" s="54" t="str">
        <f>VLOOKUP(W821,Employees!$A$1:$B$601,2,FALSE)</f>
        <v>Chinmaya Biswal</v>
      </c>
      <c r="AW821" s="54"/>
      <c r="AX821" s="54"/>
      <c r="BI821" s="48"/>
      <c r="BJ821" s="38"/>
      <c r="BK821" s="38"/>
      <c r="BL821" s="38"/>
      <c r="BM821"/>
      <c r="BN821" s="48"/>
      <c r="BR821" s="18" t="s">
        <v>189</v>
      </c>
      <c r="BS821" s="18" t="s">
        <v>3565</v>
      </c>
      <c r="BT821" s="54" t="str">
        <f t="shared" si="176"/>
        <v>Marketing</v>
      </c>
    </row>
    <row r="822" spans="17:72">
      <c r="Q822" s="19">
        <v>7.06</v>
      </c>
      <c r="R822" s="56" t="str">
        <f t="shared" si="175"/>
        <v>Yes</v>
      </c>
      <c r="W822" s="19" t="s">
        <v>189</v>
      </c>
      <c r="X822" s="54" t="str">
        <f>VLOOKUP(W822,Employees!$A$1:$B$601,2,FALSE)</f>
        <v>Chinmaya Biswal</v>
      </c>
      <c r="AW822" s="54"/>
      <c r="AX822" s="54"/>
      <c r="BI822" s="48"/>
      <c r="BJ822" s="38"/>
      <c r="BK822" s="38"/>
      <c r="BL822" s="38"/>
      <c r="BM822"/>
      <c r="BN822" s="48"/>
      <c r="BR822" s="19" t="s">
        <v>189</v>
      </c>
      <c r="BS822" s="19" t="s">
        <v>3566</v>
      </c>
      <c r="BT822" s="54" t="str">
        <f t="shared" si="176"/>
        <v>Marketing</v>
      </c>
    </row>
    <row r="823" spans="17:72">
      <c r="Q823" s="18"/>
      <c r="R823" s="56" t="str">
        <f t="shared" si="175"/>
        <v>No</v>
      </c>
      <c r="W823" s="18" t="s">
        <v>189</v>
      </c>
      <c r="X823" s="54" t="str">
        <f>VLOOKUP(W823,Employees!$A$1:$B$601,2,FALSE)</f>
        <v>Chinmaya Biswal</v>
      </c>
      <c r="AW823" s="54"/>
      <c r="AX823" s="54"/>
      <c r="BI823" s="48"/>
      <c r="BJ823" s="38"/>
      <c r="BK823" s="38"/>
      <c r="BL823" s="38"/>
      <c r="BM823"/>
      <c r="BN823" s="48"/>
      <c r="BR823" s="18" t="s">
        <v>189</v>
      </c>
      <c r="BS823" s="18" t="s">
        <v>3568</v>
      </c>
      <c r="BT823" s="54" t="str">
        <f t="shared" si="176"/>
        <v>Marketing</v>
      </c>
    </row>
    <row r="824" spans="17:72">
      <c r="Q824" s="19">
        <v>10.28</v>
      </c>
      <c r="R824" s="56" t="str">
        <f t="shared" si="175"/>
        <v>Yes</v>
      </c>
      <c r="W824" s="19" t="s">
        <v>189</v>
      </c>
      <c r="X824" s="54" t="str">
        <f>VLOOKUP(W824,Employees!$A$1:$B$601,2,FALSE)</f>
        <v>Chinmaya Biswal</v>
      </c>
      <c r="AW824" s="54"/>
      <c r="AX824" s="54"/>
      <c r="BI824" s="48"/>
      <c r="BJ824" s="38"/>
      <c r="BK824" s="38"/>
      <c r="BL824" s="38"/>
      <c r="BM824"/>
      <c r="BN824" s="48"/>
      <c r="BR824" s="19" t="s">
        <v>189</v>
      </c>
      <c r="BS824" s="19" t="s">
        <v>3569</v>
      </c>
      <c r="BT824" s="54" t="str">
        <f t="shared" si="176"/>
        <v>Marketing</v>
      </c>
    </row>
    <row r="825" spans="17:72">
      <c r="Q825" s="18">
        <v>8.93</v>
      </c>
      <c r="R825" s="56" t="str">
        <f t="shared" si="175"/>
        <v>Yes</v>
      </c>
      <c r="W825" s="18" t="s">
        <v>189</v>
      </c>
      <c r="X825" s="54" t="str">
        <f>VLOOKUP(W825,Employees!$A$1:$B$601,2,FALSE)</f>
        <v>Chinmaya Biswal</v>
      </c>
      <c r="AW825" s="54"/>
      <c r="AX825" s="54"/>
      <c r="BI825" s="48"/>
      <c r="BJ825" s="38"/>
      <c r="BK825" s="38"/>
      <c r="BL825" s="38"/>
      <c r="BM825"/>
      <c r="BN825" s="48"/>
      <c r="BR825" s="18" t="s">
        <v>189</v>
      </c>
      <c r="BS825" s="18" t="s">
        <v>3570</v>
      </c>
      <c r="BT825" s="54" t="str">
        <f t="shared" si="176"/>
        <v>Marketing</v>
      </c>
    </row>
    <row r="826" spans="17:72">
      <c r="Q826" s="19">
        <v>6.55</v>
      </c>
      <c r="R826" s="56" t="str">
        <f t="shared" si="175"/>
        <v>Yes</v>
      </c>
      <c r="W826" s="19" t="s">
        <v>189</v>
      </c>
      <c r="X826" s="54" t="str">
        <f>VLOOKUP(W826,Employees!$A$1:$B$601,2,FALSE)</f>
        <v>Chinmaya Biswal</v>
      </c>
      <c r="AW826" s="54"/>
      <c r="AX826" s="54"/>
      <c r="BI826" s="48"/>
      <c r="BJ826" s="38"/>
      <c r="BK826" s="38"/>
      <c r="BL826" s="38"/>
      <c r="BM826"/>
      <c r="BN826" s="48"/>
      <c r="BR826" s="19" t="s">
        <v>189</v>
      </c>
      <c r="BS826" s="19" t="s">
        <v>3571</v>
      </c>
      <c r="BT826" s="54" t="str">
        <f t="shared" si="176"/>
        <v>Marketing</v>
      </c>
    </row>
    <row r="827" spans="17:72">
      <c r="Q827" s="18">
        <v>10.71</v>
      </c>
      <c r="R827" s="56" t="str">
        <f t="shared" si="175"/>
        <v>Yes</v>
      </c>
      <c r="W827" s="18" t="s">
        <v>189</v>
      </c>
      <c r="X827" s="54" t="str">
        <f>VLOOKUP(W827,Employees!$A$1:$B$601,2,FALSE)</f>
        <v>Chinmaya Biswal</v>
      </c>
      <c r="AW827" s="54"/>
      <c r="AX827" s="54"/>
      <c r="BI827" s="48"/>
      <c r="BJ827" s="38"/>
      <c r="BK827" s="38"/>
      <c r="BL827" s="38"/>
      <c r="BM827"/>
      <c r="BN827" s="48"/>
      <c r="BR827" s="18" t="s">
        <v>189</v>
      </c>
      <c r="BS827" s="18" t="s">
        <v>3572</v>
      </c>
      <c r="BT827" s="54" t="str">
        <f t="shared" si="176"/>
        <v>Marketing</v>
      </c>
    </row>
    <row r="828" spans="17:72">
      <c r="Q828" s="19">
        <v>9.7100000000000009</v>
      </c>
      <c r="R828" s="56" t="str">
        <f t="shared" si="175"/>
        <v>Yes</v>
      </c>
      <c r="W828" s="19" t="s">
        <v>189</v>
      </c>
      <c r="X828" s="54" t="str">
        <f>VLOOKUP(W828,Employees!$A$1:$B$601,2,FALSE)</f>
        <v>Chinmaya Biswal</v>
      </c>
      <c r="AW828" s="54"/>
      <c r="AX828" s="54"/>
      <c r="BI828" s="48"/>
      <c r="BJ828" s="38"/>
      <c r="BK828" s="38"/>
      <c r="BL828" s="38"/>
      <c r="BM828"/>
      <c r="BN828" s="48"/>
      <c r="BR828" s="19" t="s">
        <v>189</v>
      </c>
      <c r="BS828" s="19" t="s">
        <v>3573</v>
      </c>
      <c r="BT828" s="54" t="str">
        <f t="shared" si="176"/>
        <v>Marketing</v>
      </c>
    </row>
    <row r="829" spans="17:72">
      <c r="Q829" s="18">
        <v>9</v>
      </c>
      <c r="R829" s="56" t="str">
        <f t="shared" si="175"/>
        <v>Yes</v>
      </c>
      <c r="W829" s="18" t="s">
        <v>189</v>
      </c>
      <c r="X829" s="54" t="str">
        <f>VLOOKUP(W829,Employees!$A$1:$B$601,2,FALSE)</f>
        <v>Chinmaya Biswal</v>
      </c>
      <c r="AW829" s="54"/>
      <c r="AX829" s="54"/>
      <c r="BI829" s="48"/>
      <c r="BJ829" s="38"/>
      <c r="BK829" s="38"/>
      <c r="BL829" s="38"/>
      <c r="BM829"/>
      <c r="BN829" s="48"/>
      <c r="BR829" s="18" t="s">
        <v>189</v>
      </c>
      <c r="BS829" s="18" t="s">
        <v>3574</v>
      </c>
      <c r="BT829" s="54" t="str">
        <f t="shared" si="176"/>
        <v>Marketing</v>
      </c>
    </row>
    <row r="830" spans="17:72">
      <c r="Q830" s="19">
        <v>8.89</v>
      </c>
      <c r="R830" s="56" t="str">
        <f t="shared" si="175"/>
        <v>Yes</v>
      </c>
      <c r="W830" s="19" t="s">
        <v>189</v>
      </c>
      <c r="X830" s="54" t="str">
        <f>VLOOKUP(W830,Employees!$A$1:$B$601,2,FALSE)</f>
        <v>Chinmaya Biswal</v>
      </c>
      <c r="AW830" s="54"/>
      <c r="AX830" s="54"/>
      <c r="BI830" s="48"/>
      <c r="BJ830" s="38"/>
      <c r="BK830" s="38"/>
      <c r="BL830" s="38"/>
      <c r="BM830"/>
      <c r="BN830" s="48"/>
      <c r="BR830" s="19" t="s">
        <v>189</v>
      </c>
      <c r="BS830" s="19" t="s">
        <v>3575</v>
      </c>
      <c r="BT830" s="54" t="str">
        <f t="shared" si="176"/>
        <v>Marketing</v>
      </c>
    </row>
    <row r="831" spans="17:72">
      <c r="Q831" s="18">
        <v>11.31</v>
      </c>
      <c r="R831" s="56" t="str">
        <f t="shared" si="175"/>
        <v>Yes</v>
      </c>
      <c r="W831" s="18" t="s">
        <v>189</v>
      </c>
      <c r="X831" s="54" t="str">
        <f>VLOOKUP(W831,Employees!$A$1:$B$601,2,FALSE)</f>
        <v>Chinmaya Biswal</v>
      </c>
      <c r="AW831" s="54"/>
      <c r="AX831" s="54"/>
      <c r="BI831" s="48"/>
      <c r="BJ831" s="38"/>
      <c r="BK831" s="38"/>
      <c r="BL831" s="38"/>
      <c r="BM831"/>
      <c r="BN831" s="48"/>
      <c r="BR831" s="18" t="s">
        <v>189</v>
      </c>
      <c r="BS831" s="18" t="s">
        <v>3576</v>
      </c>
      <c r="BT831" s="54" t="str">
        <f t="shared" si="176"/>
        <v>Marketing</v>
      </c>
    </row>
    <row r="832" spans="17:72">
      <c r="Q832" s="19">
        <v>11.16</v>
      </c>
      <c r="R832" s="56" t="str">
        <f t="shared" si="175"/>
        <v>Yes</v>
      </c>
      <c r="W832" s="19" t="s">
        <v>189</v>
      </c>
      <c r="X832" s="54" t="str">
        <f>VLOOKUP(W832,Employees!$A$1:$B$601,2,FALSE)</f>
        <v>Chinmaya Biswal</v>
      </c>
      <c r="AW832" s="54"/>
      <c r="AX832" s="54"/>
      <c r="BI832" s="48"/>
      <c r="BJ832" s="38"/>
      <c r="BK832" s="38"/>
      <c r="BL832" s="38"/>
      <c r="BM832"/>
      <c r="BN832" s="48"/>
      <c r="BR832" s="19" t="s">
        <v>189</v>
      </c>
      <c r="BS832" s="19" t="s">
        <v>3578</v>
      </c>
      <c r="BT832" s="54" t="str">
        <f t="shared" si="176"/>
        <v>Marketing</v>
      </c>
    </row>
    <row r="833" spans="17:72">
      <c r="Q833" s="18">
        <v>8.27</v>
      </c>
      <c r="R833" s="56" t="str">
        <f t="shared" si="175"/>
        <v>Yes</v>
      </c>
      <c r="W833" s="18" t="s">
        <v>189</v>
      </c>
      <c r="X833" s="54" t="str">
        <f>VLOOKUP(W833,Employees!$A$1:$B$601,2,FALSE)</f>
        <v>Chinmaya Biswal</v>
      </c>
      <c r="AW833" s="54"/>
      <c r="AX833" s="54"/>
      <c r="BI833" s="48"/>
      <c r="BJ833" s="38"/>
      <c r="BK833" s="38"/>
      <c r="BL833" s="38"/>
      <c r="BM833"/>
      <c r="BN833" s="48"/>
      <c r="BR833" s="18" t="s">
        <v>189</v>
      </c>
      <c r="BS833" s="18" t="s">
        <v>3579</v>
      </c>
      <c r="BT833" s="54" t="str">
        <f t="shared" si="176"/>
        <v>Marketing</v>
      </c>
    </row>
    <row r="834" spans="17:72">
      <c r="Q834" s="19">
        <v>10.18</v>
      </c>
      <c r="R834" s="56" t="str">
        <f t="shared" si="175"/>
        <v>Yes</v>
      </c>
      <c r="W834" s="19" t="s">
        <v>189</v>
      </c>
      <c r="X834" s="54" t="str">
        <f>VLOOKUP(W834,Employees!$A$1:$B$601,2,FALSE)</f>
        <v>Chinmaya Biswal</v>
      </c>
      <c r="AW834" s="54"/>
      <c r="AX834" s="54"/>
      <c r="BI834" s="48"/>
      <c r="BJ834" s="38"/>
      <c r="BK834" s="38"/>
      <c r="BL834" s="38"/>
      <c r="BM834"/>
      <c r="BN834" s="48"/>
      <c r="BR834" s="19" t="s">
        <v>189</v>
      </c>
      <c r="BS834" s="19" t="s">
        <v>3580</v>
      </c>
      <c r="BT834" s="54" t="str">
        <f t="shared" si="176"/>
        <v>Marketing</v>
      </c>
    </row>
    <row r="835" spans="17:72">
      <c r="Q835" s="18">
        <v>8.49</v>
      </c>
      <c r="R835" s="56" t="str">
        <f t="shared" ref="R835:R898" si="177">IF(ISBLANK(Q835),"No","Yes")</f>
        <v>Yes</v>
      </c>
      <c r="W835" s="18" t="s">
        <v>189</v>
      </c>
      <c r="X835" s="54" t="str">
        <f>VLOOKUP(W835,Employees!$A$1:$B$601,2,FALSE)</f>
        <v>Chinmaya Biswal</v>
      </c>
      <c r="AW835" s="54"/>
      <c r="AX835" s="54"/>
      <c r="BI835" s="48"/>
      <c r="BJ835" s="38"/>
      <c r="BK835" s="38"/>
      <c r="BL835" s="38"/>
      <c r="BM835"/>
      <c r="BN835" s="48"/>
      <c r="BR835" s="18" t="s">
        <v>189</v>
      </c>
      <c r="BS835" s="18" t="s">
        <v>3581</v>
      </c>
      <c r="BT835" s="54" t="str">
        <f t="shared" ref="BT835:BT898" si="178">VLOOKUP(BR835,$BP$2:$BQ$601,2,FALSE)</f>
        <v>Marketing</v>
      </c>
    </row>
    <row r="836" spans="17:72">
      <c r="Q836" s="19">
        <v>8.01</v>
      </c>
      <c r="R836" s="56" t="str">
        <f t="shared" si="177"/>
        <v>Yes</v>
      </c>
      <c r="W836" s="19" t="s">
        <v>189</v>
      </c>
      <c r="X836" s="54" t="str">
        <f>VLOOKUP(W836,Employees!$A$1:$B$601,2,FALSE)</f>
        <v>Chinmaya Biswal</v>
      </c>
      <c r="AW836" s="54"/>
      <c r="AX836" s="54"/>
      <c r="BI836" s="48"/>
      <c r="BJ836" s="38"/>
      <c r="BK836" s="38"/>
      <c r="BL836" s="38"/>
      <c r="BM836"/>
      <c r="BN836" s="48"/>
      <c r="BR836" s="19" t="s">
        <v>189</v>
      </c>
      <c r="BS836" s="19" t="s">
        <v>3582</v>
      </c>
      <c r="BT836" s="54" t="str">
        <f t="shared" si="178"/>
        <v>Marketing</v>
      </c>
    </row>
    <row r="837" spans="17:72">
      <c r="Q837" s="18">
        <v>8.15</v>
      </c>
      <c r="R837" s="56" t="str">
        <f t="shared" si="177"/>
        <v>Yes</v>
      </c>
      <c r="W837" s="18" t="s">
        <v>189</v>
      </c>
      <c r="X837" s="54" t="str">
        <f>VLOOKUP(W837,Employees!$A$1:$B$601,2,FALSE)</f>
        <v>Chinmaya Biswal</v>
      </c>
      <c r="AW837" s="54"/>
      <c r="AX837" s="54"/>
      <c r="BI837" s="48"/>
      <c r="BJ837" s="38"/>
      <c r="BK837" s="38"/>
      <c r="BL837" s="38"/>
      <c r="BM837"/>
      <c r="BN837" s="48"/>
      <c r="BR837" s="18" t="s">
        <v>189</v>
      </c>
      <c r="BS837" s="18" t="s">
        <v>3584</v>
      </c>
      <c r="BT837" s="54" t="str">
        <f t="shared" si="178"/>
        <v>Marketing</v>
      </c>
    </row>
    <row r="838" spans="17:72">
      <c r="Q838" s="19">
        <v>6.97</v>
      </c>
      <c r="R838" s="56" t="str">
        <f t="shared" si="177"/>
        <v>Yes</v>
      </c>
      <c r="W838" s="19" t="s">
        <v>189</v>
      </c>
      <c r="X838" s="54" t="str">
        <f>VLOOKUP(W838,Employees!$A$1:$B$601,2,FALSE)</f>
        <v>Chinmaya Biswal</v>
      </c>
      <c r="AW838" s="54"/>
      <c r="AX838" s="54"/>
      <c r="BI838" s="48"/>
      <c r="BJ838" s="38"/>
      <c r="BK838" s="38"/>
      <c r="BL838" s="38"/>
      <c r="BM838"/>
      <c r="BN838" s="48"/>
      <c r="BR838" s="19" t="s">
        <v>189</v>
      </c>
      <c r="BS838" s="19" t="s">
        <v>3585</v>
      </c>
      <c r="BT838" s="54" t="str">
        <f t="shared" si="178"/>
        <v>Marketing</v>
      </c>
    </row>
    <row r="839" spans="17:72">
      <c r="Q839" s="18">
        <v>8.5399999999999991</v>
      </c>
      <c r="R839" s="56" t="str">
        <f t="shared" si="177"/>
        <v>Yes</v>
      </c>
      <c r="W839" s="18" t="s">
        <v>189</v>
      </c>
      <c r="X839" s="54" t="str">
        <f>VLOOKUP(W839,Employees!$A$1:$B$601,2,FALSE)</f>
        <v>Chinmaya Biswal</v>
      </c>
      <c r="AW839" s="54"/>
      <c r="AX839" s="54"/>
      <c r="BI839" s="48"/>
      <c r="BJ839" s="38"/>
      <c r="BK839" s="38"/>
      <c r="BL839" s="38"/>
      <c r="BM839"/>
      <c r="BN839" s="48"/>
      <c r="BR839" s="18" t="s">
        <v>189</v>
      </c>
      <c r="BS839" s="18" t="s">
        <v>3586</v>
      </c>
      <c r="BT839" s="54" t="str">
        <f t="shared" si="178"/>
        <v>Marketing</v>
      </c>
    </row>
    <row r="840" spans="17:72">
      <c r="Q840" s="19">
        <v>10.7</v>
      </c>
      <c r="R840" s="56" t="str">
        <f t="shared" si="177"/>
        <v>Yes</v>
      </c>
      <c r="W840" s="19" t="s">
        <v>189</v>
      </c>
      <c r="X840" s="54" t="str">
        <f>VLOOKUP(W840,Employees!$A$1:$B$601,2,FALSE)</f>
        <v>Chinmaya Biswal</v>
      </c>
      <c r="AW840" s="54"/>
      <c r="AX840" s="54"/>
      <c r="BI840" s="48"/>
      <c r="BJ840" s="38"/>
      <c r="BK840" s="38"/>
      <c r="BL840" s="38"/>
      <c r="BM840"/>
      <c r="BN840" s="48"/>
      <c r="BR840" s="19" t="s">
        <v>189</v>
      </c>
      <c r="BS840" s="19" t="s">
        <v>3587</v>
      </c>
      <c r="BT840" s="54" t="str">
        <f t="shared" si="178"/>
        <v>Marketing</v>
      </c>
    </row>
    <row r="841" spans="17:72">
      <c r="Q841" s="18">
        <v>10.06</v>
      </c>
      <c r="R841" s="56" t="str">
        <f t="shared" si="177"/>
        <v>Yes</v>
      </c>
      <c r="W841" s="18" t="s">
        <v>189</v>
      </c>
      <c r="X841" s="54" t="str">
        <f>VLOOKUP(W841,Employees!$A$1:$B$601,2,FALSE)</f>
        <v>Chinmaya Biswal</v>
      </c>
      <c r="AW841" s="54"/>
      <c r="AX841" s="54"/>
      <c r="BI841" s="48"/>
      <c r="BJ841" s="38"/>
      <c r="BK841" s="38"/>
      <c r="BL841" s="38"/>
      <c r="BM841"/>
      <c r="BN841" s="48"/>
      <c r="BR841" s="18" t="s">
        <v>189</v>
      </c>
      <c r="BS841" s="18" t="s">
        <v>3588</v>
      </c>
      <c r="BT841" s="54" t="str">
        <f t="shared" si="178"/>
        <v>Marketing</v>
      </c>
    </row>
    <row r="842" spans="17:72">
      <c r="Q842" s="19">
        <v>10.43</v>
      </c>
      <c r="R842" s="56" t="str">
        <f t="shared" si="177"/>
        <v>Yes</v>
      </c>
      <c r="W842" s="19" t="s">
        <v>189</v>
      </c>
      <c r="X842" s="54" t="str">
        <f>VLOOKUP(W842,Employees!$A$1:$B$601,2,FALSE)</f>
        <v>Chinmaya Biswal</v>
      </c>
      <c r="AW842" s="54"/>
      <c r="AX842" s="54"/>
      <c r="BI842" s="48"/>
      <c r="BJ842" s="38"/>
      <c r="BK842" s="38"/>
      <c r="BL842" s="38"/>
      <c r="BM842"/>
      <c r="BN842" s="48"/>
      <c r="BR842" s="19" t="s">
        <v>189</v>
      </c>
      <c r="BS842" s="19" t="s">
        <v>3589</v>
      </c>
      <c r="BT842" s="54" t="str">
        <f t="shared" si="178"/>
        <v>Marketing</v>
      </c>
    </row>
    <row r="843" spans="17:72">
      <c r="Q843" s="18">
        <v>10.36</v>
      </c>
      <c r="R843" s="56" t="str">
        <f t="shared" si="177"/>
        <v>Yes</v>
      </c>
      <c r="W843" s="18" t="s">
        <v>189</v>
      </c>
      <c r="X843" s="54" t="str">
        <f>VLOOKUP(W843,Employees!$A$1:$B$601,2,FALSE)</f>
        <v>Chinmaya Biswal</v>
      </c>
      <c r="AW843" s="54"/>
      <c r="AX843" s="54"/>
      <c r="BI843" s="48"/>
      <c r="BJ843" s="38"/>
      <c r="BK843" s="38"/>
      <c r="BL843" s="38"/>
      <c r="BM843"/>
      <c r="BN843" s="48"/>
      <c r="BR843" s="18" t="s">
        <v>189</v>
      </c>
      <c r="BS843" s="18" t="s">
        <v>3590</v>
      </c>
      <c r="BT843" s="54" t="str">
        <f t="shared" si="178"/>
        <v>Marketing</v>
      </c>
    </row>
    <row r="844" spans="17:72">
      <c r="Q844" s="19">
        <v>6.85</v>
      </c>
      <c r="R844" s="56" t="str">
        <f t="shared" si="177"/>
        <v>Yes</v>
      </c>
      <c r="W844" s="19" t="s">
        <v>189</v>
      </c>
      <c r="X844" s="54" t="str">
        <f>VLOOKUP(W844,Employees!$A$1:$B$601,2,FALSE)</f>
        <v>Chinmaya Biswal</v>
      </c>
      <c r="AW844" s="54"/>
      <c r="AX844" s="54"/>
      <c r="BI844" s="48"/>
      <c r="BJ844" s="38"/>
      <c r="BK844" s="38"/>
      <c r="BL844" s="38"/>
      <c r="BM844"/>
      <c r="BN844" s="48"/>
      <c r="BR844" s="19" t="s">
        <v>189</v>
      </c>
      <c r="BS844" s="19" t="s">
        <v>3591</v>
      </c>
      <c r="BT844" s="54" t="str">
        <f t="shared" si="178"/>
        <v>Marketing</v>
      </c>
    </row>
    <row r="845" spans="17:72">
      <c r="Q845" s="18">
        <v>9.68</v>
      </c>
      <c r="R845" s="56" t="str">
        <f t="shared" si="177"/>
        <v>Yes</v>
      </c>
      <c r="W845" s="18" t="s">
        <v>189</v>
      </c>
      <c r="X845" s="54" t="str">
        <f>VLOOKUP(W845,Employees!$A$1:$B$601,2,FALSE)</f>
        <v>Chinmaya Biswal</v>
      </c>
      <c r="AW845" s="54"/>
      <c r="AX845" s="54"/>
      <c r="BI845" s="48"/>
      <c r="BJ845" s="38"/>
      <c r="BK845" s="38"/>
      <c r="BL845" s="38"/>
      <c r="BM845"/>
      <c r="BN845" s="48"/>
      <c r="BR845" s="18" t="s">
        <v>189</v>
      </c>
      <c r="BS845" s="18" t="s">
        <v>3592</v>
      </c>
      <c r="BT845" s="54" t="str">
        <f t="shared" si="178"/>
        <v>Marketing</v>
      </c>
    </row>
    <row r="846" spans="17:72">
      <c r="Q846" s="19">
        <v>6.84</v>
      </c>
      <c r="R846" s="56" t="str">
        <f t="shared" si="177"/>
        <v>Yes</v>
      </c>
      <c r="W846" s="19" t="s">
        <v>189</v>
      </c>
      <c r="X846" s="54" t="str">
        <f>VLOOKUP(W846,Employees!$A$1:$B$601,2,FALSE)</f>
        <v>Chinmaya Biswal</v>
      </c>
      <c r="AW846" s="54"/>
      <c r="AX846" s="54"/>
      <c r="BI846" s="48"/>
      <c r="BJ846" s="38"/>
      <c r="BK846" s="38"/>
      <c r="BL846" s="38"/>
      <c r="BM846"/>
      <c r="BN846" s="48"/>
      <c r="BR846" s="19" t="s">
        <v>189</v>
      </c>
      <c r="BS846" s="19" t="s">
        <v>3594</v>
      </c>
      <c r="BT846" s="54" t="str">
        <f t="shared" si="178"/>
        <v>Marketing</v>
      </c>
    </row>
    <row r="847" spans="17:72">
      <c r="Q847" s="18">
        <v>11.17</v>
      </c>
      <c r="R847" s="56" t="str">
        <f t="shared" si="177"/>
        <v>Yes</v>
      </c>
      <c r="W847" s="18" t="s">
        <v>189</v>
      </c>
      <c r="X847" s="54" t="str">
        <f>VLOOKUP(W847,Employees!$A$1:$B$601,2,FALSE)</f>
        <v>Chinmaya Biswal</v>
      </c>
      <c r="AW847" s="54"/>
      <c r="AX847" s="54"/>
      <c r="BI847" s="48"/>
      <c r="BJ847" s="38"/>
      <c r="BK847" s="38"/>
      <c r="BL847" s="38"/>
      <c r="BM847"/>
      <c r="BN847" s="48"/>
      <c r="BR847" s="18" t="s">
        <v>189</v>
      </c>
      <c r="BS847" s="18" t="s">
        <v>3595</v>
      </c>
      <c r="BT847" s="54" t="str">
        <f t="shared" si="178"/>
        <v>Marketing</v>
      </c>
    </row>
    <row r="848" spans="17:72">
      <c r="Q848" s="19">
        <v>9.6999999999999993</v>
      </c>
      <c r="R848" s="56" t="str">
        <f t="shared" si="177"/>
        <v>Yes</v>
      </c>
      <c r="W848" s="19" t="s">
        <v>189</v>
      </c>
      <c r="X848" s="54" t="str">
        <f>VLOOKUP(W848,Employees!$A$1:$B$601,2,FALSE)</f>
        <v>Chinmaya Biswal</v>
      </c>
      <c r="AW848" s="54"/>
      <c r="AX848" s="54"/>
      <c r="BI848" s="48"/>
      <c r="BJ848" s="38"/>
      <c r="BK848" s="38"/>
      <c r="BL848" s="38"/>
      <c r="BM848"/>
      <c r="BN848" s="48"/>
      <c r="BR848" s="19" t="s">
        <v>189</v>
      </c>
      <c r="BS848" s="19" t="s">
        <v>3596</v>
      </c>
      <c r="BT848" s="54" t="str">
        <f t="shared" si="178"/>
        <v>Marketing</v>
      </c>
    </row>
    <row r="849" spans="17:72">
      <c r="Q849" s="18">
        <v>11.06</v>
      </c>
      <c r="R849" s="56" t="str">
        <f t="shared" si="177"/>
        <v>Yes</v>
      </c>
      <c r="W849" s="18" t="s">
        <v>189</v>
      </c>
      <c r="X849" s="54" t="str">
        <f>VLOOKUP(W849,Employees!$A$1:$B$601,2,FALSE)</f>
        <v>Chinmaya Biswal</v>
      </c>
      <c r="AW849" s="54"/>
      <c r="AX849" s="54"/>
      <c r="BI849" s="48"/>
      <c r="BJ849" s="38"/>
      <c r="BK849" s="38"/>
      <c r="BL849" s="38"/>
      <c r="BM849"/>
      <c r="BN849" s="48"/>
      <c r="BR849" s="18" t="s">
        <v>189</v>
      </c>
      <c r="BS849" s="18" t="s">
        <v>3598</v>
      </c>
      <c r="BT849" s="54" t="str">
        <f t="shared" si="178"/>
        <v>Marketing</v>
      </c>
    </row>
    <row r="850" spans="17:72">
      <c r="Q850" s="19">
        <v>8.06</v>
      </c>
      <c r="R850" s="56" t="str">
        <f t="shared" si="177"/>
        <v>Yes</v>
      </c>
      <c r="W850" s="19" t="s">
        <v>189</v>
      </c>
      <c r="X850" s="54" t="str">
        <f>VLOOKUP(W850,Employees!$A$1:$B$601,2,FALSE)</f>
        <v>Chinmaya Biswal</v>
      </c>
      <c r="AW850" s="54"/>
      <c r="AX850" s="54"/>
      <c r="BI850" s="48"/>
      <c r="BJ850" s="38"/>
      <c r="BK850" s="38"/>
      <c r="BL850" s="38"/>
      <c r="BM850"/>
      <c r="BN850" s="48"/>
      <c r="BR850" s="19" t="s">
        <v>189</v>
      </c>
      <c r="BS850" s="19" t="s">
        <v>3600</v>
      </c>
      <c r="BT850" s="54" t="str">
        <f t="shared" si="178"/>
        <v>Marketing</v>
      </c>
    </row>
    <row r="851" spans="17:72">
      <c r="Q851" s="18">
        <v>8.76</v>
      </c>
      <c r="R851" s="56" t="str">
        <f t="shared" si="177"/>
        <v>Yes</v>
      </c>
      <c r="W851" s="18" t="s">
        <v>189</v>
      </c>
      <c r="X851" s="54" t="str">
        <f>VLOOKUP(W851,Employees!$A$1:$B$601,2,FALSE)</f>
        <v>Chinmaya Biswal</v>
      </c>
      <c r="AW851" s="54"/>
      <c r="AX851" s="54"/>
      <c r="BI851" s="48"/>
      <c r="BJ851" s="38"/>
      <c r="BK851" s="38"/>
      <c r="BL851" s="38"/>
      <c r="BM851"/>
      <c r="BN851" s="48"/>
      <c r="BR851" s="18" t="s">
        <v>189</v>
      </c>
      <c r="BS851" s="18" t="s">
        <v>3601</v>
      </c>
      <c r="BT851" s="54" t="str">
        <f t="shared" si="178"/>
        <v>Marketing</v>
      </c>
    </row>
    <row r="852" spans="17:72">
      <c r="Q852" s="19">
        <v>10.49</v>
      </c>
      <c r="R852" s="56" t="str">
        <f t="shared" si="177"/>
        <v>Yes</v>
      </c>
      <c r="W852" s="19" t="s">
        <v>189</v>
      </c>
      <c r="X852" s="54" t="str">
        <f>VLOOKUP(W852,Employees!$A$1:$B$601,2,FALSE)</f>
        <v>Chinmaya Biswal</v>
      </c>
      <c r="AW852" s="54"/>
      <c r="AX852" s="54"/>
      <c r="BI852" s="48"/>
      <c r="BJ852" s="38"/>
      <c r="BK852" s="38"/>
      <c r="BL852" s="38"/>
      <c r="BM852"/>
      <c r="BN852" s="48"/>
      <c r="BR852" s="19" t="s">
        <v>189</v>
      </c>
      <c r="BS852" s="19" t="s">
        <v>3602</v>
      </c>
      <c r="BT852" s="54" t="str">
        <f t="shared" si="178"/>
        <v>Marketing</v>
      </c>
    </row>
    <row r="853" spans="17:72">
      <c r="Q853" s="18">
        <v>7.25</v>
      </c>
      <c r="R853" s="56" t="str">
        <f t="shared" si="177"/>
        <v>Yes</v>
      </c>
      <c r="W853" s="18" t="s">
        <v>189</v>
      </c>
      <c r="X853" s="54" t="str">
        <f>VLOOKUP(W853,Employees!$A$1:$B$601,2,FALSE)</f>
        <v>Chinmaya Biswal</v>
      </c>
      <c r="AW853" s="54"/>
      <c r="AX853" s="54"/>
      <c r="BI853" s="48"/>
      <c r="BJ853" s="38"/>
      <c r="BK853" s="38"/>
      <c r="BL853" s="38"/>
      <c r="BM853"/>
      <c r="BN853" s="48"/>
      <c r="BR853" s="18" t="s">
        <v>189</v>
      </c>
      <c r="BS853" s="18" t="s">
        <v>3603</v>
      </c>
      <c r="BT853" s="54" t="str">
        <f t="shared" si="178"/>
        <v>Marketing</v>
      </c>
    </row>
    <row r="854" spans="17:72">
      <c r="Q854" s="19">
        <v>9.06</v>
      </c>
      <c r="R854" s="56" t="str">
        <f t="shared" si="177"/>
        <v>Yes</v>
      </c>
      <c r="W854" s="19" t="s">
        <v>189</v>
      </c>
      <c r="X854" s="54" t="str">
        <f>VLOOKUP(W854,Employees!$A$1:$B$601,2,FALSE)</f>
        <v>Chinmaya Biswal</v>
      </c>
      <c r="AW854" s="54"/>
      <c r="AX854" s="54"/>
      <c r="BI854" s="48"/>
      <c r="BJ854" s="38"/>
      <c r="BK854" s="38"/>
      <c r="BL854" s="38"/>
      <c r="BM854"/>
      <c r="BN854" s="48"/>
      <c r="BR854" s="19" t="s">
        <v>189</v>
      </c>
      <c r="BS854" s="19" t="s">
        <v>3604</v>
      </c>
      <c r="BT854" s="54" t="str">
        <f t="shared" si="178"/>
        <v>Marketing</v>
      </c>
    </row>
    <row r="855" spans="17:72">
      <c r="Q855" s="18">
        <v>10.3</v>
      </c>
      <c r="R855" s="56" t="str">
        <f t="shared" si="177"/>
        <v>Yes</v>
      </c>
      <c r="W855" s="18" t="s">
        <v>189</v>
      </c>
      <c r="X855" s="54" t="str">
        <f>VLOOKUP(W855,Employees!$A$1:$B$601,2,FALSE)</f>
        <v>Chinmaya Biswal</v>
      </c>
      <c r="AW855" s="54"/>
      <c r="AX855" s="54"/>
      <c r="BI855" s="48"/>
      <c r="BJ855" s="38"/>
      <c r="BK855" s="38"/>
      <c r="BL855" s="38"/>
      <c r="BM855"/>
      <c r="BN855" s="48"/>
      <c r="BR855" s="18" t="s">
        <v>189</v>
      </c>
      <c r="BS855" s="18" t="s">
        <v>3605</v>
      </c>
      <c r="BT855" s="54" t="str">
        <f t="shared" si="178"/>
        <v>Marketing</v>
      </c>
    </row>
    <row r="856" spans="17:72">
      <c r="Q856" s="19">
        <v>11.24</v>
      </c>
      <c r="R856" s="56" t="str">
        <f t="shared" si="177"/>
        <v>Yes</v>
      </c>
      <c r="W856" s="19" t="s">
        <v>189</v>
      </c>
      <c r="X856" s="54" t="str">
        <f>VLOOKUP(W856,Employees!$A$1:$B$601,2,FALSE)</f>
        <v>Chinmaya Biswal</v>
      </c>
      <c r="AW856" s="54"/>
      <c r="AX856" s="54"/>
      <c r="BI856" s="48"/>
      <c r="BJ856" s="38"/>
      <c r="BK856" s="38"/>
      <c r="BL856" s="38"/>
      <c r="BM856"/>
      <c r="BN856" s="48"/>
      <c r="BR856" s="19" t="s">
        <v>189</v>
      </c>
      <c r="BS856" s="19" t="s">
        <v>3606</v>
      </c>
      <c r="BT856" s="54" t="str">
        <f t="shared" si="178"/>
        <v>Marketing</v>
      </c>
    </row>
    <row r="857" spans="17:72">
      <c r="Q857" s="18">
        <v>6.68</v>
      </c>
      <c r="R857" s="56" t="str">
        <f t="shared" si="177"/>
        <v>Yes</v>
      </c>
      <c r="W857" s="18" t="s">
        <v>189</v>
      </c>
      <c r="X857" s="54" t="str">
        <f>VLOOKUP(W857,Employees!$A$1:$B$601,2,FALSE)</f>
        <v>Chinmaya Biswal</v>
      </c>
      <c r="AW857" s="54"/>
      <c r="AX857" s="54"/>
      <c r="BI857" s="48"/>
      <c r="BJ857" s="38"/>
      <c r="BK857" s="38"/>
      <c r="BL857" s="38"/>
      <c r="BM857"/>
      <c r="BN857" s="48"/>
      <c r="BR857" s="18" t="s">
        <v>189</v>
      </c>
      <c r="BS857" s="18" t="s">
        <v>3607</v>
      </c>
      <c r="BT857" s="54" t="str">
        <f t="shared" si="178"/>
        <v>Marketing</v>
      </c>
    </row>
    <row r="858" spans="17:72">
      <c r="Q858" s="19">
        <v>10.33</v>
      </c>
      <c r="R858" s="56" t="str">
        <f t="shared" si="177"/>
        <v>Yes</v>
      </c>
      <c r="W858" s="19" t="s">
        <v>189</v>
      </c>
      <c r="X858" s="54" t="str">
        <f>VLOOKUP(W858,Employees!$A$1:$B$601,2,FALSE)</f>
        <v>Chinmaya Biswal</v>
      </c>
      <c r="AW858" s="54"/>
      <c r="AX858" s="54"/>
      <c r="BI858" s="48"/>
      <c r="BJ858" s="38"/>
      <c r="BK858" s="38"/>
      <c r="BL858" s="38"/>
      <c r="BM858"/>
      <c r="BN858" s="48"/>
      <c r="BR858" s="19" t="s">
        <v>189</v>
      </c>
      <c r="BS858" s="19" t="s">
        <v>3608</v>
      </c>
      <c r="BT858" s="54" t="str">
        <f t="shared" si="178"/>
        <v>Marketing</v>
      </c>
    </row>
    <row r="859" spans="17:72">
      <c r="Q859" s="18">
        <v>8.19</v>
      </c>
      <c r="R859" s="56" t="str">
        <f t="shared" si="177"/>
        <v>Yes</v>
      </c>
      <c r="W859" s="18" t="s">
        <v>189</v>
      </c>
      <c r="X859" s="54" t="str">
        <f>VLOOKUP(W859,Employees!$A$1:$B$601,2,FALSE)</f>
        <v>Chinmaya Biswal</v>
      </c>
      <c r="AW859" s="54"/>
      <c r="AX859" s="54"/>
      <c r="BI859" s="48"/>
      <c r="BJ859" s="38"/>
      <c r="BK859" s="38"/>
      <c r="BL859" s="38"/>
      <c r="BM859"/>
      <c r="BN859" s="48"/>
      <c r="BR859" s="18" t="s">
        <v>189</v>
      </c>
      <c r="BS859" s="18" t="s">
        <v>3609</v>
      </c>
      <c r="BT859" s="54" t="str">
        <f t="shared" si="178"/>
        <v>Marketing</v>
      </c>
    </row>
    <row r="860" spans="17:72">
      <c r="Q860" s="19">
        <v>7.68</v>
      </c>
      <c r="R860" s="56" t="str">
        <f t="shared" si="177"/>
        <v>Yes</v>
      </c>
      <c r="W860" s="19" t="s">
        <v>189</v>
      </c>
      <c r="X860" s="54" t="str">
        <f>VLOOKUP(W860,Employees!$A$1:$B$601,2,FALSE)</f>
        <v>Chinmaya Biswal</v>
      </c>
      <c r="AW860" s="54"/>
      <c r="AX860" s="54"/>
      <c r="BI860" s="48"/>
      <c r="BJ860" s="38"/>
      <c r="BK860" s="38"/>
      <c r="BL860" s="38"/>
      <c r="BM860"/>
      <c r="BN860" s="48"/>
      <c r="BR860" s="19" t="s">
        <v>189</v>
      </c>
      <c r="BS860" s="19" t="s">
        <v>3610</v>
      </c>
      <c r="BT860" s="54" t="str">
        <f t="shared" si="178"/>
        <v>Marketing</v>
      </c>
    </row>
    <row r="861" spans="17:72">
      <c r="Q861" s="18">
        <v>10.130000000000001</v>
      </c>
      <c r="R861" s="56" t="str">
        <f t="shared" si="177"/>
        <v>Yes</v>
      </c>
      <c r="W861" s="18" t="s">
        <v>189</v>
      </c>
      <c r="X861" s="54" t="str">
        <f>VLOOKUP(W861,Employees!$A$1:$B$601,2,FALSE)</f>
        <v>Chinmaya Biswal</v>
      </c>
      <c r="AW861" s="54"/>
      <c r="AX861" s="54"/>
      <c r="BI861" s="48"/>
      <c r="BJ861" s="38"/>
      <c r="BK861" s="38"/>
      <c r="BL861" s="38"/>
      <c r="BM861"/>
      <c r="BN861" s="48"/>
      <c r="BR861" s="18" t="s">
        <v>189</v>
      </c>
      <c r="BS861" s="18" t="s">
        <v>3612</v>
      </c>
      <c r="BT861" s="54" t="str">
        <f t="shared" si="178"/>
        <v>Marketing</v>
      </c>
    </row>
    <row r="862" spans="17:72">
      <c r="Q862" s="19">
        <v>10</v>
      </c>
      <c r="R862" s="56" t="str">
        <f t="shared" si="177"/>
        <v>Yes</v>
      </c>
      <c r="W862" s="19" t="s">
        <v>1140</v>
      </c>
      <c r="X862" s="54" t="str">
        <f>VLOOKUP(W862,Employees!$A$1:$B$601,2,FALSE)</f>
        <v>Saurav Nanda</v>
      </c>
      <c r="AW862" s="54"/>
      <c r="AX862" s="54"/>
      <c r="BI862" s="48"/>
      <c r="BJ862" s="38"/>
      <c r="BK862" s="38"/>
      <c r="BL862" s="38"/>
      <c r="BM862"/>
      <c r="BN862" s="48"/>
      <c r="BR862" s="19" t="s">
        <v>1140</v>
      </c>
      <c r="BS862" s="19" t="s">
        <v>3613</v>
      </c>
      <c r="BT862" s="54" t="str">
        <f t="shared" si="178"/>
        <v>Sales</v>
      </c>
    </row>
    <row r="863" spans="17:72">
      <c r="Q863" s="18">
        <v>6.96</v>
      </c>
      <c r="R863" s="56" t="str">
        <f t="shared" si="177"/>
        <v>Yes</v>
      </c>
      <c r="W863" s="18" t="s">
        <v>1140</v>
      </c>
      <c r="X863" s="54" t="str">
        <f>VLOOKUP(W863,Employees!$A$1:$B$601,2,FALSE)</f>
        <v>Saurav Nanda</v>
      </c>
      <c r="AW863" s="54"/>
      <c r="AX863" s="54"/>
      <c r="BI863" s="48"/>
      <c r="BJ863" s="38"/>
      <c r="BK863" s="38"/>
      <c r="BL863" s="38"/>
      <c r="BM863"/>
      <c r="BN863" s="48"/>
      <c r="BR863" s="18" t="s">
        <v>1140</v>
      </c>
      <c r="BS863" s="18" t="s">
        <v>3614</v>
      </c>
      <c r="BT863" s="54" t="str">
        <f t="shared" si="178"/>
        <v>Sales</v>
      </c>
    </row>
    <row r="864" spans="17:72">
      <c r="Q864" s="19">
        <v>9.16</v>
      </c>
      <c r="R864" s="56" t="str">
        <f t="shared" si="177"/>
        <v>Yes</v>
      </c>
      <c r="W864" s="19" t="s">
        <v>1140</v>
      </c>
      <c r="X864" s="54" t="str">
        <f>VLOOKUP(W864,Employees!$A$1:$B$601,2,FALSE)</f>
        <v>Saurav Nanda</v>
      </c>
      <c r="AW864" s="54"/>
      <c r="AX864" s="54"/>
      <c r="BI864" s="48"/>
      <c r="BJ864" s="38"/>
      <c r="BK864" s="38"/>
      <c r="BL864" s="38"/>
      <c r="BM864"/>
      <c r="BN864" s="48"/>
      <c r="BR864" s="19" t="s">
        <v>1140</v>
      </c>
      <c r="BS864" s="19" t="s">
        <v>3616</v>
      </c>
      <c r="BT864" s="54" t="str">
        <f t="shared" si="178"/>
        <v>Sales</v>
      </c>
    </row>
    <row r="865" spans="17:72">
      <c r="Q865" s="18">
        <v>11.12</v>
      </c>
      <c r="R865" s="56" t="str">
        <f t="shared" si="177"/>
        <v>Yes</v>
      </c>
      <c r="W865" s="18" t="s">
        <v>1140</v>
      </c>
      <c r="X865" s="54" t="str">
        <f>VLOOKUP(W865,Employees!$A$1:$B$601,2,FALSE)</f>
        <v>Saurav Nanda</v>
      </c>
      <c r="AW865" s="54"/>
      <c r="AX865" s="54"/>
      <c r="BI865" s="48"/>
      <c r="BJ865" s="38"/>
      <c r="BK865" s="38"/>
      <c r="BL865" s="38"/>
      <c r="BM865"/>
      <c r="BN865" s="48"/>
      <c r="BR865" s="18" t="s">
        <v>1140</v>
      </c>
      <c r="BS865" s="18" t="s">
        <v>3617</v>
      </c>
      <c r="BT865" s="54" t="str">
        <f t="shared" si="178"/>
        <v>Sales</v>
      </c>
    </row>
    <row r="866" spans="17:72">
      <c r="Q866" s="19">
        <v>8.81</v>
      </c>
      <c r="R866" s="56" t="str">
        <f t="shared" si="177"/>
        <v>Yes</v>
      </c>
      <c r="W866" s="19" t="s">
        <v>1140</v>
      </c>
      <c r="X866" s="54" t="str">
        <f>VLOOKUP(W866,Employees!$A$1:$B$601,2,FALSE)</f>
        <v>Saurav Nanda</v>
      </c>
      <c r="AW866" s="54"/>
      <c r="AX866" s="54"/>
      <c r="BI866" s="48"/>
      <c r="BJ866" s="38"/>
      <c r="BK866" s="38"/>
      <c r="BL866" s="38"/>
      <c r="BM866"/>
      <c r="BN866" s="48"/>
      <c r="BR866" s="19" t="s">
        <v>1140</v>
      </c>
      <c r="BS866" s="19" t="s">
        <v>3618</v>
      </c>
      <c r="BT866" s="54" t="str">
        <f t="shared" si="178"/>
        <v>Sales</v>
      </c>
    </row>
    <row r="867" spans="17:72">
      <c r="Q867" s="18">
        <v>11.34</v>
      </c>
      <c r="R867" s="56" t="str">
        <f t="shared" si="177"/>
        <v>Yes</v>
      </c>
      <c r="W867" s="18" t="s">
        <v>1140</v>
      </c>
      <c r="X867" s="54" t="str">
        <f>VLOOKUP(W867,Employees!$A$1:$B$601,2,FALSE)</f>
        <v>Saurav Nanda</v>
      </c>
      <c r="AW867" s="54"/>
      <c r="AX867" s="54"/>
      <c r="BI867" s="48"/>
      <c r="BJ867" s="38"/>
      <c r="BK867" s="38"/>
      <c r="BL867" s="38"/>
      <c r="BM867"/>
      <c r="BN867" s="48"/>
      <c r="BR867" s="18" t="s">
        <v>1140</v>
      </c>
      <c r="BS867" s="18" t="s">
        <v>3619</v>
      </c>
      <c r="BT867" s="54" t="str">
        <f t="shared" si="178"/>
        <v>Sales</v>
      </c>
    </row>
    <row r="868" spans="17:72">
      <c r="Q868" s="19">
        <v>9.83</v>
      </c>
      <c r="R868" s="56" t="str">
        <f t="shared" si="177"/>
        <v>Yes</v>
      </c>
      <c r="W868" s="19" t="s">
        <v>1140</v>
      </c>
      <c r="X868" s="54" t="str">
        <f>VLOOKUP(W868,Employees!$A$1:$B$601,2,FALSE)</f>
        <v>Saurav Nanda</v>
      </c>
      <c r="AW868" s="54"/>
      <c r="AX868" s="54"/>
      <c r="BI868" s="48"/>
      <c r="BJ868" s="38"/>
      <c r="BK868" s="38"/>
      <c r="BL868" s="38"/>
      <c r="BM868"/>
      <c r="BN868" s="48"/>
      <c r="BR868" s="19" t="s">
        <v>1140</v>
      </c>
      <c r="BS868" s="19" t="s">
        <v>3621</v>
      </c>
      <c r="BT868" s="54" t="str">
        <f t="shared" si="178"/>
        <v>Sales</v>
      </c>
    </row>
    <row r="869" spans="17:72">
      <c r="Q869" s="18">
        <v>8.69</v>
      </c>
      <c r="R869" s="56" t="str">
        <f t="shared" si="177"/>
        <v>Yes</v>
      </c>
      <c r="W869" s="18" t="s">
        <v>1140</v>
      </c>
      <c r="X869" s="54" t="str">
        <f>VLOOKUP(W869,Employees!$A$1:$B$601,2,FALSE)</f>
        <v>Saurav Nanda</v>
      </c>
      <c r="AW869" s="54"/>
      <c r="AX869" s="54"/>
      <c r="BI869" s="48"/>
      <c r="BJ869" s="38"/>
      <c r="BK869" s="38"/>
      <c r="BL869" s="38"/>
      <c r="BM869"/>
      <c r="BN869" s="48"/>
      <c r="BR869" s="18" t="s">
        <v>1140</v>
      </c>
      <c r="BS869" s="18" t="s">
        <v>3622</v>
      </c>
      <c r="BT869" s="54" t="str">
        <f t="shared" si="178"/>
        <v>Sales</v>
      </c>
    </row>
    <row r="870" spans="17:72">
      <c r="Q870" s="19">
        <v>7.42</v>
      </c>
      <c r="R870" s="56" t="str">
        <f t="shared" si="177"/>
        <v>Yes</v>
      </c>
      <c r="W870" s="19" t="s">
        <v>1140</v>
      </c>
      <c r="X870" s="54" t="str">
        <f>VLOOKUP(W870,Employees!$A$1:$B$601,2,FALSE)</f>
        <v>Saurav Nanda</v>
      </c>
      <c r="AW870" s="54"/>
      <c r="AX870" s="54"/>
      <c r="BI870" s="48"/>
      <c r="BJ870" s="38"/>
      <c r="BK870" s="38"/>
      <c r="BL870" s="38"/>
      <c r="BM870"/>
      <c r="BN870" s="48"/>
      <c r="BR870" s="19" t="s">
        <v>1140</v>
      </c>
      <c r="BS870" s="19" t="s">
        <v>3623</v>
      </c>
      <c r="BT870" s="54" t="str">
        <f t="shared" si="178"/>
        <v>Sales</v>
      </c>
    </row>
    <row r="871" spans="17:72">
      <c r="Q871" s="18">
        <v>7.6</v>
      </c>
      <c r="R871" s="56" t="str">
        <f t="shared" si="177"/>
        <v>Yes</v>
      </c>
      <c r="W871" s="18" t="s">
        <v>1140</v>
      </c>
      <c r="X871" s="54" t="str">
        <f>VLOOKUP(W871,Employees!$A$1:$B$601,2,FALSE)</f>
        <v>Saurav Nanda</v>
      </c>
      <c r="AW871" s="54"/>
      <c r="AX871" s="54"/>
      <c r="BI871" s="48"/>
      <c r="BJ871" s="38"/>
      <c r="BK871" s="38"/>
      <c r="BL871" s="38"/>
      <c r="BM871"/>
      <c r="BN871" s="48"/>
      <c r="BR871" s="18" t="s">
        <v>1140</v>
      </c>
      <c r="BS871" s="18" t="s">
        <v>3624</v>
      </c>
      <c r="BT871" s="54" t="str">
        <f t="shared" si="178"/>
        <v>Sales</v>
      </c>
    </row>
    <row r="872" spans="17:72">
      <c r="Q872" s="19">
        <v>11.34</v>
      </c>
      <c r="R872" s="56" t="str">
        <f t="shared" si="177"/>
        <v>Yes</v>
      </c>
      <c r="W872" s="19" t="s">
        <v>1140</v>
      </c>
      <c r="X872" s="54" t="str">
        <f>VLOOKUP(W872,Employees!$A$1:$B$601,2,FALSE)</f>
        <v>Saurav Nanda</v>
      </c>
      <c r="AW872" s="54"/>
      <c r="AX872" s="54"/>
      <c r="BI872" s="48"/>
      <c r="BJ872" s="38"/>
      <c r="BK872" s="38"/>
      <c r="BL872" s="38"/>
      <c r="BM872"/>
      <c r="BN872" s="48"/>
      <c r="BR872" s="19" t="s">
        <v>1140</v>
      </c>
      <c r="BS872" s="19" t="s">
        <v>3625</v>
      </c>
      <c r="BT872" s="54" t="str">
        <f t="shared" si="178"/>
        <v>Sales</v>
      </c>
    </row>
    <row r="873" spans="17:72">
      <c r="Q873" s="18">
        <v>10.19</v>
      </c>
      <c r="R873" s="56" t="str">
        <f t="shared" si="177"/>
        <v>Yes</v>
      </c>
      <c r="W873" s="18" t="s">
        <v>1140</v>
      </c>
      <c r="X873" s="54" t="str">
        <f>VLOOKUP(W873,Employees!$A$1:$B$601,2,FALSE)</f>
        <v>Saurav Nanda</v>
      </c>
      <c r="AW873" s="54"/>
      <c r="AX873" s="54"/>
      <c r="BI873" s="48"/>
      <c r="BJ873" s="38"/>
      <c r="BK873" s="38"/>
      <c r="BL873" s="38"/>
      <c r="BM873"/>
      <c r="BN873" s="48"/>
      <c r="BR873" s="18" t="s">
        <v>1140</v>
      </c>
      <c r="BS873" s="18" t="s">
        <v>3626</v>
      </c>
      <c r="BT873" s="54" t="str">
        <f t="shared" si="178"/>
        <v>Sales</v>
      </c>
    </row>
    <row r="874" spans="17:72">
      <c r="Q874" s="19">
        <v>10.16</v>
      </c>
      <c r="R874" s="56" t="str">
        <f t="shared" si="177"/>
        <v>Yes</v>
      </c>
      <c r="W874" s="19" t="s">
        <v>1140</v>
      </c>
      <c r="X874" s="54" t="str">
        <f>VLOOKUP(W874,Employees!$A$1:$B$601,2,FALSE)</f>
        <v>Saurav Nanda</v>
      </c>
      <c r="AW874" s="54"/>
      <c r="AX874" s="54"/>
      <c r="BI874" s="48"/>
      <c r="BJ874" s="38"/>
      <c r="BK874" s="38"/>
      <c r="BL874" s="38"/>
      <c r="BM874"/>
      <c r="BN874" s="48"/>
      <c r="BR874" s="19" t="s">
        <v>1140</v>
      </c>
      <c r="BS874" s="19" t="s">
        <v>3627</v>
      </c>
      <c r="BT874" s="54" t="str">
        <f t="shared" si="178"/>
        <v>Sales</v>
      </c>
    </row>
    <row r="875" spans="17:72">
      <c r="Q875" s="18">
        <v>9.51</v>
      </c>
      <c r="R875" s="56" t="str">
        <f t="shared" si="177"/>
        <v>Yes</v>
      </c>
      <c r="W875" s="18" t="s">
        <v>1140</v>
      </c>
      <c r="X875" s="54" t="str">
        <f>VLOOKUP(W875,Employees!$A$1:$B$601,2,FALSE)</f>
        <v>Saurav Nanda</v>
      </c>
      <c r="AW875" s="54"/>
      <c r="AX875" s="54"/>
      <c r="BI875" s="48"/>
      <c r="BJ875" s="38"/>
      <c r="BK875" s="38"/>
      <c r="BL875" s="38"/>
      <c r="BM875"/>
      <c r="BN875" s="48"/>
      <c r="BR875" s="18" t="s">
        <v>1140</v>
      </c>
      <c r="BS875" s="18" t="s">
        <v>3628</v>
      </c>
      <c r="BT875" s="54" t="str">
        <f t="shared" si="178"/>
        <v>Sales</v>
      </c>
    </row>
    <row r="876" spans="17:72">
      <c r="Q876" s="19">
        <v>7.21</v>
      </c>
      <c r="R876" s="56" t="str">
        <f t="shared" si="177"/>
        <v>Yes</v>
      </c>
      <c r="W876" s="19" t="s">
        <v>1140</v>
      </c>
      <c r="X876" s="54" t="str">
        <f>VLOOKUP(W876,Employees!$A$1:$B$601,2,FALSE)</f>
        <v>Saurav Nanda</v>
      </c>
      <c r="AW876" s="54"/>
      <c r="AX876" s="54"/>
      <c r="BI876" s="48"/>
      <c r="BJ876" s="38"/>
      <c r="BK876" s="38"/>
      <c r="BL876" s="38"/>
      <c r="BM876"/>
      <c r="BN876" s="48"/>
      <c r="BR876" s="19" t="s">
        <v>1140</v>
      </c>
      <c r="BS876" s="19" t="s">
        <v>3629</v>
      </c>
      <c r="BT876" s="54" t="str">
        <f t="shared" si="178"/>
        <v>Sales</v>
      </c>
    </row>
    <row r="877" spans="17:72">
      <c r="Q877" s="18">
        <v>9.74</v>
      </c>
      <c r="R877" s="56" t="str">
        <f t="shared" si="177"/>
        <v>Yes</v>
      </c>
      <c r="W877" s="18" t="s">
        <v>1140</v>
      </c>
      <c r="X877" s="54" t="str">
        <f>VLOOKUP(W877,Employees!$A$1:$B$601,2,FALSE)</f>
        <v>Saurav Nanda</v>
      </c>
      <c r="AW877" s="54"/>
      <c r="AX877" s="54"/>
      <c r="BI877" s="48"/>
      <c r="BJ877" s="38"/>
      <c r="BK877" s="38"/>
      <c r="BL877" s="38"/>
      <c r="BM877"/>
      <c r="BN877" s="48"/>
      <c r="BR877" s="18" t="s">
        <v>1140</v>
      </c>
      <c r="BS877" s="18" t="s">
        <v>3630</v>
      </c>
      <c r="BT877" s="54" t="str">
        <f t="shared" si="178"/>
        <v>Sales</v>
      </c>
    </row>
    <row r="878" spans="17:72">
      <c r="Q878" s="19">
        <v>9.16</v>
      </c>
      <c r="R878" s="56" t="str">
        <f t="shared" si="177"/>
        <v>Yes</v>
      </c>
      <c r="W878" s="19" t="s">
        <v>1140</v>
      </c>
      <c r="X878" s="54" t="str">
        <f>VLOOKUP(W878,Employees!$A$1:$B$601,2,FALSE)</f>
        <v>Saurav Nanda</v>
      </c>
      <c r="AW878" s="54"/>
      <c r="AX878" s="54"/>
      <c r="BI878" s="48"/>
      <c r="BJ878" s="38"/>
      <c r="BK878" s="38"/>
      <c r="BL878" s="38"/>
      <c r="BM878"/>
      <c r="BN878" s="48"/>
      <c r="BR878" s="19" t="s">
        <v>1140</v>
      </c>
      <c r="BS878" s="19" t="s">
        <v>3631</v>
      </c>
      <c r="BT878" s="54" t="str">
        <f t="shared" si="178"/>
        <v>Sales</v>
      </c>
    </row>
    <row r="879" spans="17:72">
      <c r="Q879" s="18">
        <v>10.93</v>
      </c>
      <c r="R879" s="56" t="str">
        <f t="shared" si="177"/>
        <v>Yes</v>
      </c>
      <c r="W879" s="18" t="s">
        <v>1140</v>
      </c>
      <c r="X879" s="54" t="str">
        <f>VLOOKUP(W879,Employees!$A$1:$B$601,2,FALSE)</f>
        <v>Saurav Nanda</v>
      </c>
      <c r="AW879" s="54"/>
      <c r="AX879" s="54"/>
      <c r="BI879" s="48"/>
      <c r="BJ879" s="38"/>
      <c r="BK879" s="38"/>
      <c r="BL879" s="38"/>
      <c r="BM879"/>
      <c r="BN879" s="48"/>
      <c r="BR879" s="18" t="s">
        <v>1140</v>
      </c>
      <c r="BS879" s="18" t="s">
        <v>3632</v>
      </c>
      <c r="BT879" s="54" t="str">
        <f t="shared" si="178"/>
        <v>Sales</v>
      </c>
    </row>
    <row r="880" spans="17:72">
      <c r="Q880" s="19">
        <v>8.59</v>
      </c>
      <c r="R880" s="56" t="str">
        <f t="shared" si="177"/>
        <v>Yes</v>
      </c>
      <c r="W880" s="19" t="s">
        <v>1140</v>
      </c>
      <c r="X880" s="54" t="str">
        <f>VLOOKUP(W880,Employees!$A$1:$B$601,2,FALSE)</f>
        <v>Saurav Nanda</v>
      </c>
      <c r="AW880" s="54"/>
      <c r="AX880" s="54"/>
      <c r="BI880" s="48"/>
      <c r="BJ880" s="38"/>
      <c r="BK880" s="38"/>
      <c r="BL880" s="38"/>
      <c r="BM880"/>
      <c r="BN880" s="48"/>
      <c r="BR880" s="19" t="s">
        <v>1140</v>
      </c>
      <c r="BS880" s="19" t="s">
        <v>3633</v>
      </c>
      <c r="BT880" s="54" t="str">
        <f t="shared" si="178"/>
        <v>Sales</v>
      </c>
    </row>
    <row r="881" spans="17:72">
      <c r="Q881" s="18">
        <v>7.25</v>
      </c>
      <c r="R881" s="56" t="str">
        <f t="shared" si="177"/>
        <v>Yes</v>
      </c>
      <c r="W881" s="18" t="s">
        <v>1140</v>
      </c>
      <c r="X881" s="54" t="str">
        <f>VLOOKUP(W881,Employees!$A$1:$B$601,2,FALSE)</f>
        <v>Saurav Nanda</v>
      </c>
      <c r="AW881" s="54"/>
      <c r="AX881" s="54"/>
      <c r="BI881" s="48"/>
      <c r="BJ881" s="38"/>
      <c r="BK881" s="38"/>
      <c r="BL881" s="38"/>
      <c r="BM881"/>
      <c r="BN881" s="48"/>
      <c r="BR881" s="18" t="s">
        <v>1140</v>
      </c>
      <c r="BS881" s="18" t="s">
        <v>3636</v>
      </c>
      <c r="BT881" s="54" t="str">
        <f t="shared" si="178"/>
        <v>Sales</v>
      </c>
    </row>
    <row r="882" spans="17:72">
      <c r="Q882" s="19">
        <v>7.19</v>
      </c>
      <c r="R882" s="56" t="str">
        <f t="shared" si="177"/>
        <v>Yes</v>
      </c>
      <c r="W882" s="19" t="s">
        <v>1140</v>
      </c>
      <c r="X882" s="54" t="str">
        <f>VLOOKUP(W882,Employees!$A$1:$B$601,2,FALSE)</f>
        <v>Saurav Nanda</v>
      </c>
      <c r="AW882" s="54"/>
      <c r="AX882" s="54"/>
      <c r="BI882" s="48"/>
      <c r="BJ882" s="38"/>
      <c r="BK882" s="38"/>
      <c r="BL882" s="38"/>
      <c r="BM882"/>
      <c r="BN882" s="48"/>
      <c r="BR882" s="19" t="s">
        <v>1140</v>
      </c>
      <c r="BS882" s="19" t="s">
        <v>3637</v>
      </c>
      <c r="BT882" s="54" t="str">
        <f t="shared" si="178"/>
        <v>Sales</v>
      </c>
    </row>
    <row r="883" spans="17:72">
      <c r="Q883" s="18">
        <v>10.15</v>
      </c>
      <c r="R883" s="56" t="str">
        <f t="shared" si="177"/>
        <v>Yes</v>
      </c>
      <c r="W883" s="18" t="s">
        <v>1140</v>
      </c>
      <c r="X883" s="54" t="str">
        <f>VLOOKUP(W883,Employees!$A$1:$B$601,2,FALSE)</f>
        <v>Saurav Nanda</v>
      </c>
      <c r="AW883" s="54"/>
      <c r="AX883" s="54"/>
      <c r="BI883" s="48"/>
      <c r="BJ883" s="38"/>
      <c r="BK883" s="38"/>
      <c r="BL883" s="38"/>
      <c r="BM883"/>
      <c r="BN883" s="48"/>
      <c r="BR883" s="18" t="s">
        <v>1140</v>
      </c>
      <c r="BS883" s="18" t="s">
        <v>3638</v>
      </c>
      <c r="BT883" s="54" t="str">
        <f t="shared" si="178"/>
        <v>Sales</v>
      </c>
    </row>
    <row r="884" spans="17:72">
      <c r="Q884" s="19">
        <v>9.73</v>
      </c>
      <c r="R884" s="56" t="str">
        <f t="shared" si="177"/>
        <v>Yes</v>
      </c>
      <c r="W884" s="19" t="s">
        <v>1140</v>
      </c>
      <c r="X884" s="54" t="str">
        <f>VLOOKUP(W884,Employees!$A$1:$B$601,2,FALSE)</f>
        <v>Saurav Nanda</v>
      </c>
      <c r="AW884" s="54"/>
      <c r="AX884" s="54"/>
      <c r="BI884" s="48"/>
      <c r="BJ884" s="38"/>
      <c r="BK884" s="38"/>
      <c r="BL884" s="38"/>
      <c r="BM884"/>
      <c r="BN884" s="48"/>
      <c r="BR884" s="19" t="s">
        <v>1140</v>
      </c>
      <c r="BS884" s="19" t="s">
        <v>3639</v>
      </c>
      <c r="BT884" s="54" t="str">
        <f t="shared" si="178"/>
        <v>Sales</v>
      </c>
    </row>
    <row r="885" spans="17:72">
      <c r="Q885" s="18">
        <v>9.8000000000000007</v>
      </c>
      <c r="R885" s="56" t="str">
        <f t="shared" si="177"/>
        <v>Yes</v>
      </c>
      <c r="W885" s="18" t="s">
        <v>1140</v>
      </c>
      <c r="X885" s="54" t="str">
        <f>VLOOKUP(W885,Employees!$A$1:$B$601,2,FALSE)</f>
        <v>Saurav Nanda</v>
      </c>
      <c r="AW885" s="54"/>
      <c r="AX885" s="54"/>
      <c r="BI885" s="48"/>
      <c r="BJ885" s="38"/>
      <c r="BK885" s="38"/>
      <c r="BL885" s="38"/>
      <c r="BM885"/>
      <c r="BN885" s="48"/>
      <c r="BR885" s="18" t="s">
        <v>1140</v>
      </c>
      <c r="BS885" s="18" t="s">
        <v>3640</v>
      </c>
      <c r="BT885" s="54" t="str">
        <f t="shared" si="178"/>
        <v>Sales</v>
      </c>
    </row>
    <row r="886" spans="17:72">
      <c r="Q886" s="19">
        <v>8.9600000000000009</v>
      </c>
      <c r="R886" s="56" t="str">
        <f t="shared" si="177"/>
        <v>Yes</v>
      </c>
      <c r="W886" s="19" t="s">
        <v>1140</v>
      </c>
      <c r="X886" s="54" t="str">
        <f>VLOOKUP(W886,Employees!$A$1:$B$601,2,FALSE)</f>
        <v>Saurav Nanda</v>
      </c>
      <c r="AW886" s="54"/>
      <c r="AX886" s="54"/>
      <c r="BI886" s="48"/>
      <c r="BJ886" s="38"/>
      <c r="BK886" s="38"/>
      <c r="BL886" s="38"/>
      <c r="BM886"/>
      <c r="BN886" s="48"/>
      <c r="BR886" s="19" t="s">
        <v>1140</v>
      </c>
      <c r="BS886" s="19" t="s">
        <v>3641</v>
      </c>
      <c r="BT886" s="54" t="str">
        <f t="shared" si="178"/>
        <v>Sales</v>
      </c>
    </row>
    <row r="887" spans="17:72">
      <c r="Q887" s="18">
        <v>11.33</v>
      </c>
      <c r="R887" s="56" t="str">
        <f t="shared" si="177"/>
        <v>Yes</v>
      </c>
      <c r="W887" s="18" t="s">
        <v>1140</v>
      </c>
      <c r="X887" s="54" t="str">
        <f>VLOOKUP(W887,Employees!$A$1:$B$601,2,FALSE)</f>
        <v>Saurav Nanda</v>
      </c>
      <c r="AW887" s="54"/>
      <c r="AX887" s="54"/>
      <c r="BI887" s="48"/>
      <c r="BJ887" s="38"/>
      <c r="BK887" s="38"/>
      <c r="BL887" s="38"/>
      <c r="BM887"/>
      <c r="BN887" s="48"/>
      <c r="BR887" s="18" t="s">
        <v>1140</v>
      </c>
      <c r="BS887" s="18" t="s">
        <v>3642</v>
      </c>
      <c r="BT887" s="54" t="str">
        <f t="shared" si="178"/>
        <v>Sales</v>
      </c>
    </row>
    <row r="888" spans="17:72">
      <c r="Q888" s="19"/>
      <c r="R888" s="56" t="str">
        <f t="shared" si="177"/>
        <v>No</v>
      </c>
      <c r="W888" s="19" t="s">
        <v>1140</v>
      </c>
      <c r="X888" s="54" t="str">
        <f>VLOOKUP(W888,Employees!$A$1:$B$601,2,FALSE)</f>
        <v>Saurav Nanda</v>
      </c>
      <c r="AW888" s="54"/>
      <c r="AX888" s="54"/>
      <c r="BI888" s="48"/>
      <c r="BJ888" s="38"/>
      <c r="BK888" s="38"/>
      <c r="BL888" s="38"/>
      <c r="BM888"/>
      <c r="BN888" s="48"/>
      <c r="BR888" s="19" t="s">
        <v>1140</v>
      </c>
      <c r="BS888" s="19" t="s">
        <v>3644</v>
      </c>
      <c r="BT888" s="54" t="str">
        <f t="shared" si="178"/>
        <v>Sales</v>
      </c>
    </row>
    <row r="889" spans="17:72">
      <c r="Q889" s="18">
        <v>8.64</v>
      </c>
      <c r="R889" s="56" t="str">
        <f t="shared" si="177"/>
        <v>Yes</v>
      </c>
      <c r="W889" s="18" t="s">
        <v>1140</v>
      </c>
      <c r="X889" s="54" t="str">
        <f>VLOOKUP(W889,Employees!$A$1:$B$601,2,FALSE)</f>
        <v>Saurav Nanda</v>
      </c>
      <c r="AW889" s="54"/>
      <c r="AX889" s="54"/>
      <c r="BI889" s="48"/>
      <c r="BJ889" s="38"/>
      <c r="BK889" s="38"/>
      <c r="BL889" s="38"/>
      <c r="BM889"/>
      <c r="BN889" s="48"/>
      <c r="BR889" s="18" t="s">
        <v>1140</v>
      </c>
      <c r="BS889" s="18" t="s">
        <v>3645</v>
      </c>
      <c r="BT889" s="54" t="str">
        <f t="shared" si="178"/>
        <v>Sales</v>
      </c>
    </row>
    <row r="890" spans="17:72">
      <c r="Q890" s="19">
        <v>9.52</v>
      </c>
      <c r="R890" s="56" t="str">
        <f t="shared" si="177"/>
        <v>Yes</v>
      </c>
      <c r="W890" s="19" t="s">
        <v>1140</v>
      </c>
      <c r="X890" s="54" t="str">
        <f>VLOOKUP(W890,Employees!$A$1:$B$601,2,FALSE)</f>
        <v>Saurav Nanda</v>
      </c>
      <c r="AW890" s="54"/>
      <c r="AX890" s="54"/>
      <c r="BI890" s="48"/>
      <c r="BJ890" s="38"/>
      <c r="BK890" s="38"/>
      <c r="BL890" s="38"/>
      <c r="BM890"/>
      <c r="BN890" s="48"/>
      <c r="BR890" s="19" t="s">
        <v>1140</v>
      </c>
      <c r="BS890" s="19" t="s">
        <v>3646</v>
      </c>
      <c r="BT890" s="54" t="str">
        <f t="shared" si="178"/>
        <v>Sales</v>
      </c>
    </row>
    <row r="891" spans="17:72">
      <c r="Q891" s="18">
        <v>10.28</v>
      </c>
      <c r="R891" s="56" t="str">
        <f t="shared" si="177"/>
        <v>Yes</v>
      </c>
      <c r="W891" s="18" t="s">
        <v>1140</v>
      </c>
      <c r="X891" s="54" t="str">
        <f>VLOOKUP(W891,Employees!$A$1:$B$601,2,FALSE)</f>
        <v>Saurav Nanda</v>
      </c>
      <c r="AW891" s="54"/>
      <c r="AX891" s="54"/>
      <c r="BI891" s="48"/>
      <c r="BJ891" s="38"/>
      <c r="BK891" s="38"/>
      <c r="BL891" s="38"/>
      <c r="BM891"/>
      <c r="BN891" s="48"/>
      <c r="BR891" s="18" t="s">
        <v>1140</v>
      </c>
      <c r="BS891" s="18" t="s">
        <v>3647</v>
      </c>
      <c r="BT891" s="54" t="str">
        <f t="shared" si="178"/>
        <v>Sales</v>
      </c>
    </row>
    <row r="892" spans="17:72">
      <c r="Q892" s="19">
        <v>9.0299999999999994</v>
      </c>
      <c r="R892" s="56" t="str">
        <f t="shared" si="177"/>
        <v>Yes</v>
      </c>
      <c r="W892" s="19" t="s">
        <v>1140</v>
      </c>
      <c r="X892" s="54" t="str">
        <f>VLOOKUP(W892,Employees!$A$1:$B$601,2,FALSE)</f>
        <v>Saurav Nanda</v>
      </c>
      <c r="AW892" s="54"/>
      <c r="AX892" s="54"/>
      <c r="BI892" s="48"/>
      <c r="BJ892" s="38"/>
      <c r="BK892" s="38"/>
      <c r="BL892" s="38"/>
      <c r="BM892"/>
      <c r="BN892" s="48"/>
      <c r="BR892" s="19" t="s">
        <v>1140</v>
      </c>
      <c r="BS892" s="19" t="s">
        <v>3648</v>
      </c>
      <c r="BT892" s="54" t="str">
        <f t="shared" si="178"/>
        <v>Sales</v>
      </c>
    </row>
    <row r="893" spans="17:72">
      <c r="Q893" s="18">
        <v>9.26</v>
      </c>
      <c r="R893" s="56" t="str">
        <f t="shared" si="177"/>
        <v>Yes</v>
      </c>
      <c r="W893" s="18" t="s">
        <v>1140</v>
      </c>
      <c r="X893" s="54" t="str">
        <f>VLOOKUP(W893,Employees!$A$1:$B$601,2,FALSE)</f>
        <v>Saurav Nanda</v>
      </c>
      <c r="AW893" s="54"/>
      <c r="AX893" s="54"/>
      <c r="BI893" s="48"/>
      <c r="BJ893" s="38"/>
      <c r="BK893" s="38"/>
      <c r="BL893" s="38"/>
      <c r="BM893"/>
      <c r="BN893" s="48"/>
      <c r="BR893" s="18" t="s">
        <v>1140</v>
      </c>
      <c r="BS893" s="18" t="s">
        <v>3649</v>
      </c>
      <c r="BT893" s="54" t="str">
        <f t="shared" si="178"/>
        <v>Sales</v>
      </c>
    </row>
    <row r="894" spans="17:72">
      <c r="Q894" s="19">
        <v>7.11</v>
      </c>
      <c r="R894" s="56" t="str">
        <f t="shared" si="177"/>
        <v>Yes</v>
      </c>
      <c r="W894" s="19" t="s">
        <v>1140</v>
      </c>
      <c r="X894" s="54" t="str">
        <f>VLOOKUP(W894,Employees!$A$1:$B$601,2,FALSE)</f>
        <v>Saurav Nanda</v>
      </c>
      <c r="AW894" s="54"/>
      <c r="AX894" s="54"/>
      <c r="BI894" s="48"/>
      <c r="BJ894" s="38"/>
      <c r="BK894" s="38"/>
      <c r="BL894" s="38"/>
      <c r="BM894"/>
      <c r="BN894" s="48"/>
      <c r="BR894" s="19" t="s">
        <v>1140</v>
      </c>
      <c r="BS894" s="19" t="s">
        <v>3650</v>
      </c>
      <c r="BT894" s="54" t="str">
        <f t="shared" si="178"/>
        <v>Sales</v>
      </c>
    </row>
    <row r="895" spans="17:72">
      <c r="Q895" s="18">
        <v>7.01</v>
      </c>
      <c r="R895" s="56" t="str">
        <f t="shared" si="177"/>
        <v>Yes</v>
      </c>
      <c r="W895" s="18" t="s">
        <v>1140</v>
      </c>
      <c r="X895" s="54" t="str">
        <f>VLOOKUP(W895,Employees!$A$1:$B$601,2,FALSE)</f>
        <v>Saurav Nanda</v>
      </c>
      <c r="AW895" s="54"/>
      <c r="AX895" s="54"/>
      <c r="BI895" s="48"/>
      <c r="BJ895" s="38"/>
      <c r="BK895" s="38"/>
      <c r="BL895" s="38"/>
      <c r="BM895"/>
      <c r="BN895" s="48"/>
      <c r="BR895" s="18" t="s">
        <v>1140</v>
      </c>
      <c r="BS895" s="18" t="s">
        <v>3651</v>
      </c>
      <c r="BT895" s="54" t="str">
        <f t="shared" si="178"/>
        <v>Sales</v>
      </c>
    </row>
    <row r="896" spans="17:72">
      <c r="Q896" s="19">
        <v>6.69</v>
      </c>
      <c r="R896" s="56" t="str">
        <f t="shared" si="177"/>
        <v>Yes</v>
      </c>
      <c r="W896" s="19" t="s">
        <v>1140</v>
      </c>
      <c r="X896" s="54" t="str">
        <f>VLOOKUP(W896,Employees!$A$1:$B$601,2,FALSE)</f>
        <v>Saurav Nanda</v>
      </c>
      <c r="AW896" s="54"/>
      <c r="AX896" s="54"/>
      <c r="BI896" s="48"/>
      <c r="BJ896" s="38"/>
      <c r="BK896" s="38"/>
      <c r="BL896" s="38"/>
      <c r="BM896"/>
      <c r="BN896" s="48"/>
      <c r="BR896" s="19" t="s">
        <v>1140</v>
      </c>
      <c r="BS896" s="19" t="s">
        <v>3652</v>
      </c>
      <c r="BT896" s="54" t="str">
        <f t="shared" si="178"/>
        <v>Sales</v>
      </c>
    </row>
    <row r="897" spans="17:72">
      <c r="Q897" s="18">
        <v>8.3000000000000007</v>
      </c>
      <c r="R897" s="56" t="str">
        <f t="shared" si="177"/>
        <v>Yes</v>
      </c>
      <c r="W897" s="18" t="s">
        <v>1140</v>
      </c>
      <c r="X897" s="54" t="str">
        <f>VLOOKUP(W897,Employees!$A$1:$B$601,2,FALSE)</f>
        <v>Saurav Nanda</v>
      </c>
      <c r="AW897" s="54"/>
      <c r="AX897" s="54"/>
      <c r="BI897" s="48"/>
      <c r="BJ897" s="38"/>
      <c r="BK897" s="38"/>
      <c r="BL897" s="38"/>
      <c r="BM897"/>
      <c r="BN897" s="48"/>
      <c r="BR897" s="18" t="s">
        <v>1140</v>
      </c>
      <c r="BS897" s="18" t="s">
        <v>3653</v>
      </c>
      <c r="BT897" s="54" t="str">
        <f t="shared" si="178"/>
        <v>Sales</v>
      </c>
    </row>
    <row r="898" spans="17:72">
      <c r="Q898" s="19">
        <v>9.08</v>
      </c>
      <c r="R898" s="56" t="str">
        <f t="shared" si="177"/>
        <v>Yes</v>
      </c>
      <c r="W898" s="19" t="s">
        <v>1140</v>
      </c>
      <c r="X898" s="54" t="str">
        <f>VLOOKUP(W898,Employees!$A$1:$B$601,2,FALSE)</f>
        <v>Saurav Nanda</v>
      </c>
      <c r="AW898" s="54"/>
      <c r="AX898" s="54"/>
      <c r="BI898" s="48"/>
      <c r="BJ898" s="38"/>
      <c r="BK898" s="38"/>
      <c r="BL898" s="38"/>
      <c r="BM898"/>
      <c r="BN898" s="48"/>
      <c r="BR898" s="19" t="s">
        <v>1140</v>
      </c>
      <c r="BS898" s="19" t="s">
        <v>3654</v>
      </c>
      <c r="BT898" s="54" t="str">
        <f t="shared" si="178"/>
        <v>Sales</v>
      </c>
    </row>
    <row r="899" spans="17:72">
      <c r="Q899" s="18">
        <v>7.95</v>
      </c>
      <c r="R899" s="56" t="str">
        <f t="shared" ref="R899:R962" si="179">IF(ISBLANK(Q899),"No","Yes")</f>
        <v>Yes</v>
      </c>
      <c r="W899" s="18" t="s">
        <v>1140</v>
      </c>
      <c r="X899" s="54" t="str">
        <f>VLOOKUP(W899,Employees!$A$1:$B$601,2,FALSE)</f>
        <v>Saurav Nanda</v>
      </c>
      <c r="AW899" s="54"/>
      <c r="AX899" s="54"/>
      <c r="BI899" s="48"/>
      <c r="BJ899" s="38"/>
      <c r="BK899" s="38"/>
      <c r="BL899" s="38"/>
      <c r="BM899"/>
      <c r="BN899" s="48"/>
      <c r="BR899" s="18" t="s">
        <v>1140</v>
      </c>
      <c r="BS899" s="18" t="s">
        <v>3655</v>
      </c>
      <c r="BT899" s="54" t="str">
        <f t="shared" ref="BT899:BT962" si="180">VLOOKUP(BR899,$BP$2:$BQ$601,2,FALSE)</f>
        <v>Sales</v>
      </c>
    </row>
    <row r="900" spans="17:72">
      <c r="Q900" s="19">
        <v>10.1</v>
      </c>
      <c r="R900" s="56" t="str">
        <f t="shared" si="179"/>
        <v>Yes</v>
      </c>
      <c r="W900" s="19" t="s">
        <v>1140</v>
      </c>
      <c r="X900" s="54" t="str">
        <f>VLOOKUP(W900,Employees!$A$1:$B$601,2,FALSE)</f>
        <v>Saurav Nanda</v>
      </c>
      <c r="AW900" s="54"/>
      <c r="AX900" s="54"/>
      <c r="BI900" s="48"/>
      <c r="BJ900" s="38"/>
      <c r="BK900" s="38"/>
      <c r="BL900" s="38"/>
      <c r="BM900"/>
      <c r="BN900" s="48"/>
      <c r="BR900" s="19" t="s">
        <v>1140</v>
      </c>
      <c r="BS900" s="19" t="s">
        <v>3656</v>
      </c>
      <c r="BT900" s="54" t="str">
        <f t="shared" si="180"/>
        <v>Sales</v>
      </c>
    </row>
    <row r="901" spans="17:72">
      <c r="Q901" s="18">
        <v>10.99</v>
      </c>
      <c r="R901" s="56" t="str">
        <f t="shared" si="179"/>
        <v>Yes</v>
      </c>
      <c r="W901" s="18" t="s">
        <v>1140</v>
      </c>
      <c r="X901" s="54" t="str">
        <f>VLOOKUP(W901,Employees!$A$1:$B$601,2,FALSE)</f>
        <v>Saurav Nanda</v>
      </c>
      <c r="AW901" s="54"/>
      <c r="AX901" s="54"/>
      <c r="BI901" s="48"/>
      <c r="BJ901" s="38"/>
      <c r="BK901" s="38"/>
      <c r="BL901" s="38"/>
      <c r="BM901"/>
      <c r="BN901" s="48"/>
      <c r="BR901" s="18" t="s">
        <v>1140</v>
      </c>
      <c r="BS901" s="18" t="s">
        <v>3657</v>
      </c>
      <c r="BT901" s="54" t="str">
        <f t="shared" si="180"/>
        <v>Sales</v>
      </c>
    </row>
    <row r="902" spans="17:72">
      <c r="Q902" s="19">
        <v>10.53</v>
      </c>
      <c r="R902" s="56" t="str">
        <f t="shared" si="179"/>
        <v>Yes</v>
      </c>
      <c r="W902" s="19" t="s">
        <v>1140</v>
      </c>
      <c r="X902" s="54" t="str">
        <f>VLOOKUP(W902,Employees!$A$1:$B$601,2,FALSE)</f>
        <v>Saurav Nanda</v>
      </c>
      <c r="AW902" s="54"/>
      <c r="AX902" s="54"/>
      <c r="BI902" s="48"/>
      <c r="BJ902" s="38"/>
      <c r="BK902" s="38"/>
      <c r="BL902" s="38"/>
      <c r="BM902"/>
      <c r="BN902" s="48"/>
      <c r="BR902" s="19" t="s">
        <v>1140</v>
      </c>
      <c r="BS902" s="19" t="s">
        <v>3658</v>
      </c>
      <c r="BT902" s="54" t="str">
        <f t="shared" si="180"/>
        <v>Sales</v>
      </c>
    </row>
    <row r="903" spans="17:72">
      <c r="Q903" s="18">
        <v>9.51</v>
      </c>
      <c r="R903" s="56" t="str">
        <f t="shared" si="179"/>
        <v>Yes</v>
      </c>
      <c r="W903" s="18" t="s">
        <v>1140</v>
      </c>
      <c r="X903" s="54" t="str">
        <f>VLOOKUP(W903,Employees!$A$1:$B$601,2,FALSE)</f>
        <v>Saurav Nanda</v>
      </c>
      <c r="AW903" s="54"/>
      <c r="AX903" s="54"/>
      <c r="BI903" s="48"/>
      <c r="BJ903" s="38"/>
      <c r="BK903" s="38"/>
      <c r="BL903" s="38"/>
      <c r="BM903"/>
      <c r="BN903" s="48"/>
      <c r="BR903" s="18" t="s">
        <v>1140</v>
      </c>
      <c r="BS903" s="18" t="s">
        <v>3659</v>
      </c>
      <c r="BT903" s="54" t="str">
        <f t="shared" si="180"/>
        <v>Sales</v>
      </c>
    </row>
    <row r="904" spans="17:72">
      <c r="Q904" s="19"/>
      <c r="R904" s="56" t="str">
        <f t="shared" si="179"/>
        <v>No</v>
      </c>
      <c r="W904" s="19" t="s">
        <v>1140</v>
      </c>
      <c r="X904" s="54" t="str">
        <f>VLOOKUP(W904,Employees!$A$1:$B$601,2,FALSE)</f>
        <v>Saurav Nanda</v>
      </c>
      <c r="AW904" s="54"/>
      <c r="AX904" s="54"/>
      <c r="BI904" s="48"/>
      <c r="BJ904" s="38"/>
      <c r="BK904" s="38"/>
      <c r="BL904" s="38"/>
      <c r="BM904"/>
      <c r="BN904" s="48"/>
      <c r="BR904" s="19" t="s">
        <v>1140</v>
      </c>
      <c r="BS904" s="19" t="s">
        <v>3660</v>
      </c>
      <c r="BT904" s="54" t="str">
        <f t="shared" si="180"/>
        <v>Sales</v>
      </c>
    </row>
    <row r="905" spans="17:72">
      <c r="Q905" s="18">
        <v>9.3699999999999992</v>
      </c>
      <c r="R905" s="56" t="str">
        <f t="shared" si="179"/>
        <v>Yes</v>
      </c>
      <c r="W905" s="18" t="s">
        <v>1213</v>
      </c>
      <c r="X905" s="54" t="str">
        <f>VLOOKUP(W905,Employees!$A$1:$B$601,2,FALSE)</f>
        <v>Lipsa Behura</v>
      </c>
      <c r="AW905" s="54"/>
      <c r="AX905" s="54"/>
      <c r="BI905" s="48"/>
      <c r="BJ905" s="38"/>
      <c r="BK905" s="38"/>
      <c r="BL905" s="38"/>
      <c r="BM905"/>
      <c r="BN905" s="48"/>
      <c r="BR905" s="18" t="s">
        <v>1213</v>
      </c>
      <c r="BS905" s="18" t="s">
        <v>3661</v>
      </c>
      <c r="BT905" s="54" t="str">
        <f t="shared" si="180"/>
        <v>Data Science</v>
      </c>
    </row>
    <row r="906" spans="17:72">
      <c r="Q906" s="19">
        <v>7.9</v>
      </c>
      <c r="R906" s="56" t="str">
        <f t="shared" si="179"/>
        <v>Yes</v>
      </c>
      <c r="W906" s="19" t="s">
        <v>1213</v>
      </c>
      <c r="X906" s="54" t="str">
        <f>VLOOKUP(W906,Employees!$A$1:$B$601,2,FALSE)</f>
        <v>Lipsa Behura</v>
      </c>
      <c r="AW906" s="54"/>
      <c r="AX906" s="54"/>
      <c r="BI906" s="48"/>
      <c r="BJ906" s="38"/>
      <c r="BK906" s="38"/>
      <c r="BL906" s="38"/>
      <c r="BM906"/>
      <c r="BN906" s="48"/>
      <c r="BR906" s="19" t="s">
        <v>1213</v>
      </c>
      <c r="BS906" s="19" t="s">
        <v>3662</v>
      </c>
      <c r="BT906" s="54" t="str">
        <f t="shared" si="180"/>
        <v>Data Science</v>
      </c>
    </row>
    <row r="907" spans="17:72">
      <c r="Q907" s="18">
        <v>6.78</v>
      </c>
      <c r="R907" s="56" t="str">
        <f t="shared" si="179"/>
        <v>Yes</v>
      </c>
      <c r="W907" s="18" t="s">
        <v>1213</v>
      </c>
      <c r="X907" s="54" t="str">
        <f>VLOOKUP(W907,Employees!$A$1:$B$601,2,FALSE)</f>
        <v>Lipsa Behura</v>
      </c>
      <c r="AW907" s="54"/>
      <c r="AX907" s="54"/>
      <c r="BI907" s="48"/>
      <c r="BJ907" s="38"/>
      <c r="BK907" s="38"/>
      <c r="BL907" s="38"/>
      <c r="BM907"/>
      <c r="BN907" s="48"/>
      <c r="BR907" s="18" t="s">
        <v>1213</v>
      </c>
      <c r="BS907" s="18" t="s">
        <v>3664</v>
      </c>
      <c r="BT907" s="54" t="str">
        <f t="shared" si="180"/>
        <v>Data Science</v>
      </c>
    </row>
    <row r="908" spans="17:72">
      <c r="Q908" s="19">
        <v>8.99</v>
      </c>
      <c r="R908" s="56" t="str">
        <f t="shared" si="179"/>
        <v>Yes</v>
      </c>
      <c r="W908" s="19" t="s">
        <v>1213</v>
      </c>
      <c r="X908" s="54" t="str">
        <f>VLOOKUP(W908,Employees!$A$1:$B$601,2,FALSE)</f>
        <v>Lipsa Behura</v>
      </c>
      <c r="AW908" s="54"/>
      <c r="AX908" s="54"/>
      <c r="BI908" s="48"/>
      <c r="BJ908" s="38"/>
      <c r="BK908" s="38"/>
      <c r="BL908" s="38"/>
      <c r="BM908"/>
      <c r="BN908" s="48"/>
      <c r="BR908" s="19" t="s">
        <v>1213</v>
      </c>
      <c r="BS908" s="19" t="s">
        <v>3665</v>
      </c>
      <c r="BT908" s="54" t="str">
        <f t="shared" si="180"/>
        <v>Data Science</v>
      </c>
    </row>
    <row r="909" spans="17:72">
      <c r="Q909" s="18">
        <v>9.5299999999999994</v>
      </c>
      <c r="R909" s="56" t="str">
        <f t="shared" si="179"/>
        <v>Yes</v>
      </c>
      <c r="W909" s="18" t="s">
        <v>1213</v>
      </c>
      <c r="X909" s="54" t="str">
        <f>VLOOKUP(W909,Employees!$A$1:$B$601,2,FALSE)</f>
        <v>Lipsa Behura</v>
      </c>
      <c r="AW909" s="54"/>
      <c r="AX909" s="54"/>
      <c r="BI909" s="48"/>
      <c r="BJ909" s="38"/>
      <c r="BK909" s="38"/>
      <c r="BL909" s="38"/>
      <c r="BM909"/>
      <c r="BN909" s="48"/>
      <c r="BR909" s="18" t="s">
        <v>1213</v>
      </c>
      <c r="BS909" s="18" t="s">
        <v>3666</v>
      </c>
      <c r="BT909" s="54" t="str">
        <f t="shared" si="180"/>
        <v>Data Science</v>
      </c>
    </row>
    <row r="910" spans="17:72">
      <c r="Q910" s="19">
        <v>8.01</v>
      </c>
      <c r="R910" s="56" t="str">
        <f t="shared" si="179"/>
        <v>Yes</v>
      </c>
      <c r="W910" s="19" t="s">
        <v>1213</v>
      </c>
      <c r="X910" s="54" t="str">
        <f>VLOOKUP(W910,Employees!$A$1:$B$601,2,FALSE)</f>
        <v>Lipsa Behura</v>
      </c>
      <c r="AW910" s="54"/>
      <c r="AX910" s="54"/>
      <c r="BI910" s="48"/>
      <c r="BJ910" s="38"/>
      <c r="BK910" s="38"/>
      <c r="BL910" s="38"/>
      <c r="BM910"/>
      <c r="BN910" s="48"/>
      <c r="BR910" s="19" t="s">
        <v>1213</v>
      </c>
      <c r="BS910" s="19" t="s">
        <v>3667</v>
      </c>
      <c r="BT910" s="54" t="str">
        <f t="shared" si="180"/>
        <v>Data Science</v>
      </c>
    </row>
    <row r="911" spans="17:72">
      <c r="Q911" s="18">
        <v>8.84</v>
      </c>
      <c r="R911" s="56" t="str">
        <f t="shared" si="179"/>
        <v>Yes</v>
      </c>
      <c r="W911" s="18" t="s">
        <v>1213</v>
      </c>
      <c r="X911" s="54" t="str">
        <f>VLOOKUP(W911,Employees!$A$1:$B$601,2,FALSE)</f>
        <v>Lipsa Behura</v>
      </c>
      <c r="AW911" s="54"/>
      <c r="AX911" s="54"/>
      <c r="BI911" s="48"/>
      <c r="BJ911" s="38"/>
      <c r="BK911" s="38"/>
      <c r="BL911" s="38"/>
      <c r="BM911"/>
      <c r="BN911" s="48"/>
      <c r="BR911" s="18" t="s">
        <v>1213</v>
      </c>
      <c r="BS911" s="18" t="s">
        <v>3668</v>
      </c>
      <c r="BT911" s="54" t="str">
        <f t="shared" si="180"/>
        <v>Data Science</v>
      </c>
    </row>
    <row r="912" spans="17:72">
      <c r="Q912" s="19">
        <v>10.54</v>
      </c>
      <c r="R912" s="56" t="str">
        <f t="shared" si="179"/>
        <v>Yes</v>
      </c>
      <c r="W912" s="19" t="s">
        <v>1213</v>
      </c>
      <c r="X912" s="54" t="str">
        <f>VLOOKUP(W912,Employees!$A$1:$B$601,2,FALSE)</f>
        <v>Lipsa Behura</v>
      </c>
      <c r="AW912" s="54"/>
      <c r="AX912" s="54"/>
      <c r="BI912" s="48"/>
      <c r="BJ912" s="38"/>
      <c r="BK912" s="38"/>
      <c r="BL912" s="38"/>
      <c r="BM912"/>
      <c r="BN912" s="48"/>
      <c r="BR912" s="19" t="s">
        <v>1213</v>
      </c>
      <c r="BS912" s="19" t="s">
        <v>3669</v>
      </c>
      <c r="BT912" s="54" t="str">
        <f t="shared" si="180"/>
        <v>Data Science</v>
      </c>
    </row>
    <row r="913" spans="17:72">
      <c r="Q913" s="18">
        <v>9.8800000000000008</v>
      </c>
      <c r="R913" s="56" t="str">
        <f t="shared" si="179"/>
        <v>Yes</v>
      </c>
      <c r="W913" s="18" t="s">
        <v>1213</v>
      </c>
      <c r="X913" s="54" t="str">
        <f>VLOOKUP(W913,Employees!$A$1:$B$601,2,FALSE)</f>
        <v>Lipsa Behura</v>
      </c>
      <c r="AW913" s="54"/>
      <c r="AX913" s="54"/>
      <c r="BI913" s="48"/>
      <c r="BJ913" s="38"/>
      <c r="BK913" s="38"/>
      <c r="BL913" s="38"/>
      <c r="BM913"/>
      <c r="BN913" s="48"/>
      <c r="BR913" s="18" t="s">
        <v>1213</v>
      </c>
      <c r="BS913" s="18" t="s">
        <v>3670</v>
      </c>
      <c r="BT913" s="54" t="str">
        <f t="shared" si="180"/>
        <v>Data Science</v>
      </c>
    </row>
    <row r="914" spans="17:72">
      <c r="Q914" s="19">
        <v>8.27</v>
      </c>
      <c r="R914" s="56" t="str">
        <f t="shared" si="179"/>
        <v>Yes</v>
      </c>
      <c r="W914" s="19" t="s">
        <v>1213</v>
      </c>
      <c r="X914" s="54" t="str">
        <f>VLOOKUP(W914,Employees!$A$1:$B$601,2,FALSE)</f>
        <v>Lipsa Behura</v>
      </c>
      <c r="AW914" s="54"/>
      <c r="AX914" s="54"/>
      <c r="BI914" s="48"/>
      <c r="BJ914" s="38"/>
      <c r="BK914" s="38"/>
      <c r="BL914" s="38"/>
      <c r="BM914"/>
      <c r="BN914" s="48"/>
      <c r="BR914" s="19" t="s">
        <v>1213</v>
      </c>
      <c r="BS914" s="19" t="s">
        <v>3672</v>
      </c>
      <c r="BT914" s="54" t="str">
        <f t="shared" si="180"/>
        <v>Data Science</v>
      </c>
    </row>
    <row r="915" spans="17:72">
      <c r="Q915" s="18">
        <v>9.0500000000000007</v>
      </c>
      <c r="R915" s="56" t="str">
        <f t="shared" si="179"/>
        <v>Yes</v>
      </c>
      <c r="W915" s="18" t="s">
        <v>1213</v>
      </c>
      <c r="X915" s="54" t="str">
        <f>VLOOKUP(W915,Employees!$A$1:$B$601,2,FALSE)</f>
        <v>Lipsa Behura</v>
      </c>
      <c r="AW915" s="54"/>
      <c r="AX915" s="54"/>
      <c r="BI915" s="48"/>
      <c r="BJ915" s="38"/>
      <c r="BK915" s="38"/>
      <c r="BL915" s="38"/>
      <c r="BM915"/>
      <c r="BN915" s="48"/>
      <c r="BR915" s="18" t="s">
        <v>1213</v>
      </c>
      <c r="BS915" s="18" t="s">
        <v>3674</v>
      </c>
      <c r="BT915" s="54" t="str">
        <f t="shared" si="180"/>
        <v>Data Science</v>
      </c>
    </row>
    <row r="916" spans="17:72">
      <c r="Q916" s="19">
        <v>9.99</v>
      </c>
      <c r="R916" s="56" t="str">
        <f t="shared" si="179"/>
        <v>Yes</v>
      </c>
      <c r="W916" s="19" t="s">
        <v>1213</v>
      </c>
      <c r="X916" s="54" t="str">
        <f>VLOOKUP(W916,Employees!$A$1:$B$601,2,FALSE)</f>
        <v>Lipsa Behura</v>
      </c>
      <c r="AW916" s="54"/>
      <c r="AX916" s="54"/>
      <c r="BI916" s="48"/>
      <c r="BJ916" s="38"/>
      <c r="BK916" s="38"/>
      <c r="BL916" s="38"/>
      <c r="BM916"/>
      <c r="BN916" s="48"/>
      <c r="BR916" s="19" t="s">
        <v>1213</v>
      </c>
      <c r="BS916" s="19" t="s">
        <v>3675</v>
      </c>
      <c r="BT916" s="54" t="str">
        <f t="shared" si="180"/>
        <v>Data Science</v>
      </c>
    </row>
    <row r="917" spans="17:72">
      <c r="Q917" s="18"/>
      <c r="R917" s="56" t="str">
        <f t="shared" si="179"/>
        <v>No</v>
      </c>
      <c r="W917" s="18" t="s">
        <v>1213</v>
      </c>
      <c r="X917" s="54" t="str">
        <f>VLOOKUP(W917,Employees!$A$1:$B$601,2,FALSE)</f>
        <v>Lipsa Behura</v>
      </c>
      <c r="AW917" s="54"/>
      <c r="AX917" s="54"/>
      <c r="BI917" s="48"/>
      <c r="BJ917" s="38"/>
      <c r="BK917" s="38"/>
      <c r="BL917" s="38"/>
      <c r="BM917"/>
      <c r="BN917" s="48"/>
      <c r="BR917" s="18" t="s">
        <v>1213</v>
      </c>
      <c r="BS917" s="18" t="s">
        <v>3676</v>
      </c>
      <c r="BT917" s="54" t="str">
        <f t="shared" si="180"/>
        <v>Data Science</v>
      </c>
    </row>
    <row r="918" spans="17:72">
      <c r="Q918" s="19">
        <v>10.28</v>
      </c>
      <c r="R918" s="56" t="str">
        <f t="shared" si="179"/>
        <v>Yes</v>
      </c>
      <c r="W918" s="19" t="s">
        <v>1213</v>
      </c>
      <c r="X918" s="54" t="str">
        <f>VLOOKUP(W918,Employees!$A$1:$B$601,2,FALSE)</f>
        <v>Lipsa Behura</v>
      </c>
      <c r="AW918" s="54"/>
      <c r="AX918" s="54"/>
      <c r="BI918" s="48"/>
      <c r="BJ918" s="38"/>
      <c r="BK918" s="38"/>
      <c r="BL918" s="38"/>
      <c r="BM918"/>
      <c r="BN918" s="48"/>
      <c r="BR918" s="19" t="s">
        <v>1213</v>
      </c>
      <c r="BS918" s="19" t="s">
        <v>3677</v>
      </c>
      <c r="BT918" s="54" t="str">
        <f t="shared" si="180"/>
        <v>Data Science</v>
      </c>
    </row>
    <row r="919" spans="17:72">
      <c r="Q919" s="18">
        <v>7.63</v>
      </c>
      <c r="R919" s="56" t="str">
        <f t="shared" si="179"/>
        <v>Yes</v>
      </c>
      <c r="W919" s="18" t="s">
        <v>1213</v>
      </c>
      <c r="X919" s="54" t="str">
        <f>VLOOKUP(W919,Employees!$A$1:$B$601,2,FALSE)</f>
        <v>Lipsa Behura</v>
      </c>
      <c r="AW919" s="54"/>
      <c r="AX919" s="54"/>
      <c r="BI919" s="48"/>
      <c r="BJ919" s="38"/>
      <c r="BK919" s="38"/>
      <c r="BL919" s="38"/>
      <c r="BM919"/>
      <c r="BN919" s="48"/>
      <c r="BR919" s="18" t="s">
        <v>1213</v>
      </c>
      <c r="BS919" s="18" t="s">
        <v>3678</v>
      </c>
      <c r="BT919" s="54" t="str">
        <f t="shared" si="180"/>
        <v>Data Science</v>
      </c>
    </row>
    <row r="920" spans="17:72">
      <c r="Q920" s="19">
        <v>10.7</v>
      </c>
      <c r="R920" s="56" t="str">
        <f t="shared" si="179"/>
        <v>Yes</v>
      </c>
      <c r="W920" s="19" t="s">
        <v>1213</v>
      </c>
      <c r="X920" s="54" t="str">
        <f>VLOOKUP(W920,Employees!$A$1:$B$601,2,FALSE)</f>
        <v>Lipsa Behura</v>
      </c>
      <c r="AW920" s="54"/>
      <c r="AX920" s="54"/>
      <c r="BI920" s="48"/>
      <c r="BJ920" s="38"/>
      <c r="BK920" s="38"/>
      <c r="BL920" s="38"/>
      <c r="BM920"/>
      <c r="BN920" s="48"/>
      <c r="BR920" s="19" t="s">
        <v>1213</v>
      </c>
      <c r="BS920" s="19" t="s">
        <v>3679</v>
      </c>
      <c r="BT920" s="54" t="str">
        <f t="shared" si="180"/>
        <v>Data Science</v>
      </c>
    </row>
    <row r="921" spans="17:72">
      <c r="Q921" s="18">
        <v>11.09</v>
      </c>
      <c r="R921" s="56" t="str">
        <f t="shared" si="179"/>
        <v>Yes</v>
      </c>
      <c r="W921" s="18" t="s">
        <v>1213</v>
      </c>
      <c r="X921" s="54" t="str">
        <f>VLOOKUP(W921,Employees!$A$1:$B$601,2,FALSE)</f>
        <v>Lipsa Behura</v>
      </c>
      <c r="AW921" s="54"/>
      <c r="AX921" s="54"/>
      <c r="BI921" s="48"/>
      <c r="BJ921" s="38"/>
      <c r="BK921" s="38"/>
      <c r="BL921" s="38"/>
      <c r="BM921"/>
      <c r="BN921" s="48"/>
      <c r="BR921" s="18" t="s">
        <v>1213</v>
      </c>
      <c r="BS921" s="18" t="s">
        <v>3680</v>
      </c>
      <c r="BT921" s="54" t="str">
        <f t="shared" si="180"/>
        <v>Data Science</v>
      </c>
    </row>
    <row r="922" spans="17:72">
      <c r="Q922" s="19">
        <v>8.65</v>
      </c>
      <c r="R922" s="56" t="str">
        <f t="shared" si="179"/>
        <v>Yes</v>
      </c>
      <c r="W922" s="19" t="s">
        <v>1213</v>
      </c>
      <c r="X922" s="54" t="str">
        <f>VLOOKUP(W922,Employees!$A$1:$B$601,2,FALSE)</f>
        <v>Lipsa Behura</v>
      </c>
      <c r="AW922" s="54"/>
      <c r="AX922" s="54"/>
      <c r="BI922" s="48"/>
      <c r="BJ922" s="38"/>
      <c r="BK922" s="38"/>
      <c r="BL922" s="38"/>
      <c r="BM922"/>
      <c r="BN922" s="48"/>
      <c r="BR922" s="19" t="s">
        <v>1213</v>
      </c>
      <c r="BS922" s="19" t="s">
        <v>3681</v>
      </c>
      <c r="BT922" s="54" t="str">
        <f t="shared" si="180"/>
        <v>Data Science</v>
      </c>
    </row>
    <row r="923" spans="17:72">
      <c r="Q923" s="18">
        <v>11.17</v>
      </c>
      <c r="R923" s="56" t="str">
        <f t="shared" si="179"/>
        <v>Yes</v>
      </c>
      <c r="W923" s="18" t="s">
        <v>1213</v>
      </c>
      <c r="X923" s="54" t="str">
        <f>VLOOKUP(W923,Employees!$A$1:$B$601,2,FALSE)</f>
        <v>Lipsa Behura</v>
      </c>
      <c r="AW923" s="54"/>
      <c r="AX923" s="54"/>
      <c r="BI923" s="48"/>
      <c r="BJ923" s="38"/>
      <c r="BK923" s="38"/>
      <c r="BL923" s="38"/>
      <c r="BM923"/>
      <c r="BN923" s="48"/>
      <c r="BR923" s="18" t="s">
        <v>1213</v>
      </c>
      <c r="BS923" s="18" t="s">
        <v>3682</v>
      </c>
      <c r="BT923" s="54" t="str">
        <f t="shared" si="180"/>
        <v>Data Science</v>
      </c>
    </row>
    <row r="924" spans="17:72">
      <c r="Q924" s="19">
        <v>7.18</v>
      </c>
      <c r="R924" s="56" t="str">
        <f t="shared" si="179"/>
        <v>Yes</v>
      </c>
      <c r="W924" s="19" t="s">
        <v>1213</v>
      </c>
      <c r="X924" s="54" t="str">
        <f>VLOOKUP(W924,Employees!$A$1:$B$601,2,FALSE)</f>
        <v>Lipsa Behura</v>
      </c>
      <c r="AW924" s="54"/>
      <c r="AX924" s="54"/>
      <c r="BI924" s="48"/>
      <c r="BJ924" s="38"/>
      <c r="BK924" s="38"/>
      <c r="BL924" s="38"/>
      <c r="BM924"/>
      <c r="BN924" s="48"/>
      <c r="BR924" s="19" t="s">
        <v>1213</v>
      </c>
      <c r="BS924" s="19" t="s">
        <v>3683</v>
      </c>
      <c r="BT924" s="54" t="str">
        <f t="shared" si="180"/>
        <v>Data Science</v>
      </c>
    </row>
    <row r="925" spans="17:72">
      <c r="Q925" s="18">
        <v>10.87</v>
      </c>
      <c r="R925" s="56" t="str">
        <f t="shared" si="179"/>
        <v>Yes</v>
      </c>
      <c r="W925" s="18" t="s">
        <v>1213</v>
      </c>
      <c r="X925" s="54" t="str">
        <f>VLOOKUP(W925,Employees!$A$1:$B$601,2,FALSE)</f>
        <v>Lipsa Behura</v>
      </c>
      <c r="AW925" s="54"/>
      <c r="AX925" s="54"/>
      <c r="BI925" s="48"/>
      <c r="BJ925" s="38"/>
      <c r="BK925" s="38"/>
      <c r="BL925" s="38"/>
      <c r="BM925"/>
      <c r="BN925" s="48"/>
      <c r="BR925" s="18" t="s">
        <v>1213</v>
      </c>
      <c r="BS925" s="18" t="s">
        <v>3684</v>
      </c>
      <c r="BT925" s="54" t="str">
        <f t="shared" si="180"/>
        <v>Data Science</v>
      </c>
    </row>
    <row r="926" spans="17:72">
      <c r="Q926" s="19">
        <v>7.72</v>
      </c>
      <c r="R926" s="56" t="str">
        <f t="shared" si="179"/>
        <v>Yes</v>
      </c>
      <c r="W926" s="19" t="s">
        <v>1213</v>
      </c>
      <c r="X926" s="54" t="str">
        <f>VLOOKUP(W926,Employees!$A$1:$B$601,2,FALSE)</f>
        <v>Lipsa Behura</v>
      </c>
      <c r="AW926" s="54"/>
      <c r="AX926" s="54"/>
      <c r="BI926" s="48"/>
      <c r="BJ926" s="38"/>
      <c r="BK926" s="38"/>
      <c r="BL926" s="38"/>
      <c r="BM926"/>
      <c r="BN926" s="48"/>
      <c r="BR926" s="19" t="s">
        <v>1213</v>
      </c>
      <c r="BS926" s="19" t="s">
        <v>3685</v>
      </c>
      <c r="BT926" s="54" t="str">
        <f t="shared" si="180"/>
        <v>Data Science</v>
      </c>
    </row>
    <row r="927" spans="17:72">
      <c r="Q927" s="18">
        <v>10.85</v>
      </c>
      <c r="R927" s="56" t="str">
        <f t="shared" si="179"/>
        <v>Yes</v>
      </c>
      <c r="W927" s="18" t="s">
        <v>1213</v>
      </c>
      <c r="X927" s="54" t="str">
        <f>VLOOKUP(W927,Employees!$A$1:$B$601,2,FALSE)</f>
        <v>Lipsa Behura</v>
      </c>
      <c r="AW927" s="54"/>
      <c r="AX927" s="54"/>
      <c r="BI927" s="48"/>
      <c r="BJ927" s="38"/>
      <c r="BK927" s="38"/>
      <c r="BL927" s="38"/>
      <c r="BM927"/>
      <c r="BN927" s="48"/>
      <c r="BR927" s="18" t="s">
        <v>1213</v>
      </c>
      <c r="BS927" s="18" t="s">
        <v>3686</v>
      </c>
      <c r="BT927" s="54" t="str">
        <f t="shared" si="180"/>
        <v>Data Science</v>
      </c>
    </row>
    <row r="928" spans="17:72">
      <c r="Q928" s="19">
        <v>8.67</v>
      </c>
      <c r="R928" s="56" t="str">
        <f t="shared" si="179"/>
        <v>Yes</v>
      </c>
      <c r="W928" s="19" t="s">
        <v>1213</v>
      </c>
      <c r="X928" s="54" t="str">
        <f>VLOOKUP(W928,Employees!$A$1:$B$601,2,FALSE)</f>
        <v>Lipsa Behura</v>
      </c>
      <c r="AW928" s="54"/>
      <c r="AX928" s="54"/>
      <c r="BI928" s="48"/>
      <c r="BJ928" s="38"/>
      <c r="BK928" s="38"/>
      <c r="BL928" s="38"/>
      <c r="BM928"/>
      <c r="BN928" s="48"/>
      <c r="BR928" s="19" t="s">
        <v>1213</v>
      </c>
      <c r="BS928" s="19" t="s">
        <v>3687</v>
      </c>
      <c r="BT928" s="54" t="str">
        <f t="shared" si="180"/>
        <v>Data Science</v>
      </c>
    </row>
    <row r="929" spans="17:72">
      <c r="Q929" s="18">
        <v>6.53</v>
      </c>
      <c r="R929" s="56" t="str">
        <f t="shared" si="179"/>
        <v>Yes</v>
      </c>
      <c r="W929" s="18" t="s">
        <v>1213</v>
      </c>
      <c r="X929" s="54" t="str">
        <f>VLOOKUP(W929,Employees!$A$1:$B$601,2,FALSE)</f>
        <v>Lipsa Behura</v>
      </c>
      <c r="AW929" s="54"/>
      <c r="AX929" s="54"/>
      <c r="BI929" s="48"/>
      <c r="BJ929" s="38"/>
      <c r="BK929" s="38"/>
      <c r="BL929" s="38"/>
      <c r="BM929"/>
      <c r="BN929" s="48"/>
      <c r="BR929" s="18" t="s">
        <v>1213</v>
      </c>
      <c r="BS929" s="18" t="s">
        <v>3688</v>
      </c>
      <c r="BT929" s="54" t="str">
        <f t="shared" si="180"/>
        <v>Data Science</v>
      </c>
    </row>
    <row r="930" spans="17:72">
      <c r="Q930" s="19">
        <v>8.24</v>
      </c>
      <c r="R930" s="56" t="str">
        <f t="shared" si="179"/>
        <v>Yes</v>
      </c>
      <c r="W930" s="19" t="s">
        <v>1213</v>
      </c>
      <c r="X930" s="54" t="str">
        <f>VLOOKUP(W930,Employees!$A$1:$B$601,2,FALSE)</f>
        <v>Lipsa Behura</v>
      </c>
      <c r="AW930" s="54"/>
      <c r="AX930" s="54"/>
      <c r="BI930" s="48"/>
      <c r="BJ930" s="38"/>
      <c r="BK930" s="38"/>
      <c r="BL930" s="38"/>
      <c r="BM930"/>
      <c r="BN930" s="48"/>
      <c r="BR930" s="19" t="s">
        <v>1213</v>
      </c>
      <c r="BS930" s="19" t="s">
        <v>3690</v>
      </c>
      <c r="BT930" s="54" t="str">
        <f t="shared" si="180"/>
        <v>Data Science</v>
      </c>
    </row>
    <row r="931" spans="17:72">
      <c r="Q931" s="18">
        <v>9.81</v>
      </c>
      <c r="R931" s="56" t="str">
        <f t="shared" si="179"/>
        <v>Yes</v>
      </c>
      <c r="W931" s="18" t="s">
        <v>1213</v>
      </c>
      <c r="X931" s="54" t="str">
        <f>VLOOKUP(W931,Employees!$A$1:$B$601,2,FALSE)</f>
        <v>Lipsa Behura</v>
      </c>
      <c r="AW931" s="54"/>
      <c r="AX931" s="54"/>
      <c r="BI931" s="48"/>
      <c r="BJ931" s="38"/>
      <c r="BK931" s="38"/>
      <c r="BL931" s="38"/>
      <c r="BM931"/>
      <c r="BN931" s="48"/>
      <c r="BR931" s="18" t="s">
        <v>1213</v>
      </c>
      <c r="BS931" s="18" t="s">
        <v>3691</v>
      </c>
      <c r="BT931" s="54" t="str">
        <f t="shared" si="180"/>
        <v>Data Science</v>
      </c>
    </row>
    <row r="932" spans="17:72">
      <c r="Q932" s="19">
        <v>8.68</v>
      </c>
      <c r="R932" s="56" t="str">
        <f t="shared" si="179"/>
        <v>Yes</v>
      </c>
      <c r="W932" s="19" t="s">
        <v>1213</v>
      </c>
      <c r="X932" s="54" t="str">
        <f>VLOOKUP(W932,Employees!$A$1:$B$601,2,FALSE)</f>
        <v>Lipsa Behura</v>
      </c>
      <c r="AW932" s="54"/>
      <c r="AX932" s="54"/>
      <c r="BI932" s="48"/>
      <c r="BJ932" s="38"/>
      <c r="BK932" s="38"/>
      <c r="BL932" s="38"/>
      <c r="BM932"/>
      <c r="BN932" s="48"/>
      <c r="BR932" s="19" t="s">
        <v>1213</v>
      </c>
      <c r="BS932" s="19" t="s">
        <v>3692</v>
      </c>
      <c r="BT932" s="54" t="str">
        <f t="shared" si="180"/>
        <v>Data Science</v>
      </c>
    </row>
    <row r="933" spans="17:72">
      <c r="Q933" s="18">
        <v>11.36</v>
      </c>
      <c r="R933" s="56" t="str">
        <f t="shared" si="179"/>
        <v>Yes</v>
      </c>
      <c r="W933" s="18" t="s">
        <v>1213</v>
      </c>
      <c r="X933" s="54" t="str">
        <f>VLOOKUP(W933,Employees!$A$1:$B$601,2,FALSE)</f>
        <v>Lipsa Behura</v>
      </c>
      <c r="AW933" s="54"/>
      <c r="AX933" s="54"/>
      <c r="BI933" s="48"/>
      <c r="BJ933" s="38"/>
      <c r="BK933" s="38"/>
      <c r="BL933" s="38"/>
      <c r="BM933"/>
      <c r="BN933" s="48"/>
      <c r="BR933" s="18" t="s">
        <v>1213</v>
      </c>
      <c r="BS933" s="18" t="s">
        <v>3693</v>
      </c>
      <c r="BT933" s="54" t="str">
        <f t="shared" si="180"/>
        <v>Data Science</v>
      </c>
    </row>
    <row r="934" spans="17:72">
      <c r="Q934" s="19">
        <v>10.37</v>
      </c>
      <c r="R934" s="56" t="str">
        <f t="shared" si="179"/>
        <v>Yes</v>
      </c>
      <c r="W934" s="19" t="s">
        <v>1213</v>
      </c>
      <c r="X934" s="54" t="str">
        <f>VLOOKUP(W934,Employees!$A$1:$B$601,2,FALSE)</f>
        <v>Lipsa Behura</v>
      </c>
      <c r="AW934" s="54"/>
      <c r="AX934" s="54"/>
      <c r="BI934" s="48"/>
      <c r="BJ934" s="38"/>
      <c r="BK934" s="38"/>
      <c r="BL934" s="38"/>
      <c r="BM934"/>
      <c r="BN934" s="48"/>
      <c r="BR934" s="19" t="s">
        <v>1213</v>
      </c>
      <c r="BS934" s="19" t="s">
        <v>3694</v>
      </c>
      <c r="BT934" s="54" t="str">
        <f t="shared" si="180"/>
        <v>Data Science</v>
      </c>
    </row>
    <row r="935" spans="17:72">
      <c r="Q935" s="18">
        <v>7.5</v>
      </c>
      <c r="R935" s="56" t="str">
        <f t="shared" si="179"/>
        <v>Yes</v>
      </c>
      <c r="W935" s="18" t="s">
        <v>1213</v>
      </c>
      <c r="X935" s="54" t="str">
        <f>VLOOKUP(W935,Employees!$A$1:$B$601,2,FALSE)</f>
        <v>Lipsa Behura</v>
      </c>
      <c r="AW935" s="54"/>
      <c r="AX935" s="54"/>
      <c r="BI935" s="48"/>
      <c r="BJ935" s="38"/>
      <c r="BK935" s="38"/>
      <c r="BL935" s="38"/>
      <c r="BM935"/>
      <c r="BN935" s="48"/>
      <c r="BR935" s="18" t="s">
        <v>1213</v>
      </c>
      <c r="BS935" s="18" t="s">
        <v>3695</v>
      </c>
      <c r="BT935" s="54" t="str">
        <f t="shared" si="180"/>
        <v>Data Science</v>
      </c>
    </row>
    <row r="936" spans="17:72">
      <c r="Q936" s="19">
        <v>8.14</v>
      </c>
      <c r="R936" s="56" t="str">
        <f t="shared" si="179"/>
        <v>Yes</v>
      </c>
      <c r="W936" s="19" t="s">
        <v>1213</v>
      </c>
      <c r="X936" s="54" t="str">
        <f>VLOOKUP(W936,Employees!$A$1:$B$601,2,FALSE)</f>
        <v>Lipsa Behura</v>
      </c>
      <c r="AW936" s="54"/>
      <c r="AX936" s="54"/>
      <c r="BI936" s="48"/>
      <c r="BJ936" s="38"/>
      <c r="BK936" s="38"/>
      <c r="BL936" s="38"/>
      <c r="BM936"/>
      <c r="BN936" s="48"/>
      <c r="BR936" s="19" t="s">
        <v>1213</v>
      </c>
      <c r="BS936" s="19" t="s">
        <v>3697</v>
      </c>
      <c r="BT936" s="54" t="str">
        <f t="shared" si="180"/>
        <v>Data Science</v>
      </c>
    </row>
    <row r="937" spans="17:72">
      <c r="Q937" s="18">
        <v>10.32</v>
      </c>
      <c r="R937" s="56" t="str">
        <f t="shared" si="179"/>
        <v>Yes</v>
      </c>
      <c r="W937" s="18" t="s">
        <v>1213</v>
      </c>
      <c r="X937" s="54" t="str">
        <f>VLOOKUP(W937,Employees!$A$1:$B$601,2,FALSE)</f>
        <v>Lipsa Behura</v>
      </c>
      <c r="AW937" s="54"/>
      <c r="AX937" s="54"/>
      <c r="BI937" s="48"/>
      <c r="BJ937" s="38"/>
      <c r="BK937" s="38"/>
      <c r="BL937" s="38"/>
      <c r="BM937"/>
      <c r="BN937" s="48"/>
      <c r="BR937" s="18" t="s">
        <v>1213</v>
      </c>
      <c r="BS937" s="18" t="s">
        <v>3698</v>
      </c>
      <c r="BT937" s="54" t="str">
        <f t="shared" si="180"/>
        <v>Data Science</v>
      </c>
    </row>
    <row r="938" spans="17:72">
      <c r="Q938" s="19">
        <v>10.59</v>
      </c>
      <c r="R938" s="56" t="str">
        <f t="shared" si="179"/>
        <v>Yes</v>
      </c>
      <c r="W938" s="19" t="s">
        <v>1213</v>
      </c>
      <c r="X938" s="54" t="str">
        <f>VLOOKUP(W938,Employees!$A$1:$B$601,2,FALSE)</f>
        <v>Lipsa Behura</v>
      </c>
      <c r="AW938" s="54"/>
      <c r="AX938" s="54"/>
      <c r="BI938" s="48"/>
      <c r="BJ938" s="38"/>
      <c r="BK938" s="38"/>
      <c r="BL938" s="38"/>
      <c r="BM938"/>
      <c r="BN938" s="48"/>
      <c r="BR938" s="19" t="s">
        <v>1213</v>
      </c>
      <c r="BS938" s="19" t="s">
        <v>3699</v>
      </c>
      <c r="BT938" s="54" t="str">
        <f t="shared" si="180"/>
        <v>Data Science</v>
      </c>
    </row>
    <row r="939" spans="17:72">
      <c r="Q939" s="18">
        <v>7.2</v>
      </c>
      <c r="R939" s="56" t="str">
        <f t="shared" si="179"/>
        <v>Yes</v>
      </c>
      <c r="W939" s="18" t="s">
        <v>1213</v>
      </c>
      <c r="X939" s="54" t="str">
        <f>VLOOKUP(W939,Employees!$A$1:$B$601,2,FALSE)</f>
        <v>Lipsa Behura</v>
      </c>
      <c r="AW939" s="54"/>
      <c r="AX939" s="54"/>
      <c r="BI939" s="48"/>
      <c r="BJ939" s="38"/>
      <c r="BK939" s="38"/>
      <c r="BL939" s="38"/>
      <c r="BM939"/>
      <c r="BN939" s="48"/>
      <c r="BR939" s="18" t="s">
        <v>1213</v>
      </c>
      <c r="BS939" s="18" t="s">
        <v>3700</v>
      </c>
      <c r="BT939" s="54" t="str">
        <f t="shared" si="180"/>
        <v>Data Science</v>
      </c>
    </row>
    <row r="940" spans="17:72">
      <c r="Q940" s="19">
        <v>7.07</v>
      </c>
      <c r="R940" s="56" t="str">
        <f t="shared" si="179"/>
        <v>Yes</v>
      </c>
      <c r="W940" s="19" t="s">
        <v>1213</v>
      </c>
      <c r="X940" s="54" t="str">
        <f>VLOOKUP(W940,Employees!$A$1:$B$601,2,FALSE)</f>
        <v>Lipsa Behura</v>
      </c>
      <c r="AW940" s="54"/>
      <c r="AX940" s="54"/>
      <c r="BI940" s="48"/>
      <c r="BJ940" s="38"/>
      <c r="BK940" s="38"/>
      <c r="BL940" s="38"/>
      <c r="BM940"/>
      <c r="BN940" s="48"/>
      <c r="BR940" s="19" t="s">
        <v>1213</v>
      </c>
      <c r="BS940" s="19" t="s">
        <v>3701</v>
      </c>
      <c r="BT940" s="54" t="str">
        <f t="shared" si="180"/>
        <v>Data Science</v>
      </c>
    </row>
    <row r="941" spans="17:72">
      <c r="Q941" s="18">
        <v>10.47</v>
      </c>
      <c r="R941" s="56" t="str">
        <f t="shared" si="179"/>
        <v>Yes</v>
      </c>
      <c r="W941" s="18" t="s">
        <v>1213</v>
      </c>
      <c r="X941" s="54" t="str">
        <f>VLOOKUP(W941,Employees!$A$1:$B$601,2,FALSE)</f>
        <v>Lipsa Behura</v>
      </c>
      <c r="AW941" s="54"/>
      <c r="AX941" s="54"/>
      <c r="BI941" s="48"/>
      <c r="BJ941" s="38"/>
      <c r="BK941" s="38"/>
      <c r="BL941" s="38"/>
      <c r="BM941"/>
      <c r="BN941" s="48"/>
      <c r="BR941" s="18" t="s">
        <v>1213</v>
      </c>
      <c r="BS941" s="18" t="s">
        <v>3702</v>
      </c>
      <c r="BT941" s="54" t="str">
        <f t="shared" si="180"/>
        <v>Data Science</v>
      </c>
    </row>
    <row r="942" spans="17:72">
      <c r="Q942" s="19">
        <v>7.16</v>
      </c>
      <c r="R942" s="56" t="str">
        <f t="shared" si="179"/>
        <v>Yes</v>
      </c>
      <c r="W942" s="19" t="s">
        <v>1213</v>
      </c>
      <c r="X942" s="54" t="str">
        <f>VLOOKUP(W942,Employees!$A$1:$B$601,2,FALSE)</f>
        <v>Lipsa Behura</v>
      </c>
      <c r="AW942" s="54"/>
      <c r="AX942" s="54"/>
      <c r="BI942" s="48"/>
      <c r="BJ942" s="38"/>
      <c r="BK942" s="38"/>
      <c r="BL942" s="38"/>
      <c r="BM942"/>
      <c r="BN942" s="48"/>
      <c r="BR942" s="19" t="s">
        <v>1213</v>
      </c>
      <c r="BS942" s="19" t="s">
        <v>3703</v>
      </c>
      <c r="BT942" s="54" t="str">
        <f t="shared" si="180"/>
        <v>Data Science</v>
      </c>
    </row>
    <row r="943" spans="17:72">
      <c r="Q943" s="18">
        <v>9.4</v>
      </c>
      <c r="R943" s="56" t="str">
        <f t="shared" si="179"/>
        <v>Yes</v>
      </c>
      <c r="W943" s="18" t="s">
        <v>1213</v>
      </c>
      <c r="X943" s="54" t="str">
        <f>VLOOKUP(W943,Employees!$A$1:$B$601,2,FALSE)</f>
        <v>Lipsa Behura</v>
      </c>
      <c r="AW943" s="54"/>
      <c r="AX943" s="54"/>
      <c r="BI943" s="48"/>
      <c r="BJ943" s="38"/>
      <c r="BK943" s="38"/>
      <c r="BL943" s="38"/>
      <c r="BM943"/>
      <c r="BN943" s="48"/>
      <c r="BR943" s="18" t="s">
        <v>1213</v>
      </c>
      <c r="BS943" s="18" t="s">
        <v>3705</v>
      </c>
      <c r="BT943" s="54" t="str">
        <f t="shared" si="180"/>
        <v>Data Science</v>
      </c>
    </row>
    <row r="944" spans="17:72">
      <c r="Q944" s="19"/>
      <c r="R944" s="56" t="str">
        <f t="shared" si="179"/>
        <v>No</v>
      </c>
      <c r="W944" s="19" t="s">
        <v>1213</v>
      </c>
      <c r="X944" s="54" t="str">
        <f>VLOOKUP(W944,Employees!$A$1:$B$601,2,FALSE)</f>
        <v>Lipsa Behura</v>
      </c>
      <c r="AW944" s="54"/>
      <c r="AX944" s="54"/>
      <c r="BI944" s="48"/>
      <c r="BJ944" s="38"/>
      <c r="BK944" s="38"/>
      <c r="BL944" s="38"/>
      <c r="BM944"/>
      <c r="BN944" s="48"/>
      <c r="BR944" s="19" t="s">
        <v>1213</v>
      </c>
      <c r="BS944" s="19" t="s">
        <v>3706</v>
      </c>
      <c r="BT944" s="54" t="str">
        <f t="shared" si="180"/>
        <v>Data Science</v>
      </c>
    </row>
    <row r="945" spans="17:72">
      <c r="Q945" s="18">
        <v>9.01</v>
      </c>
      <c r="R945" s="56" t="str">
        <f t="shared" si="179"/>
        <v>Yes</v>
      </c>
      <c r="W945" s="18" t="s">
        <v>1213</v>
      </c>
      <c r="X945" s="54" t="str">
        <f>VLOOKUP(W945,Employees!$A$1:$B$601,2,FALSE)</f>
        <v>Lipsa Behura</v>
      </c>
      <c r="AW945" s="54"/>
      <c r="AX945" s="54"/>
      <c r="BI945" s="48"/>
      <c r="BJ945" s="38"/>
      <c r="BK945" s="38"/>
      <c r="BL945" s="38"/>
      <c r="BM945"/>
      <c r="BN945" s="48"/>
      <c r="BR945" s="18" t="s">
        <v>1213</v>
      </c>
      <c r="BS945" s="18" t="s">
        <v>3707</v>
      </c>
      <c r="BT945" s="54" t="str">
        <f t="shared" si="180"/>
        <v>Data Science</v>
      </c>
    </row>
    <row r="946" spans="17:72">
      <c r="Q946" s="19">
        <v>10.220000000000001</v>
      </c>
      <c r="R946" s="56" t="str">
        <f t="shared" si="179"/>
        <v>Yes</v>
      </c>
      <c r="W946" s="19" t="s">
        <v>1213</v>
      </c>
      <c r="X946" s="54" t="str">
        <f>VLOOKUP(W946,Employees!$A$1:$B$601,2,FALSE)</f>
        <v>Lipsa Behura</v>
      </c>
      <c r="AW946" s="54"/>
      <c r="AX946" s="54"/>
      <c r="BI946" s="48"/>
      <c r="BJ946" s="38"/>
      <c r="BK946" s="38"/>
      <c r="BL946" s="38"/>
      <c r="BM946"/>
      <c r="BN946" s="48"/>
      <c r="BR946" s="19" t="s">
        <v>1213</v>
      </c>
      <c r="BS946" s="19" t="s">
        <v>3708</v>
      </c>
      <c r="BT946" s="54" t="str">
        <f t="shared" si="180"/>
        <v>Data Science</v>
      </c>
    </row>
    <row r="947" spans="17:72">
      <c r="Q947" s="18">
        <v>10.15</v>
      </c>
      <c r="R947" s="56" t="str">
        <f t="shared" si="179"/>
        <v>Yes</v>
      </c>
      <c r="W947" s="18" t="s">
        <v>1213</v>
      </c>
      <c r="X947" s="54" t="str">
        <f>VLOOKUP(W947,Employees!$A$1:$B$601,2,FALSE)</f>
        <v>Lipsa Behura</v>
      </c>
      <c r="AW947" s="54"/>
      <c r="AX947" s="54"/>
      <c r="BI947" s="48"/>
      <c r="BJ947" s="38"/>
      <c r="BK947" s="38"/>
      <c r="BL947" s="38"/>
      <c r="BM947"/>
      <c r="BN947" s="48"/>
      <c r="BR947" s="18" t="s">
        <v>1213</v>
      </c>
      <c r="BS947" s="18" t="s">
        <v>3709</v>
      </c>
      <c r="BT947" s="54" t="str">
        <f t="shared" si="180"/>
        <v>Data Science</v>
      </c>
    </row>
    <row r="948" spans="17:72">
      <c r="Q948" s="19">
        <v>7.82</v>
      </c>
      <c r="R948" s="56" t="str">
        <f t="shared" si="179"/>
        <v>Yes</v>
      </c>
      <c r="W948" s="19" t="s">
        <v>100</v>
      </c>
      <c r="X948" s="54" t="str">
        <f>VLOOKUP(W948,Employees!$A$1:$B$601,2,FALSE)</f>
        <v>Sudhansu Behura</v>
      </c>
      <c r="AW948" s="54"/>
      <c r="AX948" s="54"/>
      <c r="BI948" s="48"/>
      <c r="BJ948" s="38"/>
      <c r="BK948" s="38"/>
      <c r="BL948" s="38"/>
      <c r="BM948"/>
      <c r="BN948" s="48"/>
      <c r="BR948" s="19" t="s">
        <v>100</v>
      </c>
      <c r="BS948" s="19" t="s">
        <v>3711</v>
      </c>
      <c r="BT948" s="54" t="str">
        <f t="shared" si="180"/>
        <v>Product</v>
      </c>
    </row>
    <row r="949" spans="17:72">
      <c r="Q949" s="18">
        <v>9.4700000000000006</v>
      </c>
      <c r="R949" s="56" t="str">
        <f t="shared" si="179"/>
        <v>Yes</v>
      </c>
      <c r="W949" s="18" t="s">
        <v>100</v>
      </c>
      <c r="X949" s="54" t="str">
        <f>VLOOKUP(W949,Employees!$A$1:$B$601,2,FALSE)</f>
        <v>Sudhansu Behura</v>
      </c>
      <c r="AW949" s="54"/>
      <c r="AX949" s="54"/>
      <c r="BI949" s="48"/>
      <c r="BJ949" s="38"/>
      <c r="BK949" s="38"/>
      <c r="BL949" s="38"/>
      <c r="BM949"/>
      <c r="BN949" s="48"/>
      <c r="BR949" s="18" t="s">
        <v>100</v>
      </c>
      <c r="BS949" s="18" t="s">
        <v>3712</v>
      </c>
      <c r="BT949" s="54" t="str">
        <f t="shared" si="180"/>
        <v>Product</v>
      </c>
    </row>
    <row r="950" spans="17:72">
      <c r="Q950" s="19">
        <v>8.8000000000000007</v>
      </c>
      <c r="R950" s="56" t="str">
        <f t="shared" si="179"/>
        <v>Yes</v>
      </c>
      <c r="W950" s="19" t="s">
        <v>100</v>
      </c>
      <c r="X950" s="54" t="str">
        <f>VLOOKUP(W950,Employees!$A$1:$B$601,2,FALSE)</f>
        <v>Sudhansu Behura</v>
      </c>
      <c r="AW950" s="54"/>
      <c r="AX950" s="54"/>
      <c r="BI950" s="48"/>
      <c r="BJ950" s="38"/>
      <c r="BK950" s="38"/>
      <c r="BL950" s="38"/>
      <c r="BM950"/>
      <c r="BN950" s="48"/>
      <c r="BR950" s="19" t="s">
        <v>100</v>
      </c>
      <c r="BS950" s="19" t="s">
        <v>3713</v>
      </c>
      <c r="BT950" s="54" t="str">
        <f t="shared" si="180"/>
        <v>Product</v>
      </c>
    </row>
    <row r="951" spans="17:72">
      <c r="Q951" s="18">
        <v>9.94</v>
      </c>
      <c r="R951" s="56" t="str">
        <f t="shared" si="179"/>
        <v>Yes</v>
      </c>
      <c r="W951" s="18" t="s">
        <v>100</v>
      </c>
      <c r="X951" s="54" t="str">
        <f>VLOOKUP(W951,Employees!$A$1:$B$601,2,FALSE)</f>
        <v>Sudhansu Behura</v>
      </c>
      <c r="AW951" s="54"/>
      <c r="AX951" s="54"/>
      <c r="BI951" s="48"/>
      <c r="BJ951" s="38"/>
      <c r="BK951" s="38"/>
      <c r="BL951" s="38"/>
      <c r="BM951"/>
      <c r="BN951" s="48"/>
      <c r="BR951" s="18" t="s">
        <v>100</v>
      </c>
      <c r="BS951" s="18" t="s">
        <v>3714</v>
      </c>
      <c r="BT951" s="54" t="str">
        <f t="shared" si="180"/>
        <v>Product</v>
      </c>
    </row>
    <row r="952" spans="17:72">
      <c r="Q952" s="19">
        <v>6.68</v>
      </c>
      <c r="R952" s="56" t="str">
        <f t="shared" si="179"/>
        <v>Yes</v>
      </c>
      <c r="W952" s="19" t="s">
        <v>100</v>
      </c>
      <c r="X952" s="54" t="str">
        <f>VLOOKUP(W952,Employees!$A$1:$B$601,2,FALSE)</f>
        <v>Sudhansu Behura</v>
      </c>
      <c r="AW952" s="54"/>
      <c r="AX952" s="54"/>
      <c r="BI952" s="48"/>
      <c r="BJ952" s="38"/>
      <c r="BK952" s="38"/>
      <c r="BL952" s="38"/>
      <c r="BM952"/>
      <c r="BN952" s="48"/>
      <c r="BR952" s="19" t="s">
        <v>100</v>
      </c>
      <c r="BS952" s="19" t="s">
        <v>3715</v>
      </c>
      <c r="BT952" s="54" t="str">
        <f t="shared" si="180"/>
        <v>Product</v>
      </c>
    </row>
    <row r="953" spans="17:72">
      <c r="Q953" s="18">
        <v>11.13</v>
      </c>
      <c r="R953" s="56" t="str">
        <f t="shared" si="179"/>
        <v>Yes</v>
      </c>
      <c r="W953" s="18" t="s">
        <v>100</v>
      </c>
      <c r="X953" s="54" t="str">
        <f>VLOOKUP(W953,Employees!$A$1:$B$601,2,FALSE)</f>
        <v>Sudhansu Behura</v>
      </c>
      <c r="AW953" s="54"/>
      <c r="AX953" s="54"/>
      <c r="BI953" s="48"/>
      <c r="BJ953" s="38"/>
      <c r="BK953" s="38"/>
      <c r="BL953" s="38"/>
      <c r="BM953"/>
      <c r="BN953" s="48"/>
      <c r="BR953" s="18" t="s">
        <v>100</v>
      </c>
      <c r="BS953" s="18" t="s">
        <v>3716</v>
      </c>
      <c r="BT953" s="54" t="str">
        <f t="shared" si="180"/>
        <v>Product</v>
      </c>
    </row>
    <row r="954" spans="17:72">
      <c r="Q954" s="19">
        <v>11.5</v>
      </c>
      <c r="R954" s="56" t="str">
        <f t="shared" si="179"/>
        <v>Yes</v>
      </c>
      <c r="W954" s="19" t="s">
        <v>100</v>
      </c>
      <c r="X954" s="54" t="str">
        <f>VLOOKUP(W954,Employees!$A$1:$B$601,2,FALSE)</f>
        <v>Sudhansu Behura</v>
      </c>
      <c r="AW954" s="54"/>
      <c r="AX954" s="54"/>
      <c r="BI954" s="48"/>
      <c r="BJ954" s="38"/>
      <c r="BK954" s="38"/>
      <c r="BL954" s="38"/>
      <c r="BM954"/>
      <c r="BN954" s="48"/>
      <c r="BR954" s="19" t="s">
        <v>100</v>
      </c>
      <c r="BS954" s="19" t="s">
        <v>3717</v>
      </c>
      <c r="BT954" s="54" t="str">
        <f t="shared" si="180"/>
        <v>Product</v>
      </c>
    </row>
    <row r="955" spans="17:72">
      <c r="Q955" s="18"/>
      <c r="R955" s="56" t="str">
        <f t="shared" si="179"/>
        <v>No</v>
      </c>
      <c r="W955" s="18" t="s">
        <v>100</v>
      </c>
      <c r="X955" s="54" t="str">
        <f>VLOOKUP(W955,Employees!$A$1:$B$601,2,FALSE)</f>
        <v>Sudhansu Behura</v>
      </c>
      <c r="AW955" s="54"/>
      <c r="AX955" s="54"/>
      <c r="BI955" s="48"/>
      <c r="BJ955" s="38"/>
      <c r="BK955" s="38"/>
      <c r="BL955" s="38"/>
      <c r="BM955"/>
      <c r="BN955" s="48"/>
      <c r="BR955" s="18" t="s">
        <v>100</v>
      </c>
      <c r="BS955" s="18" t="s">
        <v>3718</v>
      </c>
      <c r="BT955" s="54" t="str">
        <f t="shared" si="180"/>
        <v>Product</v>
      </c>
    </row>
    <row r="956" spans="17:72">
      <c r="Q956" s="19">
        <v>11.08</v>
      </c>
      <c r="R956" s="56" t="str">
        <f t="shared" si="179"/>
        <v>Yes</v>
      </c>
      <c r="W956" s="19" t="s">
        <v>100</v>
      </c>
      <c r="X956" s="54" t="str">
        <f>VLOOKUP(W956,Employees!$A$1:$B$601,2,FALSE)</f>
        <v>Sudhansu Behura</v>
      </c>
      <c r="AW956" s="54"/>
      <c r="AX956" s="54"/>
      <c r="BI956" s="48"/>
      <c r="BJ956" s="38"/>
      <c r="BK956" s="38"/>
      <c r="BL956" s="38"/>
      <c r="BM956"/>
      <c r="BN956" s="48"/>
      <c r="BR956" s="19" t="s">
        <v>100</v>
      </c>
      <c r="BS956" s="19" t="s">
        <v>3719</v>
      </c>
      <c r="BT956" s="54" t="str">
        <f t="shared" si="180"/>
        <v>Product</v>
      </c>
    </row>
    <row r="957" spans="17:72">
      <c r="Q957" s="18">
        <v>8.66</v>
      </c>
      <c r="R957" s="56" t="str">
        <f t="shared" si="179"/>
        <v>Yes</v>
      </c>
      <c r="W957" s="18" t="s">
        <v>100</v>
      </c>
      <c r="X957" s="54" t="str">
        <f>VLOOKUP(W957,Employees!$A$1:$B$601,2,FALSE)</f>
        <v>Sudhansu Behura</v>
      </c>
      <c r="AW957" s="54"/>
      <c r="AX957" s="54"/>
      <c r="BI957" s="48"/>
      <c r="BJ957" s="38"/>
      <c r="BK957" s="38"/>
      <c r="BL957" s="38"/>
      <c r="BM957"/>
      <c r="BN957" s="48"/>
      <c r="BR957" s="18" t="s">
        <v>100</v>
      </c>
      <c r="BS957" s="18" t="s">
        <v>3720</v>
      </c>
      <c r="BT957" s="54" t="str">
        <f t="shared" si="180"/>
        <v>Product</v>
      </c>
    </row>
    <row r="958" spans="17:72">
      <c r="Q958" s="19">
        <v>9.59</v>
      </c>
      <c r="R958" s="56" t="str">
        <f t="shared" si="179"/>
        <v>Yes</v>
      </c>
      <c r="W958" s="19" t="s">
        <v>100</v>
      </c>
      <c r="X958" s="54" t="str">
        <f>VLOOKUP(W958,Employees!$A$1:$B$601,2,FALSE)</f>
        <v>Sudhansu Behura</v>
      </c>
      <c r="AW958" s="54"/>
      <c r="AX958" s="54"/>
      <c r="BI958" s="48"/>
      <c r="BJ958" s="38"/>
      <c r="BK958" s="38"/>
      <c r="BL958" s="38"/>
      <c r="BM958"/>
      <c r="BN958" s="48"/>
      <c r="BR958" s="19" t="s">
        <v>100</v>
      </c>
      <c r="BS958" s="19" t="s">
        <v>3721</v>
      </c>
      <c r="BT958" s="54" t="str">
        <f t="shared" si="180"/>
        <v>Product</v>
      </c>
    </row>
    <row r="959" spans="17:72">
      <c r="Q959" s="18">
        <v>8.92</v>
      </c>
      <c r="R959" s="56" t="str">
        <f t="shared" si="179"/>
        <v>Yes</v>
      </c>
      <c r="W959" s="18" t="s">
        <v>100</v>
      </c>
      <c r="X959" s="54" t="str">
        <f>VLOOKUP(W959,Employees!$A$1:$B$601,2,FALSE)</f>
        <v>Sudhansu Behura</v>
      </c>
      <c r="AW959" s="54"/>
      <c r="AX959" s="54"/>
      <c r="BI959" s="48"/>
      <c r="BJ959" s="38"/>
      <c r="BK959" s="38"/>
      <c r="BL959" s="38"/>
      <c r="BM959"/>
      <c r="BN959" s="48"/>
      <c r="BR959" s="18" t="s">
        <v>100</v>
      </c>
      <c r="BS959" s="18" t="s">
        <v>3722</v>
      </c>
      <c r="BT959" s="54" t="str">
        <f t="shared" si="180"/>
        <v>Product</v>
      </c>
    </row>
    <row r="960" spans="17:72">
      <c r="Q960" s="19">
        <v>7.74</v>
      </c>
      <c r="R960" s="56" t="str">
        <f t="shared" si="179"/>
        <v>Yes</v>
      </c>
      <c r="W960" s="19" t="s">
        <v>100</v>
      </c>
      <c r="X960" s="54" t="str">
        <f>VLOOKUP(W960,Employees!$A$1:$B$601,2,FALSE)</f>
        <v>Sudhansu Behura</v>
      </c>
      <c r="AW960" s="54"/>
      <c r="AX960" s="54"/>
      <c r="BI960" s="48"/>
      <c r="BJ960" s="38"/>
      <c r="BK960" s="38"/>
      <c r="BL960" s="38"/>
      <c r="BM960"/>
      <c r="BN960" s="48"/>
      <c r="BR960" s="19" t="s">
        <v>100</v>
      </c>
      <c r="BS960" s="19" t="s">
        <v>3723</v>
      </c>
      <c r="BT960" s="54" t="str">
        <f t="shared" si="180"/>
        <v>Product</v>
      </c>
    </row>
    <row r="961" spans="17:72">
      <c r="Q961" s="18">
        <v>8.81</v>
      </c>
      <c r="R961" s="56" t="str">
        <f t="shared" si="179"/>
        <v>Yes</v>
      </c>
      <c r="W961" s="18" t="s">
        <v>100</v>
      </c>
      <c r="X961" s="54" t="str">
        <f>VLOOKUP(W961,Employees!$A$1:$B$601,2,FALSE)</f>
        <v>Sudhansu Behura</v>
      </c>
      <c r="AW961" s="54"/>
      <c r="AX961" s="54"/>
      <c r="BI961" s="48"/>
      <c r="BJ961" s="38"/>
      <c r="BK961" s="38"/>
      <c r="BL961" s="38"/>
      <c r="BM961"/>
      <c r="BN961" s="48"/>
      <c r="BR961" s="18" t="s">
        <v>100</v>
      </c>
      <c r="BS961" s="18" t="s">
        <v>3724</v>
      </c>
      <c r="BT961" s="54" t="str">
        <f t="shared" si="180"/>
        <v>Product</v>
      </c>
    </row>
    <row r="962" spans="17:72">
      <c r="Q962" s="19">
        <v>9.9700000000000006</v>
      </c>
      <c r="R962" s="56" t="str">
        <f t="shared" si="179"/>
        <v>Yes</v>
      </c>
      <c r="W962" s="19" t="s">
        <v>100</v>
      </c>
      <c r="X962" s="54" t="str">
        <f>VLOOKUP(W962,Employees!$A$1:$B$601,2,FALSE)</f>
        <v>Sudhansu Behura</v>
      </c>
      <c r="AW962" s="54"/>
      <c r="AX962" s="54"/>
      <c r="BI962" s="48"/>
      <c r="BJ962" s="38"/>
      <c r="BK962" s="38"/>
      <c r="BL962" s="38"/>
      <c r="BM962"/>
      <c r="BN962" s="48"/>
      <c r="BR962" s="19" t="s">
        <v>100</v>
      </c>
      <c r="BS962" s="19" t="s">
        <v>3725</v>
      </c>
      <c r="BT962" s="54" t="str">
        <f t="shared" si="180"/>
        <v>Product</v>
      </c>
    </row>
    <row r="963" spans="17:72">
      <c r="Q963" s="18">
        <v>7.19</v>
      </c>
      <c r="R963" s="56" t="str">
        <f t="shared" ref="R963:R1026" si="181">IF(ISBLANK(Q963),"No","Yes")</f>
        <v>Yes</v>
      </c>
      <c r="W963" s="18" t="s">
        <v>100</v>
      </c>
      <c r="X963" s="54" t="str">
        <f>VLOOKUP(W963,Employees!$A$1:$B$601,2,FALSE)</f>
        <v>Sudhansu Behura</v>
      </c>
      <c r="AW963" s="54"/>
      <c r="AX963" s="54"/>
      <c r="BI963" s="48"/>
      <c r="BJ963" s="38"/>
      <c r="BK963" s="38"/>
      <c r="BL963" s="38"/>
      <c r="BM963"/>
      <c r="BN963" s="48"/>
      <c r="BR963" s="18" t="s">
        <v>100</v>
      </c>
      <c r="BS963" s="18" t="s">
        <v>3726</v>
      </c>
      <c r="BT963" s="54" t="str">
        <f t="shared" ref="BT963:BT1026" si="182">VLOOKUP(BR963,$BP$2:$BQ$601,2,FALSE)</f>
        <v>Product</v>
      </c>
    </row>
    <row r="964" spans="17:72">
      <c r="Q964" s="19">
        <v>10.32</v>
      </c>
      <c r="R964" s="56" t="str">
        <f t="shared" si="181"/>
        <v>Yes</v>
      </c>
      <c r="W964" s="19" t="s">
        <v>100</v>
      </c>
      <c r="X964" s="54" t="str">
        <f>VLOOKUP(W964,Employees!$A$1:$B$601,2,FALSE)</f>
        <v>Sudhansu Behura</v>
      </c>
      <c r="AW964" s="54"/>
      <c r="AX964" s="54"/>
      <c r="BI964" s="48"/>
      <c r="BJ964" s="38"/>
      <c r="BK964" s="38"/>
      <c r="BL964" s="38"/>
      <c r="BM964"/>
      <c r="BN964" s="48"/>
      <c r="BR964" s="19" t="s">
        <v>100</v>
      </c>
      <c r="BS964" s="19" t="s">
        <v>3728</v>
      </c>
      <c r="BT964" s="54" t="str">
        <f t="shared" si="182"/>
        <v>Product</v>
      </c>
    </row>
    <row r="965" spans="17:72">
      <c r="Q965" s="18">
        <v>6.9</v>
      </c>
      <c r="R965" s="56" t="str">
        <f t="shared" si="181"/>
        <v>Yes</v>
      </c>
      <c r="W965" s="18" t="s">
        <v>100</v>
      </c>
      <c r="X965" s="54" t="str">
        <f>VLOOKUP(W965,Employees!$A$1:$B$601,2,FALSE)</f>
        <v>Sudhansu Behura</v>
      </c>
      <c r="AW965" s="54"/>
      <c r="AX965" s="54"/>
      <c r="BI965" s="48"/>
      <c r="BJ965" s="38"/>
      <c r="BK965" s="38"/>
      <c r="BL965" s="38"/>
      <c r="BM965"/>
      <c r="BN965" s="48"/>
      <c r="BR965" s="18" t="s">
        <v>100</v>
      </c>
      <c r="BS965" s="18" t="s">
        <v>3729</v>
      </c>
      <c r="BT965" s="54" t="str">
        <f t="shared" si="182"/>
        <v>Product</v>
      </c>
    </row>
    <row r="966" spans="17:72">
      <c r="Q966" s="19">
        <v>9.74</v>
      </c>
      <c r="R966" s="56" t="str">
        <f t="shared" si="181"/>
        <v>Yes</v>
      </c>
      <c r="W966" s="19" t="s">
        <v>100</v>
      </c>
      <c r="X966" s="54" t="str">
        <f>VLOOKUP(W966,Employees!$A$1:$B$601,2,FALSE)</f>
        <v>Sudhansu Behura</v>
      </c>
      <c r="AW966" s="54"/>
      <c r="AX966" s="54"/>
      <c r="BI966" s="48"/>
      <c r="BJ966" s="38"/>
      <c r="BK966" s="38"/>
      <c r="BL966" s="38"/>
      <c r="BM966"/>
      <c r="BN966" s="48"/>
      <c r="BR966" s="19" t="s">
        <v>100</v>
      </c>
      <c r="BS966" s="19" t="s">
        <v>3730</v>
      </c>
      <c r="BT966" s="54" t="str">
        <f t="shared" si="182"/>
        <v>Product</v>
      </c>
    </row>
    <row r="967" spans="17:72">
      <c r="Q967" s="18">
        <v>11.16</v>
      </c>
      <c r="R967" s="56" t="str">
        <f t="shared" si="181"/>
        <v>Yes</v>
      </c>
      <c r="W967" s="18" t="s">
        <v>100</v>
      </c>
      <c r="X967" s="54" t="str">
        <f>VLOOKUP(W967,Employees!$A$1:$B$601,2,FALSE)</f>
        <v>Sudhansu Behura</v>
      </c>
      <c r="AW967" s="54"/>
      <c r="AX967" s="54"/>
      <c r="BI967" s="48"/>
      <c r="BJ967" s="38"/>
      <c r="BK967" s="38"/>
      <c r="BL967" s="38"/>
      <c r="BM967"/>
      <c r="BN967" s="48"/>
      <c r="BR967" s="18" t="s">
        <v>100</v>
      </c>
      <c r="BS967" s="18" t="s">
        <v>3731</v>
      </c>
      <c r="BT967" s="54" t="str">
        <f t="shared" si="182"/>
        <v>Product</v>
      </c>
    </row>
    <row r="968" spans="17:72">
      <c r="Q968" s="19">
        <v>11.41</v>
      </c>
      <c r="R968" s="56" t="str">
        <f t="shared" si="181"/>
        <v>Yes</v>
      </c>
      <c r="W968" s="19" t="s">
        <v>100</v>
      </c>
      <c r="X968" s="54" t="str">
        <f>VLOOKUP(W968,Employees!$A$1:$B$601,2,FALSE)</f>
        <v>Sudhansu Behura</v>
      </c>
      <c r="AW968" s="54"/>
      <c r="AX968" s="54"/>
      <c r="BI968" s="48"/>
      <c r="BJ968" s="38"/>
      <c r="BK968" s="38"/>
      <c r="BL968" s="38"/>
      <c r="BM968"/>
      <c r="BN968" s="48"/>
      <c r="BR968" s="19" t="s">
        <v>100</v>
      </c>
      <c r="BS968" s="19" t="s">
        <v>3732</v>
      </c>
      <c r="BT968" s="54" t="str">
        <f t="shared" si="182"/>
        <v>Product</v>
      </c>
    </row>
    <row r="969" spans="17:72">
      <c r="Q969" s="18">
        <v>7.75</v>
      </c>
      <c r="R969" s="56" t="str">
        <f t="shared" si="181"/>
        <v>Yes</v>
      </c>
      <c r="W969" s="18" t="s">
        <v>100</v>
      </c>
      <c r="X969" s="54" t="str">
        <f>VLOOKUP(W969,Employees!$A$1:$B$601,2,FALSE)</f>
        <v>Sudhansu Behura</v>
      </c>
      <c r="AW969" s="54"/>
      <c r="AX969" s="54"/>
      <c r="BI969" s="48"/>
      <c r="BJ969" s="38"/>
      <c r="BK969" s="38"/>
      <c r="BL969" s="38"/>
      <c r="BM969"/>
      <c r="BN969" s="48"/>
      <c r="BR969" s="18" t="s">
        <v>100</v>
      </c>
      <c r="BS969" s="18" t="s">
        <v>3734</v>
      </c>
      <c r="BT969" s="54" t="str">
        <f t="shared" si="182"/>
        <v>Product</v>
      </c>
    </row>
    <row r="970" spans="17:72">
      <c r="Q970" s="19">
        <v>10.19</v>
      </c>
      <c r="R970" s="56" t="str">
        <f t="shared" si="181"/>
        <v>Yes</v>
      </c>
      <c r="W970" s="19" t="s">
        <v>100</v>
      </c>
      <c r="X970" s="54" t="str">
        <f>VLOOKUP(W970,Employees!$A$1:$B$601,2,FALSE)</f>
        <v>Sudhansu Behura</v>
      </c>
      <c r="AW970" s="54"/>
      <c r="AX970" s="54"/>
      <c r="BI970" s="48"/>
      <c r="BJ970" s="38"/>
      <c r="BK970" s="38"/>
      <c r="BL970" s="38"/>
      <c r="BM970"/>
      <c r="BN970" s="48"/>
      <c r="BR970" s="19" t="s">
        <v>100</v>
      </c>
      <c r="BS970" s="19" t="s">
        <v>3735</v>
      </c>
      <c r="BT970" s="54" t="str">
        <f t="shared" si="182"/>
        <v>Product</v>
      </c>
    </row>
    <row r="971" spans="17:72">
      <c r="Q971" s="18">
        <v>8.32</v>
      </c>
      <c r="R971" s="56" t="str">
        <f t="shared" si="181"/>
        <v>Yes</v>
      </c>
      <c r="W971" s="18" t="s">
        <v>100</v>
      </c>
      <c r="X971" s="54" t="str">
        <f>VLOOKUP(W971,Employees!$A$1:$B$601,2,FALSE)</f>
        <v>Sudhansu Behura</v>
      </c>
      <c r="AW971" s="54"/>
      <c r="AX971" s="54"/>
      <c r="BI971" s="48"/>
      <c r="BJ971" s="38"/>
      <c r="BK971" s="38"/>
      <c r="BL971" s="38"/>
      <c r="BM971"/>
      <c r="BN971" s="48"/>
      <c r="BR971" s="18" t="s">
        <v>100</v>
      </c>
      <c r="BS971" s="18" t="s">
        <v>3736</v>
      </c>
      <c r="BT971" s="54" t="str">
        <f t="shared" si="182"/>
        <v>Product</v>
      </c>
    </row>
    <row r="972" spans="17:72">
      <c r="Q972" s="19">
        <v>9.16</v>
      </c>
      <c r="R972" s="56" t="str">
        <f t="shared" si="181"/>
        <v>Yes</v>
      </c>
      <c r="W972" s="19" t="s">
        <v>100</v>
      </c>
      <c r="X972" s="54" t="str">
        <f>VLOOKUP(W972,Employees!$A$1:$B$601,2,FALSE)</f>
        <v>Sudhansu Behura</v>
      </c>
      <c r="AW972" s="54"/>
      <c r="AX972" s="54"/>
      <c r="BI972" s="48"/>
      <c r="BJ972" s="38"/>
      <c r="BK972" s="38"/>
      <c r="BL972" s="38"/>
      <c r="BM972"/>
      <c r="BN972" s="48"/>
      <c r="BR972" s="19" t="s">
        <v>100</v>
      </c>
      <c r="BS972" s="19" t="s">
        <v>3737</v>
      </c>
      <c r="BT972" s="54" t="str">
        <f t="shared" si="182"/>
        <v>Product</v>
      </c>
    </row>
    <row r="973" spans="17:72">
      <c r="Q973" s="18"/>
      <c r="R973" s="56" t="str">
        <f t="shared" si="181"/>
        <v>No</v>
      </c>
      <c r="W973" s="18" t="s">
        <v>100</v>
      </c>
      <c r="X973" s="54" t="str">
        <f>VLOOKUP(W973,Employees!$A$1:$B$601,2,FALSE)</f>
        <v>Sudhansu Behura</v>
      </c>
      <c r="AW973" s="54"/>
      <c r="AX973" s="54"/>
      <c r="BI973" s="48"/>
      <c r="BJ973" s="38"/>
      <c r="BK973" s="38"/>
      <c r="BL973" s="38"/>
      <c r="BM973"/>
      <c r="BN973" s="48"/>
      <c r="BR973" s="18" t="s">
        <v>100</v>
      </c>
      <c r="BS973" s="18" t="s">
        <v>3738</v>
      </c>
      <c r="BT973" s="54" t="str">
        <f t="shared" si="182"/>
        <v>Product</v>
      </c>
    </row>
    <row r="974" spans="17:72">
      <c r="Q974" s="19">
        <v>7.08</v>
      </c>
      <c r="R974" s="56" t="str">
        <f t="shared" si="181"/>
        <v>Yes</v>
      </c>
      <c r="W974" s="19" t="s">
        <v>100</v>
      </c>
      <c r="X974" s="54" t="str">
        <f>VLOOKUP(W974,Employees!$A$1:$B$601,2,FALSE)</f>
        <v>Sudhansu Behura</v>
      </c>
      <c r="AW974" s="54"/>
      <c r="AX974" s="54"/>
      <c r="BI974" s="48"/>
      <c r="BJ974" s="38"/>
      <c r="BK974" s="38"/>
      <c r="BL974" s="38"/>
      <c r="BM974"/>
      <c r="BN974" s="48"/>
      <c r="BR974" s="19" t="s">
        <v>100</v>
      </c>
      <c r="BS974" s="19" t="s">
        <v>3739</v>
      </c>
      <c r="BT974" s="54" t="str">
        <f t="shared" si="182"/>
        <v>Product</v>
      </c>
    </row>
    <row r="975" spans="17:72">
      <c r="Q975" s="18">
        <v>8.07</v>
      </c>
      <c r="R975" s="56" t="str">
        <f t="shared" si="181"/>
        <v>Yes</v>
      </c>
      <c r="W975" s="18" t="s">
        <v>100</v>
      </c>
      <c r="X975" s="54" t="str">
        <f>VLOOKUP(W975,Employees!$A$1:$B$601,2,FALSE)</f>
        <v>Sudhansu Behura</v>
      </c>
      <c r="AW975" s="54"/>
      <c r="AX975" s="54"/>
      <c r="BI975" s="48"/>
      <c r="BJ975" s="38"/>
      <c r="BK975" s="38"/>
      <c r="BL975" s="38"/>
      <c r="BM975"/>
      <c r="BN975" s="48"/>
      <c r="BR975" s="18" t="s">
        <v>100</v>
      </c>
      <c r="BS975" s="18" t="s">
        <v>3740</v>
      </c>
      <c r="BT975" s="54" t="str">
        <f t="shared" si="182"/>
        <v>Product</v>
      </c>
    </row>
    <row r="976" spans="17:72">
      <c r="Q976" s="19">
        <v>8.17</v>
      </c>
      <c r="R976" s="56" t="str">
        <f t="shared" si="181"/>
        <v>Yes</v>
      </c>
      <c r="W976" s="19" t="s">
        <v>100</v>
      </c>
      <c r="X976" s="54" t="str">
        <f>VLOOKUP(W976,Employees!$A$1:$B$601,2,FALSE)</f>
        <v>Sudhansu Behura</v>
      </c>
      <c r="AW976" s="54"/>
      <c r="AX976" s="54"/>
      <c r="BI976" s="48"/>
      <c r="BJ976" s="38"/>
      <c r="BK976" s="38"/>
      <c r="BL976" s="38"/>
      <c r="BM976"/>
      <c r="BN976" s="48"/>
      <c r="BR976" s="19" t="s">
        <v>100</v>
      </c>
      <c r="BS976" s="19" t="s">
        <v>3742</v>
      </c>
      <c r="BT976" s="54" t="str">
        <f t="shared" si="182"/>
        <v>Product</v>
      </c>
    </row>
    <row r="977" spans="17:72">
      <c r="Q977" s="18">
        <v>11.33</v>
      </c>
      <c r="R977" s="56" t="str">
        <f t="shared" si="181"/>
        <v>Yes</v>
      </c>
      <c r="W977" s="18" t="s">
        <v>100</v>
      </c>
      <c r="X977" s="54" t="str">
        <f>VLOOKUP(W977,Employees!$A$1:$B$601,2,FALSE)</f>
        <v>Sudhansu Behura</v>
      </c>
      <c r="AW977" s="54"/>
      <c r="AX977" s="54"/>
      <c r="BI977" s="48"/>
      <c r="BJ977" s="38"/>
      <c r="BK977" s="38"/>
      <c r="BL977" s="38"/>
      <c r="BM977"/>
      <c r="BN977" s="48"/>
      <c r="BR977" s="18" t="s">
        <v>100</v>
      </c>
      <c r="BS977" s="18" t="s">
        <v>3743</v>
      </c>
      <c r="BT977" s="54" t="str">
        <f t="shared" si="182"/>
        <v>Product</v>
      </c>
    </row>
    <row r="978" spans="17:72">
      <c r="Q978" s="19">
        <v>7.91</v>
      </c>
      <c r="R978" s="56" t="str">
        <f t="shared" si="181"/>
        <v>Yes</v>
      </c>
      <c r="W978" s="19" t="s">
        <v>100</v>
      </c>
      <c r="X978" s="54" t="str">
        <f>VLOOKUP(W978,Employees!$A$1:$B$601,2,FALSE)</f>
        <v>Sudhansu Behura</v>
      </c>
      <c r="AW978" s="54"/>
      <c r="AX978" s="54"/>
      <c r="BI978" s="48"/>
      <c r="BJ978" s="38"/>
      <c r="BK978" s="38"/>
      <c r="BL978" s="38"/>
      <c r="BM978"/>
      <c r="BN978" s="48"/>
      <c r="BR978" s="19" t="s">
        <v>100</v>
      </c>
      <c r="BS978" s="19" t="s">
        <v>3744</v>
      </c>
      <c r="BT978" s="54" t="str">
        <f t="shared" si="182"/>
        <v>Product</v>
      </c>
    </row>
    <row r="979" spans="17:72">
      <c r="Q979" s="18">
        <v>11.28</v>
      </c>
      <c r="R979" s="56" t="str">
        <f t="shared" si="181"/>
        <v>Yes</v>
      </c>
      <c r="W979" s="18" t="s">
        <v>100</v>
      </c>
      <c r="X979" s="54" t="str">
        <f>VLOOKUP(W979,Employees!$A$1:$B$601,2,FALSE)</f>
        <v>Sudhansu Behura</v>
      </c>
      <c r="AW979" s="54"/>
      <c r="AX979" s="54"/>
      <c r="BI979" s="48"/>
      <c r="BJ979" s="38"/>
      <c r="BK979" s="38"/>
      <c r="BL979" s="38"/>
      <c r="BM979"/>
      <c r="BN979" s="48"/>
      <c r="BR979" s="18" t="s">
        <v>100</v>
      </c>
      <c r="BS979" s="18" t="s">
        <v>3745</v>
      </c>
      <c r="BT979" s="54" t="str">
        <f t="shared" si="182"/>
        <v>Product</v>
      </c>
    </row>
    <row r="980" spans="17:72">
      <c r="Q980" s="19">
        <v>9.4700000000000006</v>
      </c>
      <c r="R980" s="56" t="str">
        <f t="shared" si="181"/>
        <v>Yes</v>
      </c>
      <c r="W980" s="19" t="s">
        <v>100</v>
      </c>
      <c r="X980" s="54" t="str">
        <f>VLOOKUP(W980,Employees!$A$1:$B$601,2,FALSE)</f>
        <v>Sudhansu Behura</v>
      </c>
      <c r="AW980" s="54"/>
      <c r="AX980" s="54"/>
      <c r="BI980" s="48"/>
      <c r="BJ980" s="38"/>
      <c r="BK980" s="38"/>
      <c r="BL980" s="38"/>
      <c r="BM980"/>
      <c r="BN980" s="48"/>
      <c r="BR980" s="19" t="s">
        <v>100</v>
      </c>
      <c r="BS980" s="19" t="s">
        <v>3747</v>
      </c>
      <c r="BT980" s="54" t="str">
        <f t="shared" si="182"/>
        <v>Product</v>
      </c>
    </row>
    <row r="981" spans="17:72">
      <c r="Q981" s="18"/>
      <c r="R981" s="56" t="str">
        <f t="shared" si="181"/>
        <v>No</v>
      </c>
      <c r="W981" s="18" t="s">
        <v>100</v>
      </c>
      <c r="X981" s="54" t="str">
        <f>VLOOKUP(W981,Employees!$A$1:$B$601,2,FALSE)</f>
        <v>Sudhansu Behura</v>
      </c>
      <c r="AW981" s="54"/>
      <c r="AX981" s="54"/>
      <c r="BI981" s="48"/>
      <c r="BJ981" s="38"/>
      <c r="BK981" s="38"/>
      <c r="BL981" s="38"/>
      <c r="BM981"/>
      <c r="BN981" s="48"/>
      <c r="BR981" s="18" t="s">
        <v>100</v>
      </c>
      <c r="BS981" s="18" t="s">
        <v>3748</v>
      </c>
      <c r="BT981" s="54" t="str">
        <f t="shared" si="182"/>
        <v>Product</v>
      </c>
    </row>
    <row r="982" spans="17:72">
      <c r="Q982" s="19">
        <v>8.64</v>
      </c>
      <c r="R982" s="56" t="str">
        <f t="shared" si="181"/>
        <v>Yes</v>
      </c>
      <c r="W982" s="19" t="s">
        <v>100</v>
      </c>
      <c r="X982" s="54" t="str">
        <f>VLOOKUP(W982,Employees!$A$1:$B$601,2,FALSE)</f>
        <v>Sudhansu Behura</v>
      </c>
      <c r="AW982" s="54"/>
      <c r="AX982" s="54"/>
      <c r="BI982" s="48"/>
      <c r="BJ982" s="38"/>
      <c r="BK982" s="38"/>
      <c r="BL982" s="38"/>
      <c r="BM982"/>
      <c r="BN982" s="48"/>
      <c r="BR982" s="19" t="s">
        <v>100</v>
      </c>
      <c r="BS982" s="19" t="s">
        <v>3749</v>
      </c>
      <c r="BT982" s="54" t="str">
        <f t="shared" si="182"/>
        <v>Product</v>
      </c>
    </row>
    <row r="983" spans="17:72">
      <c r="Q983" s="18">
        <v>10.39</v>
      </c>
      <c r="R983" s="56" t="str">
        <f t="shared" si="181"/>
        <v>Yes</v>
      </c>
      <c r="W983" s="18" t="s">
        <v>100</v>
      </c>
      <c r="X983" s="54" t="str">
        <f>VLOOKUP(W983,Employees!$A$1:$B$601,2,FALSE)</f>
        <v>Sudhansu Behura</v>
      </c>
      <c r="AW983" s="54"/>
      <c r="AX983" s="54"/>
      <c r="BI983" s="48"/>
      <c r="BJ983" s="38"/>
      <c r="BK983" s="38"/>
      <c r="BL983" s="38"/>
      <c r="BM983"/>
      <c r="BN983" s="48"/>
      <c r="BR983" s="18" t="s">
        <v>100</v>
      </c>
      <c r="BS983" s="18" t="s">
        <v>3750</v>
      </c>
      <c r="BT983" s="54" t="str">
        <f t="shared" si="182"/>
        <v>Product</v>
      </c>
    </row>
    <row r="984" spans="17:72">
      <c r="Q984" s="19">
        <v>9.52</v>
      </c>
      <c r="R984" s="56" t="str">
        <f t="shared" si="181"/>
        <v>Yes</v>
      </c>
      <c r="W984" s="19" t="s">
        <v>100</v>
      </c>
      <c r="X984" s="54" t="str">
        <f>VLOOKUP(W984,Employees!$A$1:$B$601,2,FALSE)</f>
        <v>Sudhansu Behura</v>
      </c>
      <c r="AW984" s="54"/>
      <c r="AX984" s="54"/>
      <c r="BI984" s="48"/>
      <c r="BJ984" s="38"/>
      <c r="BK984" s="38"/>
      <c r="BL984" s="38"/>
      <c r="BM984"/>
      <c r="BN984" s="48"/>
      <c r="BR984" s="19" t="s">
        <v>100</v>
      </c>
      <c r="BS984" s="19" t="s">
        <v>3751</v>
      </c>
      <c r="BT984" s="54" t="str">
        <f t="shared" si="182"/>
        <v>Product</v>
      </c>
    </row>
    <row r="985" spans="17:72">
      <c r="Q985" s="18">
        <v>7.88</v>
      </c>
      <c r="R985" s="56" t="str">
        <f t="shared" si="181"/>
        <v>Yes</v>
      </c>
      <c r="W985" s="18" t="s">
        <v>100</v>
      </c>
      <c r="X985" s="54" t="str">
        <f>VLOOKUP(W985,Employees!$A$1:$B$601,2,FALSE)</f>
        <v>Sudhansu Behura</v>
      </c>
      <c r="AW985" s="54"/>
      <c r="AX985" s="54"/>
      <c r="BI985" s="48"/>
      <c r="BJ985" s="38"/>
      <c r="BK985" s="38"/>
      <c r="BL985" s="38"/>
      <c r="BM985"/>
      <c r="BN985" s="48"/>
      <c r="BR985" s="18" t="s">
        <v>100</v>
      </c>
      <c r="BS985" s="18" t="s">
        <v>3752</v>
      </c>
      <c r="BT985" s="54" t="str">
        <f t="shared" si="182"/>
        <v>Product</v>
      </c>
    </row>
    <row r="986" spans="17:72">
      <c r="Q986" s="19">
        <v>7.41</v>
      </c>
      <c r="R986" s="56" t="str">
        <f t="shared" si="181"/>
        <v>Yes</v>
      </c>
      <c r="W986" s="19" t="s">
        <v>100</v>
      </c>
      <c r="X986" s="54" t="str">
        <f>VLOOKUP(W986,Employees!$A$1:$B$601,2,FALSE)</f>
        <v>Sudhansu Behura</v>
      </c>
      <c r="AW986" s="54"/>
      <c r="AX986" s="54"/>
      <c r="BI986" s="48"/>
      <c r="BJ986" s="38"/>
      <c r="BK986" s="38"/>
      <c r="BL986" s="38"/>
      <c r="BM986"/>
      <c r="BN986" s="48"/>
      <c r="BR986" s="19" t="s">
        <v>100</v>
      </c>
      <c r="BS986" s="19" t="s">
        <v>3753</v>
      </c>
      <c r="BT986" s="54" t="str">
        <f t="shared" si="182"/>
        <v>Product</v>
      </c>
    </row>
    <row r="987" spans="17:72">
      <c r="Q987" s="18">
        <v>9.57</v>
      </c>
      <c r="R987" s="56" t="str">
        <f t="shared" si="181"/>
        <v>Yes</v>
      </c>
      <c r="W987" s="18" t="s">
        <v>100</v>
      </c>
      <c r="X987" s="54" t="str">
        <f>VLOOKUP(W987,Employees!$A$1:$B$601,2,FALSE)</f>
        <v>Sudhansu Behura</v>
      </c>
      <c r="AW987" s="54"/>
      <c r="AX987" s="54"/>
      <c r="BI987" s="48"/>
      <c r="BJ987" s="38"/>
      <c r="BK987" s="38"/>
      <c r="BL987" s="38"/>
      <c r="BM987"/>
      <c r="BN987" s="48"/>
      <c r="BR987" s="18" t="s">
        <v>100</v>
      </c>
      <c r="BS987" s="18" t="s">
        <v>3754</v>
      </c>
      <c r="BT987" s="54" t="str">
        <f t="shared" si="182"/>
        <v>Product</v>
      </c>
    </row>
    <row r="988" spans="17:72">
      <c r="Q988" s="19">
        <v>10.93</v>
      </c>
      <c r="R988" s="56" t="str">
        <f t="shared" si="181"/>
        <v>Yes</v>
      </c>
      <c r="W988" s="19" t="s">
        <v>100</v>
      </c>
      <c r="X988" s="54" t="str">
        <f>VLOOKUP(W988,Employees!$A$1:$B$601,2,FALSE)</f>
        <v>Sudhansu Behura</v>
      </c>
      <c r="AW988" s="54"/>
      <c r="AX988" s="54"/>
      <c r="BI988" s="48"/>
      <c r="BJ988" s="38"/>
      <c r="BK988" s="38"/>
      <c r="BL988" s="38"/>
      <c r="BM988"/>
      <c r="BN988" s="48"/>
      <c r="BR988" s="19" t="s">
        <v>100</v>
      </c>
      <c r="BS988" s="19" t="s">
        <v>3755</v>
      </c>
      <c r="BT988" s="54" t="str">
        <f t="shared" si="182"/>
        <v>Product</v>
      </c>
    </row>
    <row r="989" spans="17:72">
      <c r="Q989" s="18">
        <v>6.8</v>
      </c>
      <c r="R989" s="56" t="str">
        <f t="shared" si="181"/>
        <v>Yes</v>
      </c>
      <c r="W989" s="18" t="s">
        <v>100</v>
      </c>
      <c r="X989" s="54" t="str">
        <f>VLOOKUP(W989,Employees!$A$1:$B$601,2,FALSE)</f>
        <v>Sudhansu Behura</v>
      </c>
      <c r="AW989" s="54"/>
      <c r="AX989" s="54"/>
      <c r="BI989" s="48"/>
      <c r="BJ989" s="38"/>
      <c r="BK989" s="38"/>
      <c r="BL989" s="38"/>
      <c r="BM989"/>
      <c r="BN989" s="48"/>
      <c r="BR989" s="18" t="s">
        <v>100</v>
      </c>
      <c r="BS989" s="18" t="s">
        <v>3756</v>
      </c>
      <c r="BT989" s="54" t="str">
        <f t="shared" si="182"/>
        <v>Product</v>
      </c>
    </row>
    <row r="990" spans="17:72">
      <c r="Q990" s="19">
        <v>6.91</v>
      </c>
      <c r="R990" s="56" t="str">
        <f t="shared" si="181"/>
        <v>Yes</v>
      </c>
      <c r="W990" s="19" t="s">
        <v>100</v>
      </c>
      <c r="X990" s="54" t="str">
        <f>VLOOKUP(W990,Employees!$A$1:$B$601,2,FALSE)</f>
        <v>Sudhansu Behura</v>
      </c>
      <c r="AW990" s="54"/>
      <c r="AX990" s="54"/>
      <c r="BI990" s="48"/>
      <c r="BJ990" s="38"/>
      <c r="BK990" s="38"/>
      <c r="BL990" s="38"/>
      <c r="BM990"/>
      <c r="BN990" s="48"/>
      <c r="BR990" s="19" t="s">
        <v>100</v>
      </c>
      <c r="BS990" s="19" t="s">
        <v>3757</v>
      </c>
      <c r="BT990" s="54" t="str">
        <f t="shared" si="182"/>
        <v>Product</v>
      </c>
    </row>
    <row r="991" spans="17:72">
      <c r="Q991" s="18">
        <v>10.58</v>
      </c>
      <c r="R991" s="56" t="str">
        <f t="shared" si="181"/>
        <v>Yes</v>
      </c>
      <c r="W991" s="18" t="s">
        <v>1247</v>
      </c>
      <c r="X991" s="54" t="str">
        <f>VLOOKUP(W991,Employees!$A$1:$B$601,2,FALSE)</f>
        <v>Ranjit Mohapatra</v>
      </c>
      <c r="AW991" s="54"/>
      <c r="AX991" s="54"/>
      <c r="BI991" s="48"/>
      <c r="BJ991" s="38"/>
      <c r="BK991" s="38"/>
      <c r="BL991" s="38"/>
      <c r="BM991"/>
      <c r="BN991" s="48"/>
      <c r="BR991" s="18" t="s">
        <v>1247</v>
      </c>
      <c r="BS991" s="18" t="s">
        <v>3759</v>
      </c>
      <c r="BT991" s="54" t="str">
        <f t="shared" si="182"/>
        <v>HR</v>
      </c>
    </row>
    <row r="992" spans="17:72">
      <c r="Q992" s="19">
        <v>8.8699999999999992</v>
      </c>
      <c r="R992" s="56" t="str">
        <f t="shared" si="181"/>
        <v>Yes</v>
      </c>
      <c r="W992" s="19" t="s">
        <v>1247</v>
      </c>
      <c r="X992" s="54" t="str">
        <f>VLOOKUP(W992,Employees!$A$1:$B$601,2,FALSE)</f>
        <v>Ranjit Mohapatra</v>
      </c>
      <c r="AW992" s="54"/>
      <c r="AX992" s="54"/>
      <c r="BI992" s="48"/>
      <c r="BJ992" s="38"/>
      <c r="BK992" s="38"/>
      <c r="BL992" s="38"/>
      <c r="BM992"/>
      <c r="BN992" s="48"/>
      <c r="BR992" s="19" t="s">
        <v>1247</v>
      </c>
      <c r="BS992" s="19" t="s">
        <v>3760</v>
      </c>
      <c r="BT992" s="54" t="str">
        <f t="shared" si="182"/>
        <v>HR</v>
      </c>
    </row>
    <row r="993" spans="17:72">
      <c r="Q993" s="18">
        <v>7.35</v>
      </c>
      <c r="R993" s="56" t="str">
        <f t="shared" si="181"/>
        <v>Yes</v>
      </c>
      <c r="W993" s="18" t="s">
        <v>1247</v>
      </c>
      <c r="X993" s="54" t="str">
        <f>VLOOKUP(W993,Employees!$A$1:$B$601,2,FALSE)</f>
        <v>Ranjit Mohapatra</v>
      </c>
      <c r="AW993" s="54"/>
      <c r="AX993" s="54"/>
      <c r="BI993" s="48"/>
      <c r="BJ993" s="38"/>
      <c r="BK993" s="38"/>
      <c r="BL993" s="38"/>
      <c r="BM993"/>
      <c r="BN993" s="48"/>
      <c r="BR993" s="18" t="s">
        <v>1247</v>
      </c>
      <c r="BS993" s="18" t="s">
        <v>3761</v>
      </c>
      <c r="BT993" s="54" t="str">
        <f t="shared" si="182"/>
        <v>HR</v>
      </c>
    </row>
    <row r="994" spans="17:72">
      <c r="Q994" s="19">
        <v>7.05</v>
      </c>
      <c r="R994" s="56" t="str">
        <f t="shared" si="181"/>
        <v>Yes</v>
      </c>
      <c r="W994" s="19" t="s">
        <v>1247</v>
      </c>
      <c r="X994" s="54" t="str">
        <f>VLOOKUP(W994,Employees!$A$1:$B$601,2,FALSE)</f>
        <v>Ranjit Mohapatra</v>
      </c>
      <c r="AW994" s="54"/>
      <c r="AX994" s="54"/>
      <c r="BI994" s="48"/>
      <c r="BJ994" s="38"/>
      <c r="BK994" s="38"/>
      <c r="BL994" s="38"/>
      <c r="BM994"/>
      <c r="BN994" s="48"/>
      <c r="BR994" s="19" t="s">
        <v>1247</v>
      </c>
      <c r="BS994" s="19" t="s">
        <v>3762</v>
      </c>
      <c r="BT994" s="54" t="str">
        <f t="shared" si="182"/>
        <v>HR</v>
      </c>
    </row>
    <row r="995" spans="17:72">
      <c r="Q995" s="18">
        <v>7.3</v>
      </c>
      <c r="R995" s="56" t="str">
        <f t="shared" si="181"/>
        <v>Yes</v>
      </c>
      <c r="W995" s="18" t="s">
        <v>1247</v>
      </c>
      <c r="X995" s="54" t="str">
        <f>VLOOKUP(W995,Employees!$A$1:$B$601,2,FALSE)</f>
        <v>Ranjit Mohapatra</v>
      </c>
      <c r="AW995" s="54"/>
      <c r="AX995" s="54"/>
      <c r="BI995" s="48"/>
      <c r="BJ995" s="38"/>
      <c r="BK995" s="38"/>
      <c r="BL995" s="38"/>
      <c r="BM995"/>
      <c r="BN995" s="48"/>
      <c r="BR995" s="18" t="s">
        <v>1247</v>
      </c>
      <c r="BS995" s="18" t="s">
        <v>3763</v>
      </c>
      <c r="BT995" s="54" t="str">
        <f t="shared" si="182"/>
        <v>HR</v>
      </c>
    </row>
    <row r="996" spans="17:72">
      <c r="Q996" s="19">
        <v>9.11</v>
      </c>
      <c r="R996" s="56" t="str">
        <f t="shared" si="181"/>
        <v>Yes</v>
      </c>
      <c r="W996" s="19" t="s">
        <v>1247</v>
      </c>
      <c r="X996" s="54" t="str">
        <f>VLOOKUP(W996,Employees!$A$1:$B$601,2,FALSE)</f>
        <v>Ranjit Mohapatra</v>
      </c>
      <c r="AW996" s="54"/>
      <c r="AX996" s="54"/>
      <c r="BI996" s="48"/>
      <c r="BJ996" s="38"/>
      <c r="BK996" s="38"/>
      <c r="BL996" s="38"/>
      <c r="BM996"/>
      <c r="BN996" s="48"/>
      <c r="BR996" s="19" t="s">
        <v>1247</v>
      </c>
      <c r="BS996" s="19" t="s">
        <v>3764</v>
      </c>
      <c r="BT996" s="54" t="str">
        <f t="shared" si="182"/>
        <v>HR</v>
      </c>
    </row>
    <row r="997" spans="17:72">
      <c r="Q997" s="18">
        <v>10.26</v>
      </c>
      <c r="R997" s="56" t="str">
        <f t="shared" si="181"/>
        <v>Yes</v>
      </c>
      <c r="W997" s="18" t="s">
        <v>1247</v>
      </c>
      <c r="X997" s="54" t="str">
        <f>VLOOKUP(W997,Employees!$A$1:$B$601,2,FALSE)</f>
        <v>Ranjit Mohapatra</v>
      </c>
      <c r="AW997" s="54"/>
      <c r="AX997" s="54"/>
      <c r="BI997" s="48"/>
      <c r="BJ997" s="38"/>
      <c r="BK997" s="38"/>
      <c r="BL997" s="38"/>
      <c r="BM997"/>
      <c r="BN997" s="48"/>
      <c r="BR997" s="18" t="s">
        <v>1247</v>
      </c>
      <c r="BS997" s="18" t="s">
        <v>3765</v>
      </c>
      <c r="BT997" s="54" t="str">
        <f t="shared" si="182"/>
        <v>HR</v>
      </c>
    </row>
    <row r="998" spans="17:72">
      <c r="Q998" s="19">
        <v>7.87</v>
      </c>
      <c r="R998" s="56" t="str">
        <f t="shared" si="181"/>
        <v>Yes</v>
      </c>
      <c r="W998" s="19" t="s">
        <v>1247</v>
      </c>
      <c r="X998" s="54" t="str">
        <f>VLOOKUP(W998,Employees!$A$1:$B$601,2,FALSE)</f>
        <v>Ranjit Mohapatra</v>
      </c>
      <c r="AW998" s="54"/>
      <c r="AX998" s="54"/>
      <c r="BI998" s="48"/>
      <c r="BJ998" s="38"/>
      <c r="BK998" s="38"/>
      <c r="BL998" s="38"/>
      <c r="BM998"/>
      <c r="BN998" s="48"/>
      <c r="BR998" s="19" t="s">
        <v>1247</v>
      </c>
      <c r="BS998" s="19" t="s">
        <v>3766</v>
      </c>
      <c r="BT998" s="54" t="str">
        <f t="shared" si="182"/>
        <v>HR</v>
      </c>
    </row>
    <row r="999" spans="17:72">
      <c r="Q999" s="18">
        <v>8.6</v>
      </c>
      <c r="R999" s="56" t="str">
        <f t="shared" si="181"/>
        <v>Yes</v>
      </c>
      <c r="W999" s="18" t="s">
        <v>1247</v>
      </c>
      <c r="X999" s="54" t="str">
        <f>VLOOKUP(W999,Employees!$A$1:$B$601,2,FALSE)</f>
        <v>Ranjit Mohapatra</v>
      </c>
      <c r="AW999" s="54"/>
      <c r="AX999" s="54"/>
      <c r="BI999" s="48"/>
      <c r="BJ999" s="38"/>
      <c r="BK999" s="38"/>
      <c r="BL999" s="38"/>
      <c r="BM999"/>
      <c r="BN999" s="48"/>
      <c r="BR999" s="18" t="s">
        <v>1247</v>
      </c>
      <c r="BS999" s="18" t="s">
        <v>3767</v>
      </c>
      <c r="BT999" s="54" t="str">
        <f t="shared" si="182"/>
        <v>HR</v>
      </c>
    </row>
    <row r="1000" spans="17:72">
      <c r="Q1000" s="19">
        <v>9.36</v>
      </c>
      <c r="R1000" s="56" t="str">
        <f t="shared" si="181"/>
        <v>Yes</v>
      </c>
      <c r="W1000" s="19" t="s">
        <v>1247</v>
      </c>
      <c r="X1000" s="54" t="str">
        <f>VLOOKUP(W1000,Employees!$A$1:$B$601,2,FALSE)</f>
        <v>Ranjit Mohapatra</v>
      </c>
      <c r="AW1000" s="54"/>
      <c r="AX1000" s="54"/>
      <c r="BI1000" s="48"/>
      <c r="BJ1000" s="38"/>
      <c r="BK1000" s="38"/>
      <c r="BL1000" s="38"/>
      <c r="BM1000"/>
      <c r="BN1000" s="48"/>
      <c r="BR1000" s="19" t="s">
        <v>1247</v>
      </c>
      <c r="BS1000" s="19" t="s">
        <v>3768</v>
      </c>
      <c r="BT1000" s="54" t="str">
        <f t="shared" si="182"/>
        <v>HR</v>
      </c>
    </row>
    <row r="1001" spans="17:72">
      <c r="Q1001" s="18">
        <v>7.95</v>
      </c>
      <c r="R1001" s="56" t="str">
        <f t="shared" si="181"/>
        <v>Yes</v>
      </c>
      <c r="W1001" s="18" t="s">
        <v>1247</v>
      </c>
      <c r="X1001" s="54" t="str">
        <f>VLOOKUP(W1001,Employees!$A$1:$B$601,2,FALSE)</f>
        <v>Ranjit Mohapatra</v>
      </c>
      <c r="AW1001" s="54"/>
      <c r="AX1001" s="54"/>
      <c r="BI1001" s="48"/>
      <c r="BJ1001" s="38"/>
      <c r="BK1001" s="38"/>
      <c r="BL1001" s="38"/>
      <c r="BM1001"/>
      <c r="BN1001" s="48"/>
      <c r="BR1001" s="18" t="s">
        <v>1247</v>
      </c>
      <c r="BS1001" s="18" t="s">
        <v>3769</v>
      </c>
      <c r="BT1001" s="54" t="str">
        <f t="shared" si="182"/>
        <v>HR</v>
      </c>
    </row>
    <row r="1002" spans="17:72">
      <c r="Q1002" s="19"/>
      <c r="R1002" s="56" t="str">
        <f t="shared" si="181"/>
        <v>No</v>
      </c>
      <c r="W1002" s="19" t="s">
        <v>1247</v>
      </c>
      <c r="X1002" s="54" t="str">
        <f>VLOOKUP(W1002,Employees!$A$1:$B$601,2,FALSE)</f>
        <v>Ranjit Mohapatra</v>
      </c>
      <c r="AW1002" s="54"/>
      <c r="AX1002" s="54"/>
      <c r="BI1002" s="48"/>
      <c r="BJ1002" s="38"/>
      <c r="BK1002" s="38"/>
      <c r="BL1002" s="38"/>
      <c r="BM1002"/>
      <c r="BN1002" s="48"/>
      <c r="BR1002" s="19" t="s">
        <v>1247</v>
      </c>
      <c r="BS1002" s="19" t="s">
        <v>3770</v>
      </c>
      <c r="BT1002" s="54" t="str">
        <f t="shared" si="182"/>
        <v>HR</v>
      </c>
    </row>
    <row r="1003" spans="17:72">
      <c r="Q1003" s="18">
        <v>9.81</v>
      </c>
      <c r="R1003" s="56" t="str">
        <f t="shared" si="181"/>
        <v>Yes</v>
      </c>
      <c r="W1003" s="18" t="s">
        <v>1247</v>
      </c>
      <c r="X1003" s="54" t="str">
        <f>VLOOKUP(W1003,Employees!$A$1:$B$601,2,FALSE)</f>
        <v>Ranjit Mohapatra</v>
      </c>
      <c r="AW1003" s="54"/>
      <c r="AX1003" s="54"/>
      <c r="BI1003" s="48"/>
      <c r="BJ1003" s="38"/>
      <c r="BK1003" s="38"/>
      <c r="BL1003" s="38"/>
      <c r="BM1003"/>
      <c r="BN1003" s="48"/>
      <c r="BR1003" s="18" t="s">
        <v>1247</v>
      </c>
      <c r="BS1003" s="18" t="s">
        <v>3771</v>
      </c>
      <c r="BT1003" s="54" t="str">
        <f t="shared" si="182"/>
        <v>HR</v>
      </c>
    </row>
    <row r="1004" spans="17:72">
      <c r="Q1004" s="19">
        <v>7.68</v>
      </c>
      <c r="R1004" s="56" t="str">
        <f t="shared" si="181"/>
        <v>Yes</v>
      </c>
      <c r="W1004" s="19" t="s">
        <v>1247</v>
      </c>
      <c r="X1004" s="54" t="str">
        <f>VLOOKUP(W1004,Employees!$A$1:$B$601,2,FALSE)</f>
        <v>Ranjit Mohapatra</v>
      </c>
      <c r="AW1004" s="54"/>
      <c r="AX1004" s="54"/>
      <c r="BI1004" s="48"/>
      <c r="BJ1004" s="38"/>
      <c r="BK1004" s="38"/>
      <c r="BL1004" s="38"/>
      <c r="BM1004"/>
      <c r="BN1004" s="48"/>
      <c r="BR1004" s="19" t="s">
        <v>1247</v>
      </c>
      <c r="BS1004" s="19" t="s">
        <v>3772</v>
      </c>
      <c r="BT1004" s="54" t="str">
        <f t="shared" si="182"/>
        <v>HR</v>
      </c>
    </row>
    <row r="1005" spans="17:72">
      <c r="Q1005" s="18">
        <v>9.85</v>
      </c>
      <c r="R1005" s="56" t="str">
        <f t="shared" si="181"/>
        <v>Yes</v>
      </c>
      <c r="W1005" s="18" t="s">
        <v>1247</v>
      </c>
      <c r="X1005" s="54" t="str">
        <f>VLOOKUP(W1005,Employees!$A$1:$B$601,2,FALSE)</f>
        <v>Ranjit Mohapatra</v>
      </c>
      <c r="AW1005" s="54"/>
      <c r="AX1005" s="54"/>
      <c r="BI1005" s="48"/>
      <c r="BJ1005" s="38"/>
      <c r="BK1005" s="38"/>
      <c r="BL1005" s="38"/>
      <c r="BM1005"/>
      <c r="BN1005" s="48"/>
      <c r="BR1005" s="18" t="s">
        <v>1247</v>
      </c>
      <c r="BS1005" s="18" t="s">
        <v>3774</v>
      </c>
      <c r="BT1005" s="54" t="str">
        <f t="shared" si="182"/>
        <v>HR</v>
      </c>
    </row>
    <row r="1006" spans="17:72">
      <c r="Q1006" s="19">
        <v>9.5299999999999994</v>
      </c>
      <c r="R1006" s="56" t="str">
        <f t="shared" si="181"/>
        <v>Yes</v>
      </c>
      <c r="W1006" s="19" t="s">
        <v>1247</v>
      </c>
      <c r="X1006" s="54" t="str">
        <f>VLOOKUP(W1006,Employees!$A$1:$B$601,2,FALSE)</f>
        <v>Ranjit Mohapatra</v>
      </c>
      <c r="AW1006" s="54"/>
      <c r="AX1006" s="54"/>
      <c r="BI1006" s="48"/>
      <c r="BJ1006" s="38"/>
      <c r="BK1006" s="38"/>
      <c r="BL1006" s="38"/>
      <c r="BM1006"/>
      <c r="BN1006" s="48"/>
      <c r="BR1006" s="19" t="s">
        <v>1247</v>
      </c>
      <c r="BS1006" s="19" t="s">
        <v>3775</v>
      </c>
      <c r="BT1006" s="54" t="str">
        <f t="shared" si="182"/>
        <v>HR</v>
      </c>
    </row>
    <row r="1007" spans="17:72">
      <c r="Q1007" s="18">
        <v>8.9600000000000009</v>
      </c>
      <c r="R1007" s="56" t="str">
        <f t="shared" si="181"/>
        <v>Yes</v>
      </c>
      <c r="W1007" s="18" t="s">
        <v>1247</v>
      </c>
      <c r="X1007" s="54" t="str">
        <f>VLOOKUP(W1007,Employees!$A$1:$B$601,2,FALSE)</f>
        <v>Ranjit Mohapatra</v>
      </c>
      <c r="AW1007" s="54"/>
      <c r="AX1007" s="54"/>
      <c r="BI1007" s="48"/>
      <c r="BJ1007" s="38"/>
      <c r="BK1007" s="38"/>
      <c r="BL1007" s="38"/>
      <c r="BM1007"/>
      <c r="BN1007" s="48"/>
      <c r="BR1007" s="18" t="s">
        <v>1247</v>
      </c>
      <c r="BS1007" s="18" t="s">
        <v>3776</v>
      </c>
      <c r="BT1007" s="54" t="str">
        <f t="shared" si="182"/>
        <v>HR</v>
      </c>
    </row>
    <row r="1008" spans="17:72">
      <c r="Q1008" s="19">
        <v>8.41</v>
      </c>
      <c r="R1008" s="56" t="str">
        <f t="shared" si="181"/>
        <v>Yes</v>
      </c>
      <c r="W1008" s="19" t="s">
        <v>1247</v>
      </c>
      <c r="X1008" s="54" t="str">
        <f>VLOOKUP(W1008,Employees!$A$1:$B$601,2,FALSE)</f>
        <v>Ranjit Mohapatra</v>
      </c>
      <c r="AW1008" s="54"/>
      <c r="AX1008" s="54"/>
      <c r="BI1008" s="48"/>
      <c r="BJ1008" s="38"/>
      <c r="BK1008" s="38"/>
      <c r="BL1008" s="38"/>
      <c r="BM1008"/>
      <c r="BN1008" s="48"/>
      <c r="BR1008" s="19" t="s">
        <v>1247</v>
      </c>
      <c r="BS1008" s="19" t="s">
        <v>3777</v>
      </c>
      <c r="BT1008" s="54" t="str">
        <f t="shared" si="182"/>
        <v>HR</v>
      </c>
    </row>
    <row r="1009" spans="17:72">
      <c r="Q1009" s="18">
        <v>11.23</v>
      </c>
      <c r="R1009" s="56" t="str">
        <f t="shared" si="181"/>
        <v>Yes</v>
      </c>
      <c r="W1009" s="18" t="s">
        <v>1247</v>
      </c>
      <c r="X1009" s="54" t="str">
        <f>VLOOKUP(W1009,Employees!$A$1:$B$601,2,FALSE)</f>
        <v>Ranjit Mohapatra</v>
      </c>
      <c r="AW1009" s="54"/>
      <c r="AX1009" s="54"/>
      <c r="BI1009" s="48"/>
      <c r="BJ1009" s="38"/>
      <c r="BK1009" s="38"/>
      <c r="BL1009" s="38"/>
      <c r="BM1009"/>
      <c r="BN1009" s="48"/>
      <c r="BR1009" s="18" t="s">
        <v>1247</v>
      </c>
      <c r="BS1009" s="18" t="s">
        <v>3778</v>
      </c>
      <c r="BT1009" s="54" t="str">
        <f t="shared" si="182"/>
        <v>HR</v>
      </c>
    </row>
    <row r="1010" spans="17:72">
      <c r="Q1010" s="19">
        <v>8.6300000000000008</v>
      </c>
      <c r="R1010" s="56" t="str">
        <f t="shared" si="181"/>
        <v>Yes</v>
      </c>
      <c r="W1010" s="19" t="s">
        <v>1247</v>
      </c>
      <c r="X1010" s="54" t="str">
        <f>VLOOKUP(W1010,Employees!$A$1:$B$601,2,FALSE)</f>
        <v>Ranjit Mohapatra</v>
      </c>
      <c r="AW1010" s="54"/>
      <c r="AX1010" s="54"/>
      <c r="BI1010" s="48"/>
      <c r="BJ1010" s="38"/>
      <c r="BK1010" s="38"/>
      <c r="BL1010" s="38"/>
      <c r="BM1010"/>
      <c r="BN1010" s="48"/>
      <c r="BR1010" s="19" t="s">
        <v>1247</v>
      </c>
      <c r="BS1010" s="19" t="s">
        <v>3780</v>
      </c>
      <c r="BT1010" s="54" t="str">
        <f t="shared" si="182"/>
        <v>HR</v>
      </c>
    </row>
    <row r="1011" spans="17:72">
      <c r="Q1011" s="18">
        <v>6.86</v>
      </c>
      <c r="R1011" s="56" t="str">
        <f t="shared" si="181"/>
        <v>Yes</v>
      </c>
      <c r="W1011" s="18" t="s">
        <v>1247</v>
      </c>
      <c r="X1011" s="54" t="str">
        <f>VLOOKUP(W1011,Employees!$A$1:$B$601,2,FALSE)</f>
        <v>Ranjit Mohapatra</v>
      </c>
      <c r="AW1011" s="54"/>
      <c r="AX1011" s="54"/>
      <c r="BI1011" s="48"/>
      <c r="BJ1011" s="38"/>
      <c r="BK1011" s="38"/>
      <c r="BL1011" s="38"/>
      <c r="BM1011"/>
      <c r="BN1011" s="48"/>
      <c r="BR1011" s="18" t="s">
        <v>1247</v>
      </c>
      <c r="BS1011" s="18" t="s">
        <v>3782</v>
      </c>
      <c r="BT1011" s="54" t="str">
        <f t="shared" si="182"/>
        <v>HR</v>
      </c>
    </row>
    <row r="1012" spans="17:72">
      <c r="Q1012" s="19"/>
      <c r="R1012" s="56" t="str">
        <f t="shared" si="181"/>
        <v>No</v>
      </c>
      <c r="W1012" s="19" t="s">
        <v>1247</v>
      </c>
      <c r="X1012" s="54" t="str">
        <f>VLOOKUP(W1012,Employees!$A$1:$B$601,2,FALSE)</f>
        <v>Ranjit Mohapatra</v>
      </c>
      <c r="AW1012" s="54"/>
      <c r="AX1012" s="54"/>
      <c r="BI1012" s="48"/>
      <c r="BJ1012" s="38"/>
      <c r="BK1012" s="38"/>
      <c r="BL1012" s="38"/>
      <c r="BM1012"/>
      <c r="BN1012" s="48"/>
      <c r="BR1012" s="19" t="s">
        <v>1247</v>
      </c>
      <c r="BS1012" s="19" t="s">
        <v>3783</v>
      </c>
      <c r="BT1012" s="54" t="str">
        <f t="shared" si="182"/>
        <v>HR</v>
      </c>
    </row>
    <row r="1013" spans="17:72">
      <c r="Q1013" s="18">
        <v>11.02</v>
      </c>
      <c r="R1013" s="56" t="str">
        <f t="shared" si="181"/>
        <v>Yes</v>
      </c>
      <c r="W1013" s="18" t="s">
        <v>1247</v>
      </c>
      <c r="X1013" s="54" t="str">
        <f>VLOOKUP(W1013,Employees!$A$1:$B$601,2,FALSE)</f>
        <v>Ranjit Mohapatra</v>
      </c>
      <c r="AW1013" s="54"/>
      <c r="AX1013" s="54"/>
      <c r="BI1013" s="48"/>
      <c r="BJ1013" s="38"/>
      <c r="BK1013" s="38"/>
      <c r="BL1013" s="38"/>
      <c r="BM1013"/>
      <c r="BN1013" s="48"/>
      <c r="BR1013" s="18" t="s">
        <v>1247</v>
      </c>
      <c r="BS1013" s="18" t="s">
        <v>3784</v>
      </c>
      <c r="BT1013" s="54" t="str">
        <f t="shared" si="182"/>
        <v>HR</v>
      </c>
    </row>
    <row r="1014" spans="17:72">
      <c r="Q1014" s="19">
        <v>10.79</v>
      </c>
      <c r="R1014" s="56" t="str">
        <f t="shared" si="181"/>
        <v>Yes</v>
      </c>
      <c r="W1014" s="19" t="s">
        <v>1247</v>
      </c>
      <c r="X1014" s="54" t="str">
        <f>VLOOKUP(W1014,Employees!$A$1:$B$601,2,FALSE)</f>
        <v>Ranjit Mohapatra</v>
      </c>
      <c r="AW1014" s="54"/>
      <c r="AX1014" s="54"/>
      <c r="BI1014" s="48"/>
      <c r="BJ1014" s="38"/>
      <c r="BK1014" s="38"/>
      <c r="BL1014" s="38"/>
      <c r="BM1014"/>
      <c r="BN1014" s="48"/>
      <c r="BR1014" s="19" t="s">
        <v>1247</v>
      </c>
      <c r="BS1014" s="19" t="s">
        <v>3785</v>
      </c>
      <c r="BT1014" s="54" t="str">
        <f t="shared" si="182"/>
        <v>HR</v>
      </c>
    </row>
    <row r="1015" spans="17:72">
      <c r="Q1015" s="18">
        <v>7.56</v>
      </c>
      <c r="R1015" s="56" t="str">
        <f t="shared" si="181"/>
        <v>Yes</v>
      </c>
      <c r="W1015" s="18" t="s">
        <v>1247</v>
      </c>
      <c r="X1015" s="54" t="str">
        <f>VLOOKUP(W1015,Employees!$A$1:$B$601,2,FALSE)</f>
        <v>Ranjit Mohapatra</v>
      </c>
      <c r="AW1015" s="54"/>
      <c r="AX1015" s="54"/>
      <c r="BI1015" s="48"/>
      <c r="BJ1015" s="38"/>
      <c r="BK1015" s="38"/>
      <c r="BL1015" s="38"/>
      <c r="BM1015"/>
      <c r="BN1015" s="48"/>
      <c r="BR1015" s="18" t="s">
        <v>1247</v>
      </c>
      <c r="BS1015" s="18" t="s">
        <v>3786</v>
      </c>
      <c r="BT1015" s="54" t="str">
        <f t="shared" si="182"/>
        <v>HR</v>
      </c>
    </row>
    <row r="1016" spans="17:72">
      <c r="Q1016" s="19">
        <v>8.6300000000000008</v>
      </c>
      <c r="R1016" s="56" t="str">
        <f t="shared" si="181"/>
        <v>Yes</v>
      </c>
      <c r="W1016" s="19" t="s">
        <v>1247</v>
      </c>
      <c r="X1016" s="54" t="str">
        <f>VLOOKUP(W1016,Employees!$A$1:$B$601,2,FALSE)</f>
        <v>Ranjit Mohapatra</v>
      </c>
      <c r="AW1016" s="54"/>
      <c r="AX1016" s="54"/>
      <c r="BI1016" s="48"/>
      <c r="BJ1016" s="38"/>
      <c r="BK1016" s="38"/>
      <c r="BL1016" s="38"/>
      <c r="BM1016"/>
      <c r="BN1016" s="48"/>
      <c r="BR1016" s="19" t="s">
        <v>1247</v>
      </c>
      <c r="BS1016" s="19" t="s">
        <v>3787</v>
      </c>
      <c r="BT1016" s="54" t="str">
        <f t="shared" si="182"/>
        <v>HR</v>
      </c>
    </row>
    <row r="1017" spans="17:72">
      <c r="Q1017" s="18">
        <v>7.71</v>
      </c>
      <c r="R1017" s="56" t="str">
        <f t="shared" si="181"/>
        <v>Yes</v>
      </c>
      <c r="W1017" s="18" t="s">
        <v>1247</v>
      </c>
      <c r="X1017" s="54" t="str">
        <f>VLOOKUP(W1017,Employees!$A$1:$B$601,2,FALSE)</f>
        <v>Ranjit Mohapatra</v>
      </c>
      <c r="AW1017" s="54"/>
      <c r="AX1017" s="54"/>
      <c r="BI1017" s="48"/>
      <c r="BJ1017" s="38"/>
      <c r="BK1017" s="38"/>
      <c r="BL1017" s="38"/>
      <c r="BM1017"/>
      <c r="BN1017" s="48"/>
      <c r="BR1017" s="18" t="s">
        <v>1247</v>
      </c>
      <c r="BS1017" s="18" t="s">
        <v>3788</v>
      </c>
      <c r="BT1017" s="54" t="str">
        <f t="shared" si="182"/>
        <v>HR</v>
      </c>
    </row>
    <row r="1018" spans="17:72">
      <c r="Q1018" s="19">
        <v>10.79</v>
      </c>
      <c r="R1018" s="56" t="str">
        <f t="shared" si="181"/>
        <v>Yes</v>
      </c>
      <c r="W1018" s="19" t="s">
        <v>1247</v>
      </c>
      <c r="X1018" s="54" t="str">
        <f>VLOOKUP(W1018,Employees!$A$1:$B$601,2,FALSE)</f>
        <v>Ranjit Mohapatra</v>
      </c>
      <c r="AW1018" s="54"/>
      <c r="AX1018" s="54"/>
      <c r="BI1018" s="48"/>
      <c r="BJ1018" s="38"/>
      <c r="BK1018" s="38"/>
      <c r="BL1018" s="38"/>
      <c r="BM1018"/>
      <c r="BN1018" s="48"/>
      <c r="BR1018" s="19" t="s">
        <v>1247</v>
      </c>
      <c r="BS1018" s="19" t="s">
        <v>3789</v>
      </c>
      <c r="BT1018" s="54" t="str">
        <f t="shared" si="182"/>
        <v>HR</v>
      </c>
    </row>
    <row r="1019" spans="17:72">
      <c r="Q1019" s="18"/>
      <c r="R1019" s="56" t="str">
        <f t="shared" si="181"/>
        <v>No</v>
      </c>
      <c r="W1019" s="18" t="s">
        <v>1247</v>
      </c>
      <c r="X1019" s="54" t="str">
        <f>VLOOKUP(W1019,Employees!$A$1:$B$601,2,FALSE)</f>
        <v>Ranjit Mohapatra</v>
      </c>
      <c r="AW1019" s="54"/>
      <c r="AX1019" s="54"/>
      <c r="BI1019" s="48"/>
      <c r="BJ1019" s="38"/>
      <c r="BK1019" s="38"/>
      <c r="BL1019" s="38"/>
      <c r="BM1019"/>
      <c r="BN1019" s="48"/>
      <c r="BR1019" s="18" t="s">
        <v>1247</v>
      </c>
      <c r="BS1019" s="18" t="s">
        <v>3791</v>
      </c>
      <c r="BT1019" s="54" t="str">
        <f t="shared" si="182"/>
        <v>HR</v>
      </c>
    </row>
    <row r="1020" spans="17:72">
      <c r="Q1020" s="19">
        <v>11.19</v>
      </c>
      <c r="R1020" s="56" t="str">
        <f t="shared" si="181"/>
        <v>Yes</v>
      </c>
      <c r="W1020" s="19" t="s">
        <v>1247</v>
      </c>
      <c r="X1020" s="54" t="str">
        <f>VLOOKUP(W1020,Employees!$A$1:$B$601,2,FALSE)</f>
        <v>Ranjit Mohapatra</v>
      </c>
      <c r="AW1020" s="54"/>
      <c r="AX1020" s="54"/>
      <c r="BI1020" s="48"/>
      <c r="BJ1020" s="38"/>
      <c r="BK1020" s="38"/>
      <c r="BL1020" s="38"/>
      <c r="BM1020"/>
      <c r="BN1020" s="48"/>
      <c r="BR1020" s="19" t="s">
        <v>1247</v>
      </c>
      <c r="BS1020" s="19" t="s">
        <v>3792</v>
      </c>
      <c r="BT1020" s="54" t="str">
        <f t="shared" si="182"/>
        <v>HR</v>
      </c>
    </row>
    <row r="1021" spans="17:72">
      <c r="Q1021" s="18"/>
      <c r="R1021" s="56" t="str">
        <f t="shared" si="181"/>
        <v>No</v>
      </c>
      <c r="W1021" s="18" t="s">
        <v>1247</v>
      </c>
      <c r="X1021" s="54" t="str">
        <f>VLOOKUP(W1021,Employees!$A$1:$B$601,2,FALSE)</f>
        <v>Ranjit Mohapatra</v>
      </c>
      <c r="AW1021" s="54"/>
      <c r="AX1021" s="54"/>
      <c r="BI1021" s="48"/>
      <c r="BJ1021" s="38"/>
      <c r="BK1021" s="38"/>
      <c r="BL1021" s="38"/>
      <c r="BM1021"/>
      <c r="BN1021" s="48"/>
      <c r="BR1021" s="18" t="s">
        <v>1247</v>
      </c>
      <c r="BS1021" s="18" t="s">
        <v>3793</v>
      </c>
      <c r="BT1021" s="54" t="str">
        <f t="shared" si="182"/>
        <v>HR</v>
      </c>
    </row>
    <row r="1022" spans="17:72">
      <c r="Q1022" s="19">
        <v>7.12</v>
      </c>
      <c r="R1022" s="56" t="str">
        <f t="shared" si="181"/>
        <v>Yes</v>
      </c>
      <c r="W1022" s="19" t="s">
        <v>1247</v>
      </c>
      <c r="X1022" s="54" t="str">
        <f>VLOOKUP(W1022,Employees!$A$1:$B$601,2,FALSE)</f>
        <v>Ranjit Mohapatra</v>
      </c>
      <c r="AW1022" s="54"/>
      <c r="AX1022" s="54"/>
      <c r="BI1022" s="48"/>
      <c r="BJ1022" s="38"/>
      <c r="BK1022" s="38"/>
      <c r="BL1022" s="38"/>
      <c r="BM1022"/>
      <c r="BN1022" s="48"/>
      <c r="BR1022" s="19" t="s">
        <v>1247</v>
      </c>
      <c r="BS1022" s="19" t="s">
        <v>3794</v>
      </c>
      <c r="BT1022" s="54" t="str">
        <f t="shared" si="182"/>
        <v>HR</v>
      </c>
    </row>
    <row r="1023" spans="17:72">
      <c r="Q1023" s="18">
        <v>6.76</v>
      </c>
      <c r="R1023" s="56" t="str">
        <f t="shared" si="181"/>
        <v>Yes</v>
      </c>
      <c r="W1023" s="18" t="s">
        <v>1247</v>
      </c>
      <c r="X1023" s="54" t="str">
        <f>VLOOKUP(W1023,Employees!$A$1:$B$601,2,FALSE)</f>
        <v>Ranjit Mohapatra</v>
      </c>
      <c r="AW1023" s="54"/>
      <c r="AX1023" s="54"/>
      <c r="BI1023" s="48"/>
      <c r="BJ1023" s="38"/>
      <c r="BK1023" s="38"/>
      <c r="BL1023" s="38"/>
      <c r="BM1023"/>
      <c r="BN1023" s="48"/>
      <c r="BR1023" s="18" t="s">
        <v>1247</v>
      </c>
      <c r="BS1023" s="18" t="s">
        <v>3795</v>
      </c>
      <c r="BT1023" s="54" t="str">
        <f t="shared" si="182"/>
        <v>HR</v>
      </c>
    </row>
    <row r="1024" spans="17:72">
      <c r="Q1024" s="19">
        <v>7.19</v>
      </c>
      <c r="R1024" s="56" t="str">
        <f t="shared" si="181"/>
        <v>Yes</v>
      </c>
      <c r="W1024" s="19" t="s">
        <v>1247</v>
      </c>
      <c r="X1024" s="54" t="str">
        <f>VLOOKUP(W1024,Employees!$A$1:$B$601,2,FALSE)</f>
        <v>Ranjit Mohapatra</v>
      </c>
      <c r="AW1024" s="54"/>
      <c r="AX1024" s="54"/>
      <c r="BI1024" s="48"/>
      <c r="BJ1024" s="38"/>
      <c r="BK1024" s="38"/>
      <c r="BL1024" s="38"/>
      <c r="BM1024"/>
      <c r="BN1024" s="48"/>
      <c r="BR1024" s="19" t="s">
        <v>1247</v>
      </c>
      <c r="BS1024" s="19" t="s">
        <v>3796</v>
      </c>
      <c r="BT1024" s="54" t="str">
        <f t="shared" si="182"/>
        <v>HR</v>
      </c>
    </row>
    <row r="1025" spans="17:72">
      <c r="Q1025" s="18">
        <v>10.66</v>
      </c>
      <c r="R1025" s="56" t="str">
        <f t="shared" si="181"/>
        <v>Yes</v>
      </c>
      <c r="W1025" s="18" t="s">
        <v>1247</v>
      </c>
      <c r="X1025" s="54" t="str">
        <f>VLOOKUP(W1025,Employees!$A$1:$B$601,2,FALSE)</f>
        <v>Ranjit Mohapatra</v>
      </c>
      <c r="AW1025" s="54"/>
      <c r="AX1025" s="54"/>
      <c r="BI1025" s="48"/>
      <c r="BJ1025" s="38"/>
      <c r="BK1025" s="38"/>
      <c r="BL1025" s="38"/>
      <c r="BM1025"/>
      <c r="BN1025" s="48"/>
      <c r="BR1025" s="18" t="s">
        <v>1247</v>
      </c>
      <c r="BS1025" s="18" t="s">
        <v>3797</v>
      </c>
      <c r="BT1025" s="54" t="str">
        <f t="shared" si="182"/>
        <v>HR</v>
      </c>
    </row>
    <row r="1026" spans="17:72">
      <c r="Q1026" s="19">
        <v>8.43</v>
      </c>
      <c r="R1026" s="56" t="str">
        <f t="shared" si="181"/>
        <v>Yes</v>
      </c>
      <c r="W1026" s="19" t="s">
        <v>1247</v>
      </c>
      <c r="X1026" s="54" t="str">
        <f>VLOOKUP(W1026,Employees!$A$1:$B$601,2,FALSE)</f>
        <v>Ranjit Mohapatra</v>
      </c>
      <c r="AW1026" s="54"/>
      <c r="AX1026" s="54"/>
      <c r="BI1026" s="48"/>
      <c r="BJ1026" s="38"/>
      <c r="BK1026" s="38"/>
      <c r="BL1026" s="38"/>
      <c r="BM1026"/>
      <c r="BN1026" s="48"/>
      <c r="BR1026" s="19" t="s">
        <v>1247</v>
      </c>
      <c r="BS1026" s="19" t="s">
        <v>3798</v>
      </c>
      <c r="BT1026" s="54" t="str">
        <f t="shared" si="182"/>
        <v>HR</v>
      </c>
    </row>
    <row r="1027" spans="17:72">
      <c r="Q1027" s="18">
        <v>8.2799999999999994</v>
      </c>
      <c r="R1027" s="56" t="str">
        <f t="shared" ref="R1027:R1090" si="183">IF(ISBLANK(Q1027),"No","Yes")</f>
        <v>Yes</v>
      </c>
      <c r="W1027" s="18" t="s">
        <v>1247</v>
      </c>
      <c r="X1027" s="54" t="str">
        <f>VLOOKUP(W1027,Employees!$A$1:$B$601,2,FALSE)</f>
        <v>Ranjit Mohapatra</v>
      </c>
      <c r="AW1027" s="54"/>
      <c r="AX1027" s="54"/>
      <c r="BI1027" s="48"/>
      <c r="BJ1027" s="38"/>
      <c r="BK1027" s="38"/>
      <c r="BL1027" s="38"/>
      <c r="BM1027"/>
      <c r="BN1027" s="48"/>
      <c r="BR1027" s="18" t="s">
        <v>1247</v>
      </c>
      <c r="BS1027" s="18" t="s">
        <v>3799</v>
      </c>
      <c r="BT1027" s="54" t="str">
        <f t="shared" ref="BT1027:BT1090" si="184">VLOOKUP(BR1027,$BP$2:$BQ$601,2,FALSE)</f>
        <v>HR</v>
      </c>
    </row>
    <row r="1028" spans="17:72">
      <c r="Q1028" s="19">
        <v>9.7799999999999994</v>
      </c>
      <c r="R1028" s="56" t="str">
        <f t="shared" si="183"/>
        <v>Yes</v>
      </c>
      <c r="W1028" s="19" t="s">
        <v>1247</v>
      </c>
      <c r="X1028" s="54" t="str">
        <f>VLOOKUP(W1028,Employees!$A$1:$B$601,2,FALSE)</f>
        <v>Ranjit Mohapatra</v>
      </c>
      <c r="AW1028" s="54"/>
      <c r="AX1028" s="54"/>
      <c r="BI1028" s="48"/>
      <c r="BJ1028" s="38"/>
      <c r="BK1028" s="38"/>
      <c r="BL1028" s="38"/>
      <c r="BM1028"/>
      <c r="BN1028" s="48"/>
      <c r="BR1028" s="19" t="s">
        <v>1247</v>
      </c>
      <c r="BS1028" s="19" t="s">
        <v>3800</v>
      </c>
      <c r="BT1028" s="54" t="str">
        <f t="shared" si="184"/>
        <v>HR</v>
      </c>
    </row>
    <row r="1029" spans="17:72">
      <c r="Q1029" s="18">
        <v>10.58</v>
      </c>
      <c r="R1029" s="56" t="str">
        <f t="shared" si="183"/>
        <v>Yes</v>
      </c>
      <c r="W1029" s="18" t="s">
        <v>1247</v>
      </c>
      <c r="X1029" s="54" t="str">
        <f>VLOOKUP(W1029,Employees!$A$1:$B$601,2,FALSE)</f>
        <v>Ranjit Mohapatra</v>
      </c>
      <c r="AW1029" s="54"/>
      <c r="AX1029" s="54"/>
      <c r="BI1029" s="48"/>
      <c r="BJ1029" s="38"/>
      <c r="BK1029" s="38"/>
      <c r="BL1029" s="38"/>
      <c r="BM1029"/>
      <c r="BN1029" s="48"/>
      <c r="BR1029" s="18" t="s">
        <v>1247</v>
      </c>
      <c r="BS1029" s="18" t="s">
        <v>3801</v>
      </c>
      <c r="BT1029" s="54" t="str">
        <f t="shared" si="184"/>
        <v>HR</v>
      </c>
    </row>
    <row r="1030" spans="17:72">
      <c r="Q1030" s="19">
        <v>10.34</v>
      </c>
      <c r="R1030" s="56" t="str">
        <f t="shared" si="183"/>
        <v>Yes</v>
      </c>
      <c r="W1030" s="19" t="s">
        <v>1247</v>
      </c>
      <c r="X1030" s="54" t="str">
        <f>VLOOKUP(W1030,Employees!$A$1:$B$601,2,FALSE)</f>
        <v>Ranjit Mohapatra</v>
      </c>
      <c r="AW1030" s="54"/>
      <c r="AX1030" s="54"/>
      <c r="BI1030" s="48"/>
      <c r="BJ1030" s="38"/>
      <c r="BK1030" s="38"/>
      <c r="BL1030" s="38"/>
      <c r="BM1030"/>
      <c r="BN1030" s="48"/>
      <c r="BR1030" s="19" t="s">
        <v>1247</v>
      </c>
      <c r="BS1030" s="19" t="s">
        <v>3802</v>
      </c>
      <c r="BT1030" s="54" t="str">
        <f t="shared" si="184"/>
        <v>HR</v>
      </c>
    </row>
    <row r="1031" spans="17:72">
      <c r="Q1031" s="18">
        <v>9.57</v>
      </c>
      <c r="R1031" s="56" t="str">
        <f t="shared" si="183"/>
        <v>Yes</v>
      </c>
      <c r="W1031" s="18" t="s">
        <v>1247</v>
      </c>
      <c r="X1031" s="54" t="str">
        <f>VLOOKUP(W1031,Employees!$A$1:$B$601,2,FALSE)</f>
        <v>Ranjit Mohapatra</v>
      </c>
      <c r="AW1031" s="54"/>
      <c r="AX1031" s="54"/>
      <c r="BI1031" s="48"/>
      <c r="BJ1031" s="38"/>
      <c r="BK1031" s="38"/>
      <c r="BL1031" s="38"/>
      <c r="BM1031"/>
      <c r="BN1031" s="48"/>
      <c r="BR1031" s="18" t="s">
        <v>1247</v>
      </c>
      <c r="BS1031" s="18" t="s">
        <v>3803</v>
      </c>
      <c r="BT1031" s="54" t="str">
        <f t="shared" si="184"/>
        <v>HR</v>
      </c>
    </row>
    <row r="1032" spans="17:72">
      <c r="Q1032" s="19">
        <v>10.62</v>
      </c>
      <c r="R1032" s="56" t="str">
        <f t="shared" si="183"/>
        <v>Yes</v>
      </c>
      <c r="W1032" s="19" t="s">
        <v>1247</v>
      </c>
      <c r="X1032" s="54" t="str">
        <f>VLOOKUP(W1032,Employees!$A$1:$B$601,2,FALSE)</f>
        <v>Ranjit Mohapatra</v>
      </c>
      <c r="AW1032" s="54"/>
      <c r="AX1032" s="54"/>
      <c r="BI1032" s="48"/>
      <c r="BJ1032" s="38"/>
      <c r="BK1032" s="38"/>
      <c r="BL1032" s="38"/>
      <c r="BM1032"/>
      <c r="BN1032" s="48"/>
      <c r="BR1032" s="19" t="s">
        <v>1247</v>
      </c>
      <c r="BS1032" s="19" t="s">
        <v>3804</v>
      </c>
      <c r="BT1032" s="54" t="str">
        <f t="shared" si="184"/>
        <v>HR</v>
      </c>
    </row>
    <row r="1033" spans="17:72">
      <c r="Q1033" s="18">
        <v>8.84</v>
      </c>
      <c r="R1033" s="56" t="str">
        <f t="shared" si="183"/>
        <v>Yes</v>
      </c>
      <c r="W1033" s="18" t="s">
        <v>1247</v>
      </c>
      <c r="X1033" s="54" t="str">
        <f>VLOOKUP(W1033,Employees!$A$1:$B$601,2,FALSE)</f>
        <v>Ranjit Mohapatra</v>
      </c>
      <c r="AW1033" s="54"/>
      <c r="AX1033" s="54"/>
      <c r="BI1033" s="48"/>
      <c r="BJ1033" s="38"/>
      <c r="BK1033" s="38"/>
      <c r="BL1033" s="38"/>
      <c r="BM1033"/>
      <c r="BN1033" s="48"/>
      <c r="BR1033" s="18" t="s">
        <v>1247</v>
      </c>
      <c r="BS1033" s="18" t="s">
        <v>3805</v>
      </c>
      <c r="BT1033" s="54" t="str">
        <f t="shared" si="184"/>
        <v>HR</v>
      </c>
    </row>
    <row r="1034" spans="17:72">
      <c r="Q1034" s="19">
        <v>7.71</v>
      </c>
      <c r="R1034" s="56" t="str">
        <f t="shared" si="183"/>
        <v>Yes</v>
      </c>
      <c r="W1034" s="19" t="s">
        <v>1282</v>
      </c>
      <c r="X1034" s="54" t="str">
        <f>VLOOKUP(W1034,Employees!$A$1:$B$601,2,FALSE)</f>
        <v>Dibya Samal</v>
      </c>
      <c r="AW1034" s="54"/>
      <c r="AX1034" s="54"/>
      <c r="BI1034" s="48"/>
      <c r="BJ1034" s="38"/>
      <c r="BK1034" s="38"/>
      <c r="BL1034" s="38"/>
      <c r="BM1034"/>
      <c r="BN1034" s="48"/>
      <c r="BR1034" s="19" t="s">
        <v>1282</v>
      </c>
      <c r="BS1034" s="19" t="s">
        <v>3806</v>
      </c>
      <c r="BT1034" s="54" t="str">
        <f t="shared" si="184"/>
        <v>Data Science</v>
      </c>
    </row>
    <row r="1035" spans="17:72">
      <c r="Q1035" s="18">
        <v>6.95</v>
      </c>
      <c r="R1035" s="56" t="str">
        <f t="shared" si="183"/>
        <v>Yes</v>
      </c>
      <c r="W1035" s="18" t="s">
        <v>1282</v>
      </c>
      <c r="X1035" s="54" t="str">
        <f>VLOOKUP(W1035,Employees!$A$1:$B$601,2,FALSE)</f>
        <v>Dibya Samal</v>
      </c>
      <c r="AW1035" s="54"/>
      <c r="AX1035" s="54"/>
      <c r="BI1035" s="48"/>
      <c r="BJ1035" s="38"/>
      <c r="BK1035" s="38"/>
      <c r="BL1035" s="38"/>
      <c r="BM1035"/>
      <c r="BN1035" s="48"/>
      <c r="BR1035" s="18" t="s">
        <v>1282</v>
      </c>
      <c r="BS1035" s="18" t="s">
        <v>3807</v>
      </c>
      <c r="BT1035" s="54" t="str">
        <f t="shared" si="184"/>
        <v>Data Science</v>
      </c>
    </row>
    <row r="1036" spans="17:72">
      <c r="Q1036" s="19">
        <v>11.37</v>
      </c>
      <c r="R1036" s="56" t="str">
        <f t="shared" si="183"/>
        <v>Yes</v>
      </c>
      <c r="W1036" s="19" t="s">
        <v>1282</v>
      </c>
      <c r="X1036" s="54" t="str">
        <f>VLOOKUP(W1036,Employees!$A$1:$B$601,2,FALSE)</f>
        <v>Dibya Samal</v>
      </c>
      <c r="AW1036" s="54"/>
      <c r="AX1036" s="54"/>
      <c r="BI1036" s="48"/>
      <c r="BJ1036" s="38"/>
      <c r="BK1036" s="38"/>
      <c r="BL1036" s="38"/>
      <c r="BM1036"/>
      <c r="BN1036" s="48"/>
      <c r="BR1036" s="19" t="s">
        <v>1282</v>
      </c>
      <c r="BS1036" s="19" t="s">
        <v>3808</v>
      </c>
      <c r="BT1036" s="54" t="str">
        <f t="shared" si="184"/>
        <v>Data Science</v>
      </c>
    </row>
    <row r="1037" spans="17:72">
      <c r="Q1037" s="18">
        <v>8.64</v>
      </c>
      <c r="R1037" s="56" t="str">
        <f t="shared" si="183"/>
        <v>Yes</v>
      </c>
      <c r="W1037" s="18" t="s">
        <v>1282</v>
      </c>
      <c r="X1037" s="54" t="str">
        <f>VLOOKUP(W1037,Employees!$A$1:$B$601,2,FALSE)</f>
        <v>Dibya Samal</v>
      </c>
      <c r="AW1037" s="54"/>
      <c r="AX1037" s="54"/>
      <c r="BI1037" s="48"/>
      <c r="BJ1037" s="38"/>
      <c r="BK1037" s="38"/>
      <c r="BL1037" s="38"/>
      <c r="BM1037"/>
      <c r="BN1037" s="48"/>
      <c r="BR1037" s="18" t="s">
        <v>1282</v>
      </c>
      <c r="BS1037" s="18" t="s">
        <v>3809</v>
      </c>
      <c r="BT1037" s="54" t="str">
        <f t="shared" si="184"/>
        <v>Data Science</v>
      </c>
    </row>
    <row r="1038" spans="17:72">
      <c r="Q1038" s="19">
        <v>9.7899999999999991</v>
      </c>
      <c r="R1038" s="56" t="str">
        <f t="shared" si="183"/>
        <v>Yes</v>
      </c>
      <c r="W1038" s="19" t="s">
        <v>1282</v>
      </c>
      <c r="X1038" s="54" t="str">
        <f>VLOOKUP(W1038,Employees!$A$1:$B$601,2,FALSE)</f>
        <v>Dibya Samal</v>
      </c>
      <c r="AW1038" s="54"/>
      <c r="AX1038" s="54"/>
      <c r="BI1038" s="48"/>
      <c r="BJ1038" s="38"/>
      <c r="BK1038" s="38"/>
      <c r="BL1038" s="38"/>
      <c r="BM1038"/>
      <c r="BN1038" s="48"/>
      <c r="BR1038" s="19" t="s">
        <v>1282</v>
      </c>
      <c r="BS1038" s="19" t="s">
        <v>3810</v>
      </c>
      <c r="BT1038" s="54" t="str">
        <f t="shared" si="184"/>
        <v>Data Science</v>
      </c>
    </row>
    <row r="1039" spans="17:72">
      <c r="Q1039" s="18">
        <v>8.81</v>
      </c>
      <c r="R1039" s="56" t="str">
        <f t="shared" si="183"/>
        <v>Yes</v>
      </c>
      <c r="W1039" s="18" t="s">
        <v>1282</v>
      </c>
      <c r="X1039" s="54" t="str">
        <f>VLOOKUP(W1039,Employees!$A$1:$B$601,2,FALSE)</f>
        <v>Dibya Samal</v>
      </c>
      <c r="AW1039" s="54"/>
      <c r="AX1039" s="54"/>
      <c r="BI1039" s="48"/>
      <c r="BJ1039" s="38"/>
      <c r="BK1039" s="38"/>
      <c r="BL1039" s="38"/>
      <c r="BM1039"/>
      <c r="BN1039" s="48"/>
      <c r="BR1039" s="18" t="s">
        <v>1282</v>
      </c>
      <c r="BS1039" s="18" t="s">
        <v>3811</v>
      </c>
      <c r="BT1039" s="54" t="str">
        <f t="shared" si="184"/>
        <v>Data Science</v>
      </c>
    </row>
    <row r="1040" spans="17:72">
      <c r="Q1040" s="19">
        <v>8</v>
      </c>
      <c r="R1040" s="56" t="str">
        <f t="shared" si="183"/>
        <v>Yes</v>
      </c>
      <c r="W1040" s="19" t="s">
        <v>1282</v>
      </c>
      <c r="X1040" s="54" t="str">
        <f>VLOOKUP(W1040,Employees!$A$1:$B$601,2,FALSE)</f>
        <v>Dibya Samal</v>
      </c>
      <c r="AW1040" s="54"/>
      <c r="AX1040" s="54"/>
      <c r="BI1040" s="48"/>
      <c r="BJ1040" s="38"/>
      <c r="BK1040" s="38"/>
      <c r="BL1040" s="38"/>
      <c r="BM1040"/>
      <c r="BN1040" s="48"/>
      <c r="BR1040" s="19" t="s">
        <v>1282</v>
      </c>
      <c r="BS1040" s="19" t="s">
        <v>3812</v>
      </c>
      <c r="BT1040" s="54" t="str">
        <f t="shared" si="184"/>
        <v>Data Science</v>
      </c>
    </row>
    <row r="1041" spans="17:72">
      <c r="Q1041" s="18">
        <v>10.84</v>
      </c>
      <c r="R1041" s="56" t="str">
        <f t="shared" si="183"/>
        <v>Yes</v>
      </c>
      <c r="W1041" s="18" t="s">
        <v>1282</v>
      </c>
      <c r="X1041" s="54" t="str">
        <f>VLOOKUP(W1041,Employees!$A$1:$B$601,2,FALSE)</f>
        <v>Dibya Samal</v>
      </c>
      <c r="AW1041" s="54"/>
      <c r="AX1041" s="54"/>
      <c r="BI1041" s="48"/>
      <c r="BJ1041" s="38"/>
      <c r="BK1041" s="38"/>
      <c r="BL1041" s="38"/>
      <c r="BM1041"/>
      <c r="BN1041" s="48"/>
      <c r="BR1041" s="18" t="s">
        <v>1282</v>
      </c>
      <c r="BS1041" s="18" t="s">
        <v>3813</v>
      </c>
      <c r="BT1041" s="54" t="str">
        <f t="shared" si="184"/>
        <v>Data Science</v>
      </c>
    </row>
    <row r="1042" spans="17:72">
      <c r="Q1042" s="19">
        <v>8.2799999999999994</v>
      </c>
      <c r="R1042" s="56" t="str">
        <f t="shared" si="183"/>
        <v>Yes</v>
      </c>
      <c r="W1042" s="19" t="s">
        <v>1282</v>
      </c>
      <c r="X1042" s="54" t="str">
        <f>VLOOKUP(W1042,Employees!$A$1:$B$601,2,FALSE)</f>
        <v>Dibya Samal</v>
      </c>
      <c r="AW1042" s="54"/>
      <c r="AX1042" s="54"/>
      <c r="BI1042" s="48"/>
      <c r="BJ1042" s="38"/>
      <c r="BK1042" s="38"/>
      <c r="BL1042" s="38"/>
      <c r="BM1042"/>
      <c r="BN1042" s="48"/>
      <c r="BR1042" s="19" t="s">
        <v>1282</v>
      </c>
      <c r="BS1042" s="19" t="s">
        <v>3814</v>
      </c>
      <c r="BT1042" s="54" t="str">
        <f t="shared" si="184"/>
        <v>Data Science</v>
      </c>
    </row>
    <row r="1043" spans="17:72">
      <c r="Q1043" s="18">
        <v>10.55</v>
      </c>
      <c r="R1043" s="56" t="str">
        <f t="shared" si="183"/>
        <v>Yes</v>
      </c>
      <c r="W1043" s="18" t="s">
        <v>1282</v>
      </c>
      <c r="X1043" s="54" t="str">
        <f>VLOOKUP(W1043,Employees!$A$1:$B$601,2,FALSE)</f>
        <v>Dibya Samal</v>
      </c>
      <c r="AW1043" s="54"/>
      <c r="AX1043" s="54"/>
      <c r="BI1043" s="48"/>
      <c r="BJ1043" s="38"/>
      <c r="BK1043" s="38"/>
      <c r="BL1043" s="38"/>
      <c r="BM1043"/>
      <c r="BN1043" s="48"/>
      <c r="BR1043" s="18" t="s">
        <v>1282</v>
      </c>
      <c r="BS1043" s="18" t="s">
        <v>3815</v>
      </c>
      <c r="BT1043" s="54" t="str">
        <f t="shared" si="184"/>
        <v>Data Science</v>
      </c>
    </row>
    <row r="1044" spans="17:72">
      <c r="Q1044" s="19">
        <v>8.9499999999999993</v>
      </c>
      <c r="R1044" s="56" t="str">
        <f t="shared" si="183"/>
        <v>Yes</v>
      </c>
      <c r="W1044" s="19" t="s">
        <v>1282</v>
      </c>
      <c r="X1044" s="54" t="str">
        <f>VLOOKUP(W1044,Employees!$A$1:$B$601,2,FALSE)</f>
        <v>Dibya Samal</v>
      </c>
      <c r="AW1044" s="54"/>
      <c r="AX1044" s="54"/>
      <c r="BI1044" s="48"/>
      <c r="BJ1044" s="38"/>
      <c r="BK1044" s="38"/>
      <c r="BL1044" s="38"/>
      <c r="BM1044"/>
      <c r="BN1044" s="48"/>
      <c r="BR1044" s="19" t="s">
        <v>1282</v>
      </c>
      <c r="BS1044" s="19" t="s">
        <v>3816</v>
      </c>
      <c r="BT1044" s="54" t="str">
        <f t="shared" si="184"/>
        <v>Data Science</v>
      </c>
    </row>
    <row r="1045" spans="17:72">
      <c r="Q1045" s="18">
        <v>10.18</v>
      </c>
      <c r="R1045" s="56" t="str">
        <f t="shared" si="183"/>
        <v>Yes</v>
      </c>
      <c r="W1045" s="18" t="s">
        <v>1282</v>
      </c>
      <c r="X1045" s="54" t="str">
        <f>VLOOKUP(W1045,Employees!$A$1:$B$601,2,FALSE)</f>
        <v>Dibya Samal</v>
      </c>
      <c r="AW1045" s="54"/>
      <c r="AX1045" s="54"/>
      <c r="BI1045" s="48"/>
      <c r="BJ1045" s="38"/>
      <c r="BK1045" s="38"/>
      <c r="BL1045" s="38"/>
      <c r="BM1045"/>
      <c r="BN1045" s="48"/>
      <c r="BR1045" s="18" t="s">
        <v>1282</v>
      </c>
      <c r="BS1045" s="18" t="s">
        <v>3817</v>
      </c>
      <c r="BT1045" s="54" t="str">
        <f t="shared" si="184"/>
        <v>Data Science</v>
      </c>
    </row>
    <row r="1046" spans="17:72">
      <c r="Q1046" s="19">
        <v>9.7200000000000006</v>
      </c>
      <c r="R1046" s="56" t="str">
        <f t="shared" si="183"/>
        <v>Yes</v>
      </c>
      <c r="W1046" s="19" t="s">
        <v>1282</v>
      </c>
      <c r="X1046" s="54" t="str">
        <f>VLOOKUP(W1046,Employees!$A$1:$B$601,2,FALSE)</f>
        <v>Dibya Samal</v>
      </c>
      <c r="AW1046" s="54"/>
      <c r="AX1046" s="54"/>
      <c r="BI1046" s="48"/>
      <c r="BJ1046" s="38"/>
      <c r="BK1046" s="38"/>
      <c r="BL1046" s="38"/>
      <c r="BM1046"/>
      <c r="BN1046" s="48"/>
      <c r="BR1046" s="19" t="s">
        <v>1282</v>
      </c>
      <c r="BS1046" s="19" t="s">
        <v>3818</v>
      </c>
      <c r="BT1046" s="54" t="str">
        <f t="shared" si="184"/>
        <v>Data Science</v>
      </c>
    </row>
    <row r="1047" spans="17:72">
      <c r="Q1047" s="18">
        <v>10.43</v>
      </c>
      <c r="R1047" s="56" t="str">
        <f t="shared" si="183"/>
        <v>Yes</v>
      </c>
      <c r="W1047" s="18" t="s">
        <v>1282</v>
      </c>
      <c r="X1047" s="54" t="str">
        <f>VLOOKUP(W1047,Employees!$A$1:$B$601,2,FALSE)</f>
        <v>Dibya Samal</v>
      </c>
      <c r="AW1047" s="54"/>
      <c r="AX1047" s="54"/>
      <c r="BI1047" s="48"/>
      <c r="BJ1047" s="38"/>
      <c r="BK1047" s="38"/>
      <c r="BL1047" s="38"/>
      <c r="BM1047"/>
      <c r="BN1047" s="48"/>
      <c r="BR1047" s="18" t="s">
        <v>1282</v>
      </c>
      <c r="BS1047" s="18" t="s">
        <v>3819</v>
      </c>
      <c r="BT1047" s="54" t="str">
        <f t="shared" si="184"/>
        <v>Data Science</v>
      </c>
    </row>
    <row r="1048" spans="17:72">
      <c r="Q1048" s="19">
        <v>10.62</v>
      </c>
      <c r="R1048" s="56" t="str">
        <f t="shared" si="183"/>
        <v>Yes</v>
      </c>
      <c r="W1048" s="19" t="s">
        <v>1282</v>
      </c>
      <c r="X1048" s="54" t="str">
        <f>VLOOKUP(W1048,Employees!$A$1:$B$601,2,FALSE)</f>
        <v>Dibya Samal</v>
      </c>
      <c r="AW1048" s="54"/>
      <c r="AX1048" s="54"/>
      <c r="BI1048" s="48"/>
      <c r="BJ1048" s="38"/>
      <c r="BK1048" s="38"/>
      <c r="BL1048" s="38"/>
      <c r="BM1048"/>
      <c r="BN1048" s="48"/>
      <c r="BR1048" s="19" t="s">
        <v>1282</v>
      </c>
      <c r="BS1048" s="19" t="s">
        <v>3820</v>
      </c>
      <c r="BT1048" s="54" t="str">
        <f t="shared" si="184"/>
        <v>Data Science</v>
      </c>
    </row>
    <row r="1049" spans="17:72">
      <c r="Q1049" s="18">
        <v>7.94</v>
      </c>
      <c r="R1049" s="56" t="str">
        <f t="shared" si="183"/>
        <v>Yes</v>
      </c>
      <c r="W1049" s="18" t="s">
        <v>1282</v>
      </c>
      <c r="X1049" s="54" t="str">
        <f>VLOOKUP(W1049,Employees!$A$1:$B$601,2,FALSE)</f>
        <v>Dibya Samal</v>
      </c>
      <c r="AW1049" s="54"/>
      <c r="AX1049" s="54"/>
      <c r="BI1049" s="48"/>
      <c r="BJ1049" s="38"/>
      <c r="BK1049" s="38"/>
      <c r="BL1049" s="38"/>
      <c r="BM1049"/>
      <c r="BN1049" s="48"/>
      <c r="BR1049" s="18" t="s">
        <v>1282</v>
      </c>
      <c r="BS1049" s="18" t="s">
        <v>3821</v>
      </c>
      <c r="BT1049" s="54" t="str">
        <f t="shared" si="184"/>
        <v>Data Science</v>
      </c>
    </row>
    <row r="1050" spans="17:72">
      <c r="Q1050" s="19">
        <v>7.14</v>
      </c>
      <c r="R1050" s="56" t="str">
        <f t="shared" si="183"/>
        <v>Yes</v>
      </c>
      <c r="W1050" s="19" t="s">
        <v>1282</v>
      </c>
      <c r="X1050" s="54" t="str">
        <f>VLOOKUP(W1050,Employees!$A$1:$B$601,2,FALSE)</f>
        <v>Dibya Samal</v>
      </c>
      <c r="AW1050" s="54"/>
      <c r="AX1050" s="54"/>
      <c r="BI1050" s="48"/>
      <c r="BJ1050" s="38"/>
      <c r="BK1050" s="38"/>
      <c r="BL1050" s="38"/>
      <c r="BM1050"/>
      <c r="BN1050" s="48"/>
      <c r="BR1050" s="19" t="s">
        <v>1282</v>
      </c>
      <c r="BS1050" s="19" t="s">
        <v>3822</v>
      </c>
      <c r="BT1050" s="54" t="str">
        <f t="shared" si="184"/>
        <v>Data Science</v>
      </c>
    </row>
    <row r="1051" spans="17:72">
      <c r="Q1051" s="18"/>
      <c r="R1051" s="56" t="str">
        <f t="shared" si="183"/>
        <v>No</v>
      </c>
      <c r="W1051" s="18" t="s">
        <v>1282</v>
      </c>
      <c r="X1051" s="54" t="str">
        <f>VLOOKUP(W1051,Employees!$A$1:$B$601,2,FALSE)</f>
        <v>Dibya Samal</v>
      </c>
      <c r="AW1051" s="54"/>
      <c r="AX1051" s="54"/>
      <c r="BI1051" s="48"/>
      <c r="BJ1051" s="38"/>
      <c r="BK1051" s="38"/>
      <c r="BL1051" s="38"/>
      <c r="BM1051"/>
      <c r="BN1051" s="48"/>
      <c r="BR1051" s="18" t="s">
        <v>1282</v>
      </c>
      <c r="BS1051" s="18" t="s">
        <v>3824</v>
      </c>
      <c r="BT1051" s="54" t="str">
        <f t="shared" si="184"/>
        <v>Data Science</v>
      </c>
    </row>
    <row r="1052" spans="17:72">
      <c r="Q1052" s="19">
        <v>8.26</v>
      </c>
      <c r="R1052" s="56" t="str">
        <f t="shared" si="183"/>
        <v>Yes</v>
      </c>
      <c r="W1052" s="19" t="s">
        <v>1282</v>
      </c>
      <c r="X1052" s="54" t="str">
        <f>VLOOKUP(W1052,Employees!$A$1:$B$601,2,FALSE)</f>
        <v>Dibya Samal</v>
      </c>
      <c r="AW1052" s="54"/>
      <c r="AX1052" s="54"/>
      <c r="BI1052" s="48"/>
      <c r="BJ1052" s="38"/>
      <c r="BK1052" s="38"/>
      <c r="BL1052" s="38"/>
      <c r="BM1052"/>
      <c r="BN1052" s="48"/>
      <c r="BR1052" s="19" t="s">
        <v>1282</v>
      </c>
      <c r="BS1052" s="19" t="s">
        <v>3825</v>
      </c>
      <c r="BT1052" s="54" t="str">
        <f t="shared" si="184"/>
        <v>Data Science</v>
      </c>
    </row>
    <row r="1053" spans="17:72">
      <c r="Q1053" s="18">
        <v>11.23</v>
      </c>
      <c r="R1053" s="56" t="str">
        <f t="shared" si="183"/>
        <v>Yes</v>
      </c>
      <c r="W1053" s="18" t="s">
        <v>1282</v>
      </c>
      <c r="X1053" s="54" t="str">
        <f>VLOOKUP(W1053,Employees!$A$1:$B$601,2,FALSE)</f>
        <v>Dibya Samal</v>
      </c>
      <c r="AW1053" s="54"/>
      <c r="AX1053" s="54"/>
      <c r="BI1053" s="48"/>
      <c r="BJ1053" s="38"/>
      <c r="BK1053" s="38"/>
      <c r="BL1053" s="38"/>
      <c r="BM1053"/>
      <c r="BN1053" s="48"/>
      <c r="BR1053" s="18" t="s">
        <v>1282</v>
      </c>
      <c r="BS1053" s="18" t="s">
        <v>3826</v>
      </c>
      <c r="BT1053" s="54" t="str">
        <f t="shared" si="184"/>
        <v>Data Science</v>
      </c>
    </row>
    <row r="1054" spans="17:72">
      <c r="Q1054" s="19">
        <v>9.6999999999999993</v>
      </c>
      <c r="R1054" s="56" t="str">
        <f t="shared" si="183"/>
        <v>Yes</v>
      </c>
      <c r="W1054" s="19" t="s">
        <v>1282</v>
      </c>
      <c r="X1054" s="54" t="str">
        <f>VLOOKUP(W1054,Employees!$A$1:$B$601,2,FALSE)</f>
        <v>Dibya Samal</v>
      </c>
      <c r="AW1054" s="54"/>
      <c r="AX1054" s="54"/>
      <c r="BI1054" s="48"/>
      <c r="BJ1054" s="38"/>
      <c r="BK1054" s="38"/>
      <c r="BL1054" s="38"/>
      <c r="BM1054"/>
      <c r="BN1054" s="48"/>
      <c r="BR1054" s="19" t="s">
        <v>1282</v>
      </c>
      <c r="BS1054" s="19" t="s">
        <v>3827</v>
      </c>
      <c r="BT1054" s="54" t="str">
        <f t="shared" si="184"/>
        <v>Data Science</v>
      </c>
    </row>
    <row r="1055" spans="17:72">
      <c r="Q1055" s="18">
        <v>8.2899999999999991</v>
      </c>
      <c r="R1055" s="56" t="str">
        <f t="shared" si="183"/>
        <v>Yes</v>
      </c>
      <c r="W1055" s="18" t="s">
        <v>1282</v>
      </c>
      <c r="X1055" s="54" t="str">
        <f>VLOOKUP(W1055,Employees!$A$1:$B$601,2,FALSE)</f>
        <v>Dibya Samal</v>
      </c>
      <c r="AW1055" s="54"/>
      <c r="AX1055" s="54"/>
      <c r="BI1055" s="48"/>
      <c r="BJ1055" s="38"/>
      <c r="BK1055" s="38"/>
      <c r="BL1055" s="38"/>
      <c r="BM1055"/>
      <c r="BN1055" s="48"/>
      <c r="BR1055" s="18" t="s">
        <v>1282</v>
      </c>
      <c r="BS1055" s="18" t="s">
        <v>3828</v>
      </c>
      <c r="BT1055" s="54" t="str">
        <f t="shared" si="184"/>
        <v>Data Science</v>
      </c>
    </row>
    <row r="1056" spans="17:72">
      <c r="Q1056" s="19">
        <v>9.82</v>
      </c>
      <c r="R1056" s="56" t="str">
        <f t="shared" si="183"/>
        <v>Yes</v>
      </c>
      <c r="W1056" s="19" t="s">
        <v>1282</v>
      </c>
      <c r="X1056" s="54" t="str">
        <f>VLOOKUP(W1056,Employees!$A$1:$B$601,2,FALSE)</f>
        <v>Dibya Samal</v>
      </c>
      <c r="AW1056" s="54"/>
      <c r="AX1056" s="54"/>
      <c r="BI1056" s="48"/>
      <c r="BJ1056" s="38"/>
      <c r="BK1056" s="38"/>
      <c r="BL1056" s="38"/>
      <c r="BM1056"/>
      <c r="BN1056" s="48"/>
      <c r="BR1056" s="19" t="s">
        <v>1282</v>
      </c>
      <c r="BS1056" s="19" t="s">
        <v>3829</v>
      </c>
      <c r="BT1056" s="54" t="str">
        <f t="shared" si="184"/>
        <v>Data Science</v>
      </c>
    </row>
    <row r="1057" spans="17:72">
      <c r="Q1057" s="18"/>
      <c r="R1057" s="56" t="str">
        <f t="shared" si="183"/>
        <v>No</v>
      </c>
      <c r="W1057" s="18" t="s">
        <v>1282</v>
      </c>
      <c r="X1057" s="54" t="str">
        <f>VLOOKUP(W1057,Employees!$A$1:$B$601,2,FALSE)</f>
        <v>Dibya Samal</v>
      </c>
      <c r="AW1057" s="54"/>
      <c r="AX1057" s="54"/>
      <c r="BI1057" s="48"/>
      <c r="BJ1057" s="38"/>
      <c r="BK1057" s="38"/>
      <c r="BL1057" s="38"/>
      <c r="BM1057"/>
      <c r="BN1057" s="48"/>
      <c r="BR1057" s="18" t="s">
        <v>1282</v>
      </c>
      <c r="BS1057" s="18" t="s">
        <v>3830</v>
      </c>
      <c r="BT1057" s="54" t="str">
        <f t="shared" si="184"/>
        <v>Data Science</v>
      </c>
    </row>
    <row r="1058" spans="17:72">
      <c r="Q1058" s="19">
        <v>8.32</v>
      </c>
      <c r="R1058" s="56" t="str">
        <f t="shared" si="183"/>
        <v>Yes</v>
      </c>
      <c r="W1058" s="19" t="s">
        <v>1282</v>
      </c>
      <c r="X1058" s="54" t="str">
        <f>VLOOKUP(W1058,Employees!$A$1:$B$601,2,FALSE)</f>
        <v>Dibya Samal</v>
      </c>
      <c r="AW1058" s="54"/>
      <c r="AX1058" s="54"/>
      <c r="BI1058" s="48"/>
      <c r="BJ1058" s="38"/>
      <c r="BK1058" s="38"/>
      <c r="BL1058" s="38"/>
      <c r="BM1058"/>
      <c r="BN1058" s="48"/>
      <c r="BR1058" s="19" t="s">
        <v>1282</v>
      </c>
      <c r="BS1058" s="19" t="s">
        <v>3831</v>
      </c>
      <c r="BT1058" s="54" t="str">
        <f t="shared" si="184"/>
        <v>Data Science</v>
      </c>
    </row>
    <row r="1059" spans="17:72">
      <c r="Q1059" s="18">
        <v>7.18</v>
      </c>
      <c r="R1059" s="56" t="str">
        <f t="shared" si="183"/>
        <v>Yes</v>
      </c>
      <c r="W1059" s="18" t="s">
        <v>1282</v>
      </c>
      <c r="X1059" s="54" t="str">
        <f>VLOOKUP(W1059,Employees!$A$1:$B$601,2,FALSE)</f>
        <v>Dibya Samal</v>
      </c>
      <c r="AW1059" s="54"/>
      <c r="AX1059" s="54"/>
      <c r="BI1059" s="48"/>
      <c r="BJ1059" s="38"/>
      <c r="BK1059" s="38"/>
      <c r="BL1059" s="38"/>
      <c r="BM1059"/>
      <c r="BN1059" s="48"/>
      <c r="BR1059" s="18" t="s">
        <v>1282</v>
      </c>
      <c r="BS1059" s="18" t="s">
        <v>3832</v>
      </c>
      <c r="BT1059" s="54" t="str">
        <f t="shared" si="184"/>
        <v>Data Science</v>
      </c>
    </row>
    <row r="1060" spans="17:72">
      <c r="Q1060" s="19">
        <v>7.13</v>
      </c>
      <c r="R1060" s="56" t="str">
        <f t="shared" si="183"/>
        <v>Yes</v>
      </c>
      <c r="W1060" s="19" t="s">
        <v>1282</v>
      </c>
      <c r="X1060" s="54" t="str">
        <f>VLOOKUP(W1060,Employees!$A$1:$B$601,2,FALSE)</f>
        <v>Dibya Samal</v>
      </c>
      <c r="AW1060" s="54"/>
      <c r="AX1060" s="54"/>
      <c r="BI1060" s="48"/>
      <c r="BJ1060" s="38"/>
      <c r="BK1060" s="38"/>
      <c r="BL1060" s="38"/>
      <c r="BM1060"/>
      <c r="BN1060" s="48"/>
      <c r="BR1060" s="19" t="s">
        <v>1282</v>
      </c>
      <c r="BS1060" s="19" t="s">
        <v>3833</v>
      </c>
      <c r="BT1060" s="54" t="str">
        <f t="shared" si="184"/>
        <v>Data Science</v>
      </c>
    </row>
    <row r="1061" spans="17:72">
      <c r="Q1061" s="18">
        <v>10.220000000000001</v>
      </c>
      <c r="R1061" s="56" t="str">
        <f t="shared" si="183"/>
        <v>Yes</v>
      </c>
      <c r="W1061" s="18" t="s">
        <v>1282</v>
      </c>
      <c r="X1061" s="54" t="str">
        <f>VLOOKUP(W1061,Employees!$A$1:$B$601,2,FALSE)</f>
        <v>Dibya Samal</v>
      </c>
      <c r="AW1061" s="54"/>
      <c r="AX1061" s="54"/>
      <c r="BI1061" s="48"/>
      <c r="BJ1061" s="38"/>
      <c r="BK1061" s="38"/>
      <c r="BL1061" s="38"/>
      <c r="BM1061"/>
      <c r="BN1061" s="48"/>
      <c r="BR1061" s="18" t="s">
        <v>1282</v>
      </c>
      <c r="BS1061" s="18" t="s">
        <v>3834</v>
      </c>
      <c r="BT1061" s="54" t="str">
        <f t="shared" si="184"/>
        <v>Data Science</v>
      </c>
    </row>
    <row r="1062" spans="17:72">
      <c r="Q1062" s="19">
        <v>8.8699999999999992</v>
      </c>
      <c r="R1062" s="56" t="str">
        <f t="shared" si="183"/>
        <v>Yes</v>
      </c>
      <c r="W1062" s="19" t="s">
        <v>1282</v>
      </c>
      <c r="X1062" s="54" t="str">
        <f>VLOOKUP(W1062,Employees!$A$1:$B$601,2,FALSE)</f>
        <v>Dibya Samal</v>
      </c>
      <c r="AW1062" s="54"/>
      <c r="AX1062" s="54"/>
      <c r="BI1062" s="48"/>
      <c r="BJ1062" s="38"/>
      <c r="BK1062" s="38"/>
      <c r="BL1062" s="38"/>
      <c r="BM1062"/>
      <c r="BN1062" s="48"/>
      <c r="BR1062" s="19" t="s">
        <v>1282</v>
      </c>
      <c r="BS1062" s="19" t="s">
        <v>3835</v>
      </c>
      <c r="BT1062" s="54" t="str">
        <f t="shared" si="184"/>
        <v>Data Science</v>
      </c>
    </row>
    <row r="1063" spans="17:72">
      <c r="Q1063" s="18">
        <v>9.59</v>
      </c>
      <c r="R1063" s="56" t="str">
        <f t="shared" si="183"/>
        <v>Yes</v>
      </c>
      <c r="W1063" s="18" t="s">
        <v>1282</v>
      </c>
      <c r="X1063" s="54" t="str">
        <f>VLOOKUP(W1063,Employees!$A$1:$B$601,2,FALSE)</f>
        <v>Dibya Samal</v>
      </c>
      <c r="AW1063" s="54"/>
      <c r="AX1063" s="54"/>
      <c r="BI1063" s="48"/>
      <c r="BJ1063" s="38"/>
      <c r="BK1063" s="38"/>
      <c r="BL1063" s="38"/>
      <c r="BM1063"/>
      <c r="BN1063" s="48"/>
      <c r="BR1063" s="18" t="s">
        <v>1282</v>
      </c>
      <c r="BS1063" s="18" t="s">
        <v>3836</v>
      </c>
      <c r="BT1063" s="54" t="str">
        <f t="shared" si="184"/>
        <v>Data Science</v>
      </c>
    </row>
    <row r="1064" spans="17:72">
      <c r="Q1064" s="19">
        <v>10.55</v>
      </c>
      <c r="R1064" s="56" t="str">
        <f t="shared" si="183"/>
        <v>Yes</v>
      </c>
      <c r="W1064" s="19" t="s">
        <v>1282</v>
      </c>
      <c r="X1064" s="54" t="str">
        <f>VLOOKUP(W1064,Employees!$A$1:$B$601,2,FALSE)</f>
        <v>Dibya Samal</v>
      </c>
      <c r="AW1064" s="54"/>
      <c r="AX1064" s="54"/>
      <c r="BI1064" s="48"/>
      <c r="BJ1064" s="38"/>
      <c r="BK1064" s="38"/>
      <c r="BL1064" s="38"/>
      <c r="BM1064"/>
      <c r="BN1064" s="48"/>
      <c r="BR1064" s="19" t="s">
        <v>1282</v>
      </c>
      <c r="BS1064" s="19" t="s">
        <v>3837</v>
      </c>
      <c r="BT1064" s="54" t="str">
        <f t="shared" si="184"/>
        <v>Data Science</v>
      </c>
    </row>
    <row r="1065" spans="17:72">
      <c r="Q1065" s="18">
        <v>7</v>
      </c>
      <c r="R1065" s="56" t="str">
        <f t="shared" si="183"/>
        <v>Yes</v>
      </c>
      <c r="W1065" s="18" t="s">
        <v>1282</v>
      </c>
      <c r="X1065" s="54" t="str">
        <f>VLOOKUP(W1065,Employees!$A$1:$B$601,2,FALSE)</f>
        <v>Dibya Samal</v>
      </c>
      <c r="AW1065" s="54"/>
      <c r="AX1065" s="54"/>
      <c r="BI1065" s="48"/>
      <c r="BJ1065" s="38"/>
      <c r="BK1065" s="38"/>
      <c r="BL1065" s="38"/>
      <c r="BM1065"/>
      <c r="BN1065" s="48"/>
      <c r="BR1065" s="18" t="s">
        <v>1282</v>
      </c>
      <c r="BS1065" s="18" t="s">
        <v>3838</v>
      </c>
      <c r="BT1065" s="54" t="str">
        <f t="shared" si="184"/>
        <v>Data Science</v>
      </c>
    </row>
    <row r="1066" spans="17:72">
      <c r="Q1066" s="19">
        <v>7.37</v>
      </c>
      <c r="R1066" s="56" t="str">
        <f t="shared" si="183"/>
        <v>Yes</v>
      </c>
      <c r="W1066" s="19" t="s">
        <v>1282</v>
      </c>
      <c r="X1066" s="54" t="str">
        <f>VLOOKUP(W1066,Employees!$A$1:$B$601,2,FALSE)</f>
        <v>Dibya Samal</v>
      </c>
      <c r="AW1066" s="54"/>
      <c r="AX1066" s="54"/>
      <c r="BI1066" s="48"/>
      <c r="BJ1066" s="38"/>
      <c r="BK1066" s="38"/>
      <c r="BL1066" s="38"/>
      <c r="BM1066"/>
      <c r="BN1066" s="48"/>
      <c r="BR1066" s="19" t="s">
        <v>1282</v>
      </c>
      <c r="BS1066" s="19" t="s">
        <v>3839</v>
      </c>
      <c r="BT1066" s="54" t="str">
        <f t="shared" si="184"/>
        <v>Data Science</v>
      </c>
    </row>
    <row r="1067" spans="17:72">
      <c r="Q1067" s="18">
        <v>9.5500000000000007</v>
      </c>
      <c r="R1067" s="56" t="str">
        <f t="shared" si="183"/>
        <v>Yes</v>
      </c>
      <c r="W1067" s="18" t="s">
        <v>1282</v>
      </c>
      <c r="X1067" s="54" t="str">
        <f>VLOOKUP(W1067,Employees!$A$1:$B$601,2,FALSE)</f>
        <v>Dibya Samal</v>
      </c>
      <c r="AW1067" s="54"/>
      <c r="AX1067" s="54"/>
      <c r="BI1067" s="48"/>
      <c r="BJ1067" s="38"/>
      <c r="BK1067" s="38"/>
      <c r="BL1067" s="38"/>
      <c r="BM1067"/>
      <c r="BN1067" s="48"/>
      <c r="BR1067" s="18" t="s">
        <v>1282</v>
      </c>
      <c r="BS1067" s="18" t="s">
        <v>3840</v>
      </c>
      <c r="BT1067" s="54" t="str">
        <f t="shared" si="184"/>
        <v>Data Science</v>
      </c>
    </row>
    <row r="1068" spans="17:72">
      <c r="Q1068" s="19">
        <v>9.31</v>
      </c>
      <c r="R1068" s="56" t="str">
        <f t="shared" si="183"/>
        <v>Yes</v>
      </c>
      <c r="W1068" s="19" t="s">
        <v>1282</v>
      </c>
      <c r="X1068" s="54" t="str">
        <f>VLOOKUP(W1068,Employees!$A$1:$B$601,2,FALSE)</f>
        <v>Dibya Samal</v>
      </c>
      <c r="AW1068" s="54"/>
      <c r="AX1068" s="54"/>
      <c r="BI1068" s="48"/>
      <c r="BJ1068" s="38"/>
      <c r="BK1068" s="38"/>
      <c r="BL1068" s="38"/>
      <c r="BM1068"/>
      <c r="BN1068" s="48"/>
      <c r="BR1068" s="19" t="s">
        <v>1282</v>
      </c>
      <c r="BS1068" s="19" t="s">
        <v>3841</v>
      </c>
      <c r="BT1068" s="54" t="str">
        <f t="shared" si="184"/>
        <v>Data Science</v>
      </c>
    </row>
    <row r="1069" spans="17:72">
      <c r="Q1069" s="18">
        <v>8.77</v>
      </c>
      <c r="R1069" s="56" t="str">
        <f t="shared" si="183"/>
        <v>Yes</v>
      </c>
      <c r="W1069" s="18" t="s">
        <v>1282</v>
      </c>
      <c r="X1069" s="54" t="str">
        <f>VLOOKUP(W1069,Employees!$A$1:$B$601,2,FALSE)</f>
        <v>Dibya Samal</v>
      </c>
      <c r="AW1069" s="54"/>
      <c r="AX1069" s="54"/>
      <c r="BI1069" s="48"/>
      <c r="BJ1069" s="38"/>
      <c r="BK1069" s="38"/>
      <c r="BL1069" s="38"/>
      <c r="BM1069"/>
      <c r="BN1069" s="48"/>
      <c r="BR1069" s="18" t="s">
        <v>1282</v>
      </c>
      <c r="BS1069" s="18" t="s">
        <v>3842</v>
      </c>
      <c r="BT1069" s="54" t="str">
        <f t="shared" si="184"/>
        <v>Data Science</v>
      </c>
    </row>
    <row r="1070" spans="17:72">
      <c r="Q1070" s="19">
        <v>8.1999999999999993</v>
      </c>
      <c r="R1070" s="56" t="str">
        <f t="shared" si="183"/>
        <v>Yes</v>
      </c>
      <c r="W1070" s="19" t="s">
        <v>1282</v>
      </c>
      <c r="X1070" s="54" t="str">
        <f>VLOOKUP(W1070,Employees!$A$1:$B$601,2,FALSE)</f>
        <v>Dibya Samal</v>
      </c>
      <c r="AW1070" s="54"/>
      <c r="AX1070" s="54"/>
      <c r="BI1070" s="48"/>
      <c r="BJ1070" s="38"/>
      <c r="BK1070" s="38"/>
      <c r="BL1070" s="38"/>
      <c r="BM1070"/>
      <c r="BN1070" s="48"/>
      <c r="BR1070" s="19" t="s">
        <v>1282</v>
      </c>
      <c r="BS1070" s="19" t="s">
        <v>3843</v>
      </c>
      <c r="BT1070" s="54" t="str">
        <f t="shared" si="184"/>
        <v>Data Science</v>
      </c>
    </row>
    <row r="1071" spans="17:72">
      <c r="Q1071" s="18">
        <v>9.69</v>
      </c>
      <c r="R1071" s="56" t="str">
        <f t="shared" si="183"/>
        <v>Yes</v>
      </c>
      <c r="W1071" s="18" t="s">
        <v>1282</v>
      </c>
      <c r="X1071" s="54" t="str">
        <f>VLOOKUP(W1071,Employees!$A$1:$B$601,2,FALSE)</f>
        <v>Dibya Samal</v>
      </c>
      <c r="AW1071" s="54"/>
      <c r="AX1071" s="54"/>
      <c r="BI1071" s="48"/>
      <c r="BJ1071" s="38"/>
      <c r="BK1071" s="38"/>
      <c r="BL1071" s="38"/>
      <c r="BM1071"/>
      <c r="BN1071" s="48"/>
      <c r="BR1071" s="18" t="s">
        <v>1282</v>
      </c>
      <c r="BS1071" s="18" t="s">
        <v>3845</v>
      </c>
      <c r="BT1071" s="54" t="str">
        <f t="shared" si="184"/>
        <v>Data Science</v>
      </c>
    </row>
    <row r="1072" spans="17:72">
      <c r="Q1072" s="19">
        <v>7.58</v>
      </c>
      <c r="R1072" s="56" t="str">
        <f t="shared" si="183"/>
        <v>Yes</v>
      </c>
      <c r="W1072" s="19" t="s">
        <v>1282</v>
      </c>
      <c r="X1072" s="54" t="str">
        <f>VLOOKUP(W1072,Employees!$A$1:$B$601,2,FALSE)</f>
        <v>Dibya Samal</v>
      </c>
      <c r="AW1072" s="54"/>
      <c r="AX1072" s="54"/>
      <c r="BI1072" s="48"/>
      <c r="BJ1072" s="38"/>
      <c r="BK1072" s="38"/>
      <c r="BL1072" s="38"/>
      <c r="BM1072"/>
      <c r="BN1072" s="48"/>
      <c r="BR1072" s="19" t="s">
        <v>1282</v>
      </c>
      <c r="BS1072" s="19" t="s">
        <v>3846</v>
      </c>
      <c r="BT1072" s="54" t="str">
        <f t="shared" si="184"/>
        <v>Data Science</v>
      </c>
    </row>
    <row r="1073" spans="17:72">
      <c r="Q1073" s="18">
        <v>9.61</v>
      </c>
      <c r="R1073" s="56" t="str">
        <f t="shared" si="183"/>
        <v>Yes</v>
      </c>
      <c r="W1073" s="18" t="s">
        <v>1282</v>
      </c>
      <c r="X1073" s="54" t="str">
        <f>VLOOKUP(W1073,Employees!$A$1:$B$601,2,FALSE)</f>
        <v>Dibya Samal</v>
      </c>
      <c r="AW1073" s="54"/>
      <c r="AX1073" s="54"/>
      <c r="BI1073" s="48"/>
      <c r="BJ1073" s="38"/>
      <c r="BK1073" s="38"/>
      <c r="BL1073" s="38"/>
      <c r="BM1073"/>
      <c r="BN1073" s="48"/>
      <c r="BR1073" s="18" t="s">
        <v>1282</v>
      </c>
      <c r="BS1073" s="18" t="s">
        <v>3847</v>
      </c>
      <c r="BT1073" s="54" t="str">
        <f t="shared" si="184"/>
        <v>Data Science</v>
      </c>
    </row>
    <row r="1074" spans="17:72">
      <c r="Q1074" s="19">
        <v>6.56</v>
      </c>
      <c r="R1074" s="56" t="str">
        <f t="shared" si="183"/>
        <v>Yes</v>
      </c>
      <c r="W1074" s="19" t="s">
        <v>1282</v>
      </c>
      <c r="X1074" s="54" t="str">
        <f>VLOOKUP(W1074,Employees!$A$1:$B$601,2,FALSE)</f>
        <v>Dibya Samal</v>
      </c>
      <c r="AW1074" s="54"/>
      <c r="AX1074" s="54"/>
      <c r="BI1074" s="48"/>
      <c r="BJ1074" s="38"/>
      <c r="BK1074" s="38"/>
      <c r="BL1074" s="38"/>
      <c r="BM1074"/>
      <c r="BN1074" s="48"/>
      <c r="BR1074" s="19" t="s">
        <v>1282</v>
      </c>
      <c r="BS1074" s="19" t="s">
        <v>3848</v>
      </c>
      <c r="BT1074" s="54" t="str">
        <f t="shared" si="184"/>
        <v>Data Science</v>
      </c>
    </row>
    <row r="1075" spans="17:72">
      <c r="Q1075" s="18">
        <v>9.5299999999999994</v>
      </c>
      <c r="R1075" s="56" t="str">
        <f t="shared" si="183"/>
        <v>Yes</v>
      </c>
      <c r="W1075" s="18" t="s">
        <v>1282</v>
      </c>
      <c r="X1075" s="54" t="str">
        <f>VLOOKUP(W1075,Employees!$A$1:$B$601,2,FALSE)</f>
        <v>Dibya Samal</v>
      </c>
      <c r="AW1075" s="54"/>
      <c r="AX1075" s="54"/>
      <c r="BI1075" s="48"/>
      <c r="BJ1075" s="38"/>
      <c r="BK1075" s="38"/>
      <c r="BL1075" s="38"/>
      <c r="BM1075"/>
      <c r="BN1075" s="48"/>
      <c r="BR1075" s="18" t="s">
        <v>1282</v>
      </c>
      <c r="BS1075" s="18" t="s">
        <v>3849</v>
      </c>
      <c r="BT1075" s="54" t="str">
        <f t="shared" si="184"/>
        <v>Data Science</v>
      </c>
    </row>
    <row r="1076" spans="17:72">
      <c r="Q1076" s="19">
        <v>7.12</v>
      </c>
      <c r="R1076" s="56" t="str">
        <f t="shared" si="183"/>
        <v>Yes</v>
      </c>
      <c r="W1076" s="19" t="s">
        <v>1282</v>
      </c>
      <c r="X1076" s="54" t="str">
        <f>VLOOKUP(W1076,Employees!$A$1:$B$601,2,FALSE)</f>
        <v>Dibya Samal</v>
      </c>
      <c r="AW1076" s="54"/>
      <c r="AX1076" s="54"/>
      <c r="BI1076" s="48"/>
      <c r="BJ1076" s="38"/>
      <c r="BK1076" s="38"/>
      <c r="BL1076" s="38"/>
      <c r="BM1076"/>
      <c r="BN1076" s="48"/>
      <c r="BR1076" s="19" t="s">
        <v>1282</v>
      </c>
      <c r="BS1076" s="19" t="s">
        <v>3850</v>
      </c>
      <c r="BT1076" s="54" t="str">
        <f t="shared" si="184"/>
        <v>Data Science</v>
      </c>
    </row>
    <row r="1077" spans="17:72">
      <c r="Q1077" s="18">
        <v>7.09</v>
      </c>
      <c r="R1077" s="56" t="str">
        <f t="shared" si="183"/>
        <v>Yes</v>
      </c>
      <c r="W1077" s="18" t="s">
        <v>1069</v>
      </c>
      <c r="X1077" s="54" t="str">
        <f>VLOOKUP(W1077,Employees!$A$1:$B$601,2,FALSE)</f>
        <v>Priyanka Mishra</v>
      </c>
      <c r="AW1077" s="54"/>
      <c r="AX1077" s="54"/>
      <c r="BI1077" s="48"/>
      <c r="BJ1077" s="38"/>
      <c r="BK1077" s="38"/>
      <c r="BL1077" s="38"/>
      <c r="BM1077"/>
      <c r="BN1077" s="48"/>
      <c r="BR1077" s="18" t="s">
        <v>1069</v>
      </c>
      <c r="BS1077" s="18" t="s">
        <v>3851</v>
      </c>
      <c r="BT1077" s="54" t="str">
        <f t="shared" si="184"/>
        <v>Design</v>
      </c>
    </row>
    <row r="1078" spans="17:72">
      <c r="Q1078" s="19">
        <v>6.54</v>
      </c>
      <c r="R1078" s="56" t="str">
        <f t="shared" si="183"/>
        <v>Yes</v>
      </c>
      <c r="W1078" s="19" t="s">
        <v>1069</v>
      </c>
      <c r="X1078" s="54" t="str">
        <f>VLOOKUP(W1078,Employees!$A$1:$B$601,2,FALSE)</f>
        <v>Priyanka Mishra</v>
      </c>
      <c r="AW1078" s="54"/>
      <c r="AX1078" s="54"/>
      <c r="BI1078" s="48"/>
      <c r="BJ1078" s="38"/>
      <c r="BK1078" s="38"/>
      <c r="BL1078" s="38"/>
      <c r="BM1078"/>
      <c r="BN1078" s="48"/>
      <c r="BR1078" s="19" t="s">
        <v>1069</v>
      </c>
      <c r="BS1078" s="19" t="s">
        <v>3852</v>
      </c>
      <c r="BT1078" s="54" t="str">
        <f t="shared" si="184"/>
        <v>Design</v>
      </c>
    </row>
    <row r="1079" spans="17:72">
      <c r="Q1079" s="18">
        <v>10.74</v>
      </c>
      <c r="R1079" s="56" t="str">
        <f t="shared" si="183"/>
        <v>Yes</v>
      </c>
      <c r="W1079" s="18" t="s">
        <v>1069</v>
      </c>
      <c r="X1079" s="54" t="str">
        <f>VLOOKUP(W1079,Employees!$A$1:$B$601,2,FALSE)</f>
        <v>Priyanka Mishra</v>
      </c>
      <c r="AW1079" s="54"/>
      <c r="AX1079" s="54"/>
      <c r="BI1079" s="48"/>
      <c r="BJ1079" s="38"/>
      <c r="BK1079" s="38"/>
      <c r="BL1079" s="38"/>
      <c r="BM1079"/>
      <c r="BN1079" s="48"/>
      <c r="BR1079" s="18" t="s">
        <v>1069</v>
      </c>
      <c r="BS1079" s="18" t="s">
        <v>3853</v>
      </c>
      <c r="BT1079" s="54" t="str">
        <f t="shared" si="184"/>
        <v>Design</v>
      </c>
    </row>
    <row r="1080" spans="17:72">
      <c r="Q1080" s="19">
        <v>11.11</v>
      </c>
      <c r="R1080" s="56" t="str">
        <f t="shared" si="183"/>
        <v>Yes</v>
      </c>
      <c r="W1080" s="19" t="s">
        <v>1069</v>
      </c>
      <c r="X1080" s="54" t="str">
        <f>VLOOKUP(W1080,Employees!$A$1:$B$601,2,FALSE)</f>
        <v>Priyanka Mishra</v>
      </c>
      <c r="AW1080" s="54"/>
      <c r="AX1080" s="54"/>
      <c r="BI1080" s="48"/>
      <c r="BJ1080" s="38"/>
      <c r="BK1080" s="38"/>
      <c r="BL1080" s="38"/>
      <c r="BM1080"/>
      <c r="BN1080" s="48"/>
      <c r="BR1080" s="19" t="s">
        <v>1069</v>
      </c>
      <c r="BS1080" s="19" t="s">
        <v>3854</v>
      </c>
      <c r="BT1080" s="54" t="str">
        <f t="shared" si="184"/>
        <v>Design</v>
      </c>
    </row>
    <row r="1081" spans="17:72">
      <c r="Q1081" s="18">
        <v>8.8699999999999992</v>
      </c>
      <c r="R1081" s="56" t="str">
        <f t="shared" si="183"/>
        <v>Yes</v>
      </c>
      <c r="W1081" s="18" t="s">
        <v>1069</v>
      </c>
      <c r="X1081" s="54" t="str">
        <f>VLOOKUP(W1081,Employees!$A$1:$B$601,2,FALSE)</f>
        <v>Priyanka Mishra</v>
      </c>
      <c r="AW1081" s="54"/>
      <c r="AX1081" s="54"/>
      <c r="BI1081" s="48"/>
      <c r="BJ1081" s="38"/>
      <c r="BK1081" s="38"/>
      <c r="BL1081" s="38"/>
      <c r="BM1081"/>
      <c r="BN1081" s="48"/>
      <c r="BR1081" s="18" t="s">
        <v>1069</v>
      </c>
      <c r="BS1081" s="18" t="s">
        <v>3855</v>
      </c>
      <c r="BT1081" s="54" t="str">
        <f t="shared" si="184"/>
        <v>Design</v>
      </c>
    </row>
    <row r="1082" spans="17:72">
      <c r="Q1082" s="19">
        <v>11.31</v>
      </c>
      <c r="R1082" s="56" t="str">
        <f t="shared" si="183"/>
        <v>Yes</v>
      </c>
      <c r="W1082" s="19" t="s">
        <v>1069</v>
      </c>
      <c r="X1082" s="54" t="str">
        <f>VLOOKUP(W1082,Employees!$A$1:$B$601,2,FALSE)</f>
        <v>Priyanka Mishra</v>
      </c>
      <c r="AW1082" s="54"/>
      <c r="AX1082" s="54"/>
      <c r="BI1082" s="48"/>
      <c r="BJ1082" s="38"/>
      <c r="BK1082" s="38"/>
      <c r="BL1082" s="38"/>
      <c r="BM1082"/>
      <c r="BN1082" s="48"/>
      <c r="BR1082" s="19" t="s">
        <v>1069</v>
      </c>
      <c r="BS1082" s="19" t="s">
        <v>3856</v>
      </c>
      <c r="BT1082" s="54" t="str">
        <f t="shared" si="184"/>
        <v>Design</v>
      </c>
    </row>
    <row r="1083" spans="17:72">
      <c r="Q1083" s="18">
        <v>10.67</v>
      </c>
      <c r="R1083" s="56" t="str">
        <f t="shared" si="183"/>
        <v>Yes</v>
      </c>
      <c r="W1083" s="18" t="s">
        <v>1069</v>
      </c>
      <c r="X1083" s="54" t="str">
        <f>VLOOKUP(W1083,Employees!$A$1:$B$601,2,FALSE)</f>
        <v>Priyanka Mishra</v>
      </c>
      <c r="AW1083" s="54"/>
      <c r="AX1083" s="54"/>
      <c r="BI1083" s="48"/>
      <c r="BJ1083" s="38"/>
      <c r="BK1083" s="38"/>
      <c r="BL1083" s="38"/>
      <c r="BM1083"/>
      <c r="BN1083" s="48"/>
      <c r="BR1083" s="18" t="s">
        <v>1069</v>
      </c>
      <c r="BS1083" s="18" t="s">
        <v>3858</v>
      </c>
      <c r="BT1083" s="54" t="str">
        <f t="shared" si="184"/>
        <v>Design</v>
      </c>
    </row>
    <row r="1084" spans="17:72">
      <c r="Q1084" s="19">
        <v>6.84</v>
      </c>
      <c r="R1084" s="56" t="str">
        <f t="shared" si="183"/>
        <v>Yes</v>
      </c>
      <c r="W1084" s="19" t="s">
        <v>1069</v>
      </c>
      <c r="X1084" s="54" t="str">
        <f>VLOOKUP(W1084,Employees!$A$1:$B$601,2,FALSE)</f>
        <v>Priyanka Mishra</v>
      </c>
      <c r="AW1084" s="54"/>
      <c r="AX1084" s="54"/>
      <c r="BI1084" s="48"/>
      <c r="BJ1084" s="38"/>
      <c r="BK1084" s="38"/>
      <c r="BL1084" s="38"/>
      <c r="BM1084"/>
      <c r="BN1084" s="48"/>
      <c r="BR1084" s="19" t="s">
        <v>1069</v>
      </c>
      <c r="BS1084" s="19" t="s">
        <v>3859</v>
      </c>
      <c r="BT1084" s="54" t="str">
        <f t="shared" si="184"/>
        <v>Design</v>
      </c>
    </row>
    <row r="1085" spans="17:72">
      <c r="Q1085" s="18">
        <v>7.77</v>
      </c>
      <c r="R1085" s="56" t="str">
        <f t="shared" si="183"/>
        <v>Yes</v>
      </c>
      <c r="W1085" s="18" t="s">
        <v>1069</v>
      </c>
      <c r="X1085" s="54" t="str">
        <f>VLOOKUP(W1085,Employees!$A$1:$B$601,2,FALSE)</f>
        <v>Priyanka Mishra</v>
      </c>
      <c r="AW1085" s="54"/>
      <c r="AX1085" s="54"/>
      <c r="BI1085" s="48"/>
      <c r="BJ1085" s="38"/>
      <c r="BK1085" s="38"/>
      <c r="BL1085" s="38"/>
      <c r="BM1085"/>
      <c r="BN1085" s="48"/>
      <c r="BR1085" s="18" t="s">
        <v>1069</v>
      </c>
      <c r="BS1085" s="18" t="s">
        <v>3861</v>
      </c>
      <c r="BT1085" s="54" t="str">
        <f t="shared" si="184"/>
        <v>Design</v>
      </c>
    </row>
    <row r="1086" spans="17:72">
      <c r="Q1086" s="19">
        <v>8.32</v>
      </c>
      <c r="R1086" s="56" t="str">
        <f t="shared" si="183"/>
        <v>Yes</v>
      </c>
      <c r="W1086" s="19" t="s">
        <v>1069</v>
      </c>
      <c r="X1086" s="54" t="str">
        <f>VLOOKUP(W1086,Employees!$A$1:$B$601,2,FALSE)</f>
        <v>Priyanka Mishra</v>
      </c>
      <c r="AW1086" s="54"/>
      <c r="AX1086" s="54"/>
      <c r="BI1086" s="48"/>
      <c r="BJ1086" s="38"/>
      <c r="BK1086" s="38"/>
      <c r="BL1086" s="38"/>
      <c r="BM1086"/>
      <c r="BN1086" s="48"/>
      <c r="BR1086" s="19" t="s">
        <v>1069</v>
      </c>
      <c r="BS1086" s="19" t="s">
        <v>3862</v>
      </c>
      <c r="BT1086" s="54" t="str">
        <f t="shared" si="184"/>
        <v>Design</v>
      </c>
    </row>
    <row r="1087" spans="17:72">
      <c r="Q1087" s="18">
        <v>8.69</v>
      </c>
      <c r="R1087" s="56" t="str">
        <f t="shared" si="183"/>
        <v>Yes</v>
      </c>
      <c r="W1087" s="18" t="s">
        <v>1069</v>
      </c>
      <c r="X1087" s="54" t="str">
        <f>VLOOKUP(W1087,Employees!$A$1:$B$601,2,FALSE)</f>
        <v>Priyanka Mishra</v>
      </c>
      <c r="AW1087" s="54"/>
      <c r="AX1087" s="54"/>
      <c r="BI1087" s="48"/>
      <c r="BJ1087" s="38"/>
      <c r="BK1087" s="38"/>
      <c r="BL1087" s="38"/>
      <c r="BM1087"/>
      <c r="BN1087" s="48"/>
      <c r="BR1087" s="18" t="s">
        <v>1069</v>
      </c>
      <c r="BS1087" s="18" t="s">
        <v>3863</v>
      </c>
      <c r="BT1087" s="54" t="str">
        <f t="shared" si="184"/>
        <v>Design</v>
      </c>
    </row>
    <row r="1088" spans="17:72">
      <c r="Q1088" s="19">
        <v>9.81</v>
      </c>
      <c r="R1088" s="56" t="str">
        <f t="shared" si="183"/>
        <v>Yes</v>
      </c>
      <c r="W1088" s="19" t="s">
        <v>1069</v>
      </c>
      <c r="X1088" s="54" t="str">
        <f>VLOOKUP(W1088,Employees!$A$1:$B$601,2,FALSE)</f>
        <v>Priyanka Mishra</v>
      </c>
      <c r="AW1088" s="54"/>
      <c r="AX1088" s="54"/>
      <c r="BI1088" s="48"/>
      <c r="BJ1088" s="38"/>
      <c r="BK1088" s="38"/>
      <c r="BL1088" s="38"/>
      <c r="BM1088"/>
      <c r="BN1088" s="48"/>
      <c r="BR1088" s="19" t="s">
        <v>1069</v>
      </c>
      <c r="BS1088" s="19" t="s">
        <v>3864</v>
      </c>
      <c r="BT1088" s="54" t="str">
        <f t="shared" si="184"/>
        <v>Design</v>
      </c>
    </row>
    <row r="1089" spans="17:72">
      <c r="Q1089" s="18"/>
      <c r="R1089" s="56" t="str">
        <f t="shared" si="183"/>
        <v>No</v>
      </c>
      <c r="W1089" s="18" t="s">
        <v>1069</v>
      </c>
      <c r="X1089" s="54" t="str">
        <f>VLOOKUP(W1089,Employees!$A$1:$B$601,2,FALSE)</f>
        <v>Priyanka Mishra</v>
      </c>
      <c r="AW1089" s="54"/>
      <c r="AX1089" s="54"/>
      <c r="BI1089" s="48"/>
      <c r="BJ1089" s="38"/>
      <c r="BK1089" s="38"/>
      <c r="BL1089" s="38"/>
      <c r="BM1089"/>
      <c r="BN1089" s="48"/>
      <c r="BR1089" s="18" t="s">
        <v>1069</v>
      </c>
      <c r="BS1089" s="18" t="s">
        <v>3865</v>
      </c>
      <c r="BT1089" s="54" t="str">
        <f t="shared" si="184"/>
        <v>Design</v>
      </c>
    </row>
    <row r="1090" spans="17:72">
      <c r="Q1090" s="19">
        <v>11.44</v>
      </c>
      <c r="R1090" s="56" t="str">
        <f t="shared" si="183"/>
        <v>Yes</v>
      </c>
      <c r="W1090" s="19" t="s">
        <v>1069</v>
      </c>
      <c r="X1090" s="54" t="str">
        <f>VLOOKUP(W1090,Employees!$A$1:$B$601,2,FALSE)</f>
        <v>Priyanka Mishra</v>
      </c>
      <c r="AW1090" s="54"/>
      <c r="AX1090" s="54"/>
      <c r="BI1090" s="48"/>
      <c r="BJ1090" s="38"/>
      <c r="BK1090" s="38"/>
      <c r="BL1090" s="38"/>
      <c r="BM1090"/>
      <c r="BN1090" s="48"/>
      <c r="BR1090" s="19" t="s">
        <v>1069</v>
      </c>
      <c r="BS1090" s="19" t="s">
        <v>3866</v>
      </c>
      <c r="BT1090" s="54" t="str">
        <f t="shared" si="184"/>
        <v>Design</v>
      </c>
    </row>
    <row r="1091" spans="17:72">
      <c r="Q1091" s="18">
        <v>9.34</v>
      </c>
      <c r="R1091" s="56" t="str">
        <f t="shared" ref="R1091:R1154" si="185">IF(ISBLANK(Q1091),"No","Yes")</f>
        <v>Yes</v>
      </c>
      <c r="W1091" s="18" t="s">
        <v>1069</v>
      </c>
      <c r="X1091" s="54" t="str">
        <f>VLOOKUP(W1091,Employees!$A$1:$B$601,2,FALSE)</f>
        <v>Priyanka Mishra</v>
      </c>
      <c r="AW1091" s="54"/>
      <c r="AX1091" s="54"/>
      <c r="BI1091" s="48"/>
      <c r="BJ1091" s="38"/>
      <c r="BK1091" s="38"/>
      <c r="BL1091" s="38"/>
      <c r="BM1091"/>
      <c r="BN1091" s="48"/>
      <c r="BR1091" s="18" t="s">
        <v>1069</v>
      </c>
      <c r="BS1091" s="18" t="s">
        <v>3868</v>
      </c>
      <c r="BT1091" s="54" t="str">
        <f t="shared" ref="BT1091:BT1154" si="186">VLOOKUP(BR1091,$BP$2:$BQ$601,2,FALSE)</f>
        <v>Design</v>
      </c>
    </row>
    <row r="1092" spans="17:72">
      <c r="Q1092" s="19">
        <v>10.85</v>
      </c>
      <c r="R1092" s="56" t="str">
        <f t="shared" si="185"/>
        <v>Yes</v>
      </c>
      <c r="W1092" s="19" t="s">
        <v>1069</v>
      </c>
      <c r="X1092" s="54" t="str">
        <f>VLOOKUP(W1092,Employees!$A$1:$B$601,2,FALSE)</f>
        <v>Priyanka Mishra</v>
      </c>
      <c r="AW1092" s="54"/>
      <c r="AX1092" s="54"/>
      <c r="BI1092" s="48"/>
      <c r="BJ1092" s="38"/>
      <c r="BK1092" s="38"/>
      <c r="BL1092" s="38"/>
      <c r="BM1092"/>
      <c r="BN1092" s="48"/>
      <c r="BR1092" s="19" t="s">
        <v>1069</v>
      </c>
      <c r="BS1092" s="19" t="s">
        <v>3869</v>
      </c>
      <c r="BT1092" s="54" t="str">
        <f t="shared" si="186"/>
        <v>Design</v>
      </c>
    </row>
    <row r="1093" spans="17:72">
      <c r="Q1093" s="18">
        <v>6.52</v>
      </c>
      <c r="R1093" s="56" t="str">
        <f t="shared" si="185"/>
        <v>Yes</v>
      </c>
      <c r="W1093" s="18" t="s">
        <v>1069</v>
      </c>
      <c r="X1093" s="54" t="str">
        <f>VLOOKUP(W1093,Employees!$A$1:$B$601,2,FALSE)</f>
        <v>Priyanka Mishra</v>
      </c>
      <c r="AW1093" s="54"/>
      <c r="AX1093" s="54"/>
      <c r="BI1093" s="48"/>
      <c r="BJ1093" s="38"/>
      <c r="BK1093" s="38"/>
      <c r="BL1093" s="38"/>
      <c r="BM1093"/>
      <c r="BN1093" s="48"/>
      <c r="BR1093" s="18" t="s">
        <v>1069</v>
      </c>
      <c r="BS1093" s="18" t="s">
        <v>3870</v>
      </c>
      <c r="BT1093" s="54" t="str">
        <f t="shared" si="186"/>
        <v>Design</v>
      </c>
    </row>
    <row r="1094" spans="17:72">
      <c r="Q1094" s="19"/>
      <c r="R1094" s="56" t="str">
        <f t="shared" si="185"/>
        <v>No</v>
      </c>
      <c r="W1094" s="19" t="s">
        <v>1069</v>
      </c>
      <c r="X1094" s="54" t="str">
        <f>VLOOKUP(W1094,Employees!$A$1:$B$601,2,FALSE)</f>
        <v>Priyanka Mishra</v>
      </c>
      <c r="AW1094" s="54"/>
      <c r="AX1094" s="54"/>
      <c r="BI1094" s="48"/>
      <c r="BJ1094" s="38"/>
      <c r="BK1094" s="38"/>
      <c r="BL1094" s="38"/>
      <c r="BM1094"/>
      <c r="BN1094" s="48"/>
      <c r="BR1094" s="19" t="s">
        <v>1069</v>
      </c>
      <c r="BS1094" s="19" t="s">
        <v>3872</v>
      </c>
      <c r="BT1094" s="54" t="str">
        <f t="shared" si="186"/>
        <v>Design</v>
      </c>
    </row>
    <row r="1095" spans="17:72">
      <c r="Q1095" s="18">
        <v>6.51</v>
      </c>
      <c r="R1095" s="56" t="str">
        <f t="shared" si="185"/>
        <v>Yes</v>
      </c>
      <c r="W1095" s="18" t="s">
        <v>1069</v>
      </c>
      <c r="X1095" s="54" t="str">
        <f>VLOOKUP(W1095,Employees!$A$1:$B$601,2,FALSE)</f>
        <v>Priyanka Mishra</v>
      </c>
      <c r="AW1095" s="54"/>
      <c r="AX1095" s="54"/>
      <c r="BI1095" s="48"/>
      <c r="BJ1095" s="38"/>
      <c r="BK1095" s="38"/>
      <c r="BL1095" s="38"/>
      <c r="BM1095"/>
      <c r="BN1095" s="48"/>
      <c r="BR1095" s="18" t="s">
        <v>1069</v>
      </c>
      <c r="BS1095" s="18" t="s">
        <v>3873</v>
      </c>
      <c r="BT1095" s="54" t="str">
        <f t="shared" si="186"/>
        <v>Design</v>
      </c>
    </row>
    <row r="1096" spans="17:72">
      <c r="Q1096" s="19">
        <v>7.71</v>
      </c>
      <c r="R1096" s="56" t="str">
        <f t="shared" si="185"/>
        <v>Yes</v>
      </c>
      <c r="W1096" s="19" t="s">
        <v>1069</v>
      </c>
      <c r="X1096" s="54" t="str">
        <f>VLOOKUP(W1096,Employees!$A$1:$B$601,2,FALSE)</f>
        <v>Priyanka Mishra</v>
      </c>
      <c r="AW1096" s="54"/>
      <c r="AX1096" s="54"/>
      <c r="BI1096" s="48"/>
      <c r="BJ1096" s="38"/>
      <c r="BK1096" s="38"/>
      <c r="BL1096" s="38"/>
      <c r="BM1096"/>
      <c r="BN1096" s="48"/>
      <c r="BR1096" s="19" t="s">
        <v>1069</v>
      </c>
      <c r="BS1096" s="19" t="s">
        <v>3874</v>
      </c>
      <c r="BT1096" s="54" t="str">
        <f t="shared" si="186"/>
        <v>Design</v>
      </c>
    </row>
    <row r="1097" spans="17:72">
      <c r="Q1097" s="18">
        <v>9.51</v>
      </c>
      <c r="R1097" s="56" t="str">
        <f t="shared" si="185"/>
        <v>Yes</v>
      </c>
      <c r="W1097" s="18" t="s">
        <v>1069</v>
      </c>
      <c r="X1097" s="54" t="str">
        <f>VLOOKUP(W1097,Employees!$A$1:$B$601,2,FALSE)</f>
        <v>Priyanka Mishra</v>
      </c>
      <c r="AW1097" s="54"/>
      <c r="AX1097" s="54"/>
      <c r="BI1097" s="48"/>
      <c r="BJ1097" s="38"/>
      <c r="BK1097" s="38"/>
      <c r="BL1097" s="38"/>
      <c r="BM1097"/>
      <c r="BN1097" s="48"/>
      <c r="BR1097" s="18" t="s">
        <v>1069</v>
      </c>
      <c r="BS1097" s="18" t="s">
        <v>3876</v>
      </c>
      <c r="BT1097" s="54" t="str">
        <f t="shared" si="186"/>
        <v>Design</v>
      </c>
    </row>
    <row r="1098" spans="17:72">
      <c r="Q1098" s="19">
        <v>7.41</v>
      </c>
      <c r="R1098" s="56" t="str">
        <f t="shared" si="185"/>
        <v>Yes</v>
      </c>
      <c r="W1098" s="19" t="s">
        <v>1069</v>
      </c>
      <c r="X1098" s="54" t="str">
        <f>VLOOKUP(W1098,Employees!$A$1:$B$601,2,FALSE)</f>
        <v>Priyanka Mishra</v>
      </c>
      <c r="AW1098" s="54"/>
      <c r="AX1098" s="54"/>
      <c r="BI1098" s="48"/>
      <c r="BJ1098" s="38"/>
      <c r="BK1098" s="38"/>
      <c r="BL1098" s="38"/>
      <c r="BM1098"/>
      <c r="BN1098" s="48"/>
      <c r="BR1098" s="19" t="s">
        <v>1069</v>
      </c>
      <c r="BS1098" s="19" t="s">
        <v>3877</v>
      </c>
      <c r="BT1098" s="54" t="str">
        <f t="shared" si="186"/>
        <v>Design</v>
      </c>
    </row>
    <row r="1099" spans="17:72">
      <c r="Q1099" s="18">
        <v>9.9499999999999993</v>
      </c>
      <c r="R1099" s="56" t="str">
        <f t="shared" si="185"/>
        <v>Yes</v>
      </c>
      <c r="W1099" s="18" t="s">
        <v>1069</v>
      </c>
      <c r="X1099" s="54" t="str">
        <f>VLOOKUP(W1099,Employees!$A$1:$B$601,2,FALSE)</f>
        <v>Priyanka Mishra</v>
      </c>
      <c r="AW1099" s="54"/>
      <c r="AX1099" s="54"/>
      <c r="BI1099" s="48"/>
      <c r="BJ1099" s="38"/>
      <c r="BK1099" s="38"/>
      <c r="BL1099" s="38"/>
      <c r="BM1099"/>
      <c r="BN1099" s="48"/>
      <c r="BR1099" s="18" t="s">
        <v>1069</v>
      </c>
      <c r="BS1099" s="18" t="s">
        <v>3878</v>
      </c>
      <c r="BT1099" s="54" t="str">
        <f t="shared" si="186"/>
        <v>Design</v>
      </c>
    </row>
    <row r="1100" spans="17:72">
      <c r="Q1100" s="19">
        <v>8.49</v>
      </c>
      <c r="R1100" s="56" t="str">
        <f t="shared" si="185"/>
        <v>Yes</v>
      </c>
      <c r="W1100" s="19" t="s">
        <v>1069</v>
      </c>
      <c r="X1100" s="54" t="str">
        <f>VLOOKUP(W1100,Employees!$A$1:$B$601,2,FALSE)</f>
        <v>Priyanka Mishra</v>
      </c>
      <c r="AW1100" s="54"/>
      <c r="AX1100" s="54"/>
      <c r="BI1100" s="48"/>
      <c r="BJ1100" s="38"/>
      <c r="BK1100" s="38"/>
      <c r="BL1100" s="38"/>
      <c r="BM1100"/>
      <c r="BN1100" s="48"/>
      <c r="BR1100" s="19" t="s">
        <v>1069</v>
      </c>
      <c r="BS1100" s="19" t="s">
        <v>3879</v>
      </c>
      <c r="BT1100" s="54" t="str">
        <f t="shared" si="186"/>
        <v>Design</v>
      </c>
    </row>
    <row r="1101" spans="17:72">
      <c r="Q1101" s="18">
        <v>8.77</v>
      </c>
      <c r="R1101" s="56" t="str">
        <f t="shared" si="185"/>
        <v>Yes</v>
      </c>
      <c r="W1101" s="18" t="s">
        <v>1069</v>
      </c>
      <c r="X1101" s="54" t="str">
        <f>VLOOKUP(W1101,Employees!$A$1:$B$601,2,FALSE)</f>
        <v>Priyanka Mishra</v>
      </c>
      <c r="AW1101" s="54"/>
      <c r="AX1101" s="54"/>
      <c r="BI1101" s="48"/>
      <c r="BJ1101" s="38"/>
      <c r="BK1101" s="38"/>
      <c r="BL1101" s="38"/>
      <c r="BM1101"/>
      <c r="BN1101" s="48"/>
      <c r="BR1101" s="18" t="s">
        <v>1069</v>
      </c>
      <c r="BS1101" s="18" t="s">
        <v>3880</v>
      </c>
      <c r="BT1101" s="54" t="str">
        <f t="shared" si="186"/>
        <v>Design</v>
      </c>
    </row>
    <row r="1102" spans="17:72">
      <c r="Q1102" s="19">
        <v>10</v>
      </c>
      <c r="R1102" s="56" t="str">
        <f t="shared" si="185"/>
        <v>Yes</v>
      </c>
      <c r="W1102" s="19" t="s">
        <v>1069</v>
      </c>
      <c r="X1102" s="54" t="str">
        <f>VLOOKUP(W1102,Employees!$A$1:$B$601,2,FALSE)</f>
        <v>Priyanka Mishra</v>
      </c>
      <c r="AW1102" s="54"/>
      <c r="AX1102" s="54"/>
      <c r="BI1102" s="48"/>
      <c r="BJ1102" s="38"/>
      <c r="BK1102" s="38"/>
      <c r="BL1102" s="38"/>
      <c r="BM1102"/>
      <c r="BN1102" s="48"/>
      <c r="BR1102" s="19" t="s">
        <v>1069</v>
      </c>
      <c r="BS1102" s="19" t="s">
        <v>3881</v>
      </c>
      <c r="BT1102" s="54" t="str">
        <f t="shared" si="186"/>
        <v>Design</v>
      </c>
    </row>
    <row r="1103" spans="17:72">
      <c r="Q1103" s="18">
        <v>8.76</v>
      </c>
      <c r="R1103" s="56" t="str">
        <f t="shared" si="185"/>
        <v>Yes</v>
      </c>
      <c r="W1103" s="18" t="s">
        <v>1069</v>
      </c>
      <c r="X1103" s="54" t="str">
        <f>VLOOKUP(W1103,Employees!$A$1:$B$601,2,FALSE)</f>
        <v>Priyanka Mishra</v>
      </c>
      <c r="AW1103" s="54"/>
      <c r="AX1103" s="54"/>
      <c r="BI1103" s="48"/>
      <c r="BJ1103" s="38"/>
      <c r="BK1103" s="38"/>
      <c r="BL1103" s="38"/>
      <c r="BM1103"/>
      <c r="BN1103" s="48"/>
      <c r="BR1103" s="18" t="s">
        <v>1069</v>
      </c>
      <c r="BS1103" s="18" t="s">
        <v>3882</v>
      </c>
      <c r="BT1103" s="54" t="str">
        <f t="shared" si="186"/>
        <v>Design</v>
      </c>
    </row>
    <row r="1104" spans="17:72">
      <c r="Q1104" s="19">
        <v>9.24</v>
      </c>
      <c r="R1104" s="56" t="str">
        <f t="shared" si="185"/>
        <v>Yes</v>
      </c>
      <c r="W1104" s="19" t="s">
        <v>1069</v>
      </c>
      <c r="X1104" s="54" t="str">
        <f>VLOOKUP(W1104,Employees!$A$1:$B$601,2,FALSE)</f>
        <v>Priyanka Mishra</v>
      </c>
      <c r="AW1104" s="54"/>
      <c r="AX1104" s="54"/>
      <c r="BI1104" s="48"/>
      <c r="BJ1104" s="38"/>
      <c r="BK1104" s="38"/>
      <c r="BL1104" s="38"/>
      <c r="BM1104"/>
      <c r="BN1104" s="48"/>
      <c r="BR1104" s="19" t="s">
        <v>1069</v>
      </c>
      <c r="BS1104" s="19" t="s">
        <v>3883</v>
      </c>
      <c r="BT1104" s="54" t="str">
        <f t="shared" si="186"/>
        <v>Design</v>
      </c>
    </row>
    <row r="1105" spans="17:72">
      <c r="Q1105" s="18">
        <v>8.42</v>
      </c>
      <c r="R1105" s="56" t="str">
        <f t="shared" si="185"/>
        <v>Yes</v>
      </c>
      <c r="W1105" s="18" t="s">
        <v>1069</v>
      </c>
      <c r="X1105" s="54" t="str">
        <f>VLOOKUP(W1105,Employees!$A$1:$B$601,2,FALSE)</f>
        <v>Priyanka Mishra</v>
      </c>
      <c r="AW1105" s="54"/>
      <c r="AX1105" s="54"/>
      <c r="BI1105" s="48"/>
      <c r="BJ1105" s="38"/>
      <c r="BK1105" s="38"/>
      <c r="BL1105" s="38"/>
      <c r="BM1105"/>
      <c r="BN1105" s="48"/>
      <c r="BR1105" s="18" t="s">
        <v>1069</v>
      </c>
      <c r="BS1105" s="18" t="s">
        <v>3884</v>
      </c>
      <c r="BT1105" s="54" t="str">
        <f t="shared" si="186"/>
        <v>Design</v>
      </c>
    </row>
    <row r="1106" spans="17:72">
      <c r="Q1106" s="19">
        <v>6.7</v>
      </c>
      <c r="R1106" s="56" t="str">
        <f t="shared" si="185"/>
        <v>Yes</v>
      </c>
      <c r="W1106" s="19" t="s">
        <v>1069</v>
      </c>
      <c r="X1106" s="54" t="str">
        <f>VLOOKUP(W1106,Employees!$A$1:$B$601,2,FALSE)</f>
        <v>Priyanka Mishra</v>
      </c>
      <c r="AW1106" s="54"/>
      <c r="AX1106" s="54"/>
      <c r="BI1106" s="48"/>
      <c r="BJ1106" s="38"/>
      <c r="BK1106" s="38"/>
      <c r="BL1106" s="38"/>
      <c r="BM1106"/>
      <c r="BN1106" s="48"/>
      <c r="BR1106" s="19" t="s">
        <v>1069</v>
      </c>
      <c r="BS1106" s="19" t="s">
        <v>3885</v>
      </c>
      <c r="BT1106" s="54" t="str">
        <f t="shared" si="186"/>
        <v>Design</v>
      </c>
    </row>
    <row r="1107" spans="17:72">
      <c r="Q1107" s="18">
        <v>8.84</v>
      </c>
      <c r="R1107" s="56" t="str">
        <f t="shared" si="185"/>
        <v>Yes</v>
      </c>
      <c r="W1107" s="18" t="s">
        <v>1069</v>
      </c>
      <c r="X1107" s="54" t="str">
        <f>VLOOKUP(W1107,Employees!$A$1:$B$601,2,FALSE)</f>
        <v>Priyanka Mishra</v>
      </c>
      <c r="AW1107" s="54"/>
      <c r="AX1107" s="54"/>
      <c r="BI1107" s="48"/>
      <c r="BJ1107" s="38"/>
      <c r="BK1107" s="38"/>
      <c r="BL1107" s="38"/>
      <c r="BM1107"/>
      <c r="BN1107" s="48"/>
      <c r="BR1107" s="18" t="s">
        <v>1069</v>
      </c>
      <c r="BS1107" s="18" t="s">
        <v>3887</v>
      </c>
      <c r="BT1107" s="54" t="str">
        <f t="shared" si="186"/>
        <v>Design</v>
      </c>
    </row>
    <row r="1108" spans="17:72">
      <c r="Q1108" s="19">
        <v>11.07</v>
      </c>
      <c r="R1108" s="56" t="str">
        <f t="shared" si="185"/>
        <v>Yes</v>
      </c>
      <c r="W1108" s="19" t="s">
        <v>1069</v>
      </c>
      <c r="X1108" s="54" t="str">
        <f>VLOOKUP(W1108,Employees!$A$1:$B$601,2,FALSE)</f>
        <v>Priyanka Mishra</v>
      </c>
      <c r="AW1108" s="54"/>
      <c r="AX1108" s="54"/>
      <c r="BI1108" s="48"/>
      <c r="BJ1108" s="38"/>
      <c r="BK1108" s="38"/>
      <c r="BL1108" s="38"/>
      <c r="BM1108"/>
      <c r="BN1108" s="48"/>
      <c r="BR1108" s="19" t="s">
        <v>1069</v>
      </c>
      <c r="BS1108" s="19" t="s">
        <v>3888</v>
      </c>
      <c r="BT1108" s="54" t="str">
        <f t="shared" si="186"/>
        <v>Design</v>
      </c>
    </row>
    <row r="1109" spans="17:72">
      <c r="Q1109" s="18">
        <v>7.57</v>
      </c>
      <c r="R1109" s="56" t="str">
        <f t="shared" si="185"/>
        <v>Yes</v>
      </c>
      <c r="W1109" s="18" t="s">
        <v>1069</v>
      </c>
      <c r="X1109" s="54" t="str">
        <f>VLOOKUP(W1109,Employees!$A$1:$B$601,2,FALSE)</f>
        <v>Priyanka Mishra</v>
      </c>
      <c r="AW1109" s="54"/>
      <c r="AX1109" s="54"/>
      <c r="BI1109" s="48"/>
      <c r="BJ1109" s="38"/>
      <c r="BK1109" s="38"/>
      <c r="BL1109" s="38"/>
      <c r="BM1109"/>
      <c r="BN1109" s="48"/>
      <c r="BR1109" s="18" t="s">
        <v>1069</v>
      </c>
      <c r="BS1109" s="18" t="s">
        <v>3890</v>
      </c>
      <c r="BT1109" s="54" t="str">
        <f t="shared" si="186"/>
        <v>Design</v>
      </c>
    </row>
    <row r="1110" spans="17:72">
      <c r="Q1110" s="19">
        <v>10.98</v>
      </c>
      <c r="R1110" s="56" t="str">
        <f t="shared" si="185"/>
        <v>Yes</v>
      </c>
      <c r="W1110" s="19" t="s">
        <v>1069</v>
      </c>
      <c r="X1110" s="54" t="str">
        <f>VLOOKUP(W1110,Employees!$A$1:$B$601,2,FALSE)</f>
        <v>Priyanka Mishra</v>
      </c>
      <c r="AW1110" s="54"/>
      <c r="AX1110" s="54"/>
      <c r="BI1110" s="48"/>
      <c r="BJ1110" s="38"/>
      <c r="BK1110" s="38"/>
      <c r="BL1110" s="38"/>
      <c r="BM1110"/>
      <c r="BN1110" s="48"/>
      <c r="BR1110" s="19" t="s">
        <v>1069</v>
      </c>
      <c r="BS1110" s="19" t="s">
        <v>3892</v>
      </c>
      <c r="BT1110" s="54" t="str">
        <f t="shared" si="186"/>
        <v>Design</v>
      </c>
    </row>
    <row r="1111" spans="17:72">
      <c r="Q1111" s="18">
        <v>6.76</v>
      </c>
      <c r="R1111" s="56" t="str">
        <f t="shared" si="185"/>
        <v>Yes</v>
      </c>
      <c r="W1111" s="18" t="s">
        <v>1069</v>
      </c>
      <c r="X1111" s="54" t="str">
        <f>VLOOKUP(W1111,Employees!$A$1:$B$601,2,FALSE)</f>
        <v>Priyanka Mishra</v>
      </c>
      <c r="AW1111" s="54"/>
      <c r="AX1111" s="54"/>
      <c r="BI1111" s="48"/>
      <c r="BJ1111" s="38"/>
      <c r="BK1111" s="38"/>
      <c r="BL1111" s="38"/>
      <c r="BM1111"/>
      <c r="BN1111" s="48"/>
      <c r="BR1111" s="18" t="s">
        <v>1069</v>
      </c>
      <c r="BS1111" s="18" t="s">
        <v>3893</v>
      </c>
      <c r="BT1111" s="54" t="str">
        <f t="shared" si="186"/>
        <v>Design</v>
      </c>
    </row>
    <row r="1112" spans="17:72">
      <c r="Q1112" s="19">
        <v>8.8000000000000007</v>
      </c>
      <c r="R1112" s="56" t="str">
        <f t="shared" si="185"/>
        <v>Yes</v>
      </c>
      <c r="W1112" s="19" t="s">
        <v>1069</v>
      </c>
      <c r="X1112" s="54" t="str">
        <f>VLOOKUP(W1112,Employees!$A$1:$B$601,2,FALSE)</f>
        <v>Priyanka Mishra</v>
      </c>
      <c r="AW1112" s="54"/>
      <c r="AX1112" s="54"/>
      <c r="BI1112" s="48"/>
      <c r="BJ1112" s="38"/>
      <c r="BK1112" s="38"/>
      <c r="BL1112" s="38"/>
      <c r="BM1112"/>
      <c r="BN1112" s="48"/>
      <c r="BR1112" s="19" t="s">
        <v>1069</v>
      </c>
      <c r="BS1112" s="19" t="s">
        <v>3895</v>
      </c>
      <c r="BT1112" s="54" t="str">
        <f t="shared" si="186"/>
        <v>Design</v>
      </c>
    </row>
    <row r="1113" spans="17:72">
      <c r="Q1113" s="18">
        <v>9.92</v>
      </c>
      <c r="R1113" s="56" t="str">
        <f t="shared" si="185"/>
        <v>Yes</v>
      </c>
      <c r="W1113" s="18" t="s">
        <v>1069</v>
      </c>
      <c r="X1113" s="54" t="str">
        <f>VLOOKUP(W1113,Employees!$A$1:$B$601,2,FALSE)</f>
        <v>Priyanka Mishra</v>
      </c>
      <c r="AW1113" s="54"/>
      <c r="AX1113" s="54"/>
      <c r="BI1113" s="48"/>
      <c r="BJ1113" s="38"/>
      <c r="BK1113" s="38"/>
      <c r="BL1113" s="38"/>
      <c r="BM1113"/>
      <c r="BN1113" s="48"/>
      <c r="BR1113" s="18" t="s">
        <v>1069</v>
      </c>
      <c r="BS1113" s="18" t="s">
        <v>3896</v>
      </c>
      <c r="BT1113" s="54" t="str">
        <f t="shared" si="186"/>
        <v>Design</v>
      </c>
    </row>
    <row r="1114" spans="17:72">
      <c r="Q1114" s="19"/>
      <c r="R1114" s="56" t="str">
        <f t="shared" si="185"/>
        <v>No</v>
      </c>
      <c r="W1114" s="19" t="s">
        <v>1069</v>
      </c>
      <c r="X1114" s="54" t="str">
        <f>VLOOKUP(W1114,Employees!$A$1:$B$601,2,FALSE)</f>
        <v>Priyanka Mishra</v>
      </c>
      <c r="AW1114" s="54"/>
      <c r="AX1114" s="54"/>
      <c r="BI1114" s="48"/>
      <c r="BJ1114" s="38"/>
      <c r="BK1114" s="38"/>
      <c r="BL1114" s="38"/>
      <c r="BM1114"/>
      <c r="BN1114" s="48"/>
      <c r="BR1114" s="19" t="s">
        <v>1069</v>
      </c>
      <c r="BS1114" s="19" t="s">
        <v>3897</v>
      </c>
      <c r="BT1114" s="54" t="str">
        <f t="shared" si="186"/>
        <v>Design</v>
      </c>
    </row>
    <row r="1115" spans="17:72">
      <c r="Q1115" s="18">
        <v>7.86</v>
      </c>
      <c r="R1115" s="56" t="str">
        <f t="shared" si="185"/>
        <v>Yes</v>
      </c>
      <c r="W1115" s="18" t="s">
        <v>1069</v>
      </c>
      <c r="X1115" s="54" t="str">
        <f>VLOOKUP(W1115,Employees!$A$1:$B$601,2,FALSE)</f>
        <v>Priyanka Mishra</v>
      </c>
      <c r="AW1115" s="54"/>
      <c r="AX1115" s="54"/>
      <c r="BI1115" s="48"/>
      <c r="BJ1115" s="38"/>
      <c r="BK1115" s="38"/>
      <c r="BL1115" s="38"/>
      <c r="BM1115"/>
      <c r="BN1115" s="48"/>
      <c r="BR1115" s="18" t="s">
        <v>1069</v>
      </c>
      <c r="BS1115" s="18" t="s">
        <v>3898</v>
      </c>
      <c r="BT1115" s="54" t="str">
        <f t="shared" si="186"/>
        <v>Design</v>
      </c>
    </row>
    <row r="1116" spans="17:72">
      <c r="Q1116" s="19">
        <v>7.68</v>
      </c>
      <c r="R1116" s="56" t="str">
        <f t="shared" si="185"/>
        <v>Yes</v>
      </c>
      <c r="W1116" s="19" t="s">
        <v>1069</v>
      </c>
      <c r="X1116" s="54" t="str">
        <f>VLOOKUP(W1116,Employees!$A$1:$B$601,2,FALSE)</f>
        <v>Priyanka Mishra</v>
      </c>
      <c r="AW1116" s="54"/>
      <c r="AX1116" s="54"/>
      <c r="BI1116" s="48"/>
      <c r="BJ1116" s="38"/>
      <c r="BK1116" s="38"/>
      <c r="BL1116" s="38"/>
      <c r="BM1116"/>
      <c r="BN1116" s="48"/>
      <c r="BR1116" s="19" t="s">
        <v>1069</v>
      </c>
      <c r="BS1116" s="19" t="s">
        <v>3899</v>
      </c>
      <c r="BT1116" s="54" t="str">
        <f t="shared" si="186"/>
        <v>Design</v>
      </c>
    </row>
    <row r="1117" spans="17:72">
      <c r="Q1117" s="18">
        <v>9.5500000000000007</v>
      </c>
      <c r="R1117" s="56" t="str">
        <f t="shared" si="185"/>
        <v>Yes</v>
      </c>
      <c r="W1117" s="18" t="s">
        <v>1069</v>
      </c>
      <c r="X1117" s="54" t="str">
        <f>VLOOKUP(W1117,Employees!$A$1:$B$601,2,FALSE)</f>
        <v>Priyanka Mishra</v>
      </c>
      <c r="AW1117" s="54"/>
      <c r="AX1117" s="54"/>
      <c r="BI1117" s="48"/>
      <c r="BJ1117" s="38"/>
      <c r="BK1117" s="38"/>
      <c r="BL1117" s="38"/>
      <c r="BM1117"/>
      <c r="BN1117" s="48"/>
      <c r="BR1117" s="18" t="s">
        <v>1069</v>
      </c>
      <c r="BS1117" s="18" t="s">
        <v>3901</v>
      </c>
      <c r="BT1117" s="54" t="str">
        <f t="shared" si="186"/>
        <v>Design</v>
      </c>
    </row>
    <row r="1118" spans="17:72">
      <c r="Q1118" s="19">
        <v>6.93</v>
      </c>
      <c r="R1118" s="56" t="str">
        <f t="shared" si="185"/>
        <v>Yes</v>
      </c>
      <c r="W1118" s="19" t="s">
        <v>1069</v>
      </c>
      <c r="X1118" s="54" t="str">
        <f>VLOOKUP(W1118,Employees!$A$1:$B$601,2,FALSE)</f>
        <v>Priyanka Mishra</v>
      </c>
      <c r="AW1118" s="54"/>
      <c r="AX1118" s="54"/>
      <c r="BI1118" s="48"/>
      <c r="BJ1118" s="38"/>
      <c r="BK1118" s="38"/>
      <c r="BL1118" s="38"/>
      <c r="BM1118"/>
      <c r="BN1118" s="48"/>
      <c r="BR1118" s="19" t="s">
        <v>1069</v>
      </c>
      <c r="BS1118" s="19" t="s">
        <v>3902</v>
      </c>
      <c r="BT1118" s="54" t="str">
        <f t="shared" si="186"/>
        <v>Design</v>
      </c>
    </row>
    <row r="1119" spans="17:72">
      <c r="Q1119" s="18">
        <v>9.57</v>
      </c>
      <c r="R1119" s="56" t="str">
        <f t="shared" si="185"/>
        <v>Yes</v>
      </c>
      <c r="W1119" s="18" t="s">
        <v>1069</v>
      </c>
      <c r="X1119" s="54" t="str">
        <f>VLOOKUP(W1119,Employees!$A$1:$B$601,2,FALSE)</f>
        <v>Priyanka Mishra</v>
      </c>
      <c r="AW1119" s="54"/>
      <c r="AX1119" s="54"/>
      <c r="BI1119" s="48"/>
      <c r="BJ1119" s="38"/>
      <c r="BK1119" s="38"/>
      <c r="BL1119" s="38"/>
      <c r="BM1119"/>
      <c r="BN1119" s="48"/>
      <c r="BR1119" s="18" t="s">
        <v>1069</v>
      </c>
      <c r="BS1119" s="18" t="s">
        <v>3904</v>
      </c>
      <c r="BT1119" s="54" t="str">
        <f t="shared" si="186"/>
        <v>Design</v>
      </c>
    </row>
    <row r="1120" spans="17:72">
      <c r="Q1120" s="19">
        <v>7.09</v>
      </c>
      <c r="R1120" s="56" t="str">
        <f t="shared" si="185"/>
        <v>Yes</v>
      </c>
      <c r="W1120" s="19" t="s">
        <v>422</v>
      </c>
      <c r="X1120" s="54" t="str">
        <f>VLOOKUP(W1120,Employees!$A$1:$B$601,2,FALSE)</f>
        <v>Tanmay Prusty</v>
      </c>
      <c r="AW1120" s="54"/>
      <c r="AX1120" s="54"/>
      <c r="BI1120" s="48"/>
      <c r="BJ1120" s="38"/>
      <c r="BK1120" s="38"/>
      <c r="BL1120" s="38"/>
      <c r="BM1120"/>
      <c r="BN1120" s="48"/>
      <c r="BR1120" s="19" t="s">
        <v>422</v>
      </c>
      <c r="BS1120" s="19" t="s">
        <v>3905</v>
      </c>
      <c r="BT1120" s="54" t="str">
        <f t="shared" si="186"/>
        <v>Sales</v>
      </c>
    </row>
    <row r="1121" spans="17:72">
      <c r="Q1121" s="18">
        <v>10.79</v>
      </c>
      <c r="R1121" s="56" t="str">
        <f t="shared" si="185"/>
        <v>Yes</v>
      </c>
      <c r="W1121" s="18" t="s">
        <v>422</v>
      </c>
      <c r="X1121" s="54" t="str">
        <f>VLOOKUP(W1121,Employees!$A$1:$B$601,2,FALSE)</f>
        <v>Tanmay Prusty</v>
      </c>
      <c r="AW1121" s="54"/>
      <c r="AX1121" s="54"/>
      <c r="BI1121" s="48"/>
      <c r="BJ1121" s="38"/>
      <c r="BK1121" s="38"/>
      <c r="BL1121" s="38"/>
      <c r="BM1121"/>
      <c r="BN1121" s="48"/>
      <c r="BR1121" s="18" t="s">
        <v>422</v>
      </c>
      <c r="BS1121" s="18" t="s">
        <v>3906</v>
      </c>
      <c r="BT1121" s="54" t="str">
        <f t="shared" si="186"/>
        <v>Sales</v>
      </c>
    </row>
    <row r="1122" spans="17:72">
      <c r="Q1122" s="19">
        <v>8.59</v>
      </c>
      <c r="R1122" s="56" t="str">
        <f t="shared" si="185"/>
        <v>Yes</v>
      </c>
      <c r="W1122" s="19" t="s">
        <v>422</v>
      </c>
      <c r="X1122" s="54" t="str">
        <f>VLOOKUP(W1122,Employees!$A$1:$B$601,2,FALSE)</f>
        <v>Tanmay Prusty</v>
      </c>
      <c r="AW1122" s="54"/>
      <c r="AX1122" s="54"/>
      <c r="BI1122" s="48"/>
      <c r="BJ1122" s="38"/>
      <c r="BK1122" s="38"/>
      <c r="BL1122" s="38"/>
      <c r="BM1122"/>
      <c r="BN1122" s="48"/>
      <c r="BR1122" s="19" t="s">
        <v>422</v>
      </c>
      <c r="BS1122" s="19" t="s">
        <v>3907</v>
      </c>
      <c r="BT1122" s="54" t="str">
        <f t="shared" si="186"/>
        <v>Sales</v>
      </c>
    </row>
    <row r="1123" spans="17:72">
      <c r="Q1123" s="18">
        <v>7.34</v>
      </c>
      <c r="R1123" s="56" t="str">
        <f t="shared" si="185"/>
        <v>Yes</v>
      </c>
      <c r="W1123" s="18" t="s">
        <v>422</v>
      </c>
      <c r="X1123" s="54" t="str">
        <f>VLOOKUP(W1123,Employees!$A$1:$B$601,2,FALSE)</f>
        <v>Tanmay Prusty</v>
      </c>
      <c r="AW1123" s="54"/>
      <c r="AX1123" s="54"/>
      <c r="BI1123" s="48"/>
      <c r="BJ1123" s="38"/>
      <c r="BK1123" s="38"/>
      <c r="BL1123" s="38"/>
      <c r="BM1123"/>
      <c r="BN1123" s="48"/>
      <c r="BR1123" s="18" t="s">
        <v>422</v>
      </c>
      <c r="BS1123" s="18" t="s">
        <v>3908</v>
      </c>
      <c r="BT1123" s="54" t="str">
        <f t="shared" si="186"/>
        <v>Sales</v>
      </c>
    </row>
    <row r="1124" spans="17:72">
      <c r="Q1124" s="19">
        <v>8.0399999999999991</v>
      </c>
      <c r="R1124" s="56" t="str">
        <f t="shared" si="185"/>
        <v>Yes</v>
      </c>
      <c r="W1124" s="19" t="s">
        <v>422</v>
      </c>
      <c r="X1124" s="54" t="str">
        <f>VLOOKUP(W1124,Employees!$A$1:$B$601,2,FALSE)</f>
        <v>Tanmay Prusty</v>
      </c>
      <c r="AW1124" s="54"/>
      <c r="AX1124" s="54"/>
      <c r="BI1124" s="48"/>
      <c r="BJ1124" s="38"/>
      <c r="BK1124" s="38"/>
      <c r="BL1124" s="38"/>
      <c r="BM1124"/>
      <c r="BN1124" s="48"/>
      <c r="BR1124" s="19" t="s">
        <v>422</v>
      </c>
      <c r="BS1124" s="19" t="s">
        <v>3909</v>
      </c>
      <c r="BT1124" s="54" t="str">
        <f t="shared" si="186"/>
        <v>Sales</v>
      </c>
    </row>
    <row r="1125" spans="17:72">
      <c r="Q1125" s="18">
        <v>9.56</v>
      </c>
      <c r="R1125" s="56" t="str">
        <f t="shared" si="185"/>
        <v>Yes</v>
      </c>
      <c r="W1125" s="18" t="s">
        <v>422</v>
      </c>
      <c r="X1125" s="54" t="str">
        <f>VLOOKUP(W1125,Employees!$A$1:$B$601,2,FALSE)</f>
        <v>Tanmay Prusty</v>
      </c>
      <c r="AW1125" s="54"/>
      <c r="AX1125" s="54"/>
      <c r="BI1125" s="48"/>
      <c r="BJ1125" s="38"/>
      <c r="BK1125" s="38"/>
      <c r="BL1125" s="38"/>
      <c r="BM1125"/>
      <c r="BN1125" s="48"/>
      <c r="BR1125" s="18" t="s">
        <v>422</v>
      </c>
      <c r="BS1125" s="18" t="s">
        <v>3910</v>
      </c>
      <c r="BT1125" s="54" t="str">
        <f t="shared" si="186"/>
        <v>Sales</v>
      </c>
    </row>
    <row r="1126" spans="17:72">
      <c r="Q1126" s="19">
        <v>11.37</v>
      </c>
      <c r="R1126" s="56" t="str">
        <f t="shared" si="185"/>
        <v>Yes</v>
      </c>
      <c r="W1126" s="19" t="s">
        <v>422</v>
      </c>
      <c r="X1126" s="54" t="str">
        <f>VLOOKUP(W1126,Employees!$A$1:$B$601,2,FALSE)</f>
        <v>Tanmay Prusty</v>
      </c>
      <c r="AW1126" s="54"/>
      <c r="AX1126" s="54"/>
      <c r="BI1126" s="48"/>
      <c r="BJ1126" s="38"/>
      <c r="BK1126" s="38"/>
      <c r="BL1126" s="38"/>
      <c r="BM1126"/>
      <c r="BN1126" s="48"/>
      <c r="BR1126" s="19" t="s">
        <v>422</v>
      </c>
      <c r="BS1126" s="19" t="s">
        <v>3911</v>
      </c>
      <c r="BT1126" s="54" t="str">
        <f t="shared" si="186"/>
        <v>Sales</v>
      </c>
    </row>
    <row r="1127" spans="17:72">
      <c r="Q1127" s="18">
        <v>7.38</v>
      </c>
      <c r="R1127" s="56" t="str">
        <f t="shared" si="185"/>
        <v>Yes</v>
      </c>
      <c r="W1127" s="18" t="s">
        <v>422</v>
      </c>
      <c r="X1127" s="54" t="str">
        <f>VLOOKUP(W1127,Employees!$A$1:$B$601,2,FALSE)</f>
        <v>Tanmay Prusty</v>
      </c>
      <c r="AW1127" s="54"/>
      <c r="AX1127" s="54"/>
      <c r="BI1127" s="48"/>
      <c r="BJ1127" s="38"/>
      <c r="BK1127" s="38"/>
      <c r="BL1127" s="38"/>
      <c r="BM1127"/>
      <c r="BN1127" s="48"/>
      <c r="BR1127" s="18" t="s">
        <v>422</v>
      </c>
      <c r="BS1127" s="18" t="s">
        <v>3913</v>
      </c>
      <c r="BT1127" s="54" t="str">
        <f t="shared" si="186"/>
        <v>Sales</v>
      </c>
    </row>
    <row r="1128" spans="17:72">
      <c r="Q1128" s="19">
        <v>11.27</v>
      </c>
      <c r="R1128" s="56" t="str">
        <f t="shared" si="185"/>
        <v>Yes</v>
      </c>
      <c r="W1128" s="19" t="s">
        <v>422</v>
      </c>
      <c r="X1128" s="54" t="str">
        <f>VLOOKUP(W1128,Employees!$A$1:$B$601,2,FALSE)</f>
        <v>Tanmay Prusty</v>
      </c>
      <c r="AW1128" s="54"/>
      <c r="AX1128" s="54"/>
      <c r="BI1128" s="48"/>
      <c r="BJ1128" s="38"/>
      <c r="BK1128" s="38"/>
      <c r="BL1128" s="38"/>
      <c r="BM1128"/>
      <c r="BN1128" s="48"/>
      <c r="BR1128" s="19" t="s">
        <v>422</v>
      </c>
      <c r="BS1128" s="19" t="s">
        <v>3915</v>
      </c>
      <c r="BT1128" s="54" t="str">
        <f t="shared" si="186"/>
        <v>Sales</v>
      </c>
    </row>
    <row r="1129" spans="17:72">
      <c r="Q1129" s="18">
        <v>10.43</v>
      </c>
      <c r="R1129" s="56" t="str">
        <f t="shared" si="185"/>
        <v>Yes</v>
      </c>
      <c r="W1129" s="18" t="s">
        <v>422</v>
      </c>
      <c r="X1129" s="54" t="str">
        <f>VLOOKUP(W1129,Employees!$A$1:$B$601,2,FALSE)</f>
        <v>Tanmay Prusty</v>
      </c>
      <c r="AW1129" s="54"/>
      <c r="AX1129" s="54"/>
      <c r="BI1129" s="48"/>
      <c r="BJ1129" s="38"/>
      <c r="BK1129" s="38"/>
      <c r="BL1129" s="38"/>
      <c r="BM1129"/>
      <c r="BN1129" s="48"/>
      <c r="BR1129" s="18" t="s">
        <v>422</v>
      </c>
      <c r="BS1129" s="18" t="s">
        <v>3917</v>
      </c>
      <c r="BT1129" s="54" t="str">
        <f t="shared" si="186"/>
        <v>Sales</v>
      </c>
    </row>
    <row r="1130" spans="17:72">
      <c r="Q1130" s="19">
        <v>11.4</v>
      </c>
      <c r="R1130" s="56" t="str">
        <f t="shared" si="185"/>
        <v>Yes</v>
      </c>
      <c r="W1130" s="19" t="s">
        <v>422</v>
      </c>
      <c r="X1130" s="54" t="str">
        <f>VLOOKUP(W1130,Employees!$A$1:$B$601,2,FALSE)</f>
        <v>Tanmay Prusty</v>
      </c>
      <c r="AW1130" s="54"/>
      <c r="AX1130" s="54"/>
      <c r="BI1130" s="48"/>
      <c r="BJ1130" s="38"/>
      <c r="BK1130" s="38"/>
      <c r="BL1130" s="38"/>
      <c r="BM1130"/>
      <c r="BN1130" s="48"/>
      <c r="BR1130" s="19" t="s">
        <v>422</v>
      </c>
      <c r="BS1130" s="19" t="s">
        <v>3918</v>
      </c>
      <c r="BT1130" s="54" t="str">
        <f t="shared" si="186"/>
        <v>Sales</v>
      </c>
    </row>
    <row r="1131" spans="17:72">
      <c r="Q1131" s="18">
        <v>7.04</v>
      </c>
      <c r="R1131" s="56" t="str">
        <f t="shared" si="185"/>
        <v>Yes</v>
      </c>
      <c r="W1131" s="18" t="s">
        <v>422</v>
      </c>
      <c r="X1131" s="54" t="str">
        <f>VLOOKUP(W1131,Employees!$A$1:$B$601,2,FALSE)</f>
        <v>Tanmay Prusty</v>
      </c>
      <c r="AW1131" s="54"/>
      <c r="AX1131" s="54"/>
      <c r="BI1131" s="48"/>
      <c r="BJ1131" s="38"/>
      <c r="BK1131" s="38"/>
      <c r="BL1131" s="38"/>
      <c r="BM1131"/>
      <c r="BN1131" s="48"/>
      <c r="BR1131" s="18" t="s">
        <v>422</v>
      </c>
      <c r="BS1131" s="18" t="s">
        <v>3919</v>
      </c>
      <c r="BT1131" s="54" t="str">
        <f t="shared" si="186"/>
        <v>Sales</v>
      </c>
    </row>
    <row r="1132" spans="17:72">
      <c r="Q1132" s="19">
        <v>9.75</v>
      </c>
      <c r="R1132" s="56" t="str">
        <f t="shared" si="185"/>
        <v>Yes</v>
      </c>
      <c r="W1132" s="19" t="s">
        <v>422</v>
      </c>
      <c r="X1132" s="54" t="str">
        <f>VLOOKUP(W1132,Employees!$A$1:$B$601,2,FALSE)</f>
        <v>Tanmay Prusty</v>
      </c>
      <c r="AW1132" s="54"/>
      <c r="AX1132" s="54"/>
      <c r="BI1132" s="48"/>
      <c r="BJ1132" s="38"/>
      <c r="BK1132" s="38"/>
      <c r="BL1132" s="38"/>
      <c r="BM1132"/>
      <c r="BN1132" s="48"/>
      <c r="BR1132" s="19" t="s">
        <v>422</v>
      </c>
      <c r="BS1132" s="19" t="s">
        <v>3921</v>
      </c>
      <c r="BT1132" s="54" t="str">
        <f t="shared" si="186"/>
        <v>Sales</v>
      </c>
    </row>
    <row r="1133" spans="17:72">
      <c r="Q1133" s="18">
        <v>8.4</v>
      </c>
      <c r="R1133" s="56" t="str">
        <f t="shared" si="185"/>
        <v>Yes</v>
      </c>
      <c r="W1133" s="18" t="s">
        <v>422</v>
      </c>
      <c r="X1133" s="54" t="str">
        <f>VLOOKUP(W1133,Employees!$A$1:$B$601,2,FALSE)</f>
        <v>Tanmay Prusty</v>
      </c>
      <c r="AW1133" s="54"/>
      <c r="AX1133" s="54"/>
      <c r="BI1133" s="48"/>
      <c r="BJ1133" s="38"/>
      <c r="BK1133" s="38"/>
      <c r="BL1133" s="38"/>
      <c r="BM1133"/>
      <c r="BN1133" s="48"/>
      <c r="BR1133" s="18" t="s">
        <v>422</v>
      </c>
      <c r="BS1133" s="18" t="s">
        <v>3922</v>
      </c>
      <c r="BT1133" s="54" t="str">
        <f t="shared" si="186"/>
        <v>Sales</v>
      </c>
    </row>
    <row r="1134" spans="17:72">
      <c r="Q1134" s="19">
        <v>8.82</v>
      </c>
      <c r="R1134" s="56" t="str">
        <f t="shared" si="185"/>
        <v>Yes</v>
      </c>
      <c r="W1134" s="19" t="s">
        <v>422</v>
      </c>
      <c r="X1134" s="54" t="str">
        <f>VLOOKUP(W1134,Employees!$A$1:$B$601,2,FALSE)</f>
        <v>Tanmay Prusty</v>
      </c>
      <c r="AW1134" s="54"/>
      <c r="AX1134" s="54"/>
      <c r="BI1134" s="48"/>
      <c r="BJ1134" s="38"/>
      <c r="BK1134" s="38"/>
      <c r="BL1134" s="38"/>
      <c r="BM1134"/>
      <c r="BN1134" s="48"/>
      <c r="BR1134" s="19" t="s">
        <v>422</v>
      </c>
      <c r="BS1134" s="19" t="s">
        <v>3923</v>
      </c>
      <c r="BT1134" s="54" t="str">
        <f t="shared" si="186"/>
        <v>Sales</v>
      </c>
    </row>
    <row r="1135" spans="17:72">
      <c r="Q1135" s="18">
        <v>11.24</v>
      </c>
      <c r="R1135" s="56" t="str">
        <f t="shared" si="185"/>
        <v>Yes</v>
      </c>
      <c r="W1135" s="18" t="s">
        <v>422</v>
      </c>
      <c r="X1135" s="54" t="str">
        <f>VLOOKUP(W1135,Employees!$A$1:$B$601,2,FALSE)</f>
        <v>Tanmay Prusty</v>
      </c>
      <c r="AW1135" s="54"/>
      <c r="AX1135" s="54"/>
      <c r="BI1135" s="48"/>
      <c r="BJ1135" s="38"/>
      <c r="BK1135" s="38"/>
      <c r="BL1135" s="38"/>
      <c r="BM1135"/>
      <c r="BN1135" s="48"/>
      <c r="BR1135" s="18" t="s">
        <v>422</v>
      </c>
      <c r="BS1135" s="18" t="s">
        <v>3924</v>
      </c>
      <c r="BT1135" s="54" t="str">
        <f t="shared" si="186"/>
        <v>Sales</v>
      </c>
    </row>
    <row r="1136" spans="17:72">
      <c r="Q1136" s="19">
        <v>8.59</v>
      </c>
      <c r="R1136" s="56" t="str">
        <f t="shared" si="185"/>
        <v>Yes</v>
      </c>
      <c r="W1136" s="19" t="s">
        <v>422</v>
      </c>
      <c r="X1136" s="54" t="str">
        <f>VLOOKUP(W1136,Employees!$A$1:$B$601,2,FALSE)</f>
        <v>Tanmay Prusty</v>
      </c>
      <c r="AW1136" s="54"/>
      <c r="AX1136" s="54"/>
      <c r="BI1136" s="48"/>
      <c r="BJ1136" s="38"/>
      <c r="BK1136" s="38"/>
      <c r="BL1136" s="38"/>
      <c r="BM1136"/>
      <c r="BN1136" s="48"/>
      <c r="BR1136" s="19" t="s">
        <v>422</v>
      </c>
      <c r="BS1136" s="19" t="s">
        <v>3925</v>
      </c>
      <c r="BT1136" s="54" t="str">
        <f t="shared" si="186"/>
        <v>Sales</v>
      </c>
    </row>
    <row r="1137" spans="17:72">
      <c r="Q1137" s="18">
        <v>8.4499999999999993</v>
      </c>
      <c r="R1137" s="56" t="str">
        <f t="shared" si="185"/>
        <v>Yes</v>
      </c>
      <c r="W1137" s="18" t="s">
        <v>422</v>
      </c>
      <c r="X1137" s="54" t="str">
        <f>VLOOKUP(W1137,Employees!$A$1:$B$601,2,FALSE)</f>
        <v>Tanmay Prusty</v>
      </c>
      <c r="AW1137" s="54"/>
      <c r="AX1137" s="54"/>
      <c r="BI1137" s="48"/>
      <c r="BJ1137" s="38"/>
      <c r="BK1137" s="38"/>
      <c r="BL1137" s="38"/>
      <c r="BM1137"/>
      <c r="BN1137" s="48"/>
      <c r="BR1137" s="18" t="s">
        <v>422</v>
      </c>
      <c r="BS1137" s="18" t="s">
        <v>3926</v>
      </c>
      <c r="BT1137" s="54" t="str">
        <f t="shared" si="186"/>
        <v>Sales</v>
      </c>
    </row>
    <row r="1138" spans="17:72">
      <c r="Q1138" s="19">
        <v>6.52</v>
      </c>
      <c r="R1138" s="56" t="str">
        <f t="shared" si="185"/>
        <v>Yes</v>
      </c>
      <c r="W1138" s="19" t="s">
        <v>422</v>
      </c>
      <c r="X1138" s="54" t="str">
        <f>VLOOKUP(W1138,Employees!$A$1:$B$601,2,FALSE)</f>
        <v>Tanmay Prusty</v>
      </c>
      <c r="AW1138" s="54"/>
      <c r="AX1138" s="54"/>
      <c r="BI1138" s="48"/>
      <c r="BJ1138" s="38"/>
      <c r="BK1138" s="38"/>
      <c r="BL1138" s="38"/>
      <c r="BM1138"/>
      <c r="BN1138" s="48"/>
      <c r="BR1138" s="19" t="s">
        <v>422</v>
      </c>
      <c r="BS1138" s="19" t="s">
        <v>3927</v>
      </c>
      <c r="BT1138" s="54" t="str">
        <f t="shared" si="186"/>
        <v>Sales</v>
      </c>
    </row>
    <row r="1139" spans="17:72">
      <c r="Q1139" s="18">
        <v>9.58</v>
      </c>
      <c r="R1139" s="56" t="str">
        <f t="shared" si="185"/>
        <v>Yes</v>
      </c>
      <c r="W1139" s="18" t="s">
        <v>422</v>
      </c>
      <c r="X1139" s="54" t="str">
        <f>VLOOKUP(W1139,Employees!$A$1:$B$601,2,FALSE)</f>
        <v>Tanmay Prusty</v>
      </c>
      <c r="AW1139" s="54"/>
      <c r="AX1139" s="54"/>
      <c r="BI1139" s="48"/>
      <c r="BJ1139" s="38"/>
      <c r="BK1139" s="38"/>
      <c r="BL1139" s="38"/>
      <c r="BM1139"/>
      <c r="BN1139" s="48"/>
      <c r="BR1139" s="18" t="s">
        <v>422</v>
      </c>
      <c r="BS1139" s="18" t="s">
        <v>3928</v>
      </c>
      <c r="BT1139" s="54" t="str">
        <f t="shared" si="186"/>
        <v>Sales</v>
      </c>
    </row>
    <row r="1140" spans="17:72">
      <c r="Q1140" s="19">
        <v>11.25</v>
      </c>
      <c r="R1140" s="56" t="str">
        <f t="shared" si="185"/>
        <v>Yes</v>
      </c>
      <c r="W1140" s="19" t="s">
        <v>422</v>
      </c>
      <c r="X1140" s="54" t="str">
        <f>VLOOKUP(W1140,Employees!$A$1:$B$601,2,FALSE)</f>
        <v>Tanmay Prusty</v>
      </c>
      <c r="AW1140" s="54"/>
      <c r="AX1140" s="54"/>
      <c r="BI1140" s="48"/>
      <c r="BJ1140" s="38"/>
      <c r="BK1140" s="38"/>
      <c r="BL1140" s="38"/>
      <c r="BM1140"/>
      <c r="BN1140" s="48"/>
      <c r="BR1140" s="19" t="s">
        <v>422</v>
      </c>
      <c r="BS1140" s="19" t="s">
        <v>3929</v>
      </c>
      <c r="BT1140" s="54" t="str">
        <f t="shared" si="186"/>
        <v>Sales</v>
      </c>
    </row>
    <row r="1141" spans="17:72">
      <c r="Q1141" s="18">
        <v>10.78</v>
      </c>
      <c r="R1141" s="56" t="str">
        <f t="shared" si="185"/>
        <v>Yes</v>
      </c>
      <c r="W1141" s="18" t="s">
        <v>422</v>
      </c>
      <c r="X1141" s="54" t="str">
        <f>VLOOKUP(W1141,Employees!$A$1:$B$601,2,FALSE)</f>
        <v>Tanmay Prusty</v>
      </c>
      <c r="AW1141" s="54"/>
      <c r="AX1141" s="54"/>
      <c r="BI1141" s="48"/>
      <c r="BJ1141" s="38"/>
      <c r="BK1141" s="38"/>
      <c r="BL1141" s="38"/>
      <c r="BM1141"/>
      <c r="BN1141" s="48"/>
      <c r="BR1141" s="18" t="s">
        <v>422</v>
      </c>
      <c r="BS1141" s="18" t="s">
        <v>3930</v>
      </c>
      <c r="BT1141" s="54" t="str">
        <f t="shared" si="186"/>
        <v>Sales</v>
      </c>
    </row>
    <row r="1142" spans="17:72">
      <c r="Q1142" s="19">
        <v>10.17</v>
      </c>
      <c r="R1142" s="56" t="str">
        <f t="shared" si="185"/>
        <v>Yes</v>
      </c>
      <c r="W1142" s="19" t="s">
        <v>422</v>
      </c>
      <c r="X1142" s="54" t="str">
        <f>VLOOKUP(W1142,Employees!$A$1:$B$601,2,FALSE)</f>
        <v>Tanmay Prusty</v>
      </c>
      <c r="AW1142" s="54"/>
      <c r="AX1142" s="54"/>
      <c r="BI1142" s="48"/>
      <c r="BJ1142" s="38"/>
      <c r="BK1142" s="38"/>
      <c r="BL1142" s="38"/>
      <c r="BM1142"/>
      <c r="BN1142" s="48"/>
      <c r="BR1142" s="19" t="s">
        <v>422</v>
      </c>
      <c r="BS1142" s="19" t="s">
        <v>3931</v>
      </c>
      <c r="BT1142" s="54" t="str">
        <f t="shared" si="186"/>
        <v>Sales</v>
      </c>
    </row>
    <row r="1143" spans="17:72">
      <c r="Q1143" s="18">
        <v>10.48</v>
      </c>
      <c r="R1143" s="56" t="str">
        <f t="shared" si="185"/>
        <v>Yes</v>
      </c>
      <c r="W1143" s="18" t="s">
        <v>422</v>
      </c>
      <c r="X1143" s="54" t="str">
        <f>VLOOKUP(W1143,Employees!$A$1:$B$601,2,FALSE)</f>
        <v>Tanmay Prusty</v>
      </c>
      <c r="AW1143" s="54"/>
      <c r="AX1143" s="54"/>
      <c r="BI1143" s="48"/>
      <c r="BJ1143" s="38"/>
      <c r="BK1143" s="38"/>
      <c r="BL1143" s="38"/>
      <c r="BM1143"/>
      <c r="BN1143" s="48"/>
      <c r="BR1143" s="18" t="s">
        <v>422</v>
      </c>
      <c r="BS1143" s="18" t="s">
        <v>3932</v>
      </c>
      <c r="BT1143" s="54" t="str">
        <f t="shared" si="186"/>
        <v>Sales</v>
      </c>
    </row>
    <row r="1144" spans="17:72">
      <c r="Q1144" s="19">
        <v>6.65</v>
      </c>
      <c r="R1144" s="56" t="str">
        <f t="shared" si="185"/>
        <v>Yes</v>
      </c>
      <c r="W1144" s="19" t="s">
        <v>422</v>
      </c>
      <c r="X1144" s="54" t="str">
        <f>VLOOKUP(W1144,Employees!$A$1:$B$601,2,FALSE)</f>
        <v>Tanmay Prusty</v>
      </c>
      <c r="AW1144" s="54"/>
      <c r="AX1144" s="54"/>
      <c r="BI1144" s="48"/>
      <c r="BJ1144" s="38"/>
      <c r="BK1144" s="38"/>
      <c r="BL1144" s="38"/>
      <c r="BM1144"/>
      <c r="BN1144" s="48"/>
      <c r="BR1144" s="19" t="s">
        <v>422</v>
      </c>
      <c r="BS1144" s="19" t="s">
        <v>3933</v>
      </c>
      <c r="BT1144" s="54" t="str">
        <f t="shared" si="186"/>
        <v>Sales</v>
      </c>
    </row>
    <row r="1145" spans="17:72">
      <c r="Q1145" s="18">
        <v>9.01</v>
      </c>
      <c r="R1145" s="56" t="str">
        <f t="shared" si="185"/>
        <v>Yes</v>
      </c>
      <c r="W1145" s="18" t="s">
        <v>422</v>
      </c>
      <c r="X1145" s="54" t="str">
        <f>VLOOKUP(W1145,Employees!$A$1:$B$601,2,FALSE)</f>
        <v>Tanmay Prusty</v>
      </c>
      <c r="AW1145" s="54"/>
      <c r="AX1145" s="54"/>
      <c r="BI1145" s="48"/>
      <c r="BJ1145" s="38"/>
      <c r="BK1145" s="38"/>
      <c r="BL1145" s="38"/>
      <c r="BM1145"/>
      <c r="BN1145" s="48"/>
      <c r="BR1145" s="18" t="s">
        <v>422</v>
      </c>
      <c r="BS1145" s="18" t="s">
        <v>3934</v>
      </c>
      <c r="BT1145" s="54" t="str">
        <f t="shared" si="186"/>
        <v>Sales</v>
      </c>
    </row>
    <row r="1146" spans="17:72">
      <c r="Q1146" s="19">
        <v>10.27</v>
      </c>
      <c r="R1146" s="56" t="str">
        <f t="shared" si="185"/>
        <v>Yes</v>
      </c>
      <c r="W1146" s="19" t="s">
        <v>422</v>
      </c>
      <c r="X1146" s="54" t="str">
        <f>VLOOKUP(W1146,Employees!$A$1:$B$601,2,FALSE)</f>
        <v>Tanmay Prusty</v>
      </c>
      <c r="AW1146" s="54"/>
      <c r="AX1146" s="54"/>
      <c r="BI1146" s="48"/>
      <c r="BJ1146" s="38"/>
      <c r="BK1146" s="38"/>
      <c r="BL1146" s="38"/>
      <c r="BM1146"/>
      <c r="BN1146" s="48"/>
      <c r="BR1146" s="19" t="s">
        <v>422</v>
      </c>
      <c r="BS1146" s="19" t="s">
        <v>3935</v>
      </c>
      <c r="BT1146" s="54" t="str">
        <f t="shared" si="186"/>
        <v>Sales</v>
      </c>
    </row>
    <row r="1147" spans="17:72">
      <c r="Q1147" s="18">
        <v>7.35</v>
      </c>
      <c r="R1147" s="56" t="str">
        <f t="shared" si="185"/>
        <v>Yes</v>
      </c>
      <c r="W1147" s="18" t="s">
        <v>422</v>
      </c>
      <c r="X1147" s="54" t="str">
        <f>VLOOKUP(W1147,Employees!$A$1:$B$601,2,FALSE)</f>
        <v>Tanmay Prusty</v>
      </c>
      <c r="AW1147" s="54"/>
      <c r="AX1147" s="54"/>
      <c r="BI1147" s="48"/>
      <c r="BJ1147" s="38"/>
      <c r="BK1147" s="38"/>
      <c r="BL1147" s="38"/>
      <c r="BM1147"/>
      <c r="BN1147" s="48"/>
      <c r="BR1147" s="18" t="s">
        <v>422</v>
      </c>
      <c r="BS1147" s="18" t="s">
        <v>3936</v>
      </c>
      <c r="BT1147" s="54" t="str">
        <f t="shared" si="186"/>
        <v>Sales</v>
      </c>
    </row>
    <row r="1148" spans="17:72">
      <c r="Q1148" s="19">
        <v>6.73</v>
      </c>
      <c r="R1148" s="56" t="str">
        <f t="shared" si="185"/>
        <v>Yes</v>
      </c>
      <c r="W1148" s="19" t="s">
        <v>422</v>
      </c>
      <c r="X1148" s="54" t="str">
        <f>VLOOKUP(W1148,Employees!$A$1:$B$601,2,FALSE)</f>
        <v>Tanmay Prusty</v>
      </c>
      <c r="AW1148" s="54"/>
      <c r="AX1148" s="54"/>
      <c r="BI1148" s="48"/>
      <c r="BJ1148" s="38"/>
      <c r="BK1148" s="38"/>
      <c r="BL1148" s="38"/>
      <c r="BM1148"/>
      <c r="BN1148" s="48"/>
      <c r="BR1148" s="19" t="s">
        <v>422</v>
      </c>
      <c r="BS1148" s="19" t="s">
        <v>3937</v>
      </c>
      <c r="BT1148" s="54" t="str">
        <f t="shared" si="186"/>
        <v>Sales</v>
      </c>
    </row>
    <row r="1149" spans="17:72">
      <c r="Q1149" s="18">
        <v>7.46</v>
      </c>
      <c r="R1149" s="56" t="str">
        <f t="shared" si="185"/>
        <v>Yes</v>
      </c>
      <c r="W1149" s="18" t="s">
        <v>422</v>
      </c>
      <c r="X1149" s="54" t="str">
        <f>VLOOKUP(W1149,Employees!$A$1:$B$601,2,FALSE)</f>
        <v>Tanmay Prusty</v>
      </c>
      <c r="AW1149" s="54"/>
      <c r="AX1149" s="54"/>
      <c r="BI1149" s="48"/>
      <c r="BJ1149" s="38"/>
      <c r="BK1149" s="38"/>
      <c r="BL1149" s="38"/>
      <c r="BM1149"/>
      <c r="BN1149" s="48"/>
      <c r="BR1149" s="18" t="s">
        <v>422</v>
      </c>
      <c r="BS1149" s="18" t="s">
        <v>3938</v>
      </c>
      <c r="BT1149" s="54" t="str">
        <f t="shared" si="186"/>
        <v>Sales</v>
      </c>
    </row>
    <row r="1150" spans="17:72">
      <c r="Q1150" s="19">
        <v>10.59</v>
      </c>
      <c r="R1150" s="56" t="str">
        <f t="shared" si="185"/>
        <v>Yes</v>
      </c>
      <c r="W1150" s="19" t="s">
        <v>422</v>
      </c>
      <c r="X1150" s="54" t="str">
        <f>VLOOKUP(W1150,Employees!$A$1:$B$601,2,FALSE)</f>
        <v>Tanmay Prusty</v>
      </c>
      <c r="AW1150" s="54"/>
      <c r="AX1150" s="54"/>
      <c r="BI1150" s="48"/>
      <c r="BJ1150" s="38"/>
      <c r="BK1150" s="38"/>
      <c r="BL1150" s="38"/>
      <c r="BM1150"/>
      <c r="BN1150" s="48"/>
      <c r="BR1150" s="19" t="s">
        <v>422</v>
      </c>
      <c r="BS1150" s="19" t="s">
        <v>3939</v>
      </c>
      <c r="BT1150" s="54" t="str">
        <f t="shared" si="186"/>
        <v>Sales</v>
      </c>
    </row>
    <row r="1151" spans="17:72">
      <c r="Q1151" s="18">
        <v>6.62</v>
      </c>
      <c r="R1151" s="56" t="str">
        <f t="shared" si="185"/>
        <v>Yes</v>
      </c>
      <c r="W1151" s="18" t="s">
        <v>422</v>
      </c>
      <c r="X1151" s="54" t="str">
        <f>VLOOKUP(W1151,Employees!$A$1:$B$601,2,FALSE)</f>
        <v>Tanmay Prusty</v>
      </c>
      <c r="AW1151" s="54"/>
      <c r="AX1151" s="54"/>
      <c r="BI1151" s="48"/>
      <c r="BJ1151" s="38"/>
      <c r="BK1151" s="38"/>
      <c r="BL1151" s="38"/>
      <c r="BM1151"/>
      <c r="BN1151" s="48"/>
      <c r="BR1151" s="18" t="s">
        <v>422</v>
      </c>
      <c r="BS1151" s="18" t="s">
        <v>3940</v>
      </c>
      <c r="BT1151" s="54" t="str">
        <f t="shared" si="186"/>
        <v>Sales</v>
      </c>
    </row>
    <row r="1152" spans="17:72">
      <c r="Q1152" s="19">
        <v>8.31</v>
      </c>
      <c r="R1152" s="56" t="str">
        <f t="shared" si="185"/>
        <v>Yes</v>
      </c>
      <c r="W1152" s="19" t="s">
        <v>422</v>
      </c>
      <c r="X1152" s="54" t="str">
        <f>VLOOKUP(W1152,Employees!$A$1:$B$601,2,FALSE)</f>
        <v>Tanmay Prusty</v>
      </c>
      <c r="AW1152" s="54"/>
      <c r="AX1152" s="54"/>
      <c r="BI1152" s="48"/>
      <c r="BJ1152" s="38"/>
      <c r="BK1152" s="38"/>
      <c r="BL1152" s="38"/>
      <c r="BM1152"/>
      <c r="BN1152" s="48"/>
      <c r="BR1152" s="19" t="s">
        <v>422</v>
      </c>
      <c r="BS1152" s="19" t="s">
        <v>3942</v>
      </c>
      <c r="BT1152" s="54" t="str">
        <f t="shared" si="186"/>
        <v>Sales</v>
      </c>
    </row>
    <row r="1153" spans="17:72">
      <c r="Q1153" s="18">
        <v>9.4600000000000009</v>
      </c>
      <c r="R1153" s="56" t="str">
        <f t="shared" si="185"/>
        <v>Yes</v>
      </c>
      <c r="W1153" s="18" t="s">
        <v>422</v>
      </c>
      <c r="X1153" s="54" t="str">
        <f>VLOOKUP(W1153,Employees!$A$1:$B$601,2,FALSE)</f>
        <v>Tanmay Prusty</v>
      </c>
      <c r="AW1153" s="54"/>
      <c r="AX1153" s="54"/>
      <c r="BI1153" s="48"/>
      <c r="BJ1153" s="38"/>
      <c r="BK1153" s="38"/>
      <c r="BL1153" s="38"/>
      <c r="BM1153"/>
      <c r="BN1153" s="48"/>
      <c r="BR1153" s="18" t="s">
        <v>422</v>
      </c>
      <c r="BS1153" s="18" t="s">
        <v>3943</v>
      </c>
      <c r="BT1153" s="54" t="str">
        <f t="shared" si="186"/>
        <v>Sales</v>
      </c>
    </row>
    <row r="1154" spans="17:72">
      <c r="Q1154" s="19">
        <v>7.49</v>
      </c>
      <c r="R1154" s="56" t="str">
        <f t="shared" si="185"/>
        <v>Yes</v>
      </c>
      <c r="W1154" s="19" t="s">
        <v>422</v>
      </c>
      <c r="X1154" s="54" t="str">
        <f>VLOOKUP(W1154,Employees!$A$1:$B$601,2,FALSE)</f>
        <v>Tanmay Prusty</v>
      </c>
      <c r="AW1154" s="54"/>
      <c r="AX1154" s="54"/>
      <c r="BI1154" s="48"/>
      <c r="BJ1154" s="38"/>
      <c r="BK1154" s="38"/>
      <c r="BL1154" s="38"/>
      <c r="BM1154"/>
      <c r="BN1154" s="48"/>
      <c r="BR1154" s="19" t="s">
        <v>422</v>
      </c>
      <c r="BS1154" s="19" t="s">
        <v>3944</v>
      </c>
      <c r="BT1154" s="54" t="str">
        <f t="shared" si="186"/>
        <v>Sales</v>
      </c>
    </row>
    <row r="1155" spans="17:72">
      <c r="Q1155" s="18">
        <v>7.62</v>
      </c>
      <c r="R1155" s="56" t="str">
        <f t="shared" ref="R1155:R1218" si="187">IF(ISBLANK(Q1155),"No","Yes")</f>
        <v>Yes</v>
      </c>
      <c r="W1155" s="18" t="s">
        <v>422</v>
      </c>
      <c r="X1155" s="54" t="str">
        <f>VLOOKUP(W1155,Employees!$A$1:$B$601,2,FALSE)</f>
        <v>Tanmay Prusty</v>
      </c>
      <c r="AW1155" s="54"/>
      <c r="AX1155" s="54"/>
      <c r="BI1155" s="48"/>
      <c r="BJ1155" s="38"/>
      <c r="BK1155" s="38"/>
      <c r="BL1155" s="38"/>
      <c r="BM1155"/>
      <c r="BN1155" s="48"/>
      <c r="BR1155" s="18" t="s">
        <v>422</v>
      </c>
      <c r="BS1155" s="18" t="s">
        <v>3945</v>
      </c>
      <c r="BT1155" s="54" t="str">
        <f t="shared" ref="BT1155:BT1218" si="188">VLOOKUP(BR1155,$BP$2:$BQ$601,2,FALSE)</f>
        <v>Sales</v>
      </c>
    </row>
    <row r="1156" spans="17:72">
      <c r="Q1156" s="19">
        <v>9.6300000000000008</v>
      </c>
      <c r="R1156" s="56" t="str">
        <f t="shared" si="187"/>
        <v>Yes</v>
      </c>
      <c r="W1156" s="19" t="s">
        <v>422</v>
      </c>
      <c r="X1156" s="54" t="str">
        <f>VLOOKUP(W1156,Employees!$A$1:$B$601,2,FALSE)</f>
        <v>Tanmay Prusty</v>
      </c>
      <c r="AW1156" s="54"/>
      <c r="AX1156" s="54"/>
      <c r="BI1156" s="48"/>
      <c r="BJ1156" s="38"/>
      <c r="BK1156" s="38"/>
      <c r="BL1156" s="38"/>
      <c r="BM1156"/>
      <c r="BN1156" s="48"/>
      <c r="BR1156" s="19" t="s">
        <v>422</v>
      </c>
      <c r="BS1156" s="19" t="s">
        <v>3946</v>
      </c>
      <c r="BT1156" s="54" t="str">
        <f t="shared" si="188"/>
        <v>Sales</v>
      </c>
    </row>
    <row r="1157" spans="17:72">
      <c r="Q1157" s="18">
        <v>9.2100000000000009</v>
      </c>
      <c r="R1157" s="56" t="str">
        <f t="shared" si="187"/>
        <v>Yes</v>
      </c>
      <c r="W1157" s="18" t="s">
        <v>422</v>
      </c>
      <c r="X1157" s="54" t="str">
        <f>VLOOKUP(W1157,Employees!$A$1:$B$601,2,FALSE)</f>
        <v>Tanmay Prusty</v>
      </c>
      <c r="AW1157" s="54"/>
      <c r="AX1157" s="54"/>
      <c r="BI1157" s="48"/>
      <c r="BJ1157" s="38"/>
      <c r="BK1157" s="38"/>
      <c r="BL1157" s="38"/>
      <c r="BM1157"/>
      <c r="BN1157" s="48"/>
      <c r="BR1157" s="18" t="s">
        <v>422</v>
      </c>
      <c r="BS1157" s="18" t="s">
        <v>3947</v>
      </c>
      <c r="BT1157" s="54" t="str">
        <f t="shared" si="188"/>
        <v>Sales</v>
      </c>
    </row>
    <row r="1158" spans="17:72">
      <c r="Q1158" s="19">
        <v>8.4499999999999993</v>
      </c>
      <c r="R1158" s="56" t="str">
        <f t="shared" si="187"/>
        <v>Yes</v>
      </c>
      <c r="W1158" s="19" t="s">
        <v>422</v>
      </c>
      <c r="X1158" s="54" t="str">
        <f>VLOOKUP(W1158,Employees!$A$1:$B$601,2,FALSE)</f>
        <v>Tanmay Prusty</v>
      </c>
      <c r="AW1158" s="54"/>
      <c r="AX1158" s="54"/>
      <c r="BI1158" s="48"/>
      <c r="BJ1158" s="38"/>
      <c r="BK1158" s="38"/>
      <c r="BL1158" s="38"/>
      <c r="BM1158"/>
      <c r="BN1158" s="48"/>
      <c r="BR1158" s="19" t="s">
        <v>422</v>
      </c>
      <c r="BS1158" s="19" t="s">
        <v>3948</v>
      </c>
      <c r="BT1158" s="54" t="str">
        <f t="shared" si="188"/>
        <v>Sales</v>
      </c>
    </row>
    <row r="1159" spans="17:72">
      <c r="Q1159" s="18">
        <v>9.67</v>
      </c>
      <c r="R1159" s="56" t="str">
        <f t="shared" si="187"/>
        <v>Yes</v>
      </c>
      <c r="W1159" s="18" t="s">
        <v>422</v>
      </c>
      <c r="X1159" s="54" t="str">
        <f>VLOOKUP(W1159,Employees!$A$1:$B$601,2,FALSE)</f>
        <v>Tanmay Prusty</v>
      </c>
      <c r="AW1159" s="54"/>
      <c r="AX1159" s="54"/>
      <c r="BI1159" s="48"/>
      <c r="BJ1159" s="38"/>
      <c r="BK1159" s="38"/>
      <c r="BL1159" s="38"/>
      <c r="BM1159"/>
      <c r="BN1159" s="48"/>
      <c r="BR1159" s="18" t="s">
        <v>422</v>
      </c>
      <c r="BS1159" s="18" t="s">
        <v>3949</v>
      </c>
      <c r="BT1159" s="54" t="str">
        <f t="shared" si="188"/>
        <v>Sales</v>
      </c>
    </row>
    <row r="1160" spans="17:72">
      <c r="Q1160" s="19">
        <v>10.86</v>
      </c>
      <c r="R1160" s="56" t="str">
        <f t="shared" si="187"/>
        <v>Yes</v>
      </c>
      <c r="W1160" s="19" t="s">
        <v>422</v>
      </c>
      <c r="X1160" s="54" t="str">
        <f>VLOOKUP(W1160,Employees!$A$1:$B$601,2,FALSE)</f>
        <v>Tanmay Prusty</v>
      </c>
      <c r="AW1160" s="54"/>
      <c r="AX1160" s="54"/>
      <c r="BI1160" s="48"/>
      <c r="BJ1160" s="38"/>
      <c r="BK1160" s="38"/>
      <c r="BL1160" s="38"/>
      <c r="BM1160"/>
      <c r="BN1160" s="48"/>
      <c r="BR1160" s="19" t="s">
        <v>422</v>
      </c>
      <c r="BS1160" s="19" t="s">
        <v>3950</v>
      </c>
      <c r="BT1160" s="54" t="str">
        <f t="shared" si="188"/>
        <v>Sales</v>
      </c>
    </row>
    <row r="1161" spans="17:72">
      <c r="Q1161" s="18">
        <v>10.48</v>
      </c>
      <c r="R1161" s="56" t="str">
        <f t="shared" si="187"/>
        <v>Yes</v>
      </c>
      <c r="W1161" s="18" t="s">
        <v>422</v>
      </c>
      <c r="X1161" s="54" t="str">
        <f>VLOOKUP(W1161,Employees!$A$1:$B$601,2,FALSE)</f>
        <v>Tanmay Prusty</v>
      </c>
      <c r="AW1161" s="54"/>
      <c r="AX1161" s="54"/>
      <c r="BI1161" s="48"/>
      <c r="BJ1161" s="38"/>
      <c r="BK1161" s="38"/>
      <c r="BL1161" s="38"/>
      <c r="BM1161"/>
      <c r="BN1161" s="48"/>
      <c r="BR1161" s="18" t="s">
        <v>422</v>
      </c>
      <c r="BS1161" s="18" t="s">
        <v>3951</v>
      </c>
      <c r="BT1161" s="54" t="str">
        <f t="shared" si="188"/>
        <v>Sales</v>
      </c>
    </row>
    <row r="1162" spans="17:72">
      <c r="Q1162" s="19"/>
      <c r="R1162" s="56" t="str">
        <f t="shared" si="187"/>
        <v>No</v>
      </c>
      <c r="W1162" s="19" t="s">
        <v>422</v>
      </c>
      <c r="X1162" s="54" t="str">
        <f>VLOOKUP(W1162,Employees!$A$1:$B$601,2,FALSE)</f>
        <v>Tanmay Prusty</v>
      </c>
      <c r="AW1162" s="54"/>
      <c r="AX1162" s="54"/>
      <c r="BI1162" s="48"/>
      <c r="BJ1162" s="38"/>
      <c r="BK1162" s="38"/>
      <c r="BL1162" s="38"/>
      <c r="BM1162"/>
      <c r="BN1162" s="48"/>
      <c r="BR1162" s="19" t="s">
        <v>422</v>
      </c>
      <c r="BS1162" s="19" t="s">
        <v>3952</v>
      </c>
      <c r="BT1162" s="54" t="str">
        <f t="shared" si="188"/>
        <v>Sales</v>
      </c>
    </row>
    <row r="1163" spans="17:72">
      <c r="Q1163" s="18">
        <v>9.8800000000000008</v>
      </c>
      <c r="R1163" s="56" t="str">
        <f t="shared" si="187"/>
        <v>Yes</v>
      </c>
      <c r="W1163" s="18" t="s">
        <v>839</v>
      </c>
      <c r="X1163" s="54" t="str">
        <f>VLOOKUP(W1163,Employees!$A$1:$B$601,2,FALSE)</f>
        <v>Puspita Padhi</v>
      </c>
      <c r="AW1163" s="54"/>
      <c r="AX1163" s="54"/>
      <c r="BI1163" s="48"/>
      <c r="BJ1163" s="38"/>
      <c r="BK1163" s="38"/>
      <c r="BL1163" s="38"/>
      <c r="BM1163"/>
      <c r="BN1163" s="48"/>
      <c r="BR1163" s="18" t="s">
        <v>839</v>
      </c>
      <c r="BS1163" s="18" t="s">
        <v>3953</v>
      </c>
      <c r="BT1163" s="54" t="str">
        <f t="shared" si="188"/>
        <v>product</v>
      </c>
    </row>
    <row r="1164" spans="17:72">
      <c r="Q1164" s="19">
        <v>9.0299999999999994</v>
      </c>
      <c r="R1164" s="56" t="str">
        <f t="shared" si="187"/>
        <v>Yes</v>
      </c>
      <c r="W1164" s="19" t="s">
        <v>839</v>
      </c>
      <c r="X1164" s="54" t="str">
        <f>VLOOKUP(W1164,Employees!$A$1:$B$601,2,FALSE)</f>
        <v>Puspita Padhi</v>
      </c>
      <c r="AW1164" s="54"/>
      <c r="AX1164" s="54"/>
      <c r="BI1164" s="48"/>
      <c r="BJ1164" s="38"/>
      <c r="BK1164" s="38"/>
      <c r="BL1164" s="38"/>
      <c r="BM1164"/>
      <c r="BN1164" s="48"/>
      <c r="BR1164" s="19" t="s">
        <v>839</v>
      </c>
      <c r="BS1164" s="19" t="s">
        <v>3954</v>
      </c>
      <c r="BT1164" s="54" t="str">
        <f t="shared" si="188"/>
        <v>product</v>
      </c>
    </row>
    <row r="1165" spans="17:72">
      <c r="Q1165" s="18">
        <v>6.9</v>
      </c>
      <c r="R1165" s="56" t="str">
        <f t="shared" si="187"/>
        <v>Yes</v>
      </c>
      <c r="W1165" s="18" t="s">
        <v>839</v>
      </c>
      <c r="X1165" s="54" t="str">
        <f>VLOOKUP(W1165,Employees!$A$1:$B$601,2,FALSE)</f>
        <v>Puspita Padhi</v>
      </c>
      <c r="AW1165" s="54"/>
      <c r="AX1165" s="54"/>
      <c r="BI1165" s="48"/>
      <c r="BJ1165" s="38"/>
      <c r="BK1165" s="38"/>
      <c r="BL1165" s="38"/>
      <c r="BM1165"/>
      <c r="BN1165" s="48"/>
      <c r="BR1165" s="18" t="s">
        <v>839</v>
      </c>
      <c r="BS1165" s="18" t="s">
        <v>3955</v>
      </c>
      <c r="BT1165" s="54" t="str">
        <f t="shared" si="188"/>
        <v>product</v>
      </c>
    </row>
    <row r="1166" spans="17:72">
      <c r="Q1166" s="19">
        <v>11.11</v>
      </c>
      <c r="R1166" s="56" t="str">
        <f t="shared" si="187"/>
        <v>Yes</v>
      </c>
      <c r="W1166" s="19" t="s">
        <v>839</v>
      </c>
      <c r="X1166" s="54" t="str">
        <f>VLOOKUP(W1166,Employees!$A$1:$B$601,2,FALSE)</f>
        <v>Puspita Padhi</v>
      </c>
      <c r="AW1166" s="54"/>
      <c r="AX1166" s="54"/>
      <c r="BI1166" s="48"/>
      <c r="BJ1166" s="38"/>
      <c r="BK1166" s="38"/>
      <c r="BL1166" s="38"/>
      <c r="BM1166"/>
      <c r="BN1166" s="48"/>
      <c r="BR1166" s="19" t="s">
        <v>839</v>
      </c>
      <c r="BS1166" s="19" t="s">
        <v>3957</v>
      </c>
      <c r="BT1166" s="54" t="str">
        <f t="shared" si="188"/>
        <v>product</v>
      </c>
    </row>
    <row r="1167" spans="17:72">
      <c r="Q1167" s="18">
        <v>10.029999999999999</v>
      </c>
      <c r="R1167" s="56" t="str">
        <f t="shared" si="187"/>
        <v>Yes</v>
      </c>
      <c r="W1167" s="18" t="s">
        <v>839</v>
      </c>
      <c r="X1167" s="54" t="str">
        <f>VLOOKUP(W1167,Employees!$A$1:$B$601,2,FALSE)</f>
        <v>Puspita Padhi</v>
      </c>
      <c r="AW1167" s="54"/>
      <c r="AX1167" s="54"/>
      <c r="BI1167" s="48"/>
      <c r="BJ1167" s="38"/>
      <c r="BK1167" s="38"/>
      <c r="BL1167" s="38"/>
      <c r="BM1167"/>
      <c r="BN1167" s="48"/>
      <c r="BR1167" s="18" t="s">
        <v>839</v>
      </c>
      <c r="BS1167" s="18" t="s">
        <v>3958</v>
      </c>
      <c r="BT1167" s="54" t="str">
        <f t="shared" si="188"/>
        <v>product</v>
      </c>
    </row>
    <row r="1168" spans="17:72">
      <c r="Q1168" s="19">
        <v>8.69</v>
      </c>
      <c r="R1168" s="56" t="str">
        <f t="shared" si="187"/>
        <v>Yes</v>
      </c>
      <c r="W1168" s="19" t="s">
        <v>839</v>
      </c>
      <c r="X1168" s="54" t="str">
        <f>VLOOKUP(W1168,Employees!$A$1:$B$601,2,FALSE)</f>
        <v>Puspita Padhi</v>
      </c>
      <c r="AW1168" s="54"/>
      <c r="AX1168" s="54"/>
      <c r="BI1168" s="48"/>
      <c r="BJ1168" s="38"/>
      <c r="BK1168" s="38"/>
      <c r="BL1168" s="38"/>
      <c r="BM1168"/>
      <c r="BN1168" s="48"/>
      <c r="BR1168" s="19" t="s">
        <v>839</v>
      </c>
      <c r="BS1168" s="19" t="s">
        <v>3959</v>
      </c>
      <c r="BT1168" s="54" t="str">
        <f t="shared" si="188"/>
        <v>product</v>
      </c>
    </row>
    <row r="1169" spans="17:72">
      <c r="Q1169" s="18">
        <v>11.48</v>
      </c>
      <c r="R1169" s="56" t="str">
        <f t="shared" si="187"/>
        <v>Yes</v>
      </c>
      <c r="W1169" s="18" t="s">
        <v>839</v>
      </c>
      <c r="X1169" s="54" t="str">
        <f>VLOOKUP(W1169,Employees!$A$1:$B$601,2,FALSE)</f>
        <v>Puspita Padhi</v>
      </c>
      <c r="AW1169" s="54"/>
      <c r="AX1169" s="54"/>
      <c r="BI1169" s="48"/>
      <c r="BJ1169" s="38"/>
      <c r="BK1169" s="38"/>
      <c r="BL1169" s="38"/>
      <c r="BM1169"/>
      <c r="BN1169" s="48"/>
      <c r="BR1169" s="18" t="s">
        <v>839</v>
      </c>
      <c r="BS1169" s="18" t="s">
        <v>3961</v>
      </c>
      <c r="BT1169" s="54" t="str">
        <f t="shared" si="188"/>
        <v>product</v>
      </c>
    </row>
    <row r="1170" spans="17:72">
      <c r="Q1170" s="19">
        <v>6.76</v>
      </c>
      <c r="R1170" s="56" t="str">
        <f t="shared" si="187"/>
        <v>Yes</v>
      </c>
      <c r="W1170" s="19" t="s">
        <v>839</v>
      </c>
      <c r="X1170" s="54" t="str">
        <f>VLOOKUP(W1170,Employees!$A$1:$B$601,2,FALSE)</f>
        <v>Puspita Padhi</v>
      </c>
      <c r="AW1170" s="54"/>
      <c r="AX1170" s="54"/>
      <c r="BI1170" s="48"/>
      <c r="BJ1170" s="38"/>
      <c r="BK1170" s="38"/>
      <c r="BL1170" s="38"/>
      <c r="BM1170"/>
      <c r="BN1170" s="48"/>
      <c r="BR1170" s="19" t="s">
        <v>839</v>
      </c>
      <c r="BS1170" s="19" t="s">
        <v>3962</v>
      </c>
      <c r="BT1170" s="54" t="str">
        <f t="shared" si="188"/>
        <v>product</v>
      </c>
    </row>
    <row r="1171" spans="17:72">
      <c r="Q1171" s="18">
        <v>10.7</v>
      </c>
      <c r="R1171" s="56" t="str">
        <f t="shared" si="187"/>
        <v>Yes</v>
      </c>
      <c r="W1171" s="18" t="s">
        <v>839</v>
      </c>
      <c r="X1171" s="54" t="str">
        <f>VLOOKUP(W1171,Employees!$A$1:$B$601,2,FALSE)</f>
        <v>Puspita Padhi</v>
      </c>
      <c r="AW1171" s="54"/>
      <c r="AX1171" s="54"/>
      <c r="BI1171" s="48"/>
      <c r="BJ1171" s="38"/>
      <c r="BK1171" s="38"/>
      <c r="BL1171" s="38"/>
      <c r="BM1171"/>
      <c r="BN1171" s="48"/>
      <c r="BR1171" s="18" t="s">
        <v>839</v>
      </c>
      <c r="BS1171" s="18" t="s">
        <v>3963</v>
      </c>
      <c r="BT1171" s="54" t="str">
        <f t="shared" si="188"/>
        <v>product</v>
      </c>
    </row>
    <row r="1172" spans="17:72">
      <c r="Q1172" s="19">
        <v>9.1</v>
      </c>
      <c r="R1172" s="56" t="str">
        <f t="shared" si="187"/>
        <v>Yes</v>
      </c>
      <c r="W1172" s="19" t="s">
        <v>839</v>
      </c>
      <c r="X1172" s="54" t="str">
        <f>VLOOKUP(W1172,Employees!$A$1:$B$601,2,FALSE)</f>
        <v>Puspita Padhi</v>
      </c>
      <c r="AW1172" s="54"/>
      <c r="AX1172" s="54"/>
      <c r="BI1172" s="48"/>
      <c r="BJ1172" s="38"/>
      <c r="BK1172" s="38"/>
      <c r="BL1172" s="38"/>
      <c r="BM1172"/>
      <c r="BN1172" s="48"/>
      <c r="BR1172" s="19" t="s">
        <v>839</v>
      </c>
      <c r="BS1172" s="19" t="s">
        <v>3964</v>
      </c>
      <c r="BT1172" s="54" t="str">
        <f t="shared" si="188"/>
        <v>product</v>
      </c>
    </row>
    <row r="1173" spans="17:72">
      <c r="Q1173" s="18">
        <v>6.93</v>
      </c>
      <c r="R1173" s="56" t="str">
        <f t="shared" si="187"/>
        <v>Yes</v>
      </c>
      <c r="W1173" s="18" t="s">
        <v>839</v>
      </c>
      <c r="X1173" s="54" t="str">
        <f>VLOOKUP(W1173,Employees!$A$1:$B$601,2,FALSE)</f>
        <v>Puspita Padhi</v>
      </c>
      <c r="AW1173" s="54"/>
      <c r="AX1173" s="54"/>
      <c r="BI1173" s="48"/>
      <c r="BJ1173" s="38"/>
      <c r="BK1173" s="38"/>
      <c r="BL1173" s="38"/>
      <c r="BM1173"/>
      <c r="BN1173" s="48"/>
      <c r="BR1173" s="18" t="s">
        <v>839</v>
      </c>
      <c r="BS1173" s="18" t="s">
        <v>3965</v>
      </c>
      <c r="BT1173" s="54" t="str">
        <f t="shared" si="188"/>
        <v>product</v>
      </c>
    </row>
    <row r="1174" spans="17:72">
      <c r="Q1174" s="19">
        <v>7.87</v>
      </c>
      <c r="R1174" s="56" t="str">
        <f t="shared" si="187"/>
        <v>Yes</v>
      </c>
      <c r="W1174" s="19" t="s">
        <v>839</v>
      </c>
      <c r="X1174" s="54" t="str">
        <f>VLOOKUP(W1174,Employees!$A$1:$B$601,2,FALSE)</f>
        <v>Puspita Padhi</v>
      </c>
      <c r="AW1174" s="54"/>
      <c r="AX1174" s="54"/>
      <c r="BI1174" s="48"/>
      <c r="BJ1174" s="38"/>
      <c r="BK1174" s="38"/>
      <c r="BL1174" s="38"/>
      <c r="BM1174"/>
      <c r="BN1174" s="48"/>
      <c r="BR1174" s="19" t="s">
        <v>839</v>
      </c>
      <c r="BS1174" s="19" t="s">
        <v>3967</v>
      </c>
      <c r="BT1174" s="54" t="str">
        <f t="shared" si="188"/>
        <v>product</v>
      </c>
    </row>
    <row r="1175" spans="17:72">
      <c r="Q1175" s="18">
        <v>10.82</v>
      </c>
      <c r="R1175" s="56" t="str">
        <f t="shared" si="187"/>
        <v>Yes</v>
      </c>
      <c r="W1175" s="18" t="s">
        <v>839</v>
      </c>
      <c r="X1175" s="54" t="str">
        <f>VLOOKUP(W1175,Employees!$A$1:$B$601,2,FALSE)</f>
        <v>Puspita Padhi</v>
      </c>
      <c r="AW1175" s="54"/>
      <c r="AX1175" s="54"/>
      <c r="BI1175" s="48"/>
      <c r="BJ1175" s="38"/>
      <c r="BK1175" s="38"/>
      <c r="BL1175" s="38"/>
      <c r="BM1175"/>
      <c r="BN1175" s="48"/>
      <c r="BR1175" s="18" t="s">
        <v>839</v>
      </c>
      <c r="BS1175" s="18" t="s">
        <v>3968</v>
      </c>
      <c r="BT1175" s="54" t="str">
        <f t="shared" si="188"/>
        <v>product</v>
      </c>
    </row>
    <row r="1176" spans="17:72">
      <c r="Q1176" s="19">
        <v>8.9499999999999993</v>
      </c>
      <c r="R1176" s="56" t="str">
        <f t="shared" si="187"/>
        <v>Yes</v>
      </c>
      <c r="W1176" s="19" t="s">
        <v>839</v>
      </c>
      <c r="X1176" s="54" t="str">
        <f>VLOOKUP(W1176,Employees!$A$1:$B$601,2,FALSE)</f>
        <v>Puspita Padhi</v>
      </c>
      <c r="AW1176" s="54"/>
      <c r="AX1176" s="54"/>
      <c r="BI1176" s="48"/>
      <c r="BJ1176" s="38"/>
      <c r="BK1176" s="38"/>
      <c r="BL1176" s="38"/>
      <c r="BM1176"/>
      <c r="BN1176" s="48"/>
      <c r="BR1176" s="19" t="s">
        <v>839</v>
      </c>
      <c r="BS1176" s="19" t="s">
        <v>3969</v>
      </c>
      <c r="BT1176" s="54" t="str">
        <f t="shared" si="188"/>
        <v>product</v>
      </c>
    </row>
    <row r="1177" spans="17:72">
      <c r="Q1177" s="18">
        <v>7.71</v>
      </c>
      <c r="R1177" s="56" t="str">
        <f t="shared" si="187"/>
        <v>Yes</v>
      </c>
      <c r="W1177" s="18" t="s">
        <v>839</v>
      </c>
      <c r="X1177" s="54" t="str">
        <f>VLOOKUP(W1177,Employees!$A$1:$B$601,2,FALSE)</f>
        <v>Puspita Padhi</v>
      </c>
      <c r="AW1177" s="54"/>
      <c r="AX1177" s="54"/>
      <c r="BI1177" s="48"/>
      <c r="BJ1177" s="38"/>
      <c r="BK1177" s="38"/>
      <c r="BL1177" s="38"/>
      <c r="BM1177"/>
      <c r="BN1177" s="48"/>
      <c r="BR1177" s="18" t="s">
        <v>839</v>
      </c>
      <c r="BS1177" s="18" t="s">
        <v>3970</v>
      </c>
      <c r="BT1177" s="54" t="str">
        <f t="shared" si="188"/>
        <v>product</v>
      </c>
    </row>
    <row r="1178" spans="17:72">
      <c r="Q1178" s="19">
        <v>8.17</v>
      </c>
      <c r="R1178" s="56" t="str">
        <f t="shared" si="187"/>
        <v>Yes</v>
      </c>
      <c r="W1178" s="19" t="s">
        <v>839</v>
      </c>
      <c r="X1178" s="54" t="str">
        <f>VLOOKUP(W1178,Employees!$A$1:$B$601,2,FALSE)</f>
        <v>Puspita Padhi</v>
      </c>
      <c r="AW1178" s="54"/>
      <c r="AX1178" s="54"/>
      <c r="BI1178" s="48"/>
      <c r="BJ1178" s="38"/>
      <c r="BK1178" s="38"/>
      <c r="BL1178" s="38"/>
      <c r="BM1178"/>
      <c r="BN1178" s="48"/>
      <c r="BR1178" s="19" t="s">
        <v>839</v>
      </c>
      <c r="BS1178" s="19" t="s">
        <v>3971</v>
      </c>
      <c r="BT1178" s="54" t="str">
        <f t="shared" si="188"/>
        <v>product</v>
      </c>
    </row>
    <row r="1179" spans="17:72">
      <c r="Q1179" s="18">
        <v>10.89</v>
      </c>
      <c r="R1179" s="56" t="str">
        <f t="shared" si="187"/>
        <v>Yes</v>
      </c>
      <c r="W1179" s="18" t="s">
        <v>839</v>
      </c>
      <c r="X1179" s="54" t="str">
        <f>VLOOKUP(W1179,Employees!$A$1:$B$601,2,FALSE)</f>
        <v>Puspita Padhi</v>
      </c>
      <c r="AW1179" s="54"/>
      <c r="AX1179" s="54"/>
      <c r="BI1179" s="48"/>
      <c r="BJ1179" s="38"/>
      <c r="BK1179" s="38"/>
      <c r="BL1179" s="38"/>
      <c r="BM1179"/>
      <c r="BN1179" s="48"/>
      <c r="BR1179" s="18" t="s">
        <v>839</v>
      </c>
      <c r="BS1179" s="18" t="s">
        <v>3972</v>
      </c>
      <c r="BT1179" s="54" t="str">
        <f t="shared" si="188"/>
        <v>product</v>
      </c>
    </row>
    <row r="1180" spans="17:72">
      <c r="Q1180" s="19">
        <v>8.07</v>
      </c>
      <c r="R1180" s="56" t="str">
        <f t="shared" si="187"/>
        <v>Yes</v>
      </c>
      <c r="W1180" s="19" t="s">
        <v>839</v>
      </c>
      <c r="X1180" s="54" t="str">
        <f>VLOOKUP(W1180,Employees!$A$1:$B$601,2,FALSE)</f>
        <v>Puspita Padhi</v>
      </c>
      <c r="AW1180" s="54"/>
      <c r="AX1180" s="54"/>
      <c r="BI1180" s="48"/>
      <c r="BJ1180" s="38"/>
      <c r="BK1180" s="38"/>
      <c r="BL1180" s="38"/>
      <c r="BM1180"/>
      <c r="BN1180" s="48"/>
      <c r="BR1180" s="19" t="s">
        <v>839</v>
      </c>
      <c r="BS1180" s="19" t="s">
        <v>3973</v>
      </c>
      <c r="BT1180" s="54" t="str">
        <f t="shared" si="188"/>
        <v>product</v>
      </c>
    </row>
    <row r="1181" spans="17:72">
      <c r="Q1181" s="18">
        <v>10.38</v>
      </c>
      <c r="R1181" s="56" t="str">
        <f t="shared" si="187"/>
        <v>Yes</v>
      </c>
      <c r="W1181" s="18" t="s">
        <v>839</v>
      </c>
      <c r="X1181" s="54" t="str">
        <f>VLOOKUP(W1181,Employees!$A$1:$B$601,2,FALSE)</f>
        <v>Puspita Padhi</v>
      </c>
      <c r="AW1181" s="54"/>
      <c r="AX1181" s="54"/>
      <c r="BI1181" s="48"/>
      <c r="BJ1181" s="38"/>
      <c r="BK1181" s="38"/>
      <c r="BL1181" s="38"/>
      <c r="BM1181"/>
      <c r="BN1181" s="48"/>
      <c r="BR1181" s="18" t="s">
        <v>839</v>
      </c>
      <c r="BS1181" s="18" t="s">
        <v>3974</v>
      </c>
      <c r="BT1181" s="54" t="str">
        <f t="shared" si="188"/>
        <v>product</v>
      </c>
    </row>
    <row r="1182" spans="17:72">
      <c r="Q1182" s="19">
        <v>7.03</v>
      </c>
      <c r="R1182" s="56" t="str">
        <f t="shared" si="187"/>
        <v>Yes</v>
      </c>
      <c r="W1182" s="19" t="s">
        <v>839</v>
      </c>
      <c r="X1182" s="54" t="str">
        <f>VLOOKUP(W1182,Employees!$A$1:$B$601,2,FALSE)</f>
        <v>Puspita Padhi</v>
      </c>
      <c r="AW1182" s="54"/>
      <c r="AX1182" s="54"/>
      <c r="BI1182" s="48"/>
      <c r="BJ1182" s="38"/>
      <c r="BK1182" s="38"/>
      <c r="BL1182" s="38"/>
      <c r="BM1182"/>
      <c r="BN1182" s="48"/>
      <c r="BR1182" s="19" t="s">
        <v>839</v>
      </c>
      <c r="BS1182" s="19" t="s">
        <v>3975</v>
      </c>
      <c r="BT1182" s="54" t="str">
        <f t="shared" si="188"/>
        <v>product</v>
      </c>
    </row>
    <row r="1183" spans="17:72">
      <c r="Q1183" s="18">
        <v>7</v>
      </c>
      <c r="R1183" s="56" t="str">
        <f t="shared" si="187"/>
        <v>Yes</v>
      </c>
      <c r="W1183" s="18" t="s">
        <v>839</v>
      </c>
      <c r="X1183" s="54" t="str">
        <f>VLOOKUP(W1183,Employees!$A$1:$B$601,2,FALSE)</f>
        <v>Puspita Padhi</v>
      </c>
      <c r="AW1183" s="54"/>
      <c r="AX1183" s="54"/>
      <c r="BI1183" s="48"/>
      <c r="BJ1183" s="38"/>
      <c r="BK1183" s="38"/>
      <c r="BL1183" s="38"/>
      <c r="BM1183"/>
      <c r="BN1183" s="48"/>
      <c r="BR1183" s="18" t="s">
        <v>839</v>
      </c>
      <c r="BS1183" s="18" t="s">
        <v>3976</v>
      </c>
      <c r="BT1183" s="54" t="str">
        <f t="shared" si="188"/>
        <v>product</v>
      </c>
    </row>
    <row r="1184" spans="17:72">
      <c r="Q1184" s="19">
        <v>8.19</v>
      </c>
      <c r="R1184" s="56" t="str">
        <f t="shared" si="187"/>
        <v>Yes</v>
      </c>
      <c r="W1184" s="19" t="s">
        <v>839</v>
      </c>
      <c r="X1184" s="54" t="str">
        <f>VLOOKUP(W1184,Employees!$A$1:$B$601,2,FALSE)</f>
        <v>Puspita Padhi</v>
      </c>
      <c r="AW1184" s="54"/>
      <c r="AX1184" s="54"/>
      <c r="BI1184" s="48"/>
      <c r="BJ1184" s="38"/>
      <c r="BK1184" s="38"/>
      <c r="BL1184" s="38"/>
      <c r="BM1184"/>
      <c r="BN1184" s="48"/>
      <c r="BR1184" s="19" t="s">
        <v>839</v>
      </c>
      <c r="BS1184" s="19" t="s">
        <v>3977</v>
      </c>
      <c r="BT1184" s="54" t="str">
        <f t="shared" si="188"/>
        <v>product</v>
      </c>
    </row>
    <row r="1185" spans="17:72">
      <c r="Q1185" s="18">
        <v>6.91</v>
      </c>
      <c r="R1185" s="56" t="str">
        <f t="shared" si="187"/>
        <v>Yes</v>
      </c>
      <c r="W1185" s="18" t="s">
        <v>839</v>
      </c>
      <c r="X1185" s="54" t="str">
        <f>VLOOKUP(W1185,Employees!$A$1:$B$601,2,FALSE)</f>
        <v>Puspita Padhi</v>
      </c>
      <c r="AW1185" s="54"/>
      <c r="AX1185" s="54"/>
      <c r="BI1185" s="48"/>
      <c r="BJ1185" s="38"/>
      <c r="BK1185" s="38"/>
      <c r="BL1185" s="38"/>
      <c r="BM1185"/>
      <c r="BN1185" s="48"/>
      <c r="BR1185" s="18" t="s">
        <v>839</v>
      </c>
      <c r="BS1185" s="18" t="s">
        <v>3978</v>
      </c>
      <c r="BT1185" s="54" t="str">
        <f t="shared" si="188"/>
        <v>product</v>
      </c>
    </row>
    <row r="1186" spans="17:72">
      <c r="Q1186" s="19">
        <v>6.73</v>
      </c>
      <c r="R1186" s="56" t="str">
        <f t="shared" si="187"/>
        <v>Yes</v>
      </c>
      <c r="W1186" s="19" t="s">
        <v>839</v>
      </c>
      <c r="X1186" s="54" t="str">
        <f>VLOOKUP(W1186,Employees!$A$1:$B$601,2,FALSE)</f>
        <v>Puspita Padhi</v>
      </c>
      <c r="AW1186" s="54"/>
      <c r="AX1186" s="54"/>
      <c r="BI1186" s="48"/>
      <c r="BJ1186" s="38"/>
      <c r="BK1186" s="38"/>
      <c r="BL1186" s="38"/>
      <c r="BM1186"/>
      <c r="BN1186" s="48"/>
      <c r="BR1186" s="19" t="s">
        <v>839</v>
      </c>
      <c r="BS1186" s="19" t="s">
        <v>3979</v>
      </c>
      <c r="BT1186" s="54" t="str">
        <f t="shared" si="188"/>
        <v>product</v>
      </c>
    </row>
    <row r="1187" spans="17:72">
      <c r="Q1187" s="18">
        <v>9.67</v>
      </c>
      <c r="R1187" s="56" t="str">
        <f t="shared" si="187"/>
        <v>Yes</v>
      </c>
      <c r="W1187" s="18" t="s">
        <v>839</v>
      </c>
      <c r="X1187" s="54" t="str">
        <f>VLOOKUP(W1187,Employees!$A$1:$B$601,2,FALSE)</f>
        <v>Puspita Padhi</v>
      </c>
      <c r="AW1187" s="54"/>
      <c r="AX1187" s="54"/>
      <c r="BI1187" s="48"/>
      <c r="BJ1187" s="38"/>
      <c r="BK1187" s="38"/>
      <c r="BL1187" s="38"/>
      <c r="BM1187"/>
      <c r="BN1187" s="48"/>
      <c r="BR1187" s="18" t="s">
        <v>839</v>
      </c>
      <c r="BS1187" s="18" t="s">
        <v>3981</v>
      </c>
      <c r="BT1187" s="54" t="str">
        <f t="shared" si="188"/>
        <v>product</v>
      </c>
    </row>
    <row r="1188" spans="17:72">
      <c r="Q1188" s="19"/>
      <c r="R1188" s="56" t="str">
        <f t="shared" si="187"/>
        <v>No</v>
      </c>
      <c r="W1188" s="19" t="s">
        <v>839</v>
      </c>
      <c r="X1188" s="54" t="str">
        <f>VLOOKUP(W1188,Employees!$A$1:$B$601,2,FALSE)</f>
        <v>Puspita Padhi</v>
      </c>
      <c r="AW1188" s="54"/>
      <c r="AX1188" s="54"/>
      <c r="BI1188" s="48"/>
      <c r="BJ1188" s="38"/>
      <c r="BK1188" s="38"/>
      <c r="BL1188" s="38"/>
      <c r="BM1188"/>
      <c r="BN1188" s="48"/>
      <c r="BR1188" s="19" t="s">
        <v>839</v>
      </c>
      <c r="BS1188" s="19" t="s">
        <v>3982</v>
      </c>
      <c r="BT1188" s="54" t="str">
        <f t="shared" si="188"/>
        <v>product</v>
      </c>
    </row>
    <row r="1189" spans="17:72">
      <c r="Q1189" s="18">
        <v>8.64</v>
      </c>
      <c r="R1189" s="56" t="str">
        <f t="shared" si="187"/>
        <v>Yes</v>
      </c>
      <c r="W1189" s="18" t="s">
        <v>839</v>
      </c>
      <c r="X1189" s="54" t="str">
        <f>VLOOKUP(W1189,Employees!$A$1:$B$601,2,FALSE)</f>
        <v>Puspita Padhi</v>
      </c>
      <c r="AW1189" s="54"/>
      <c r="AX1189" s="54"/>
      <c r="BI1189" s="48"/>
      <c r="BJ1189" s="38"/>
      <c r="BK1189" s="38"/>
      <c r="BL1189" s="38"/>
      <c r="BM1189"/>
      <c r="BN1189" s="48"/>
      <c r="BR1189" s="18" t="s">
        <v>839</v>
      </c>
      <c r="BS1189" s="18" t="s">
        <v>3983</v>
      </c>
      <c r="BT1189" s="54" t="str">
        <f t="shared" si="188"/>
        <v>product</v>
      </c>
    </row>
    <row r="1190" spans="17:72">
      <c r="Q1190" s="19"/>
      <c r="R1190" s="56" t="str">
        <f t="shared" si="187"/>
        <v>No</v>
      </c>
      <c r="W1190" s="19" t="s">
        <v>839</v>
      </c>
      <c r="X1190" s="54" t="str">
        <f>VLOOKUP(W1190,Employees!$A$1:$B$601,2,FALSE)</f>
        <v>Puspita Padhi</v>
      </c>
      <c r="AW1190" s="54"/>
      <c r="AX1190" s="54"/>
      <c r="BI1190" s="48"/>
      <c r="BJ1190" s="38"/>
      <c r="BK1190" s="38"/>
      <c r="BL1190" s="38"/>
      <c r="BM1190"/>
      <c r="BN1190" s="48"/>
      <c r="BR1190" s="19" t="s">
        <v>839</v>
      </c>
      <c r="BS1190" s="19" t="s">
        <v>3984</v>
      </c>
      <c r="BT1190" s="54" t="str">
        <f t="shared" si="188"/>
        <v>product</v>
      </c>
    </row>
    <row r="1191" spans="17:72">
      <c r="Q1191" s="18">
        <v>10.98</v>
      </c>
      <c r="R1191" s="56" t="str">
        <f t="shared" si="187"/>
        <v>Yes</v>
      </c>
      <c r="W1191" s="18" t="s">
        <v>839</v>
      </c>
      <c r="X1191" s="54" t="str">
        <f>VLOOKUP(W1191,Employees!$A$1:$B$601,2,FALSE)</f>
        <v>Puspita Padhi</v>
      </c>
      <c r="AW1191" s="54"/>
      <c r="AX1191" s="54"/>
      <c r="BI1191" s="48"/>
      <c r="BJ1191" s="38"/>
      <c r="BK1191" s="38"/>
      <c r="BL1191" s="38"/>
      <c r="BM1191"/>
      <c r="BN1191" s="48"/>
      <c r="BR1191" s="18" t="s">
        <v>839</v>
      </c>
      <c r="BS1191" s="18" t="s">
        <v>3985</v>
      </c>
      <c r="BT1191" s="54" t="str">
        <f t="shared" si="188"/>
        <v>product</v>
      </c>
    </row>
    <row r="1192" spans="17:72">
      <c r="Q1192" s="19">
        <v>8.8000000000000007</v>
      </c>
      <c r="R1192" s="56" t="str">
        <f t="shared" si="187"/>
        <v>Yes</v>
      </c>
      <c r="W1192" s="19" t="s">
        <v>839</v>
      </c>
      <c r="X1192" s="54" t="str">
        <f>VLOOKUP(W1192,Employees!$A$1:$B$601,2,FALSE)</f>
        <v>Puspita Padhi</v>
      </c>
      <c r="AW1192" s="54"/>
      <c r="AX1192" s="54"/>
      <c r="BI1192" s="48"/>
      <c r="BJ1192" s="38"/>
      <c r="BK1192" s="38"/>
      <c r="BL1192" s="38"/>
      <c r="BM1192"/>
      <c r="BN1192" s="48"/>
      <c r="BR1192" s="19" t="s">
        <v>839</v>
      </c>
      <c r="BS1192" s="19" t="s">
        <v>3986</v>
      </c>
      <c r="BT1192" s="54" t="str">
        <f t="shared" si="188"/>
        <v>product</v>
      </c>
    </row>
    <row r="1193" spans="17:72">
      <c r="Q1193" s="18">
        <v>9.16</v>
      </c>
      <c r="R1193" s="56" t="str">
        <f t="shared" si="187"/>
        <v>Yes</v>
      </c>
      <c r="W1193" s="18" t="s">
        <v>839</v>
      </c>
      <c r="X1193" s="54" t="str">
        <f>VLOOKUP(W1193,Employees!$A$1:$B$601,2,FALSE)</f>
        <v>Puspita Padhi</v>
      </c>
      <c r="AW1193" s="54"/>
      <c r="AX1193" s="54"/>
      <c r="BI1193" s="48"/>
      <c r="BJ1193" s="38"/>
      <c r="BK1193" s="38"/>
      <c r="BL1193" s="38"/>
      <c r="BM1193"/>
      <c r="BN1193" s="48"/>
      <c r="BR1193" s="18" t="s">
        <v>839</v>
      </c>
      <c r="BS1193" s="18" t="s">
        <v>3987</v>
      </c>
      <c r="BT1193" s="54" t="str">
        <f t="shared" si="188"/>
        <v>product</v>
      </c>
    </row>
    <row r="1194" spans="17:72">
      <c r="Q1194" s="19"/>
      <c r="R1194" s="56" t="str">
        <f t="shared" si="187"/>
        <v>No</v>
      </c>
      <c r="W1194" s="19" t="s">
        <v>839</v>
      </c>
      <c r="X1194" s="54" t="str">
        <f>VLOOKUP(W1194,Employees!$A$1:$B$601,2,FALSE)</f>
        <v>Puspita Padhi</v>
      </c>
      <c r="AW1194" s="54"/>
      <c r="AX1194" s="54"/>
      <c r="BI1194" s="48"/>
      <c r="BJ1194" s="38"/>
      <c r="BK1194" s="38"/>
      <c r="BL1194" s="38"/>
      <c r="BM1194"/>
      <c r="BN1194" s="48"/>
      <c r="BR1194" s="19" t="s">
        <v>839</v>
      </c>
      <c r="BS1194" s="19" t="s">
        <v>3988</v>
      </c>
      <c r="BT1194" s="54" t="str">
        <f t="shared" si="188"/>
        <v>product</v>
      </c>
    </row>
    <row r="1195" spans="17:72">
      <c r="Q1195" s="18">
        <v>7.66</v>
      </c>
      <c r="R1195" s="56" t="str">
        <f t="shared" si="187"/>
        <v>Yes</v>
      </c>
      <c r="W1195" s="18" t="s">
        <v>839</v>
      </c>
      <c r="X1195" s="54" t="str">
        <f>VLOOKUP(W1195,Employees!$A$1:$B$601,2,FALSE)</f>
        <v>Puspita Padhi</v>
      </c>
      <c r="AW1195" s="54"/>
      <c r="AX1195" s="54"/>
      <c r="BI1195" s="48"/>
      <c r="BJ1195" s="38"/>
      <c r="BK1195" s="38"/>
      <c r="BL1195" s="38"/>
      <c r="BM1195"/>
      <c r="BN1195" s="48"/>
      <c r="BR1195" s="18" t="s">
        <v>839</v>
      </c>
      <c r="BS1195" s="18" t="s">
        <v>3989</v>
      </c>
      <c r="BT1195" s="54" t="str">
        <f t="shared" si="188"/>
        <v>product</v>
      </c>
    </row>
    <row r="1196" spans="17:72">
      <c r="Q1196" s="19">
        <v>9.09</v>
      </c>
      <c r="R1196" s="56" t="str">
        <f t="shared" si="187"/>
        <v>Yes</v>
      </c>
      <c r="W1196" s="19" t="s">
        <v>839</v>
      </c>
      <c r="X1196" s="54" t="str">
        <f>VLOOKUP(W1196,Employees!$A$1:$B$601,2,FALSE)</f>
        <v>Puspita Padhi</v>
      </c>
      <c r="AW1196" s="54"/>
      <c r="AX1196" s="54"/>
      <c r="BI1196" s="48"/>
      <c r="BJ1196" s="38"/>
      <c r="BK1196" s="38"/>
      <c r="BL1196" s="38"/>
      <c r="BM1196"/>
      <c r="BN1196" s="48"/>
      <c r="BR1196" s="19" t="s">
        <v>839</v>
      </c>
      <c r="BS1196" s="19" t="s">
        <v>3990</v>
      </c>
      <c r="BT1196" s="54" t="str">
        <f t="shared" si="188"/>
        <v>product</v>
      </c>
    </row>
    <row r="1197" spans="17:72">
      <c r="Q1197" s="18">
        <v>10.69</v>
      </c>
      <c r="R1197" s="56" t="str">
        <f t="shared" si="187"/>
        <v>Yes</v>
      </c>
      <c r="W1197" s="18" t="s">
        <v>839</v>
      </c>
      <c r="X1197" s="54" t="str">
        <f>VLOOKUP(W1197,Employees!$A$1:$B$601,2,FALSE)</f>
        <v>Puspita Padhi</v>
      </c>
      <c r="AW1197" s="54"/>
      <c r="AX1197" s="54"/>
      <c r="BI1197" s="48"/>
      <c r="BJ1197" s="38"/>
      <c r="BK1197" s="38"/>
      <c r="BL1197" s="38"/>
      <c r="BM1197"/>
      <c r="BN1197" s="48"/>
      <c r="BR1197" s="18" t="s">
        <v>839</v>
      </c>
      <c r="BS1197" s="18" t="s">
        <v>3991</v>
      </c>
      <c r="BT1197" s="54" t="str">
        <f t="shared" si="188"/>
        <v>product</v>
      </c>
    </row>
    <row r="1198" spans="17:72">
      <c r="Q1198" s="19">
        <v>10.19</v>
      </c>
      <c r="R1198" s="56" t="str">
        <f t="shared" si="187"/>
        <v>Yes</v>
      </c>
      <c r="W1198" s="19" t="s">
        <v>839</v>
      </c>
      <c r="X1198" s="54" t="str">
        <f>VLOOKUP(W1198,Employees!$A$1:$B$601,2,FALSE)</f>
        <v>Puspita Padhi</v>
      </c>
      <c r="AW1198" s="54"/>
      <c r="AX1198" s="54"/>
      <c r="BI1198" s="48"/>
      <c r="BJ1198" s="38"/>
      <c r="BK1198" s="38"/>
      <c r="BL1198" s="38"/>
      <c r="BM1198"/>
      <c r="BN1198" s="48"/>
      <c r="BR1198" s="19" t="s">
        <v>839</v>
      </c>
      <c r="BS1198" s="19" t="s">
        <v>3992</v>
      </c>
      <c r="BT1198" s="54" t="str">
        <f t="shared" si="188"/>
        <v>product</v>
      </c>
    </row>
    <row r="1199" spans="17:72">
      <c r="Q1199" s="18">
        <v>8.82</v>
      </c>
      <c r="R1199" s="56" t="str">
        <f t="shared" si="187"/>
        <v>Yes</v>
      </c>
      <c r="W1199" s="18" t="s">
        <v>839</v>
      </c>
      <c r="X1199" s="54" t="str">
        <f>VLOOKUP(W1199,Employees!$A$1:$B$601,2,FALSE)</f>
        <v>Puspita Padhi</v>
      </c>
      <c r="AW1199" s="54"/>
      <c r="AX1199" s="54"/>
      <c r="BI1199" s="48"/>
      <c r="BJ1199" s="38"/>
      <c r="BK1199" s="38"/>
      <c r="BL1199" s="38"/>
      <c r="BM1199"/>
      <c r="BN1199" s="48"/>
      <c r="BR1199" s="18" t="s">
        <v>839</v>
      </c>
      <c r="BS1199" s="18" t="s">
        <v>3993</v>
      </c>
      <c r="BT1199" s="54" t="str">
        <f t="shared" si="188"/>
        <v>product</v>
      </c>
    </row>
    <row r="1200" spans="17:72">
      <c r="Q1200" s="19">
        <v>8</v>
      </c>
      <c r="R1200" s="56" t="str">
        <f t="shared" si="187"/>
        <v>Yes</v>
      </c>
      <c r="W1200" s="19" t="s">
        <v>839</v>
      </c>
      <c r="X1200" s="54" t="str">
        <f>VLOOKUP(W1200,Employees!$A$1:$B$601,2,FALSE)</f>
        <v>Puspita Padhi</v>
      </c>
      <c r="AW1200" s="54"/>
      <c r="AX1200" s="54"/>
      <c r="BI1200" s="48"/>
      <c r="BJ1200" s="38"/>
      <c r="BK1200" s="38"/>
      <c r="BL1200" s="38"/>
      <c r="BM1200"/>
      <c r="BN1200" s="48"/>
      <c r="BR1200" s="19" t="s">
        <v>839</v>
      </c>
      <c r="BS1200" s="19" t="s">
        <v>3994</v>
      </c>
      <c r="BT1200" s="54" t="str">
        <f t="shared" si="188"/>
        <v>product</v>
      </c>
    </row>
    <row r="1201" spans="17:72">
      <c r="Q1201" s="18">
        <v>9.1300000000000008</v>
      </c>
      <c r="R1201" s="56" t="str">
        <f t="shared" si="187"/>
        <v>Yes</v>
      </c>
      <c r="W1201" s="18" t="s">
        <v>839</v>
      </c>
      <c r="X1201" s="54" t="str">
        <f>VLOOKUP(W1201,Employees!$A$1:$B$601,2,FALSE)</f>
        <v>Puspita Padhi</v>
      </c>
      <c r="AW1201" s="54"/>
      <c r="AX1201" s="54"/>
      <c r="BI1201" s="48"/>
      <c r="BJ1201" s="38"/>
      <c r="BK1201" s="38"/>
      <c r="BL1201" s="38"/>
      <c r="BM1201"/>
      <c r="BN1201" s="48"/>
      <c r="BR1201" s="18" t="s">
        <v>839</v>
      </c>
      <c r="BS1201" s="18" t="s">
        <v>3995</v>
      </c>
      <c r="BT1201" s="54" t="str">
        <f t="shared" si="188"/>
        <v>product</v>
      </c>
    </row>
    <row r="1202" spans="17:72">
      <c r="Q1202" s="19">
        <v>7.02</v>
      </c>
      <c r="R1202" s="56" t="str">
        <f t="shared" si="187"/>
        <v>Yes</v>
      </c>
      <c r="W1202" s="19" t="s">
        <v>839</v>
      </c>
      <c r="X1202" s="54" t="str">
        <f>VLOOKUP(W1202,Employees!$A$1:$B$601,2,FALSE)</f>
        <v>Puspita Padhi</v>
      </c>
      <c r="AW1202" s="54"/>
      <c r="AX1202" s="54"/>
      <c r="BI1202" s="48"/>
      <c r="BJ1202" s="38"/>
      <c r="BK1202" s="38"/>
      <c r="BL1202" s="38"/>
      <c r="BM1202"/>
      <c r="BN1202" s="48"/>
      <c r="BR1202" s="19" t="s">
        <v>839</v>
      </c>
      <c r="BS1202" s="19" t="s">
        <v>3996</v>
      </c>
      <c r="BT1202" s="54" t="str">
        <f t="shared" si="188"/>
        <v>product</v>
      </c>
    </row>
    <row r="1203" spans="17:72">
      <c r="Q1203" s="18">
        <v>7.57</v>
      </c>
      <c r="R1203" s="56" t="str">
        <f t="shared" si="187"/>
        <v>Yes</v>
      </c>
      <c r="W1203" s="18" t="s">
        <v>839</v>
      </c>
      <c r="X1203" s="54" t="str">
        <f>VLOOKUP(W1203,Employees!$A$1:$B$601,2,FALSE)</f>
        <v>Puspita Padhi</v>
      </c>
      <c r="AW1203" s="54"/>
      <c r="AX1203" s="54"/>
      <c r="BI1203" s="48"/>
      <c r="BJ1203" s="38"/>
      <c r="BK1203" s="38"/>
      <c r="BL1203" s="38"/>
      <c r="BM1203"/>
      <c r="BN1203" s="48"/>
      <c r="BR1203" s="18" t="s">
        <v>839</v>
      </c>
      <c r="BS1203" s="18" t="s">
        <v>3997</v>
      </c>
      <c r="BT1203" s="54" t="str">
        <f t="shared" si="188"/>
        <v>product</v>
      </c>
    </row>
    <row r="1204" spans="17:72">
      <c r="Q1204" s="19">
        <v>8.44</v>
      </c>
      <c r="R1204" s="56" t="str">
        <f t="shared" si="187"/>
        <v>Yes</v>
      </c>
      <c r="W1204" s="19" t="s">
        <v>839</v>
      </c>
      <c r="X1204" s="54" t="str">
        <f>VLOOKUP(W1204,Employees!$A$1:$B$601,2,FALSE)</f>
        <v>Puspita Padhi</v>
      </c>
      <c r="AW1204" s="54"/>
      <c r="AX1204" s="54"/>
      <c r="BI1204" s="48"/>
      <c r="BJ1204" s="38"/>
      <c r="BK1204" s="38"/>
      <c r="BL1204" s="38"/>
      <c r="BM1204"/>
      <c r="BN1204" s="48"/>
      <c r="BR1204" s="19" t="s">
        <v>839</v>
      </c>
      <c r="BS1204" s="19" t="s">
        <v>3998</v>
      </c>
      <c r="BT1204" s="54" t="str">
        <f t="shared" si="188"/>
        <v>product</v>
      </c>
    </row>
    <row r="1205" spans="17:72">
      <c r="Q1205" s="18">
        <v>7.84</v>
      </c>
      <c r="R1205" s="56" t="str">
        <f t="shared" si="187"/>
        <v>Yes</v>
      </c>
      <c r="W1205" s="18" t="s">
        <v>839</v>
      </c>
      <c r="X1205" s="54" t="str">
        <f>VLOOKUP(W1205,Employees!$A$1:$B$601,2,FALSE)</f>
        <v>Puspita Padhi</v>
      </c>
      <c r="AW1205" s="54"/>
      <c r="AX1205" s="54"/>
      <c r="BI1205" s="48"/>
      <c r="BJ1205" s="38"/>
      <c r="BK1205" s="38"/>
      <c r="BL1205" s="38"/>
      <c r="BM1205"/>
      <c r="BN1205" s="48"/>
      <c r="BR1205" s="18" t="s">
        <v>839</v>
      </c>
      <c r="BS1205" s="18" t="s">
        <v>3999</v>
      </c>
      <c r="BT1205" s="54" t="str">
        <f t="shared" si="188"/>
        <v>product</v>
      </c>
    </row>
    <row r="1206" spans="17:72">
      <c r="Q1206" s="19">
        <v>7.18</v>
      </c>
      <c r="R1206" s="56" t="str">
        <f t="shared" si="187"/>
        <v>Yes</v>
      </c>
      <c r="W1206" s="19" t="s">
        <v>834</v>
      </c>
      <c r="X1206" s="54" t="str">
        <f>VLOOKUP(W1206,Employees!$A$1:$B$601,2,FALSE)</f>
        <v>Prasant Padhi</v>
      </c>
      <c r="AW1206" s="54"/>
      <c r="AX1206" s="54"/>
      <c r="BI1206" s="48"/>
      <c r="BJ1206" s="38"/>
      <c r="BK1206" s="38"/>
      <c r="BL1206" s="38"/>
      <c r="BM1206"/>
      <c r="BN1206" s="48"/>
      <c r="BR1206" s="19" t="s">
        <v>834</v>
      </c>
      <c r="BS1206" s="19" t="s">
        <v>4000</v>
      </c>
      <c r="BT1206" s="54" t="str">
        <f t="shared" si="188"/>
        <v>DevOps</v>
      </c>
    </row>
    <row r="1207" spans="17:72">
      <c r="Q1207" s="18">
        <v>8.0500000000000007</v>
      </c>
      <c r="R1207" s="56" t="str">
        <f t="shared" si="187"/>
        <v>Yes</v>
      </c>
      <c r="W1207" s="18" t="s">
        <v>834</v>
      </c>
      <c r="X1207" s="54" t="str">
        <f>VLOOKUP(W1207,Employees!$A$1:$B$601,2,FALSE)</f>
        <v>Prasant Padhi</v>
      </c>
      <c r="AW1207" s="54"/>
      <c r="AX1207" s="54"/>
      <c r="BI1207" s="48"/>
      <c r="BJ1207" s="38"/>
      <c r="BK1207" s="38"/>
      <c r="BL1207" s="38"/>
      <c r="BM1207"/>
      <c r="BN1207" s="48"/>
      <c r="BR1207" s="18" t="s">
        <v>834</v>
      </c>
      <c r="BS1207" s="18" t="s">
        <v>4001</v>
      </c>
      <c r="BT1207" s="54" t="str">
        <f t="shared" si="188"/>
        <v>DevOps</v>
      </c>
    </row>
    <row r="1208" spans="17:72">
      <c r="Q1208" s="19">
        <v>9.52</v>
      </c>
      <c r="R1208" s="56" t="str">
        <f t="shared" si="187"/>
        <v>Yes</v>
      </c>
      <c r="W1208" s="19" t="s">
        <v>834</v>
      </c>
      <c r="X1208" s="54" t="str">
        <f>VLOOKUP(W1208,Employees!$A$1:$B$601,2,FALSE)</f>
        <v>Prasant Padhi</v>
      </c>
      <c r="AW1208" s="54"/>
      <c r="AX1208" s="54"/>
      <c r="BI1208" s="48"/>
      <c r="BJ1208" s="38"/>
      <c r="BK1208" s="38"/>
      <c r="BL1208" s="38"/>
      <c r="BM1208"/>
      <c r="BN1208" s="48"/>
      <c r="BR1208" s="19" t="s">
        <v>834</v>
      </c>
      <c r="BS1208" s="19" t="s">
        <v>4002</v>
      </c>
      <c r="BT1208" s="54" t="str">
        <f t="shared" si="188"/>
        <v>DevOps</v>
      </c>
    </row>
    <row r="1209" spans="17:72">
      <c r="Q1209" s="18">
        <v>8.1300000000000008</v>
      </c>
      <c r="R1209" s="56" t="str">
        <f t="shared" si="187"/>
        <v>Yes</v>
      </c>
      <c r="W1209" s="18" t="s">
        <v>834</v>
      </c>
      <c r="X1209" s="54" t="str">
        <f>VLOOKUP(W1209,Employees!$A$1:$B$601,2,FALSE)</f>
        <v>Prasant Padhi</v>
      </c>
      <c r="AW1209" s="54"/>
      <c r="AX1209" s="54"/>
      <c r="BI1209" s="48"/>
      <c r="BJ1209" s="38"/>
      <c r="BK1209" s="38"/>
      <c r="BL1209" s="38"/>
      <c r="BM1209"/>
      <c r="BN1209" s="48"/>
      <c r="BR1209" s="18" t="s">
        <v>834</v>
      </c>
      <c r="BS1209" s="18" t="s">
        <v>4003</v>
      </c>
      <c r="BT1209" s="54" t="str">
        <f t="shared" si="188"/>
        <v>DevOps</v>
      </c>
    </row>
    <row r="1210" spans="17:72">
      <c r="Q1210" s="19">
        <v>7.36</v>
      </c>
      <c r="R1210" s="56" t="str">
        <f t="shared" si="187"/>
        <v>Yes</v>
      </c>
      <c r="W1210" s="19" t="s">
        <v>834</v>
      </c>
      <c r="X1210" s="54" t="str">
        <f>VLOOKUP(W1210,Employees!$A$1:$B$601,2,FALSE)</f>
        <v>Prasant Padhi</v>
      </c>
      <c r="AW1210" s="54"/>
      <c r="AX1210" s="54"/>
      <c r="BI1210" s="48"/>
      <c r="BJ1210" s="38"/>
      <c r="BK1210" s="38"/>
      <c r="BL1210" s="38"/>
      <c r="BM1210"/>
      <c r="BN1210" s="48"/>
      <c r="BR1210" s="19" t="s">
        <v>834</v>
      </c>
      <c r="BS1210" s="19" t="s">
        <v>4004</v>
      </c>
      <c r="BT1210" s="54" t="str">
        <f t="shared" si="188"/>
        <v>DevOps</v>
      </c>
    </row>
    <row r="1211" spans="17:72">
      <c r="Q1211" s="18">
        <v>11.33</v>
      </c>
      <c r="R1211" s="56" t="str">
        <f t="shared" si="187"/>
        <v>Yes</v>
      </c>
      <c r="W1211" s="18" t="s">
        <v>834</v>
      </c>
      <c r="X1211" s="54" t="str">
        <f>VLOOKUP(W1211,Employees!$A$1:$B$601,2,FALSE)</f>
        <v>Prasant Padhi</v>
      </c>
      <c r="AW1211" s="54"/>
      <c r="AX1211" s="54"/>
      <c r="BI1211" s="48"/>
      <c r="BJ1211" s="38"/>
      <c r="BK1211" s="38"/>
      <c r="BL1211" s="38"/>
      <c r="BM1211"/>
      <c r="BN1211" s="48"/>
      <c r="BR1211" s="18" t="s">
        <v>834</v>
      </c>
      <c r="BS1211" s="18" t="s">
        <v>4005</v>
      </c>
      <c r="BT1211" s="54" t="str">
        <f t="shared" si="188"/>
        <v>DevOps</v>
      </c>
    </row>
    <row r="1212" spans="17:72">
      <c r="Q1212" s="19">
        <v>11.25</v>
      </c>
      <c r="R1212" s="56" t="str">
        <f t="shared" si="187"/>
        <v>Yes</v>
      </c>
      <c r="W1212" s="19" t="s">
        <v>834</v>
      </c>
      <c r="X1212" s="54" t="str">
        <f>VLOOKUP(W1212,Employees!$A$1:$B$601,2,FALSE)</f>
        <v>Prasant Padhi</v>
      </c>
      <c r="AW1212" s="54"/>
      <c r="AX1212" s="54"/>
      <c r="BI1212" s="48"/>
      <c r="BJ1212" s="38"/>
      <c r="BK1212" s="38"/>
      <c r="BL1212" s="38"/>
      <c r="BM1212"/>
      <c r="BN1212" s="48"/>
      <c r="BR1212" s="19" t="s">
        <v>834</v>
      </c>
      <c r="BS1212" s="19" t="s">
        <v>4006</v>
      </c>
      <c r="BT1212" s="54" t="str">
        <f t="shared" si="188"/>
        <v>DevOps</v>
      </c>
    </row>
    <row r="1213" spans="17:72">
      <c r="Q1213" s="18">
        <v>10</v>
      </c>
      <c r="R1213" s="56" t="str">
        <f t="shared" si="187"/>
        <v>Yes</v>
      </c>
      <c r="W1213" s="18" t="s">
        <v>834</v>
      </c>
      <c r="X1213" s="54" t="str">
        <f>VLOOKUP(W1213,Employees!$A$1:$B$601,2,FALSE)</f>
        <v>Prasant Padhi</v>
      </c>
      <c r="AW1213" s="54"/>
      <c r="AX1213" s="54"/>
      <c r="BI1213" s="48"/>
      <c r="BJ1213" s="38"/>
      <c r="BK1213" s="38"/>
      <c r="BL1213" s="38"/>
      <c r="BM1213"/>
      <c r="BN1213" s="48"/>
      <c r="BR1213" s="18" t="s">
        <v>834</v>
      </c>
      <c r="BS1213" s="18" t="s">
        <v>4008</v>
      </c>
      <c r="BT1213" s="54" t="str">
        <f t="shared" si="188"/>
        <v>DevOps</v>
      </c>
    </row>
    <row r="1214" spans="17:72">
      <c r="Q1214" s="19">
        <v>6.78</v>
      </c>
      <c r="R1214" s="56" t="str">
        <f t="shared" si="187"/>
        <v>Yes</v>
      </c>
      <c r="W1214" s="19" t="s">
        <v>834</v>
      </c>
      <c r="X1214" s="54" t="str">
        <f>VLOOKUP(W1214,Employees!$A$1:$B$601,2,FALSE)</f>
        <v>Prasant Padhi</v>
      </c>
      <c r="AW1214" s="54"/>
      <c r="AX1214" s="54"/>
      <c r="BI1214" s="48"/>
      <c r="BJ1214" s="38"/>
      <c r="BK1214" s="38"/>
      <c r="BL1214" s="38"/>
      <c r="BM1214"/>
      <c r="BN1214" s="48"/>
      <c r="BR1214" s="19" t="s">
        <v>834</v>
      </c>
      <c r="BS1214" s="19" t="s">
        <v>4009</v>
      </c>
      <c r="BT1214" s="54" t="str">
        <f t="shared" si="188"/>
        <v>DevOps</v>
      </c>
    </row>
    <row r="1215" spans="17:72">
      <c r="Q1215" s="18">
        <v>10.59</v>
      </c>
      <c r="R1215" s="56" t="str">
        <f t="shared" si="187"/>
        <v>Yes</v>
      </c>
      <c r="W1215" s="18" t="s">
        <v>834</v>
      </c>
      <c r="X1215" s="54" t="str">
        <f>VLOOKUP(W1215,Employees!$A$1:$B$601,2,FALSE)</f>
        <v>Prasant Padhi</v>
      </c>
      <c r="AW1215" s="54"/>
      <c r="AX1215" s="54"/>
      <c r="BI1215" s="48"/>
      <c r="BJ1215" s="38"/>
      <c r="BK1215" s="38"/>
      <c r="BL1215" s="38"/>
      <c r="BM1215"/>
      <c r="BN1215" s="48"/>
      <c r="BR1215" s="18" t="s">
        <v>834</v>
      </c>
      <c r="BS1215" s="18" t="s">
        <v>4010</v>
      </c>
      <c r="BT1215" s="54" t="str">
        <f t="shared" si="188"/>
        <v>DevOps</v>
      </c>
    </row>
    <row r="1216" spans="17:72">
      <c r="Q1216" s="19">
        <v>9.27</v>
      </c>
      <c r="R1216" s="56" t="str">
        <f t="shared" si="187"/>
        <v>Yes</v>
      </c>
      <c r="W1216" s="19" t="s">
        <v>834</v>
      </c>
      <c r="X1216" s="54" t="str">
        <f>VLOOKUP(W1216,Employees!$A$1:$B$601,2,FALSE)</f>
        <v>Prasant Padhi</v>
      </c>
      <c r="AW1216" s="54"/>
      <c r="AX1216" s="54"/>
      <c r="BI1216" s="48"/>
      <c r="BJ1216" s="38"/>
      <c r="BK1216" s="38"/>
      <c r="BL1216" s="38"/>
      <c r="BM1216"/>
      <c r="BN1216" s="48"/>
      <c r="BR1216" s="19" t="s">
        <v>834</v>
      </c>
      <c r="BS1216" s="19" t="s">
        <v>4012</v>
      </c>
      <c r="BT1216" s="54" t="str">
        <f t="shared" si="188"/>
        <v>DevOps</v>
      </c>
    </row>
    <row r="1217" spans="17:72">
      <c r="Q1217" s="18">
        <v>11.11</v>
      </c>
      <c r="R1217" s="56" t="str">
        <f t="shared" si="187"/>
        <v>Yes</v>
      </c>
      <c r="W1217" s="18" t="s">
        <v>834</v>
      </c>
      <c r="X1217" s="54" t="str">
        <f>VLOOKUP(W1217,Employees!$A$1:$B$601,2,FALSE)</f>
        <v>Prasant Padhi</v>
      </c>
      <c r="AW1217" s="54"/>
      <c r="AX1217" s="54"/>
      <c r="BI1217" s="48"/>
      <c r="BJ1217" s="38"/>
      <c r="BK1217" s="38"/>
      <c r="BL1217" s="38"/>
      <c r="BM1217"/>
      <c r="BN1217" s="48"/>
      <c r="BR1217" s="18" t="s">
        <v>834</v>
      </c>
      <c r="BS1217" s="18" t="s">
        <v>4013</v>
      </c>
      <c r="BT1217" s="54" t="str">
        <f t="shared" si="188"/>
        <v>DevOps</v>
      </c>
    </row>
    <row r="1218" spans="17:72">
      <c r="Q1218" s="19"/>
      <c r="R1218" s="56" t="str">
        <f t="shared" si="187"/>
        <v>No</v>
      </c>
      <c r="W1218" s="19" t="s">
        <v>834</v>
      </c>
      <c r="X1218" s="54" t="str">
        <f>VLOOKUP(W1218,Employees!$A$1:$B$601,2,FALSE)</f>
        <v>Prasant Padhi</v>
      </c>
      <c r="AW1218" s="54"/>
      <c r="AX1218" s="54"/>
      <c r="BI1218" s="48"/>
      <c r="BJ1218" s="38"/>
      <c r="BK1218" s="38"/>
      <c r="BL1218" s="38"/>
      <c r="BM1218"/>
      <c r="BN1218" s="48"/>
      <c r="BR1218" s="19" t="s">
        <v>834</v>
      </c>
      <c r="BS1218" s="19" t="s">
        <v>4014</v>
      </c>
      <c r="BT1218" s="54" t="str">
        <f t="shared" si="188"/>
        <v>DevOps</v>
      </c>
    </row>
    <row r="1219" spans="17:72">
      <c r="Q1219" s="18">
        <v>8.44</v>
      </c>
      <c r="R1219" s="56" t="str">
        <f t="shared" ref="R1219:R1282" si="189">IF(ISBLANK(Q1219),"No","Yes")</f>
        <v>Yes</v>
      </c>
      <c r="W1219" s="18" t="s">
        <v>834</v>
      </c>
      <c r="X1219" s="54" t="str">
        <f>VLOOKUP(W1219,Employees!$A$1:$B$601,2,FALSE)</f>
        <v>Prasant Padhi</v>
      </c>
      <c r="AW1219" s="54"/>
      <c r="AX1219" s="54"/>
      <c r="BI1219" s="48"/>
      <c r="BJ1219" s="38"/>
      <c r="BK1219" s="38"/>
      <c r="BL1219" s="38"/>
      <c r="BM1219"/>
      <c r="BN1219" s="48"/>
      <c r="BR1219" s="18" t="s">
        <v>834</v>
      </c>
      <c r="BS1219" s="18" t="s">
        <v>4015</v>
      </c>
      <c r="BT1219" s="54" t="str">
        <f t="shared" ref="BT1219:BT1282" si="190">VLOOKUP(BR1219,$BP$2:$BQ$601,2,FALSE)</f>
        <v>DevOps</v>
      </c>
    </row>
    <row r="1220" spans="17:72">
      <c r="Q1220" s="19">
        <v>8.64</v>
      </c>
      <c r="R1220" s="56" t="str">
        <f t="shared" si="189"/>
        <v>Yes</v>
      </c>
      <c r="W1220" s="19" t="s">
        <v>834</v>
      </c>
      <c r="X1220" s="54" t="str">
        <f>VLOOKUP(W1220,Employees!$A$1:$B$601,2,FALSE)</f>
        <v>Prasant Padhi</v>
      </c>
      <c r="AW1220" s="54"/>
      <c r="AX1220" s="54"/>
      <c r="BI1220" s="48"/>
      <c r="BJ1220" s="38"/>
      <c r="BK1220" s="38"/>
      <c r="BL1220" s="38"/>
      <c r="BM1220"/>
      <c r="BN1220" s="48"/>
      <c r="BR1220" s="19" t="s">
        <v>834</v>
      </c>
      <c r="BS1220" s="19" t="s">
        <v>4016</v>
      </c>
      <c r="BT1220" s="54" t="str">
        <f t="shared" si="190"/>
        <v>DevOps</v>
      </c>
    </row>
    <row r="1221" spans="17:72">
      <c r="Q1221" s="18">
        <v>10.37</v>
      </c>
      <c r="R1221" s="56" t="str">
        <f t="shared" si="189"/>
        <v>Yes</v>
      </c>
      <c r="W1221" s="18" t="s">
        <v>834</v>
      </c>
      <c r="X1221" s="54" t="str">
        <f>VLOOKUP(W1221,Employees!$A$1:$B$601,2,FALSE)</f>
        <v>Prasant Padhi</v>
      </c>
      <c r="AW1221" s="54"/>
      <c r="AX1221" s="54"/>
      <c r="BI1221" s="48"/>
      <c r="BJ1221" s="38"/>
      <c r="BK1221" s="38"/>
      <c r="BL1221" s="38"/>
      <c r="BM1221"/>
      <c r="BN1221" s="48"/>
      <c r="BR1221" s="18" t="s">
        <v>834</v>
      </c>
      <c r="BS1221" s="18" t="s">
        <v>4017</v>
      </c>
      <c r="BT1221" s="54" t="str">
        <f t="shared" si="190"/>
        <v>DevOps</v>
      </c>
    </row>
    <row r="1222" spans="17:72">
      <c r="Q1222" s="19"/>
      <c r="R1222" s="56" t="str">
        <f t="shared" si="189"/>
        <v>No</v>
      </c>
      <c r="W1222" s="19" t="s">
        <v>834</v>
      </c>
      <c r="X1222" s="54" t="str">
        <f>VLOOKUP(W1222,Employees!$A$1:$B$601,2,FALSE)</f>
        <v>Prasant Padhi</v>
      </c>
      <c r="AW1222" s="54"/>
      <c r="AX1222" s="54"/>
      <c r="BI1222" s="48"/>
      <c r="BJ1222" s="38"/>
      <c r="BK1222" s="38"/>
      <c r="BL1222" s="38"/>
      <c r="BM1222"/>
      <c r="BN1222" s="48"/>
      <c r="BR1222" s="19" t="s">
        <v>834</v>
      </c>
      <c r="BS1222" s="19" t="s">
        <v>4018</v>
      </c>
      <c r="BT1222" s="54" t="str">
        <f t="shared" si="190"/>
        <v>DevOps</v>
      </c>
    </row>
    <row r="1223" spans="17:72">
      <c r="Q1223" s="18"/>
      <c r="R1223" s="56" t="str">
        <f t="shared" si="189"/>
        <v>No</v>
      </c>
      <c r="W1223" s="18" t="s">
        <v>834</v>
      </c>
      <c r="X1223" s="54" t="str">
        <f>VLOOKUP(W1223,Employees!$A$1:$B$601,2,FALSE)</f>
        <v>Prasant Padhi</v>
      </c>
      <c r="AW1223" s="54"/>
      <c r="AX1223" s="54"/>
      <c r="BI1223" s="48"/>
      <c r="BJ1223" s="38"/>
      <c r="BK1223" s="38"/>
      <c r="BL1223" s="38"/>
      <c r="BM1223"/>
      <c r="BN1223" s="48"/>
      <c r="BR1223" s="18" t="s">
        <v>834</v>
      </c>
      <c r="BS1223" s="18" t="s">
        <v>4019</v>
      </c>
      <c r="BT1223" s="54" t="str">
        <f t="shared" si="190"/>
        <v>DevOps</v>
      </c>
    </row>
    <row r="1224" spans="17:72">
      <c r="Q1224" s="19">
        <v>9.4499999999999993</v>
      </c>
      <c r="R1224" s="56" t="str">
        <f t="shared" si="189"/>
        <v>Yes</v>
      </c>
      <c r="W1224" s="19" t="s">
        <v>834</v>
      </c>
      <c r="X1224" s="54" t="str">
        <f>VLOOKUP(W1224,Employees!$A$1:$B$601,2,FALSE)</f>
        <v>Prasant Padhi</v>
      </c>
      <c r="AW1224" s="54"/>
      <c r="AX1224" s="54"/>
      <c r="BI1224" s="48"/>
      <c r="BJ1224" s="38"/>
      <c r="BK1224" s="38"/>
      <c r="BL1224" s="38"/>
      <c r="BM1224"/>
      <c r="BN1224" s="48"/>
      <c r="BR1224" s="19" t="s">
        <v>834</v>
      </c>
      <c r="BS1224" s="19" t="s">
        <v>4020</v>
      </c>
      <c r="BT1224" s="54" t="str">
        <f t="shared" si="190"/>
        <v>DevOps</v>
      </c>
    </row>
    <row r="1225" spans="17:72">
      <c r="Q1225" s="18">
        <v>10.86</v>
      </c>
      <c r="R1225" s="56" t="str">
        <f t="shared" si="189"/>
        <v>Yes</v>
      </c>
      <c r="W1225" s="18" t="s">
        <v>834</v>
      </c>
      <c r="X1225" s="54" t="str">
        <f>VLOOKUP(W1225,Employees!$A$1:$B$601,2,FALSE)</f>
        <v>Prasant Padhi</v>
      </c>
      <c r="AW1225" s="54"/>
      <c r="AX1225" s="54"/>
      <c r="BI1225" s="48"/>
      <c r="BJ1225" s="38"/>
      <c r="BK1225" s="38"/>
      <c r="BL1225" s="38"/>
      <c r="BM1225"/>
      <c r="BN1225" s="48"/>
      <c r="BR1225" s="18" t="s">
        <v>834</v>
      </c>
      <c r="BS1225" s="18" t="s">
        <v>4021</v>
      </c>
      <c r="BT1225" s="54" t="str">
        <f t="shared" si="190"/>
        <v>DevOps</v>
      </c>
    </row>
    <row r="1226" spans="17:72">
      <c r="Q1226" s="19">
        <v>10.06</v>
      </c>
      <c r="R1226" s="56" t="str">
        <f t="shared" si="189"/>
        <v>Yes</v>
      </c>
      <c r="W1226" s="19" t="s">
        <v>834</v>
      </c>
      <c r="X1226" s="54" t="str">
        <f>VLOOKUP(W1226,Employees!$A$1:$B$601,2,FALSE)</f>
        <v>Prasant Padhi</v>
      </c>
      <c r="AW1226" s="54"/>
      <c r="AX1226" s="54"/>
      <c r="BI1226" s="48"/>
      <c r="BJ1226" s="38"/>
      <c r="BK1226" s="38"/>
      <c r="BL1226" s="38"/>
      <c r="BM1226"/>
      <c r="BN1226" s="48"/>
      <c r="BR1226" s="19" t="s">
        <v>834</v>
      </c>
      <c r="BS1226" s="19" t="s">
        <v>4022</v>
      </c>
      <c r="BT1226" s="54" t="str">
        <f t="shared" si="190"/>
        <v>DevOps</v>
      </c>
    </row>
    <row r="1227" spans="17:72">
      <c r="Q1227" s="18">
        <v>9.73</v>
      </c>
      <c r="R1227" s="56" t="str">
        <f t="shared" si="189"/>
        <v>Yes</v>
      </c>
      <c r="W1227" s="18" t="s">
        <v>834</v>
      </c>
      <c r="X1227" s="54" t="str">
        <f>VLOOKUP(W1227,Employees!$A$1:$B$601,2,FALSE)</f>
        <v>Prasant Padhi</v>
      </c>
      <c r="AW1227" s="54"/>
      <c r="AX1227" s="54"/>
      <c r="BI1227" s="48"/>
      <c r="BJ1227" s="38"/>
      <c r="BK1227" s="38"/>
      <c r="BL1227" s="38"/>
      <c r="BM1227"/>
      <c r="BN1227" s="48"/>
      <c r="BR1227" s="18" t="s">
        <v>834</v>
      </c>
      <c r="BS1227" s="18" t="s">
        <v>4023</v>
      </c>
      <c r="BT1227" s="54" t="str">
        <f t="shared" si="190"/>
        <v>DevOps</v>
      </c>
    </row>
    <row r="1228" spans="17:72">
      <c r="Q1228" s="19">
        <v>9.86</v>
      </c>
      <c r="R1228" s="56" t="str">
        <f t="shared" si="189"/>
        <v>Yes</v>
      </c>
      <c r="W1228" s="19" t="s">
        <v>834</v>
      </c>
      <c r="X1228" s="54" t="str">
        <f>VLOOKUP(W1228,Employees!$A$1:$B$601,2,FALSE)</f>
        <v>Prasant Padhi</v>
      </c>
      <c r="AW1228" s="54"/>
      <c r="AX1228" s="54"/>
      <c r="BI1228" s="48"/>
      <c r="BJ1228" s="38"/>
      <c r="BK1228" s="38"/>
      <c r="BL1228" s="38"/>
      <c r="BM1228"/>
      <c r="BN1228" s="48"/>
      <c r="BR1228" s="19" t="s">
        <v>834</v>
      </c>
      <c r="BS1228" s="19" t="s">
        <v>4024</v>
      </c>
      <c r="BT1228" s="54" t="str">
        <f t="shared" si="190"/>
        <v>DevOps</v>
      </c>
    </row>
    <row r="1229" spans="17:72">
      <c r="Q1229" s="18">
        <v>7.23</v>
      </c>
      <c r="R1229" s="56" t="str">
        <f t="shared" si="189"/>
        <v>Yes</v>
      </c>
      <c r="W1229" s="18" t="s">
        <v>834</v>
      </c>
      <c r="X1229" s="54" t="str">
        <f>VLOOKUP(W1229,Employees!$A$1:$B$601,2,FALSE)</f>
        <v>Prasant Padhi</v>
      </c>
      <c r="AW1229" s="54"/>
      <c r="AX1229" s="54"/>
      <c r="BI1229" s="48"/>
      <c r="BJ1229" s="38"/>
      <c r="BK1229" s="38"/>
      <c r="BL1229" s="38"/>
      <c r="BM1229"/>
      <c r="BN1229" s="48"/>
      <c r="BR1229" s="18" t="s">
        <v>834</v>
      </c>
      <c r="BS1229" s="18" t="s">
        <v>4025</v>
      </c>
      <c r="BT1229" s="54" t="str">
        <f t="shared" si="190"/>
        <v>DevOps</v>
      </c>
    </row>
    <row r="1230" spans="17:72">
      <c r="Q1230" s="19">
        <v>7.12</v>
      </c>
      <c r="R1230" s="56" t="str">
        <f t="shared" si="189"/>
        <v>Yes</v>
      </c>
      <c r="W1230" s="19" t="s">
        <v>834</v>
      </c>
      <c r="X1230" s="54" t="str">
        <f>VLOOKUP(W1230,Employees!$A$1:$B$601,2,FALSE)</f>
        <v>Prasant Padhi</v>
      </c>
      <c r="AW1230" s="54"/>
      <c r="AX1230" s="54"/>
      <c r="BI1230" s="48"/>
      <c r="BJ1230" s="38"/>
      <c r="BK1230" s="38"/>
      <c r="BL1230" s="38"/>
      <c r="BM1230"/>
      <c r="BN1230" s="48"/>
      <c r="BR1230" s="19" t="s">
        <v>834</v>
      </c>
      <c r="BS1230" s="19" t="s">
        <v>4026</v>
      </c>
      <c r="BT1230" s="54" t="str">
        <f t="shared" si="190"/>
        <v>DevOps</v>
      </c>
    </row>
    <row r="1231" spans="17:72">
      <c r="Q1231" s="18">
        <v>9.2200000000000006</v>
      </c>
      <c r="R1231" s="56" t="str">
        <f t="shared" si="189"/>
        <v>Yes</v>
      </c>
      <c r="W1231" s="18" t="s">
        <v>834</v>
      </c>
      <c r="X1231" s="54" t="str">
        <f>VLOOKUP(W1231,Employees!$A$1:$B$601,2,FALSE)</f>
        <v>Prasant Padhi</v>
      </c>
      <c r="AW1231" s="54"/>
      <c r="AX1231" s="54"/>
      <c r="BI1231" s="48"/>
      <c r="BJ1231" s="38"/>
      <c r="BK1231" s="38"/>
      <c r="BL1231" s="38"/>
      <c r="BM1231"/>
      <c r="BN1231" s="48"/>
      <c r="BR1231" s="18" t="s">
        <v>834</v>
      </c>
      <c r="BS1231" s="18" t="s">
        <v>4027</v>
      </c>
      <c r="BT1231" s="54" t="str">
        <f t="shared" si="190"/>
        <v>DevOps</v>
      </c>
    </row>
    <row r="1232" spans="17:72">
      <c r="Q1232" s="19"/>
      <c r="R1232" s="56" t="str">
        <f t="shared" si="189"/>
        <v>No</v>
      </c>
      <c r="W1232" s="19" t="s">
        <v>834</v>
      </c>
      <c r="X1232" s="54" t="str">
        <f>VLOOKUP(W1232,Employees!$A$1:$B$601,2,FALSE)</f>
        <v>Prasant Padhi</v>
      </c>
      <c r="AW1232" s="54"/>
      <c r="AX1232" s="54"/>
      <c r="BI1232" s="48"/>
      <c r="BJ1232" s="38"/>
      <c r="BK1232" s="38"/>
      <c r="BL1232" s="38"/>
      <c r="BM1232"/>
      <c r="BN1232" s="48"/>
      <c r="BR1232" s="19" t="s">
        <v>834</v>
      </c>
      <c r="BS1232" s="19" t="s">
        <v>4029</v>
      </c>
      <c r="BT1232" s="54" t="str">
        <f t="shared" si="190"/>
        <v>DevOps</v>
      </c>
    </row>
    <row r="1233" spans="17:72">
      <c r="Q1233" s="18">
        <v>10.67</v>
      </c>
      <c r="R1233" s="56" t="str">
        <f t="shared" si="189"/>
        <v>Yes</v>
      </c>
      <c r="W1233" s="18" t="s">
        <v>834</v>
      </c>
      <c r="X1233" s="54" t="str">
        <f>VLOOKUP(W1233,Employees!$A$1:$B$601,2,FALSE)</f>
        <v>Prasant Padhi</v>
      </c>
      <c r="AW1233" s="54"/>
      <c r="AX1233" s="54"/>
      <c r="BI1233" s="48"/>
      <c r="BJ1233" s="38"/>
      <c r="BK1233" s="38"/>
      <c r="BL1233" s="38"/>
      <c r="BM1233"/>
      <c r="BN1233" s="48"/>
      <c r="BR1233" s="18" t="s">
        <v>834</v>
      </c>
      <c r="BS1233" s="18" t="s">
        <v>4030</v>
      </c>
      <c r="BT1233" s="54" t="str">
        <f t="shared" si="190"/>
        <v>DevOps</v>
      </c>
    </row>
    <row r="1234" spans="17:72">
      <c r="Q1234" s="19">
        <v>8.66</v>
      </c>
      <c r="R1234" s="56" t="str">
        <f t="shared" si="189"/>
        <v>Yes</v>
      </c>
      <c r="W1234" s="19" t="s">
        <v>834</v>
      </c>
      <c r="X1234" s="54" t="str">
        <f>VLOOKUP(W1234,Employees!$A$1:$B$601,2,FALSE)</f>
        <v>Prasant Padhi</v>
      </c>
      <c r="AW1234" s="54"/>
      <c r="AX1234" s="54"/>
      <c r="BI1234" s="48"/>
      <c r="BJ1234" s="38"/>
      <c r="BK1234" s="38"/>
      <c r="BL1234" s="38"/>
      <c r="BM1234"/>
      <c r="BN1234" s="48"/>
      <c r="BR1234" s="19" t="s">
        <v>834</v>
      </c>
      <c r="BS1234" s="19" t="s">
        <v>4031</v>
      </c>
      <c r="BT1234" s="54" t="str">
        <f t="shared" si="190"/>
        <v>DevOps</v>
      </c>
    </row>
    <row r="1235" spans="17:72">
      <c r="Q1235" s="18">
        <v>6.69</v>
      </c>
      <c r="R1235" s="56" t="str">
        <f t="shared" si="189"/>
        <v>Yes</v>
      </c>
      <c r="W1235" s="18" t="s">
        <v>834</v>
      </c>
      <c r="X1235" s="54" t="str">
        <f>VLOOKUP(W1235,Employees!$A$1:$B$601,2,FALSE)</f>
        <v>Prasant Padhi</v>
      </c>
      <c r="AW1235" s="54"/>
      <c r="AX1235" s="54"/>
      <c r="BI1235" s="48"/>
      <c r="BJ1235" s="38"/>
      <c r="BK1235" s="38"/>
      <c r="BL1235" s="38"/>
      <c r="BM1235"/>
      <c r="BN1235" s="48"/>
      <c r="BR1235" s="18" t="s">
        <v>834</v>
      </c>
      <c r="BS1235" s="18" t="s">
        <v>4032</v>
      </c>
      <c r="BT1235" s="54" t="str">
        <f t="shared" si="190"/>
        <v>DevOps</v>
      </c>
    </row>
    <row r="1236" spans="17:72">
      <c r="Q1236" s="19">
        <v>11.09</v>
      </c>
      <c r="R1236" s="56" t="str">
        <f t="shared" si="189"/>
        <v>Yes</v>
      </c>
      <c r="W1236" s="19" t="s">
        <v>834</v>
      </c>
      <c r="X1236" s="54" t="str">
        <f>VLOOKUP(W1236,Employees!$A$1:$B$601,2,FALSE)</f>
        <v>Prasant Padhi</v>
      </c>
      <c r="AW1236" s="54"/>
      <c r="AX1236" s="54"/>
      <c r="BI1236" s="48"/>
      <c r="BJ1236" s="38"/>
      <c r="BK1236" s="38"/>
      <c r="BL1236" s="38"/>
      <c r="BM1236"/>
      <c r="BN1236" s="48"/>
      <c r="BR1236" s="19" t="s">
        <v>834</v>
      </c>
      <c r="BS1236" s="19" t="s">
        <v>4033</v>
      </c>
      <c r="BT1236" s="54" t="str">
        <f t="shared" si="190"/>
        <v>DevOps</v>
      </c>
    </row>
    <row r="1237" spans="17:72">
      <c r="Q1237" s="18">
        <v>6.84</v>
      </c>
      <c r="R1237" s="56" t="str">
        <f t="shared" si="189"/>
        <v>Yes</v>
      </c>
      <c r="W1237" s="18" t="s">
        <v>834</v>
      </c>
      <c r="X1237" s="54" t="str">
        <f>VLOOKUP(W1237,Employees!$A$1:$B$601,2,FALSE)</f>
        <v>Prasant Padhi</v>
      </c>
      <c r="AW1237" s="54"/>
      <c r="AX1237" s="54"/>
      <c r="BI1237" s="48"/>
      <c r="BJ1237" s="38"/>
      <c r="BK1237" s="38"/>
      <c r="BL1237" s="38"/>
      <c r="BM1237"/>
      <c r="BN1237" s="48"/>
      <c r="BR1237" s="18" t="s">
        <v>834</v>
      </c>
      <c r="BS1237" s="18" t="s">
        <v>4035</v>
      </c>
      <c r="BT1237" s="54" t="str">
        <f t="shared" si="190"/>
        <v>DevOps</v>
      </c>
    </row>
    <row r="1238" spans="17:72">
      <c r="Q1238" s="19">
        <v>10.9</v>
      </c>
      <c r="R1238" s="56" t="str">
        <f t="shared" si="189"/>
        <v>Yes</v>
      </c>
      <c r="W1238" s="19" t="s">
        <v>834</v>
      </c>
      <c r="X1238" s="54" t="str">
        <f>VLOOKUP(W1238,Employees!$A$1:$B$601,2,FALSE)</f>
        <v>Prasant Padhi</v>
      </c>
      <c r="AW1238" s="54"/>
      <c r="AX1238" s="54"/>
      <c r="BI1238" s="48"/>
      <c r="BJ1238" s="38"/>
      <c r="BK1238" s="38"/>
      <c r="BL1238" s="38"/>
      <c r="BM1238"/>
      <c r="BN1238" s="48"/>
      <c r="BR1238" s="19" t="s">
        <v>834</v>
      </c>
      <c r="BS1238" s="19" t="s">
        <v>4037</v>
      </c>
      <c r="BT1238" s="54" t="str">
        <f t="shared" si="190"/>
        <v>DevOps</v>
      </c>
    </row>
    <row r="1239" spans="17:72">
      <c r="Q1239" s="18">
        <v>8.57</v>
      </c>
      <c r="R1239" s="56" t="str">
        <f t="shared" si="189"/>
        <v>Yes</v>
      </c>
      <c r="W1239" s="18" t="s">
        <v>834</v>
      </c>
      <c r="X1239" s="54" t="str">
        <f>VLOOKUP(W1239,Employees!$A$1:$B$601,2,FALSE)</f>
        <v>Prasant Padhi</v>
      </c>
      <c r="AW1239" s="54"/>
      <c r="AX1239" s="54"/>
      <c r="BI1239" s="48"/>
      <c r="BJ1239" s="38"/>
      <c r="BK1239" s="38"/>
      <c r="BL1239" s="38"/>
      <c r="BM1239"/>
      <c r="BN1239" s="48"/>
      <c r="BR1239" s="18" t="s">
        <v>834</v>
      </c>
      <c r="BS1239" s="18" t="s">
        <v>4038</v>
      </c>
      <c r="BT1239" s="54" t="str">
        <f t="shared" si="190"/>
        <v>DevOps</v>
      </c>
    </row>
    <row r="1240" spans="17:72">
      <c r="Q1240" s="19">
        <v>8.8800000000000008</v>
      </c>
      <c r="R1240" s="56" t="str">
        <f t="shared" si="189"/>
        <v>Yes</v>
      </c>
      <c r="W1240" s="19" t="s">
        <v>834</v>
      </c>
      <c r="X1240" s="54" t="str">
        <f>VLOOKUP(W1240,Employees!$A$1:$B$601,2,FALSE)</f>
        <v>Prasant Padhi</v>
      </c>
      <c r="AW1240" s="54"/>
      <c r="AX1240" s="54"/>
      <c r="BI1240" s="48"/>
      <c r="BJ1240" s="38"/>
      <c r="BK1240" s="38"/>
      <c r="BL1240" s="38"/>
      <c r="BM1240"/>
      <c r="BN1240" s="48"/>
      <c r="BR1240" s="19" t="s">
        <v>834</v>
      </c>
      <c r="BS1240" s="19" t="s">
        <v>4039</v>
      </c>
      <c r="BT1240" s="54" t="str">
        <f t="shared" si="190"/>
        <v>DevOps</v>
      </c>
    </row>
    <row r="1241" spans="17:72">
      <c r="Q1241" s="18">
        <v>9.49</v>
      </c>
      <c r="R1241" s="56" t="str">
        <f t="shared" si="189"/>
        <v>Yes</v>
      </c>
      <c r="W1241" s="18" t="s">
        <v>834</v>
      </c>
      <c r="X1241" s="54" t="str">
        <f>VLOOKUP(W1241,Employees!$A$1:$B$601,2,FALSE)</f>
        <v>Prasant Padhi</v>
      </c>
      <c r="AW1241" s="54"/>
      <c r="AX1241" s="54"/>
      <c r="BI1241" s="48"/>
      <c r="BJ1241" s="38"/>
      <c r="BK1241" s="38"/>
      <c r="BL1241" s="38"/>
      <c r="BM1241"/>
      <c r="BN1241" s="48"/>
      <c r="BR1241" s="18" t="s">
        <v>834</v>
      </c>
      <c r="BS1241" s="18" t="s">
        <v>4040</v>
      </c>
      <c r="BT1241" s="54" t="str">
        <f t="shared" si="190"/>
        <v>DevOps</v>
      </c>
    </row>
    <row r="1242" spans="17:72">
      <c r="Q1242" s="19">
        <v>7</v>
      </c>
      <c r="R1242" s="56" t="str">
        <f t="shared" si="189"/>
        <v>Yes</v>
      </c>
      <c r="W1242" s="19" t="s">
        <v>834</v>
      </c>
      <c r="X1242" s="54" t="str">
        <f>VLOOKUP(W1242,Employees!$A$1:$B$601,2,FALSE)</f>
        <v>Prasant Padhi</v>
      </c>
      <c r="AW1242" s="54"/>
      <c r="AX1242" s="54"/>
      <c r="BI1242" s="48"/>
      <c r="BJ1242" s="38"/>
      <c r="BK1242" s="38"/>
      <c r="BL1242" s="38"/>
      <c r="BM1242"/>
      <c r="BN1242" s="48"/>
      <c r="BR1242" s="19" t="s">
        <v>834</v>
      </c>
      <c r="BS1242" s="19" t="s">
        <v>4041</v>
      </c>
      <c r="BT1242" s="54" t="str">
        <f t="shared" si="190"/>
        <v>DevOps</v>
      </c>
    </row>
    <row r="1243" spans="17:72">
      <c r="Q1243" s="18">
        <v>9.1999999999999993</v>
      </c>
      <c r="R1243" s="56" t="str">
        <f t="shared" si="189"/>
        <v>Yes</v>
      </c>
      <c r="W1243" s="18" t="s">
        <v>834</v>
      </c>
      <c r="X1243" s="54" t="str">
        <f>VLOOKUP(W1243,Employees!$A$1:$B$601,2,FALSE)</f>
        <v>Prasant Padhi</v>
      </c>
      <c r="AW1243" s="54"/>
      <c r="AX1243" s="54"/>
      <c r="BI1243" s="48"/>
      <c r="BJ1243" s="38"/>
      <c r="BK1243" s="38"/>
      <c r="BL1243" s="38"/>
      <c r="BM1243"/>
      <c r="BN1243" s="48"/>
      <c r="BR1243" s="18" t="s">
        <v>834</v>
      </c>
      <c r="BS1243" s="18" t="s">
        <v>4042</v>
      </c>
      <c r="BT1243" s="54" t="str">
        <f t="shared" si="190"/>
        <v>DevOps</v>
      </c>
    </row>
    <row r="1244" spans="17:72">
      <c r="Q1244" s="19">
        <v>7.79</v>
      </c>
      <c r="R1244" s="56" t="str">
        <f t="shared" si="189"/>
        <v>Yes</v>
      </c>
      <c r="W1244" s="19" t="s">
        <v>834</v>
      </c>
      <c r="X1244" s="54" t="str">
        <f>VLOOKUP(W1244,Employees!$A$1:$B$601,2,FALSE)</f>
        <v>Prasant Padhi</v>
      </c>
      <c r="AW1244" s="54"/>
      <c r="AX1244" s="54"/>
      <c r="BI1244" s="48"/>
      <c r="BJ1244" s="38"/>
      <c r="BK1244" s="38"/>
      <c r="BL1244" s="38"/>
      <c r="BM1244"/>
      <c r="BN1244" s="48"/>
      <c r="BR1244" s="19" t="s">
        <v>834</v>
      </c>
      <c r="BS1244" s="19" t="s">
        <v>4043</v>
      </c>
      <c r="BT1244" s="54" t="str">
        <f t="shared" si="190"/>
        <v>DevOps</v>
      </c>
    </row>
    <row r="1245" spans="17:72">
      <c r="Q1245" s="18">
        <v>10.46</v>
      </c>
      <c r="R1245" s="56" t="str">
        <f t="shared" si="189"/>
        <v>Yes</v>
      </c>
      <c r="W1245" s="18" t="s">
        <v>834</v>
      </c>
      <c r="X1245" s="54" t="str">
        <f>VLOOKUP(W1245,Employees!$A$1:$B$601,2,FALSE)</f>
        <v>Prasant Padhi</v>
      </c>
      <c r="AW1245" s="54"/>
      <c r="AX1245" s="54"/>
      <c r="BI1245" s="48"/>
      <c r="BJ1245" s="38"/>
      <c r="BK1245" s="38"/>
      <c r="BL1245" s="38"/>
      <c r="BM1245"/>
      <c r="BN1245" s="48"/>
      <c r="BR1245" s="18" t="s">
        <v>834</v>
      </c>
      <c r="BS1245" s="18" t="s">
        <v>4044</v>
      </c>
      <c r="BT1245" s="54" t="str">
        <f t="shared" si="190"/>
        <v>DevOps</v>
      </c>
    </row>
    <row r="1246" spans="17:72">
      <c r="Q1246" s="19">
        <v>7.32</v>
      </c>
      <c r="R1246" s="56" t="str">
        <f t="shared" si="189"/>
        <v>Yes</v>
      </c>
      <c r="W1246" s="19" t="s">
        <v>834</v>
      </c>
      <c r="X1246" s="54" t="str">
        <f>VLOOKUP(W1246,Employees!$A$1:$B$601,2,FALSE)</f>
        <v>Prasant Padhi</v>
      </c>
      <c r="AW1246" s="54"/>
      <c r="AX1246" s="54"/>
      <c r="BI1246" s="48"/>
      <c r="BJ1246" s="38"/>
      <c r="BK1246" s="38"/>
      <c r="BL1246" s="38"/>
      <c r="BM1246"/>
      <c r="BN1246" s="48"/>
      <c r="BR1246" s="19" t="s">
        <v>834</v>
      </c>
      <c r="BS1246" s="19" t="s">
        <v>4045</v>
      </c>
      <c r="BT1246" s="54" t="str">
        <f t="shared" si="190"/>
        <v>DevOps</v>
      </c>
    </row>
    <row r="1247" spans="17:72">
      <c r="Q1247" s="18">
        <v>11.26</v>
      </c>
      <c r="R1247" s="56" t="str">
        <f t="shared" si="189"/>
        <v>Yes</v>
      </c>
      <c r="W1247" s="18" t="s">
        <v>834</v>
      </c>
      <c r="X1247" s="54" t="str">
        <f>VLOOKUP(W1247,Employees!$A$1:$B$601,2,FALSE)</f>
        <v>Prasant Padhi</v>
      </c>
      <c r="AW1247" s="54"/>
      <c r="AX1247" s="54"/>
      <c r="BI1247" s="48"/>
      <c r="BJ1247" s="38"/>
      <c r="BK1247" s="38"/>
      <c r="BL1247" s="38"/>
      <c r="BM1247"/>
      <c r="BN1247" s="48"/>
      <c r="BR1247" s="18" t="s">
        <v>834</v>
      </c>
      <c r="BS1247" s="18" t="s">
        <v>4046</v>
      </c>
      <c r="BT1247" s="54" t="str">
        <f t="shared" si="190"/>
        <v>DevOps</v>
      </c>
    </row>
    <row r="1248" spans="17:72">
      <c r="Q1248" s="19">
        <v>6.62</v>
      </c>
      <c r="R1248" s="56" t="str">
        <f t="shared" si="189"/>
        <v>Yes</v>
      </c>
      <c r="W1248" s="19" t="s">
        <v>834</v>
      </c>
      <c r="X1248" s="54" t="str">
        <f>VLOOKUP(W1248,Employees!$A$1:$B$601,2,FALSE)</f>
        <v>Prasant Padhi</v>
      </c>
      <c r="AW1248" s="54"/>
      <c r="AX1248" s="54"/>
      <c r="BI1248" s="48"/>
      <c r="BJ1248" s="38"/>
      <c r="BK1248" s="38"/>
      <c r="BL1248" s="38"/>
      <c r="BM1248"/>
      <c r="BN1248" s="48"/>
      <c r="BR1248" s="19" t="s">
        <v>834</v>
      </c>
      <c r="BS1248" s="19" t="s">
        <v>4047</v>
      </c>
      <c r="BT1248" s="54" t="str">
        <f t="shared" si="190"/>
        <v>DevOps</v>
      </c>
    </row>
    <row r="1249" spans="17:72">
      <c r="Q1249" s="18">
        <v>9.1300000000000008</v>
      </c>
      <c r="R1249" s="56" t="str">
        <f t="shared" si="189"/>
        <v>Yes</v>
      </c>
      <c r="W1249" s="18" t="s">
        <v>735</v>
      </c>
      <c r="X1249" s="54" t="str">
        <f>VLOOKUP(W1249,Employees!$A$1:$B$601,2,FALSE)</f>
        <v>Soumya Pattnaik</v>
      </c>
      <c r="AW1249" s="54"/>
      <c r="AX1249" s="54"/>
      <c r="BI1249" s="48"/>
      <c r="BJ1249" s="38"/>
      <c r="BK1249" s="38"/>
      <c r="BL1249" s="38"/>
      <c r="BM1249"/>
      <c r="BN1249" s="48"/>
      <c r="BR1249" s="18" t="s">
        <v>735</v>
      </c>
      <c r="BS1249" s="18" t="s">
        <v>4048</v>
      </c>
      <c r="BT1249" s="54" t="str">
        <f t="shared" si="190"/>
        <v>Design</v>
      </c>
    </row>
    <row r="1250" spans="17:72">
      <c r="Q1250" s="19">
        <v>7.99</v>
      </c>
      <c r="R1250" s="56" t="str">
        <f t="shared" si="189"/>
        <v>Yes</v>
      </c>
      <c r="W1250" s="19" t="s">
        <v>735</v>
      </c>
      <c r="X1250" s="54" t="str">
        <f>VLOOKUP(W1250,Employees!$A$1:$B$601,2,FALSE)</f>
        <v>Soumya Pattnaik</v>
      </c>
      <c r="AW1250" s="54"/>
      <c r="AX1250" s="54"/>
      <c r="BI1250" s="48"/>
      <c r="BJ1250" s="38"/>
      <c r="BK1250" s="38"/>
      <c r="BL1250" s="38"/>
      <c r="BM1250"/>
      <c r="BN1250" s="48"/>
      <c r="BR1250" s="19" t="s">
        <v>735</v>
      </c>
      <c r="BS1250" s="19" t="s">
        <v>4049</v>
      </c>
      <c r="BT1250" s="54" t="str">
        <f t="shared" si="190"/>
        <v>Design</v>
      </c>
    </row>
    <row r="1251" spans="17:72">
      <c r="Q1251" s="18">
        <v>10.58</v>
      </c>
      <c r="R1251" s="56" t="str">
        <f t="shared" si="189"/>
        <v>Yes</v>
      </c>
      <c r="W1251" s="18" t="s">
        <v>735</v>
      </c>
      <c r="X1251" s="54" t="str">
        <f>VLOOKUP(W1251,Employees!$A$1:$B$601,2,FALSE)</f>
        <v>Soumya Pattnaik</v>
      </c>
      <c r="AW1251" s="54"/>
      <c r="AX1251" s="54"/>
      <c r="BI1251" s="48"/>
      <c r="BJ1251" s="38"/>
      <c r="BK1251" s="38"/>
      <c r="BL1251" s="38"/>
      <c r="BM1251"/>
      <c r="BN1251" s="48"/>
      <c r="BR1251" s="18" t="s">
        <v>735</v>
      </c>
      <c r="BS1251" s="18" t="s">
        <v>4050</v>
      </c>
      <c r="BT1251" s="54" t="str">
        <f t="shared" si="190"/>
        <v>Design</v>
      </c>
    </row>
    <row r="1252" spans="17:72">
      <c r="Q1252" s="19">
        <v>10.32</v>
      </c>
      <c r="R1252" s="56" t="str">
        <f t="shared" si="189"/>
        <v>Yes</v>
      </c>
      <c r="W1252" s="19" t="s">
        <v>735</v>
      </c>
      <c r="X1252" s="54" t="str">
        <f>VLOOKUP(W1252,Employees!$A$1:$B$601,2,FALSE)</f>
        <v>Soumya Pattnaik</v>
      </c>
      <c r="AW1252" s="54"/>
      <c r="AX1252" s="54"/>
      <c r="BI1252" s="48"/>
      <c r="BJ1252" s="38"/>
      <c r="BK1252" s="38"/>
      <c r="BL1252" s="38"/>
      <c r="BM1252"/>
      <c r="BN1252" s="48"/>
      <c r="BR1252" s="19" t="s">
        <v>735</v>
      </c>
      <c r="BS1252" s="19" t="s">
        <v>4051</v>
      </c>
      <c r="BT1252" s="54" t="str">
        <f t="shared" si="190"/>
        <v>Design</v>
      </c>
    </row>
    <row r="1253" spans="17:72">
      <c r="Q1253" s="18">
        <v>7.38</v>
      </c>
      <c r="R1253" s="56" t="str">
        <f t="shared" si="189"/>
        <v>Yes</v>
      </c>
      <c r="W1253" s="18" t="s">
        <v>735</v>
      </c>
      <c r="X1253" s="54" t="str">
        <f>VLOOKUP(W1253,Employees!$A$1:$B$601,2,FALSE)</f>
        <v>Soumya Pattnaik</v>
      </c>
      <c r="AW1253" s="54"/>
      <c r="AX1253" s="54"/>
      <c r="BI1253" s="48"/>
      <c r="BJ1253" s="38"/>
      <c r="BK1253" s="38"/>
      <c r="BL1253" s="38"/>
      <c r="BM1253"/>
      <c r="BN1253" s="48"/>
      <c r="BR1253" s="18" t="s">
        <v>735</v>
      </c>
      <c r="BS1253" s="18" t="s">
        <v>4052</v>
      </c>
      <c r="BT1253" s="54" t="str">
        <f t="shared" si="190"/>
        <v>Design</v>
      </c>
    </row>
    <row r="1254" spans="17:72">
      <c r="Q1254" s="19">
        <v>8.2899999999999991</v>
      </c>
      <c r="R1254" s="56" t="str">
        <f t="shared" si="189"/>
        <v>Yes</v>
      </c>
      <c r="W1254" s="19" t="s">
        <v>735</v>
      </c>
      <c r="X1254" s="54" t="str">
        <f>VLOOKUP(W1254,Employees!$A$1:$B$601,2,FALSE)</f>
        <v>Soumya Pattnaik</v>
      </c>
      <c r="AW1254" s="54"/>
      <c r="AX1254" s="54"/>
      <c r="BI1254" s="48"/>
      <c r="BJ1254" s="38"/>
      <c r="BK1254" s="38"/>
      <c r="BL1254" s="38"/>
      <c r="BM1254"/>
      <c r="BN1254" s="48"/>
      <c r="BR1254" s="19" t="s">
        <v>735</v>
      </c>
      <c r="BS1254" s="19" t="s">
        <v>4053</v>
      </c>
      <c r="BT1254" s="54" t="str">
        <f t="shared" si="190"/>
        <v>Design</v>
      </c>
    </row>
    <row r="1255" spans="17:72">
      <c r="Q1255" s="18">
        <v>7.31</v>
      </c>
      <c r="R1255" s="56" t="str">
        <f t="shared" si="189"/>
        <v>Yes</v>
      </c>
      <c r="W1255" s="18" t="s">
        <v>735</v>
      </c>
      <c r="X1255" s="54" t="str">
        <f>VLOOKUP(W1255,Employees!$A$1:$B$601,2,FALSE)</f>
        <v>Soumya Pattnaik</v>
      </c>
      <c r="AW1255" s="54"/>
      <c r="AX1255" s="54"/>
      <c r="BI1255" s="48"/>
      <c r="BJ1255" s="38"/>
      <c r="BK1255" s="38"/>
      <c r="BL1255" s="38"/>
      <c r="BM1255"/>
      <c r="BN1255" s="48"/>
      <c r="BR1255" s="18" t="s">
        <v>735</v>
      </c>
      <c r="BS1255" s="18" t="s">
        <v>4054</v>
      </c>
      <c r="BT1255" s="54" t="str">
        <f t="shared" si="190"/>
        <v>Design</v>
      </c>
    </row>
    <row r="1256" spans="17:72">
      <c r="Q1256" s="19">
        <v>7.71</v>
      </c>
      <c r="R1256" s="56" t="str">
        <f t="shared" si="189"/>
        <v>Yes</v>
      </c>
      <c r="W1256" s="19" t="s">
        <v>735</v>
      </c>
      <c r="X1256" s="54" t="str">
        <f>VLOOKUP(W1256,Employees!$A$1:$B$601,2,FALSE)</f>
        <v>Soumya Pattnaik</v>
      </c>
      <c r="AW1256" s="54"/>
      <c r="AX1256" s="54"/>
      <c r="BI1256" s="48"/>
      <c r="BJ1256" s="38"/>
      <c r="BK1256" s="38"/>
      <c r="BL1256" s="38"/>
      <c r="BM1256"/>
      <c r="BN1256" s="48"/>
      <c r="BR1256" s="19" t="s">
        <v>735</v>
      </c>
      <c r="BS1256" s="19" t="s">
        <v>4055</v>
      </c>
      <c r="BT1256" s="54" t="str">
        <f t="shared" si="190"/>
        <v>Design</v>
      </c>
    </row>
    <row r="1257" spans="17:72">
      <c r="Q1257" s="18">
        <v>7.92</v>
      </c>
      <c r="R1257" s="56" t="str">
        <f t="shared" si="189"/>
        <v>Yes</v>
      </c>
      <c r="W1257" s="18" t="s">
        <v>735</v>
      </c>
      <c r="X1257" s="54" t="str">
        <f>VLOOKUP(W1257,Employees!$A$1:$B$601,2,FALSE)</f>
        <v>Soumya Pattnaik</v>
      </c>
      <c r="AW1257" s="54"/>
      <c r="AX1257" s="54"/>
      <c r="BI1257" s="48"/>
      <c r="BJ1257" s="38"/>
      <c r="BK1257" s="38"/>
      <c r="BL1257" s="38"/>
      <c r="BM1257"/>
      <c r="BN1257" s="48"/>
      <c r="BR1257" s="18" t="s">
        <v>735</v>
      </c>
      <c r="BS1257" s="18" t="s">
        <v>4056</v>
      </c>
      <c r="BT1257" s="54" t="str">
        <f t="shared" si="190"/>
        <v>Design</v>
      </c>
    </row>
    <row r="1258" spans="17:72">
      <c r="Q1258" s="19">
        <v>10.24</v>
      </c>
      <c r="R1258" s="56" t="str">
        <f t="shared" si="189"/>
        <v>Yes</v>
      </c>
      <c r="W1258" s="19" t="s">
        <v>735</v>
      </c>
      <c r="X1258" s="54" t="str">
        <f>VLOOKUP(W1258,Employees!$A$1:$B$601,2,FALSE)</f>
        <v>Soumya Pattnaik</v>
      </c>
      <c r="AW1258" s="54"/>
      <c r="AX1258" s="54"/>
      <c r="BI1258" s="48"/>
      <c r="BJ1258" s="38"/>
      <c r="BK1258" s="38"/>
      <c r="BL1258" s="38"/>
      <c r="BM1258"/>
      <c r="BN1258" s="48"/>
      <c r="BR1258" s="19" t="s">
        <v>735</v>
      </c>
      <c r="BS1258" s="19" t="s">
        <v>4057</v>
      </c>
      <c r="BT1258" s="54" t="str">
        <f t="shared" si="190"/>
        <v>Design</v>
      </c>
    </row>
    <row r="1259" spans="17:72">
      <c r="Q1259" s="18">
        <v>9.51</v>
      </c>
      <c r="R1259" s="56" t="str">
        <f t="shared" si="189"/>
        <v>Yes</v>
      </c>
      <c r="W1259" s="18" t="s">
        <v>735</v>
      </c>
      <c r="X1259" s="54" t="str">
        <f>VLOOKUP(W1259,Employees!$A$1:$B$601,2,FALSE)</f>
        <v>Soumya Pattnaik</v>
      </c>
      <c r="AW1259" s="54"/>
      <c r="AX1259" s="54"/>
      <c r="BI1259" s="48"/>
      <c r="BJ1259" s="38"/>
      <c r="BK1259" s="38"/>
      <c r="BL1259" s="38"/>
      <c r="BM1259"/>
      <c r="BN1259" s="48"/>
      <c r="BR1259" s="18" t="s">
        <v>735</v>
      </c>
      <c r="BS1259" s="18" t="s">
        <v>4058</v>
      </c>
      <c r="BT1259" s="54" t="str">
        <f t="shared" si="190"/>
        <v>Design</v>
      </c>
    </row>
    <row r="1260" spans="17:72">
      <c r="Q1260" s="19">
        <v>7.44</v>
      </c>
      <c r="R1260" s="56" t="str">
        <f t="shared" si="189"/>
        <v>Yes</v>
      </c>
      <c r="W1260" s="19" t="s">
        <v>735</v>
      </c>
      <c r="X1260" s="54" t="str">
        <f>VLOOKUP(W1260,Employees!$A$1:$B$601,2,FALSE)</f>
        <v>Soumya Pattnaik</v>
      </c>
      <c r="AW1260" s="54"/>
      <c r="AX1260" s="54"/>
      <c r="BI1260" s="48"/>
      <c r="BJ1260" s="38"/>
      <c r="BK1260" s="38"/>
      <c r="BL1260" s="38"/>
      <c r="BM1260"/>
      <c r="BN1260" s="48"/>
      <c r="BR1260" s="19" t="s">
        <v>735</v>
      </c>
      <c r="BS1260" s="19" t="s">
        <v>4059</v>
      </c>
      <c r="BT1260" s="54" t="str">
        <f t="shared" si="190"/>
        <v>Design</v>
      </c>
    </row>
    <row r="1261" spans="17:72">
      <c r="Q1261" s="18">
        <v>9.98</v>
      </c>
      <c r="R1261" s="56" t="str">
        <f t="shared" si="189"/>
        <v>Yes</v>
      </c>
      <c r="W1261" s="18" t="s">
        <v>735</v>
      </c>
      <c r="X1261" s="54" t="str">
        <f>VLOOKUP(W1261,Employees!$A$1:$B$601,2,FALSE)</f>
        <v>Soumya Pattnaik</v>
      </c>
      <c r="AW1261" s="54"/>
      <c r="AX1261" s="54"/>
      <c r="BI1261" s="48"/>
      <c r="BJ1261" s="38"/>
      <c r="BK1261" s="38"/>
      <c r="BL1261" s="38"/>
      <c r="BM1261"/>
      <c r="BN1261" s="48"/>
      <c r="BR1261" s="18" t="s">
        <v>735</v>
      </c>
      <c r="BS1261" s="18" t="s">
        <v>4060</v>
      </c>
      <c r="BT1261" s="54" t="str">
        <f t="shared" si="190"/>
        <v>Design</v>
      </c>
    </row>
    <row r="1262" spans="17:72">
      <c r="Q1262" s="19">
        <v>9.48</v>
      </c>
      <c r="R1262" s="56" t="str">
        <f t="shared" si="189"/>
        <v>Yes</v>
      </c>
      <c r="W1262" s="19" t="s">
        <v>735</v>
      </c>
      <c r="X1262" s="54" t="str">
        <f>VLOOKUP(W1262,Employees!$A$1:$B$601,2,FALSE)</f>
        <v>Soumya Pattnaik</v>
      </c>
      <c r="AW1262" s="54"/>
      <c r="AX1262" s="54"/>
      <c r="BI1262" s="48"/>
      <c r="BJ1262" s="38"/>
      <c r="BK1262" s="38"/>
      <c r="BL1262" s="38"/>
      <c r="BM1262"/>
      <c r="BN1262" s="48"/>
      <c r="BR1262" s="19" t="s">
        <v>735</v>
      </c>
      <c r="BS1262" s="19" t="s">
        <v>4061</v>
      </c>
      <c r="BT1262" s="54" t="str">
        <f t="shared" si="190"/>
        <v>Design</v>
      </c>
    </row>
    <row r="1263" spans="17:72">
      <c r="Q1263" s="18">
        <v>8.26</v>
      </c>
      <c r="R1263" s="56" t="str">
        <f t="shared" si="189"/>
        <v>Yes</v>
      </c>
      <c r="W1263" s="18" t="s">
        <v>735</v>
      </c>
      <c r="X1263" s="54" t="str">
        <f>VLOOKUP(W1263,Employees!$A$1:$B$601,2,FALSE)</f>
        <v>Soumya Pattnaik</v>
      </c>
      <c r="AW1263" s="54"/>
      <c r="AX1263" s="54"/>
      <c r="BI1263" s="48"/>
      <c r="BJ1263" s="38"/>
      <c r="BK1263" s="38"/>
      <c r="BL1263" s="38"/>
      <c r="BM1263"/>
      <c r="BN1263" s="48"/>
      <c r="BR1263" s="18" t="s">
        <v>735</v>
      </c>
      <c r="BS1263" s="18" t="s">
        <v>4062</v>
      </c>
      <c r="BT1263" s="54" t="str">
        <f t="shared" si="190"/>
        <v>Design</v>
      </c>
    </row>
    <row r="1264" spans="17:72">
      <c r="Q1264" s="19">
        <v>6.78</v>
      </c>
      <c r="R1264" s="56" t="str">
        <f t="shared" si="189"/>
        <v>Yes</v>
      </c>
      <c r="W1264" s="19" t="s">
        <v>735</v>
      </c>
      <c r="X1264" s="54" t="str">
        <f>VLOOKUP(W1264,Employees!$A$1:$B$601,2,FALSE)</f>
        <v>Soumya Pattnaik</v>
      </c>
      <c r="AW1264" s="54"/>
      <c r="AX1264" s="54"/>
      <c r="BI1264" s="48"/>
      <c r="BJ1264" s="38"/>
      <c r="BK1264" s="38"/>
      <c r="BL1264" s="38"/>
      <c r="BM1264"/>
      <c r="BN1264" s="48"/>
      <c r="BR1264" s="19" t="s">
        <v>735</v>
      </c>
      <c r="BS1264" s="19" t="s">
        <v>4063</v>
      </c>
      <c r="BT1264" s="54" t="str">
        <f t="shared" si="190"/>
        <v>Design</v>
      </c>
    </row>
    <row r="1265" spans="17:72">
      <c r="Q1265" s="18">
        <v>11.08</v>
      </c>
      <c r="R1265" s="56" t="str">
        <f t="shared" si="189"/>
        <v>Yes</v>
      </c>
      <c r="W1265" s="18" t="s">
        <v>735</v>
      </c>
      <c r="X1265" s="54" t="str">
        <f>VLOOKUP(W1265,Employees!$A$1:$B$601,2,FALSE)</f>
        <v>Soumya Pattnaik</v>
      </c>
      <c r="AW1265" s="54"/>
      <c r="AX1265" s="54"/>
      <c r="BI1265" s="48"/>
      <c r="BJ1265" s="38"/>
      <c r="BK1265" s="38"/>
      <c r="BL1265" s="38"/>
      <c r="BM1265"/>
      <c r="BN1265" s="48"/>
      <c r="BR1265" s="18" t="s">
        <v>735</v>
      </c>
      <c r="BS1265" s="18" t="s">
        <v>4064</v>
      </c>
      <c r="BT1265" s="54" t="str">
        <f t="shared" si="190"/>
        <v>Design</v>
      </c>
    </row>
    <row r="1266" spans="17:72">
      <c r="Q1266" s="19">
        <v>7.78</v>
      </c>
      <c r="R1266" s="56" t="str">
        <f t="shared" si="189"/>
        <v>Yes</v>
      </c>
      <c r="W1266" s="19" t="s">
        <v>735</v>
      </c>
      <c r="X1266" s="54" t="str">
        <f>VLOOKUP(W1266,Employees!$A$1:$B$601,2,FALSE)</f>
        <v>Soumya Pattnaik</v>
      </c>
      <c r="AW1266" s="54"/>
      <c r="AX1266" s="54"/>
      <c r="BI1266" s="48"/>
      <c r="BJ1266" s="38"/>
      <c r="BK1266" s="38"/>
      <c r="BL1266" s="38"/>
      <c r="BM1266"/>
      <c r="BN1266" s="48"/>
      <c r="BR1266" s="19" t="s">
        <v>735</v>
      </c>
      <c r="BS1266" s="19" t="s">
        <v>4065</v>
      </c>
      <c r="BT1266" s="54" t="str">
        <f t="shared" si="190"/>
        <v>Design</v>
      </c>
    </row>
    <row r="1267" spans="17:72">
      <c r="Q1267" s="18">
        <v>10.34</v>
      </c>
      <c r="R1267" s="56" t="str">
        <f t="shared" si="189"/>
        <v>Yes</v>
      </c>
      <c r="W1267" s="18" t="s">
        <v>735</v>
      </c>
      <c r="X1267" s="54" t="str">
        <f>VLOOKUP(W1267,Employees!$A$1:$B$601,2,FALSE)</f>
        <v>Soumya Pattnaik</v>
      </c>
      <c r="AW1267" s="54"/>
      <c r="AX1267" s="54"/>
      <c r="BI1267" s="48"/>
      <c r="BJ1267" s="38"/>
      <c r="BK1267" s="38"/>
      <c r="BL1267" s="38"/>
      <c r="BM1267"/>
      <c r="BN1267" s="48"/>
      <c r="BR1267" s="18" t="s">
        <v>735</v>
      </c>
      <c r="BS1267" s="18" t="s">
        <v>4067</v>
      </c>
      <c r="BT1267" s="54" t="str">
        <f t="shared" si="190"/>
        <v>Design</v>
      </c>
    </row>
    <row r="1268" spans="17:72">
      <c r="Q1268" s="19">
        <v>7.28</v>
      </c>
      <c r="R1268" s="56" t="str">
        <f t="shared" si="189"/>
        <v>Yes</v>
      </c>
      <c r="W1268" s="19" t="s">
        <v>735</v>
      </c>
      <c r="X1268" s="54" t="str">
        <f>VLOOKUP(W1268,Employees!$A$1:$B$601,2,FALSE)</f>
        <v>Soumya Pattnaik</v>
      </c>
      <c r="AW1268" s="54"/>
      <c r="AX1268" s="54"/>
      <c r="BI1268" s="48"/>
      <c r="BJ1268" s="38"/>
      <c r="BK1268" s="38"/>
      <c r="BL1268" s="38"/>
      <c r="BM1268"/>
      <c r="BN1268" s="48"/>
      <c r="BR1268" s="19" t="s">
        <v>735</v>
      </c>
      <c r="BS1268" s="19" t="s">
        <v>4068</v>
      </c>
      <c r="BT1268" s="54" t="str">
        <f t="shared" si="190"/>
        <v>Design</v>
      </c>
    </row>
    <row r="1269" spans="17:72">
      <c r="Q1269" s="18">
        <v>8.76</v>
      </c>
      <c r="R1269" s="56" t="str">
        <f t="shared" si="189"/>
        <v>Yes</v>
      </c>
      <c r="W1269" s="18" t="s">
        <v>735</v>
      </c>
      <c r="X1269" s="54" t="str">
        <f>VLOOKUP(W1269,Employees!$A$1:$B$601,2,FALSE)</f>
        <v>Soumya Pattnaik</v>
      </c>
      <c r="AW1269" s="54"/>
      <c r="AX1269" s="54"/>
      <c r="BI1269" s="48"/>
      <c r="BJ1269" s="38"/>
      <c r="BK1269" s="38"/>
      <c r="BL1269" s="38"/>
      <c r="BM1269"/>
      <c r="BN1269" s="48"/>
      <c r="BR1269" s="18" t="s">
        <v>735</v>
      </c>
      <c r="BS1269" s="18" t="s">
        <v>4069</v>
      </c>
      <c r="BT1269" s="54" t="str">
        <f t="shared" si="190"/>
        <v>Design</v>
      </c>
    </row>
    <row r="1270" spans="17:72">
      <c r="Q1270" s="19">
        <v>6.61</v>
      </c>
      <c r="R1270" s="56" t="str">
        <f t="shared" si="189"/>
        <v>Yes</v>
      </c>
      <c r="W1270" s="19" t="s">
        <v>735</v>
      </c>
      <c r="X1270" s="54" t="str">
        <f>VLOOKUP(W1270,Employees!$A$1:$B$601,2,FALSE)</f>
        <v>Soumya Pattnaik</v>
      </c>
      <c r="AW1270" s="54"/>
      <c r="AX1270" s="54"/>
      <c r="BI1270" s="48"/>
      <c r="BJ1270" s="38"/>
      <c r="BK1270" s="38"/>
      <c r="BL1270" s="38"/>
      <c r="BM1270"/>
      <c r="BN1270" s="48"/>
      <c r="BR1270" s="19" t="s">
        <v>735</v>
      </c>
      <c r="BS1270" s="19" t="s">
        <v>4070</v>
      </c>
      <c r="BT1270" s="54" t="str">
        <f t="shared" si="190"/>
        <v>Design</v>
      </c>
    </row>
    <row r="1271" spans="17:72">
      <c r="Q1271" s="18">
        <v>8.89</v>
      </c>
      <c r="R1271" s="56" t="str">
        <f t="shared" si="189"/>
        <v>Yes</v>
      </c>
      <c r="W1271" s="18" t="s">
        <v>735</v>
      </c>
      <c r="X1271" s="54" t="str">
        <f>VLOOKUP(W1271,Employees!$A$1:$B$601,2,FALSE)</f>
        <v>Soumya Pattnaik</v>
      </c>
      <c r="AW1271" s="54"/>
      <c r="AX1271" s="54"/>
      <c r="BI1271" s="48"/>
      <c r="BJ1271" s="38"/>
      <c r="BK1271" s="38"/>
      <c r="BL1271" s="38"/>
      <c r="BM1271"/>
      <c r="BN1271" s="48"/>
      <c r="BR1271" s="18" t="s">
        <v>735</v>
      </c>
      <c r="BS1271" s="18" t="s">
        <v>4071</v>
      </c>
      <c r="BT1271" s="54" t="str">
        <f t="shared" si="190"/>
        <v>Design</v>
      </c>
    </row>
    <row r="1272" spans="17:72">
      <c r="Q1272" s="19">
        <v>6.52</v>
      </c>
      <c r="R1272" s="56" t="str">
        <f t="shared" si="189"/>
        <v>Yes</v>
      </c>
      <c r="W1272" s="19" t="s">
        <v>735</v>
      </c>
      <c r="X1272" s="54" t="str">
        <f>VLOOKUP(W1272,Employees!$A$1:$B$601,2,FALSE)</f>
        <v>Soumya Pattnaik</v>
      </c>
      <c r="AW1272" s="54"/>
      <c r="AX1272" s="54"/>
      <c r="BI1272" s="48"/>
      <c r="BJ1272" s="38"/>
      <c r="BK1272" s="38"/>
      <c r="BL1272" s="38"/>
      <c r="BM1272"/>
      <c r="BN1272" s="48"/>
      <c r="BR1272" s="19" t="s">
        <v>735</v>
      </c>
      <c r="BS1272" s="19" t="s">
        <v>4072</v>
      </c>
      <c r="BT1272" s="54" t="str">
        <f t="shared" si="190"/>
        <v>Design</v>
      </c>
    </row>
    <row r="1273" spans="17:72">
      <c r="Q1273" s="18">
        <v>9.5399999999999991</v>
      </c>
      <c r="R1273" s="56" t="str">
        <f t="shared" si="189"/>
        <v>Yes</v>
      </c>
      <c r="W1273" s="18" t="s">
        <v>735</v>
      </c>
      <c r="X1273" s="54" t="str">
        <f>VLOOKUP(W1273,Employees!$A$1:$B$601,2,FALSE)</f>
        <v>Soumya Pattnaik</v>
      </c>
      <c r="AW1273" s="54"/>
      <c r="AX1273" s="54"/>
      <c r="BI1273" s="48"/>
      <c r="BJ1273" s="38"/>
      <c r="BK1273" s="38"/>
      <c r="BL1273" s="38"/>
      <c r="BM1273"/>
      <c r="BN1273" s="48"/>
      <c r="BR1273" s="18" t="s">
        <v>735</v>
      </c>
      <c r="BS1273" s="18" t="s">
        <v>4074</v>
      </c>
      <c r="BT1273" s="54" t="str">
        <f t="shared" si="190"/>
        <v>Design</v>
      </c>
    </row>
    <row r="1274" spans="17:72">
      <c r="Q1274" s="19">
        <v>11.08</v>
      </c>
      <c r="R1274" s="56" t="str">
        <f t="shared" si="189"/>
        <v>Yes</v>
      </c>
      <c r="W1274" s="19" t="s">
        <v>735</v>
      </c>
      <c r="X1274" s="54" t="str">
        <f>VLOOKUP(W1274,Employees!$A$1:$B$601,2,FALSE)</f>
        <v>Soumya Pattnaik</v>
      </c>
      <c r="AW1274" s="54"/>
      <c r="AX1274" s="54"/>
      <c r="BI1274" s="48"/>
      <c r="BJ1274" s="38"/>
      <c r="BK1274" s="38"/>
      <c r="BL1274" s="38"/>
      <c r="BM1274"/>
      <c r="BN1274" s="48"/>
      <c r="BR1274" s="19" t="s">
        <v>735</v>
      </c>
      <c r="BS1274" s="19" t="s">
        <v>4075</v>
      </c>
      <c r="BT1274" s="54" t="str">
        <f t="shared" si="190"/>
        <v>Design</v>
      </c>
    </row>
    <row r="1275" spans="17:72">
      <c r="Q1275" s="18">
        <v>8.3800000000000008</v>
      </c>
      <c r="R1275" s="56" t="str">
        <f t="shared" si="189"/>
        <v>Yes</v>
      </c>
      <c r="W1275" s="18" t="s">
        <v>735</v>
      </c>
      <c r="X1275" s="54" t="str">
        <f>VLOOKUP(W1275,Employees!$A$1:$B$601,2,FALSE)</f>
        <v>Soumya Pattnaik</v>
      </c>
      <c r="AW1275" s="54"/>
      <c r="AX1275" s="54"/>
      <c r="BI1275" s="48"/>
      <c r="BJ1275" s="38"/>
      <c r="BK1275" s="38"/>
      <c r="BL1275" s="38"/>
      <c r="BM1275"/>
      <c r="BN1275" s="48"/>
      <c r="BR1275" s="18" t="s">
        <v>735</v>
      </c>
      <c r="BS1275" s="18" t="s">
        <v>4076</v>
      </c>
      <c r="BT1275" s="54" t="str">
        <f t="shared" si="190"/>
        <v>Design</v>
      </c>
    </row>
    <row r="1276" spans="17:72">
      <c r="Q1276" s="19">
        <v>10.31</v>
      </c>
      <c r="R1276" s="56" t="str">
        <f t="shared" si="189"/>
        <v>Yes</v>
      </c>
      <c r="W1276" s="19" t="s">
        <v>735</v>
      </c>
      <c r="X1276" s="54" t="str">
        <f>VLOOKUP(W1276,Employees!$A$1:$B$601,2,FALSE)</f>
        <v>Soumya Pattnaik</v>
      </c>
      <c r="AW1276" s="54"/>
      <c r="AX1276" s="54"/>
      <c r="BI1276" s="48"/>
      <c r="BJ1276" s="38"/>
      <c r="BK1276" s="38"/>
      <c r="BL1276" s="38"/>
      <c r="BM1276"/>
      <c r="BN1276" s="48"/>
      <c r="BR1276" s="19" t="s">
        <v>735</v>
      </c>
      <c r="BS1276" s="19" t="s">
        <v>4077</v>
      </c>
      <c r="BT1276" s="54" t="str">
        <f t="shared" si="190"/>
        <v>Design</v>
      </c>
    </row>
    <row r="1277" spans="17:72">
      <c r="Q1277" s="18">
        <v>11.36</v>
      </c>
      <c r="R1277" s="56" t="str">
        <f t="shared" si="189"/>
        <v>Yes</v>
      </c>
      <c r="W1277" s="18" t="s">
        <v>735</v>
      </c>
      <c r="X1277" s="54" t="str">
        <f>VLOOKUP(W1277,Employees!$A$1:$B$601,2,FALSE)</f>
        <v>Soumya Pattnaik</v>
      </c>
      <c r="AW1277" s="54"/>
      <c r="AX1277" s="54"/>
      <c r="BI1277" s="48"/>
      <c r="BJ1277" s="38"/>
      <c r="BK1277" s="38"/>
      <c r="BL1277" s="38"/>
      <c r="BM1277"/>
      <c r="BN1277" s="48"/>
      <c r="BR1277" s="18" t="s">
        <v>735</v>
      </c>
      <c r="BS1277" s="18" t="s">
        <v>4078</v>
      </c>
      <c r="BT1277" s="54" t="str">
        <f t="shared" si="190"/>
        <v>Design</v>
      </c>
    </row>
    <row r="1278" spans="17:72">
      <c r="Q1278" s="19">
        <v>9.67</v>
      </c>
      <c r="R1278" s="56" t="str">
        <f t="shared" si="189"/>
        <v>Yes</v>
      </c>
      <c r="W1278" s="19" t="s">
        <v>735</v>
      </c>
      <c r="X1278" s="54" t="str">
        <f>VLOOKUP(W1278,Employees!$A$1:$B$601,2,FALSE)</f>
        <v>Soumya Pattnaik</v>
      </c>
      <c r="AW1278" s="54"/>
      <c r="AX1278" s="54"/>
      <c r="BI1278" s="48"/>
      <c r="BJ1278" s="38"/>
      <c r="BK1278" s="38"/>
      <c r="BL1278" s="38"/>
      <c r="BM1278"/>
      <c r="BN1278" s="48"/>
      <c r="BR1278" s="19" t="s">
        <v>735</v>
      </c>
      <c r="BS1278" s="19" t="s">
        <v>4080</v>
      </c>
      <c r="BT1278" s="54" t="str">
        <f t="shared" si="190"/>
        <v>Design</v>
      </c>
    </row>
    <row r="1279" spans="17:72">
      <c r="Q1279" s="18">
        <v>10.25</v>
      </c>
      <c r="R1279" s="56" t="str">
        <f t="shared" si="189"/>
        <v>Yes</v>
      </c>
      <c r="W1279" s="18" t="s">
        <v>735</v>
      </c>
      <c r="X1279" s="54" t="str">
        <f>VLOOKUP(W1279,Employees!$A$1:$B$601,2,FALSE)</f>
        <v>Soumya Pattnaik</v>
      </c>
      <c r="AW1279" s="54"/>
      <c r="AX1279" s="54"/>
      <c r="BI1279" s="48"/>
      <c r="BJ1279" s="38"/>
      <c r="BK1279" s="38"/>
      <c r="BL1279" s="38"/>
      <c r="BM1279"/>
      <c r="BN1279" s="48"/>
      <c r="BR1279" s="18" t="s">
        <v>735</v>
      </c>
      <c r="BS1279" s="18" t="s">
        <v>4081</v>
      </c>
      <c r="BT1279" s="54" t="str">
        <f t="shared" si="190"/>
        <v>Design</v>
      </c>
    </row>
    <row r="1280" spans="17:72">
      <c r="Q1280" s="19">
        <v>9.98</v>
      </c>
      <c r="R1280" s="56" t="str">
        <f t="shared" si="189"/>
        <v>Yes</v>
      </c>
      <c r="W1280" s="19" t="s">
        <v>735</v>
      </c>
      <c r="X1280" s="54" t="str">
        <f>VLOOKUP(W1280,Employees!$A$1:$B$601,2,FALSE)</f>
        <v>Soumya Pattnaik</v>
      </c>
      <c r="AW1280" s="54"/>
      <c r="AX1280" s="54"/>
      <c r="BI1280" s="48"/>
      <c r="BJ1280" s="38"/>
      <c r="BK1280" s="38"/>
      <c r="BL1280" s="38"/>
      <c r="BM1280"/>
      <c r="BN1280" s="48"/>
      <c r="BR1280" s="19" t="s">
        <v>735</v>
      </c>
      <c r="BS1280" s="19" t="s">
        <v>4082</v>
      </c>
      <c r="BT1280" s="54" t="str">
        <f t="shared" si="190"/>
        <v>Design</v>
      </c>
    </row>
    <row r="1281" spans="17:72">
      <c r="Q1281" s="18">
        <v>8.43</v>
      </c>
      <c r="R1281" s="56" t="str">
        <f t="shared" si="189"/>
        <v>Yes</v>
      </c>
      <c r="W1281" s="18" t="s">
        <v>735</v>
      </c>
      <c r="X1281" s="54" t="str">
        <f>VLOOKUP(W1281,Employees!$A$1:$B$601,2,FALSE)</f>
        <v>Soumya Pattnaik</v>
      </c>
      <c r="AW1281" s="54"/>
      <c r="AX1281" s="54"/>
      <c r="BI1281" s="48"/>
      <c r="BJ1281" s="38"/>
      <c r="BK1281" s="38"/>
      <c r="BL1281" s="38"/>
      <c r="BM1281"/>
      <c r="BN1281" s="48"/>
      <c r="BR1281" s="18" t="s">
        <v>735</v>
      </c>
      <c r="BS1281" s="18" t="s">
        <v>4083</v>
      </c>
      <c r="BT1281" s="54" t="str">
        <f t="shared" si="190"/>
        <v>Design</v>
      </c>
    </row>
    <row r="1282" spans="17:72">
      <c r="Q1282" s="19">
        <v>8.32</v>
      </c>
      <c r="R1282" s="56" t="str">
        <f t="shared" si="189"/>
        <v>Yes</v>
      </c>
      <c r="W1282" s="19" t="s">
        <v>735</v>
      </c>
      <c r="X1282" s="54" t="str">
        <f>VLOOKUP(W1282,Employees!$A$1:$B$601,2,FALSE)</f>
        <v>Soumya Pattnaik</v>
      </c>
      <c r="AW1282" s="54"/>
      <c r="AX1282" s="54"/>
      <c r="BI1282" s="48"/>
      <c r="BJ1282" s="38"/>
      <c r="BK1282" s="38"/>
      <c r="BL1282" s="38"/>
      <c r="BM1282"/>
      <c r="BN1282" s="48"/>
      <c r="BR1282" s="19" t="s">
        <v>735</v>
      </c>
      <c r="BS1282" s="19" t="s">
        <v>4084</v>
      </c>
      <c r="BT1282" s="54" t="str">
        <f t="shared" si="190"/>
        <v>Design</v>
      </c>
    </row>
    <row r="1283" spans="17:72">
      <c r="Q1283" s="18">
        <v>11.38</v>
      </c>
      <c r="R1283" s="56" t="str">
        <f t="shared" ref="R1283:R1346" si="191">IF(ISBLANK(Q1283),"No","Yes")</f>
        <v>Yes</v>
      </c>
      <c r="W1283" s="18" t="s">
        <v>735</v>
      </c>
      <c r="X1283" s="54" t="str">
        <f>VLOOKUP(W1283,Employees!$A$1:$B$601,2,FALSE)</f>
        <v>Soumya Pattnaik</v>
      </c>
      <c r="AW1283" s="54"/>
      <c r="AX1283" s="54"/>
      <c r="BI1283" s="48"/>
      <c r="BJ1283" s="38"/>
      <c r="BK1283" s="38"/>
      <c r="BL1283" s="38"/>
      <c r="BM1283"/>
      <c r="BN1283" s="48"/>
      <c r="BR1283" s="18" t="s">
        <v>735</v>
      </c>
      <c r="BS1283" s="18" t="s">
        <v>4085</v>
      </c>
      <c r="BT1283" s="54" t="str">
        <f t="shared" ref="BT1283:BT1346" si="192">VLOOKUP(BR1283,$BP$2:$BQ$601,2,FALSE)</f>
        <v>Design</v>
      </c>
    </row>
    <row r="1284" spans="17:72">
      <c r="Q1284" s="19">
        <v>9.15</v>
      </c>
      <c r="R1284" s="56" t="str">
        <f t="shared" si="191"/>
        <v>Yes</v>
      </c>
      <c r="W1284" s="19" t="s">
        <v>735</v>
      </c>
      <c r="X1284" s="54" t="str">
        <f>VLOOKUP(W1284,Employees!$A$1:$B$601,2,FALSE)</f>
        <v>Soumya Pattnaik</v>
      </c>
      <c r="AW1284" s="54"/>
      <c r="AX1284" s="54"/>
      <c r="BI1284" s="48"/>
      <c r="BJ1284" s="38"/>
      <c r="BK1284" s="38"/>
      <c r="BL1284" s="38"/>
      <c r="BM1284"/>
      <c r="BN1284" s="48"/>
      <c r="BR1284" s="19" t="s">
        <v>735</v>
      </c>
      <c r="BS1284" s="19" t="s">
        <v>4086</v>
      </c>
      <c r="BT1284" s="54" t="str">
        <f t="shared" si="192"/>
        <v>Design</v>
      </c>
    </row>
    <row r="1285" spans="17:72">
      <c r="Q1285" s="18">
        <v>9.3000000000000007</v>
      </c>
      <c r="R1285" s="56" t="str">
        <f t="shared" si="191"/>
        <v>Yes</v>
      </c>
      <c r="W1285" s="18" t="s">
        <v>735</v>
      </c>
      <c r="X1285" s="54" t="str">
        <f>VLOOKUP(W1285,Employees!$A$1:$B$601,2,FALSE)</f>
        <v>Soumya Pattnaik</v>
      </c>
      <c r="AW1285" s="54"/>
      <c r="AX1285" s="54"/>
      <c r="BI1285" s="48"/>
      <c r="BJ1285" s="38"/>
      <c r="BK1285" s="38"/>
      <c r="BL1285" s="38"/>
      <c r="BM1285"/>
      <c r="BN1285" s="48"/>
      <c r="BR1285" s="18" t="s">
        <v>735</v>
      </c>
      <c r="BS1285" s="18" t="s">
        <v>4087</v>
      </c>
      <c r="BT1285" s="54" t="str">
        <f t="shared" si="192"/>
        <v>Design</v>
      </c>
    </row>
    <row r="1286" spans="17:72">
      <c r="Q1286" s="19">
        <v>8.5399999999999991</v>
      </c>
      <c r="R1286" s="56" t="str">
        <f t="shared" si="191"/>
        <v>Yes</v>
      </c>
      <c r="W1286" s="19" t="s">
        <v>735</v>
      </c>
      <c r="X1286" s="54" t="str">
        <f>VLOOKUP(W1286,Employees!$A$1:$B$601,2,FALSE)</f>
        <v>Soumya Pattnaik</v>
      </c>
      <c r="AW1286" s="54"/>
      <c r="AX1286" s="54"/>
      <c r="BI1286" s="48"/>
      <c r="BJ1286" s="38"/>
      <c r="BK1286" s="38"/>
      <c r="BL1286" s="38"/>
      <c r="BM1286"/>
      <c r="BN1286" s="48"/>
      <c r="BR1286" s="19" t="s">
        <v>735</v>
      </c>
      <c r="BS1286" s="19" t="s">
        <v>4088</v>
      </c>
      <c r="BT1286" s="54" t="str">
        <f t="shared" si="192"/>
        <v>Design</v>
      </c>
    </row>
    <row r="1287" spans="17:72">
      <c r="Q1287" s="18">
        <v>11.34</v>
      </c>
      <c r="R1287" s="56" t="str">
        <f t="shared" si="191"/>
        <v>Yes</v>
      </c>
      <c r="W1287" s="18" t="s">
        <v>735</v>
      </c>
      <c r="X1287" s="54" t="str">
        <f>VLOOKUP(W1287,Employees!$A$1:$B$601,2,FALSE)</f>
        <v>Soumya Pattnaik</v>
      </c>
      <c r="AW1287" s="54"/>
      <c r="AX1287" s="54"/>
      <c r="BI1287" s="48"/>
      <c r="BJ1287" s="38"/>
      <c r="BK1287" s="38"/>
      <c r="BL1287" s="38"/>
      <c r="BM1287"/>
      <c r="BN1287" s="48"/>
      <c r="BR1287" s="18" t="s">
        <v>735</v>
      </c>
      <c r="BS1287" s="18" t="s">
        <v>4089</v>
      </c>
      <c r="BT1287" s="54" t="str">
        <f t="shared" si="192"/>
        <v>Design</v>
      </c>
    </row>
    <row r="1288" spans="17:72">
      <c r="Q1288" s="19">
        <v>10.38</v>
      </c>
      <c r="R1288" s="56" t="str">
        <f t="shared" si="191"/>
        <v>Yes</v>
      </c>
      <c r="W1288" s="19" t="s">
        <v>735</v>
      </c>
      <c r="X1288" s="54" t="str">
        <f>VLOOKUP(W1288,Employees!$A$1:$B$601,2,FALSE)</f>
        <v>Soumya Pattnaik</v>
      </c>
      <c r="AW1288" s="54"/>
      <c r="AX1288" s="54"/>
      <c r="BI1288" s="48"/>
      <c r="BJ1288" s="38"/>
      <c r="BK1288" s="38"/>
      <c r="BL1288" s="38"/>
      <c r="BM1288"/>
      <c r="BN1288" s="48"/>
      <c r="BR1288" s="19" t="s">
        <v>735</v>
      </c>
      <c r="BS1288" s="19" t="s">
        <v>4090</v>
      </c>
      <c r="BT1288" s="54" t="str">
        <f t="shared" si="192"/>
        <v>Design</v>
      </c>
    </row>
    <row r="1289" spans="17:72">
      <c r="Q1289" s="18">
        <v>10.87</v>
      </c>
      <c r="R1289" s="56" t="str">
        <f t="shared" si="191"/>
        <v>Yes</v>
      </c>
      <c r="W1289" s="18" t="s">
        <v>735</v>
      </c>
      <c r="X1289" s="54" t="str">
        <f>VLOOKUP(W1289,Employees!$A$1:$B$601,2,FALSE)</f>
        <v>Soumya Pattnaik</v>
      </c>
      <c r="AW1289" s="54"/>
      <c r="AX1289" s="54"/>
      <c r="BI1289" s="48"/>
      <c r="BJ1289" s="38"/>
      <c r="BK1289" s="38"/>
      <c r="BL1289" s="38"/>
      <c r="BM1289"/>
      <c r="BN1289" s="48"/>
      <c r="BR1289" s="18" t="s">
        <v>735</v>
      </c>
      <c r="BS1289" s="18" t="s">
        <v>4092</v>
      </c>
      <c r="BT1289" s="54" t="str">
        <f t="shared" si="192"/>
        <v>Design</v>
      </c>
    </row>
    <row r="1290" spans="17:72">
      <c r="Q1290" s="19">
        <v>11.1</v>
      </c>
      <c r="R1290" s="56" t="str">
        <f t="shared" si="191"/>
        <v>Yes</v>
      </c>
      <c r="W1290" s="19" t="s">
        <v>735</v>
      </c>
      <c r="X1290" s="54" t="str">
        <f>VLOOKUP(W1290,Employees!$A$1:$B$601,2,FALSE)</f>
        <v>Soumya Pattnaik</v>
      </c>
      <c r="AW1290" s="54"/>
      <c r="AX1290" s="54"/>
      <c r="BI1290" s="48"/>
      <c r="BJ1290" s="38"/>
      <c r="BK1290" s="38"/>
      <c r="BL1290" s="38"/>
      <c r="BM1290"/>
      <c r="BN1290" s="48"/>
      <c r="BR1290" s="19" t="s">
        <v>735</v>
      </c>
      <c r="BS1290" s="19" t="s">
        <v>4093</v>
      </c>
      <c r="BT1290" s="54" t="str">
        <f t="shared" si="192"/>
        <v>Design</v>
      </c>
    </row>
    <row r="1291" spans="17:72">
      <c r="Q1291" s="18">
        <v>10.71</v>
      </c>
      <c r="R1291" s="56" t="str">
        <f t="shared" si="191"/>
        <v>Yes</v>
      </c>
      <c r="W1291" s="18" t="s">
        <v>735</v>
      </c>
      <c r="X1291" s="54" t="str">
        <f>VLOOKUP(W1291,Employees!$A$1:$B$601,2,FALSE)</f>
        <v>Soumya Pattnaik</v>
      </c>
      <c r="AW1291" s="54"/>
      <c r="AX1291" s="54"/>
      <c r="BI1291" s="48"/>
      <c r="BJ1291" s="38"/>
      <c r="BK1291" s="38"/>
      <c r="BL1291" s="38"/>
      <c r="BM1291"/>
      <c r="BN1291" s="48"/>
      <c r="BR1291" s="18" t="s">
        <v>735</v>
      </c>
      <c r="BS1291" s="18" t="s">
        <v>4094</v>
      </c>
      <c r="BT1291" s="54" t="str">
        <f t="shared" si="192"/>
        <v>Design</v>
      </c>
    </row>
    <row r="1292" spans="17:72">
      <c r="Q1292" s="19">
        <v>10.61</v>
      </c>
      <c r="R1292" s="56" t="str">
        <f t="shared" si="191"/>
        <v>Yes</v>
      </c>
      <c r="W1292" s="19" t="s">
        <v>1037</v>
      </c>
      <c r="X1292" s="54" t="str">
        <f>VLOOKUP(W1292,Employees!$A$1:$B$601,2,FALSE)</f>
        <v>Priyanka Senapati</v>
      </c>
      <c r="AW1292" s="54"/>
      <c r="AX1292" s="54"/>
      <c r="BI1292" s="48"/>
      <c r="BJ1292" s="38"/>
      <c r="BK1292" s="38"/>
      <c r="BL1292" s="38"/>
      <c r="BM1292"/>
      <c r="BN1292" s="48"/>
      <c r="BR1292" s="19" t="s">
        <v>1037</v>
      </c>
      <c r="BS1292" s="19" t="s">
        <v>4095</v>
      </c>
      <c r="BT1292" s="54" t="str">
        <f t="shared" si="192"/>
        <v>Product</v>
      </c>
    </row>
    <row r="1293" spans="17:72">
      <c r="Q1293" s="18">
        <v>10.11</v>
      </c>
      <c r="R1293" s="56" t="str">
        <f t="shared" si="191"/>
        <v>Yes</v>
      </c>
      <c r="W1293" s="18" t="s">
        <v>1037</v>
      </c>
      <c r="X1293" s="54" t="str">
        <f>VLOOKUP(W1293,Employees!$A$1:$B$601,2,FALSE)</f>
        <v>Priyanka Senapati</v>
      </c>
      <c r="AW1293" s="54"/>
      <c r="AX1293" s="54"/>
      <c r="BI1293" s="48"/>
      <c r="BJ1293" s="38"/>
      <c r="BK1293" s="38"/>
      <c r="BL1293" s="38"/>
      <c r="BM1293"/>
      <c r="BN1293" s="48"/>
      <c r="BR1293" s="18" t="s">
        <v>1037</v>
      </c>
      <c r="BS1293" s="18" t="s">
        <v>4096</v>
      </c>
      <c r="BT1293" s="54" t="str">
        <f t="shared" si="192"/>
        <v>Product</v>
      </c>
    </row>
    <row r="1294" spans="17:72">
      <c r="Q1294" s="19">
        <v>6.82</v>
      </c>
      <c r="R1294" s="56" t="str">
        <f t="shared" si="191"/>
        <v>Yes</v>
      </c>
      <c r="W1294" s="19" t="s">
        <v>1037</v>
      </c>
      <c r="X1294" s="54" t="str">
        <f>VLOOKUP(W1294,Employees!$A$1:$B$601,2,FALSE)</f>
        <v>Priyanka Senapati</v>
      </c>
      <c r="AW1294" s="54"/>
      <c r="AX1294" s="54"/>
      <c r="BI1294" s="48"/>
      <c r="BJ1294" s="38"/>
      <c r="BK1294" s="38"/>
      <c r="BL1294" s="38"/>
      <c r="BM1294"/>
      <c r="BN1294" s="48"/>
      <c r="BR1294" s="19" t="s">
        <v>1037</v>
      </c>
      <c r="BS1294" s="19" t="s">
        <v>4097</v>
      </c>
      <c r="BT1294" s="54" t="str">
        <f t="shared" si="192"/>
        <v>Product</v>
      </c>
    </row>
    <row r="1295" spans="17:72">
      <c r="Q1295" s="18">
        <v>9.64</v>
      </c>
      <c r="R1295" s="56" t="str">
        <f t="shared" si="191"/>
        <v>Yes</v>
      </c>
      <c r="W1295" s="18" t="s">
        <v>1037</v>
      </c>
      <c r="X1295" s="54" t="str">
        <f>VLOOKUP(W1295,Employees!$A$1:$B$601,2,FALSE)</f>
        <v>Priyanka Senapati</v>
      </c>
      <c r="AW1295" s="54"/>
      <c r="AX1295" s="54"/>
      <c r="BI1295" s="48"/>
      <c r="BJ1295" s="38"/>
      <c r="BK1295" s="38"/>
      <c r="BL1295" s="38"/>
      <c r="BM1295"/>
      <c r="BN1295" s="48"/>
      <c r="BR1295" s="18" t="s">
        <v>1037</v>
      </c>
      <c r="BS1295" s="18" t="s">
        <v>4098</v>
      </c>
      <c r="BT1295" s="54" t="str">
        <f t="shared" si="192"/>
        <v>Product</v>
      </c>
    </row>
    <row r="1296" spans="17:72">
      <c r="Q1296" s="19">
        <v>8.65</v>
      </c>
      <c r="R1296" s="56" t="str">
        <f t="shared" si="191"/>
        <v>Yes</v>
      </c>
      <c r="W1296" s="19" t="s">
        <v>1037</v>
      </c>
      <c r="X1296" s="54" t="str">
        <f>VLOOKUP(W1296,Employees!$A$1:$B$601,2,FALSE)</f>
        <v>Priyanka Senapati</v>
      </c>
      <c r="AW1296" s="54"/>
      <c r="AX1296" s="54"/>
      <c r="BI1296" s="48"/>
      <c r="BJ1296" s="38"/>
      <c r="BK1296" s="38"/>
      <c r="BL1296" s="38"/>
      <c r="BM1296"/>
      <c r="BN1296" s="48"/>
      <c r="BR1296" s="19" t="s">
        <v>1037</v>
      </c>
      <c r="BS1296" s="19" t="s">
        <v>4099</v>
      </c>
      <c r="BT1296" s="54" t="str">
        <f t="shared" si="192"/>
        <v>Product</v>
      </c>
    </row>
    <row r="1297" spans="17:72">
      <c r="Q1297" s="18">
        <v>8.68</v>
      </c>
      <c r="R1297" s="56" t="str">
        <f t="shared" si="191"/>
        <v>Yes</v>
      </c>
      <c r="W1297" s="18" t="s">
        <v>1037</v>
      </c>
      <c r="X1297" s="54" t="str">
        <f>VLOOKUP(W1297,Employees!$A$1:$B$601,2,FALSE)</f>
        <v>Priyanka Senapati</v>
      </c>
      <c r="AW1297" s="54"/>
      <c r="AX1297" s="54"/>
      <c r="BI1297" s="48"/>
      <c r="BJ1297" s="38"/>
      <c r="BK1297" s="38"/>
      <c r="BL1297" s="38"/>
      <c r="BM1297"/>
      <c r="BN1297" s="48"/>
      <c r="BR1297" s="18" t="s">
        <v>1037</v>
      </c>
      <c r="BS1297" s="18" t="s">
        <v>4100</v>
      </c>
      <c r="BT1297" s="54" t="str">
        <f t="shared" si="192"/>
        <v>Product</v>
      </c>
    </row>
    <row r="1298" spans="17:72">
      <c r="Q1298" s="19"/>
      <c r="R1298" s="56" t="str">
        <f t="shared" si="191"/>
        <v>No</v>
      </c>
      <c r="W1298" s="19" t="s">
        <v>1037</v>
      </c>
      <c r="X1298" s="54" t="str">
        <f>VLOOKUP(W1298,Employees!$A$1:$B$601,2,FALSE)</f>
        <v>Priyanka Senapati</v>
      </c>
      <c r="AW1298" s="54"/>
      <c r="AX1298" s="54"/>
      <c r="BI1298" s="48"/>
      <c r="BJ1298" s="38"/>
      <c r="BK1298" s="38"/>
      <c r="BL1298" s="38"/>
      <c r="BM1298"/>
      <c r="BN1298" s="48"/>
      <c r="BR1298" s="19" t="s">
        <v>1037</v>
      </c>
      <c r="BS1298" s="19" t="s">
        <v>4101</v>
      </c>
      <c r="BT1298" s="54" t="str">
        <f t="shared" si="192"/>
        <v>Product</v>
      </c>
    </row>
    <row r="1299" spans="17:72">
      <c r="Q1299" s="18">
        <v>7.04</v>
      </c>
      <c r="R1299" s="56" t="str">
        <f t="shared" si="191"/>
        <v>Yes</v>
      </c>
      <c r="W1299" s="18" t="s">
        <v>1037</v>
      </c>
      <c r="X1299" s="54" t="str">
        <f>VLOOKUP(W1299,Employees!$A$1:$B$601,2,FALSE)</f>
        <v>Priyanka Senapati</v>
      </c>
      <c r="AW1299" s="54"/>
      <c r="AX1299" s="54"/>
      <c r="BI1299" s="48"/>
      <c r="BJ1299" s="38"/>
      <c r="BK1299" s="38"/>
      <c r="BL1299" s="38"/>
      <c r="BM1299"/>
      <c r="BN1299" s="48"/>
      <c r="BR1299" s="18" t="s">
        <v>1037</v>
      </c>
      <c r="BS1299" s="18" t="s">
        <v>4102</v>
      </c>
      <c r="BT1299" s="54" t="str">
        <f t="shared" si="192"/>
        <v>Product</v>
      </c>
    </row>
    <row r="1300" spans="17:72">
      <c r="Q1300" s="19">
        <v>6.89</v>
      </c>
      <c r="R1300" s="56" t="str">
        <f t="shared" si="191"/>
        <v>Yes</v>
      </c>
      <c r="W1300" s="19" t="s">
        <v>1037</v>
      </c>
      <c r="X1300" s="54" t="str">
        <f>VLOOKUP(W1300,Employees!$A$1:$B$601,2,FALSE)</f>
        <v>Priyanka Senapati</v>
      </c>
      <c r="AW1300" s="54"/>
      <c r="AX1300" s="54"/>
      <c r="BI1300" s="48"/>
      <c r="BJ1300" s="38"/>
      <c r="BK1300" s="38"/>
      <c r="BL1300" s="38"/>
      <c r="BM1300"/>
      <c r="BN1300" s="48"/>
      <c r="BR1300" s="19" t="s">
        <v>1037</v>
      </c>
      <c r="BS1300" s="19" t="s">
        <v>4103</v>
      </c>
      <c r="BT1300" s="54" t="str">
        <f t="shared" si="192"/>
        <v>Product</v>
      </c>
    </row>
    <row r="1301" spans="17:72">
      <c r="Q1301" s="18">
        <v>7.27</v>
      </c>
      <c r="R1301" s="56" t="str">
        <f t="shared" si="191"/>
        <v>Yes</v>
      </c>
      <c r="W1301" s="18" t="s">
        <v>1037</v>
      </c>
      <c r="X1301" s="54" t="str">
        <f>VLOOKUP(W1301,Employees!$A$1:$B$601,2,FALSE)</f>
        <v>Priyanka Senapati</v>
      </c>
      <c r="AW1301" s="54"/>
      <c r="AX1301" s="54"/>
      <c r="BI1301" s="48"/>
      <c r="BJ1301" s="38"/>
      <c r="BK1301" s="38"/>
      <c r="BL1301" s="38"/>
      <c r="BM1301"/>
      <c r="BN1301" s="48"/>
      <c r="BR1301" s="18" t="s">
        <v>1037</v>
      </c>
      <c r="BS1301" s="18" t="s">
        <v>4105</v>
      </c>
      <c r="BT1301" s="54" t="str">
        <f t="shared" si="192"/>
        <v>Product</v>
      </c>
    </row>
    <row r="1302" spans="17:72">
      <c r="Q1302" s="19">
        <v>11.34</v>
      </c>
      <c r="R1302" s="56" t="str">
        <f t="shared" si="191"/>
        <v>Yes</v>
      </c>
      <c r="W1302" s="19" t="s">
        <v>1037</v>
      </c>
      <c r="X1302" s="54" t="str">
        <f>VLOOKUP(W1302,Employees!$A$1:$B$601,2,FALSE)</f>
        <v>Priyanka Senapati</v>
      </c>
      <c r="AW1302" s="54"/>
      <c r="AX1302" s="54"/>
      <c r="BI1302" s="48"/>
      <c r="BJ1302" s="38"/>
      <c r="BK1302" s="38"/>
      <c r="BL1302" s="38"/>
      <c r="BM1302"/>
      <c r="BN1302" s="48"/>
      <c r="BR1302" s="19" t="s">
        <v>1037</v>
      </c>
      <c r="BS1302" s="19" t="s">
        <v>4106</v>
      </c>
      <c r="BT1302" s="54" t="str">
        <f t="shared" si="192"/>
        <v>Product</v>
      </c>
    </row>
    <row r="1303" spans="17:72">
      <c r="Q1303" s="18">
        <v>7.2</v>
      </c>
      <c r="R1303" s="56" t="str">
        <f t="shared" si="191"/>
        <v>Yes</v>
      </c>
      <c r="W1303" s="18" t="s">
        <v>1037</v>
      </c>
      <c r="X1303" s="54" t="str">
        <f>VLOOKUP(W1303,Employees!$A$1:$B$601,2,FALSE)</f>
        <v>Priyanka Senapati</v>
      </c>
      <c r="AW1303" s="54"/>
      <c r="AX1303" s="54"/>
      <c r="BI1303" s="48"/>
      <c r="BJ1303" s="38"/>
      <c r="BK1303" s="38"/>
      <c r="BL1303" s="38"/>
      <c r="BM1303"/>
      <c r="BN1303" s="48"/>
      <c r="BR1303" s="18" t="s">
        <v>1037</v>
      </c>
      <c r="BS1303" s="18" t="s">
        <v>4107</v>
      </c>
      <c r="BT1303" s="54" t="str">
        <f t="shared" si="192"/>
        <v>Product</v>
      </c>
    </row>
    <row r="1304" spans="17:72">
      <c r="Q1304" s="19">
        <v>7.57</v>
      </c>
      <c r="R1304" s="56" t="str">
        <f t="shared" si="191"/>
        <v>Yes</v>
      </c>
      <c r="W1304" s="19" t="s">
        <v>1037</v>
      </c>
      <c r="X1304" s="54" t="str">
        <f>VLOOKUP(W1304,Employees!$A$1:$B$601,2,FALSE)</f>
        <v>Priyanka Senapati</v>
      </c>
      <c r="AW1304" s="54"/>
      <c r="AX1304" s="54"/>
      <c r="BI1304" s="48"/>
      <c r="BJ1304" s="38"/>
      <c r="BK1304" s="38"/>
      <c r="BL1304" s="38"/>
      <c r="BM1304"/>
      <c r="BN1304" s="48"/>
      <c r="BR1304" s="19" t="s">
        <v>1037</v>
      </c>
      <c r="BS1304" s="19" t="s">
        <v>4109</v>
      </c>
      <c r="BT1304" s="54" t="str">
        <f t="shared" si="192"/>
        <v>Product</v>
      </c>
    </row>
    <row r="1305" spans="17:72">
      <c r="Q1305" s="18">
        <v>7.89</v>
      </c>
      <c r="R1305" s="56" t="str">
        <f t="shared" si="191"/>
        <v>Yes</v>
      </c>
      <c r="W1305" s="18" t="s">
        <v>1037</v>
      </c>
      <c r="X1305" s="54" t="str">
        <f>VLOOKUP(W1305,Employees!$A$1:$B$601,2,FALSE)</f>
        <v>Priyanka Senapati</v>
      </c>
      <c r="AW1305" s="54"/>
      <c r="AX1305" s="54"/>
      <c r="BI1305" s="48"/>
      <c r="BJ1305" s="38"/>
      <c r="BK1305" s="38"/>
      <c r="BL1305" s="38"/>
      <c r="BM1305"/>
      <c r="BN1305" s="48"/>
      <c r="BR1305" s="18" t="s">
        <v>1037</v>
      </c>
      <c r="BS1305" s="18" t="s">
        <v>4110</v>
      </c>
      <c r="BT1305" s="54" t="str">
        <f t="shared" si="192"/>
        <v>Product</v>
      </c>
    </row>
    <row r="1306" spans="17:72">
      <c r="Q1306" s="19">
        <v>9.93</v>
      </c>
      <c r="R1306" s="56" t="str">
        <f t="shared" si="191"/>
        <v>Yes</v>
      </c>
      <c r="W1306" s="19" t="s">
        <v>1037</v>
      </c>
      <c r="X1306" s="54" t="str">
        <f>VLOOKUP(W1306,Employees!$A$1:$B$601,2,FALSE)</f>
        <v>Priyanka Senapati</v>
      </c>
      <c r="AW1306" s="54"/>
      <c r="AX1306" s="54"/>
      <c r="BI1306" s="48"/>
      <c r="BJ1306" s="38"/>
      <c r="BK1306" s="38"/>
      <c r="BL1306" s="38"/>
      <c r="BM1306"/>
      <c r="BN1306" s="48"/>
      <c r="BR1306" s="19" t="s">
        <v>1037</v>
      </c>
      <c r="BS1306" s="19" t="s">
        <v>4111</v>
      </c>
      <c r="BT1306" s="54" t="str">
        <f t="shared" si="192"/>
        <v>Product</v>
      </c>
    </row>
    <row r="1307" spans="17:72">
      <c r="Q1307" s="18">
        <v>9.93</v>
      </c>
      <c r="R1307" s="56" t="str">
        <f t="shared" si="191"/>
        <v>Yes</v>
      </c>
      <c r="W1307" s="18" t="s">
        <v>1037</v>
      </c>
      <c r="X1307" s="54" t="str">
        <f>VLOOKUP(W1307,Employees!$A$1:$B$601,2,FALSE)</f>
        <v>Priyanka Senapati</v>
      </c>
      <c r="AW1307" s="54"/>
      <c r="AX1307" s="54"/>
      <c r="BI1307" s="48"/>
      <c r="BJ1307" s="38"/>
      <c r="BK1307" s="38"/>
      <c r="BL1307" s="38"/>
      <c r="BM1307"/>
      <c r="BN1307" s="48"/>
      <c r="BR1307" s="18" t="s">
        <v>1037</v>
      </c>
      <c r="BS1307" s="18" t="s">
        <v>4112</v>
      </c>
      <c r="BT1307" s="54" t="str">
        <f t="shared" si="192"/>
        <v>Product</v>
      </c>
    </row>
    <row r="1308" spans="17:72">
      <c r="Q1308" s="19">
        <v>6.84</v>
      </c>
      <c r="R1308" s="56" t="str">
        <f t="shared" si="191"/>
        <v>Yes</v>
      </c>
      <c r="W1308" s="19" t="s">
        <v>1037</v>
      </c>
      <c r="X1308" s="54" t="str">
        <f>VLOOKUP(W1308,Employees!$A$1:$B$601,2,FALSE)</f>
        <v>Priyanka Senapati</v>
      </c>
      <c r="AW1308" s="54"/>
      <c r="AX1308" s="54"/>
      <c r="BI1308" s="48"/>
      <c r="BJ1308" s="38"/>
      <c r="BK1308" s="38"/>
      <c r="BL1308" s="38"/>
      <c r="BM1308"/>
      <c r="BN1308" s="48"/>
      <c r="BR1308" s="19" t="s">
        <v>1037</v>
      </c>
      <c r="BS1308" s="19" t="s">
        <v>4113</v>
      </c>
      <c r="BT1308" s="54" t="str">
        <f t="shared" si="192"/>
        <v>Product</v>
      </c>
    </row>
    <row r="1309" spans="17:72">
      <c r="Q1309" s="18">
        <v>10.62</v>
      </c>
      <c r="R1309" s="56" t="str">
        <f t="shared" si="191"/>
        <v>Yes</v>
      </c>
      <c r="W1309" s="18" t="s">
        <v>1037</v>
      </c>
      <c r="X1309" s="54" t="str">
        <f>VLOOKUP(W1309,Employees!$A$1:$B$601,2,FALSE)</f>
        <v>Priyanka Senapati</v>
      </c>
      <c r="AW1309" s="54"/>
      <c r="AX1309" s="54"/>
      <c r="BI1309" s="48"/>
      <c r="BJ1309" s="38"/>
      <c r="BK1309" s="38"/>
      <c r="BL1309" s="38"/>
      <c r="BM1309"/>
      <c r="BN1309" s="48"/>
      <c r="BR1309" s="18" t="s">
        <v>1037</v>
      </c>
      <c r="BS1309" s="18" t="s">
        <v>4114</v>
      </c>
      <c r="BT1309" s="54" t="str">
        <f t="shared" si="192"/>
        <v>Product</v>
      </c>
    </row>
    <row r="1310" spans="17:72">
      <c r="Q1310" s="19">
        <v>7.81</v>
      </c>
      <c r="R1310" s="56" t="str">
        <f t="shared" si="191"/>
        <v>Yes</v>
      </c>
      <c r="W1310" s="19" t="s">
        <v>1037</v>
      </c>
      <c r="X1310" s="54" t="str">
        <f>VLOOKUP(W1310,Employees!$A$1:$B$601,2,FALSE)</f>
        <v>Priyanka Senapati</v>
      </c>
      <c r="AW1310" s="54"/>
      <c r="AX1310" s="54"/>
      <c r="BI1310" s="48"/>
      <c r="BJ1310" s="38"/>
      <c r="BK1310" s="38"/>
      <c r="BL1310" s="38"/>
      <c r="BM1310"/>
      <c r="BN1310" s="48"/>
      <c r="BR1310" s="19" t="s">
        <v>1037</v>
      </c>
      <c r="BS1310" s="19" t="s">
        <v>4116</v>
      </c>
      <c r="BT1310" s="54" t="str">
        <f t="shared" si="192"/>
        <v>Product</v>
      </c>
    </row>
    <row r="1311" spans="17:72">
      <c r="Q1311" s="18"/>
      <c r="R1311" s="56" t="str">
        <f t="shared" si="191"/>
        <v>No</v>
      </c>
      <c r="W1311" s="18" t="s">
        <v>1037</v>
      </c>
      <c r="X1311" s="54" t="str">
        <f>VLOOKUP(W1311,Employees!$A$1:$B$601,2,FALSE)</f>
        <v>Priyanka Senapati</v>
      </c>
      <c r="AW1311" s="54"/>
      <c r="AX1311" s="54"/>
      <c r="BI1311" s="48"/>
      <c r="BJ1311" s="38"/>
      <c r="BK1311" s="38"/>
      <c r="BL1311" s="38"/>
      <c r="BM1311"/>
      <c r="BN1311" s="48"/>
      <c r="BR1311" s="18" t="s">
        <v>1037</v>
      </c>
      <c r="BS1311" s="18" t="s">
        <v>4117</v>
      </c>
      <c r="BT1311" s="54" t="str">
        <f t="shared" si="192"/>
        <v>Product</v>
      </c>
    </row>
    <row r="1312" spans="17:72">
      <c r="Q1312" s="19">
        <v>11.4</v>
      </c>
      <c r="R1312" s="56" t="str">
        <f t="shared" si="191"/>
        <v>Yes</v>
      </c>
      <c r="W1312" s="19" t="s">
        <v>1037</v>
      </c>
      <c r="X1312" s="54" t="str">
        <f>VLOOKUP(W1312,Employees!$A$1:$B$601,2,FALSE)</f>
        <v>Priyanka Senapati</v>
      </c>
      <c r="AW1312" s="54"/>
      <c r="AX1312" s="54"/>
      <c r="BI1312" s="48"/>
      <c r="BJ1312" s="38"/>
      <c r="BK1312" s="38"/>
      <c r="BL1312" s="38"/>
      <c r="BM1312"/>
      <c r="BN1312" s="48"/>
      <c r="BR1312" s="19" t="s">
        <v>1037</v>
      </c>
      <c r="BS1312" s="19" t="s">
        <v>4118</v>
      </c>
      <c r="BT1312" s="54" t="str">
        <f t="shared" si="192"/>
        <v>Product</v>
      </c>
    </row>
    <row r="1313" spans="17:72">
      <c r="Q1313" s="18">
        <v>8.6300000000000008</v>
      </c>
      <c r="R1313" s="56" t="str">
        <f t="shared" si="191"/>
        <v>Yes</v>
      </c>
      <c r="W1313" s="18" t="s">
        <v>1037</v>
      </c>
      <c r="X1313" s="54" t="str">
        <f>VLOOKUP(W1313,Employees!$A$1:$B$601,2,FALSE)</f>
        <v>Priyanka Senapati</v>
      </c>
      <c r="AW1313" s="54"/>
      <c r="AX1313" s="54"/>
      <c r="BI1313" s="48"/>
      <c r="BJ1313" s="38"/>
      <c r="BK1313" s="38"/>
      <c r="BL1313" s="38"/>
      <c r="BM1313"/>
      <c r="BN1313" s="48"/>
      <c r="BR1313" s="18" t="s">
        <v>1037</v>
      </c>
      <c r="BS1313" s="18" t="s">
        <v>4119</v>
      </c>
      <c r="BT1313" s="54" t="str">
        <f t="shared" si="192"/>
        <v>Product</v>
      </c>
    </row>
    <row r="1314" spans="17:72">
      <c r="Q1314" s="19">
        <v>9.6300000000000008</v>
      </c>
      <c r="R1314" s="56" t="str">
        <f t="shared" si="191"/>
        <v>Yes</v>
      </c>
      <c r="W1314" s="19" t="s">
        <v>1037</v>
      </c>
      <c r="X1314" s="54" t="str">
        <f>VLOOKUP(W1314,Employees!$A$1:$B$601,2,FALSE)</f>
        <v>Priyanka Senapati</v>
      </c>
      <c r="AW1314" s="54"/>
      <c r="AX1314" s="54"/>
      <c r="BI1314" s="48"/>
      <c r="BJ1314" s="38"/>
      <c r="BK1314" s="38"/>
      <c r="BL1314" s="38"/>
      <c r="BM1314"/>
      <c r="BN1314" s="48"/>
      <c r="BR1314" s="19" t="s">
        <v>1037</v>
      </c>
      <c r="BS1314" s="19" t="s">
        <v>4120</v>
      </c>
      <c r="BT1314" s="54" t="str">
        <f t="shared" si="192"/>
        <v>Product</v>
      </c>
    </row>
    <row r="1315" spans="17:72">
      <c r="Q1315" s="18">
        <v>7.88</v>
      </c>
      <c r="R1315" s="56" t="str">
        <f t="shared" si="191"/>
        <v>Yes</v>
      </c>
      <c r="W1315" s="18" t="s">
        <v>1037</v>
      </c>
      <c r="X1315" s="54" t="str">
        <f>VLOOKUP(W1315,Employees!$A$1:$B$601,2,FALSE)</f>
        <v>Priyanka Senapati</v>
      </c>
      <c r="AW1315" s="54"/>
      <c r="AX1315" s="54"/>
      <c r="BI1315" s="48"/>
      <c r="BJ1315" s="38"/>
      <c r="BK1315" s="38"/>
      <c r="BL1315" s="38"/>
      <c r="BM1315"/>
      <c r="BN1315" s="48"/>
      <c r="BR1315" s="18" t="s">
        <v>1037</v>
      </c>
      <c r="BS1315" s="18" t="s">
        <v>4121</v>
      </c>
      <c r="BT1315" s="54" t="str">
        <f t="shared" si="192"/>
        <v>Product</v>
      </c>
    </row>
    <row r="1316" spans="17:72">
      <c r="Q1316" s="19">
        <v>6.64</v>
      </c>
      <c r="R1316" s="56" t="str">
        <f t="shared" si="191"/>
        <v>Yes</v>
      </c>
      <c r="W1316" s="19" t="s">
        <v>1037</v>
      </c>
      <c r="X1316" s="54" t="str">
        <f>VLOOKUP(W1316,Employees!$A$1:$B$601,2,FALSE)</f>
        <v>Priyanka Senapati</v>
      </c>
      <c r="AW1316" s="54"/>
      <c r="AX1316" s="54"/>
      <c r="BI1316" s="48"/>
      <c r="BJ1316" s="38"/>
      <c r="BK1316" s="38"/>
      <c r="BL1316" s="38"/>
      <c r="BM1316"/>
      <c r="BN1316" s="48"/>
      <c r="BR1316" s="19" t="s">
        <v>1037</v>
      </c>
      <c r="BS1316" s="19" t="s">
        <v>4122</v>
      </c>
      <c r="BT1316" s="54" t="str">
        <f t="shared" si="192"/>
        <v>Product</v>
      </c>
    </row>
    <row r="1317" spans="17:72">
      <c r="Q1317" s="18">
        <v>7.24</v>
      </c>
      <c r="R1317" s="56" t="str">
        <f t="shared" si="191"/>
        <v>Yes</v>
      </c>
      <c r="W1317" s="18" t="s">
        <v>1037</v>
      </c>
      <c r="X1317" s="54" t="str">
        <f>VLOOKUP(W1317,Employees!$A$1:$B$601,2,FALSE)</f>
        <v>Priyanka Senapati</v>
      </c>
      <c r="AW1317" s="54"/>
      <c r="AX1317" s="54"/>
      <c r="BI1317" s="48"/>
      <c r="BJ1317" s="38"/>
      <c r="BK1317" s="38"/>
      <c r="BL1317" s="38"/>
      <c r="BM1317"/>
      <c r="BN1317" s="48"/>
      <c r="BR1317" s="18" t="s">
        <v>1037</v>
      </c>
      <c r="BS1317" s="18" t="s">
        <v>4123</v>
      </c>
      <c r="BT1317" s="54" t="str">
        <f t="shared" si="192"/>
        <v>Product</v>
      </c>
    </row>
    <row r="1318" spans="17:72">
      <c r="Q1318" s="19">
        <v>9.16</v>
      </c>
      <c r="R1318" s="56" t="str">
        <f t="shared" si="191"/>
        <v>Yes</v>
      </c>
      <c r="W1318" s="19" t="s">
        <v>1037</v>
      </c>
      <c r="X1318" s="54" t="str">
        <f>VLOOKUP(W1318,Employees!$A$1:$B$601,2,FALSE)</f>
        <v>Priyanka Senapati</v>
      </c>
      <c r="AW1318" s="54"/>
      <c r="AX1318" s="54"/>
      <c r="BI1318" s="48"/>
      <c r="BJ1318" s="38"/>
      <c r="BK1318" s="38"/>
      <c r="BL1318" s="38"/>
      <c r="BM1318"/>
      <c r="BN1318" s="48"/>
      <c r="BR1318" s="19" t="s">
        <v>1037</v>
      </c>
      <c r="BS1318" s="19" t="s">
        <v>4124</v>
      </c>
      <c r="BT1318" s="54" t="str">
        <f t="shared" si="192"/>
        <v>Product</v>
      </c>
    </row>
    <row r="1319" spans="17:72">
      <c r="Q1319" s="18">
        <v>8.44</v>
      </c>
      <c r="R1319" s="56" t="str">
        <f t="shared" si="191"/>
        <v>Yes</v>
      </c>
      <c r="W1319" s="18" t="s">
        <v>1037</v>
      </c>
      <c r="X1319" s="54" t="str">
        <f>VLOOKUP(W1319,Employees!$A$1:$B$601,2,FALSE)</f>
        <v>Priyanka Senapati</v>
      </c>
      <c r="AW1319" s="54"/>
      <c r="AX1319" s="54"/>
      <c r="BI1319" s="48"/>
      <c r="BJ1319" s="38"/>
      <c r="BK1319" s="38"/>
      <c r="BL1319" s="38"/>
      <c r="BM1319"/>
      <c r="BN1319" s="48"/>
      <c r="BR1319" s="18" t="s">
        <v>1037</v>
      </c>
      <c r="BS1319" s="18" t="s">
        <v>4125</v>
      </c>
      <c r="BT1319" s="54" t="str">
        <f t="shared" si="192"/>
        <v>Product</v>
      </c>
    </row>
    <row r="1320" spans="17:72">
      <c r="Q1320" s="19">
        <v>10.48</v>
      </c>
      <c r="R1320" s="56" t="str">
        <f t="shared" si="191"/>
        <v>Yes</v>
      </c>
      <c r="W1320" s="19" t="s">
        <v>1037</v>
      </c>
      <c r="X1320" s="54" t="str">
        <f>VLOOKUP(W1320,Employees!$A$1:$B$601,2,FALSE)</f>
        <v>Priyanka Senapati</v>
      </c>
      <c r="AW1320" s="54"/>
      <c r="AX1320" s="54"/>
      <c r="BI1320" s="48"/>
      <c r="BJ1320" s="38"/>
      <c r="BK1320" s="38"/>
      <c r="BL1320" s="38"/>
      <c r="BM1320"/>
      <c r="BN1320" s="48"/>
      <c r="BR1320" s="19" t="s">
        <v>1037</v>
      </c>
      <c r="BS1320" s="19" t="s">
        <v>4126</v>
      </c>
      <c r="BT1320" s="54" t="str">
        <f t="shared" si="192"/>
        <v>Product</v>
      </c>
    </row>
    <row r="1321" spans="17:72">
      <c r="Q1321" s="18">
        <v>7.73</v>
      </c>
      <c r="R1321" s="56" t="str">
        <f t="shared" si="191"/>
        <v>Yes</v>
      </c>
      <c r="W1321" s="18" t="s">
        <v>1037</v>
      </c>
      <c r="X1321" s="54" t="str">
        <f>VLOOKUP(W1321,Employees!$A$1:$B$601,2,FALSE)</f>
        <v>Priyanka Senapati</v>
      </c>
      <c r="AW1321" s="54"/>
      <c r="AX1321" s="54"/>
      <c r="BI1321" s="48"/>
      <c r="BJ1321" s="38"/>
      <c r="BK1321" s="38"/>
      <c r="BL1321" s="38"/>
      <c r="BM1321"/>
      <c r="BN1321" s="48"/>
      <c r="BR1321" s="18" t="s">
        <v>1037</v>
      </c>
      <c r="BS1321" s="18" t="s">
        <v>4127</v>
      </c>
      <c r="BT1321" s="54" t="str">
        <f t="shared" si="192"/>
        <v>Product</v>
      </c>
    </row>
    <row r="1322" spans="17:72">
      <c r="Q1322" s="19">
        <v>7.19</v>
      </c>
      <c r="R1322" s="56" t="str">
        <f t="shared" si="191"/>
        <v>Yes</v>
      </c>
      <c r="W1322" s="19" t="s">
        <v>1037</v>
      </c>
      <c r="X1322" s="54" t="str">
        <f>VLOOKUP(W1322,Employees!$A$1:$B$601,2,FALSE)</f>
        <v>Priyanka Senapati</v>
      </c>
      <c r="AW1322" s="54"/>
      <c r="AX1322" s="54"/>
      <c r="BI1322" s="48"/>
      <c r="BJ1322" s="38"/>
      <c r="BK1322" s="38"/>
      <c r="BL1322" s="38"/>
      <c r="BM1322"/>
      <c r="BN1322" s="48"/>
      <c r="BR1322" s="19" t="s">
        <v>1037</v>
      </c>
      <c r="BS1322" s="19" t="s">
        <v>4128</v>
      </c>
      <c r="BT1322" s="54" t="str">
        <f t="shared" si="192"/>
        <v>Product</v>
      </c>
    </row>
    <row r="1323" spans="17:72">
      <c r="Q1323" s="18">
        <v>11.44</v>
      </c>
      <c r="R1323" s="56" t="str">
        <f t="shared" si="191"/>
        <v>Yes</v>
      </c>
      <c r="W1323" s="18" t="s">
        <v>1037</v>
      </c>
      <c r="X1323" s="54" t="str">
        <f>VLOOKUP(W1323,Employees!$A$1:$B$601,2,FALSE)</f>
        <v>Priyanka Senapati</v>
      </c>
      <c r="AW1323" s="54"/>
      <c r="AX1323" s="54"/>
      <c r="BI1323" s="48"/>
      <c r="BJ1323" s="38"/>
      <c r="BK1323" s="38"/>
      <c r="BL1323" s="38"/>
      <c r="BM1323"/>
      <c r="BN1323" s="48"/>
      <c r="BR1323" s="18" t="s">
        <v>1037</v>
      </c>
      <c r="BS1323" s="18" t="s">
        <v>4129</v>
      </c>
      <c r="BT1323" s="54" t="str">
        <f t="shared" si="192"/>
        <v>Product</v>
      </c>
    </row>
    <row r="1324" spans="17:72">
      <c r="Q1324" s="19">
        <v>8.1199999999999992</v>
      </c>
      <c r="R1324" s="56" t="str">
        <f t="shared" si="191"/>
        <v>Yes</v>
      </c>
      <c r="W1324" s="19" t="s">
        <v>1037</v>
      </c>
      <c r="X1324" s="54" t="str">
        <f>VLOOKUP(W1324,Employees!$A$1:$B$601,2,FALSE)</f>
        <v>Priyanka Senapati</v>
      </c>
      <c r="AW1324" s="54"/>
      <c r="AX1324" s="54"/>
      <c r="BI1324" s="48"/>
      <c r="BJ1324" s="38"/>
      <c r="BK1324" s="38"/>
      <c r="BL1324" s="38"/>
      <c r="BM1324"/>
      <c r="BN1324" s="48"/>
      <c r="BR1324" s="19" t="s">
        <v>1037</v>
      </c>
      <c r="BS1324" s="19" t="s">
        <v>4130</v>
      </c>
      <c r="BT1324" s="54" t="str">
        <f t="shared" si="192"/>
        <v>Product</v>
      </c>
    </row>
    <row r="1325" spans="17:72">
      <c r="Q1325" s="18">
        <v>7.65</v>
      </c>
      <c r="R1325" s="56" t="str">
        <f t="shared" si="191"/>
        <v>Yes</v>
      </c>
      <c r="W1325" s="18" t="s">
        <v>1037</v>
      </c>
      <c r="X1325" s="54" t="str">
        <f>VLOOKUP(W1325,Employees!$A$1:$B$601,2,FALSE)</f>
        <v>Priyanka Senapati</v>
      </c>
      <c r="AW1325" s="54"/>
      <c r="AX1325" s="54"/>
      <c r="BI1325" s="48"/>
      <c r="BJ1325" s="38"/>
      <c r="BK1325" s="38"/>
      <c r="BL1325" s="38"/>
      <c r="BM1325"/>
      <c r="BN1325" s="48"/>
      <c r="BR1325" s="18" t="s">
        <v>1037</v>
      </c>
      <c r="BS1325" s="18" t="s">
        <v>4131</v>
      </c>
      <c r="BT1325" s="54" t="str">
        <f t="shared" si="192"/>
        <v>Product</v>
      </c>
    </row>
    <row r="1326" spans="17:72">
      <c r="Q1326" s="19">
        <v>8.99</v>
      </c>
      <c r="R1326" s="56" t="str">
        <f t="shared" si="191"/>
        <v>Yes</v>
      </c>
      <c r="W1326" s="19" t="s">
        <v>1037</v>
      </c>
      <c r="X1326" s="54" t="str">
        <f>VLOOKUP(W1326,Employees!$A$1:$B$601,2,FALSE)</f>
        <v>Priyanka Senapati</v>
      </c>
      <c r="AW1326" s="54"/>
      <c r="AX1326" s="54"/>
      <c r="BI1326" s="48"/>
      <c r="BJ1326" s="38"/>
      <c r="BK1326" s="38"/>
      <c r="BL1326" s="38"/>
      <c r="BM1326"/>
      <c r="BN1326" s="48"/>
      <c r="BR1326" s="19" t="s">
        <v>1037</v>
      </c>
      <c r="BS1326" s="19" t="s">
        <v>4133</v>
      </c>
      <c r="BT1326" s="54" t="str">
        <f t="shared" si="192"/>
        <v>Product</v>
      </c>
    </row>
    <row r="1327" spans="17:72">
      <c r="Q1327" s="18"/>
      <c r="R1327" s="56" t="str">
        <f t="shared" si="191"/>
        <v>No</v>
      </c>
      <c r="W1327" s="18" t="s">
        <v>1037</v>
      </c>
      <c r="X1327" s="54" t="str">
        <f>VLOOKUP(W1327,Employees!$A$1:$B$601,2,FALSE)</f>
        <v>Priyanka Senapati</v>
      </c>
      <c r="AW1327" s="54"/>
      <c r="AX1327" s="54"/>
      <c r="BI1327" s="48"/>
      <c r="BJ1327" s="38"/>
      <c r="BK1327" s="38"/>
      <c r="BL1327" s="38"/>
      <c r="BM1327"/>
      <c r="BN1327" s="48"/>
      <c r="BR1327" s="18" t="s">
        <v>1037</v>
      </c>
      <c r="BS1327" s="18" t="s">
        <v>4134</v>
      </c>
      <c r="BT1327" s="54" t="str">
        <f t="shared" si="192"/>
        <v>Product</v>
      </c>
    </row>
    <row r="1328" spans="17:72">
      <c r="Q1328" s="19">
        <v>7.93</v>
      </c>
      <c r="R1328" s="56" t="str">
        <f t="shared" si="191"/>
        <v>Yes</v>
      </c>
      <c r="W1328" s="19" t="s">
        <v>1037</v>
      </c>
      <c r="X1328" s="54" t="str">
        <f>VLOOKUP(W1328,Employees!$A$1:$B$601,2,FALSE)</f>
        <v>Priyanka Senapati</v>
      </c>
      <c r="AW1328" s="54"/>
      <c r="AX1328" s="54"/>
      <c r="BI1328" s="48"/>
      <c r="BJ1328" s="38"/>
      <c r="BK1328" s="38"/>
      <c r="BL1328" s="38"/>
      <c r="BM1328"/>
      <c r="BN1328" s="48"/>
      <c r="BR1328" s="19" t="s">
        <v>1037</v>
      </c>
      <c r="BS1328" s="19" t="s">
        <v>4135</v>
      </c>
      <c r="BT1328" s="54" t="str">
        <f t="shared" si="192"/>
        <v>Product</v>
      </c>
    </row>
    <row r="1329" spans="17:72">
      <c r="Q1329" s="18">
        <v>8.84</v>
      </c>
      <c r="R1329" s="56" t="str">
        <f t="shared" si="191"/>
        <v>Yes</v>
      </c>
      <c r="W1329" s="18" t="s">
        <v>1037</v>
      </c>
      <c r="X1329" s="54" t="str">
        <f>VLOOKUP(W1329,Employees!$A$1:$B$601,2,FALSE)</f>
        <v>Priyanka Senapati</v>
      </c>
      <c r="AW1329" s="54"/>
      <c r="AX1329" s="54"/>
      <c r="BI1329" s="48"/>
      <c r="BJ1329" s="38"/>
      <c r="BK1329" s="38"/>
      <c r="BL1329" s="38"/>
      <c r="BM1329"/>
      <c r="BN1329" s="48"/>
      <c r="BR1329" s="18" t="s">
        <v>1037</v>
      </c>
      <c r="BS1329" s="18" t="s">
        <v>4136</v>
      </c>
      <c r="BT1329" s="54" t="str">
        <f t="shared" si="192"/>
        <v>Product</v>
      </c>
    </row>
    <row r="1330" spans="17:72">
      <c r="Q1330" s="19">
        <v>9.68</v>
      </c>
      <c r="R1330" s="56" t="str">
        <f t="shared" si="191"/>
        <v>Yes</v>
      </c>
      <c r="W1330" s="19" t="s">
        <v>1037</v>
      </c>
      <c r="X1330" s="54" t="str">
        <f>VLOOKUP(W1330,Employees!$A$1:$B$601,2,FALSE)</f>
        <v>Priyanka Senapati</v>
      </c>
      <c r="AW1330" s="54"/>
      <c r="AX1330" s="54"/>
      <c r="BI1330" s="48"/>
      <c r="BJ1330" s="38"/>
      <c r="BK1330" s="38"/>
      <c r="BL1330" s="38"/>
      <c r="BM1330"/>
      <c r="BN1330" s="48"/>
      <c r="BR1330" s="19" t="s">
        <v>1037</v>
      </c>
      <c r="BS1330" s="19" t="s">
        <v>4137</v>
      </c>
      <c r="BT1330" s="54" t="str">
        <f t="shared" si="192"/>
        <v>Product</v>
      </c>
    </row>
    <row r="1331" spans="17:72">
      <c r="Q1331" s="18">
        <v>7.66</v>
      </c>
      <c r="R1331" s="56" t="str">
        <f t="shared" si="191"/>
        <v>Yes</v>
      </c>
      <c r="W1331" s="18" t="s">
        <v>1037</v>
      </c>
      <c r="X1331" s="54" t="str">
        <f>VLOOKUP(W1331,Employees!$A$1:$B$601,2,FALSE)</f>
        <v>Priyanka Senapati</v>
      </c>
      <c r="AW1331" s="54"/>
      <c r="AX1331" s="54"/>
      <c r="BI1331" s="48"/>
      <c r="BJ1331" s="38"/>
      <c r="BK1331" s="38"/>
      <c r="BL1331" s="38"/>
      <c r="BM1331"/>
      <c r="BN1331" s="48"/>
      <c r="BR1331" s="18" t="s">
        <v>1037</v>
      </c>
      <c r="BS1331" s="18" t="s">
        <v>4138</v>
      </c>
      <c r="BT1331" s="54" t="str">
        <f t="shared" si="192"/>
        <v>Product</v>
      </c>
    </row>
    <row r="1332" spans="17:72">
      <c r="Q1332" s="19">
        <v>11.29</v>
      </c>
      <c r="R1332" s="56" t="str">
        <f t="shared" si="191"/>
        <v>Yes</v>
      </c>
      <c r="W1332" s="19" t="s">
        <v>1037</v>
      </c>
      <c r="X1332" s="54" t="str">
        <f>VLOOKUP(W1332,Employees!$A$1:$B$601,2,FALSE)</f>
        <v>Priyanka Senapati</v>
      </c>
      <c r="AW1332" s="54"/>
      <c r="AX1332" s="54"/>
      <c r="BI1332" s="48"/>
      <c r="BJ1332" s="38"/>
      <c r="BK1332" s="38"/>
      <c r="BL1332" s="38"/>
      <c r="BM1332"/>
      <c r="BN1332" s="48"/>
      <c r="BR1332" s="19" t="s">
        <v>1037</v>
      </c>
      <c r="BS1332" s="19" t="s">
        <v>4139</v>
      </c>
      <c r="BT1332" s="54" t="str">
        <f t="shared" si="192"/>
        <v>Product</v>
      </c>
    </row>
    <row r="1333" spans="17:72">
      <c r="Q1333" s="18">
        <v>9.19</v>
      </c>
      <c r="R1333" s="56" t="str">
        <f t="shared" si="191"/>
        <v>Yes</v>
      </c>
      <c r="W1333" s="18" t="s">
        <v>1037</v>
      </c>
      <c r="X1333" s="54" t="str">
        <f>VLOOKUP(W1333,Employees!$A$1:$B$601,2,FALSE)</f>
        <v>Priyanka Senapati</v>
      </c>
      <c r="AW1333" s="54"/>
      <c r="AX1333" s="54"/>
      <c r="BI1333" s="48"/>
      <c r="BJ1333" s="38"/>
      <c r="BK1333" s="38"/>
      <c r="BL1333" s="38"/>
      <c r="BM1333"/>
      <c r="BN1333" s="48"/>
      <c r="BR1333" s="18" t="s">
        <v>1037</v>
      </c>
      <c r="BS1333" s="18" t="s">
        <v>4140</v>
      </c>
      <c r="BT1333" s="54" t="str">
        <f t="shared" si="192"/>
        <v>Product</v>
      </c>
    </row>
    <row r="1334" spans="17:72">
      <c r="Q1334" s="19">
        <v>9.51</v>
      </c>
      <c r="R1334" s="56" t="str">
        <f t="shared" si="191"/>
        <v>Yes</v>
      </c>
      <c r="W1334" s="19" t="s">
        <v>1037</v>
      </c>
      <c r="X1334" s="54" t="str">
        <f>VLOOKUP(W1334,Employees!$A$1:$B$601,2,FALSE)</f>
        <v>Priyanka Senapati</v>
      </c>
      <c r="AW1334" s="54"/>
      <c r="AX1334" s="54"/>
      <c r="BI1334" s="48"/>
      <c r="BJ1334" s="38"/>
      <c r="BK1334" s="38"/>
      <c r="BL1334" s="38"/>
      <c r="BM1334"/>
      <c r="BN1334" s="48"/>
      <c r="BR1334" s="19" t="s">
        <v>1037</v>
      </c>
      <c r="BS1334" s="19" t="s">
        <v>4141</v>
      </c>
      <c r="BT1334" s="54" t="str">
        <f t="shared" si="192"/>
        <v>Product</v>
      </c>
    </row>
    <row r="1335" spans="17:72">
      <c r="Q1335" s="18">
        <v>11.06</v>
      </c>
      <c r="R1335" s="56" t="str">
        <f t="shared" si="191"/>
        <v>Yes</v>
      </c>
      <c r="W1335" s="18" t="s">
        <v>296</v>
      </c>
      <c r="X1335" s="54" t="str">
        <f>VLOOKUP(W1335,Employees!$A$1:$B$601,2,FALSE)</f>
        <v>Debasmita Sahoo</v>
      </c>
      <c r="AW1335" s="54"/>
      <c r="AX1335" s="54"/>
      <c r="BI1335" s="48"/>
      <c r="BJ1335" s="38"/>
      <c r="BK1335" s="38"/>
      <c r="BL1335" s="38"/>
      <c r="BM1335"/>
      <c r="BN1335" s="48"/>
      <c r="BR1335" s="18" t="s">
        <v>296</v>
      </c>
      <c r="BS1335" s="18" t="s">
        <v>4142</v>
      </c>
      <c r="BT1335" s="54" t="str">
        <f t="shared" si="192"/>
        <v>Product</v>
      </c>
    </row>
    <row r="1336" spans="17:72">
      <c r="Q1336" s="19">
        <v>9.1</v>
      </c>
      <c r="R1336" s="56" t="str">
        <f t="shared" si="191"/>
        <v>Yes</v>
      </c>
      <c r="W1336" s="19" t="s">
        <v>296</v>
      </c>
      <c r="X1336" s="54" t="str">
        <f>VLOOKUP(W1336,Employees!$A$1:$B$601,2,FALSE)</f>
        <v>Debasmita Sahoo</v>
      </c>
      <c r="AW1336" s="54"/>
      <c r="AX1336" s="54"/>
      <c r="BI1336" s="48"/>
      <c r="BJ1336" s="38"/>
      <c r="BK1336" s="38"/>
      <c r="BL1336" s="38"/>
      <c r="BM1336"/>
      <c r="BN1336" s="48"/>
      <c r="BR1336" s="19" t="s">
        <v>296</v>
      </c>
      <c r="BS1336" s="19" t="s">
        <v>4143</v>
      </c>
      <c r="BT1336" s="54" t="str">
        <f t="shared" si="192"/>
        <v>Product</v>
      </c>
    </row>
    <row r="1337" spans="17:72">
      <c r="Q1337" s="18">
        <v>7.84</v>
      </c>
      <c r="R1337" s="56" t="str">
        <f t="shared" si="191"/>
        <v>Yes</v>
      </c>
      <c r="W1337" s="18" t="s">
        <v>296</v>
      </c>
      <c r="X1337" s="54" t="str">
        <f>VLOOKUP(W1337,Employees!$A$1:$B$601,2,FALSE)</f>
        <v>Debasmita Sahoo</v>
      </c>
      <c r="AW1337" s="54"/>
      <c r="AX1337" s="54"/>
      <c r="BI1337" s="48"/>
      <c r="BJ1337" s="38"/>
      <c r="BK1337" s="38"/>
      <c r="BL1337" s="38"/>
      <c r="BM1337"/>
      <c r="BN1337" s="48"/>
      <c r="BR1337" s="18" t="s">
        <v>296</v>
      </c>
      <c r="BS1337" s="18" t="s">
        <v>4144</v>
      </c>
      <c r="BT1337" s="54" t="str">
        <f t="shared" si="192"/>
        <v>Product</v>
      </c>
    </row>
    <row r="1338" spans="17:72">
      <c r="Q1338" s="19"/>
      <c r="R1338" s="56" t="str">
        <f t="shared" si="191"/>
        <v>No</v>
      </c>
      <c r="W1338" s="19" t="s">
        <v>296</v>
      </c>
      <c r="X1338" s="54" t="str">
        <f>VLOOKUP(W1338,Employees!$A$1:$B$601,2,FALSE)</f>
        <v>Debasmita Sahoo</v>
      </c>
      <c r="AW1338" s="54"/>
      <c r="AX1338" s="54"/>
      <c r="BI1338" s="48"/>
      <c r="BJ1338" s="38"/>
      <c r="BK1338" s="38"/>
      <c r="BL1338" s="38"/>
      <c r="BM1338"/>
      <c r="BN1338" s="48"/>
      <c r="BR1338" s="19" t="s">
        <v>296</v>
      </c>
      <c r="BS1338" s="19" t="s">
        <v>4145</v>
      </c>
      <c r="BT1338" s="54" t="str">
        <f t="shared" si="192"/>
        <v>Product</v>
      </c>
    </row>
    <row r="1339" spans="17:72">
      <c r="Q1339" s="18">
        <v>10.02</v>
      </c>
      <c r="R1339" s="56" t="str">
        <f t="shared" si="191"/>
        <v>Yes</v>
      </c>
      <c r="W1339" s="18" t="s">
        <v>296</v>
      </c>
      <c r="X1339" s="54" t="str">
        <f>VLOOKUP(W1339,Employees!$A$1:$B$601,2,FALSE)</f>
        <v>Debasmita Sahoo</v>
      </c>
      <c r="AW1339" s="54"/>
      <c r="AX1339" s="54"/>
      <c r="BI1339" s="48"/>
      <c r="BJ1339" s="38"/>
      <c r="BK1339" s="38"/>
      <c r="BL1339" s="38"/>
      <c r="BM1339"/>
      <c r="BN1339" s="48"/>
      <c r="BR1339" s="18" t="s">
        <v>296</v>
      </c>
      <c r="BS1339" s="18" t="s">
        <v>4146</v>
      </c>
      <c r="BT1339" s="54" t="str">
        <f t="shared" si="192"/>
        <v>Product</v>
      </c>
    </row>
    <row r="1340" spans="17:72">
      <c r="Q1340" s="19">
        <v>10.59</v>
      </c>
      <c r="R1340" s="56" t="str">
        <f t="shared" si="191"/>
        <v>Yes</v>
      </c>
      <c r="W1340" s="19" t="s">
        <v>296</v>
      </c>
      <c r="X1340" s="54" t="str">
        <f>VLOOKUP(W1340,Employees!$A$1:$B$601,2,FALSE)</f>
        <v>Debasmita Sahoo</v>
      </c>
      <c r="AW1340" s="54"/>
      <c r="AX1340" s="54"/>
      <c r="BI1340" s="48"/>
      <c r="BJ1340" s="38"/>
      <c r="BK1340" s="38"/>
      <c r="BL1340" s="38"/>
      <c r="BM1340"/>
      <c r="BN1340" s="48"/>
      <c r="BR1340" s="19" t="s">
        <v>296</v>
      </c>
      <c r="BS1340" s="19" t="s">
        <v>4147</v>
      </c>
      <c r="BT1340" s="54" t="str">
        <f t="shared" si="192"/>
        <v>Product</v>
      </c>
    </row>
    <row r="1341" spans="17:72">
      <c r="Q1341" s="18">
        <v>11.32</v>
      </c>
      <c r="R1341" s="56" t="str">
        <f t="shared" si="191"/>
        <v>Yes</v>
      </c>
      <c r="W1341" s="18" t="s">
        <v>296</v>
      </c>
      <c r="X1341" s="54" t="str">
        <f>VLOOKUP(W1341,Employees!$A$1:$B$601,2,FALSE)</f>
        <v>Debasmita Sahoo</v>
      </c>
      <c r="AW1341" s="54"/>
      <c r="AX1341" s="54"/>
      <c r="BI1341" s="48"/>
      <c r="BJ1341" s="38"/>
      <c r="BK1341" s="38"/>
      <c r="BL1341" s="38"/>
      <c r="BM1341"/>
      <c r="BN1341" s="48"/>
      <c r="BR1341" s="18" t="s">
        <v>296</v>
      </c>
      <c r="BS1341" s="18" t="s">
        <v>4148</v>
      </c>
      <c r="BT1341" s="54" t="str">
        <f t="shared" si="192"/>
        <v>Product</v>
      </c>
    </row>
    <row r="1342" spans="17:72">
      <c r="Q1342" s="19">
        <v>9.9700000000000006</v>
      </c>
      <c r="R1342" s="56" t="str">
        <f t="shared" si="191"/>
        <v>Yes</v>
      </c>
      <c r="W1342" s="19" t="s">
        <v>296</v>
      </c>
      <c r="X1342" s="54" t="str">
        <f>VLOOKUP(W1342,Employees!$A$1:$B$601,2,FALSE)</f>
        <v>Debasmita Sahoo</v>
      </c>
      <c r="AW1342" s="54"/>
      <c r="AX1342" s="54"/>
      <c r="BI1342" s="48"/>
      <c r="BJ1342" s="38"/>
      <c r="BK1342" s="38"/>
      <c r="BL1342" s="38"/>
      <c r="BM1342"/>
      <c r="BN1342" s="48"/>
      <c r="BR1342" s="19" t="s">
        <v>296</v>
      </c>
      <c r="BS1342" s="19" t="s">
        <v>4149</v>
      </c>
      <c r="BT1342" s="54" t="str">
        <f t="shared" si="192"/>
        <v>Product</v>
      </c>
    </row>
    <row r="1343" spans="17:72">
      <c r="Q1343" s="18">
        <v>6.71</v>
      </c>
      <c r="R1343" s="56" t="str">
        <f t="shared" si="191"/>
        <v>Yes</v>
      </c>
      <c r="W1343" s="18" t="s">
        <v>296</v>
      </c>
      <c r="X1343" s="54" t="str">
        <f>VLOOKUP(W1343,Employees!$A$1:$B$601,2,FALSE)</f>
        <v>Debasmita Sahoo</v>
      </c>
      <c r="AW1343" s="54"/>
      <c r="AX1343" s="54"/>
      <c r="BI1343" s="48"/>
      <c r="BJ1343" s="38"/>
      <c r="BK1343" s="38"/>
      <c r="BL1343" s="38"/>
      <c r="BM1343"/>
      <c r="BN1343" s="48"/>
      <c r="BR1343" s="18" t="s">
        <v>296</v>
      </c>
      <c r="BS1343" s="18" t="s">
        <v>4150</v>
      </c>
      <c r="BT1343" s="54" t="str">
        <f t="shared" si="192"/>
        <v>Product</v>
      </c>
    </row>
    <row r="1344" spans="17:72">
      <c r="Q1344" s="19">
        <v>10.51</v>
      </c>
      <c r="R1344" s="56" t="str">
        <f t="shared" si="191"/>
        <v>Yes</v>
      </c>
      <c r="W1344" s="19" t="s">
        <v>296</v>
      </c>
      <c r="X1344" s="54" t="str">
        <f>VLOOKUP(W1344,Employees!$A$1:$B$601,2,FALSE)</f>
        <v>Debasmita Sahoo</v>
      </c>
      <c r="AW1344" s="54"/>
      <c r="AX1344" s="54"/>
      <c r="BI1344" s="48"/>
      <c r="BJ1344" s="38"/>
      <c r="BK1344" s="38"/>
      <c r="BL1344" s="38"/>
      <c r="BM1344"/>
      <c r="BN1344" s="48"/>
      <c r="BR1344" s="19" t="s">
        <v>296</v>
      </c>
      <c r="BS1344" s="19" t="s">
        <v>4151</v>
      </c>
      <c r="BT1344" s="54" t="str">
        <f t="shared" si="192"/>
        <v>Product</v>
      </c>
    </row>
    <row r="1345" spans="17:72">
      <c r="Q1345" s="18">
        <v>8.36</v>
      </c>
      <c r="R1345" s="56" t="str">
        <f t="shared" si="191"/>
        <v>Yes</v>
      </c>
      <c r="W1345" s="18" t="s">
        <v>296</v>
      </c>
      <c r="X1345" s="54" t="str">
        <f>VLOOKUP(W1345,Employees!$A$1:$B$601,2,FALSE)</f>
        <v>Debasmita Sahoo</v>
      </c>
      <c r="AW1345" s="54"/>
      <c r="AX1345" s="54"/>
      <c r="BI1345" s="48"/>
      <c r="BJ1345" s="38"/>
      <c r="BK1345" s="38"/>
      <c r="BL1345" s="38"/>
      <c r="BM1345"/>
      <c r="BN1345" s="48"/>
      <c r="BR1345" s="18" t="s">
        <v>296</v>
      </c>
      <c r="BS1345" s="18" t="s">
        <v>4152</v>
      </c>
      <c r="BT1345" s="54" t="str">
        <f t="shared" si="192"/>
        <v>Product</v>
      </c>
    </row>
    <row r="1346" spans="17:72">
      <c r="Q1346" s="19">
        <v>7.46</v>
      </c>
      <c r="R1346" s="56" t="str">
        <f t="shared" si="191"/>
        <v>Yes</v>
      </c>
      <c r="W1346" s="19" t="s">
        <v>296</v>
      </c>
      <c r="X1346" s="54" t="str">
        <f>VLOOKUP(W1346,Employees!$A$1:$B$601,2,FALSE)</f>
        <v>Debasmita Sahoo</v>
      </c>
      <c r="AW1346" s="54"/>
      <c r="AX1346" s="54"/>
      <c r="BI1346" s="48"/>
      <c r="BJ1346" s="38"/>
      <c r="BK1346" s="38"/>
      <c r="BL1346" s="38"/>
      <c r="BM1346"/>
      <c r="BN1346" s="48"/>
      <c r="BR1346" s="19" t="s">
        <v>296</v>
      </c>
      <c r="BS1346" s="19" t="s">
        <v>4153</v>
      </c>
      <c r="BT1346" s="54" t="str">
        <f t="shared" si="192"/>
        <v>Product</v>
      </c>
    </row>
    <row r="1347" spans="17:72">
      <c r="Q1347" s="18">
        <v>7.18</v>
      </c>
      <c r="R1347" s="56" t="str">
        <f t="shared" ref="R1347:R1410" si="193">IF(ISBLANK(Q1347),"No","Yes")</f>
        <v>Yes</v>
      </c>
      <c r="W1347" s="18" t="s">
        <v>296</v>
      </c>
      <c r="X1347" s="54" t="str">
        <f>VLOOKUP(W1347,Employees!$A$1:$B$601,2,FALSE)</f>
        <v>Debasmita Sahoo</v>
      </c>
      <c r="AW1347" s="54"/>
      <c r="AX1347" s="54"/>
      <c r="BI1347" s="48"/>
      <c r="BJ1347" s="38"/>
      <c r="BK1347" s="38"/>
      <c r="BL1347" s="38"/>
      <c r="BM1347"/>
      <c r="BN1347" s="48"/>
      <c r="BR1347" s="18" t="s">
        <v>296</v>
      </c>
      <c r="BS1347" s="18" t="s">
        <v>4154</v>
      </c>
      <c r="BT1347" s="54" t="str">
        <f t="shared" ref="BT1347:BT1410" si="194">VLOOKUP(BR1347,$BP$2:$BQ$601,2,FALSE)</f>
        <v>Product</v>
      </c>
    </row>
    <row r="1348" spans="17:72">
      <c r="Q1348" s="19">
        <v>6.67</v>
      </c>
      <c r="R1348" s="56" t="str">
        <f t="shared" si="193"/>
        <v>Yes</v>
      </c>
      <c r="W1348" s="19" t="s">
        <v>296</v>
      </c>
      <c r="X1348" s="54" t="str">
        <f>VLOOKUP(W1348,Employees!$A$1:$B$601,2,FALSE)</f>
        <v>Debasmita Sahoo</v>
      </c>
      <c r="AW1348" s="54"/>
      <c r="AX1348" s="54"/>
      <c r="BI1348" s="48"/>
      <c r="BJ1348" s="38"/>
      <c r="BK1348" s="38"/>
      <c r="BL1348" s="38"/>
      <c r="BM1348"/>
      <c r="BN1348" s="48"/>
      <c r="BR1348" s="19" t="s">
        <v>296</v>
      </c>
      <c r="BS1348" s="19" t="s">
        <v>4155</v>
      </c>
      <c r="BT1348" s="54" t="str">
        <f t="shared" si="194"/>
        <v>Product</v>
      </c>
    </row>
    <row r="1349" spans="17:72">
      <c r="Q1349" s="18">
        <v>8.0299999999999994</v>
      </c>
      <c r="R1349" s="56" t="str">
        <f t="shared" si="193"/>
        <v>Yes</v>
      </c>
      <c r="W1349" s="18" t="s">
        <v>296</v>
      </c>
      <c r="X1349" s="54" t="str">
        <f>VLOOKUP(W1349,Employees!$A$1:$B$601,2,FALSE)</f>
        <v>Debasmita Sahoo</v>
      </c>
      <c r="AW1349" s="54"/>
      <c r="AX1349" s="54"/>
      <c r="BI1349" s="48"/>
      <c r="BJ1349" s="38"/>
      <c r="BK1349" s="38"/>
      <c r="BL1349" s="38"/>
      <c r="BM1349"/>
      <c r="BN1349" s="48"/>
      <c r="BR1349" s="18" t="s">
        <v>296</v>
      </c>
      <c r="BS1349" s="18" t="s">
        <v>4156</v>
      </c>
      <c r="BT1349" s="54" t="str">
        <f t="shared" si="194"/>
        <v>Product</v>
      </c>
    </row>
    <row r="1350" spans="17:72">
      <c r="Q1350" s="19">
        <v>8.69</v>
      </c>
      <c r="R1350" s="56" t="str">
        <f t="shared" si="193"/>
        <v>Yes</v>
      </c>
      <c r="W1350" s="19" t="s">
        <v>296</v>
      </c>
      <c r="X1350" s="54" t="str">
        <f>VLOOKUP(W1350,Employees!$A$1:$B$601,2,FALSE)</f>
        <v>Debasmita Sahoo</v>
      </c>
      <c r="AW1350" s="54"/>
      <c r="AX1350" s="54"/>
      <c r="BI1350" s="48"/>
      <c r="BJ1350" s="38"/>
      <c r="BK1350" s="38"/>
      <c r="BL1350" s="38"/>
      <c r="BM1350"/>
      <c r="BN1350" s="48"/>
      <c r="BR1350" s="19" t="s">
        <v>296</v>
      </c>
      <c r="BS1350" s="19" t="s">
        <v>4157</v>
      </c>
      <c r="BT1350" s="54" t="str">
        <f t="shared" si="194"/>
        <v>Product</v>
      </c>
    </row>
    <row r="1351" spans="17:72">
      <c r="Q1351" s="18">
        <v>8.94</v>
      </c>
      <c r="R1351" s="56" t="str">
        <f t="shared" si="193"/>
        <v>Yes</v>
      </c>
      <c r="W1351" s="18" t="s">
        <v>296</v>
      </c>
      <c r="X1351" s="54" t="str">
        <f>VLOOKUP(W1351,Employees!$A$1:$B$601,2,FALSE)</f>
        <v>Debasmita Sahoo</v>
      </c>
      <c r="AW1351" s="54"/>
      <c r="AX1351" s="54"/>
      <c r="BI1351" s="48"/>
      <c r="BJ1351" s="38"/>
      <c r="BK1351" s="38"/>
      <c r="BL1351" s="38"/>
      <c r="BM1351"/>
      <c r="BN1351" s="48"/>
      <c r="BR1351" s="18" t="s">
        <v>296</v>
      </c>
      <c r="BS1351" s="18" t="s">
        <v>4158</v>
      </c>
      <c r="BT1351" s="54" t="str">
        <f t="shared" si="194"/>
        <v>Product</v>
      </c>
    </row>
    <row r="1352" spans="17:72">
      <c r="Q1352" s="19">
        <v>9.69</v>
      </c>
      <c r="R1352" s="56" t="str">
        <f t="shared" si="193"/>
        <v>Yes</v>
      </c>
      <c r="W1352" s="19" t="s">
        <v>296</v>
      </c>
      <c r="X1352" s="54" t="str">
        <f>VLOOKUP(W1352,Employees!$A$1:$B$601,2,FALSE)</f>
        <v>Debasmita Sahoo</v>
      </c>
      <c r="AW1352" s="54"/>
      <c r="AX1352" s="54"/>
      <c r="BI1352" s="48"/>
      <c r="BJ1352" s="38"/>
      <c r="BK1352" s="38"/>
      <c r="BL1352" s="38"/>
      <c r="BM1352"/>
      <c r="BN1352" s="48"/>
      <c r="BR1352" s="19" t="s">
        <v>296</v>
      </c>
      <c r="BS1352" s="19" t="s">
        <v>4159</v>
      </c>
      <c r="BT1352" s="54" t="str">
        <f t="shared" si="194"/>
        <v>Product</v>
      </c>
    </row>
    <row r="1353" spans="17:72">
      <c r="Q1353" s="18">
        <v>9.39</v>
      </c>
      <c r="R1353" s="56" t="str">
        <f t="shared" si="193"/>
        <v>Yes</v>
      </c>
      <c r="W1353" s="18" t="s">
        <v>296</v>
      </c>
      <c r="X1353" s="54" t="str">
        <f>VLOOKUP(W1353,Employees!$A$1:$B$601,2,FALSE)</f>
        <v>Debasmita Sahoo</v>
      </c>
      <c r="AW1353" s="54"/>
      <c r="AX1353" s="54"/>
      <c r="BI1353" s="48"/>
      <c r="BJ1353" s="38"/>
      <c r="BK1353" s="38"/>
      <c r="BL1353" s="38"/>
      <c r="BM1353"/>
      <c r="BN1353" s="48"/>
      <c r="BR1353" s="18" t="s">
        <v>296</v>
      </c>
      <c r="BS1353" s="18" t="s">
        <v>4160</v>
      </c>
      <c r="BT1353" s="54" t="str">
        <f t="shared" si="194"/>
        <v>Product</v>
      </c>
    </row>
    <row r="1354" spans="17:72">
      <c r="Q1354" s="19">
        <v>10.61</v>
      </c>
      <c r="R1354" s="56" t="str">
        <f t="shared" si="193"/>
        <v>Yes</v>
      </c>
      <c r="W1354" s="19" t="s">
        <v>296</v>
      </c>
      <c r="X1354" s="54" t="str">
        <f>VLOOKUP(W1354,Employees!$A$1:$B$601,2,FALSE)</f>
        <v>Debasmita Sahoo</v>
      </c>
      <c r="AW1354" s="54"/>
      <c r="AX1354" s="54"/>
      <c r="BI1354" s="48"/>
      <c r="BJ1354" s="38"/>
      <c r="BK1354" s="38"/>
      <c r="BL1354" s="38"/>
      <c r="BM1354"/>
      <c r="BN1354" s="48"/>
      <c r="BR1354" s="19" t="s">
        <v>296</v>
      </c>
      <c r="BS1354" s="19" t="s">
        <v>4161</v>
      </c>
      <c r="BT1354" s="54" t="str">
        <f t="shared" si="194"/>
        <v>Product</v>
      </c>
    </row>
    <row r="1355" spans="17:72">
      <c r="Q1355" s="18">
        <v>8.57</v>
      </c>
      <c r="R1355" s="56" t="str">
        <f t="shared" si="193"/>
        <v>Yes</v>
      </c>
      <c r="W1355" s="18" t="s">
        <v>296</v>
      </c>
      <c r="X1355" s="54" t="str">
        <f>VLOOKUP(W1355,Employees!$A$1:$B$601,2,FALSE)</f>
        <v>Debasmita Sahoo</v>
      </c>
      <c r="AW1355" s="54"/>
      <c r="AX1355" s="54"/>
      <c r="BI1355" s="48"/>
      <c r="BJ1355" s="38"/>
      <c r="BK1355" s="38"/>
      <c r="BL1355" s="38"/>
      <c r="BM1355"/>
      <c r="BN1355" s="48"/>
      <c r="BR1355" s="18" t="s">
        <v>296</v>
      </c>
      <c r="BS1355" s="18" t="s">
        <v>4163</v>
      </c>
      <c r="BT1355" s="54" t="str">
        <f t="shared" si="194"/>
        <v>Product</v>
      </c>
    </row>
    <row r="1356" spans="17:72">
      <c r="Q1356" s="19">
        <v>6.89</v>
      </c>
      <c r="R1356" s="56" t="str">
        <f t="shared" si="193"/>
        <v>Yes</v>
      </c>
      <c r="W1356" s="19" t="s">
        <v>296</v>
      </c>
      <c r="X1356" s="54" t="str">
        <f>VLOOKUP(W1356,Employees!$A$1:$B$601,2,FALSE)</f>
        <v>Debasmita Sahoo</v>
      </c>
      <c r="AW1356" s="54"/>
      <c r="AX1356" s="54"/>
      <c r="BI1356" s="48"/>
      <c r="BJ1356" s="38"/>
      <c r="BK1356" s="38"/>
      <c r="BL1356" s="38"/>
      <c r="BM1356"/>
      <c r="BN1356" s="48"/>
      <c r="BR1356" s="19" t="s">
        <v>296</v>
      </c>
      <c r="BS1356" s="19" t="s">
        <v>4164</v>
      </c>
      <c r="BT1356" s="54" t="str">
        <f t="shared" si="194"/>
        <v>Product</v>
      </c>
    </row>
    <row r="1357" spans="17:72">
      <c r="Q1357" s="18"/>
      <c r="R1357" s="56" t="str">
        <f t="shared" si="193"/>
        <v>No</v>
      </c>
      <c r="W1357" s="18" t="s">
        <v>296</v>
      </c>
      <c r="X1357" s="54" t="str">
        <f>VLOOKUP(W1357,Employees!$A$1:$B$601,2,FALSE)</f>
        <v>Debasmita Sahoo</v>
      </c>
      <c r="AW1357" s="54"/>
      <c r="AX1357" s="54"/>
      <c r="BI1357" s="48"/>
      <c r="BJ1357" s="38"/>
      <c r="BK1357" s="38"/>
      <c r="BL1357" s="38"/>
      <c r="BM1357"/>
      <c r="BN1357" s="48"/>
      <c r="BR1357" s="18" t="s">
        <v>296</v>
      </c>
      <c r="BS1357" s="18" t="s">
        <v>4165</v>
      </c>
      <c r="BT1357" s="54" t="str">
        <f t="shared" si="194"/>
        <v>Product</v>
      </c>
    </row>
    <row r="1358" spans="17:72">
      <c r="Q1358" s="19">
        <v>6.78</v>
      </c>
      <c r="R1358" s="56" t="str">
        <f t="shared" si="193"/>
        <v>Yes</v>
      </c>
      <c r="W1358" s="19" t="s">
        <v>296</v>
      </c>
      <c r="X1358" s="54" t="str">
        <f>VLOOKUP(W1358,Employees!$A$1:$B$601,2,FALSE)</f>
        <v>Debasmita Sahoo</v>
      </c>
      <c r="AW1358" s="54"/>
      <c r="AX1358" s="54"/>
      <c r="BI1358" s="48"/>
      <c r="BJ1358" s="38"/>
      <c r="BK1358" s="38"/>
      <c r="BL1358" s="38"/>
      <c r="BM1358"/>
      <c r="BN1358" s="48"/>
      <c r="BR1358" s="19" t="s">
        <v>296</v>
      </c>
      <c r="BS1358" s="19" t="s">
        <v>4166</v>
      </c>
      <c r="BT1358" s="54" t="str">
        <f t="shared" si="194"/>
        <v>Product</v>
      </c>
    </row>
    <row r="1359" spans="17:72">
      <c r="Q1359" s="18">
        <v>7.68</v>
      </c>
      <c r="R1359" s="56" t="str">
        <f t="shared" si="193"/>
        <v>Yes</v>
      </c>
      <c r="W1359" s="18" t="s">
        <v>296</v>
      </c>
      <c r="X1359" s="54" t="str">
        <f>VLOOKUP(W1359,Employees!$A$1:$B$601,2,FALSE)</f>
        <v>Debasmita Sahoo</v>
      </c>
      <c r="AW1359" s="54"/>
      <c r="AX1359" s="54"/>
      <c r="BI1359" s="48"/>
      <c r="BJ1359" s="38"/>
      <c r="BK1359" s="38"/>
      <c r="BL1359" s="38"/>
      <c r="BM1359"/>
      <c r="BN1359" s="48"/>
      <c r="BR1359" s="18" t="s">
        <v>296</v>
      </c>
      <c r="BS1359" s="18" t="s">
        <v>4167</v>
      </c>
      <c r="BT1359" s="54" t="str">
        <f t="shared" si="194"/>
        <v>Product</v>
      </c>
    </row>
    <row r="1360" spans="17:72">
      <c r="Q1360" s="19">
        <v>6.65</v>
      </c>
      <c r="R1360" s="56" t="str">
        <f t="shared" si="193"/>
        <v>Yes</v>
      </c>
      <c r="W1360" s="19" t="s">
        <v>296</v>
      </c>
      <c r="X1360" s="54" t="str">
        <f>VLOOKUP(W1360,Employees!$A$1:$B$601,2,FALSE)</f>
        <v>Debasmita Sahoo</v>
      </c>
      <c r="AW1360" s="54"/>
      <c r="AX1360" s="54"/>
      <c r="BI1360" s="48"/>
      <c r="BJ1360" s="38"/>
      <c r="BK1360" s="38"/>
      <c r="BL1360" s="38"/>
      <c r="BM1360"/>
      <c r="BN1360" s="48"/>
      <c r="BR1360" s="19" t="s">
        <v>296</v>
      </c>
      <c r="BS1360" s="19" t="s">
        <v>4168</v>
      </c>
      <c r="BT1360" s="54" t="str">
        <f t="shared" si="194"/>
        <v>Product</v>
      </c>
    </row>
    <row r="1361" spans="17:72">
      <c r="Q1361" s="18">
        <v>6.58</v>
      </c>
      <c r="R1361" s="56" t="str">
        <f t="shared" si="193"/>
        <v>Yes</v>
      </c>
      <c r="W1361" s="18" t="s">
        <v>296</v>
      </c>
      <c r="X1361" s="54" t="str">
        <f>VLOOKUP(W1361,Employees!$A$1:$B$601,2,FALSE)</f>
        <v>Debasmita Sahoo</v>
      </c>
      <c r="AW1361" s="54"/>
      <c r="AX1361" s="54"/>
      <c r="BI1361" s="48"/>
      <c r="BJ1361" s="38"/>
      <c r="BK1361" s="38"/>
      <c r="BL1361" s="38"/>
      <c r="BM1361"/>
      <c r="BN1361" s="48"/>
      <c r="BR1361" s="18" t="s">
        <v>296</v>
      </c>
      <c r="BS1361" s="18" t="s">
        <v>4170</v>
      </c>
      <c r="BT1361" s="54" t="str">
        <f t="shared" si="194"/>
        <v>Product</v>
      </c>
    </row>
    <row r="1362" spans="17:72">
      <c r="Q1362" s="19">
        <v>8.83</v>
      </c>
      <c r="R1362" s="56" t="str">
        <f t="shared" si="193"/>
        <v>Yes</v>
      </c>
      <c r="W1362" s="19" t="s">
        <v>296</v>
      </c>
      <c r="X1362" s="54" t="str">
        <f>VLOOKUP(W1362,Employees!$A$1:$B$601,2,FALSE)</f>
        <v>Debasmita Sahoo</v>
      </c>
      <c r="AW1362" s="54"/>
      <c r="AX1362" s="54"/>
      <c r="BI1362" s="48"/>
      <c r="BJ1362" s="38"/>
      <c r="BK1362" s="38"/>
      <c r="BL1362" s="38"/>
      <c r="BM1362"/>
      <c r="BN1362" s="48"/>
      <c r="BR1362" s="19" t="s">
        <v>296</v>
      </c>
      <c r="BS1362" s="19" t="s">
        <v>4171</v>
      </c>
      <c r="BT1362" s="54" t="str">
        <f t="shared" si="194"/>
        <v>Product</v>
      </c>
    </row>
    <row r="1363" spans="17:72">
      <c r="Q1363" s="18">
        <v>7.11</v>
      </c>
      <c r="R1363" s="56" t="str">
        <f t="shared" si="193"/>
        <v>Yes</v>
      </c>
      <c r="W1363" s="18" t="s">
        <v>296</v>
      </c>
      <c r="X1363" s="54" t="str">
        <f>VLOOKUP(W1363,Employees!$A$1:$B$601,2,FALSE)</f>
        <v>Debasmita Sahoo</v>
      </c>
      <c r="AW1363" s="54"/>
      <c r="AX1363" s="54"/>
      <c r="BI1363" s="48"/>
      <c r="BJ1363" s="38"/>
      <c r="BK1363" s="38"/>
      <c r="BL1363" s="38"/>
      <c r="BM1363"/>
      <c r="BN1363" s="48"/>
      <c r="BR1363" s="18" t="s">
        <v>296</v>
      </c>
      <c r="BS1363" s="18" t="s">
        <v>4172</v>
      </c>
      <c r="BT1363" s="54" t="str">
        <f t="shared" si="194"/>
        <v>Product</v>
      </c>
    </row>
    <row r="1364" spans="17:72">
      <c r="Q1364" s="19">
        <v>8.1199999999999992</v>
      </c>
      <c r="R1364" s="56" t="str">
        <f t="shared" si="193"/>
        <v>Yes</v>
      </c>
      <c r="W1364" s="19" t="s">
        <v>296</v>
      </c>
      <c r="X1364" s="54" t="str">
        <f>VLOOKUP(W1364,Employees!$A$1:$B$601,2,FALSE)</f>
        <v>Debasmita Sahoo</v>
      </c>
      <c r="AW1364" s="54"/>
      <c r="AX1364" s="54"/>
      <c r="BI1364" s="48"/>
      <c r="BJ1364" s="38"/>
      <c r="BK1364" s="38"/>
      <c r="BL1364" s="38"/>
      <c r="BM1364"/>
      <c r="BN1364" s="48"/>
      <c r="BR1364" s="19" t="s">
        <v>296</v>
      </c>
      <c r="BS1364" s="19" t="s">
        <v>4173</v>
      </c>
      <c r="BT1364" s="54" t="str">
        <f t="shared" si="194"/>
        <v>Product</v>
      </c>
    </row>
    <row r="1365" spans="17:72">
      <c r="Q1365" s="18">
        <v>8.81</v>
      </c>
      <c r="R1365" s="56" t="str">
        <f t="shared" si="193"/>
        <v>Yes</v>
      </c>
      <c r="W1365" s="18" t="s">
        <v>296</v>
      </c>
      <c r="X1365" s="54" t="str">
        <f>VLOOKUP(W1365,Employees!$A$1:$B$601,2,FALSE)</f>
        <v>Debasmita Sahoo</v>
      </c>
      <c r="AW1365" s="54"/>
      <c r="AX1365" s="54"/>
      <c r="BI1365" s="48"/>
      <c r="BJ1365" s="38"/>
      <c r="BK1365" s="38"/>
      <c r="BL1365" s="38"/>
      <c r="BM1365"/>
      <c r="BN1365" s="48"/>
      <c r="BR1365" s="18" t="s">
        <v>296</v>
      </c>
      <c r="BS1365" s="18" t="s">
        <v>4174</v>
      </c>
      <c r="BT1365" s="54" t="str">
        <f t="shared" si="194"/>
        <v>Product</v>
      </c>
    </row>
    <row r="1366" spans="17:72">
      <c r="Q1366" s="19">
        <v>7.48</v>
      </c>
      <c r="R1366" s="56" t="str">
        <f t="shared" si="193"/>
        <v>Yes</v>
      </c>
      <c r="W1366" s="19" t="s">
        <v>296</v>
      </c>
      <c r="X1366" s="54" t="str">
        <f>VLOOKUP(W1366,Employees!$A$1:$B$601,2,FALSE)</f>
        <v>Debasmita Sahoo</v>
      </c>
      <c r="AW1366" s="54"/>
      <c r="AX1366" s="54"/>
      <c r="BI1366" s="48"/>
      <c r="BJ1366" s="38"/>
      <c r="BK1366" s="38"/>
      <c r="BL1366" s="38"/>
      <c r="BM1366"/>
      <c r="BN1366" s="48"/>
      <c r="BR1366" s="19" t="s">
        <v>296</v>
      </c>
      <c r="BS1366" s="19" t="s">
        <v>4175</v>
      </c>
      <c r="BT1366" s="54" t="str">
        <f t="shared" si="194"/>
        <v>Product</v>
      </c>
    </row>
    <row r="1367" spans="17:72">
      <c r="Q1367" s="18">
        <v>8.0299999999999994</v>
      </c>
      <c r="R1367" s="56" t="str">
        <f t="shared" si="193"/>
        <v>Yes</v>
      </c>
      <c r="W1367" s="18" t="s">
        <v>296</v>
      </c>
      <c r="X1367" s="54" t="str">
        <f>VLOOKUP(W1367,Employees!$A$1:$B$601,2,FALSE)</f>
        <v>Debasmita Sahoo</v>
      </c>
      <c r="AW1367" s="54"/>
      <c r="AX1367" s="54"/>
      <c r="BI1367" s="48"/>
      <c r="BJ1367" s="38"/>
      <c r="BK1367" s="38"/>
      <c r="BL1367" s="38"/>
      <c r="BM1367"/>
      <c r="BN1367" s="48"/>
      <c r="BR1367" s="18" t="s">
        <v>296</v>
      </c>
      <c r="BS1367" s="18" t="s">
        <v>4177</v>
      </c>
      <c r="BT1367" s="54" t="str">
        <f t="shared" si="194"/>
        <v>Product</v>
      </c>
    </row>
    <row r="1368" spans="17:72">
      <c r="Q1368" s="19">
        <v>10.42</v>
      </c>
      <c r="R1368" s="56" t="str">
        <f t="shared" si="193"/>
        <v>Yes</v>
      </c>
      <c r="W1368" s="19" t="s">
        <v>296</v>
      </c>
      <c r="X1368" s="54" t="str">
        <f>VLOOKUP(W1368,Employees!$A$1:$B$601,2,FALSE)</f>
        <v>Debasmita Sahoo</v>
      </c>
      <c r="AW1368" s="54"/>
      <c r="AX1368" s="54"/>
      <c r="BI1368" s="48"/>
      <c r="BJ1368" s="38"/>
      <c r="BK1368" s="38"/>
      <c r="BL1368" s="38"/>
      <c r="BM1368"/>
      <c r="BN1368" s="48"/>
      <c r="BR1368" s="19" t="s">
        <v>296</v>
      </c>
      <c r="BS1368" s="19" t="s">
        <v>4179</v>
      </c>
      <c r="BT1368" s="54" t="str">
        <f t="shared" si="194"/>
        <v>Product</v>
      </c>
    </row>
    <row r="1369" spans="17:72">
      <c r="Q1369" s="18">
        <v>10.72</v>
      </c>
      <c r="R1369" s="56" t="str">
        <f t="shared" si="193"/>
        <v>Yes</v>
      </c>
      <c r="W1369" s="18" t="s">
        <v>296</v>
      </c>
      <c r="X1369" s="54" t="str">
        <f>VLOOKUP(W1369,Employees!$A$1:$B$601,2,FALSE)</f>
        <v>Debasmita Sahoo</v>
      </c>
      <c r="AW1369" s="54"/>
      <c r="AX1369" s="54"/>
      <c r="BI1369" s="48"/>
      <c r="BJ1369" s="38"/>
      <c r="BK1369" s="38"/>
      <c r="BL1369" s="38"/>
      <c r="BM1369"/>
      <c r="BN1369" s="48"/>
      <c r="BR1369" s="18" t="s">
        <v>296</v>
      </c>
      <c r="BS1369" s="18" t="s">
        <v>4180</v>
      </c>
      <c r="BT1369" s="54" t="str">
        <f t="shared" si="194"/>
        <v>Product</v>
      </c>
    </row>
    <row r="1370" spans="17:72">
      <c r="Q1370" s="19">
        <v>7.79</v>
      </c>
      <c r="R1370" s="56" t="str">
        <f t="shared" si="193"/>
        <v>Yes</v>
      </c>
      <c r="W1370" s="19" t="s">
        <v>296</v>
      </c>
      <c r="X1370" s="54" t="str">
        <f>VLOOKUP(W1370,Employees!$A$1:$B$601,2,FALSE)</f>
        <v>Debasmita Sahoo</v>
      </c>
      <c r="AW1370" s="54"/>
      <c r="AX1370" s="54"/>
      <c r="BI1370" s="48"/>
      <c r="BJ1370" s="38"/>
      <c r="BK1370" s="38"/>
      <c r="BL1370" s="38"/>
      <c r="BM1370"/>
      <c r="BN1370" s="48"/>
      <c r="BR1370" s="19" t="s">
        <v>296</v>
      </c>
      <c r="BS1370" s="19" t="s">
        <v>4182</v>
      </c>
      <c r="BT1370" s="54" t="str">
        <f t="shared" si="194"/>
        <v>Product</v>
      </c>
    </row>
    <row r="1371" spans="17:72">
      <c r="Q1371" s="18">
        <v>8.39</v>
      </c>
      <c r="R1371" s="56" t="str">
        <f t="shared" si="193"/>
        <v>Yes</v>
      </c>
      <c r="W1371" s="18" t="s">
        <v>296</v>
      </c>
      <c r="X1371" s="54" t="str">
        <f>VLOOKUP(W1371,Employees!$A$1:$B$601,2,FALSE)</f>
        <v>Debasmita Sahoo</v>
      </c>
      <c r="AW1371" s="54"/>
      <c r="AX1371" s="54"/>
      <c r="BI1371" s="48"/>
      <c r="BJ1371" s="38"/>
      <c r="BK1371" s="38"/>
      <c r="BL1371" s="38"/>
      <c r="BM1371"/>
      <c r="BN1371" s="48"/>
      <c r="BR1371" s="18" t="s">
        <v>296</v>
      </c>
      <c r="BS1371" s="18" t="s">
        <v>4183</v>
      </c>
      <c r="BT1371" s="54" t="str">
        <f t="shared" si="194"/>
        <v>Product</v>
      </c>
    </row>
    <row r="1372" spans="17:72">
      <c r="Q1372" s="19">
        <v>8.56</v>
      </c>
      <c r="R1372" s="56" t="str">
        <f t="shared" si="193"/>
        <v>Yes</v>
      </c>
      <c r="W1372" s="19" t="s">
        <v>296</v>
      </c>
      <c r="X1372" s="54" t="str">
        <f>VLOOKUP(W1372,Employees!$A$1:$B$601,2,FALSE)</f>
        <v>Debasmita Sahoo</v>
      </c>
      <c r="AW1372" s="54"/>
      <c r="AX1372" s="54"/>
      <c r="BI1372" s="48"/>
      <c r="BJ1372" s="38"/>
      <c r="BK1372" s="38"/>
      <c r="BL1372" s="38"/>
      <c r="BM1372"/>
      <c r="BN1372" s="48"/>
      <c r="BR1372" s="19" t="s">
        <v>296</v>
      </c>
      <c r="BS1372" s="19" t="s">
        <v>4184</v>
      </c>
      <c r="BT1372" s="54" t="str">
        <f t="shared" si="194"/>
        <v>Product</v>
      </c>
    </row>
    <row r="1373" spans="17:72">
      <c r="Q1373" s="18">
        <v>6.59</v>
      </c>
      <c r="R1373" s="56" t="str">
        <f t="shared" si="193"/>
        <v>Yes</v>
      </c>
      <c r="W1373" s="18" t="s">
        <v>296</v>
      </c>
      <c r="X1373" s="54" t="str">
        <f>VLOOKUP(W1373,Employees!$A$1:$B$601,2,FALSE)</f>
        <v>Debasmita Sahoo</v>
      </c>
      <c r="AW1373" s="54"/>
      <c r="AX1373" s="54"/>
      <c r="BI1373" s="48"/>
      <c r="BJ1373" s="38"/>
      <c r="BK1373" s="38"/>
      <c r="BL1373" s="38"/>
      <c r="BM1373"/>
      <c r="BN1373" s="48"/>
      <c r="BR1373" s="18" t="s">
        <v>296</v>
      </c>
      <c r="BS1373" s="18" t="s">
        <v>4185</v>
      </c>
      <c r="BT1373" s="54" t="str">
        <f t="shared" si="194"/>
        <v>Product</v>
      </c>
    </row>
    <row r="1374" spans="17:72">
      <c r="Q1374" s="19">
        <v>11.32</v>
      </c>
      <c r="R1374" s="56" t="str">
        <f t="shared" si="193"/>
        <v>Yes</v>
      </c>
      <c r="W1374" s="19" t="s">
        <v>296</v>
      </c>
      <c r="X1374" s="54" t="str">
        <f>VLOOKUP(W1374,Employees!$A$1:$B$601,2,FALSE)</f>
        <v>Debasmita Sahoo</v>
      </c>
      <c r="AW1374" s="54"/>
      <c r="AX1374" s="54"/>
      <c r="BI1374" s="48"/>
      <c r="BJ1374" s="38"/>
      <c r="BK1374" s="38"/>
      <c r="BL1374" s="38"/>
      <c r="BM1374"/>
      <c r="BN1374" s="48"/>
      <c r="BR1374" s="19" t="s">
        <v>296</v>
      </c>
      <c r="BS1374" s="19" t="s">
        <v>4186</v>
      </c>
      <c r="BT1374" s="54" t="str">
        <f t="shared" si="194"/>
        <v>Product</v>
      </c>
    </row>
    <row r="1375" spans="17:72">
      <c r="Q1375" s="18">
        <v>6.99</v>
      </c>
      <c r="R1375" s="56" t="str">
        <f t="shared" si="193"/>
        <v>Yes</v>
      </c>
      <c r="W1375" s="18" t="s">
        <v>296</v>
      </c>
      <c r="X1375" s="54" t="str">
        <f>VLOOKUP(W1375,Employees!$A$1:$B$601,2,FALSE)</f>
        <v>Debasmita Sahoo</v>
      </c>
      <c r="AW1375" s="54"/>
      <c r="AX1375" s="54"/>
      <c r="BI1375" s="48"/>
      <c r="BJ1375" s="38"/>
      <c r="BK1375" s="38"/>
      <c r="BL1375" s="38"/>
      <c r="BM1375"/>
      <c r="BN1375" s="48"/>
      <c r="BR1375" s="18" t="s">
        <v>296</v>
      </c>
      <c r="BS1375" s="18" t="s">
        <v>4187</v>
      </c>
      <c r="BT1375" s="54" t="str">
        <f t="shared" si="194"/>
        <v>Product</v>
      </c>
    </row>
    <row r="1376" spans="17:72">
      <c r="Q1376" s="19">
        <v>7.24</v>
      </c>
      <c r="R1376" s="56" t="str">
        <f t="shared" si="193"/>
        <v>Yes</v>
      </c>
      <c r="W1376" s="19" t="s">
        <v>296</v>
      </c>
      <c r="X1376" s="54" t="str">
        <f>VLOOKUP(W1376,Employees!$A$1:$B$601,2,FALSE)</f>
        <v>Debasmita Sahoo</v>
      </c>
      <c r="AW1376" s="54"/>
      <c r="AX1376" s="54"/>
      <c r="BI1376" s="48"/>
      <c r="BJ1376" s="38"/>
      <c r="BK1376" s="38"/>
      <c r="BL1376" s="38"/>
      <c r="BM1376"/>
      <c r="BN1376" s="48"/>
      <c r="BR1376" s="19" t="s">
        <v>296</v>
      </c>
      <c r="BS1376" s="19" t="s">
        <v>4188</v>
      </c>
      <c r="BT1376" s="54" t="str">
        <f t="shared" si="194"/>
        <v>Product</v>
      </c>
    </row>
    <row r="1377" spans="17:72">
      <c r="Q1377" s="18">
        <v>7.32</v>
      </c>
      <c r="R1377" s="56" t="str">
        <f t="shared" si="193"/>
        <v>Yes</v>
      </c>
      <c r="W1377" s="18" t="s">
        <v>296</v>
      </c>
      <c r="X1377" s="54" t="str">
        <f>VLOOKUP(W1377,Employees!$A$1:$B$601,2,FALSE)</f>
        <v>Debasmita Sahoo</v>
      </c>
      <c r="AW1377" s="54"/>
      <c r="AX1377" s="54"/>
      <c r="BI1377" s="48"/>
      <c r="BJ1377" s="38"/>
      <c r="BK1377" s="38"/>
      <c r="BL1377" s="38"/>
      <c r="BM1377"/>
      <c r="BN1377" s="48"/>
      <c r="BR1377" s="18" t="s">
        <v>296</v>
      </c>
      <c r="BS1377" s="18" t="s">
        <v>4189</v>
      </c>
      <c r="BT1377" s="54" t="str">
        <f t="shared" si="194"/>
        <v>Product</v>
      </c>
    </row>
    <row r="1378" spans="17:72">
      <c r="Q1378" s="19">
        <v>8.15</v>
      </c>
      <c r="R1378" s="56" t="str">
        <f t="shared" si="193"/>
        <v>Yes</v>
      </c>
      <c r="W1378" s="19" t="s">
        <v>1004</v>
      </c>
      <c r="X1378" s="54" t="str">
        <f>VLOOKUP(W1378,Employees!$A$1:$B$601,2,FALSE)</f>
        <v>Abhishek Behura</v>
      </c>
      <c r="AW1378" s="54"/>
      <c r="AX1378" s="54"/>
      <c r="BI1378" s="48"/>
      <c r="BJ1378" s="38"/>
      <c r="BK1378" s="38"/>
      <c r="BL1378" s="38"/>
      <c r="BM1378"/>
      <c r="BN1378" s="48"/>
      <c r="BR1378" s="19" t="s">
        <v>1004</v>
      </c>
      <c r="BS1378" s="19" t="s">
        <v>4190</v>
      </c>
      <c r="BT1378" s="54" t="str">
        <f t="shared" si="194"/>
        <v>Product</v>
      </c>
    </row>
    <row r="1379" spans="17:72">
      <c r="Q1379" s="18">
        <v>8.35</v>
      </c>
      <c r="R1379" s="56" t="str">
        <f t="shared" si="193"/>
        <v>Yes</v>
      </c>
      <c r="W1379" s="18" t="s">
        <v>1004</v>
      </c>
      <c r="X1379" s="54" t="str">
        <f>VLOOKUP(W1379,Employees!$A$1:$B$601,2,FALSE)</f>
        <v>Abhishek Behura</v>
      </c>
      <c r="AW1379" s="54"/>
      <c r="AX1379" s="54"/>
      <c r="BI1379" s="48"/>
      <c r="BJ1379" s="38"/>
      <c r="BK1379" s="38"/>
      <c r="BL1379" s="38"/>
      <c r="BM1379"/>
      <c r="BN1379" s="48"/>
      <c r="BR1379" s="18" t="s">
        <v>1004</v>
      </c>
      <c r="BS1379" s="18" t="s">
        <v>4191</v>
      </c>
      <c r="BT1379" s="54" t="str">
        <f t="shared" si="194"/>
        <v>Product</v>
      </c>
    </row>
    <row r="1380" spans="17:72">
      <c r="Q1380" s="19"/>
      <c r="R1380" s="56" t="str">
        <f t="shared" si="193"/>
        <v>No</v>
      </c>
      <c r="W1380" s="19" t="s">
        <v>1004</v>
      </c>
      <c r="X1380" s="54" t="str">
        <f>VLOOKUP(W1380,Employees!$A$1:$B$601,2,FALSE)</f>
        <v>Abhishek Behura</v>
      </c>
      <c r="AW1380" s="54"/>
      <c r="AX1380" s="54"/>
      <c r="BI1380" s="48"/>
      <c r="BJ1380" s="38"/>
      <c r="BK1380" s="38"/>
      <c r="BL1380" s="38"/>
      <c r="BM1380"/>
      <c r="BN1380" s="48"/>
      <c r="BR1380" s="19" t="s">
        <v>1004</v>
      </c>
      <c r="BS1380" s="19" t="s">
        <v>4192</v>
      </c>
      <c r="BT1380" s="54" t="str">
        <f t="shared" si="194"/>
        <v>Product</v>
      </c>
    </row>
    <row r="1381" spans="17:72">
      <c r="Q1381" s="18">
        <v>11.44</v>
      </c>
      <c r="R1381" s="56" t="str">
        <f t="shared" si="193"/>
        <v>Yes</v>
      </c>
      <c r="W1381" s="18" t="s">
        <v>1004</v>
      </c>
      <c r="X1381" s="54" t="str">
        <f>VLOOKUP(W1381,Employees!$A$1:$B$601,2,FALSE)</f>
        <v>Abhishek Behura</v>
      </c>
      <c r="AW1381" s="54"/>
      <c r="AX1381" s="54"/>
      <c r="BI1381" s="48"/>
      <c r="BJ1381" s="38"/>
      <c r="BK1381" s="38"/>
      <c r="BL1381" s="38"/>
      <c r="BM1381"/>
      <c r="BN1381" s="48"/>
      <c r="BR1381" s="18" t="s">
        <v>1004</v>
      </c>
      <c r="BS1381" s="18" t="s">
        <v>4193</v>
      </c>
      <c r="BT1381" s="54" t="str">
        <f t="shared" si="194"/>
        <v>Product</v>
      </c>
    </row>
    <row r="1382" spans="17:72">
      <c r="Q1382" s="19">
        <v>10.26</v>
      </c>
      <c r="R1382" s="56" t="str">
        <f t="shared" si="193"/>
        <v>Yes</v>
      </c>
      <c r="W1382" s="19" t="s">
        <v>1004</v>
      </c>
      <c r="X1382" s="54" t="str">
        <f>VLOOKUP(W1382,Employees!$A$1:$B$601,2,FALSE)</f>
        <v>Abhishek Behura</v>
      </c>
      <c r="AW1382" s="54"/>
      <c r="AX1382" s="54"/>
      <c r="BI1382" s="48"/>
      <c r="BJ1382" s="38"/>
      <c r="BK1382" s="38"/>
      <c r="BL1382" s="38"/>
      <c r="BM1382"/>
      <c r="BN1382" s="48"/>
      <c r="BR1382" s="19" t="s">
        <v>1004</v>
      </c>
      <c r="BS1382" s="19" t="s">
        <v>4194</v>
      </c>
      <c r="BT1382" s="54" t="str">
        <f t="shared" si="194"/>
        <v>Product</v>
      </c>
    </row>
    <row r="1383" spans="17:72">
      <c r="Q1383" s="18">
        <v>9.39</v>
      </c>
      <c r="R1383" s="56" t="str">
        <f t="shared" si="193"/>
        <v>Yes</v>
      </c>
      <c r="W1383" s="18" t="s">
        <v>1004</v>
      </c>
      <c r="X1383" s="54" t="str">
        <f>VLOOKUP(W1383,Employees!$A$1:$B$601,2,FALSE)</f>
        <v>Abhishek Behura</v>
      </c>
      <c r="AW1383" s="54"/>
      <c r="AX1383" s="54"/>
      <c r="BI1383" s="48"/>
      <c r="BJ1383" s="38"/>
      <c r="BK1383" s="38"/>
      <c r="BL1383" s="38"/>
      <c r="BM1383"/>
      <c r="BN1383" s="48"/>
      <c r="BR1383" s="18" t="s">
        <v>1004</v>
      </c>
      <c r="BS1383" s="18" t="s">
        <v>4196</v>
      </c>
      <c r="BT1383" s="54" t="str">
        <f t="shared" si="194"/>
        <v>Product</v>
      </c>
    </row>
    <row r="1384" spans="17:72">
      <c r="Q1384" s="19">
        <v>8.44</v>
      </c>
      <c r="R1384" s="56" t="str">
        <f t="shared" si="193"/>
        <v>Yes</v>
      </c>
      <c r="W1384" s="19" t="s">
        <v>1004</v>
      </c>
      <c r="X1384" s="54" t="str">
        <f>VLOOKUP(W1384,Employees!$A$1:$B$601,2,FALSE)</f>
        <v>Abhishek Behura</v>
      </c>
      <c r="AW1384" s="54"/>
      <c r="AX1384" s="54"/>
      <c r="BI1384" s="48"/>
      <c r="BJ1384" s="38"/>
      <c r="BK1384" s="38"/>
      <c r="BL1384" s="38"/>
      <c r="BM1384"/>
      <c r="BN1384" s="48"/>
      <c r="BR1384" s="19" t="s">
        <v>1004</v>
      </c>
      <c r="BS1384" s="19" t="s">
        <v>4197</v>
      </c>
      <c r="BT1384" s="54" t="str">
        <f t="shared" si="194"/>
        <v>Product</v>
      </c>
    </row>
    <row r="1385" spans="17:72">
      <c r="Q1385" s="18">
        <v>8.25</v>
      </c>
      <c r="R1385" s="56" t="str">
        <f t="shared" si="193"/>
        <v>Yes</v>
      </c>
      <c r="W1385" s="18" t="s">
        <v>1004</v>
      </c>
      <c r="X1385" s="54" t="str">
        <f>VLOOKUP(W1385,Employees!$A$1:$B$601,2,FALSE)</f>
        <v>Abhishek Behura</v>
      </c>
      <c r="AW1385" s="54"/>
      <c r="AX1385" s="54"/>
      <c r="BI1385" s="48"/>
      <c r="BJ1385" s="38"/>
      <c r="BK1385" s="38"/>
      <c r="BL1385" s="38"/>
      <c r="BM1385"/>
      <c r="BN1385" s="48"/>
      <c r="BR1385" s="18" t="s">
        <v>1004</v>
      </c>
      <c r="BS1385" s="18" t="s">
        <v>4198</v>
      </c>
      <c r="BT1385" s="54" t="str">
        <f t="shared" si="194"/>
        <v>Product</v>
      </c>
    </row>
    <row r="1386" spans="17:72">
      <c r="Q1386" s="19">
        <v>10.36</v>
      </c>
      <c r="R1386" s="56" t="str">
        <f t="shared" si="193"/>
        <v>Yes</v>
      </c>
      <c r="W1386" s="19" t="s">
        <v>1004</v>
      </c>
      <c r="X1386" s="54" t="str">
        <f>VLOOKUP(W1386,Employees!$A$1:$B$601,2,FALSE)</f>
        <v>Abhishek Behura</v>
      </c>
      <c r="AW1386" s="54"/>
      <c r="AX1386" s="54"/>
      <c r="BI1386" s="48"/>
      <c r="BJ1386" s="38"/>
      <c r="BK1386" s="38"/>
      <c r="BL1386" s="38"/>
      <c r="BM1386"/>
      <c r="BN1386" s="48"/>
      <c r="BR1386" s="19" t="s">
        <v>1004</v>
      </c>
      <c r="BS1386" s="19" t="s">
        <v>4199</v>
      </c>
      <c r="BT1386" s="54" t="str">
        <f t="shared" si="194"/>
        <v>Product</v>
      </c>
    </row>
    <row r="1387" spans="17:72">
      <c r="Q1387" s="18">
        <v>11.14</v>
      </c>
      <c r="R1387" s="56" t="str">
        <f t="shared" si="193"/>
        <v>Yes</v>
      </c>
      <c r="W1387" s="18" t="s">
        <v>1004</v>
      </c>
      <c r="X1387" s="54" t="str">
        <f>VLOOKUP(W1387,Employees!$A$1:$B$601,2,FALSE)</f>
        <v>Abhishek Behura</v>
      </c>
      <c r="AW1387" s="54"/>
      <c r="AX1387" s="54"/>
      <c r="BI1387" s="48"/>
      <c r="BJ1387" s="38"/>
      <c r="BK1387" s="38"/>
      <c r="BL1387" s="38"/>
      <c r="BM1387"/>
      <c r="BN1387" s="48"/>
      <c r="BR1387" s="18" t="s">
        <v>1004</v>
      </c>
      <c r="BS1387" s="18" t="s">
        <v>4200</v>
      </c>
      <c r="BT1387" s="54" t="str">
        <f t="shared" si="194"/>
        <v>Product</v>
      </c>
    </row>
    <row r="1388" spans="17:72">
      <c r="Q1388" s="19">
        <v>8.9600000000000009</v>
      </c>
      <c r="R1388" s="56" t="str">
        <f t="shared" si="193"/>
        <v>Yes</v>
      </c>
      <c r="W1388" s="19" t="s">
        <v>1004</v>
      </c>
      <c r="X1388" s="54" t="str">
        <f>VLOOKUP(W1388,Employees!$A$1:$B$601,2,FALSE)</f>
        <v>Abhishek Behura</v>
      </c>
      <c r="AW1388" s="54"/>
      <c r="AX1388" s="54"/>
      <c r="BI1388" s="48"/>
      <c r="BJ1388" s="38"/>
      <c r="BK1388" s="38"/>
      <c r="BL1388" s="38"/>
      <c r="BM1388"/>
      <c r="BN1388" s="48"/>
      <c r="BR1388" s="19" t="s">
        <v>1004</v>
      </c>
      <c r="BS1388" s="19" t="s">
        <v>4201</v>
      </c>
      <c r="BT1388" s="54" t="str">
        <f t="shared" si="194"/>
        <v>Product</v>
      </c>
    </row>
    <row r="1389" spans="17:72">
      <c r="Q1389" s="18">
        <v>8.1</v>
      </c>
      <c r="R1389" s="56" t="str">
        <f t="shared" si="193"/>
        <v>Yes</v>
      </c>
      <c r="W1389" s="18" t="s">
        <v>1004</v>
      </c>
      <c r="X1389" s="54" t="str">
        <f>VLOOKUP(W1389,Employees!$A$1:$B$601,2,FALSE)</f>
        <v>Abhishek Behura</v>
      </c>
      <c r="AW1389" s="54"/>
      <c r="AX1389" s="54"/>
      <c r="BI1389" s="48"/>
      <c r="BJ1389" s="38"/>
      <c r="BK1389" s="38"/>
      <c r="BL1389" s="38"/>
      <c r="BM1389"/>
      <c r="BN1389" s="48"/>
      <c r="BR1389" s="18" t="s">
        <v>1004</v>
      </c>
      <c r="BS1389" s="18" t="s">
        <v>4202</v>
      </c>
      <c r="BT1389" s="54" t="str">
        <f t="shared" si="194"/>
        <v>Product</v>
      </c>
    </row>
    <row r="1390" spans="17:72">
      <c r="Q1390" s="19">
        <v>9.0299999999999994</v>
      </c>
      <c r="R1390" s="56" t="str">
        <f t="shared" si="193"/>
        <v>Yes</v>
      </c>
      <c r="W1390" s="19" t="s">
        <v>1004</v>
      </c>
      <c r="X1390" s="54" t="str">
        <f>VLOOKUP(W1390,Employees!$A$1:$B$601,2,FALSE)</f>
        <v>Abhishek Behura</v>
      </c>
      <c r="AW1390" s="54"/>
      <c r="AX1390" s="54"/>
      <c r="BI1390" s="48"/>
      <c r="BJ1390" s="38"/>
      <c r="BK1390" s="38"/>
      <c r="BL1390" s="38"/>
      <c r="BM1390"/>
      <c r="BN1390" s="48"/>
      <c r="BR1390" s="19" t="s">
        <v>1004</v>
      </c>
      <c r="BS1390" s="19" t="s">
        <v>4203</v>
      </c>
      <c r="BT1390" s="54" t="str">
        <f t="shared" si="194"/>
        <v>Product</v>
      </c>
    </row>
    <row r="1391" spans="17:72">
      <c r="Q1391" s="18">
        <v>7.63</v>
      </c>
      <c r="R1391" s="56" t="str">
        <f t="shared" si="193"/>
        <v>Yes</v>
      </c>
      <c r="W1391" s="18" t="s">
        <v>1004</v>
      </c>
      <c r="X1391" s="54" t="str">
        <f>VLOOKUP(W1391,Employees!$A$1:$B$601,2,FALSE)</f>
        <v>Abhishek Behura</v>
      </c>
      <c r="AW1391" s="54"/>
      <c r="AX1391" s="54"/>
      <c r="BI1391" s="48"/>
      <c r="BJ1391" s="38"/>
      <c r="BK1391" s="38"/>
      <c r="BL1391" s="38"/>
      <c r="BM1391"/>
      <c r="BN1391" s="48"/>
      <c r="BR1391" s="18" t="s">
        <v>1004</v>
      </c>
      <c r="BS1391" s="18" t="s">
        <v>4204</v>
      </c>
      <c r="BT1391" s="54" t="str">
        <f t="shared" si="194"/>
        <v>Product</v>
      </c>
    </row>
    <row r="1392" spans="17:72">
      <c r="Q1392" s="19"/>
      <c r="R1392" s="56" t="str">
        <f t="shared" si="193"/>
        <v>No</v>
      </c>
      <c r="W1392" s="19" t="s">
        <v>1004</v>
      </c>
      <c r="X1392" s="54" t="str">
        <f>VLOOKUP(W1392,Employees!$A$1:$B$601,2,FALSE)</f>
        <v>Abhishek Behura</v>
      </c>
      <c r="AW1392" s="54"/>
      <c r="AX1392" s="54"/>
      <c r="BI1392" s="48"/>
      <c r="BJ1392" s="38"/>
      <c r="BK1392" s="38"/>
      <c r="BL1392" s="38"/>
      <c r="BM1392"/>
      <c r="BN1392" s="48"/>
      <c r="BR1392" s="19" t="s">
        <v>1004</v>
      </c>
      <c r="BS1392" s="19" t="s">
        <v>4205</v>
      </c>
      <c r="BT1392" s="54" t="str">
        <f t="shared" si="194"/>
        <v>Product</v>
      </c>
    </row>
    <row r="1393" spans="17:72">
      <c r="Q1393" s="18"/>
      <c r="R1393" s="56" t="str">
        <f t="shared" si="193"/>
        <v>No</v>
      </c>
      <c r="W1393" s="18" t="s">
        <v>1004</v>
      </c>
      <c r="X1393" s="54" t="str">
        <f>VLOOKUP(W1393,Employees!$A$1:$B$601,2,FALSE)</f>
        <v>Abhishek Behura</v>
      </c>
      <c r="AW1393" s="54"/>
      <c r="AX1393" s="54"/>
      <c r="BI1393" s="48"/>
      <c r="BJ1393" s="38"/>
      <c r="BK1393" s="38"/>
      <c r="BL1393" s="38"/>
      <c r="BM1393"/>
      <c r="BN1393" s="48"/>
      <c r="BR1393" s="18" t="s">
        <v>1004</v>
      </c>
      <c r="BS1393" s="18" t="s">
        <v>4206</v>
      </c>
      <c r="BT1393" s="54" t="str">
        <f t="shared" si="194"/>
        <v>Product</v>
      </c>
    </row>
    <row r="1394" spans="17:72">
      <c r="Q1394" s="19">
        <v>10.45</v>
      </c>
      <c r="R1394" s="56" t="str">
        <f t="shared" si="193"/>
        <v>Yes</v>
      </c>
      <c r="W1394" s="19" t="s">
        <v>1004</v>
      </c>
      <c r="X1394" s="54" t="str">
        <f>VLOOKUP(W1394,Employees!$A$1:$B$601,2,FALSE)</f>
        <v>Abhishek Behura</v>
      </c>
      <c r="AW1394" s="54"/>
      <c r="AX1394" s="54"/>
      <c r="BI1394" s="48"/>
      <c r="BJ1394" s="38"/>
      <c r="BK1394" s="38"/>
      <c r="BL1394" s="38"/>
      <c r="BM1394"/>
      <c r="BN1394" s="48"/>
      <c r="BR1394" s="19" t="s">
        <v>1004</v>
      </c>
      <c r="BS1394" s="19" t="s">
        <v>4207</v>
      </c>
      <c r="BT1394" s="54" t="str">
        <f t="shared" si="194"/>
        <v>Product</v>
      </c>
    </row>
    <row r="1395" spans="17:72">
      <c r="Q1395" s="18">
        <v>9.64</v>
      </c>
      <c r="R1395" s="56" t="str">
        <f t="shared" si="193"/>
        <v>Yes</v>
      </c>
      <c r="W1395" s="18" t="s">
        <v>1004</v>
      </c>
      <c r="X1395" s="54" t="str">
        <f>VLOOKUP(W1395,Employees!$A$1:$B$601,2,FALSE)</f>
        <v>Abhishek Behura</v>
      </c>
      <c r="AW1395" s="54"/>
      <c r="AX1395" s="54"/>
      <c r="BI1395" s="48"/>
      <c r="BJ1395" s="38"/>
      <c r="BK1395" s="38"/>
      <c r="BL1395" s="38"/>
      <c r="BM1395"/>
      <c r="BN1395" s="48"/>
      <c r="BR1395" s="18" t="s">
        <v>1004</v>
      </c>
      <c r="BS1395" s="18" t="s">
        <v>4208</v>
      </c>
      <c r="BT1395" s="54" t="str">
        <f t="shared" si="194"/>
        <v>Product</v>
      </c>
    </row>
    <row r="1396" spans="17:72">
      <c r="Q1396" s="19">
        <v>8.84</v>
      </c>
      <c r="R1396" s="56" t="str">
        <f t="shared" si="193"/>
        <v>Yes</v>
      </c>
      <c r="W1396" s="19" t="s">
        <v>1004</v>
      </c>
      <c r="X1396" s="54" t="str">
        <f>VLOOKUP(W1396,Employees!$A$1:$B$601,2,FALSE)</f>
        <v>Abhishek Behura</v>
      </c>
      <c r="AW1396" s="54"/>
      <c r="AX1396" s="54"/>
      <c r="BI1396" s="48"/>
      <c r="BJ1396" s="38"/>
      <c r="BK1396" s="38"/>
      <c r="BL1396" s="38"/>
      <c r="BM1396"/>
      <c r="BN1396" s="48"/>
      <c r="BR1396" s="19" t="s">
        <v>1004</v>
      </c>
      <c r="BS1396" s="19" t="s">
        <v>4209</v>
      </c>
      <c r="BT1396" s="54" t="str">
        <f t="shared" si="194"/>
        <v>Product</v>
      </c>
    </row>
    <row r="1397" spans="17:72">
      <c r="Q1397" s="18">
        <v>9.57</v>
      </c>
      <c r="R1397" s="56" t="str">
        <f t="shared" si="193"/>
        <v>Yes</v>
      </c>
      <c r="W1397" s="18" t="s">
        <v>1004</v>
      </c>
      <c r="X1397" s="54" t="str">
        <f>VLOOKUP(W1397,Employees!$A$1:$B$601,2,FALSE)</f>
        <v>Abhishek Behura</v>
      </c>
      <c r="AW1397" s="54"/>
      <c r="AX1397" s="54"/>
      <c r="BI1397" s="48"/>
      <c r="BJ1397" s="38"/>
      <c r="BK1397" s="38"/>
      <c r="BL1397" s="38"/>
      <c r="BM1397"/>
      <c r="BN1397" s="48"/>
      <c r="BR1397" s="18" t="s">
        <v>1004</v>
      </c>
      <c r="BS1397" s="18" t="s">
        <v>4210</v>
      </c>
      <c r="BT1397" s="54" t="str">
        <f t="shared" si="194"/>
        <v>Product</v>
      </c>
    </row>
    <row r="1398" spans="17:72">
      <c r="Q1398" s="19">
        <v>8.67</v>
      </c>
      <c r="R1398" s="56" t="str">
        <f t="shared" si="193"/>
        <v>Yes</v>
      </c>
      <c r="W1398" s="19" t="s">
        <v>1004</v>
      </c>
      <c r="X1398" s="54" t="str">
        <f>VLOOKUP(W1398,Employees!$A$1:$B$601,2,FALSE)</f>
        <v>Abhishek Behura</v>
      </c>
      <c r="AW1398" s="54"/>
      <c r="AX1398" s="54"/>
      <c r="BI1398" s="48"/>
      <c r="BJ1398" s="38"/>
      <c r="BK1398" s="38"/>
      <c r="BL1398" s="38"/>
      <c r="BM1398"/>
      <c r="BN1398" s="48"/>
      <c r="BR1398" s="19" t="s">
        <v>1004</v>
      </c>
      <c r="BS1398" s="19" t="s">
        <v>4211</v>
      </c>
      <c r="BT1398" s="54" t="str">
        <f t="shared" si="194"/>
        <v>Product</v>
      </c>
    </row>
    <row r="1399" spans="17:72">
      <c r="Q1399" s="18">
        <v>10.7</v>
      </c>
      <c r="R1399" s="56" t="str">
        <f t="shared" si="193"/>
        <v>Yes</v>
      </c>
      <c r="W1399" s="18" t="s">
        <v>1004</v>
      </c>
      <c r="X1399" s="54" t="str">
        <f>VLOOKUP(W1399,Employees!$A$1:$B$601,2,FALSE)</f>
        <v>Abhishek Behura</v>
      </c>
      <c r="AW1399" s="54"/>
      <c r="AX1399" s="54"/>
      <c r="BI1399" s="48"/>
      <c r="BJ1399" s="38"/>
      <c r="BK1399" s="38"/>
      <c r="BL1399" s="38"/>
      <c r="BM1399"/>
      <c r="BN1399" s="48"/>
      <c r="BR1399" s="18" t="s">
        <v>1004</v>
      </c>
      <c r="BS1399" s="18" t="s">
        <v>4212</v>
      </c>
      <c r="BT1399" s="54" t="str">
        <f t="shared" si="194"/>
        <v>Product</v>
      </c>
    </row>
    <row r="1400" spans="17:72">
      <c r="Q1400" s="19">
        <v>7.15</v>
      </c>
      <c r="R1400" s="56" t="str">
        <f t="shared" si="193"/>
        <v>Yes</v>
      </c>
      <c r="W1400" s="19" t="s">
        <v>1004</v>
      </c>
      <c r="X1400" s="54" t="str">
        <f>VLOOKUP(W1400,Employees!$A$1:$B$601,2,FALSE)</f>
        <v>Abhishek Behura</v>
      </c>
      <c r="AW1400" s="54"/>
      <c r="AX1400" s="54"/>
      <c r="BI1400" s="48"/>
      <c r="BJ1400" s="38"/>
      <c r="BK1400" s="38"/>
      <c r="BL1400" s="38"/>
      <c r="BM1400"/>
      <c r="BN1400" s="48"/>
      <c r="BR1400" s="19" t="s">
        <v>1004</v>
      </c>
      <c r="BS1400" s="19" t="s">
        <v>4213</v>
      </c>
      <c r="BT1400" s="54" t="str">
        <f t="shared" si="194"/>
        <v>Product</v>
      </c>
    </row>
    <row r="1401" spans="17:72">
      <c r="Q1401" s="18">
        <v>8.02</v>
      </c>
      <c r="R1401" s="56" t="str">
        <f t="shared" si="193"/>
        <v>Yes</v>
      </c>
      <c r="W1401" s="18" t="s">
        <v>1004</v>
      </c>
      <c r="X1401" s="54" t="str">
        <f>VLOOKUP(W1401,Employees!$A$1:$B$601,2,FALSE)</f>
        <v>Abhishek Behura</v>
      </c>
      <c r="AW1401" s="54"/>
      <c r="AX1401" s="54"/>
      <c r="BI1401" s="48"/>
      <c r="BJ1401" s="38"/>
      <c r="BK1401" s="38"/>
      <c r="BL1401" s="38"/>
      <c r="BM1401"/>
      <c r="BN1401" s="48"/>
      <c r="BR1401" s="18" t="s">
        <v>1004</v>
      </c>
      <c r="BS1401" s="18" t="s">
        <v>4214</v>
      </c>
      <c r="BT1401" s="54" t="str">
        <f t="shared" si="194"/>
        <v>Product</v>
      </c>
    </row>
    <row r="1402" spans="17:72">
      <c r="Q1402" s="19">
        <v>8.11</v>
      </c>
      <c r="R1402" s="56" t="str">
        <f t="shared" si="193"/>
        <v>Yes</v>
      </c>
      <c r="W1402" s="19" t="s">
        <v>1004</v>
      </c>
      <c r="X1402" s="54" t="str">
        <f>VLOOKUP(W1402,Employees!$A$1:$B$601,2,FALSE)</f>
        <v>Abhishek Behura</v>
      </c>
      <c r="AW1402" s="54"/>
      <c r="AX1402" s="54"/>
      <c r="BI1402" s="48"/>
      <c r="BJ1402" s="38"/>
      <c r="BK1402" s="38"/>
      <c r="BL1402" s="38"/>
      <c r="BM1402"/>
      <c r="BN1402" s="48"/>
      <c r="BR1402" s="19" t="s">
        <v>1004</v>
      </c>
      <c r="BS1402" s="19" t="s">
        <v>4215</v>
      </c>
      <c r="BT1402" s="54" t="str">
        <f t="shared" si="194"/>
        <v>Product</v>
      </c>
    </row>
    <row r="1403" spans="17:72">
      <c r="Q1403" s="18">
        <v>9.39</v>
      </c>
      <c r="R1403" s="56" t="str">
        <f t="shared" si="193"/>
        <v>Yes</v>
      </c>
      <c r="W1403" s="18" t="s">
        <v>1004</v>
      </c>
      <c r="X1403" s="54" t="str">
        <f>VLOOKUP(W1403,Employees!$A$1:$B$601,2,FALSE)</f>
        <v>Abhishek Behura</v>
      </c>
      <c r="AW1403" s="54"/>
      <c r="AX1403" s="54"/>
      <c r="BI1403" s="48"/>
      <c r="BJ1403" s="38"/>
      <c r="BK1403" s="38"/>
      <c r="BL1403" s="38"/>
      <c r="BM1403"/>
      <c r="BN1403" s="48"/>
      <c r="BR1403" s="18" t="s">
        <v>1004</v>
      </c>
      <c r="BS1403" s="18" t="s">
        <v>4216</v>
      </c>
      <c r="BT1403" s="54" t="str">
        <f t="shared" si="194"/>
        <v>Product</v>
      </c>
    </row>
    <row r="1404" spans="17:72">
      <c r="Q1404" s="19">
        <v>6.97</v>
      </c>
      <c r="R1404" s="56" t="str">
        <f t="shared" si="193"/>
        <v>Yes</v>
      </c>
      <c r="W1404" s="19" t="s">
        <v>1004</v>
      </c>
      <c r="X1404" s="54" t="str">
        <f>VLOOKUP(W1404,Employees!$A$1:$B$601,2,FALSE)</f>
        <v>Abhishek Behura</v>
      </c>
      <c r="AW1404" s="54"/>
      <c r="AX1404" s="54"/>
      <c r="BI1404" s="48"/>
      <c r="BJ1404" s="38"/>
      <c r="BK1404" s="38"/>
      <c r="BL1404" s="38"/>
      <c r="BM1404"/>
      <c r="BN1404" s="48"/>
      <c r="BR1404" s="19" t="s">
        <v>1004</v>
      </c>
      <c r="BS1404" s="19" t="s">
        <v>4217</v>
      </c>
      <c r="BT1404" s="54" t="str">
        <f t="shared" si="194"/>
        <v>Product</v>
      </c>
    </row>
    <row r="1405" spans="17:72">
      <c r="Q1405" s="18">
        <v>9.23</v>
      </c>
      <c r="R1405" s="56" t="str">
        <f t="shared" si="193"/>
        <v>Yes</v>
      </c>
      <c r="W1405" s="18" t="s">
        <v>1004</v>
      </c>
      <c r="X1405" s="54" t="str">
        <f>VLOOKUP(W1405,Employees!$A$1:$B$601,2,FALSE)</f>
        <v>Abhishek Behura</v>
      </c>
      <c r="AW1405" s="54"/>
      <c r="AX1405" s="54"/>
      <c r="BI1405" s="48"/>
      <c r="BJ1405" s="38"/>
      <c r="BK1405" s="38"/>
      <c r="BL1405" s="38"/>
      <c r="BM1405"/>
      <c r="BN1405" s="48"/>
      <c r="BR1405" s="18" t="s">
        <v>1004</v>
      </c>
      <c r="BS1405" s="18" t="s">
        <v>4218</v>
      </c>
      <c r="BT1405" s="54" t="str">
        <f t="shared" si="194"/>
        <v>Product</v>
      </c>
    </row>
    <row r="1406" spans="17:72">
      <c r="Q1406" s="19">
        <v>9.4600000000000009</v>
      </c>
      <c r="R1406" s="56" t="str">
        <f t="shared" si="193"/>
        <v>Yes</v>
      </c>
      <c r="W1406" s="19" t="s">
        <v>1004</v>
      </c>
      <c r="X1406" s="54" t="str">
        <f>VLOOKUP(W1406,Employees!$A$1:$B$601,2,FALSE)</f>
        <v>Abhishek Behura</v>
      </c>
      <c r="AW1406" s="54"/>
      <c r="AX1406" s="54"/>
      <c r="BI1406" s="48"/>
      <c r="BJ1406" s="38"/>
      <c r="BK1406" s="38"/>
      <c r="BL1406" s="38"/>
      <c r="BM1406"/>
      <c r="BN1406" s="48"/>
      <c r="BR1406" s="19" t="s">
        <v>1004</v>
      </c>
      <c r="BS1406" s="19" t="s">
        <v>4219</v>
      </c>
      <c r="BT1406" s="54" t="str">
        <f t="shared" si="194"/>
        <v>Product</v>
      </c>
    </row>
    <row r="1407" spans="17:72">
      <c r="Q1407" s="18">
        <v>6.64</v>
      </c>
      <c r="R1407" s="56" t="str">
        <f t="shared" si="193"/>
        <v>Yes</v>
      </c>
      <c r="W1407" s="18" t="s">
        <v>1004</v>
      </c>
      <c r="X1407" s="54" t="str">
        <f>VLOOKUP(W1407,Employees!$A$1:$B$601,2,FALSE)</f>
        <v>Abhishek Behura</v>
      </c>
      <c r="AW1407" s="54"/>
      <c r="AX1407" s="54"/>
      <c r="BI1407" s="48"/>
      <c r="BJ1407" s="38"/>
      <c r="BK1407" s="38"/>
      <c r="BL1407" s="38"/>
      <c r="BM1407"/>
      <c r="BN1407" s="48"/>
      <c r="BR1407" s="18" t="s">
        <v>1004</v>
      </c>
      <c r="BS1407" s="18" t="s">
        <v>4220</v>
      </c>
      <c r="BT1407" s="54" t="str">
        <f t="shared" si="194"/>
        <v>Product</v>
      </c>
    </row>
    <row r="1408" spans="17:72">
      <c r="Q1408" s="19">
        <v>6.77</v>
      </c>
      <c r="R1408" s="56" t="str">
        <f t="shared" si="193"/>
        <v>Yes</v>
      </c>
      <c r="W1408" s="19" t="s">
        <v>1004</v>
      </c>
      <c r="X1408" s="54" t="str">
        <f>VLOOKUP(W1408,Employees!$A$1:$B$601,2,FALSE)</f>
        <v>Abhishek Behura</v>
      </c>
      <c r="AW1408" s="54"/>
      <c r="AX1408" s="54"/>
      <c r="BI1408" s="48"/>
      <c r="BJ1408" s="38"/>
      <c r="BK1408" s="38"/>
      <c r="BL1408" s="38"/>
      <c r="BM1408"/>
      <c r="BN1408" s="48"/>
      <c r="BR1408" s="19" t="s">
        <v>1004</v>
      </c>
      <c r="BS1408" s="19" t="s">
        <v>4221</v>
      </c>
      <c r="BT1408" s="54" t="str">
        <f t="shared" si="194"/>
        <v>Product</v>
      </c>
    </row>
    <row r="1409" spans="17:72">
      <c r="Q1409" s="18">
        <v>10.01</v>
      </c>
      <c r="R1409" s="56" t="str">
        <f t="shared" si="193"/>
        <v>Yes</v>
      </c>
      <c r="W1409" s="18" t="s">
        <v>1004</v>
      </c>
      <c r="X1409" s="54" t="str">
        <f>VLOOKUP(W1409,Employees!$A$1:$B$601,2,FALSE)</f>
        <v>Abhishek Behura</v>
      </c>
      <c r="AW1409" s="54"/>
      <c r="AX1409" s="54"/>
      <c r="BI1409" s="48"/>
      <c r="BJ1409" s="38"/>
      <c r="BK1409" s="38"/>
      <c r="BL1409" s="38"/>
      <c r="BM1409"/>
      <c r="BN1409" s="48"/>
      <c r="BR1409" s="18" t="s">
        <v>1004</v>
      </c>
      <c r="BS1409" s="18" t="s">
        <v>4222</v>
      </c>
      <c r="BT1409" s="54" t="str">
        <f t="shared" si="194"/>
        <v>Product</v>
      </c>
    </row>
    <row r="1410" spans="17:72">
      <c r="Q1410" s="19">
        <v>7.95</v>
      </c>
      <c r="R1410" s="56" t="str">
        <f t="shared" si="193"/>
        <v>Yes</v>
      </c>
      <c r="W1410" s="19" t="s">
        <v>1004</v>
      </c>
      <c r="X1410" s="54" t="str">
        <f>VLOOKUP(W1410,Employees!$A$1:$B$601,2,FALSE)</f>
        <v>Abhishek Behura</v>
      </c>
      <c r="AW1410" s="54"/>
      <c r="AX1410" s="54"/>
      <c r="BI1410" s="48"/>
      <c r="BJ1410" s="38"/>
      <c r="BK1410" s="38"/>
      <c r="BL1410" s="38"/>
      <c r="BM1410"/>
      <c r="BN1410" s="48"/>
      <c r="BR1410" s="19" t="s">
        <v>1004</v>
      </c>
      <c r="BS1410" s="19" t="s">
        <v>4223</v>
      </c>
      <c r="BT1410" s="54" t="str">
        <f t="shared" si="194"/>
        <v>Product</v>
      </c>
    </row>
    <row r="1411" spans="17:72">
      <c r="Q1411" s="18">
        <v>10.71</v>
      </c>
      <c r="R1411" s="56" t="str">
        <f t="shared" ref="R1411:R1474" si="195">IF(ISBLANK(Q1411),"No","Yes")</f>
        <v>Yes</v>
      </c>
      <c r="W1411" s="18" t="s">
        <v>1004</v>
      </c>
      <c r="X1411" s="54" t="str">
        <f>VLOOKUP(W1411,Employees!$A$1:$B$601,2,FALSE)</f>
        <v>Abhishek Behura</v>
      </c>
      <c r="AW1411" s="54"/>
      <c r="AX1411" s="54"/>
      <c r="BI1411" s="48"/>
      <c r="BJ1411" s="38"/>
      <c r="BK1411" s="38"/>
      <c r="BL1411" s="38"/>
      <c r="BM1411"/>
      <c r="BN1411" s="48"/>
      <c r="BR1411" s="18" t="s">
        <v>1004</v>
      </c>
      <c r="BS1411" s="18" t="s">
        <v>4224</v>
      </c>
      <c r="BT1411" s="54" t="str">
        <f t="shared" ref="BT1411:BT1474" si="196">VLOOKUP(BR1411,$BP$2:$BQ$601,2,FALSE)</f>
        <v>Product</v>
      </c>
    </row>
    <row r="1412" spans="17:72">
      <c r="Q1412" s="19">
        <v>10.97</v>
      </c>
      <c r="R1412" s="56" t="str">
        <f t="shared" si="195"/>
        <v>Yes</v>
      </c>
      <c r="W1412" s="19" t="s">
        <v>1004</v>
      </c>
      <c r="X1412" s="54" t="str">
        <f>VLOOKUP(W1412,Employees!$A$1:$B$601,2,FALSE)</f>
        <v>Abhishek Behura</v>
      </c>
      <c r="AW1412" s="54"/>
      <c r="AX1412" s="54"/>
      <c r="BI1412" s="48"/>
      <c r="BJ1412" s="38"/>
      <c r="BK1412" s="38"/>
      <c r="BL1412" s="38"/>
      <c r="BM1412"/>
      <c r="BN1412" s="48"/>
      <c r="BR1412" s="19" t="s">
        <v>1004</v>
      </c>
      <c r="BS1412" s="19" t="s">
        <v>4225</v>
      </c>
      <c r="BT1412" s="54" t="str">
        <f t="shared" si="196"/>
        <v>Product</v>
      </c>
    </row>
    <row r="1413" spans="17:72">
      <c r="Q1413" s="18">
        <v>11.2</v>
      </c>
      <c r="R1413" s="56" t="str">
        <f t="shared" si="195"/>
        <v>Yes</v>
      </c>
      <c r="W1413" s="18" t="s">
        <v>1004</v>
      </c>
      <c r="X1413" s="54" t="str">
        <f>VLOOKUP(W1413,Employees!$A$1:$B$601,2,FALSE)</f>
        <v>Abhishek Behura</v>
      </c>
      <c r="AW1413" s="54"/>
      <c r="AX1413" s="54"/>
      <c r="BI1413" s="48"/>
      <c r="BJ1413" s="38"/>
      <c r="BK1413" s="38"/>
      <c r="BL1413" s="38"/>
      <c r="BM1413"/>
      <c r="BN1413" s="48"/>
      <c r="BR1413" s="18" t="s">
        <v>1004</v>
      </c>
      <c r="BS1413" s="18" t="s">
        <v>4226</v>
      </c>
      <c r="BT1413" s="54" t="str">
        <f t="shared" si="196"/>
        <v>Product</v>
      </c>
    </row>
    <row r="1414" spans="17:72">
      <c r="Q1414" s="19"/>
      <c r="R1414" s="56" t="str">
        <f t="shared" si="195"/>
        <v>No</v>
      </c>
      <c r="W1414" s="19" t="s">
        <v>1004</v>
      </c>
      <c r="X1414" s="54" t="str">
        <f>VLOOKUP(W1414,Employees!$A$1:$B$601,2,FALSE)</f>
        <v>Abhishek Behura</v>
      </c>
      <c r="AW1414" s="54"/>
      <c r="AX1414" s="54"/>
      <c r="BI1414" s="48"/>
      <c r="BJ1414" s="38"/>
      <c r="BK1414" s="38"/>
      <c r="BL1414" s="38"/>
      <c r="BM1414"/>
      <c r="BN1414" s="48"/>
      <c r="BR1414" s="19" t="s">
        <v>1004</v>
      </c>
      <c r="BS1414" s="19" t="s">
        <v>4227</v>
      </c>
      <c r="BT1414" s="54" t="str">
        <f t="shared" si="196"/>
        <v>Product</v>
      </c>
    </row>
    <row r="1415" spans="17:72">
      <c r="Q1415" s="18">
        <v>6.94</v>
      </c>
      <c r="R1415" s="56" t="str">
        <f t="shared" si="195"/>
        <v>Yes</v>
      </c>
      <c r="W1415" s="18" t="s">
        <v>1004</v>
      </c>
      <c r="X1415" s="54" t="str">
        <f>VLOOKUP(W1415,Employees!$A$1:$B$601,2,FALSE)</f>
        <v>Abhishek Behura</v>
      </c>
      <c r="AW1415" s="54"/>
      <c r="AX1415" s="54"/>
      <c r="BI1415" s="48"/>
      <c r="BJ1415" s="38"/>
      <c r="BK1415" s="38"/>
      <c r="BL1415" s="38"/>
      <c r="BM1415"/>
      <c r="BN1415" s="48"/>
      <c r="BR1415" s="18" t="s">
        <v>1004</v>
      </c>
      <c r="BS1415" s="18" t="s">
        <v>4228</v>
      </c>
      <c r="BT1415" s="54" t="str">
        <f t="shared" si="196"/>
        <v>Product</v>
      </c>
    </row>
    <row r="1416" spans="17:72">
      <c r="Q1416" s="19">
        <v>7.1</v>
      </c>
      <c r="R1416" s="56" t="str">
        <f t="shared" si="195"/>
        <v>Yes</v>
      </c>
      <c r="W1416" s="19" t="s">
        <v>1004</v>
      </c>
      <c r="X1416" s="54" t="str">
        <f>VLOOKUP(W1416,Employees!$A$1:$B$601,2,FALSE)</f>
        <v>Abhishek Behura</v>
      </c>
      <c r="AW1416" s="54"/>
      <c r="AX1416" s="54"/>
      <c r="BI1416" s="48"/>
      <c r="BJ1416" s="38"/>
      <c r="BK1416" s="38"/>
      <c r="BL1416" s="38"/>
      <c r="BM1416"/>
      <c r="BN1416" s="48"/>
      <c r="BR1416" s="19" t="s">
        <v>1004</v>
      </c>
      <c r="BS1416" s="19" t="s">
        <v>4229</v>
      </c>
      <c r="BT1416" s="54" t="str">
        <f t="shared" si="196"/>
        <v>Product</v>
      </c>
    </row>
    <row r="1417" spans="17:72">
      <c r="Q1417" s="18">
        <v>8.9600000000000009</v>
      </c>
      <c r="R1417" s="56" t="str">
        <f t="shared" si="195"/>
        <v>Yes</v>
      </c>
      <c r="W1417" s="18" t="s">
        <v>1004</v>
      </c>
      <c r="X1417" s="54" t="str">
        <f>VLOOKUP(W1417,Employees!$A$1:$B$601,2,FALSE)</f>
        <v>Abhishek Behura</v>
      </c>
      <c r="AW1417" s="54"/>
      <c r="AX1417" s="54"/>
      <c r="BI1417" s="48"/>
      <c r="BJ1417" s="38"/>
      <c r="BK1417" s="38"/>
      <c r="BL1417" s="38"/>
      <c r="BM1417"/>
      <c r="BN1417" s="48"/>
      <c r="BR1417" s="18" t="s">
        <v>1004</v>
      </c>
      <c r="BS1417" s="18" t="s">
        <v>4230</v>
      </c>
      <c r="BT1417" s="54" t="str">
        <f t="shared" si="196"/>
        <v>Product</v>
      </c>
    </row>
    <row r="1418" spans="17:72">
      <c r="Q1418" s="19">
        <v>10.28</v>
      </c>
      <c r="R1418" s="56" t="str">
        <f t="shared" si="195"/>
        <v>Yes</v>
      </c>
      <c r="W1418" s="19" t="s">
        <v>1004</v>
      </c>
      <c r="X1418" s="54" t="str">
        <f>VLOOKUP(W1418,Employees!$A$1:$B$601,2,FALSE)</f>
        <v>Abhishek Behura</v>
      </c>
      <c r="AW1418" s="54"/>
      <c r="AX1418" s="54"/>
      <c r="BI1418" s="48"/>
      <c r="BJ1418" s="38"/>
      <c r="BK1418" s="38"/>
      <c r="BL1418" s="38"/>
      <c r="BM1418"/>
      <c r="BN1418" s="48"/>
      <c r="BR1418" s="19" t="s">
        <v>1004</v>
      </c>
      <c r="BS1418" s="19" t="s">
        <v>4231</v>
      </c>
      <c r="BT1418" s="54" t="str">
        <f t="shared" si="196"/>
        <v>Product</v>
      </c>
    </row>
    <row r="1419" spans="17:72">
      <c r="Q1419" s="18">
        <v>7.86</v>
      </c>
      <c r="R1419" s="56" t="str">
        <f t="shared" si="195"/>
        <v>Yes</v>
      </c>
      <c r="W1419" s="18" t="s">
        <v>1004</v>
      </c>
      <c r="X1419" s="54" t="str">
        <f>VLOOKUP(W1419,Employees!$A$1:$B$601,2,FALSE)</f>
        <v>Abhishek Behura</v>
      </c>
      <c r="AW1419" s="54"/>
      <c r="AX1419" s="54"/>
      <c r="BI1419" s="48"/>
      <c r="BJ1419" s="38"/>
      <c r="BK1419" s="38"/>
      <c r="BL1419" s="38"/>
      <c r="BM1419"/>
      <c r="BN1419" s="48"/>
      <c r="BR1419" s="18" t="s">
        <v>1004</v>
      </c>
      <c r="BS1419" s="18" t="s">
        <v>4232</v>
      </c>
      <c r="BT1419" s="54" t="str">
        <f t="shared" si="196"/>
        <v>Product</v>
      </c>
    </row>
    <row r="1420" spans="17:72">
      <c r="Q1420" s="19">
        <v>10.88</v>
      </c>
      <c r="R1420" s="56" t="str">
        <f t="shared" si="195"/>
        <v>Yes</v>
      </c>
      <c r="W1420" s="19" t="s">
        <v>1004</v>
      </c>
      <c r="X1420" s="54" t="str">
        <f>VLOOKUP(W1420,Employees!$A$1:$B$601,2,FALSE)</f>
        <v>Abhishek Behura</v>
      </c>
      <c r="AW1420" s="54"/>
      <c r="AX1420" s="54"/>
      <c r="BI1420" s="48"/>
      <c r="BJ1420" s="38"/>
      <c r="BK1420" s="38"/>
      <c r="BL1420" s="38"/>
      <c r="BM1420"/>
      <c r="BN1420" s="48"/>
      <c r="BR1420" s="19" t="s">
        <v>1004</v>
      </c>
      <c r="BS1420" s="19" t="s">
        <v>4233</v>
      </c>
      <c r="BT1420" s="54" t="str">
        <f t="shared" si="196"/>
        <v>Product</v>
      </c>
    </row>
    <row r="1421" spans="17:72">
      <c r="Q1421" s="18">
        <v>9.69</v>
      </c>
      <c r="R1421" s="56" t="str">
        <f t="shared" si="195"/>
        <v>Yes</v>
      </c>
      <c r="W1421" s="18" t="s">
        <v>1179</v>
      </c>
      <c r="X1421" s="54" t="str">
        <f>VLOOKUP(W1421,Employees!$A$1:$B$601,2,FALSE)</f>
        <v>Bikash Ratha</v>
      </c>
      <c r="AW1421" s="54"/>
      <c r="AX1421" s="54"/>
      <c r="BI1421" s="48"/>
      <c r="BJ1421" s="38"/>
      <c r="BK1421" s="38"/>
      <c r="BL1421" s="38"/>
      <c r="BM1421"/>
      <c r="BN1421" s="48"/>
      <c r="BR1421" s="18" t="s">
        <v>1179</v>
      </c>
      <c r="BS1421" s="18" t="s">
        <v>4234</v>
      </c>
      <c r="BT1421" s="54" t="str">
        <f t="shared" si="196"/>
        <v>engineering</v>
      </c>
    </row>
    <row r="1422" spans="17:72">
      <c r="Q1422" s="19"/>
      <c r="R1422" s="56" t="str">
        <f t="shared" si="195"/>
        <v>No</v>
      </c>
      <c r="W1422" s="19" t="s">
        <v>1179</v>
      </c>
      <c r="X1422" s="54" t="str">
        <f>VLOOKUP(W1422,Employees!$A$1:$B$601,2,FALSE)</f>
        <v>Bikash Ratha</v>
      </c>
      <c r="AW1422" s="54"/>
      <c r="AX1422" s="54"/>
      <c r="BI1422" s="48"/>
      <c r="BJ1422" s="38"/>
      <c r="BK1422" s="38"/>
      <c r="BL1422" s="38"/>
      <c r="BM1422"/>
      <c r="BN1422" s="48"/>
      <c r="BR1422" s="19" t="s">
        <v>1179</v>
      </c>
      <c r="BS1422" s="19" t="s">
        <v>4235</v>
      </c>
      <c r="BT1422" s="54" t="str">
        <f t="shared" si="196"/>
        <v>engineering</v>
      </c>
    </row>
    <row r="1423" spans="17:72">
      <c r="Q1423" s="18">
        <v>9.7100000000000009</v>
      </c>
      <c r="R1423" s="56" t="str">
        <f t="shared" si="195"/>
        <v>Yes</v>
      </c>
      <c r="W1423" s="18" t="s">
        <v>1179</v>
      </c>
      <c r="X1423" s="54" t="str">
        <f>VLOOKUP(W1423,Employees!$A$1:$B$601,2,FALSE)</f>
        <v>Bikash Ratha</v>
      </c>
      <c r="AW1423" s="54"/>
      <c r="AX1423" s="54"/>
      <c r="BI1423" s="48"/>
      <c r="BJ1423" s="38"/>
      <c r="BK1423" s="38"/>
      <c r="BL1423" s="38"/>
      <c r="BM1423"/>
      <c r="BN1423" s="48"/>
      <c r="BR1423" s="18" t="s">
        <v>1179</v>
      </c>
      <c r="BS1423" s="18" t="s">
        <v>4236</v>
      </c>
      <c r="BT1423" s="54" t="str">
        <f t="shared" si="196"/>
        <v>engineering</v>
      </c>
    </row>
    <row r="1424" spans="17:72">
      <c r="Q1424" s="19">
        <v>10.130000000000001</v>
      </c>
      <c r="R1424" s="56" t="str">
        <f t="shared" si="195"/>
        <v>Yes</v>
      </c>
      <c r="W1424" s="19" t="s">
        <v>1179</v>
      </c>
      <c r="X1424" s="54" t="str">
        <f>VLOOKUP(W1424,Employees!$A$1:$B$601,2,FALSE)</f>
        <v>Bikash Ratha</v>
      </c>
      <c r="AW1424" s="54"/>
      <c r="AX1424" s="54"/>
      <c r="BI1424" s="48"/>
      <c r="BJ1424" s="38"/>
      <c r="BK1424" s="38"/>
      <c r="BL1424" s="38"/>
      <c r="BM1424"/>
      <c r="BN1424" s="48"/>
      <c r="BR1424" s="19" t="s">
        <v>1179</v>
      </c>
      <c r="BS1424" s="19" t="s">
        <v>4237</v>
      </c>
      <c r="BT1424" s="54" t="str">
        <f t="shared" si="196"/>
        <v>engineering</v>
      </c>
    </row>
    <row r="1425" spans="17:72">
      <c r="Q1425" s="18">
        <v>7.24</v>
      </c>
      <c r="R1425" s="56" t="str">
        <f t="shared" si="195"/>
        <v>Yes</v>
      </c>
      <c r="W1425" s="18" t="s">
        <v>1179</v>
      </c>
      <c r="X1425" s="54" t="str">
        <f>VLOOKUP(W1425,Employees!$A$1:$B$601,2,FALSE)</f>
        <v>Bikash Ratha</v>
      </c>
      <c r="AW1425" s="54"/>
      <c r="AX1425" s="54"/>
      <c r="BI1425" s="48"/>
      <c r="BJ1425" s="38"/>
      <c r="BK1425" s="38"/>
      <c r="BL1425" s="38"/>
      <c r="BM1425"/>
      <c r="BN1425" s="48"/>
      <c r="BR1425" s="18" t="s">
        <v>1179</v>
      </c>
      <c r="BS1425" s="18" t="s">
        <v>4238</v>
      </c>
      <c r="BT1425" s="54" t="str">
        <f t="shared" si="196"/>
        <v>engineering</v>
      </c>
    </row>
    <row r="1426" spans="17:72">
      <c r="Q1426" s="19">
        <v>7.94</v>
      </c>
      <c r="R1426" s="56" t="str">
        <f t="shared" si="195"/>
        <v>Yes</v>
      </c>
      <c r="W1426" s="19" t="s">
        <v>1179</v>
      </c>
      <c r="X1426" s="54" t="str">
        <f>VLOOKUP(W1426,Employees!$A$1:$B$601,2,FALSE)</f>
        <v>Bikash Ratha</v>
      </c>
      <c r="AW1426" s="54"/>
      <c r="AX1426" s="54"/>
      <c r="BI1426" s="48"/>
      <c r="BJ1426" s="38"/>
      <c r="BK1426" s="38"/>
      <c r="BL1426" s="38"/>
      <c r="BM1426"/>
      <c r="BN1426" s="48"/>
      <c r="BR1426" s="19" t="s">
        <v>1179</v>
      </c>
      <c r="BS1426" s="19" t="s">
        <v>4239</v>
      </c>
      <c r="BT1426" s="54" t="str">
        <f t="shared" si="196"/>
        <v>engineering</v>
      </c>
    </row>
    <row r="1427" spans="17:72">
      <c r="Q1427" s="18">
        <v>11.1</v>
      </c>
      <c r="R1427" s="56" t="str">
        <f t="shared" si="195"/>
        <v>Yes</v>
      </c>
      <c r="W1427" s="18" t="s">
        <v>1179</v>
      </c>
      <c r="X1427" s="54" t="str">
        <f>VLOOKUP(W1427,Employees!$A$1:$B$601,2,FALSE)</f>
        <v>Bikash Ratha</v>
      </c>
      <c r="AW1427" s="54"/>
      <c r="AX1427" s="54"/>
      <c r="BI1427" s="48"/>
      <c r="BJ1427" s="38"/>
      <c r="BK1427" s="38"/>
      <c r="BL1427" s="38"/>
      <c r="BM1427"/>
      <c r="BN1427" s="48"/>
      <c r="BR1427" s="18" t="s">
        <v>1179</v>
      </c>
      <c r="BS1427" s="18" t="s">
        <v>4240</v>
      </c>
      <c r="BT1427" s="54" t="str">
        <f t="shared" si="196"/>
        <v>engineering</v>
      </c>
    </row>
    <row r="1428" spans="17:72">
      <c r="Q1428" s="19">
        <v>9.68</v>
      </c>
      <c r="R1428" s="56" t="str">
        <f t="shared" si="195"/>
        <v>Yes</v>
      </c>
      <c r="W1428" s="19" t="s">
        <v>1179</v>
      </c>
      <c r="X1428" s="54" t="str">
        <f>VLOOKUP(W1428,Employees!$A$1:$B$601,2,FALSE)</f>
        <v>Bikash Ratha</v>
      </c>
      <c r="AW1428" s="54"/>
      <c r="AX1428" s="54"/>
      <c r="BI1428" s="48"/>
      <c r="BJ1428" s="38"/>
      <c r="BK1428" s="38"/>
      <c r="BL1428" s="38"/>
      <c r="BM1428"/>
      <c r="BN1428" s="48"/>
      <c r="BR1428" s="19" t="s">
        <v>1179</v>
      </c>
      <c r="BS1428" s="19" t="s">
        <v>4242</v>
      </c>
      <c r="BT1428" s="54" t="str">
        <f t="shared" si="196"/>
        <v>engineering</v>
      </c>
    </row>
    <row r="1429" spans="17:72">
      <c r="Q1429" s="18">
        <v>8.7200000000000006</v>
      </c>
      <c r="R1429" s="56" t="str">
        <f t="shared" si="195"/>
        <v>Yes</v>
      </c>
      <c r="W1429" s="18" t="s">
        <v>1179</v>
      </c>
      <c r="X1429" s="54" t="str">
        <f>VLOOKUP(W1429,Employees!$A$1:$B$601,2,FALSE)</f>
        <v>Bikash Ratha</v>
      </c>
      <c r="AW1429" s="54"/>
      <c r="AX1429" s="54"/>
      <c r="BI1429" s="48"/>
      <c r="BJ1429" s="38"/>
      <c r="BK1429" s="38"/>
      <c r="BL1429" s="38"/>
      <c r="BM1429"/>
      <c r="BN1429" s="48"/>
      <c r="BR1429" s="18" t="s">
        <v>1179</v>
      </c>
      <c r="BS1429" s="18" t="s">
        <v>4243</v>
      </c>
      <c r="BT1429" s="54" t="str">
        <f t="shared" si="196"/>
        <v>engineering</v>
      </c>
    </row>
    <row r="1430" spans="17:72">
      <c r="Q1430" s="19">
        <v>9.08</v>
      </c>
      <c r="R1430" s="56" t="str">
        <f t="shared" si="195"/>
        <v>Yes</v>
      </c>
      <c r="W1430" s="19" t="s">
        <v>1179</v>
      </c>
      <c r="X1430" s="54" t="str">
        <f>VLOOKUP(W1430,Employees!$A$1:$B$601,2,FALSE)</f>
        <v>Bikash Ratha</v>
      </c>
      <c r="AW1430" s="54"/>
      <c r="AX1430" s="54"/>
      <c r="BI1430" s="48"/>
      <c r="BJ1430" s="38"/>
      <c r="BK1430" s="38"/>
      <c r="BL1430" s="38"/>
      <c r="BM1430"/>
      <c r="BN1430" s="48"/>
      <c r="BR1430" s="19" t="s">
        <v>1179</v>
      </c>
      <c r="BS1430" s="19" t="s">
        <v>4244</v>
      </c>
      <c r="BT1430" s="54" t="str">
        <f t="shared" si="196"/>
        <v>engineering</v>
      </c>
    </row>
    <row r="1431" spans="17:72">
      <c r="Q1431" s="18">
        <v>6.57</v>
      </c>
      <c r="R1431" s="56" t="str">
        <f t="shared" si="195"/>
        <v>Yes</v>
      </c>
      <c r="W1431" s="18" t="s">
        <v>1179</v>
      </c>
      <c r="X1431" s="54" t="str">
        <f>VLOOKUP(W1431,Employees!$A$1:$B$601,2,FALSE)</f>
        <v>Bikash Ratha</v>
      </c>
      <c r="AW1431" s="54"/>
      <c r="AX1431" s="54"/>
      <c r="BI1431" s="48"/>
      <c r="BJ1431" s="38"/>
      <c r="BK1431" s="38"/>
      <c r="BL1431" s="38"/>
      <c r="BM1431"/>
      <c r="BN1431" s="48"/>
      <c r="BR1431" s="18" t="s">
        <v>1179</v>
      </c>
      <c r="BS1431" s="18" t="s">
        <v>4245</v>
      </c>
      <c r="BT1431" s="54" t="str">
        <f t="shared" si="196"/>
        <v>engineering</v>
      </c>
    </row>
    <row r="1432" spans="17:72">
      <c r="Q1432" s="19">
        <v>10.23</v>
      </c>
      <c r="R1432" s="56" t="str">
        <f t="shared" si="195"/>
        <v>Yes</v>
      </c>
      <c r="W1432" s="19" t="s">
        <v>1179</v>
      </c>
      <c r="X1432" s="54" t="str">
        <f>VLOOKUP(W1432,Employees!$A$1:$B$601,2,FALSE)</f>
        <v>Bikash Ratha</v>
      </c>
      <c r="AW1432" s="54"/>
      <c r="AX1432" s="54"/>
      <c r="BI1432" s="48"/>
      <c r="BJ1432" s="38"/>
      <c r="BK1432" s="38"/>
      <c r="BL1432" s="38"/>
      <c r="BM1432"/>
      <c r="BN1432" s="48"/>
      <c r="BR1432" s="19" t="s">
        <v>1179</v>
      </c>
      <c r="BS1432" s="19" t="s">
        <v>4246</v>
      </c>
      <c r="BT1432" s="54" t="str">
        <f t="shared" si="196"/>
        <v>engineering</v>
      </c>
    </row>
    <row r="1433" spans="17:72">
      <c r="Q1433" s="18">
        <v>10.52</v>
      </c>
      <c r="R1433" s="56" t="str">
        <f t="shared" si="195"/>
        <v>Yes</v>
      </c>
      <c r="W1433" s="18" t="s">
        <v>1179</v>
      </c>
      <c r="X1433" s="54" t="str">
        <f>VLOOKUP(W1433,Employees!$A$1:$B$601,2,FALSE)</f>
        <v>Bikash Ratha</v>
      </c>
      <c r="AW1433" s="54"/>
      <c r="AX1433" s="54"/>
      <c r="BI1433" s="48"/>
      <c r="BJ1433" s="38"/>
      <c r="BK1433" s="38"/>
      <c r="BL1433" s="38"/>
      <c r="BM1433"/>
      <c r="BN1433" s="48"/>
      <c r="BR1433" s="18" t="s">
        <v>1179</v>
      </c>
      <c r="BS1433" s="18" t="s">
        <v>4247</v>
      </c>
      <c r="BT1433" s="54" t="str">
        <f t="shared" si="196"/>
        <v>engineering</v>
      </c>
    </row>
    <row r="1434" spans="17:72">
      <c r="Q1434" s="19">
        <v>8.56</v>
      </c>
      <c r="R1434" s="56" t="str">
        <f t="shared" si="195"/>
        <v>Yes</v>
      </c>
      <c r="W1434" s="19" t="s">
        <v>1179</v>
      </c>
      <c r="X1434" s="54" t="str">
        <f>VLOOKUP(W1434,Employees!$A$1:$B$601,2,FALSE)</f>
        <v>Bikash Ratha</v>
      </c>
      <c r="AW1434" s="54"/>
      <c r="AX1434" s="54"/>
      <c r="BI1434" s="48"/>
      <c r="BJ1434" s="38"/>
      <c r="BK1434" s="38"/>
      <c r="BL1434" s="38"/>
      <c r="BM1434"/>
      <c r="BN1434" s="48"/>
      <c r="BR1434" s="19" t="s">
        <v>1179</v>
      </c>
      <c r="BS1434" s="19" t="s">
        <v>4248</v>
      </c>
      <c r="BT1434" s="54" t="str">
        <f t="shared" si="196"/>
        <v>engineering</v>
      </c>
    </row>
    <row r="1435" spans="17:72">
      <c r="Q1435" s="18">
        <v>7.29</v>
      </c>
      <c r="R1435" s="56" t="str">
        <f t="shared" si="195"/>
        <v>Yes</v>
      </c>
      <c r="W1435" s="18" t="s">
        <v>1179</v>
      </c>
      <c r="X1435" s="54" t="str">
        <f>VLOOKUP(W1435,Employees!$A$1:$B$601,2,FALSE)</f>
        <v>Bikash Ratha</v>
      </c>
      <c r="AW1435" s="54"/>
      <c r="AX1435" s="54"/>
      <c r="BI1435" s="48"/>
      <c r="BJ1435" s="38"/>
      <c r="BK1435" s="38"/>
      <c r="BL1435" s="38"/>
      <c r="BM1435"/>
      <c r="BN1435" s="48"/>
      <c r="BR1435" s="18" t="s">
        <v>1179</v>
      </c>
      <c r="BS1435" s="18" t="s">
        <v>4249</v>
      </c>
      <c r="BT1435" s="54" t="str">
        <f t="shared" si="196"/>
        <v>engineering</v>
      </c>
    </row>
    <row r="1436" spans="17:72">
      <c r="Q1436" s="19">
        <v>9.01</v>
      </c>
      <c r="R1436" s="56" t="str">
        <f t="shared" si="195"/>
        <v>Yes</v>
      </c>
      <c r="W1436" s="19" t="s">
        <v>1179</v>
      </c>
      <c r="X1436" s="54" t="str">
        <f>VLOOKUP(W1436,Employees!$A$1:$B$601,2,FALSE)</f>
        <v>Bikash Ratha</v>
      </c>
      <c r="AW1436" s="54"/>
      <c r="AX1436" s="54"/>
      <c r="BI1436" s="48"/>
      <c r="BJ1436" s="38"/>
      <c r="BK1436" s="38"/>
      <c r="BL1436" s="38"/>
      <c r="BM1436"/>
      <c r="BN1436" s="48"/>
      <c r="BR1436" s="19" t="s">
        <v>1179</v>
      </c>
      <c r="BS1436" s="19" t="s">
        <v>4250</v>
      </c>
      <c r="BT1436" s="54" t="str">
        <f t="shared" si="196"/>
        <v>engineering</v>
      </c>
    </row>
    <row r="1437" spans="17:72">
      <c r="Q1437" s="18">
        <v>11.03</v>
      </c>
      <c r="R1437" s="56" t="str">
        <f t="shared" si="195"/>
        <v>Yes</v>
      </c>
      <c r="W1437" s="18" t="s">
        <v>1179</v>
      </c>
      <c r="X1437" s="54" t="str">
        <f>VLOOKUP(W1437,Employees!$A$1:$B$601,2,FALSE)</f>
        <v>Bikash Ratha</v>
      </c>
      <c r="AW1437" s="54"/>
      <c r="AX1437" s="54"/>
      <c r="BI1437" s="48"/>
      <c r="BJ1437" s="38"/>
      <c r="BK1437" s="38"/>
      <c r="BL1437" s="38"/>
      <c r="BM1437"/>
      <c r="BN1437" s="48"/>
      <c r="BR1437" s="18" t="s">
        <v>1179</v>
      </c>
      <c r="BS1437" s="18" t="s">
        <v>4251</v>
      </c>
      <c r="BT1437" s="54" t="str">
        <f t="shared" si="196"/>
        <v>engineering</v>
      </c>
    </row>
    <row r="1438" spans="17:72">
      <c r="Q1438" s="19">
        <v>9.49</v>
      </c>
      <c r="R1438" s="56" t="str">
        <f t="shared" si="195"/>
        <v>Yes</v>
      </c>
      <c r="W1438" s="19" t="s">
        <v>1179</v>
      </c>
      <c r="X1438" s="54" t="str">
        <f>VLOOKUP(W1438,Employees!$A$1:$B$601,2,FALSE)</f>
        <v>Bikash Ratha</v>
      </c>
      <c r="AW1438" s="54"/>
      <c r="AX1438" s="54"/>
      <c r="BI1438" s="48"/>
      <c r="BJ1438" s="38"/>
      <c r="BK1438" s="38"/>
      <c r="BL1438" s="38"/>
      <c r="BM1438"/>
      <c r="BN1438" s="48"/>
      <c r="BR1438" s="19" t="s">
        <v>1179</v>
      </c>
      <c r="BS1438" s="19" t="s">
        <v>4252</v>
      </c>
      <c r="BT1438" s="54" t="str">
        <f t="shared" si="196"/>
        <v>engineering</v>
      </c>
    </row>
    <row r="1439" spans="17:72">
      <c r="Q1439" s="18">
        <v>8.82</v>
      </c>
      <c r="R1439" s="56" t="str">
        <f t="shared" si="195"/>
        <v>Yes</v>
      </c>
      <c r="W1439" s="18" t="s">
        <v>1179</v>
      </c>
      <c r="X1439" s="54" t="str">
        <f>VLOOKUP(W1439,Employees!$A$1:$B$601,2,FALSE)</f>
        <v>Bikash Ratha</v>
      </c>
      <c r="AW1439" s="54"/>
      <c r="AX1439" s="54"/>
      <c r="BI1439" s="48"/>
      <c r="BJ1439" s="38"/>
      <c r="BK1439" s="38"/>
      <c r="BL1439" s="38"/>
      <c r="BM1439"/>
      <c r="BN1439" s="48"/>
      <c r="BR1439" s="18" t="s">
        <v>1179</v>
      </c>
      <c r="BS1439" s="18" t="s">
        <v>4253</v>
      </c>
      <c r="BT1439" s="54" t="str">
        <f t="shared" si="196"/>
        <v>engineering</v>
      </c>
    </row>
    <row r="1440" spans="17:72">
      <c r="Q1440" s="19">
        <v>9.6300000000000008</v>
      </c>
      <c r="R1440" s="56" t="str">
        <f t="shared" si="195"/>
        <v>Yes</v>
      </c>
      <c r="W1440" s="19" t="s">
        <v>1179</v>
      </c>
      <c r="X1440" s="54" t="str">
        <f>VLOOKUP(W1440,Employees!$A$1:$B$601,2,FALSE)</f>
        <v>Bikash Ratha</v>
      </c>
      <c r="AW1440" s="54"/>
      <c r="AX1440" s="54"/>
      <c r="BI1440" s="48"/>
      <c r="BJ1440" s="38"/>
      <c r="BK1440" s="38"/>
      <c r="BL1440" s="38"/>
      <c r="BM1440"/>
      <c r="BN1440" s="48"/>
      <c r="BR1440" s="19" t="s">
        <v>1179</v>
      </c>
      <c r="BS1440" s="19" t="s">
        <v>4254</v>
      </c>
      <c r="BT1440" s="54" t="str">
        <f t="shared" si="196"/>
        <v>engineering</v>
      </c>
    </row>
    <row r="1441" spans="17:72">
      <c r="Q1441" s="18"/>
      <c r="R1441" s="56" t="str">
        <f t="shared" si="195"/>
        <v>No</v>
      </c>
      <c r="W1441" s="18" t="s">
        <v>1179</v>
      </c>
      <c r="X1441" s="54" t="str">
        <f>VLOOKUP(W1441,Employees!$A$1:$B$601,2,FALSE)</f>
        <v>Bikash Ratha</v>
      </c>
      <c r="AW1441" s="54"/>
      <c r="AX1441" s="54"/>
      <c r="BI1441" s="48"/>
      <c r="BJ1441" s="38"/>
      <c r="BK1441" s="38"/>
      <c r="BL1441" s="38"/>
      <c r="BM1441"/>
      <c r="BN1441" s="48"/>
      <c r="BR1441" s="18" t="s">
        <v>1179</v>
      </c>
      <c r="BS1441" s="18" t="s">
        <v>4255</v>
      </c>
      <c r="BT1441" s="54" t="str">
        <f t="shared" si="196"/>
        <v>engineering</v>
      </c>
    </row>
    <row r="1442" spans="17:72">
      <c r="Q1442" s="19">
        <v>7.68</v>
      </c>
      <c r="R1442" s="56" t="str">
        <f t="shared" si="195"/>
        <v>Yes</v>
      </c>
      <c r="W1442" s="19" t="s">
        <v>1179</v>
      </c>
      <c r="X1442" s="54" t="str">
        <f>VLOOKUP(W1442,Employees!$A$1:$B$601,2,FALSE)</f>
        <v>Bikash Ratha</v>
      </c>
      <c r="AW1442" s="54"/>
      <c r="AX1442" s="54"/>
      <c r="BI1442" s="48"/>
      <c r="BJ1442" s="38"/>
      <c r="BK1442" s="38"/>
      <c r="BL1442" s="38"/>
      <c r="BM1442"/>
      <c r="BN1442" s="48"/>
      <c r="BR1442" s="19" t="s">
        <v>1179</v>
      </c>
      <c r="BS1442" s="19" t="s">
        <v>4256</v>
      </c>
      <c r="BT1442" s="54" t="str">
        <f t="shared" si="196"/>
        <v>engineering</v>
      </c>
    </row>
    <row r="1443" spans="17:72">
      <c r="Q1443" s="18">
        <v>9.9600000000000009</v>
      </c>
      <c r="R1443" s="56" t="str">
        <f t="shared" si="195"/>
        <v>Yes</v>
      </c>
      <c r="W1443" s="18" t="s">
        <v>1179</v>
      </c>
      <c r="X1443" s="54" t="str">
        <f>VLOOKUP(W1443,Employees!$A$1:$B$601,2,FALSE)</f>
        <v>Bikash Ratha</v>
      </c>
      <c r="AW1443" s="54"/>
      <c r="AX1443" s="54"/>
      <c r="BI1443" s="48"/>
      <c r="BJ1443" s="38"/>
      <c r="BK1443" s="38"/>
      <c r="BL1443" s="38"/>
      <c r="BM1443"/>
      <c r="BN1443" s="48"/>
      <c r="BR1443" s="18" t="s">
        <v>1179</v>
      </c>
      <c r="BS1443" s="18" t="s">
        <v>4257</v>
      </c>
      <c r="BT1443" s="54" t="str">
        <f t="shared" si="196"/>
        <v>engineering</v>
      </c>
    </row>
    <row r="1444" spans="17:72">
      <c r="Q1444" s="19">
        <v>8.19</v>
      </c>
      <c r="R1444" s="56" t="str">
        <f t="shared" si="195"/>
        <v>Yes</v>
      </c>
      <c r="W1444" s="19" t="s">
        <v>1179</v>
      </c>
      <c r="X1444" s="54" t="str">
        <f>VLOOKUP(W1444,Employees!$A$1:$B$601,2,FALSE)</f>
        <v>Bikash Ratha</v>
      </c>
      <c r="AW1444" s="54"/>
      <c r="AX1444" s="54"/>
      <c r="BI1444" s="48"/>
      <c r="BJ1444" s="38"/>
      <c r="BK1444" s="38"/>
      <c r="BL1444" s="38"/>
      <c r="BM1444"/>
      <c r="BN1444" s="48"/>
      <c r="BR1444" s="19" t="s">
        <v>1179</v>
      </c>
      <c r="BS1444" s="19" t="s">
        <v>4258</v>
      </c>
      <c r="BT1444" s="54" t="str">
        <f t="shared" si="196"/>
        <v>engineering</v>
      </c>
    </row>
    <row r="1445" spans="17:72">
      <c r="Q1445" s="18">
        <v>11.2</v>
      </c>
      <c r="R1445" s="56" t="str">
        <f t="shared" si="195"/>
        <v>Yes</v>
      </c>
      <c r="W1445" s="18" t="s">
        <v>1179</v>
      </c>
      <c r="X1445" s="54" t="str">
        <f>VLOOKUP(W1445,Employees!$A$1:$B$601,2,FALSE)</f>
        <v>Bikash Ratha</v>
      </c>
      <c r="AW1445" s="54"/>
      <c r="AX1445" s="54"/>
      <c r="BI1445" s="48"/>
      <c r="BJ1445" s="38"/>
      <c r="BK1445" s="38"/>
      <c r="BL1445" s="38"/>
      <c r="BM1445"/>
      <c r="BN1445" s="48"/>
      <c r="BR1445" s="18" t="s">
        <v>1179</v>
      </c>
      <c r="BS1445" s="18" t="s">
        <v>4259</v>
      </c>
      <c r="BT1445" s="54" t="str">
        <f t="shared" si="196"/>
        <v>engineering</v>
      </c>
    </row>
    <row r="1446" spans="17:72">
      <c r="Q1446" s="19">
        <v>8.3000000000000007</v>
      </c>
      <c r="R1446" s="56" t="str">
        <f t="shared" si="195"/>
        <v>Yes</v>
      </c>
      <c r="W1446" s="19" t="s">
        <v>1179</v>
      </c>
      <c r="X1446" s="54" t="str">
        <f>VLOOKUP(W1446,Employees!$A$1:$B$601,2,FALSE)</f>
        <v>Bikash Ratha</v>
      </c>
      <c r="AW1446" s="54"/>
      <c r="AX1446" s="54"/>
      <c r="BI1446" s="48"/>
      <c r="BJ1446" s="38"/>
      <c r="BK1446" s="38"/>
      <c r="BL1446" s="38"/>
      <c r="BM1446"/>
      <c r="BN1446" s="48"/>
      <c r="BR1446" s="19" t="s">
        <v>1179</v>
      </c>
      <c r="BS1446" s="19" t="s">
        <v>4260</v>
      </c>
      <c r="BT1446" s="54" t="str">
        <f t="shared" si="196"/>
        <v>engineering</v>
      </c>
    </row>
    <row r="1447" spans="17:72">
      <c r="Q1447" s="18">
        <v>7.59</v>
      </c>
      <c r="R1447" s="56" t="str">
        <f t="shared" si="195"/>
        <v>Yes</v>
      </c>
      <c r="W1447" s="18" t="s">
        <v>1179</v>
      </c>
      <c r="X1447" s="54" t="str">
        <f>VLOOKUP(W1447,Employees!$A$1:$B$601,2,FALSE)</f>
        <v>Bikash Ratha</v>
      </c>
      <c r="AW1447" s="54"/>
      <c r="AX1447" s="54"/>
      <c r="BI1447" s="48"/>
      <c r="BJ1447" s="38"/>
      <c r="BK1447" s="38"/>
      <c r="BL1447" s="38"/>
      <c r="BM1447"/>
      <c r="BN1447" s="48"/>
      <c r="BR1447" s="18" t="s">
        <v>1179</v>
      </c>
      <c r="BS1447" s="18" t="s">
        <v>4261</v>
      </c>
      <c r="BT1447" s="54" t="str">
        <f t="shared" si="196"/>
        <v>engineering</v>
      </c>
    </row>
    <row r="1448" spans="17:72">
      <c r="Q1448" s="19">
        <v>7.34</v>
      </c>
      <c r="R1448" s="56" t="str">
        <f t="shared" si="195"/>
        <v>Yes</v>
      </c>
      <c r="W1448" s="19" t="s">
        <v>1179</v>
      </c>
      <c r="X1448" s="54" t="str">
        <f>VLOOKUP(W1448,Employees!$A$1:$B$601,2,FALSE)</f>
        <v>Bikash Ratha</v>
      </c>
      <c r="AW1448" s="54"/>
      <c r="AX1448" s="54"/>
      <c r="BI1448" s="48"/>
      <c r="BJ1448" s="38"/>
      <c r="BK1448" s="38"/>
      <c r="BL1448" s="38"/>
      <c r="BM1448"/>
      <c r="BN1448" s="48"/>
      <c r="BR1448" s="19" t="s">
        <v>1179</v>
      </c>
      <c r="BS1448" s="19" t="s">
        <v>4262</v>
      </c>
      <c r="BT1448" s="54" t="str">
        <f t="shared" si="196"/>
        <v>engineering</v>
      </c>
    </row>
    <row r="1449" spans="17:72">
      <c r="Q1449" s="18">
        <v>7.28</v>
      </c>
      <c r="R1449" s="56" t="str">
        <f t="shared" si="195"/>
        <v>Yes</v>
      </c>
      <c r="W1449" s="18" t="s">
        <v>1179</v>
      </c>
      <c r="X1449" s="54" t="str">
        <f>VLOOKUP(W1449,Employees!$A$1:$B$601,2,FALSE)</f>
        <v>Bikash Ratha</v>
      </c>
      <c r="AW1449" s="54"/>
      <c r="AX1449" s="54"/>
      <c r="BI1449" s="48"/>
      <c r="BJ1449" s="38"/>
      <c r="BK1449" s="38"/>
      <c r="BL1449" s="38"/>
      <c r="BM1449"/>
      <c r="BN1449" s="48"/>
      <c r="BR1449" s="18" t="s">
        <v>1179</v>
      </c>
      <c r="BS1449" s="18" t="s">
        <v>4263</v>
      </c>
      <c r="BT1449" s="54" t="str">
        <f t="shared" si="196"/>
        <v>engineering</v>
      </c>
    </row>
    <row r="1450" spans="17:72">
      <c r="Q1450" s="19">
        <v>7.59</v>
      </c>
      <c r="R1450" s="56" t="str">
        <f t="shared" si="195"/>
        <v>Yes</v>
      </c>
      <c r="W1450" s="19" t="s">
        <v>1179</v>
      </c>
      <c r="X1450" s="54" t="str">
        <f>VLOOKUP(W1450,Employees!$A$1:$B$601,2,FALSE)</f>
        <v>Bikash Ratha</v>
      </c>
      <c r="AW1450" s="54"/>
      <c r="AX1450" s="54"/>
      <c r="BI1450" s="48"/>
      <c r="BJ1450" s="38"/>
      <c r="BK1450" s="38"/>
      <c r="BL1450" s="38"/>
      <c r="BM1450"/>
      <c r="BN1450" s="48"/>
      <c r="BR1450" s="19" t="s">
        <v>1179</v>
      </c>
      <c r="BS1450" s="19" t="s">
        <v>4264</v>
      </c>
      <c r="BT1450" s="54" t="str">
        <f t="shared" si="196"/>
        <v>engineering</v>
      </c>
    </row>
    <row r="1451" spans="17:72">
      <c r="Q1451" s="18">
        <v>10.16</v>
      </c>
      <c r="R1451" s="56" t="str">
        <f t="shared" si="195"/>
        <v>Yes</v>
      </c>
      <c r="W1451" s="18" t="s">
        <v>1179</v>
      </c>
      <c r="X1451" s="54" t="str">
        <f>VLOOKUP(W1451,Employees!$A$1:$B$601,2,FALSE)</f>
        <v>Bikash Ratha</v>
      </c>
      <c r="AW1451" s="54"/>
      <c r="AX1451" s="54"/>
      <c r="BI1451" s="48"/>
      <c r="BJ1451" s="38"/>
      <c r="BK1451" s="38"/>
      <c r="BL1451" s="38"/>
      <c r="BM1451"/>
      <c r="BN1451" s="48"/>
      <c r="BR1451" s="18" t="s">
        <v>1179</v>
      </c>
      <c r="BS1451" s="18" t="s">
        <v>4265</v>
      </c>
      <c r="BT1451" s="54" t="str">
        <f t="shared" si="196"/>
        <v>engineering</v>
      </c>
    </row>
    <row r="1452" spans="17:72">
      <c r="Q1452" s="19">
        <v>6.55</v>
      </c>
      <c r="R1452" s="56" t="str">
        <f t="shared" si="195"/>
        <v>Yes</v>
      </c>
      <c r="W1452" s="19" t="s">
        <v>1179</v>
      </c>
      <c r="X1452" s="54" t="str">
        <f>VLOOKUP(W1452,Employees!$A$1:$B$601,2,FALSE)</f>
        <v>Bikash Ratha</v>
      </c>
      <c r="AW1452" s="54"/>
      <c r="AX1452" s="54"/>
      <c r="BI1452" s="48"/>
      <c r="BJ1452" s="38"/>
      <c r="BK1452" s="38"/>
      <c r="BL1452" s="38"/>
      <c r="BM1452"/>
      <c r="BN1452" s="48"/>
      <c r="BR1452" s="19" t="s">
        <v>1179</v>
      </c>
      <c r="BS1452" s="19" t="s">
        <v>4266</v>
      </c>
      <c r="BT1452" s="54" t="str">
        <f t="shared" si="196"/>
        <v>engineering</v>
      </c>
    </row>
    <row r="1453" spans="17:72">
      <c r="Q1453" s="18">
        <v>10.199999999999999</v>
      </c>
      <c r="R1453" s="56" t="str">
        <f t="shared" si="195"/>
        <v>Yes</v>
      </c>
      <c r="W1453" s="18" t="s">
        <v>1179</v>
      </c>
      <c r="X1453" s="54" t="str">
        <f>VLOOKUP(W1453,Employees!$A$1:$B$601,2,FALSE)</f>
        <v>Bikash Ratha</v>
      </c>
      <c r="AW1453" s="54"/>
      <c r="AX1453" s="54"/>
      <c r="BI1453" s="48"/>
      <c r="BJ1453" s="38"/>
      <c r="BK1453" s="38"/>
      <c r="BL1453" s="38"/>
      <c r="BM1453"/>
      <c r="BN1453" s="48"/>
      <c r="BR1453" s="18" t="s">
        <v>1179</v>
      </c>
      <c r="BS1453" s="18" t="s">
        <v>4267</v>
      </c>
      <c r="BT1453" s="54" t="str">
        <f t="shared" si="196"/>
        <v>engineering</v>
      </c>
    </row>
    <row r="1454" spans="17:72">
      <c r="Q1454" s="19">
        <v>10.63</v>
      </c>
      <c r="R1454" s="56" t="str">
        <f t="shared" si="195"/>
        <v>Yes</v>
      </c>
      <c r="W1454" s="19" t="s">
        <v>1179</v>
      </c>
      <c r="X1454" s="54" t="str">
        <f>VLOOKUP(W1454,Employees!$A$1:$B$601,2,FALSE)</f>
        <v>Bikash Ratha</v>
      </c>
      <c r="AW1454" s="54"/>
      <c r="AX1454" s="54"/>
      <c r="BI1454" s="48"/>
      <c r="BJ1454" s="38"/>
      <c r="BK1454" s="38"/>
      <c r="BL1454" s="38"/>
      <c r="BM1454"/>
      <c r="BN1454" s="48"/>
      <c r="BR1454" s="19" t="s">
        <v>1179</v>
      </c>
      <c r="BS1454" s="19" t="s">
        <v>4268</v>
      </c>
      <c r="BT1454" s="54" t="str">
        <f t="shared" si="196"/>
        <v>engineering</v>
      </c>
    </row>
    <row r="1455" spans="17:72">
      <c r="Q1455" s="18">
        <v>11.36</v>
      </c>
      <c r="R1455" s="56" t="str">
        <f t="shared" si="195"/>
        <v>Yes</v>
      </c>
      <c r="W1455" s="18" t="s">
        <v>1179</v>
      </c>
      <c r="X1455" s="54" t="str">
        <f>VLOOKUP(W1455,Employees!$A$1:$B$601,2,FALSE)</f>
        <v>Bikash Ratha</v>
      </c>
      <c r="AW1455" s="54"/>
      <c r="AX1455" s="54"/>
      <c r="BI1455" s="48"/>
      <c r="BJ1455" s="38"/>
      <c r="BK1455" s="38"/>
      <c r="BL1455" s="38"/>
      <c r="BM1455"/>
      <c r="BN1455" s="48"/>
      <c r="BR1455" s="18" t="s">
        <v>1179</v>
      </c>
      <c r="BS1455" s="18" t="s">
        <v>4269</v>
      </c>
      <c r="BT1455" s="54" t="str">
        <f t="shared" si="196"/>
        <v>engineering</v>
      </c>
    </row>
    <row r="1456" spans="17:72">
      <c r="Q1456" s="19">
        <v>10.02</v>
      </c>
      <c r="R1456" s="56" t="str">
        <f t="shared" si="195"/>
        <v>Yes</v>
      </c>
      <c r="W1456" s="19" t="s">
        <v>1179</v>
      </c>
      <c r="X1456" s="54" t="str">
        <f>VLOOKUP(W1456,Employees!$A$1:$B$601,2,FALSE)</f>
        <v>Bikash Ratha</v>
      </c>
      <c r="AW1456" s="54"/>
      <c r="AX1456" s="54"/>
      <c r="BI1456" s="48"/>
      <c r="BJ1456" s="38"/>
      <c r="BK1456" s="38"/>
      <c r="BL1456" s="38"/>
      <c r="BM1456"/>
      <c r="BN1456" s="48"/>
      <c r="BR1456" s="19" t="s">
        <v>1179</v>
      </c>
      <c r="BS1456" s="19" t="s">
        <v>4270</v>
      </c>
      <c r="BT1456" s="54" t="str">
        <f t="shared" si="196"/>
        <v>engineering</v>
      </c>
    </row>
    <row r="1457" spans="17:72">
      <c r="Q1457" s="18">
        <v>9.43</v>
      </c>
      <c r="R1457" s="56" t="str">
        <f t="shared" si="195"/>
        <v>Yes</v>
      </c>
      <c r="W1457" s="18" t="s">
        <v>1179</v>
      </c>
      <c r="X1457" s="54" t="str">
        <f>VLOOKUP(W1457,Employees!$A$1:$B$601,2,FALSE)</f>
        <v>Bikash Ratha</v>
      </c>
      <c r="AW1457" s="54"/>
      <c r="AX1457" s="54"/>
      <c r="BI1457" s="48"/>
      <c r="BJ1457" s="38"/>
      <c r="BK1457" s="38"/>
      <c r="BL1457" s="38"/>
      <c r="BM1457"/>
      <c r="BN1457" s="48"/>
      <c r="BR1457" s="18" t="s">
        <v>1179</v>
      </c>
      <c r="BS1457" s="18" t="s">
        <v>4271</v>
      </c>
      <c r="BT1457" s="54" t="str">
        <f t="shared" si="196"/>
        <v>engineering</v>
      </c>
    </row>
    <row r="1458" spans="17:72">
      <c r="Q1458" s="19">
        <v>11.37</v>
      </c>
      <c r="R1458" s="56" t="str">
        <f t="shared" si="195"/>
        <v>Yes</v>
      </c>
      <c r="W1458" s="19" t="s">
        <v>1179</v>
      </c>
      <c r="X1458" s="54" t="str">
        <f>VLOOKUP(W1458,Employees!$A$1:$B$601,2,FALSE)</f>
        <v>Bikash Ratha</v>
      </c>
      <c r="AW1458" s="54"/>
      <c r="AX1458" s="54"/>
      <c r="BI1458" s="48"/>
      <c r="BJ1458" s="38"/>
      <c r="BK1458" s="38"/>
      <c r="BL1458" s="38"/>
      <c r="BM1458"/>
      <c r="BN1458" s="48"/>
      <c r="BR1458" s="19" t="s">
        <v>1179</v>
      </c>
      <c r="BS1458" s="19" t="s">
        <v>4272</v>
      </c>
      <c r="BT1458" s="54" t="str">
        <f t="shared" si="196"/>
        <v>engineering</v>
      </c>
    </row>
    <row r="1459" spans="17:72">
      <c r="Q1459" s="18">
        <v>7.21</v>
      </c>
      <c r="R1459" s="56" t="str">
        <f t="shared" si="195"/>
        <v>Yes</v>
      </c>
      <c r="W1459" s="18" t="s">
        <v>1179</v>
      </c>
      <c r="X1459" s="54" t="str">
        <f>VLOOKUP(W1459,Employees!$A$1:$B$601,2,FALSE)</f>
        <v>Bikash Ratha</v>
      </c>
      <c r="AW1459" s="54"/>
      <c r="AX1459" s="54"/>
      <c r="BI1459" s="48"/>
      <c r="BJ1459" s="38"/>
      <c r="BK1459" s="38"/>
      <c r="BL1459" s="38"/>
      <c r="BM1459"/>
      <c r="BN1459" s="48"/>
      <c r="BR1459" s="18" t="s">
        <v>1179</v>
      </c>
      <c r="BS1459" s="18" t="s">
        <v>4273</v>
      </c>
      <c r="BT1459" s="54" t="str">
        <f t="shared" si="196"/>
        <v>engineering</v>
      </c>
    </row>
    <row r="1460" spans="17:72">
      <c r="Q1460" s="19"/>
      <c r="R1460" s="56" t="str">
        <f t="shared" si="195"/>
        <v>No</v>
      </c>
      <c r="W1460" s="19" t="s">
        <v>1179</v>
      </c>
      <c r="X1460" s="54" t="str">
        <f>VLOOKUP(W1460,Employees!$A$1:$B$601,2,FALSE)</f>
        <v>Bikash Ratha</v>
      </c>
      <c r="AW1460" s="54"/>
      <c r="AX1460" s="54"/>
      <c r="BI1460" s="48"/>
      <c r="BJ1460" s="38"/>
      <c r="BK1460" s="38"/>
      <c r="BL1460" s="38"/>
      <c r="BM1460"/>
      <c r="BN1460" s="48"/>
      <c r="BR1460" s="19" t="s">
        <v>1179</v>
      </c>
      <c r="BS1460" s="19" t="s">
        <v>4274</v>
      </c>
      <c r="BT1460" s="54" t="str">
        <f t="shared" si="196"/>
        <v>engineering</v>
      </c>
    </row>
    <row r="1461" spans="17:72">
      <c r="Q1461" s="18">
        <v>10.95</v>
      </c>
      <c r="R1461" s="56" t="str">
        <f t="shared" si="195"/>
        <v>Yes</v>
      </c>
      <c r="W1461" s="18" t="s">
        <v>1179</v>
      </c>
      <c r="X1461" s="54" t="str">
        <f>VLOOKUP(W1461,Employees!$A$1:$B$601,2,FALSE)</f>
        <v>Bikash Ratha</v>
      </c>
      <c r="AW1461" s="54"/>
      <c r="AX1461" s="54"/>
      <c r="BI1461" s="48"/>
      <c r="BJ1461" s="38"/>
      <c r="BK1461" s="38"/>
      <c r="BL1461" s="38"/>
      <c r="BM1461"/>
      <c r="BN1461" s="48"/>
      <c r="BR1461" s="18" t="s">
        <v>1179</v>
      </c>
      <c r="BS1461" s="18" t="s">
        <v>4275</v>
      </c>
      <c r="BT1461" s="54" t="str">
        <f t="shared" si="196"/>
        <v>engineering</v>
      </c>
    </row>
    <row r="1462" spans="17:72">
      <c r="Q1462" s="19">
        <v>8.49</v>
      </c>
      <c r="R1462" s="56" t="str">
        <f t="shared" si="195"/>
        <v>Yes</v>
      </c>
      <c r="W1462" s="19" t="s">
        <v>1179</v>
      </c>
      <c r="X1462" s="54" t="str">
        <f>VLOOKUP(W1462,Employees!$A$1:$B$601,2,FALSE)</f>
        <v>Bikash Ratha</v>
      </c>
      <c r="AW1462" s="54"/>
      <c r="AX1462" s="54"/>
      <c r="BI1462" s="48"/>
      <c r="BJ1462" s="38"/>
      <c r="BK1462" s="38"/>
      <c r="BL1462" s="38"/>
      <c r="BM1462"/>
      <c r="BN1462" s="48"/>
      <c r="BR1462" s="19" t="s">
        <v>1179</v>
      </c>
      <c r="BS1462" s="19" t="s">
        <v>4276</v>
      </c>
      <c r="BT1462" s="54" t="str">
        <f t="shared" si="196"/>
        <v>engineering</v>
      </c>
    </row>
    <row r="1463" spans="17:72">
      <c r="Q1463" s="18">
        <v>9.0500000000000007</v>
      </c>
      <c r="R1463" s="56" t="str">
        <f t="shared" si="195"/>
        <v>Yes</v>
      </c>
      <c r="W1463" s="18" t="s">
        <v>1179</v>
      </c>
      <c r="X1463" s="54" t="str">
        <f>VLOOKUP(W1463,Employees!$A$1:$B$601,2,FALSE)</f>
        <v>Bikash Ratha</v>
      </c>
      <c r="AW1463" s="54"/>
      <c r="AX1463" s="54"/>
      <c r="BI1463" s="48"/>
      <c r="BJ1463" s="38"/>
      <c r="BK1463" s="38"/>
      <c r="BL1463" s="38"/>
      <c r="BM1463"/>
      <c r="BN1463" s="48"/>
      <c r="BR1463" s="18" t="s">
        <v>1179</v>
      </c>
      <c r="BS1463" s="18" t="s">
        <v>4277</v>
      </c>
      <c r="BT1463" s="54" t="str">
        <f t="shared" si="196"/>
        <v>engineering</v>
      </c>
    </row>
    <row r="1464" spans="17:72">
      <c r="Q1464" s="19">
        <v>10.08</v>
      </c>
      <c r="R1464" s="56" t="str">
        <f t="shared" si="195"/>
        <v>Yes</v>
      </c>
      <c r="W1464" s="19" t="s">
        <v>125</v>
      </c>
      <c r="X1464" s="54" t="str">
        <f>VLOOKUP(W1464,Employees!$A$1:$B$601,2,FALSE)</f>
        <v>Sudhansu Mohapatra</v>
      </c>
      <c r="AW1464" s="54"/>
      <c r="AX1464" s="54"/>
      <c r="BI1464" s="48"/>
      <c r="BJ1464" s="38"/>
      <c r="BK1464" s="38"/>
      <c r="BL1464" s="38"/>
      <c r="BM1464"/>
      <c r="BN1464" s="48"/>
      <c r="BR1464" s="19" t="s">
        <v>125</v>
      </c>
      <c r="BS1464" s="19" t="s">
        <v>4278</v>
      </c>
      <c r="BT1464" s="54" t="str">
        <f t="shared" si="196"/>
        <v>Marketing</v>
      </c>
    </row>
    <row r="1465" spans="17:72">
      <c r="Q1465" s="18">
        <v>11.05</v>
      </c>
      <c r="R1465" s="56" t="str">
        <f t="shared" si="195"/>
        <v>Yes</v>
      </c>
      <c r="W1465" s="18" t="s">
        <v>125</v>
      </c>
      <c r="X1465" s="54" t="str">
        <f>VLOOKUP(W1465,Employees!$A$1:$B$601,2,FALSE)</f>
        <v>Sudhansu Mohapatra</v>
      </c>
      <c r="AW1465" s="54"/>
      <c r="AX1465" s="54"/>
      <c r="BI1465" s="48"/>
      <c r="BJ1465" s="38"/>
      <c r="BK1465" s="38"/>
      <c r="BL1465" s="38"/>
      <c r="BM1465"/>
      <c r="BN1465" s="48"/>
      <c r="BR1465" s="18" t="s">
        <v>125</v>
      </c>
      <c r="BS1465" s="18" t="s">
        <v>4279</v>
      </c>
      <c r="BT1465" s="54" t="str">
        <f t="shared" si="196"/>
        <v>Marketing</v>
      </c>
    </row>
    <row r="1466" spans="17:72">
      <c r="Q1466" s="19">
        <v>9.2799999999999994</v>
      </c>
      <c r="R1466" s="56" t="str">
        <f t="shared" si="195"/>
        <v>Yes</v>
      </c>
      <c r="W1466" s="19" t="s">
        <v>125</v>
      </c>
      <c r="X1466" s="54" t="str">
        <f>VLOOKUP(W1466,Employees!$A$1:$B$601,2,FALSE)</f>
        <v>Sudhansu Mohapatra</v>
      </c>
      <c r="AW1466" s="54"/>
      <c r="AX1466" s="54"/>
      <c r="BI1466" s="48"/>
      <c r="BJ1466" s="38"/>
      <c r="BK1466" s="38"/>
      <c r="BL1466" s="38"/>
      <c r="BM1466"/>
      <c r="BN1466" s="48"/>
      <c r="BR1466" s="19" t="s">
        <v>125</v>
      </c>
      <c r="BS1466" s="19" t="s">
        <v>4280</v>
      </c>
      <c r="BT1466" s="54" t="str">
        <f t="shared" si="196"/>
        <v>Marketing</v>
      </c>
    </row>
    <row r="1467" spans="17:72">
      <c r="Q1467" s="18">
        <v>8.42</v>
      </c>
      <c r="R1467" s="56" t="str">
        <f t="shared" si="195"/>
        <v>Yes</v>
      </c>
      <c r="W1467" s="18" t="s">
        <v>125</v>
      </c>
      <c r="X1467" s="54" t="str">
        <f>VLOOKUP(W1467,Employees!$A$1:$B$601,2,FALSE)</f>
        <v>Sudhansu Mohapatra</v>
      </c>
      <c r="AW1467" s="54"/>
      <c r="AX1467" s="54"/>
      <c r="BI1467" s="48"/>
      <c r="BJ1467" s="38"/>
      <c r="BK1467" s="38"/>
      <c r="BL1467" s="38"/>
      <c r="BM1467"/>
      <c r="BN1467" s="48"/>
      <c r="BR1467" s="18" t="s">
        <v>125</v>
      </c>
      <c r="BS1467" s="18" t="s">
        <v>4281</v>
      </c>
      <c r="BT1467" s="54" t="str">
        <f t="shared" si="196"/>
        <v>Marketing</v>
      </c>
    </row>
    <row r="1468" spans="17:72">
      <c r="Q1468" s="19">
        <v>8.91</v>
      </c>
      <c r="R1468" s="56" t="str">
        <f t="shared" si="195"/>
        <v>Yes</v>
      </c>
      <c r="W1468" s="19" t="s">
        <v>125</v>
      </c>
      <c r="X1468" s="54" t="str">
        <f>VLOOKUP(W1468,Employees!$A$1:$B$601,2,FALSE)</f>
        <v>Sudhansu Mohapatra</v>
      </c>
      <c r="AW1468" s="54"/>
      <c r="AX1468" s="54"/>
      <c r="BI1468" s="48"/>
      <c r="BJ1468" s="38"/>
      <c r="BK1468" s="38"/>
      <c r="BL1468" s="38"/>
      <c r="BM1468"/>
      <c r="BN1468" s="48"/>
      <c r="BR1468" s="19" t="s">
        <v>125</v>
      </c>
      <c r="BS1468" s="19" t="s">
        <v>4282</v>
      </c>
      <c r="BT1468" s="54" t="str">
        <f t="shared" si="196"/>
        <v>Marketing</v>
      </c>
    </row>
    <row r="1469" spans="17:72">
      <c r="Q1469" s="18">
        <v>8.23</v>
      </c>
      <c r="R1469" s="56" t="str">
        <f t="shared" si="195"/>
        <v>Yes</v>
      </c>
      <c r="W1469" s="18" t="s">
        <v>125</v>
      </c>
      <c r="X1469" s="54" t="str">
        <f>VLOOKUP(W1469,Employees!$A$1:$B$601,2,FALSE)</f>
        <v>Sudhansu Mohapatra</v>
      </c>
      <c r="AW1469" s="54"/>
      <c r="AX1469" s="54"/>
      <c r="BI1469" s="48"/>
      <c r="BJ1469" s="38"/>
      <c r="BK1469" s="38"/>
      <c r="BL1469" s="38"/>
      <c r="BM1469"/>
      <c r="BN1469" s="48"/>
      <c r="BR1469" s="18" t="s">
        <v>125</v>
      </c>
      <c r="BS1469" s="18" t="s">
        <v>4283</v>
      </c>
      <c r="BT1469" s="54" t="str">
        <f t="shared" si="196"/>
        <v>Marketing</v>
      </c>
    </row>
    <row r="1470" spans="17:72">
      <c r="Q1470" s="19">
        <v>11.17</v>
      </c>
      <c r="R1470" s="56" t="str">
        <f t="shared" si="195"/>
        <v>Yes</v>
      </c>
      <c r="W1470" s="19" t="s">
        <v>125</v>
      </c>
      <c r="X1470" s="54" t="str">
        <f>VLOOKUP(W1470,Employees!$A$1:$B$601,2,FALSE)</f>
        <v>Sudhansu Mohapatra</v>
      </c>
      <c r="AW1470" s="54"/>
      <c r="AX1470" s="54"/>
      <c r="BI1470" s="48"/>
      <c r="BJ1470" s="38"/>
      <c r="BK1470" s="38"/>
      <c r="BL1470" s="38"/>
      <c r="BM1470"/>
      <c r="BN1470" s="48"/>
      <c r="BR1470" s="19" t="s">
        <v>125</v>
      </c>
      <c r="BS1470" s="19" t="s">
        <v>4284</v>
      </c>
      <c r="BT1470" s="54" t="str">
        <f t="shared" si="196"/>
        <v>Marketing</v>
      </c>
    </row>
    <row r="1471" spans="17:72">
      <c r="Q1471" s="18">
        <v>10.28</v>
      </c>
      <c r="R1471" s="56" t="str">
        <f t="shared" si="195"/>
        <v>Yes</v>
      </c>
      <c r="W1471" s="18" t="s">
        <v>125</v>
      </c>
      <c r="X1471" s="54" t="str">
        <f>VLOOKUP(W1471,Employees!$A$1:$B$601,2,FALSE)</f>
        <v>Sudhansu Mohapatra</v>
      </c>
      <c r="AW1471" s="54"/>
      <c r="AX1471" s="54"/>
      <c r="BI1471" s="48"/>
      <c r="BJ1471" s="38"/>
      <c r="BK1471" s="38"/>
      <c r="BL1471" s="38"/>
      <c r="BM1471"/>
      <c r="BN1471" s="48"/>
      <c r="BR1471" s="18" t="s">
        <v>125</v>
      </c>
      <c r="BS1471" s="18" t="s">
        <v>4285</v>
      </c>
      <c r="BT1471" s="54" t="str">
        <f t="shared" si="196"/>
        <v>Marketing</v>
      </c>
    </row>
    <row r="1472" spans="17:72">
      <c r="Q1472" s="19">
        <v>9.9499999999999993</v>
      </c>
      <c r="R1472" s="56" t="str">
        <f t="shared" si="195"/>
        <v>Yes</v>
      </c>
      <c r="W1472" s="19" t="s">
        <v>125</v>
      </c>
      <c r="X1472" s="54" t="str">
        <f>VLOOKUP(W1472,Employees!$A$1:$B$601,2,FALSE)</f>
        <v>Sudhansu Mohapatra</v>
      </c>
      <c r="AW1472" s="54"/>
      <c r="AX1472" s="54"/>
      <c r="BI1472" s="48"/>
      <c r="BJ1472" s="38"/>
      <c r="BK1472" s="38"/>
      <c r="BL1472" s="38"/>
      <c r="BM1472"/>
      <c r="BN1472" s="48"/>
      <c r="BR1472" s="19" t="s">
        <v>125</v>
      </c>
      <c r="BS1472" s="19" t="s">
        <v>4286</v>
      </c>
      <c r="BT1472" s="54" t="str">
        <f t="shared" si="196"/>
        <v>Marketing</v>
      </c>
    </row>
    <row r="1473" spans="17:72">
      <c r="Q1473" s="18">
        <v>9.0399999999999991</v>
      </c>
      <c r="R1473" s="56" t="str">
        <f t="shared" si="195"/>
        <v>Yes</v>
      </c>
      <c r="W1473" s="18" t="s">
        <v>125</v>
      </c>
      <c r="X1473" s="54" t="str">
        <f>VLOOKUP(W1473,Employees!$A$1:$B$601,2,FALSE)</f>
        <v>Sudhansu Mohapatra</v>
      </c>
      <c r="AW1473" s="54"/>
      <c r="AX1473" s="54"/>
      <c r="BI1473" s="48"/>
      <c r="BJ1473" s="38"/>
      <c r="BK1473" s="38"/>
      <c r="BL1473" s="38"/>
      <c r="BM1473"/>
      <c r="BN1473" s="48"/>
      <c r="BR1473" s="18" t="s">
        <v>125</v>
      </c>
      <c r="BS1473" s="18" t="s">
        <v>4287</v>
      </c>
      <c r="BT1473" s="54" t="str">
        <f t="shared" si="196"/>
        <v>Marketing</v>
      </c>
    </row>
    <row r="1474" spans="17:72">
      <c r="Q1474" s="19">
        <v>7.54</v>
      </c>
      <c r="R1474" s="56" t="str">
        <f t="shared" si="195"/>
        <v>Yes</v>
      </c>
      <c r="W1474" s="19" t="s">
        <v>125</v>
      </c>
      <c r="X1474" s="54" t="str">
        <f>VLOOKUP(W1474,Employees!$A$1:$B$601,2,FALSE)</f>
        <v>Sudhansu Mohapatra</v>
      </c>
      <c r="AW1474" s="54"/>
      <c r="AX1474" s="54"/>
      <c r="BI1474" s="48"/>
      <c r="BJ1474" s="38"/>
      <c r="BK1474" s="38"/>
      <c r="BL1474" s="38"/>
      <c r="BM1474"/>
      <c r="BN1474" s="48"/>
      <c r="BR1474" s="19" t="s">
        <v>125</v>
      </c>
      <c r="BS1474" s="19" t="s">
        <v>4288</v>
      </c>
      <c r="BT1474" s="54" t="str">
        <f t="shared" si="196"/>
        <v>Marketing</v>
      </c>
    </row>
    <row r="1475" spans="17:72">
      <c r="Q1475" s="18">
        <v>6.82</v>
      </c>
      <c r="R1475" s="56" t="str">
        <f t="shared" ref="R1475:R1538" si="197">IF(ISBLANK(Q1475),"No","Yes")</f>
        <v>Yes</v>
      </c>
      <c r="W1475" s="18" t="s">
        <v>125</v>
      </c>
      <c r="X1475" s="54" t="str">
        <f>VLOOKUP(W1475,Employees!$A$1:$B$601,2,FALSE)</f>
        <v>Sudhansu Mohapatra</v>
      </c>
      <c r="AW1475" s="54"/>
      <c r="AX1475" s="54"/>
      <c r="BI1475" s="48"/>
      <c r="BJ1475" s="38"/>
      <c r="BK1475" s="38"/>
      <c r="BL1475" s="38"/>
      <c r="BM1475"/>
      <c r="BN1475" s="48"/>
      <c r="BR1475" s="18" t="s">
        <v>125</v>
      </c>
      <c r="BS1475" s="18" t="s">
        <v>4289</v>
      </c>
      <c r="BT1475" s="54" t="str">
        <f t="shared" ref="BT1475:BT1538" si="198">VLOOKUP(BR1475,$BP$2:$BQ$601,2,FALSE)</f>
        <v>Marketing</v>
      </c>
    </row>
    <row r="1476" spans="17:72">
      <c r="Q1476" s="19">
        <v>6.6</v>
      </c>
      <c r="R1476" s="56" t="str">
        <f t="shared" si="197"/>
        <v>Yes</v>
      </c>
      <c r="W1476" s="19" t="s">
        <v>125</v>
      </c>
      <c r="X1476" s="54" t="str">
        <f>VLOOKUP(W1476,Employees!$A$1:$B$601,2,FALSE)</f>
        <v>Sudhansu Mohapatra</v>
      </c>
      <c r="AW1476" s="54"/>
      <c r="AX1476" s="54"/>
      <c r="BI1476" s="48"/>
      <c r="BJ1476" s="38"/>
      <c r="BK1476" s="38"/>
      <c r="BL1476" s="38"/>
      <c r="BM1476"/>
      <c r="BN1476" s="48"/>
      <c r="BR1476" s="19" t="s">
        <v>125</v>
      </c>
      <c r="BS1476" s="19" t="s">
        <v>4291</v>
      </c>
      <c r="BT1476" s="54" t="str">
        <f t="shared" si="198"/>
        <v>Marketing</v>
      </c>
    </row>
    <row r="1477" spans="17:72">
      <c r="Q1477" s="18">
        <v>9.6300000000000008</v>
      </c>
      <c r="R1477" s="56" t="str">
        <f t="shared" si="197"/>
        <v>Yes</v>
      </c>
      <c r="W1477" s="18" t="s">
        <v>125</v>
      </c>
      <c r="X1477" s="54" t="str">
        <f>VLOOKUP(W1477,Employees!$A$1:$B$601,2,FALSE)</f>
        <v>Sudhansu Mohapatra</v>
      </c>
      <c r="AW1477" s="54"/>
      <c r="AX1477" s="54"/>
      <c r="BI1477" s="48"/>
      <c r="BJ1477" s="38"/>
      <c r="BK1477" s="38"/>
      <c r="BL1477" s="38"/>
      <c r="BM1477"/>
      <c r="BN1477" s="48"/>
      <c r="BR1477" s="18" t="s">
        <v>125</v>
      </c>
      <c r="BS1477" s="18" t="s">
        <v>4292</v>
      </c>
      <c r="BT1477" s="54" t="str">
        <f t="shared" si="198"/>
        <v>Marketing</v>
      </c>
    </row>
    <row r="1478" spans="17:72">
      <c r="Q1478" s="19">
        <v>7.54</v>
      </c>
      <c r="R1478" s="56" t="str">
        <f t="shared" si="197"/>
        <v>Yes</v>
      </c>
      <c r="W1478" s="19" t="s">
        <v>125</v>
      </c>
      <c r="X1478" s="54" t="str">
        <f>VLOOKUP(W1478,Employees!$A$1:$B$601,2,FALSE)</f>
        <v>Sudhansu Mohapatra</v>
      </c>
      <c r="AW1478" s="54"/>
      <c r="AX1478" s="54"/>
      <c r="BI1478" s="48"/>
      <c r="BJ1478" s="38"/>
      <c r="BK1478" s="38"/>
      <c r="BL1478" s="38"/>
      <c r="BM1478"/>
      <c r="BN1478" s="48"/>
      <c r="BR1478" s="19" t="s">
        <v>125</v>
      </c>
      <c r="BS1478" s="19" t="s">
        <v>4293</v>
      </c>
      <c r="BT1478" s="54" t="str">
        <f t="shared" si="198"/>
        <v>Marketing</v>
      </c>
    </row>
    <row r="1479" spans="17:72">
      <c r="Q1479" s="18">
        <v>10.78</v>
      </c>
      <c r="R1479" s="56" t="str">
        <f t="shared" si="197"/>
        <v>Yes</v>
      </c>
      <c r="W1479" s="18" t="s">
        <v>125</v>
      </c>
      <c r="X1479" s="54" t="str">
        <f>VLOOKUP(W1479,Employees!$A$1:$B$601,2,FALSE)</f>
        <v>Sudhansu Mohapatra</v>
      </c>
      <c r="AW1479" s="54"/>
      <c r="AX1479" s="54"/>
      <c r="BI1479" s="48"/>
      <c r="BJ1479" s="38"/>
      <c r="BK1479" s="38"/>
      <c r="BL1479" s="38"/>
      <c r="BM1479"/>
      <c r="BN1479" s="48"/>
      <c r="BR1479" s="18" t="s">
        <v>125</v>
      </c>
      <c r="BS1479" s="18" t="s">
        <v>4294</v>
      </c>
      <c r="BT1479" s="54" t="str">
        <f t="shared" si="198"/>
        <v>Marketing</v>
      </c>
    </row>
    <row r="1480" spans="17:72">
      <c r="Q1480" s="19">
        <v>8.08</v>
      </c>
      <c r="R1480" s="56" t="str">
        <f t="shared" si="197"/>
        <v>Yes</v>
      </c>
      <c r="W1480" s="19" t="s">
        <v>125</v>
      </c>
      <c r="X1480" s="54" t="str">
        <f>VLOOKUP(W1480,Employees!$A$1:$B$601,2,FALSE)</f>
        <v>Sudhansu Mohapatra</v>
      </c>
      <c r="AW1480" s="54"/>
      <c r="AX1480" s="54"/>
      <c r="BI1480" s="48"/>
      <c r="BJ1480" s="38"/>
      <c r="BK1480" s="38"/>
      <c r="BL1480" s="38"/>
      <c r="BM1480"/>
      <c r="BN1480" s="48"/>
      <c r="BR1480" s="19" t="s">
        <v>125</v>
      </c>
      <c r="BS1480" s="19" t="s">
        <v>4295</v>
      </c>
      <c r="BT1480" s="54" t="str">
        <f t="shared" si="198"/>
        <v>Marketing</v>
      </c>
    </row>
    <row r="1481" spans="17:72">
      <c r="Q1481" s="18">
        <v>7.48</v>
      </c>
      <c r="R1481" s="56" t="str">
        <f t="shared" si="197"/>
        <v>Yes</v>
      </c>
      <c r="W1481" s="18" t="s">
        <v>125</v>
      </c>
      <c r="X1481" s="54" t="str">
        <f>VLOOKUP(W1481,Employees!$A$1:$B$601,2,FALSE)</f>
        <v>Sudhansu Mohapatra</v>
      </c>
      <c r="AW1481" s="54"/>
      <c r="AX1481" s="54"/>
      <c r="BI1481" s="48"/>
      <c r="BJ1481" s="38"/>
      <c r="BK1481" s="38"/>
      <c r="BL1481" s="38"/>
      <c r="BM1481"/>
      <c r="BN1481" s="48"/>
      <c r="BR1481" s="18" t="s">
        <v>125</v>
      </c>
      <c r="BS1481" s="18" t="s">
        <v>4296</v>
      </c>
      <c r="BT1481" s="54" t="str">
        <f t="shared" si="198"/>
        <v>Marketing</v>
      </c>
    </row>
    <row r="1482" spans="17:72">
      <c r="Q1482" s="19">
        <v>6.7</v>
      </c>
      <c r="R1482" s="56" t="str">
        <f t="shared" si="197"/>
        <v>Yes</v>
      </c>
      <c r="W1482" s="19" t="s">
        <v>125</v>
      </c>
      <c r="X1482" s="54" t="str">
        <f>VLOOKUP(W1482,Employees!$A$1:$B$601,2,FALSE)</f>
        <v>Sudhansu Mohapatra</v>
      </c>
      <c r="AW1482" s="54"/>
      <c r="AX1482" s="54"/>
      <c r="BI1482" s="48"/>
      <c r="BJ1482" s="38"/>
      <c r="BK1482" s="38"/>
      <c r="BL1482" s="38"/>
      <c r="BM1482"/>
      <c r="BN1482" s="48"/>
      <c r="BR1482" s="19" t="s">
        <v>125</v>
      </c>
      <c r="BS1482" s="19" t="s">
        <v>4297</v>
      </c>
      <c r="BT1482" s="54" t="str">
        <f t="shared" si="198"/>
        <v>Marketing</v>
      </c>
    </row>
    <row r="1483" spans="17:72">
      <c r="Q1483" s="18">
        <v>7.79</v>
      </c>
      <c r="R1483" s="56" t="str">
        <f t="shared" si="197"/>
        <v>Yes</v>
      </c>
      <c r="W1483" s="18" t="s">
        <v>125</v>
      </c>
      <c r="X1483" s="54" t="str">
        <f>VLOOKUP(W1483,Employees!$A$1:$B$601,2,FALSE)</f>
        <v>Sudhansu Mohapatra</v>
      </c>
      <c r="AW1483" s="54"/>
      <c r="AX1483" s="54"/>
      <c r="BI1483" s="48"/>
      <c r="BJ1483" s="38"/>
      <c r="BK1483" s="38"/>
      <c r="BL1483" s="38"/>
      <c r="BM1483"/>
      <c r="BN1483" s="48"/>
      <c r="BR1483" s="18" t="s">
        <v>125</v>
      </c>
      <c r="BS1483" s="18" t="s">
        <v>4298</v>
      </c>
      <c r="BT1483" s="54" t="str">
        <f t="shared" si="198"/>
        <v>Marketing</v>
      </c>
    </row>
    <row r="1484" spans="17:72">
      <c r="Q1484" s="19">
        <v>6.93</v>
      </c>
      <c r="R1484" s="56" t="str">
        <f t="shared" si="197"/>
        <v>Yes</v>
      </c>
      <c r="W1484" s="19" t="s">
        <v>125</v>
      </c>
      <c r="X1484" s="54" t="str">
        <f>VLOOKUP(W1484,Employees!$A$1:$B$601,2,FALSE)</f>
        <v>Sudhansu Mohapatra</v>
      </c>
      <c r="AW1484" s="54"/>
      <c r="AX1484" s="54"/>
      <c r="BI1484" s="48"/>
      <c r="BJ1484" s="38"/>
      <c r="BK1484" s="38"/>
      <c r="BL1484" s="38"/>
      <c r="BM1484"/>
      <c r="BN1484" s="48"/>
      <c r="BR1484" s="19" t="s">
        <v>125</v>
      </c>
      <c r="BS1484" s="19" t="s">
        <v>4299</v>
      </c>
      <c r="BT1484" s="54" t="str">
        <f t="shared" si="198"/>
        <v>Marketing</v>
      </c>
    </row>
    <row r="1485" spans="17:72">
      <c r="Q1485" s="18">
        <v>7.36</v>
      </c>
      <c r="R1485" s="56" t="str">
        <f t="shared" si="197"/>
        <v>Yes</v>
      </c>
      <c r="W1485" s="18" t="s">
        <v>125</v>
      </c>
      <c r="X1485" s="54" t="str">
        <f>VLOOKUP(W1485,Employees!$A$1:$B$601,2,FALSE)</f>
        <v>Sudhansu Mohapatra</v>
      </c>
      <c r="AW1485" s="54"/>
      <c r="AX1485" s="54"/>
      <c r="BI1485" s="48"/>
      <c r="BJ1485" s="38"/>
      <c r="BK1485" s="38"/>
      <c r="BL1485" s="38"/>
      <c r="BM1485"/>
      <c r="BN1485" s="48"/>
      <c r="BR1485" s="18" t="s">
        <v>125</v>
      </c>
      <c r="BS1485" s="18" t="s">
        <v>4300</v>
      </c>
      <c r="BT1485" s="54" t="str">
        <f t="shared" si="198"/>
        <v>Marketing</v>
      </c>
    </row>
    <row r="1486" spans="17:72">
      <c r="Q1486" s="19">
        <v>8.86</v>
      </c>
      <c r="R1486" s="56" t="str">
        <f t="shared" si="197"/>
        <v>Yes</v>
      </c>
      <c r="W1486" s="19" t="s">
        <v>125</v>
      </c>
      <c r="X1486" s="54" t="str">
        <f>VLOOKUP(W1486,Employees!$A$1:$B$601,2,FALSE)</f>
        <v>Sudhansu Mohapatra</v>
      </c>
      <c r="AW1486" s="54"/>
      <c r="AX1486" s="54"/>
      <c r="BI1486" s="48"/>
      <c r="BJ1486" s="38"/>
      <c r="BK1486" s="38"/>
      <c r="BL1486" s="38"/>
      <c r="BM1486"/>
      <c r="BN1486" s="48"/>
      <c r="BR1486" s="19" t="s">
        <v>125</v>
      </c>
      <c r="BS1486" s="19" t="s">
        <v>4301</v>
      </c>
      <c r="BT1486" s="54" t="str">
        <f t="shared" si="198"/>
        <v>Marketing</v>
      </c>
    </row>
    <row r="1487" spans="17:72">
      <c r="Q1487" s="18">
        <v>7.29</v>
      </c>
      <c r="R1487" s="56" t="str">
        <f t="shared" si="197"/>
        <v>Yes</v>
      </c>
      <c r="W1487" s="18" t="s">
        <v>125</v>
      </c>
      <c r="X1487" s="54" t="str">
        <f>VLOOKUP(W1487,Employees!$A$1:$B$601,2,FALSE)</f>
        <v>Sudhansu Mohapatra</v>
      </c>
      <c r="AW1487" s="54"/>
      <c r="AX1487" s="54"/>
      <c r="BI1487" s="48"/>
      <c r="BJ1487" s="38"/>
      <c r="BK1487" s="38"/>
      <c r="BL1487" s="38"/>
      <c r="BM1487"/>
      <c r="BN1487" s="48"/>
      <c r="BR1487" s="18" t="s">
        <v>125</v>
      </c>
      <c r="BS1487" s="18" t="s">
        <v>4303</v>
      </c>
      <c r="BT1487" s="54" t="str">
        <f t="shared" si="198"/>
        <v>Marketing</v>
      </c>
    </row>
    <row r="1488" spans="17:72">
      <c r="Q1488" s="19">
        <v>10.79</v>
      </c>
      <c r="R1488" s="56" t="str">
        <f t="shared" si="197"/>
        <v>Yes</v>
      </c>
      <c r="W1488" s="19" t="s">
        <v>125</v>
      </c>
      <c r="X1488" s="54" t="str">
        <f>VLOOKUP(W1488,Employees!$A$1:$B$601,2,FALSE)</f>
        <v>Sudhansu Mohapatra</v>
      </c>
      <c r="AW1488" s="54"/>
      <c r="AX1488" s="54"/>
      <c r="BI1488" s="48"/>
      <c r="BJ1488" s="38"/>
      <c r="BK1488" s="38"/>
      <c r="BL1488" s="38"/>
      <c r="BM1488"/>
      <c r="BN1488" s="48"/>
      <c r="BR1488" s="19" t="s">
        <v>125</v>
      </c>
      <c r="BS1488" s="19" t="s">
        <v>4304</v>
      </c>
      <c r="BT1488" s="54" t="str">
        <f t="shared" si="198"/>
        <v>Marketing</v>
      </c>
    </row>
    <row r="1489" spans="17:72">
      <c r="Q1489" s="18">
        <v>10.59</v>
      </c>
      <c r="R1489" s="56" t="str">
        <f t="shared" si="197"/>
        <v>Yes</v>
      </c>
      <c r="W1489" s="18" t="s">
        <v>125</v>
      </c>
      <c r="X1489" s="54" t="str">
        <f>VLOOKUP(W1489,Employees!$A$1:$B$601,2,FALSE)</f>
        <v>Sudhansu Mohapatra</v>
      </c>
      <c r="AW1489" s="54"/>
      <c r="AX1489" s="54"/>
      <c r="BI1489" s="48"/>
      <c r="BJ1489" s="38"/>
      <c r="BK1489" s="38"/>
      <c r="BL1489" s="38"/>
      <c r="BM1489"/>
      <c r="BN1489" s="48"/>
      <c r="BR1489" s="18" t="s">
        <v>125</v>
      </c>
      <c r="BS1489" s="18" t="s">
        <v>4305</v>
      </c>
      <c r="BT1489" s="54" t="str">
        <f t="shared" si="198"/>
        <v>Marketing</v>
      </c>
    </row>
    <row r="1490" spans="17:72">
      <c r="Q1490" s="19">
        <v>9.26</v>
      </c>
      <c r="R1490" s="56" t="str">
        <f t="shared" si="197"/>
        <v>Yes</v>
      </c>
      <c r="W1490" s="19" t="s">
        <v>125</v>
      </c>
      <c r="X1490" s="54" t="str">
        <f>VLOOKUP(W1490,Employees!$A$1:$B$601,2,FALSE)</f>
        <v>Sudhansu Mohapatra</v>
      </c>
      <c r="AW1490" s="54"/>
      <c r="AX1490" s="54"/>
      <c r="BI1490" s="48"/>
      <c r="BJ1490" s="38"/>
      <c r="BK1490" s="38"/>
      <c r="BL1490" s="38"/>
      <c r="BM1490"/>
      <c r="BN1490" s="48"/>
      <c r="BR1490" s="19" t="s">
        <v>125</v>
      </c>
      <c r="BS1490" s="19" t="s">
        <v>4307</v>
      </c>
      <c r="BT1490" s="54" t="str">
        <f t="shared" si="198"/>
        <v>Marketing</v>
      </c>
    </row>
    <row r="1491" spans="17:72">
      <c r="Q1491" s="18">
        <v>10.81</v>
      </c>
      <c r="R1491" s="56" t="str">
        <f t="shared" si="197"/>
        <v>Yes</v>
      </c>
      <c r="W1491" s="18" t="s">
        <v>125</v>
      </c>
      <c r="X1491" s="54" t="str">
        <f>VLOOKUP(W1491,Employees!$A$1:$B$601,2,FALSE)</f>
        <v>Sudhansu Mohapatra</v>
      </c>
      <c r="AW1491" s="54"/>
      <c r="AX1491" s="54"/>
      <c r="BI1491" s="48"/>
      <c r="BJ1491" s="38"/>
      <c r="BK1491" s="38"/>
      <c r="BL1491" s="38"/>
      <c r="BM1491"/>
      <c r="BN1491" s="48"/>
      <c r="BR1491" s="18" t="s">
        <v>125</v>
      </c>
      <c r="BS1491" s="18" t="s">
        <v>4308</v>
      </c>
      <c r="BT1491" s="54" t="str">
        <f t="shared" si="198"/>
        <v>Marketing</v>
      </c>
    </row>
    <row r="1492" spans="17:72">
      <c r="Q1492" s="19">
        <v>9.0500000000000007</v>
      </c>
      <c r="R1492" s="56" t="str">
        <f t="shared" si="197"/>
        <v>Yes</v>
      </c>
      <c r="W1492" s="19" t="s">
        <v>125</v>
      </c>
      <c r="X1492" s="54" t="str">
        <f>VLOOKUP(W1492,Employees!$A$1:$B$601,2,FALSE)</f>
        <v>Sudhansu Mohapatra</v>
      </c>
      <c r="AW1492" s="54"/>
      <c r="AX1492" s="54"/>
      <c r="BI1492" s="48"/>
      <c r="BJ1492" s="38"/>
      <c r="BK1492" s="38"/>
      <c r="BL1492" s="38"/>
      <c r="BM1492"/>
      <c r="BN1492" s="48"/>
      <c r="BR1492" s="19" t="s">
        <v>125</v>
      </c>
      <c r="BS1492" s="19" t="s">
        <v>4309</v>
      </c>
      <c r="BT1492" s="54" t="str">
        <f t="shared" si="198"/>
        <v>Marketing</v>
      </c>
    </row>
    <row r="1493" spans="17:72">
      <c r="Q1493" s="18">
        <v>7.69</v>
      </c>
      <c r="R1493" s="56" t="str">
        <f t="shared" si="197"/>
        <v>Yes</v>
      </c>
      <c r="W1493" s="18" t="s">
        <v>125</v>
      </c>
      <c r="X1493" s="54" t="str">
        <f>VLOOKUP(W1493,Employees!$A$1:$B$601,2,FALSE)</f>
        <v>Sudhansu Mohapatra</v>
      </c>
      <c r="AW1493" s="54"/>
      <c r="AX1493" s="54"/>
      <c r="BI1493" s="48"/>
      <c r="BJ1493" s="38"/>
      <c r="BK1493" s="38"/>
      <c r="BL1493" s="38"/>
      <c r="BM1493"/>
      <c r="BN1493" s="48"/>
      <c r="BR1493" s="18" t="s">
        <v>125</v>
      </c>
      <c r="BS1493" s="18" t="s">
        <v>4310</v>
      </c>
      <c r="BT1493" s="54" t="str">
        <f t="shared" si="198"/>
        <v>Marketing</v>
      </c>
    </row>
    <row r="1494" spans="17:72">
      <c r="Q1494" s="19">
        <v>8.32</v>
      </c>
      <c r="R1494" s="56" t="str">
        <f t="shared" si="197"/>
        <v>Yes</v>
      </c>
      <c r="W1494" s="19" t="s">
        <v>125</v>
      </c>
      <c r="X1494" s="54" t="str">
        <f>VLOOKUP(W1494,Employees!$A$1:$B$601,2,FALSE)</f>
        <v>Sudhansu Mohapatra</v>
      </c>
      <c r="AW1494" s="54"/>
      <c r="AX1494" s="54"/>
      <c r="BI1494" s="48"/>
      <c r="BJ1494" s="38"/>
      <c r="BK1494" s="38"/>
      <c r="BL1494" s="38"/>
      <c r="BM1494"/>
      <c r="BN1494" s="48"/>
      <c r="BR1494" s="19" t="s">
        <v>125</v>
      </c>
      <c r="BS1494" s="19" t="s">
        <v>4311</v>
      </c>
      <c r="BT1494" s="54" t="str">
        <f t="shared" si="198"/>
        <v>Marketing</v>
      </c>
    </row>
    <row r="1495" spans="17:72">
      <c r="Q1495" s="18">
        <v>7.11</v>
      </c>
      <c r="R1495" s="56" t="str">
        <f t="shared" si="197"/>
        <v>Yes</v>
      </c>
      <c r="W1495" s="18" t="s">
        <v>125</v>
      </c>
      <c r="X1495" s="54" t="str">
        <f>VLOOKUP(W1495,Employees!$A$1:$B$601,2,FALSE)</f>
        <v>Sudhansu Mohapatra</v>
      </c>
      <c r="AW1495" s="54"/>
      <c r="AX1495" s="54"/>
      <c r="BI1495" s="48"/>
      <c r="BJ1495" s="38"/>
      <c r="BK1495" s="38"/>
      <c r="BL1495" s="38"/>
      <c r="BM1495"/>
      <c r="BN1495" s="48"/>
      <c r="BR1495" s="18" t="s">
        <v>125</v>
      </c>
      <c r="BS1495" s="18" t="s">
        <v>4312</v>
      </c>
      <c r="BT1495" s="54" t="str">
        <f t="shared" si="198"/>
        <v>Marketing</v>
      </c>
    </row>
    <row r="1496" spans="17:72">
      <c r="Q1496" s="19">
        <v>8.86</v>
      </c>
      <c r="R1496" s="56" t="str">
        <f t="shared" si="197"/>
        <v>Yes</v>
      </c>
      <c r="W1496" s="19" t="s">
        <v>125</v>
      </c>
      <c r="X1496" s="54" t="str">
        <f>VLOOKUP(W1496,Employees!$A$1:$B$601,2,FALSE)</f>
        <v>Sudhansu Mohapatra</v>
      </c>
      <c r="AW1496" s="54"/>
      <c r="AX1496" s="54"/>
      <c r="BI1496" s="48"/>
      <c r="BJ1496" s="38"/>
      <c r="BK1496" s="38"/>
      <c r="BL1496" s="38"/>
      <c r="BM1496"/>
      <c r="BN1496" s="48"/>
      <c r="BR1496" s="19" t="s">
        <v>125</v>
      </c>
      <c r="BS1496" s="19" t="s">
        <v>4313</v>
      </c>
      <c r="BT1496" s="54" t="str">
        <f t="shared" si="198"/>
        <v>Marketing</v>
      </c>
    </row>
    <row r="1497" spans="17:72">
      <c r="Q1497" s="18">
        <v>7.74</v>
      </c>
      <c r="R1497" s="56" t="str">
        <f t="shared" si="197"/>
        <v>Yes</v>
      </c>
      <c r="W1497" s="18" t="s">
        <v>125</v>
      </c>
      <c r="X1497" s="54" t="str">
        <f>VLOOKUP(W1497,Employees!$A$1:$B$601,2,FALSE)</f>
        <v>Sudhansu Mohapatra</v>
      </c>
      <c r="AW1497" s="54"/>
      <c r="AX1497" s="54"/>
      <c r="BI1497" s="48"/>
      <c r="BJ1497" s="38"/>
      <c r="BK1497" s="38"/>
      <c r="BL1497" s="38"/>
      <c r="BM1497"/>
      <c r="BN1497" s="48"/>
      <c r="BR1497" s="18" t="s">
        <v>125</v>
      </c>
      <c r="BS1497" s="18" t="s">
        <v>4314</v>
      </c>
      <c r="BT1497" s="54" t="str">
        <f t="shared" si="198"/>
        <v>Marketing</v>
      </c>
    </row>
    <row r="1498" spans="17:72">
      <c r="Q1498" s="19">
        <v>8.26</v>
      </c>
      <c r="R1498" s="56" t="str">
        <f t="shared" si="197"/>
        <v>Yes</v>
      </c>
      <c r="W1498" s="19" t="s">
        <v>125</v>
      </c>
      <c r="X1498" s="54" t="str">
        <f>VLOOKUP(W1498,Employees!$A$1:$B$601,2,FALSE)</f>
        <v>Sudhansu Mohapatra</v>
      </c>
      <c r="AW1498" s="54"/>
      <c r="AX1498" s="54"/>
      <c r="BI1498" s="48"/>
      <c r="BJ1498" s="38"/>
      <c r="BK1498" s="38"/>
      <c r="BL1498" s="38"/>
      <c r="BM1498"/>
      <c r="BN1498" s="48"/>
      <c r="BR1498" s="19" t="s">
        <v>125</v>
      </c>
      <c r="BS1498" s="19" t="s">
        <v>4315</v>
      </c>
      <c r="BT1498" s="54" t="str">
        <f t="shared" si="198"/>
        <v>Marketing</v>
      </c>
    </row>
    <row r="1499" spans="17:72">
      <c r="Q1499" s="18">
        <v>7.19</v>
      </c>
      <c r="R1499" s="56" t="str">
        <f t="shared" si="197"/>
        <v>Yes</v>
      </c>
      <c r="W1499" s="18" t="s">
        <v>125</v>
      </c>
      <c r="X1499" s="54" t="str">
        <f>VLOOKUP(W1499,Employees!$A$1:$B$601,2,FALSE)</f>
        <v>Sudhansu Mohapatra</v>
      </c>
      <c r="AW1499" s="54"/>
      <c r="AX1499" s="54"/>
      <c r="BI1499" s="48"/>
      <c r="BJ1499" s="38"/>
      <c r="BK1499" s="38"/>
      <c r="BL1499" s="38"/>
      <c r="BM1499"/>
      <c r="BN1499" s="48"/>
      <c r="BR1499" s="18" t="s">
        <v>125</v>
      </c>
      <c r="BS1499" s="18" t="s">
        <v>4316</v>
      </c>
      <c r="BT1499" s="54" t="str">
        <f t="shared" si="198"/>
        <v>Marketing</v>
      </c>
    </row>
    <row r="1500" spans="17:72">
      <c r="Q1500" s="19">
        <v>10.36</v>
      </c>
      <c r="R1500" s="56" t="str">
        <f t="shared" si="197"/>
        <v>Yes</v>
      </c>
      <c r="W1500" s="19" t="s">
        <v>125</v>
      </c>
      <c r="X1500" s="54" t="str">
        <f>VLOOKUP(W1500,Employees!$A$1:$B$601,2,FALSE)</f>
        <v>Sudhansu Mohapatra</v>
      </c>
      <c r="AW1500" s="54"/>
      <c r="AX1500" s="54"/>
      <c r="BI1500" s="48"/>
      <c r="BJ1500" s="38"/>
      <c r="BK1500" s="38"/>
      <c r="BL1500" s="38"/>
      <c r="BM1500"/>
      <c r="BN1500" s="48"/>
      <c r="BR1500" s="19" t="s">
        <v>125</v>
      </c>
      <c r="BS1500" s="19" t="s">
        <v>4317</v>
      </c>
      <c r="BT1500" s="54" t="str">
        <f t="shared" si="198"/>
        <v>Marketing</v>
      </c>
    </row>
    <row r="1501" spans="17:72">
      <c r="Q1501" s="18">
        <v>9.83</v>
      </c>
      <c r="R1501" s="56" t="str">
        <f t="shared" si="197"/>
        <v>Yes</v>
      </c>
      <c r="W1501" s="18" t="s">
        <v>125</v>
      </c>
      <c r="X1501" s="54" t="str">
        <f>VLOOKUP(W1501,Employees!$A$1:$B$601,2,FALSE)</f>
        <v>Sudhansu Mohapatra</v>
      </c>
      <c r="AW1501" s="54"/>
      <c r="AX1501" s="54"/>
      <c r="BI1501" s="48"/>
      <c r="BJ1501" s="38"/>
      <c r="BK1501" s="38"/>
      <c r="BL1501" s="38"/>
      <c r="BM1501"/>
      <c r="BN1501" s="48"/>
      <c r="BR1501" s="18" t="s">
        <v>125</v>
      </c>
      <c r="BS1501" s="18" t="s">
        <v>4318</v>
      </c>
      <c r="BT1501" s="54" t="str">
        <f t="shared" si="198"/>
        <v>Marketing</v>
      </c>
    </row>
    <row r="1502" spans="17:72">
      <c r="Q1502" s="19">
        <v>9.83</v>
      </c>
      <c r="R1502" s="56" t="str">
        <f t="shared" si="197"/>
        <v>Yes</v>
      </c>
      <c r="W1502" s="19" t="s">
        <v>125</v>
      </c>
      <c r="X1502" s="54" t="str">
        <f>VLOOKUP(W1502,Employees!$A$1:$B$601,2,FALSE)</f>
        <v>Sudhansu Mohapatra</v>
      </c>
      <c r="AW1502" s="54"/>
      <c r="AX1502" s="54"/>
      <c r="BI1502" s="48"/>
      <c r="BJ1502" s="38"/>
      <c r="BK1502" s="38"/>
      <c r="BL1502" s="38"/>
      <c r="BM1502"/>
      <c r="BN1502" s="48"/>
      <c r="BR1502" s="19" t="s">
        <v>125</v>
      </c>
      <c r="BS1502" s="19" t="s">
        <v>4319</v>
      </c>
      <c r="BT1502" s="54" t="str">
        <f t="shared" si="198"/>
        <v>Marketing</v>
      </c>
    </row>
    <row r="1503" spans="17:72">
      <c r="Q1503" s="18">
        <v>8.43</v>
      </c>
      <c r="R1503" s="56" t="str">
        <f t="shared" si="197"/>
        <v>Yes</v>
      </c>
      <c r="W1503" s="18" t="s">
        <v>125</v>
      </c>
      <c r="X1503" s="54" t="str">
        <f>VLOOKUP(W1503,Employees!$A$1:$B$601,2,FALSE)</f>
        <v>Sudhansu Mohapatra</v>
      </c>
      <c r="AW1503" s="54"/>
      <c r="AX1503" s="54"/>
      <c r="BI1503" s="48"/>
      <c r="BJ1503" s="38"/>
      <c r="BK1503" s="38"/>
      <c r="BL1503" s="38"/>
      <c r="BM1503"/>
      <c r="BN1503" s="48"/>
      <c r="BR1503" s="18" t="s">
        <v>125</v>
      </c>
      <c r="BS1503" s="18" t="s">
        <v>4320</v>
      </c>
      <c r="BT1503" s="54" t="str">
        <f t="shared" si="198"/>
        <v>Marketing</v>
      </c>
    </row>
    <row r="1504" spans="17:72">
      <c r="Q1504" s="19">
        <v>7.15</v>
      </c>
      <c r="R1504" s="56" t="str">
        <f t="shared" si="197"/>
        <v>Yes</v>
      </c>
      <c r="W1504" s="19" t="s">
        <v>125</v>
      </c>
      <c r="X1504" s="54" t="str">
        <f>VLOOKUP(W1504,Employees!$A$1:$B$601,2,FALSE)</f>
        <v>Sudhansu Mohapatra</v>
      </c>
      <c r="AW1504" s="54"/>
      <c r="AX1504" s="54"/>
      <c r="BI1504" s="48"/>
      <c r="BJ1504" s="38"/>
      <c r="BK1504" s="38"/>
      <c r="BL1504" s="38"/>
      <c r="BM1504"/>
      <c r="BN1504" s="48"/>
      <c r="BR1504" s="19" t="s">
        <v>125</v>
      </c>
      <c r="BS1504" s="19" t="s">
        <v>4321</v>
      </c>
      <c r="BT1504" s="54" t="str">
        <f t="shared" si="198"/>
        <v>Marketing</v>
      </c>
    </row>
    <row r="1505" spans="17:72">
      <c r="Q1505" s="18">
        <v>7.92</v>
      </c>
      <c r="R1505" s="56" t="str">
        <f t="shared" si="197"/>
        <v>Yes</v>
      </c>
      <c r="W1505" s="18" t="s">
        <v>125</v>
      </c>
      <c r="X1505" s="54" t="str">
        <f>VLOOKUP(W1505,Employees!$A$1:$B$601,2,FALSE)</f>
        <v>Sudhansu Mohapatra</v>
      </c>
      <c r="AW1505" s="54"/>
      <c r="AX1505" s="54"/>
      <c r="BI1505" s="48"/>
      <c r="BJ1505" s="38"/>
      <c r="BK1505" s="38"/>
      <c r="BL1505" s="38"/>
      <c r="BM1505"/>
      <c r="BN1505" s="48"/>
      <c r="BR1505" s="18" t="s">
        <v>125</v>
      </c>
      <c r="BS1505" s="18" t="s">
        <v>4322</v>
      </c>
      <c r="BT1505" s="54" t="str">
        <f t="shared" si="198"/>
        <v>Marketing</v>
      </c>
    </row>
    <row r="1506" spans="17:72">
      <c r="Q1506" s="19">
        <v>11.03</v>
      </c>
      <c r="R1506" s="56" t="str">
        <f t="shared" si="197"/>
        <v>Yes</v>
      </c>
      <c r="W1506" s="19" t="s">
        <v>125</v>
      </c>
      <c r="X1506" s="54" t="str">
        <f>VLOOKUP(W1506,Employees!$A$1:$B$601,2,FALSE)</f>
        <v>Sudhansu Mohapatra</v>
      </c>
      <c r="AW1506" s="54"/>
      <c r="AX1506" s="54"/>
      <c r="BI1506" s="48"/>
      <c r="BJ1506" s="38"/>
      <c r="BK1506" s="38"/>
      <c r="BL1506" s="38"/>
      <c r="BM1506"/>
      <c r="BN1506" s="48"/>
      <c r="BR1506" s="19" t="s">
        <v>125</v>
      </c>
      <c r="BS1506" s="19" t="s">
        <v>4323</v>
      </c>
      <c r="BT1506" s="54" t="str">
        <f t="shared" si="198"/>
        <v>Marketing</v>
      </c>
    </row>
    <row r="1507" spans="17:72">
      <c r="Q1507" s="18">
        <v>10.85</v>
      </c>
      <c r="R1507" s="56" t="str">
        <f t="shared" si="197"/>
        <v>Yes</v>
      </c>
      <c r="W1507" s="18" t="s">
        <v>1552</v>
      </c>
      <c r="X1507" s="54" t="str">
        <f>VLOOKUP(W1507,Employees!$A$1:$B$601,2,FALSE)</f>
        <v>Ipsita Dhal</v>
      </c>
      <c r="AW1507" s="54"/>
      <c r="AX1507" s="54"/>
      <c r="BI1507" s="48"/>
      <c r="BJ1507" s="38"/>
      <c r="BK1507" s="38"/>
      <c r="BL1507" s="38"/>
      <c r="BM1507"/>
      <c r="BN1507" s="48"/>
      <c r="BR1507" s="18" t="s">
        <v>1552</v>
      </c>
      <c r="BS1507" s="18" t="s">
        <v>4324</v>
      </c>
      <c r="BT1507" s="54" t="str">
        <f t="shared" si="198"/>
        <v>HR</v>
      </c>
    </row>
    <row r="1508" spans="17:72">
      <c r="Q1508" s="19">
        <v>7.76</v>
      </c>
      <c r="R1508" s="56" t="str">
        <f t="shared" si="197"/>
        <v>Yes</v>
      </c>
      <c r="W1508" s="19" t="s">
        <v>1552</v>
      </c>
      <c r="X1508" s="54" t="str">
        <f>VLOOKUP(W1508,Employees!$A$1:$B$601,2,FALSE)</f>
        <v>Ipsita Dhal</v>
      </c>
      <c r="AW1508" s="54"/>
      <c r="AX1508" s="54"/>
      <c r="BI1508" s="48"/>
      <c r="BJ1508" s="38"/>
      <c r="BK1508" s="38"/>
      <c r="BL1508" s="38"/>
      <c r="BM1508"/>
      <c r="BN1508" s="48"/>
      <c r="BR1508" s="19" t="s">
        <v>1552</v>
      </c>
      <c r="BS1508" s="19" t="s">
        <v>4325</v>
      </c>
      <c r="BT1508" s="54" t="str">
        <f t="shared" si="198"/>
        <v>HR</v>
      </c>
    </row>
    <row r="1509" spans="17:72">
      <c r="Q1509" s="18">
        <v>8.93</v>
      </c>
      <c r="R1509" s="56" t="str">
        <f t="shared" si="197"/>
        <v>Yes</v>
      </c>
      <c r="W1509" s="18" t="s">
        <v>1552</v>
      </c>
      <c r="X1509" s="54" t="str">
        <f>VLOOKUP(W1509,Employees!$A$1:$B$601,2,FALSE)</f>
        <v>Ipsita Dhal</v>
      </c>
      <c r="AW1509" s="54"/>
      <c r="AX1509" s="54"/>
      <c r="BI1509" s="48"/>
      <c r="BJ1509" s="38"/>
      <c r="BK1509" s="38"/>
      <c r="BL1509" s="38"/>
      <c r="BM1509"/>
      <c r="BN1509" s="48"/>
      <c r="BR1509" s="18" t="s">
        <v>1552</v>
      </c>
      <c r="BS1509" s="18" t="s">
        <v>4326</v>
      </c>
      <c r="BT1509" s="54" t="str">
        <f t="shared" si="198"/>
        <v>HR</v>
      </c>
    </row>
    <row r="1510" spans="17:72">
      <c r="Q1510" s="19">
        <v>8.83</v>
      </c>
      <c r="R1510" s="56" t="str">
        <f t="shared" si="197"/>
        <v>Yes</v>
      </c>
      <c r="W1510" s="19" t="s">
        <v>1552</v>
      </c>
      <c r="X1510" s="54" t="str">
        <f>VLOOKUP(W1510,Employees!$A$1:$B$601,2,FALSE)</f>
        <v>Ipsita Dhal</v>
      </c>
      <c r="AW1510" s="54"/>
      <c r="AX1510" s="54"/>
      <c r="BI1510" s="48"/>
      <c r="BJ1510" s="38"/>
      <c r="BK1510" s="38"/>
      <c r="BL1510" s="38"/>
      <c r="BM1510"/>
      <c r="BN1510" s="48"/>
      <c r="BR1510" s="19" t="s">
        <v>1552</v>
      </c>
      <c r="BS1510" s="19" t="s">
        <v>4327</v>
      </c>
      <c r="BT1510" s="54" t="str">
        <f t="shared" si="198"/>
        <v>HR</v>
      </c>
    </row>
    <row r="1511" spans="17:72">
      <c r="Q1511" s="18">
        <v>6.89</v>
      </c>
      <c r="R1511" s="56" t="str">
        <f t="shared" si="197"/>
        <v>Yes</v>
      </c>
      <c r="W1511" s="18" t="s">
        <v>1552</v>
      </c>
      <c r="X1511" s="54" t="str">
        <f>VLOOKUP(W1511,Employees!$A$1:$B$601,2,FALSE)</f>
        <v>Ipsita Dhal</v>
      </c>
      <c r="AW1511" s="54"/>
      <c r="AX1511" s="54"/>
      <c r="BI1511" s="48"/>
      <c r="BJ1511" s="38"/>
      <c r="BK1511" s="38"/>
      <c r="BL1511" s="38"/>
      <c r="BM1511"/>
      <c r="BN1511" s="48"/>
      <c r="BR1511" s="18" t="s">
        <v>1552</v>
      </c>
      <c r="BS1511" s="18" t="s">
        <v>4328</v>
      </c>
      <c r="BT1511" s="54" t="str">
        <f t="shared" si="198"/>
        <v>HR</v>
      </c>
    </row>
    <row r="1512" spans="17:72">
      <c r="Q1512" s="19">
        <v>8.43</v>
      </c>
      <c r="R1512" s="56" t="str">
        <f t="shared" si="197"/>
        <v>Yes</v>
      </c>
      <c r="W1512" s="19" t="s">
        <v>1552</v>
      </c>
      <c r="X1512" s="54" t="str">
        <f>VLOOKUP(W1512,Employees!$A$1:$B$601,2,FALSE)</f>
        <v>Ipsita Dhal</v>
      </c>
      <c r="AW1512" s="54"/>
      <c r="AX1512" s="54"/>
      <c r="BI1512" s="48"/>
      <c r="BJ1512" s="38"/>
      <c r="BK1512" s="38"/>
      <c r="BL1512" s="38"/>
      <c r="BM1512"/>
      <c r="BN1512" s="48"/>
      <c r="BR1512" s="19" t="s">
        <v>1552</v>
      </c>
      <c r="BS1512" s="19" t="s">
        <v>4329</v>
      </c>
      <c r="BT1512" s="54" t="str">
        <f t="shared" si="198"/>
        <v>HR</v>
      </c>
    </row>
    <row r="1513" spans="17:72">
      <c r="Q1513" s="18">
        <v>7.73</v>
      </c>
      <c r="R1513" s="56" t="str">
        <f t="shared" si="197"/>
        <v>Yes</v>
      </c>
      <c r="W1513" s="18" t="s">
        <v>1552</v>
      </c>
      <c r="X1513" s="54" t="str">
        <f>VLOOKUP(W1513,Employees!$A$1:$B$601,2,FALSE)</f>
        <v>Ipsita Dhal</v>
      </c>
      <c r="AW1513" s="54"/>
      <c r="AX1513" s="54"/>
      <c r="BI1513" s="48"/>
      <c r="BJ1513" s="38"/>
      <c r="BK1513" s="38"/>
      <c r="BL1513" s="38"/>
      <c r="BM1513"/>
      <c r="BN1513" s="48"/>
      <c r="BR1513" s="18" t="s">
        <v>1552</v>
      </c>
      <c r="BS1513" s="18" t="s">
        <v>4330</v>
      </c>
      <c r="BT1513" s="54" t="str">
        <f t="shared" si="198"/>
        <v>HR</v>
      </c>
    </row>
    <row r="1514" spans="17:72">
      <c r="Q1514" s="19">
        <v>7.66</v>
      </c>
      <c r="R1514" s="56" t="str">
        <f t="shared" si="197"/>
        <v>Yes</v>
      </c>
      <c r="W1514" s="19" t="s">
        <v>1552</v>
      </c>
      <c r="X1514" s="54" t="str">
        <f>VLOOKUP(W1514,Employees!$A$1:$B$601,2,FALSE)</f>
        <v>Ipsita Dhal</v>
      </c>
      <c r="AW1514" s="54"/>
      <c r="AX1514" s="54"/>
      <c r="BI1514" s="48"/>
      <c r="BJ1514" s="38"/>
      <c r="BK1514" s="38"/>
      <c r="BL1514" s="38"/>
      <c r="BM1514"/>
      <c r="BN1514" s="48"/>
      <c r="BR1514" s="19" t="s">
        <v>1552</v>
      </c>
      <c r="BS1514" s="19" t="s">
        <v>4331</v>
      </c>
      <c r="BT1514" s="54" t="str">
        <f t="shared" si="198"/>
        <v>HR</v>
      </c>
    </row>
    <row r="1515" spans="17:72">
      <c r="Q1515" s="18">
        <v>6.53</v>
      </c>
      <c r="R1515" s="56" t="str">
        <f t="shared" si="197"/>
        <v>Yes</v>
      </c>
      <c r="W1515" s="18" t="s">
        <v>1552</v>
      </c>
      <c r="X1515" s="54" t="str">
        <f>VLOOKUP(W1515,Employees!$A$1:$B$601,2,FALSE)</f>
        <v>Ipsita Dhal</v>
      </c>
      <c r="AW1515" s="54"/>
      <c r="AX1515" s="54"/>
      <c r="BI1515" s="48"/>
      <c r="BJ1515" s="38"/>
      <c r="BK1515" s="38"/>
      <c r="BL1515" s="38"/>
      <c r="BM1515"/>
      <c r="BN1515" s="48"/>
      <c r="BR1515" s="18" t="s">
        <v>1552</v>
      </c>
      <c r="BS1515" s="18" t="s">
        <v>4332</v>
      </c>
      <c r="BT1515" s="54" t="str">
        <f t="shared" si="198"/>
        <v>HR</v>
      </c>
    </row>
    <row r="1516" spans="17:72">
      <c r="Q1516" s="19">
        <v>9.2200000000000006</v>
      </c>
      <c r="R1516" s="56" t="str">
        <f t="shared" si="197"/>
        <v>Yes</v>
      </c>
      <c r="W1516" s="19" t="s">
        <v>1552</v>
      </c>
      <c r="X1516" s="54" t="str">
        <f>VLOOKUP(W1516,Employees!$A$1:$B$601,2,FALSE)</f>
        <v>Ipsita Dhal</v>
      </c>
      <c r="AW1516" s="54"/>
      <c r="AX1516" s="54"/>
      <c r="BI1516" s="48"/>
      <c r="BJ1516" s="38"/>
      <c r="BK1516" s="38"/>
      <c r="BL1516" s="38"/>
      <c r="BM1516"/>
      <c r="BN1516" s="48"/>
      <c r="BR1516" s="19" t="s">
        <v>1552</v>
      </c>
      <c r="BS1516" s="19" t="s">
        <v>4333</v>
      </c>
      <c r="BT1516" s="54" t="str">
        <f t="shared" si="198"/>
        <v>HR</v>
      </c>
    </row>
    <row r="1517" spans="17:72">
      <c r="Q1517" s="18"/>
      <c r="R1517" s="56" t="str">
        <f t="shared" si="197"/>
        <v>No</v>
      </c>
      <c r="W1517" s="18" t="s">
        <v>1552</v>
      </c>
      <c r="X1517" s="54" t="str">
        <f>VLOOKUP(W1517,Employees!$A$1:$B$601,2,FALSE)</f>
        <v>Ipsita Dhal</v>
      </c>
      <c r="AW1517" s="54"/>
      <c r="AX1517" s="54"/>
      <c r="BI1517" s="48"/>
      <c r="BJ1517" s="38"/>
      <c r="BK1517" s="38"/>
      <c r="BL1517" s="38"/>
      <c r="BM1517"/>
      <c r="BN1517" s="48"/>
      <c r="BR1517" s="18" t="s">
        <v>1552</v>
      </c>
      <c r="BS1517" s="18" t="s">
        <v>4334</v>
      </c>
      <c r="BT1517" s="54" t="str">
        <f t="shared" si="198"/>
        <v>HR</v>
      </c>
    </row>
    <row r="1518" spans="17:72">
      <c r="Q1518" s="19">
        <v>8.64</v>
      </c>
      <c r="R1518" s="56" t="str">
        <f t="shared" si="197"/>
        <v>Yes</v>
      </c>
      <c r="W1518" s="19" t="s">
        <v>1552</v>
      </c>
      <c r="X1518" s="54" t="str">
        <f>VLOOKUP(W1518,Employees!$A$1:$B$601,2,FALSE)</f>
        <v>Ipsita Dhal</v>
      </c>
      <c r="AW1518" s="54"/>
      <c r="AX1518" s="54"/>
      <c r="BI1518" s="48"/>
      <c r="BJ1518" s="38"/>
      <c r="BK1518" s="38"/>
      <c r="BL1518" s="38"/>
      <c r="BM1518"/>
      <c r="BN1518" s="48"/>
      <c r="BR1518" s="19" t="s">
        <v>1552</v>
      </c>
      <c r="BS1518" s="19" t="s">
        <v>4335</v>
      </c>
      <c r="BT1518" s="54" t="str">
        <f t="shared" si="198"/>
        <v>HR</v>
      </c>
    </row>
    <row r="1519" spans="17:72">
      <c r="Q1519" s="18">
        <v>8.74</v>
      </c>
      <c r="R1519" s="56" t="str">
        <f t="shared" si="197"/>
        <v>Yes</v>
      </c>
      <c r="W1519" s="18" t="s">
        <v>1552</v>
      </c>
      <c r="X1519" s="54" t="str">
        <f>VLOOKUP(W1519,Employees!$A$1:$B$601,2,FALSE)</f>
        <v>Ipsita Dhal</v>
      </c>
      <c r="AW1519" s="54"/>
      <c r="AX1519" s="54"/>
      <c r="BI1519" s="48"/>
      <c r="BJ1519" s="38"/>
      <c r="BK1519" s="38"/>
      <c r="BL1519" s="38"/>
      <c r="BM1519"/>
      <c r="BN1519" s="48"/>
      <c r="BR1519" s="18" t="s">
        <v>1552</v>
      </c>
      <c r="BS1519" s="18" t="s">
        <v>4336</v>
      </c>
      <c r="BT1519" s="54" t="str">
        <f t="shared" si="198"/>
        <v>HR</v>
      </c>
    </row>
    <row r="1520" spans="17:72">
      <c r="Q1520" s="19">
        <v>7.33</v>
      </c>
      <c r="R1520" s="56" t="str">
        <f t="shared" si="197"/>
        <v>Yes</v>
      </c>
      <c r="W1520" s="19" t="s">
        <v>1552</v>
      </c>
      <c r="X1520" s="54" t="str">
        <f>VLOOKUP(W1520,Employees!$A$1:$B$601,2,FALSE)</f>
        <v>Ipsita Dhal</v>
      </c>
      <c r="AW1520" s="54"/>
      <c r="AX1520" s="54"/>
      <c r="BI1520" s="48"/>
      <c r="BJ1520" s="38"/>
      <c r="BK1520" s="38"/>
      <c r="BL1520" s="38"/>
      <c r="BM1520"/>
      <c r="BN1520" s="48"/>
      <c r="BR1520" s="19" t="s">
        <v>1552</v>
      </c>
      <c r="BS1520" s="19" t="s">
        <v>4337</v>
      </c>
      <c r="BT1520" s="54" t="str">
        <f t="shared" si="198"/>
        <v>HR</v>
      </c>
    </row>
    <row r="1521" spans="17:72">
      <c r="Q1521" s="18">
        <v>7.36</v>
      </c>
      <c r="R1521" s="56" t="str">
        <f t="shared" si="197"/>
        <v>Yes</v>
      </c>
      <c r="W1521" s="18" t="s">
        <v>1552</v>
      </c>
      <c r="X1521" s="54" t="str">
        <f>VLOOKUP(W1521,Employees!$A$1:$B$601,2,FALSE)</f>
        <v>Ipsita Dhal</v>
      </c>
      <c r="AW1521" s="54"/>
      <c r="AX1521" s="54"/>
      <c r="BI1521" s="48"/>
      <c r="BJ1521" s="38"/>
      <c r="BK1521" s="38"/>
      <c r="BL1521" s="38"/>
      <c r="BM1521"/>
      <c r="BN1521" s="48"/>
      <c r="BR1521" s="18" t="s">
        <v>1552</v>
      </c>
      <c r="BS1521" s="18" t="s">
        <v>4339</v>
      </c>
      <c r="BT1521" s="54" t="str">
        <f t="shared" si="198"/>
        <v>HR</v>
      </c>
    </row>
    <row r="1522" spans="17:72">
      <c r="Q1522" s="19">
        <v>6.76</v>
      </c>
      <c r="R1522" s="56" t="str">
        <f t="shared" si="197"/>
        <v>Yes</v>
      </c>
      <c r="W1522" s="19" t="s">
        <v>1552</v>
      </c>
      <c r="X1522" s="54" t="str">
        <f>VLOOKUP(W1522,Employees!$A$1:$B$601,2,FALSE)</f>
        <v>Ipsita Dhal</v>
      </c>
      <c r="AW1522" s="54"/>
      <c r="AX1522" s="54"/>
      <c r="BI1522" s="48"/>
      <c r="BJ1522" s="38"/>
      <c r="BK1522" s="38"/>
      <c r="BL1522" s="38"/>
      <c r="BM1522"/>
      <c r="BN1522" s="48"/>
      <c r="BR1522" s="19" t="s">
        <v>1552</v>
      </c>
      <c r="BS1522" s="19" t="s">
        <v>4341</v>
      </c>
      <c r="BT1522" s="54" t="str">
        <f t="shared" si="198"/>
        <v>HR</v>
      </c>
    </row>
    <row r="1523" spans="17:72">
      <c r="Q1523" s="18">
        <v>9.01</v>
      </c>
      <c r="R1523" s="56" t="str">
        <f t="shared" si="197"/>
        <v>Yes</v>
      </c>
      <c r="W1523" s="18" t="s">
        <v>1552</v>
      </c>
      <c r="X1523" s="54" t="str">
        <f>VLOOKUP(W1523,Employees!$A$1:$B$601,2,FALSE)</f>
        <v>Ipsita Dhal</v>
      </c>
      <c r="AW1523" s="54"/>
      <c r="AX1523" s="54"/>
      <c r="BI1523" s="48"/>
      <c r="BJ1523" s="38"/>
      <c r="BK1523" s="38"/>
      <c r="BL1523" s="38"/>
      <c r="BM1523"/>
      <c r="BN1523" s="48"/>
      <c r="BR1523" s="18" t="s">
        <v>1552</v>
      </c>
      <c r="BS1523" s="18" t="s">
        <v>4342</v>
      </c>
      <c r="BT1523" s="54" t="str">
        <f t="shared" si="198"/>
        <v>HR</v>
      </c>
    </row>
    <row r="1524" spans="17:72">
      <c r="Q1524" s="19">
        <v>11.49</v>
      </c>
      <c r="R1524" s="56" t="str">
        <f t="shared" si="197"/>
        <v>Yes</v>
      </c>
      <c r="W1524" s="19" t="s">
        <v>1552</v>
      </c>
      <c r="X1524" s="54" t="str">
        <f>VLOOKUP(W1524,Employees!$A$1:$B$601,2,FALSE)</f>
        <v>Ipsita Dhal</v>
      </c>
      <c r="AW1524" s="54"/>
      <c r="AX1524" s="54"/>
      <c r="BI1524" s="48"/>
      <c r="BJ1524" s="38"/>
      <c r="BK1524" s="38"/>
      <c r="BL1524" s="38"/>
      <c r="BM1524"/>
      <c r="BN1524" s="48"/>
      <c r="BR1524" s="19" t="s">
        <v>1552</v>
      </c>
      <c r="BS1524" s="19" t="s">
        <v>4343</v>
      </c>
      <c r="BT1524" s="54" t="str">
        <f t="shared" si="198"/>
        <v>HR</v>
      </c>
    </row>
    <row r="1525" spans="17:72">
      <c r="Q1525" s="18"/>
      <c r="R1525" s="56" t="str">
        <f t="shared" si="197"/>
        <v>No</v>
      </c>
      <c r="W1525" s="18" t="s">
        <v>1552</v>
      </c>
      <c r="X1525" s="54" t="str">
        <f>VLOOKUP(W1525,Employees!$A$1:$B$601,2,FALSE)</f>
        <v>Ipsita Dhal</v>
      </c>
      <c r="AW1525" s="54"/>
      <c r="AX1525" s="54"/>
      <c r="BI1525" s="48"/>
      <c r="BJ1525" s="38"/>
      <c r="BK1525" s="38"/>
      <c r="BL1525" s="38"/>
      <c r="BM1525"/>
      <c r="BN1525" s="48"/>
      <c r="BR1525" s="18" t="s">
        <v>1552</v>
      </c>
      <c r="BS1525" s="18" t="s">
        <v>4345</v>
      </c>
      <c r="BT1525" s="54" t="str">
        <f t="shared" si="198"/>
        <v>HR</v>
      </c>
    </row>
    <row r="1526" spans="17:72">
      <c r="Q1526" s="19">
        <v>7.8</v>
      </c>
      <c r="R1526" s="56" t="str">
        <f t="shared" si="197"/>
        <v>Yes</v>
      </c>
      <c r="W1526" s="19" t="s">
        <v>1552</v>
      </c>
      <c r="X1526" s="54" t="str">
        <f>VLOOKUP(W1526,Employees!$A$1:$B$601,2,FALSE)</f>
        <v>Ipsita Dhal</v>
      </c>
      <c r="AW1526" s="54"/>
      <c r="AX1526" s="54"/>
      <c r="BI1526" s="48"/>
      <c r="BJ1526" s="38"/>
      <c r="BK1526" s="38"/>
      <c r="BL1526" s="38"/>
      <c r="BM1526"/>
      <c r="BN1526" s="48"/>
      <c r="BR1526" s="19" t="s">
        <v>1552</v>
      </c>
      <c r="BS1526" s="19" t="s">
        <v>4346</v>
      </c>
      <c r="BT1526" s="54" t="str">
        <f t="shared" si="198"/>
        <v>HR</v>
      </c>
    </row>
    <row r="1527" spans="17:72">
      <c r="Q1527" s="18">
        <v>10.39</v>
      </c>
      <c r="R1527" s="56" t="str">
        <f t="shared" si="197"/>
        <v>Yes</v>
      </c>
      <c r="W1527" s="18" t="s">
        <v>1552</v>
      </c>
      <c r="X1527" s="54" t="str">
        <f>VLOOKUP(W1527,Employees!$A$1:$B$601,2,FALSE)</f>
        <v>Ipsita Dhal</v>
      </c>
      <c r="AW1527" s="54"/>
      <c r="AX1527" s="54"/>
      <c r="BI1527" s="48"/>
      <c r="BJ1527" s="38"/>
      <c r="BK1527" s="38"/>
      <c r="BL1527" s="38"/>
      <c r="BM1527"/>
      <c r="BN1527" s="48"/>
      <c r="BR1527" s="18" t="s">
        <v>1552</v>
      </c>
      <c r="BS1527" s="18" t="s">
        <v>4347</v>
      </c>
      <c r="BT1527" s="54" t="str">
        <f t="shared" si="198"/>
        <v>HR</v>
      </c>
    </row>
    <row r="1528" spans="17:72">
      <c r="Q1528" s="19">
        <v>6.93</v>
      </c>
      <c r="R1528" s="56" t="str">
        <f t="shared" si="197"/>
        <v>Yes</v>
      </c>
      <c r="W1528" s="19" t="s">
        <v>1552</v>
      </c>
      <c r="X1528" s="54" t="str">
        <f>VLOOKUP(W1528,Employees!$A$1:$B$601,2,FALSE)</f>
        <v>Ipsita Dhal</v>
      </c>
      <c r="AW1528" s="54"/>
      <c r="AX1528" s="54"/>
      <c r="BI1528" s="48"/>
      <c r="BJ1528" s="38"/>
      <c r="BK1528" s="38"/>
      <c r="BL1528" s="38"/>
      <c r="BM1528"/>
      <c r="BN1528" s="48"/>
      <c r="BR1528" s="19" t="s">
        <v>1552</v>
      </c>
      <c r="BS1528" s="19" t="s">
        <v>4348</v>
      </c>
      <c r="BT1528" s="54" t="str">
        <f t="shared" si="198"/>
        <v>HR</v>
      </c>
    </row>
    <row r="1529" spans="17:72">
      <c r="Q1529" s="18">
        <v>9.31</v>
      </c>
      <c r="R1529" s="56" t="str">
        <f t="shared" si="197"/>
        <v>Yes</v>
      </c>
      <c r="W1529" s="18" t="s">
        <v>1552</v>
      </c>
      <c r="X1529" s="54" t="str">
        <f>VLOOKUP(W1529,Employees!$A$1:$B$601,2,FALSE)</f>
        <v>Ipsita Dhal</v>
      </c>
      <c r="AW1529" s="54"/>
      <c r="AX1529" s="54"/>
      <c r="BI1529" s="48"/>
      <c r="BJ1529" s="38"/>
      <c r="BK1529" s="38"/>
      <c r="BL1529" s="38"/>
      <c r="BM1529"/>
      <c r="BN1529" s="48"/>
      <c r="BR1529" s="18" t="s">
        <v>1552</v>
      </c>
      <c r="BS1529" s="18" t="s">
        <v>4349</v>
      </c>
      <c r="BT1529" s="54" t="str">
        <f t="shared" si="198"/>
        <v>HR</v>
      </c>
    </row>
    <row r="1530" spans="17:72">
      <c r="Q1530" s="19">
        <v>9.35</v>
      </c>
      <c r="R1530" s="56" t="str">
        <f t="shared" si="197"/>
        <v>Yes</v>
      </c>
      <c r="W1530" s="19" t="s">
        <v>1552</v>
      </c>
      <c r="X1530" s="54" t="str">
        <f>VLOOKUP(W1530,Employees!$A$1:$B$601,2,FALSE)</f>
        <v>Ipsita Dhal</v>
      </c>
      <c r="AW1530" s="54"/>
      <c r="AX1530" s="54"/>
      <c r="BI1530" s="48"/>
      <c r="BJ1530" s="38"/>
      <c r="BK1530" s="38"/>
      <c r="BL1530" s="38"/>
      <c r="BM1530"/>
      <c r="BN1530" s="48"/>
      <c r="BR1530" s="19" t="s">
        <v>1552</v>
      </c>
      <c r="BS1530" s="19" t="s">
        <v>4350</v>
      </c>
      <c r="BT1530" s="54" t="str">
        <f t="shared" si="198"/>
        <v>HR</v>
      </c>
    </row>
    <row r="1531" spans="17:72">
      <c r="Q1531" s="18">
        <v>9.84</v>
      </c>
      <c r="R1531" s="56" t="str">
        <f t="shared" si="197"/>
        <v>Yes</v>
      </c>
      <c r="W1531" s="18" t="s">
        <v>1552</v>
      </c>
      <c r="X1531" s="54" t="str">
        <f>VLOOKUP(W1531,Employees!$A$1:$B$601,2,FALSE)</f>
        <v>Ipsita Dhal</v>
      </c>
      <c r="AW1531" s="54"/>
      <c r="AX1531" s="54"/>
      <c r="BI1531" s="48"/>
      <c r="BJ1531" s="38"/>
      <c r="BK1531" s="38"/>
      <c r="BL1531" s="38"/>
      <c r="BM1531"/>
      <c r="BN1531" s="48"/>
      <c r="BR1531" s="18" t="s">
        <v>1552</v>
      </c>
      <c r="BS1531" s="18" t="s">
        <v>4351</v>
      </c>
      <c r="BT1531" s="54" t="str">
        <f t="shared" si="198"/>
        <v>HR</v>
      </c>
    </row>
    <row r="1532" spans="17:72">
      <c r="Q1532" s="19">
        <v>7.35</v>
      </c>
      <c r="R1532" s="56" t="str">
        <f t="shared" si="197"/>
        <v>Yes</v>
      </c>
      <c r="W1532" s="19" t="s">
        <v>1552</v>
      </c>
      <c r="X1532" s="54" t="str">
        <f>VLOOKUP(W1532,Employees!$A$1:$B$601,2,FALSE)</f>
        <v>Ipsita Dhal</v>
      </c>
      <c r="AW1532" s="54"/>
      <c r="AX1532" s="54"/>
      <c r="BI1532" s="48"/>
      <c r="BJ1532" s="38"/>
      <c r="BK1532" s="38"/>
      <c r="BL1532" s="38"/>
      <c r="BM1532"/>
      <c r="BN1532" s="48"/>
      <c r="BR1532" s="19" t="s">
        <v>1552</v>
      </c>
      <c r="BS1532" s="19" t="s">
        <v>4352</v>
      </c>
      <c r="BT1532" s="54" t="str">
        <f t="shared" si="198"/>
        <v>HR</v>
      </c>
    </row>
    <row r="1533" spans="17:72">
      <c r="Q1533" s="18">
        <v>6.66</v>
      </c>
      <c r="R1533" s="56" t="str">
        <f t="shared" si="197"/>
        <v>Yes</v>
      </c>
      <c r="W1533" s="18" t="s">
        <v>1552</v>
      </c>
      <c r="X1533" s="54" t="str">
        <f>VLOOKUP(W1533,Employees!$A$1:$B$601,2,FALSE)</f>
        <v>Ipsita Dhal</v>
      </c>
      <c r="AW1533" s="54"/>
      <c r="AX1533" s="54"/>
      <c r="BI1533" s="48"/>
      <c r="BJ1533" s="38"/>
      <c r="BK1533" s="38"/>
      <c r="BL1533" s="38"/>
      <c r="BM1533"/>
      <c r="BN1533" s="48"/>
      <c r="BR1533" s="18" t="s">
        <v>1552</v>
      </c>
      <c r="BS1533" s="18" t="s">
        <v>4353</v>
      </c>
      <c r="BT1533" s="54" t="str">
        <f t="shared" si="198"/>
        <v>HR</v>
      </c>
    </row>
    <row r="1534" spans="17:72">
      <c r="Q1534" s="19">
        <v>10.43</v>
      </c>
      <c r="R1534" s="56" t="str">
        <f t="shared" si="197"/>
        <v>Yes</v>
      </c>
      <c r="W1534" s="19" t="s">
        <v>1552</v>
      </c>
      <c r="X1534" s="54" t="str">
        <f>VLOOKUP(W1534,Employees!$A$1:$B$601,2,FALSE)</f>
        <v>Ipsita Dhal</v>
      </c>
      <c r="AW1534" s="54"/>
      <c r="AX1534" s="54"/>
      <c r="BI1534" s="48"/>
      <c r="BJ1534" s="38"/>
      <c r="BK1534" s="38"/>
      <c r="BL1534" s="38"/>
      <c r="BM1534"/>
      <c r="BN1534" s="48"/>
      <c r="BR1534" s="19" t="s">
        <v>1552</v>
      </c>
      <c r="BS1534" s="19" t="s">
        <v>4354</v>
      </c>
      <c r="BT1534" s="54" t="str">
        <f t="shared" si="198"/>
        <v>HR</v>
      </c>
    </row>
    <row r="1535" spans="17:72">
      <c r="Q1535" s="18">
        <v>8.41</v>
      </c>
      <c r="R1535" s="56" t="str">
        <f t="shared" si="197"/>
        <v>Yes</v>
      </c>
      <c r="W1535" s="18" t="s">
        <v>1552</v>
      </c>
      <c r="X1535" s="54" t="str">
        <f>VLOOKUP(W1535,Employees!$A$1:$B$601,2,FALSE)</f>
        <v>Ipsita Dhal</v>
      </c>
      <c r="AW1535" s="54"/>
      <c r="AX1535" s="54"/>
      <c r="BI1535" s="48"/>
      <c r="BJ1535" s="38"/>
      <c r="BK1535" s="38"/>
      <c r="BL1535" s="38"/>
      <c r="BM1535"/>
      <c r="BN1535" s="48"/>
      <c r="BR1535" s="18" t="s">
        <v>1552</v>
      </c>
      <c r="BS1535" s="18" t="s">
        <v>4355</v>
      </c>
      <c r="BT1535" s="54" t="str">
        <f t="shared" si="198"/>
        <v>HR</v>
      </c>
    </row>
    <row r="1536" spans="17:72">
      <c r="Q1536" s="19"/>
      <c r="R1536" s="56" t="str">
        <f t="shared" si="197"/>
        <v>No</v>
      </c>
      <c r="W1536" s="19" t="s">
        <v>1552</v>
      </c>
      <c r="X1536" s="54" t="str">
        <f>VLOOKUP(W1536,Employees!$A$1:$B$601,2,FALSE)</f>
        <v>Ipsita Dhal</v>
      </c>
      <c r="AW1536" s="54"/>
      <c r="AX1536" s="54"/>
      <c r="BI1536" s="48"/>
      <c r="BJ1536" s="38"/>
      <c r="BK1536" s="38"/>
      <c r="BL1536" s="38"/>
      <c r="BM1536"/>
      <c r="BN1536" s="48"/>
      <c r="BR1536" s="19" t="s">
        <v>1552</v>
      </c>
      <c r="BS1536" s="19" t="s">
        <v>4356</v>
      </c>
      <c r="BT1536" s="54" t="str">
        <f t="shared" si="198"/>
        <v>HR</v>
      </c>
    </row>
    <row r="1537" spans="17:72">
      <c r="Q1537" s="18">
        <v>9.73</v>
      </c>
      <c r="R1537" s="56" t="str">
        <f t="shared" si="197"/>
        <v>Yes</v>
      </c>
      <c r="W1537" s="18" t="s">
        <v>1552</v>
      </c>
      <c r="X1537" s="54" t="str">
        <f>VLOOKUP(W1537,Employees!$A$1:$B$601,2,FALSE)</f>
        <v>Ipsita Dhal</v>
      </c>
      <c r="AW1537" s="54"/>
      <c r="AX1537" s="54"/>
      <c r="BI1537" s="48"/>
      <c r="BJ1537" s="38"/>
      <c r="BK1537" s="38"/>
      <c r="BL1537" s="38"/>
      <c r="BM1537"/>
      <c r="BN1537" s="48"/>
      <c r="BR1537" s="18" t="s">
        <v>1552</v>
      </c>
      <c r="BS1537" s="18" t="s">
        <v>4357</v>
      </c>
      <c r="BT1537" s="54" t="str">
        <f t="shared" si="198"/>
        <v>HR</v>
      </c>
    </row>
    <row r="1538" spans="17:72">
      <c r="Q1538" s="19">
        <v>9.42</v>
      </c>
      <c r="R1538" s="56" t="str">
        <f t="shared" si="197"/>
        <v>Yes</v>
      </c>
      <c r="W1538" s="19" t="s">
        <v>1552</v>
      </c>
      <c r="X1538" s="54" t="str">
        <f>VLOOKUP(W1538,Employees!$A$1:$B$601,2,FALSE)</f>
        <v>Ipsita Dhal</v>
      </c>
      <c r="AW1538" s="54"/>
      <c r="AX1538" s="54"/>
      <c r="BI1538" s="48"/>
      <c r="BJ1538" s="38"/>
      <c r="BK1538" s="38"/>
      <c r="BL1538" s="38"/>
      <c r="BM1538"/>
      <c r="BN1538" s="48"/>
      <c r="BR1538" s="19" t="s">
        <v>1552</v>
      </c>
      <c r="BS1538" s="19" t="s">
        <v>4358</v>
      </c>
      <c r="BT1538" s="54" t="str">
        <f t="shared" si="198"/>
        <v>HR</v>
      </c>
    </row>
    <row r="1539" spans="17:72">
      <c r="Q1539" s="18">
        <v>7.05</v>
      </c>
      <c r="R1539" s="56" t="str">
        <f t="shared" ref="R1539:R1602" si="199">IF(ISBLANK(Q1539),"No","Yes")</f>
        <v>Yes</v>
      </c>
      <c r="W1539" s="18" t="s">
        <v>1552</v>
      </c>
      <c r="X1539" s="54" t="str">
        <f>VLOOKUP(W1539,Employees!$A$1:$B$601,2,FALSE)</f>
        <v>Ipsita Dhal</v>
      </c>
      <c r="AW1539" s="54"/>
      <c r="AX1539" s="54"/>
      <c r="BI1539" s="48"/>
      <c r="BJ1539" s="38"/>
      <c r="BK1539" s="38"/>
      <c r="BL1539" s="38"/>
      <c r="BM1539"/>
      <c r="BN1539" s="48"/>
      <c r="BR1539" s="18" t="s">
        <v>1552</v>
      </c>
      <c r="BS1539" s="18" t="s">
        <v>4359</v>
      </c>
      <c r="BT1539" s="54" t="str">
        <f t="shared" ref="BT1539:BT1602" si="200">VLOOKUP(BR1539,$BP$2:$BQ$601,2,FALSE)</f>
        <v>HR</v>
      </c>
    </row>
    <row r="1540" spans="17:72">
      <c r="Q1540" s="19">
        <v>8.5299999999999994</v>
      </c>
      <c r="R1540" s="56" t="str">
        <f t="shared" si="199"/>
        <v>Yes</v>
      </c>
      <c r="W1540" s="19" t="s">
        <v>1552</v>
      </c>
      <c r="X1540" s="54" t="str">
        <f>VLOOKUP(W1540,Employees!$A$1:$B$601,2,FALSE)</f>
        <v>Ipsita Dhal</v>
      </c>
      <c r="AW1540" s="54"/>
      <c r="AX1540" s="54"/>
      <c r="BI1540" s="48"/>
      <c r="BJ1540" s="38"/>
      <c r="BK1540" s="38"/>
      <c r="BL1540" s="38"/>
      <c r="BM1540"/>
      <c r="BN1540" s="48"/>
      <c r="BR1540" s="19" t="s">
        <v>1552</v>
      </c>
      <c r="BS1540" s="19" t="s">
        <v>4360</v>
      </c>
      <c r="BT1540" s="54" t="str">
        <f t="shared" si="200"/>
        <v>HR</v>
      </c>
    </row>
    <row r="1541" spans="17:72">
      <c r="Q1541" s="18">
        <v>9.8699999999999992</v>
      </c>
      <c r="R1541" s="56" t="str">
        <f t="shared" si="199"/>
        <v>Yes</v>
      </c>
      <c r="W1541" s="18" t="s">
        <v>1552</v>
      </c>
      <c r="X1541" s="54" t="str">
        <f>VLOOKUP(W1541,Employees!$A$1:$B$601,2,FALSE)</f>
        <v>Ipsita Dhal</v>
      </c>
      <c r="AW1541" s="54"/>
      <c r="AX1541" s="54"/>
      <c r="BI1541" s="48"/>
      <c r="BJ1541" s="38"/>
      <c r="BK1541" s="38"/>
      <c r="BL1541" s="38"/>
      <c r="BM1541"/>
      <c r="BN1541" s="48"/>
      <c r="BR1541" s="18" t="s">
        <v>1552</v>
      </c>
      <c r="BS1541" s="18" t="s">
        <v>4362</v>
      </c>
      <c r="BT1541" s="54" t="str">
        <f t="shared" si="200"/>
        <v>HR</v>
      </c>
    </row>
    <row r="1542" spans="17:72">
      <c r="Q1542" s="19">
        <v>8.6300000000000008</v>
      </c>
      <c r="R1542" s="56" t="str">
        <f t="shared" si="199"/>
        <v>Yes</v>
      </c>
      <c r="W1542" s="19" t="s">
        <v>1552</v>
      </c>
      <c r="X1542" s="54" t="str">
        <f>VLOOKUP(W1542,Employees!$A$1:$B$601,2,FALSE)</f>
        <v>Ipsita Dhal</v>
      </c>
      <c r="AW1542" s="54"/>
      <c r="AX1542" s="54"/>
      <c r="BI1542" s="48"/>
      <c r="BJ1542" s="38"/>
      <c r="BK1542" s="38"/>
      <c r="BL1542" s="38"/>
      <c r="BM1542"/>
      <c r="BN1542" s="48"/>
      <c r="BR1542" s="19" t="s">
        <v>1552</v>
      </c>
      <c r="BS1542" s="19" t="s">
        <v>4363</v>
      </c>
      <c r="BT1542" s="54" t="str">
        <f t="shared" si="200"/>
        <v>HR</v>
      </c>
    </row>
    <row r="1543" spans="17:72">
      <c r="Q1543" s="18">
        <v>9.99</v>
      </c>
      <c r="R1543" s="56" t="str">
        <f t="shared" si="199"/>
        <v>Yes</v>
      </c>
      <c r="W1543" s="18" t="s">
        <v>1552</v>
      </c>
      <c r="X1543" s="54" t="str">
        <f>VLOOKUP(W1543,Employees!$A$1:$B$601,2,FALSE)</f>
        <v>Ipsita Dhal</v>
      </c>
      <c r="AW1543" s="54"/>
      <c r="AX1543" s="54"/>
      <c r="BI1543" s="48"/>
      <c r="BJ1543" s="38"/>
      <c r="BK1543" s="38"/>
      <c r="BL1543" s="38"/>
      <c r="BM1543"/>
      <c r="BN1543" s="48"/>
      <c r="BR1543" s="18" t="s">
        <v>1552</v>
      </c>
      <c r="BS1543" s="18" t="s">
        <v>4364</v>
      </c>
      <c r="BT1543" s="54" t="str">
        <f t="shared" si="200"/>
        <v>HR</v>
      </c>
    </row>
    <row r="1544" spans="17:72">
      <c r="Q1544" s="19">
        <v>6.87</v>
      </c>
      <c r="R1544" s="56" t="str">
        <f t="shared" si="199"/>
        <v>Yes</v>
      </c>
      <c r="W1544" s="19" t="s">
        <v>1552</v>
      </c>
      <c r="X1544" s="54" t="str">
        <f>VLOOKUP(W1544,Employees!$A$1:$B$601,2,FALSE)</f>
        <v>Ipsita Dhal</v>
      </c>
      <c r="AW1544" s="54"/>
      <c r="AX1544" s="54"/>
      <c r="BI1544" s="48"/>
      <c r="BJ1544" s="38"/>
      <c r="BK1544" s="38"/>
      <c r="BL1544" s="38"/>
      <c r="BM1544"/>
      <c r="BN1544" s="48"/>
      <c r="BR1544" s="19" t="s">
        <v>1552</v>
      </c>
      <c r="BS1544" s="19" t="s">
        <v>4365</v>
      </c>
      <c r="BT1544" s="54" t="str">
        <f t="shared" si="200"/>
        <v>HR</v>
      </c>
    </row>
    <row r="1545" spans="17:72">
      <c r="Q1545" s="18">
        <v>10.61</v>
      </c>
      <c r="R1545" s="56" t="str">
        <f t="shared" si="199"/>
        <v>Yes</v>
      </c>
      <c r="W1545" s="18" t="s">
        <v>1552</v>
      </c>
      <c r="X1545" s="54" t="str">
        <f>VLOOKUP(W1545,Employees!$A$1:$B$601,2,FALSE)</f>
        <v>Ipsita Dhal</v>
      </c>
      <c r="AW1545" s="54"/>
      <c r="AX1545" s="54"/>
      <c r="BI1545" s="48"/>
      <c r="BJ1545" s="38"/>
      <c r="BK1545" s="38"/>
      <c r="BL1545" s="38"/>
      <c r="BM1545"/>
      <c r="BN1545" s="48"/>
      <c r="BR1545" s="18" t="s">
        <v>1552</v>
      </c>
      <c r="BS1545" s="18" t="s">
        <v>4366</v>
      </c>
      <c r="BT1545" s="54" t="str">
        <f t="shared" si="200"/>
        <v>HR</v>
      </c>
    </row>
    <row r="1546" spans="17:72">
      <c r="Q1546" s="19">
        <v>10.52</v>
      </c>
      <c r="R1546" s="56" t="str">
        <f t="shared" si="199"/>
        <v>Yes</v>
      </c>
      <c r="W1546" s="19" t="s">
        <v>1552</v>
      </c>
      <c r="X1546" s="54" t="str">
        <f>VLOOKUP(W1546,Employees!$A$1:$B$601,2,FALSE)</f>
        <v>Ipsita Dhal</v>
      </c>
      <c r="AW1546" s="54"/>
      <c r="AX1546" s="54"/>
      <c r="BI1546" s="48"/>
      <c r="BJ1546" s="38"/>
      <c r="BK1546" s="38"/>
      <c r="BL1546" s="38"/>
      <c r="BM1546"/>
      <c r="BN1546" s="48"/>
      <c r="BR1546" s="19" t="s">
        <v>1552</v>
      </c>
      <c r="BS1546" s="19" t="s">
        <v>4367</v>
      </c>
      <c r="BT1546" s="54" t="str">
        <f t="shared" si="200"/>
        <v>HR</v>
      </c>
    </row>
    <row r="1547" spans="17:72">
      <c r="Q1547" s="18">
        <v>9.7799999999999994</v>
      </c>
      <c r="R1547" s="56" t="str">
        <f t="shared" si="199"/>
        <v>Yes</v>
      </c>
      <c r="W1547" s="18" t="s">
        <v>1552</v>
      </c>
      <c r="X1547" s="54" t="str">
        <f>VLOOKUP(W1547,Employees!$A$1:$B$601,2,FALSE)</f>
        <v>Ipsita Dhal</v>
      </c>
      <c r="AW1547" s="54"/>
      <c r="AX1547" s="54"/>
      <c r="BI1547" s="48"/>
      <c r="BJ1547" s="38"/>
      <c r="BK1547" s="38"/>
      <c r="BL1547" s="38"/>
      <c r="BM1547"/>
      <c r="BN1547" s="48"/>
      <c r="BR1547" s="18" t="s">
        <v>1552</v>
      </c>
      <c r="BS1547" s="18" t="s">
        <v>4369</v>
      </c>
      <c r="BT1547" s="54" t="str">
        <f t="shared" si="200"/>
        <v>HR</v>
      </c>
    </row>
    <row r="1548" spans="17:72">
      <c r="Q1548" s="19">
        <v>10.210000000000001</v>
      </c>
      <c r="R1548" s="56" t="str">
        <f t="shared" si="199"/>
        <v>Yes</v>
      </c>
      <c r="W1548" s="19" t="s">
        <v>1552</v>
      </c>
      <c r="X1548" s="54" t="str">
        <f>VLOOKUP(W1548,Employees!$A$1:$B$601,2,FALSE)</f>
        <v>Ipsita Dhal</v>
      </c>
      <c r="AW1548" s="54"/>
      <c r="AX1548" s="54"/>
      <c r="BI1548" s="48"/>
      <c r="BJ1548" s="38"/>
      <c r="BK1548" s="38"/>
      <c r="BL1548" s="38"/>
      <c r="BM1548"/>
      <c r="BN1548" s="48"/>
      <c r="BR1548" s="19" t="s">
        <v>1552</v>
      </c>
      <c r="BS1548" s="19" t="s">
        <v>4370</v>
      </c>
      <c r="BT1548" s="54" t="str">
        <f t="shared" si="200"/>
        <v>HR</v>
      </c>
    </row>
    <row r="1549" spans="17:72">
      <c r="Q1549" s="18">
        <v>7.61</v>
      </c>
      <c r="R1549" s="56" t="str">
        <f t="shared" si="199"/>
        <v>Yes</v>
      </c>
      <c r="W1549" s="18" t="s">
        <v>1552</v>
      </c>
      <c r="X1549" s="54" t="str">
        <f>VLOOKUP(W1549,Employees!$A$1:$B$601,2,FALSE)</f>
        <v>Ipsita Dhal</v>
      </c>
      <c r="AW1549" s="54"/>
      <c r="AX1549" s="54"/>
      <c r="BI1549" s="48"/>
      <c r="BJ1549" s="38"/>
      <c r="BK1549" s="38"/>
      <c r="BL1549" s="38"/>
      <c r="BM1549"/>
      <c r="BN1549" s="48"/>
      <c r="BR1549" s="18" t="s">
        <v>1552</v>
      </c>
      <c r="BS1549" s="18" t="s">
        <v>4371</v>
      </c>
      <c r="BT1549" s="54" t="str">
        <f t="shared" si="200"/>
        <v>HR</v>
      </c>
    </row>
    <row r="1550" spans="17:72">
      <c r="Q1550" s="19">
        <v>7.4</v>
      </c>
      <c r="R1550" s="56" t="str">
        <f t="shared" si="199"/>
        <v>Yes</v>
      </c>
      <c r="W1550" s="19" t="s">
        <v>1050</v>
      </c>
      <c r="X1550" s="54" t="str">
        <f>VLOOKUP(W1550,Employees!$A$1:$B$601,2,FALSE)</f>
        <v>Sangita Sahu</v>
      </c>
      <c r="AW1550" s="54"/>
      <c r="AX1550" s="54"/>
      <c r="BI1550" s="48"/>
      <c r="BJ1550" s="38"/>
      <c r="BK1550" s="38"/>
      <c r="BL1550" s="38"/>
      <c r="BM1550"/>
      <c r="BN1550" s="48"/>
      <c r="BR1550" s="19" t="s">
        <v>1050</v>
      </c>
      <c r="BS1550" s="19" t="s">
        <v>4372</v>
      </c>
      <c r="BT1550" s="54" t="str">
        <f t="shared" si="200"/>
        <v>Engineering</v>
      </c>
    </row>
    <row r="1551" spans="17:72">
      <c r="Q1551" s="18">
        <v>8.36</v>
      </c>
      <c r="R1551" s="56" t="str">
        <f t="shared" si="199"/>
        <v>Yes</v>
      </c>
      <c r="W1551" s="18" t="s">
        <v>1050</v>
      </c>
      <c r="X1551" s="54" t="str">
        <f>VLOOKUP(W1551,Employees!$A$1:$B$601,2,FALSE)</f>
        <v>Sangita Sahu</v>
      </c>
      <c r="AW1551" s="54"/>
      <c r="AX1551" s="54"/>
      <c r="BI1551" s="48"/>
      <c r="BJ1551" s="38"/>
      <c r="BK1551" s="38"/>
      <c r="BL1551" s="38"/>
      <c r="BM1551"/>
      <c r="BN1551" s="48"/>
      <c r="BR1551" s="18" t="s">
        <v>1050</v>
      </c>
      <c r="BS1551" s="18" t="s">
        <v>4374</v>
      </c>
      <c r="BT1551" s="54" t="str">
        <f t="shared" si="200"/>
        <v>Engineering</v>
      </c>
    </row>
    <row r="1552" spans="17:72">
      <c r="Q1552" s="19">
        <v>9.83</v>
      </c>
      <c r="R1552" s="56" t="str">
        <f t="shared" si="199"/>
        <v>Yes</v>
      </c>
      <c r="W1552" s="19" t="s">
        <v>1050</v>
      </c>
      <c r="X1552" s="54" t="str">
        <f>VLOOKUP(W1552,Employees!$A$1:$B$601,2,FALSE)</f>
        <v>Sangita Sahu</v>
      </c>
      <c r="AW1552" s="54"/>
      <c r="AX1552" s="54"/>
      <c r="BI1552" s="48"/>
      <c r="BJ1552" s="38"/>
      <c r="BK1552" s="38"/>
      <c r="BL1552" s="38"/>
      <c r="BM1552"/>
      <c r="BN1552" s="48"/>
      <c r="BR1552" s="19" t="s">
        <v>1050</v>
      </c>
      <c r="BS1552" s="19" t="s">
        <v>4375</v>
      </c>
      <c r="BT1552" s="54" t="str">
        <f t="shared" si="200"/>
        <v>Engineering</v>
      </c>
    </row>
    <row r="1553" spans="17:72">
      <c r="Q1553" s="18">
        <v>7.23</v>
      </c>
      <c r="R1553" s="56" t="str">
        <f t="shared" si="199"/>
        <v>Yes</v>
      </c>
      <c r="W1553" s="18" t="s">
        <v>1050</v>
      </c>
      <c r="X1553" s="54" t="str">
        <f>VLOOKUP(W1553,Employees!$A$1:$B$601,2,FALSE)</f>
        <v>Sangita Sahu</v>
      </c>
      <c r="AW1553" s="54"/>
      <c r="AX1553" s="54"/>
      <c r="BI1553" s="48"/>
      <c r="BJ1553" s="38"/>
      <c r="BK1553" s="38"/>
      <c r="BL1553" s="38"/>
      <c r="BM1553"/>
      <c r="BN1553" s="48"/>
      <c r="BR1553" s="18" t="s">
        <v>1050</v>
      </c>
      <c r="BS1553" s="18" t="s">
        <v>4376</v>
      </c>
      <c r="BT1553" s="54" t="str">
        <f t="shared" si="200"/>
        <v>Engineering</v>
      </c>
    </row>
    <row r="1554" spans="17:72">
      <c r="Q1554" s="19">
        <v>9.6</v>
      </c>
      <c r="R1554" s="56" t="str">
        <f t="shared" si="199"/>
        <v>Yes</v>
      </c>
      <c r="W1554" s="19" t="s">
        <v>1050</v>
      </c>
      <c r="X1554" s="54" t="str">
        <f>VLOOKUP(W1554,Employees!$A$1:$B$601,2,FALSE)</f>
        <v>Sangita Sahu</v>
      </c>
      <c r="AW1554" s="54"/>
      <c r="AX1554" s="54"/>
      <c r="BI1554" s="48"/>
      <c r="BJ1554" s="38"/>
      <c r="BK1554" s="38"/>
      <c r="BL1554" s="38"/>
      <c r="BM1554"/>
      <c r="BN1554" s="48"/>
      <c r="BR1554" s="19" t="s">
        <v>1050</v>
      </c>
      <c r="BS1554" s="19" t="s">
        <v>4377</v>
      </c>
      <c r="BT1554" s="54" t="str">
        <f t="shared" si="200"/>
        <v>Engineering</v>
      </c>
    </row>
    <row r="1555" spans="17:72">
      <c r="Q1555" s="18">
        <v>9.6199999999999992</v>
      </c>
      <c r="R1555" s="56" t="str">
        <f t="shared" si="199"/>
        <v>Yes</v>
      </c>
      <c r="W1555" s="18" t="s">
        <v>1050</v>
      </c>
      <c r="X1555" s="54" t="str">
        <f>VLOOKUP(W1555,Employees!$A$1:$B$601,2,FALSE)</f>
        <v>Sangita Sahu</v>
      </c>
      <c r="AW1555" s="54"/>
      <c r="AX1555" s="54"/>
      <c r="BI1555" s="48"/>
      <c r="BJ1555" s="38"/>
      <c r="BK1555" s="38"/>
      <c r="BL1555" s="38"/>
      <c r="BM1555"/>
      <c r="BN1555" s="48"/>
      <c r="BR1555" s="18" t="s">
        <v>1050</v>
      </c>
      <c r="BS1555" s="18" t="s">
        <v>4378</v>
      </c>
      <c r="BT1555" s="54" t="str">
        <f t="shared" si="200"/>
        <v>Engineering</v>
      </c>
    </row>
    <row r="1556" spans="17:72">
      <c r="Q1556" s="19">
        <v>7.53</v>
      </c>
      <c r="R1556" s="56" t="str">
        <f t="shared" si="199"/>
        <v>Yes</v>
      </c>
      <c r="W1556" s="19" t="s">
        <v>1050</v>
      </c>
      <c r="X1556" s="54" t="str">
        <f>VLOOKUP(W1556,Employees!$A$1:$B$601,2,FALSE)</f>
        <v>Sangita Sahu</v>
      </c>
      <c r="AW1556" s="54"/>
      <c r="AX1556" s="54"/>
      <c r="BI1556" s="48"/>
      <c r="BJ1556" s="38"/>
      <c r="BK1556" s="38"/>
      <c r="BL1556" s="38"/>
      <c r="BM1556"/>
      <c r="BN1556" s="48"/>
      <c r="BR1556" s="19" t="s">
        <v>1050</v>
      </c>
      <c r="BS1556" s="19" t="s">
        <v>4379</v>
      </c>
      <c r="BT1556" s="54" t="str">
        <f t="shared" si="200"/>
        <v>Engineering</v>
      </c>
    </row>
    <row r="1557" spans="17:72">
      <c r="Q1557" s="18">
        <v>7.89</v>
      </c>
      <c r="R1557" s="56" t="str">
        <f t="shared" si="199"/>
        <v>Yes</v>
      </c>
      <c r="W1557" s="18" t="s">
        <v>1050</v>
      </c>
      <c r="X1557" s="54" t="str">
        <f>VLOOKUP(W1557,Employees!$A$1:$B$601,2,FALSE)</f>
        <v>Sangita Sahu</v>
      </c>
      <c r="AW1557" s="54"/>
      <c r="AX1557" s="54"/>
      <c r="BI1557" s="48"/>
      <c r="BJ1557" s="38"/>
      <c r="BK1557" s="38"/>
      <c r="BL1557" s="38"/>
      <c r="BM1557"/>
      <c r="BN1557" s="48"/>
      <c r="BR1557" s="18" t="s">
        <v>1050</v>
      </c>
      <c r="BS1557" s="18" t="s">
        <v>4380</v>
      </c>
      <c r="BT1557" s="54" t="str">
        <f t="shared" si="200"/>
        <v>Engineering</v>
      </c>
    </row>
    <row r="1558" spans="17:72">
      <c r="Q1558" s="19">
        <v>11.46</v>
      </c>
      <c r="R1558" s="56" t="str">
        <f t="shared" si="199"/>
        <v>Yes</v>
      </c>
      <c r="W1558" s="19" t="s">
        <v>1050</v>
      </c>
      <c r="X1558" s="54" t="str">
        <f>VLOOKUP(W1558,Employees!$A$1:$B$601,2,FALSE)</f>
        <v>Sangita Sahu</v>
      </c>
      <c r="AW1558" s="54"/>
      <c r="AX1558" s="54"/>
      <c r="BI1558" s="48"/>
      <c r="BJ1558" s="38"/>
      <c r="BK1558" s="38"/>
      <c r="BL1558" s="38"/>
      <c r="BM1558"/>
      <c r="BN1558" s="48"/>
      <c r="BR1558" s="19" t="s">
        <v>1050</v>
      </c>
      <c r="BS1558" s="19" t="s">
        <v>4381</v>
      </c>
      <c r="BT1558" s="54" t="str">
        <f t="shared" si="200"/>
        <v>Engineering</v>
      </c>
    </row>
    <row r="1559" spans="17:72">
      <c r="Q1559" s="18">
        <v>7.09</v>
      </c>
      <c r="R1559" s="56" t="str">
        <f t="shared" si="199"/>
        <v>Yes</v>
      </c>
      <c r="W1559" s="18" t="s">
        <v>1050</v>
      </c>
      <c r="X1559" s="54" t="str">
        <f>VLOOKUP(W1559,Employees!$A$1:$B$601,2,FALSE)</f>
        <v>Sangita Sahu</v>
      </c>
      <c r="AW1559" s="54"/>
      <c r="AX1559" s="54"/>
      <c r="BI1559" s="48"/>
      <c r="BJ1559" s="38"/>
      <c r="BK1559" s="38"/>
      <c r="BL1559" s="38"/>
      <c r="BM1559"/>
      <c r="BN1559" s="48"/>
      <c r="BR1559" s="18" t="s">
        <v>1050</v>
      </c>
      <c r="BS1559" s="18" t="s">
        <v>4382</v>
      </c>
      <c r="BT1559" s="54" t="str">
        <f t="shared" si="200"/>
        <v>Engineering</v>
      </c>
    </row>
    <row r="1560" spans="17:72">
      <c r="Q1560" s="19">
        <v>7.41</v>
      </c>
      <c r="R1560" s="56" t="str">
        <f t="shared" si="199"/>
        <v>Yes</v>
      </c>
      <c r="W1560" s="19" t="s">
        <v>1050</v>
      </c>
      <c r="X1560" s="54" t="str">
        <f>VLOOKUP(W1560,Employees!$A$1:$B$601,2,FALSE)</f>
        <v>Sangita Sahu</v>
      </c>
      <c r="AW1560" s="54"/>
      <c r="AX1560" s="54"/>
      <c r="BI1560" s="48"/>
      <c r="BJ1560" s="38"/>
      <c r="BK1560" s="38"/>
      <c r="BL1560" s="38"/>
      <c r="BM1560"/>
      <c r="BN1560" s="48"/>
      <c r="BR1560" s="19" t="s">
        <v>1050</v>
      </c>
      <c r="BS1560" s="19" t="s">
        <v>4383</v>
      </c>
      <c r="BT1560" s="54" t="str">
        <f t="shared" si="200"/>
        <v>Engineering</v>
      </c>
    </row>
    <row r="1561" spans="17:72">
      <c r="Q1561" s="18">
        <v>11.33</v>
      </c>
      <c r="R1561" s="56" t="str">
        <f t="shared" si="199"/>
        <v>Yes</v>
      </c>
      <c r="W1561" s="18" t="s">
        <v>1050</v>
      </c>
      <c r="X1561" s="54" t="str">
        <f>VLOOKUP(W1561,Employees!$A$1:$B$601,2,FALSE)</f>
        <v>Sangita Sahu</v>
      </c>
      <c r="AW1561" s="54"/>
      <c r="AX1561" s="54"/>
      <c r="BI1561" s="48"/>
      <c r="BJ1561" s="38"/>
      <c r="BK1561" s="38"/>
      <c r="BL1561" s="38"/>
      <c r="BM1561"/>
      <c r="BN1561" s="48"/>
      <c r="BR1561" s="18" t="s">
        <v>1050</v>
      </c>
      <c r="BS1561" s="18" t="s">
        <v>4384</v>
      </c>
      <c r="BT1561" s="54" t="str">
        <f t="shared" si="200"/>
        <v>Engineering</v>
      </c>
    </row>
    <row r="1562" spans="17:72">
      <c r="Q1562" s="19">
        <v>9.01</v>
      </c>
      <c r="R1562" s="56" t="str">
        <f t="shared" si="199"/>
        <v>Yes</v>
      </c>
      <c r="W1562" s="19" t="s">
        <v>1050</v>
      </c>
      <c r="X1562" s="54" t="str">
        <f>VLOOKUP(W1562,Employees!$A$1:$B$601,2,FALSE)</f>
        <v>Sangita Sahu</v>
      </c>
      <c r="AW1562" s="54"/>
      <c r="AX1562" s="54"/>
      <c r="BI1562" s="48"/>
      <c r="BJ1562" s="38"/>
      <c r="BK1562" s="38"/>
      <c r="BL1562" s="38"/>
      <c r="BM1562"/>
      <c r="BN1562" s="48"/>
      <c r="BR1562" s="19" t="s">
        <v>1050</v>
      </c>
      <c r="BS1562" s="19" t="s">
        <v>4385</v>
      </c>
      <c r="BT1562" s="54" t="str">
        <f t="shared" si="200"/>
        <v>Engineering</v>
      </c>
    </row>
    <row r="1563" spans="17:72">
      <c r="Q1563" s="18">
        <v>6.83</v>
      </c>
      <c r="R1563" s="56" t="str">
        <f t="shared" si="199"/>
        <v>Yes</v>
      </c>
      <c r="W1563" s="18" t="s">
        <v>1050</v>
      </c>
      <c r="X1563" s="54" t="str">
        <f>VLOOKUP(W1563,Employees!$A$1:$B$601,2,FALSE)</f>
        <v>Sangita Sahu</v>
      </c>
      <c r="AW1563" s="54"/>
      <c r="AX1563" s="54"/>
      <c r="BI1563" s="48"/>
      <c r="BJ1563" s="38"/>
      <c r="BK1563" s="38"/>
      <c r="BL1563" s="38"/>
      <c r="BM1563"/>
      <c r="BN1563" s="48"/>
      <c r="BR1563" s="18" t="s">
        <v>1050</v>
      </c>
      <c r="BS1563" s="18" t="s">
        <v>4386</v>
      </c>
      <c r="BT1563" s="54" t="str">
        <f t="shared" si="200"/>
        <v>Engineering</v>
      </c>
    </row>
    <row r="1564" spans="17:72">
      <c r="Q1564" s="19">
        <v>8.5</v>
      </c>
      <c r="R1564" s="56" t="str">
        <f t="shared" si="199"/>
        <v>Yes</v>
      </c>
      <c r="W1564" s="19" t="s">
        <v>1050</v>
      </c>
      <c r="X1564" s="54" t="str">
        <f>VLOOKUP(W1564,Employees!$A$1:$B$601,2,FALSE)</f>
        <v>Sangita Sahu</v>
      </c>
      <c r="AW1564" s="54"/>
      <c r="AX1564" s="54"/>
      <c r="BI1564" s="48"/>
      <c r="BJ1564" s="38"/>
      <c r="BK1564" s="38"/>
      <c r="BL1564" s="38"/>
      <c r="BM1564"/>
      <c r="BN1564" s="48"/>
      <c r="BR1564" s="19" t="s">
        <v>1050</v>
      </c>
      <c r="BS1564" s="19" t="s">
        <v>4387</v>
      </c>
      <c r="BT1564" s="54" t="str">
        <f t="shared" si="200"/>
        <v>Engineering</v>
      </c>
    </row>
    <row r="1565" spans="17:72">
      <c r="Q1565" s="18">
        <v>10.07</v>
      </c>
      <c r="R1565" s="56" t="str">
        <f t="shared" si="199"/>
        <v>Yes</v>
      </c>
      <c r="W1565" s="18" t="s">
        <v>1050</v>
      </c>
      <c r="X1565" s="54" t="str">
        <f>VLOOKUP(W1565,Employees!$A$1:$B$601,2,FALSE)</f>
        <v>Sangita Sahu</v>
      </c>
      <c r="AW1565" s="54"/>
      <c r="AX1565" s="54"/>
      <c r="BI1565" s="48"/>
      <c r="BJ1565" s="38"/>
      <c r="BK1565" s="38"/>
      <c r="BL1565" s="38"/>
      <c r="BM1565"/>
      <c r="BN1565" s="48"/>
      <c r="BR1565" s="18" t="s">
        <v>1050</v>
      </c>
      <c r="BS1565" s="18" t="s">
        <v>4388</v>
      </c>
      <c r="BT1565" s="54" t="str">
        <f t="shared" si="200"/>
        <v>Engineering</v>
      </c>
    </row>
    <row r="1566" spans="17:72">
      <c r="Q1566" s="19">
        <v>9.1199999999999992</v>
      </c>
      <c r="R1566" s="56" t="str">
        <f t="shared" si="199"/>
        <v>Yes</v>
      </c>
      <c r="W1566" s="19" t="s">
        <v>1050</v>
      </c>
      <c r="X1566" s="54" t="str">
        <f>VLOOKUP(W1566,Employees!$A$1:$B$601,2,FALSE)</f>
        <v>Sangita Sahu</v>
      </c>
      <c r="AW1566" s="54"/>
      <c r="AX1566" s="54"/>
      <c r="BI1566" s="48"/>
      <c r="BJ1566" s="38"/>
      <c r="BK1566" s="38"/>
      <c r="BL1566" s="38"/>
      <c r="BM1566"/>
      <c r="BN1566" s="48"/>
      <c r="BR1566" s="19" t="s">
        <v>1050</v>
      </c>
      <c r="BS1566" s="19" t="s">
        <v>4390</v>
      </c>
      <c r="BT1566" s="54" t="str">
        <f t="shared" si="200"/>
        <v>Engineering</v>
      </c>
    </row>
    <row r="1567" spans="17:72">
      <c r="Q1567" s="18">
        <v>8.5</v>
      </c>
      <c r="R1567" s="56" t="str">
        <f t="shared" si="199"/>
        <v>Yes</v>
      </c>
      <c r="W1567" s="18" t="s">
        <v>1050</v>
      </c>
      <c r="X1567" s="54" t="str">
        <f>VLOOKUP(W1567,Employees!$A$1:$B$601,2,FALSE)</f>
        <v>Sangita Sahu</v>
      </c>
      <c r="AW1567" s="54"/>
      <c r="AX1567" s="54"/>
      <c r="BI1567" s="48"/>
      <c r="BJ1567" s="38"/>
      <c r="BK1567" s="38"/>
      <c r="BL1567" s="38"/>
      <c r="BM1567"/>
      <c r="BN1567" s="48"/>
      <c r="BR1567" s="18" t="s">
        <v>1050</v>
      </c>
      <c r="BS1567" s="18" t="s">
        <v>4391</v>
      </c>
      <c r="BT1567" s="54" t="str">
        <f t="shared" si="200"/>
        <v>Engineering</v>
      </c>
    </row>
    <row r="1568" spans="17:72">
      <c r="Q1568" s="19">
        <v>11.36</v>
      </c>
      <c r="R1568" s="56" t="str">
        <f t="shared" si="199"/>
        <v>Yes</v>
      </c>
      <c r="W1568" s="19" t="s">
        <v>1050</v>
      </c>
      <c r="X1568" s="54" t="str">
        <f>VLOOKUP(W1568,Employees!$A$1:$B$601,2,FALSE)</f>
        <v>Sangita Sahu</v>
      </c>
      <c r="AW1568" s="54"/>
      <c r="AX1568" s="54"/>
      <c r="BI1568" s="48"/>
      <c r="BJ1568" s="38"/>
      <c r="BK1568" s="38"/>
      <c r="BL1568" s="38"/>
      <c r="BM1568"/>
      <c r="BN1568" s="48"/>
      <c r="BR1568" s="19" t="s">
        <v>1050</v>
      </c>
      <c r="BS1568" s="19" t="s">
        <v>4392</v>
      </c>
      <c r="BT1568" s="54" t="str">
        <f t="shared" si="200"/>
        <v>Engineering</v>
      </c>
    </row>
    <row r="1569" spans="17:72">
      <c r="Q1569" s="18">
        <v>7.34</v>
      </c>
      <c r="R1569" s="56" t="str">
        <f t="shared" si="199"/>
        <v>Yes</v>
      </c>
      <c r="W1569" s="18" t="s">
        <v>1050</v>
      </c>
      <c r="X1569" s="54" t="str">
        <f>VLOOKUP(W1569,Employees!$A$1:$B$601,2,FALSE)</f>
        <v>Sangita Sahu</v>
      </c>
      <c r="AW1569" s="54"/>
      <c r="AX1569" s="54"/>
      <c r="BI1569" s="48"/>
      <c r="BJ1569" s="38"/>
      <c r="BK1569" s="38"/>
      <c r="BL1569" s="38"/>
      <c r="BM1569"/>
      <c r="BN1569" s="48"/>
      <c r="BR1569" s="18" t="s">
        <v>1050</v>
      </c>
      <c r="BS1569" s="18" t="s">
        <v>4393</v>
      </c>
      <c r="BT1569" s="54" t="str">
        <f t="shared" si="200"/>
        <v>Engineering</v>
      </c>
    </row>
    <row r="1570" spans="17:72">
      <c r="Q1570" s="19">
        <v>8.73</v>
      </c>
      <c r="R1570" s="56" t="str">
        <f t="shared" si="199"/>
        <v>Yes</v>
      </c>
      <c r="W1570" s="19" t="s">
        <v>1050</v>
      </c>
      <c r="X1570" s="54" t="str">
        <f>VLOOKUP(W1570,Employees!$A$1:$B$601,2,FALSE)</f>
        <v>Sangita Sahu</v>
      </c>
      <c r="AW1570" s="54"/>
      <c r="AX1570" s="54"/>
      <c r="BI1570" s="48"/>
      <c r="BJ1570" s="38"/>
      <c r="BK1570" s="38"/>
      <c r="BL1570" s="38"/>
      <c r="BM1570"/>
      <c r="BN1570" s="48"/>
      <c r="BR1570" s="19" t="s">
        <v>1050</v>
      </c>
      <c r="BS1570" s="19" t="s">
        <v>4394</v>
      </c>
      <c r="BT1570" s="54" t="str">
        <f t="shared" si="200"/>
        <v>Engineering</v>
      </c>
    </row>
    <row r="1571" spans="17:72">
      <c r="Q1571" s="18"/>
      <c r="R1571" s="56" t="str">
        <f t="shared" si="199"/>
        <v>No</v>
      </c>
      <c r="W1571" s="18" t="s">
        <v>1050</v>
      </c>
      <c r="X1571" s="54" t="str">
        <f>VLOOKUP(W1571,Employees!$A$1:$B$601,2,FALSE)</f>
        <v>Sangita Sahu</v>
      </c>
      <c r="AW1571" s="54"/>
      <c r="AX1571" s="54"/>
      <c r="BI1571" s="48"/>
      <c r="BJ1571" s="38"/>
      <c r="BK1571" s="38"/>
      <c r="BL1571" s="38"/>
      <c r="BM1571"/>
      <c r="BN1571" s="48"/>
      <c r="BR1571" s="18" t="s">
        <v>1050</v>
      </c>
      <c r="BS1571" s="18" t="s">
        <v>4395</v>
      </c>
      <c r="BT1571" s="54" t="str">
        <f t="shared" si="200"/>
        <v>Engineering</v>
      </c>
    </row>
    <row r="1572" spans="17:72">
      <c r="Q1572" s="19">
        <v>7.05</v>
      </c>
      <c r="R1572" s="56" t="str">
        <f t="shared" si="199"/>
        <v>Yes</v>
      </c>
      <c r="W1572" s="19" t="s">
        <v>1050</v>
      </c>
      <c r="X1572" s="54" t="str">
        <f>VLOOKUP(W1572,Employees!$A$1:$B$601,2,FALSE)</f>
        <v>Sangita Sahu</v>
      </c>
      <c r="AW1572" s="54"/>
      <c r="AX1572" s="54"/>
      <c r="BI1572" s="48"/>
      <c r="BJ1572" s="38"/>
      <c r="BK1572" s="38"/>
      <c r="BL1572" s="38"/>
      <c r="BM1572"/>
      <c r="BN1572" s="48"/>
      <c r="BR1572" s="19" t="s">
        <v>1050</v>
      </c>
      <c r="BS1572" s="19" t="s">
        <v>4397</v>
      </c>
      <c r="BT1572" s="54" t="str">
        <f t="shared" si="200"/>
        <v>Engineering</v>
      </c>
    </row>
    <row r="1573" spans="17:72">
      <c r="Q1573" s="18">
        <v>10.52</v>
      </c>
      <c r="R1573" s="56" t="str">
        <f t="shared" si="199"/>
        <v>Yes</v>
      </c>
      <c r="W1573" s="18" t="s">
        <v>1050</v>
      </c>
      <c r="X1573" s="54" t="str">
        <f>VLOOKUP(W1573,Employees!$A$1:$B$601,2,FALSE)</f>
        <v>Sangita Sahu</v>
      </c>
      <c r="AW1573" s="54"/>
      <c r="AX1573" s="54"/>
      <c r="BI1573" s="48"/>
      <c r="BJ1573" s="38"/>
      <c r="BK1573" s="38"/>
      <c r="BL1573" s="38"/>
      <c r="BM1573"/>
      <c r="BN1573" s="48"/>
      <c r="BR1573" s="18" t="s">
        <v>1050</v>
      </c>
      <c r="BS1573" s="18" t="s">
        <v>4398</v>
      </c>
      <c r="BT1573" s="54" t="str">
        <f t="shared" si="200"/>
        <v>Engineering</v>
      </c>
    </row>
    <row r="1574" spans="17:72">
      <c r="Q1574" s="19">
        <v>7.58</v>
      </c>
      <c r="R1574" s="56" t="str">
        <f t="shared" si="199"/>
        <v>Yes</v>
      </c>
      <c r="W1574" s="19" t="s">
        <v>1050</v>
      </c>
      <c r="X1574" s="54" t="str">
        <f>VLOOKUP(W1574,Employees!$A$1:$B$601,2,FALSE)</f>
        <v>Sangita Sahu</v>
      </c>
      <c r="AW1574" s="54"/>
      <c r="AX1574" s="54"/>
      <c r="BI1574" s="48"/>
      <c r="BJ1574" s="38"/>
      <c r="BK1574" s="38"/>
      <c r="BL1574" s="38"/>
      <c r="BM1574"/>
      <c r="BN1574" s="48"/>
      <c r="BR1574" s="19" t="s">
        <v>1050</v>
      </c>
      <c r="BS1574" s="19" t="s">
        <v>4399</v>
      </c>
      <c r="BT1574" s="54" t="str">
        <f t="shared" si="200"/>
        <v>Engineering</v>
      </c>
    </row>
    <row r="1575" spans="17:72">
      <c r="Q1575" s="18">
        <v>10.06</v>
      </c>
      <c r="R1575" s="56" t="str">
        <f t="shared" si="199"/>
        <v>Yes</v>
      </c>
      <c r="W1575" s="18" t="s">
        <v>1050</v>
      </c>
      <c r="X1575" s="54" t="str">
        <f>VLOOKUP(W1575,Employees!$A$1:$B$601,2,FALSE)</f>
        <v>Sangita Sahu</v>
      </c>
      <c r="AW1575" s="54"/>
      <c r="AX1575" s="54"/>
      <c r="BI1575" s="48"/>
      <c r="BJ1575" s="38"/>
      <c r="BK1575" s="38"/>
      <c r="BL1575" s="38"/>
      <c r="BM1575"/>
      <c r="BN1575" s="48"/>
      <c r="BR1575" s="18" t="s">
        <v>1050</v>
      </c>
      <c r="BS1575" s="18" t="s">
        <v>4400</v>
      </c>
      <c r="BT1575" s="54" t="str">
        <f t="shared" si="200"/>
        <v>Engineering</v>
      </c>
    </row>
    <row r="1576" spans="17:72">
      <c r="Q1576" s="19">
        <v>10.71</v>
      </c>
      <c r="R1576" s="56" t="str">
        <f t="shared" si="199"/>
        <v>Yes</v>
      </c>
      <c r="W1576" s="19" t="s">
        <v>1050</v>
      </c>
      <c r="X1576" s="54" t="str">
        <f>VLOOKUP(W1576,Employees!$A$1:$B$601,2,FALSE)</f>
        <v>Sangita Sahu</v>
      </c>
      <c r="AW1576" s="54"/>
      <c r="AX1576" s="54"/>
      <c r="BI1576" s="48"/>
      <c r="BJ1576" s="38"/>
      <c r="BK1576" s="38"/>
      <c r="BL1576" s="38"/>
      <c r="BM1576"/>
      <c r="BN1576" s="48"/>
      <c r="BR1576" s="19" t="s">
        <v>1050</v>
      </c>
      <c r="BS1576" s="19" t="s">
        <v>4401</v>
      </c>
      <c r="BT1576" s="54" t="str">
        <f t="shared" si="200"/>
        <v>Engineering</v>
      </c>
    </row>
    <row r="1577" spans="17:72">
      <c r="Q1577" s="18">
        <v>9.32</v>
      </c>
      <c r="R1577" s="56" t="str">
        <f t="shared" si="199"/>
        <v>Yes</v>
      </c>
      <c r="W1577" s="18" t="s">
        <v>1050</v>
      </c>
      <c r="X1577" s="54" t="str">
        <f>VLOOKUP(W1577,Employees!$A$1:$B$601,2,FALSE)</f>
        <v>Sangita Sahu</v>
      </c>
      <c r="AW1577" s="54"/>
      <c r="AX1577" s="54"/>
      <c r="BI1577" s="48"/>
      <c r="BJ1577" s="38"/>
      <c r="BK1577" s="38"/>
      <c r="BL1577" s="38"/>
      <c r="BM1577"/>
      <c r="BN1577" s="48"/>
      <c r="BR1577" s="18" t="s">
        <v>1050</v>
      </c>
      <c r="BS1577" s="18" t="s">
        <v>4402</v>
      </c>
      <c r="BT1577" s="54" t="str">
        <f t="shared" si="200"/>
        <v>Engineering</v>
      </c>
    </row>
    <row r="1578" spans="17:72">
      <c r="Q1578" s="19">
        <v>7.24</v>
      </c>
      <c r="R1578" s="56" t="str">
        <f t="shared" si="199"/>
        <v>Yes</v>
      </c>
      <c r="W1578" s="19" t="s">
        <v>1050</v>
      </c>
      <c r="X1578" s="54" t="str">
        <f>VLOOKUP(W1578,Employees!$A$1:$B$601,2,FALSE)</f>
        <v>Sangita Sahu</v>
      </c>
      <c r="AW1578" s="54"/>
      <c r="AX1578" s="54"/>
      <c r="BI1578" s="48"/>
      <c r="BJ1578" s="38"/>
      <c r="BK1578" s="38"/>
      <c r="BL1578" s="38"/>
      <c r="BM1578"/>
      <c r="BN1578" s="48"/>
      <c r="BR1578" s="19" t="s">
        <v>1050</v>
      </c>
      <c r="BS1578" s="19" t="s">
        <v>4403</v>
      </c>
      <c r="BT1578" s="54" t="str">
        <f t="shared" si="200"/>
        <v>Engineering</v>
      </c>
    </row>
    <row r="1579" spans="17:72">
      <c r="Q1579" s="18">
        <v>8.84</v>
      </c>
      <c r="R1579" s="56" t="str">
        <f t="shared" si="199"/>
        <v>Yes</v>
      </c>
      <c r="W1579" s="18" t="s">
        <v>1050</v>
      </c>
      <c r="X1579" s="54" t="str">
        <f>VLOOKUP(W1579,Employees!$A$1:$B$601,2,FALSE)</f>
        <v>Sangita Sahu</v>
      </c>
      <c r="AW1579" s="54"/>
      <c r="AX1579" s="54"/>
      <c r="BI1579" s="48"/>
      <c r="BJ1579" s="38"/>
      <c r="BK1579" s="38"/>
      <c r="BL1579" s="38"/>
      <c r="BM1579"/>
      <c r="BN1579" s="48"/>
      <c r="BR1579" s="18" t="s">
        <v>1050</v>
      </c>
      <c r="BS1579" s="18" t="s">
        <v>4404</v>
      </c>
      <c r="BT1579" s="54" t="str">
        <f t="shared" si="200"/>
        <v>Engineering</v>
      </c>
    </row>
    <row r="1580" spans="17:72">
      <c r="Q1580" s="19">
        <v>7.38</v>
      </c>
      <c r="R1580" s="56" t="str">
        <f t="shared" si="199"/>
        <v>Yes</v>
      </c>
      <c r="W1580" s="19" t="s">
        <v>1050</v>
      </c>
      <c r="X1580" s="54" t="str">
        <f>VLOOKUP(W1580,Employees!$A$1:$B$601,2,FALSE)</f>
        <v>Sangita Sahu</v>
      </c>
      <c r="AW1580" s="54"/>
      <c r="AX1580" s="54"/>
      <c r="BI1580" s="48"/>
      <c r="BJ1580" s="38"/>
      <c r="BK1580" s="38"/>
      <c r="BL1580" s="38"/>
      <c r="BM1580"/>
      <c r="BN1580" s="48"/>
      <c r="BR1580" s="19" t="s">
        <v>1050</v>
      </c>
      <c r="BS1580" s="19" t="s">
        <v>4405</v>
      </c>
      <c r="BT1580" s="54" t="str">
        <f t="shared" si="200"/>
        <v>Engineering</v>
      </c>
    </row>
    <row r="1581" spans="17:72">
      <c r="Q1581" s="18">
        <v>6.61</v>
      </c>
      <c r="R1581" s="56" t="str">
        <f t="shared" si="199"/>
        <v>Yes</v>
      </c>
      <c r="W1581" s="18" t="s">
        <v>1050</v>
      </c>
      <c r="X1581" s="54" t="str">
        <f>VLOOKUP(W1581,Employees!$A$1:$B$601,2,FALSE)</f>
        <v>Sangita Sahu</v>
      </c>
      <c r="AW1581" s="54"/>
      <c r="AX1581" s="54"/>
      <c r="BI1581" s="48"/>
      <c r="BJ1581" s="38"/>
      <c r="BK1581" s="38"/>
      <c r="BL1581" s="38"/>
      <c r="BM1581"/>
      <c r="BN1581" s="48"/>
      <c r="BR1581" s="18" t="s">
        <v>1050</v>
      </c>
      <c r="BS1581" s="18" t="s">
        <v>4406</v>
      </c>
      <c r="BT1581" s="54" t="str">
        <f t="shared" si="200"/>
        <v>Engineering</v>
      </c>
    </row>
    <row r="1582" spans="17:72">
      <c r="Q1582" s="19">
        <v>10.09</v>
      </c>
      <c r="R1582" s="56" t="str">
        <f t="shared" si="199"/>
        <v>Yes</v>
      </c>
      <c r="W1582" s="19" t="s">
        <v>1050</v>
      </c>
      <c r="X1582" s="54" t="str">
        <f>VLOOKUP(W1582,Employees!$A$1:$B$601,2,FALSE)</f>
        <v>Sangita Sahu</v>
      </c>
      <c r="AW1582" s="54"/>
      <c r="AX1582" s="54"/>
      <c r="BI1582" s="48"/>
      <c r="BJ1582" s="38"/>
      <c r="BK1582" s="38"/>
      <c r="BL1582" s="38"/>
      <c r="BM1582"/>
      <c r="BN1582" s="48"/>
      <c r="BR1582" s="19" t="s">
        <v>1050</v>
      </c>
      <c r="BS1582" s="19" t="s">
        <v>4408</v>
      </c>
      <c r="BT1582" s="54" t="str">
        <f t="shared" si="200"/>
        <v>Engineering</v>
      </c>
    </row>
    <row r="1583" spans="17:72">
      <c r="Q1583" s="18">
        <v>9.73</v>
      </c>
      <c r="R1583" s="56" t="str">
        <f t="shared" si="199"/>
        <v>Yes</v>
      </c>
      <c r="W1583" s="18" t="s">
        <v>1050</v>
      </c>
      <c r="X1583" s="54" t="str">
        <f>VLOOKUP(W1583,Employees!$A$1:$B$601,2,FALSE)</f>
        <v>Sangita Sahu</v>
      </c>
      <c r="AW1583" s="54"/>
      <c r="AX1583" s="54"/>
      <c r="BI1583" s="48"/>
      <c r="BJ1583" s="38"/>
      <c r="BK1583" s="38"/>
      <c r="BL1583" s="38"/>
      <c r="BM1583"/>
      <c r="BN1583" s="48"/>
      <c r="BR1583" s="18" t="s">
        <v>1050</v>
      </c>
      <c r="BS1583" s="18" t="s">
        <v>4409</v>
      </c>
      <c r="BT1583" s="54" t="str">
        <f t="shared" si="200"/>
        <v>Engineering</v>
      </c>
    </row>
    <row r="1584" spans="17:72">
      <c r="Q1584" s="19">
        <v>10.91</v>
      </c>
      <c r="R1584" s="56" t="str">
        <f t="shared" si="199"/>
        <v>Yes</v>
      </c>
      <c r="W1584" s="19" t="s">
        <v>1050</v>
      </c>
      <c r="X1584" s="54" t="str">
        <f>VLOOKUP(W1584,Employees!$A$1:$B$601,2,FALSE)</f>
        <v>Sangita Sahu</v>
      </c>
      <c r="AW1584" s="54"/>
      <c r="AX1584" s="54"/>
      <c r="BI1584" s="48"/>
      <c r="BJ1584" s="38"/>
      <c r="BK1584" s="38"/>
      <c r="BL1584" s="38"/>
      <c r="BM1584"/>
      <c r="BN1584" s="48"/>
      <c r="BR1584" s="19" t="s">
        <v>1050</v>
      </c>
      <c r="BS1584" s="19" t="s">
        <v>4410</v>
      </c>
      <c r="BT1584" s="54" t="str">
        <f t="shared" si="200"/>
        <v>Engineering</v>
      </c>
    </row>
    <row r="1585" spans="17:72">
      <c r="Q1585" s="18">
        <v>8.06</v>
      </c>
      <c r="R1585" s="56" t="str">
        <f t="shared" si="199"/>
        <v>Yes</v>
      </c>
      <c r="W1585" s="18" t="s">
        <v>1050</v>
      </c>
      <c r="X1585" s="54" t="str">
        <f>VLOOKUP(W1585,Employees!$A$1:$B$601,2,FALSE)</f>
        <v>Sangita Sahu</v>
      </c>
      <c r="AW1585" s="54"/>
      <c r="AX1585" s="54"/>
      <c r="BI1585" s="48"/>
      <c r="BJ1585" s="38"/>
      <c r="BK1585" s="38"/>
      <c r="BL1585" s="38"/>
      <c r="BM1585"/>
      <c r="BN1585" s="48"/>
      <c r="BR1585" s="18" t="s">
        <v>1050</v>
      </c>
      <c r="BS1585" s="18" t="s">
        <v>4411</v>
      </c>
      <c r="BT1585" s="54" t="str">
        <f t="shared" si="200"/>
        <v>Engineering</v>
      </c>
    </row>
    <row r="1586" spans="17:72">
      <c r="Q1586" s="19">
        <v>11.36</v>
      </c>
      <c r="R1586" s="56" t="str">
        <f t="shared" si="199"/>
        <v>Yes</v>
      </c>
      <c r="W1586" s="19" t="s">
        <v>1050</v>
      </c>
      <c r="X1586" s="54" t="str">
        <f>VLOOKUP(W1586,Employees!$A$1:$B$601,2,FALSE)</f>
        <v>Sangita Sahu</v>
      </c>
      <c r="AW1586" s="54"/>
      <c r="AX1586" s="54"/>
      <c r="BI1586" s="48"/>
      <c r="BJ1586" s="38"/>
      <c r="BK1586" s="38"/>
      <c r="BL1586" s="38"/>
      <c r="BM1586"/>
      <c r="BN1586" s="48"/>
      <c r="BR1586" s="19" t="s">
        <v>1050</v>
      </c>
      <c r="BS1586" s="19" t="s">
        <v>4412</v>
      </c>
      <c r="BT1586" s="54" t="str">
        <f t="shared" si="200"/>
        <v>Engineering</v>
      </c>
    </row>
    <row r="1587" spans="17:72">
      <c r="Q1587" s="18">
        <v>8.23</v>
      </c>
      <c r="R1587" s="56" t="str">
        <f t="shared" si="199"/>
        <v>Yes</v>
      </c>
      <c r="W1587" s="18" t="s">
        <v>1050</v>
      </c>
      <c r="X1587" s="54" t="str">
        <f>VLOOKUP(W1587,Employees!$A$1:$B$601,2,FALSE)</f>
        <v>Sangita Sahu</v>
      </c>
      <c r="AW1587" s="54"/>
      <c r="AX1587" s="54"/>
      <c r="BI1587" s="48"/>
      <c r="BJ1587" s="38"/>
      <c r="BK1587" s="38"/>
      <c r="BL1587" s="38"/>
      <c r="BM1587"/>
      <c r="BN1587" s="48"/>
      <c r="BR1587" s="18" t="s">
        <v>1050</v>
      </c>
      <c r="BS1587" s="18" t="s">
        <v>4413</v>
      </c>
      <c r="BT1587" s="54" t="str">
        <f t="shared" si="200"/>
        <v>Engineering</v>
      </c>
    </row>
    <row r="1588" spans="17:72">
      <c r="Q1588" s="19">
        <v>8.19</v>
      </c>
      <c r="R1588" s="56" t="str">
        <f t="shared" si="199"/>
        <v>Yes</v>
      </c>
      <c r="W1588" s="19" t="s">
        <v>1050</v>
      </c>
      <c r="X1588" s="54" t="str">
        <f>VLOOKUP(W1588,Employees!$A$1:$B$601,2,FALSE)</f>
        <v>Sangita Sahu</v>
      </c>
      <c r="AW1588" s="54"/>
      <c r="AX1588" s="54"/>
      <c r="BI1588" s="48"/>
      <c r="BJ1588" s="38"/>
      <c r="BK1588" s="38"/>
      <c r="BL1588" s="38"/>
      <c r="BM1588"/>
      <c r="BN1588" s="48"/>
      <c r="BR1588" s="19" t="s">
        <v>1050</v>
      </c>
      <c r="BS1588" s="19" t="s">
        <v>4414</v>
      </c>
      <c r="BT1588" s="54" t="str">
        <f t="shared" si="200"/>
        <v>Engineering</v>
      </c>
    </row>
    <row r="1589" spans="17:72">
      <c r="Q1589" s="18">
        <v>8.6999999999999993</v>
      </c>
      <c r="R1589" s="56" t="str">
        <f t="shared" si="199"/>
        <v>Yes</v>
      </c>
      <c r="W1589" s="18" t="s">
        <v>1050</v>
      </c>
      <c r="X1589" s="54" t="str">
        <f>VLOOKUP(W1589,Employees!$A$1:$B$601,2,FALSE)</f>
        <v>Sangita Sahu</v>
      </c>
      <c r="AW1589" s="54"/>
      <c r="AX1589" s="54"/>
      <c r="BI1589" s="48"/>
      <c r="BJ1589" s="38"/>
      <c r="BK1589" s="38"/>
      <c r="BL1589" s="38"/>
      <c r="BM1589"/>
      <c r="BN1589" s="48"/>
      <c r="BR1589" s="18" t="s">
        <v>1050</v>
      </c>
      <c r="BS1589" s="18" t="s">
        <v>4415</v>
      </c>
      <c r="BT1589" s="54" t="str">
        <f t="shared" si="200"/>
        <v>Engineering</v>
      </c>
    </row>
    <row r="1590" spans="17:72">
      <c r="Q1590" s="19">
        <v>10.77</v>
      </c>
      <c r="R1590" s="56" t="str">
        <f t="shared" si="199"/>
        <v>Yes</v>
      </c>
      <c r="W1590" s="19" t="s">
        <v>1050</v>
      </c>
      <c r="X1590" s="54" t="str">
        <f>VLOOKUP(W1590,Employees!$A$1:$B$601,2,FALSE)</f>
        <v>Sangita Sahu</v>
      </c>
      <c r="AW1590" s="54"/>
      <c r="AX1590" s="54"/>
      <c r="BI1590" s="48"/>
      <c r="BJ1590" s="38"/>
      <c r="BK1590" s="38"/>
      <c r="BL1590" s="38"/>
      <c r="BM1590"/>
      <c r="BN1590" s="48"/>
      <c r="BR1590" s="19" t="s">
        <v>1050</v>
      </c>
      <c r="BS1590" s="19" t="s">
        <v>4416</v>
      </c>
      <c r="BT1590" s="54" t="str">
        <f t="shared" si="200"/>
        <v>Engineering</v>
      </c>
    </row>
    <row r="1591" spans="17:72">
      <c r="Q1591" s="18">
        <v>7.82</v>
      </c>
      <c r="R1591" s="56" t="str">
        <f t="shared" si="199"/>
        <v>Yes</v>
      </c>
      <c r="W1591" s="18" t="s">
        <v>1050</v>
      </c>
      <c r="X1591" s="54" t="str">
        <f>VLOOKUP(W1591,Employees!$A$1:$B$601,2,FALSE)</f>
        <v>Sangita Sahu</v>
      </c>
      <c r="AW1591" s="54"/>
      <c r="AX1591" s="54"/>
      <c r="BI1591" s="48"/>
      <c r="BJ1591" s="38"/>
      <c r="BK1591" s="38"/>
      <c r="BL1591" s="38"/>
      <c r="BM1591"/>
      <c r="BN1591" s="48"/>
      <c r="BR1591" s="18" t="s">
        <v>1050</v>
      </c>
      <c r="BS1591" s="18" t="s">
        <v>4417</v>
      </c>
      <c r="BT1591" s="54" t="str">
        <f t="shared" si="200"/>
        <v>Engineering</v>
      </c>
    </row>
    <row r="1592" spans="17:72">
      <c r="Q1592" s="19">
        <v>9.36</v>
      </c>
      <c r="R1592" s="56" t="str">
        <f t="shared" si="199"/>
        <v>Yes</v>
      </c>
      <c r="W1592" s="19" t="s">
        <v>1050</v>
      </c>
      <c r="X1592" s="54" t="str">
        <f>VLOOKUP(W1592,Employees!$A$1:$B$601,2,FALSE)</f>
        <v>Sangita Sahu</v>
      </c>
      <c r="AW1592" s="54"/>
      <c r="AX1592" s="54"/>
      <c r="BI1592" s="48"/>
      <c r="BJ1592" s="38"/>
      <c r="BK1592" s="38"/>
      <c r="BL1592" s="38"/>
      <c r="BM1592"/>
      <c r="BN1592" s="48"/>
      <c r="BR1592" s="19" t="s">
        <v>1050</v>
      </c>
      <c r="BS1592" s="19" t="s">
        <v>4418</v>
      </c>
      <c r="BT1592" s="54" t="str">
        <f t="shared" si="200"/>
        <v>Engineering</v>
      </c>
    </row>
    <row r="1593" spans="17:72">
      <c r="Q1593" s="18">
        <v>8.61</v>
      </c>
      <c r="R1593" s="56" t="str">
        <f t="shared" si="199"/>
        <v>Yes</v>
      </c>
      <c r="W1593" s="18" t="s">
        <v>434</v>
      </c>
      <c r="X1593" s="54" t="str">
        <f>VLOOKUP(W1593,Employees!$A$1:$B$601,2,FALSE)</f>
        <v>Namita Nanda</v>
      </c>
      <c r="AW1593" s="54"/>
      <c r="AX1593" s="54"/>
      <c r="BI1593" s="48"/>
      <c r="BJ1593" s="38"/>
      <c r="BK1593" s="38"/>
      <c r="BL1593" s="38"/>
      <c r="BM1593"/>
      <c r="BN1593" s="48"/>
      <c r="BR1593" s="18" t="s">
        <v>434</v>
      </c>
      <c r="BS1593" s="18" t="s">
        <v>4419</v>
      </c>
      <c r="BT1593" s="54" t="str">
        <f t="shared" si="200"/>
        <v>Finance</v>
      </c>
    </row>
    <row r="1594" spans="17:72">
      <c r="Q1594" s="19">
        <v>11.25</v>
      </c>
      <c r="R1594" s="56" t="str">
        <f t="shared" si="199"/>
        <v>Yes</v>
      </c>
      <c r="W1594" s="19" t="s">
        <v>434</v>
      </c>
      <c r="X1594" s="54" t="str">
        <f>VLOOKUP(W1594,Employees!$A$1:$B$601,2,FALSE)</f>
        <v>Namita Nanda</v>
      </c>
      <c r="AW1594" s="54"/>
      <c r="AX1594" s="54"/>
      <c r="BI1594" s="48"/>
      <c r="BJ1594" s="38"/>
      <c r="BK1594" s="38"/>
      <c r="BL1594" s="38"/>
      <c r="BM1594"/>
      <c r="BN1594" s="48"/>
      <c r="BR1594" s="19" t="s">
        <v>434</v>
      </c>
      <c r="BS1594" s="19" t="s">
        <v>4420</v>
      </c>
      <c r="BT1594" s="54" t="str">
        <f t="shared" si="200"/>
        <v>Finance</v>
      </c>
    </row>
    <row r="1595" spans="17:72">
      <c r="Q1595" s="18">
        <v>8.52</v>
      </c>
      <c r="R1595" s="56" t="str">
        <f t="shared" si="199"/>
        <v>Yes</v>
      </c>
      <c r="W1595" s="18" t="s">
        <v>434</v>
      </c>
      <c r="X1595" s="54" t="str">
        <f>VLOOKUP(W1595,Employees!$A$1:$B$601,2,FALSE)</f>
        <v>Namita Nanda</v>
      </c>
      <c r="AW1595" s="54"/>
      <c r="AX1595" s="54"/>
      <c r="BI1595" s="48"/>
      <c r="BJ1595" s="38"/>
      <c r="BK1595" s="38"/>
      <c r="BL1595" s="38"/>
      <c r="BM1595"/>
      <c r="BN1595" s="48"/>
      <c r="BR1595" s="18" t="s">
        <v>434</v>
      </c>
      <c r="BS1595" s="18" t="s">
        <v>4421</v>
      </c>
      <c r="BT1595" s="54" t="str">
        <f t="shared" si="200"/>
        <v>Finance</v>
      </c>
    </row>
    <row r="1596" spans="17:72">
      <c r="Q1596" s="19">
        <v>9.7200000000000006</v>
      </c>
      <c r="R1596" s="56" t="str">
        <f t="shared" si="199"/>
        <v>Yes</v>
      </c>
      <c r="W1596" s="19" t="s">
        <v>434</v>
      </c>
      <c r="X1596" s="54" t="str">
        <f>VLOOKUP(W1596,Employees!$A$1:$B$601,2,FALSE)</f>
        <v>Namita Nanda</v>
      </c>
      <c r="AW1596" s="54"/>
      <c r="AX1596" s="54"/>
      <c r="BI1596" s="48"/>
      <c r="BJ1596" s="38"/>
      <c r="BK1596" s="38"/>
      <c r="BL1596" s="38"/>
      <c r="BM1596"/>
      <c r="BN1596" s="48"/>
      <c r="BR1596" s="19" t="s">
        <v>434</v>
      </c>
      <c r="BS1596" s="19" t="s">
        <v>4422</v>
      </c>
      <c r="BT1596" s="54" t="str">
        <f t="shared" si="200"/>
        <v>Finance</v>
      </c>
    </row>
    <row r="1597" spans="17:72">
      <c r="Q1597" s="18">
        <v>10.33</v>
      </c>
      <c r="R1597" s="56" t="str">
        <f t="shared" si="199"/>
        <v>Yes</v>
      </c>
      <c r="W1597" s="18" t="s">
        <v>434</v>
      </c>
      <c r="X1597" s="54" t="str">
        <f>VLOOKUP(W1597,Employees!$A$1:$B$601,2,FALSE)</f>
        <v>Namita Nanda</v>
      </c>
      <c r="AW1597" s="54"/>
      <c r="AX1597" s="54"/>
      <c r="BI1597" s="48"/>
      <c r="BJ1597" s="38"/>
      <c r="BK1597" s="38"/>
      <c r="BL1597" s="38"/>
      <c r="BM1597"/>
      <c r="BN1597" s="48"/>
      <c r="BR1597" s="18" t="s">
        <v>434</v>
      </c>
      <c r="BS1597" s="18" t="s">
        <v>4424</v>
      </c>
      <c r="BT1597" s="54" t="str">
        <f t="shared" si="200"/>
        <v>Finance</v>
      </c>
    </row>
    <row r="1598" spans="17:72">
      <c r="Q1598" s="19">
        <v>11.01</v>
      </c>
      <c r="R1598" s="56" t="str">
        <f t="shared" si="199"/>
        <v>Yes</v>
      </c>
      <c r="W1598" s="19" t="s">
        <v>434</v>
      </c>
      <c r="X1598" s="54" t="str">
        <f>VLOOKUP(W1598,Employees!$A$1:$B$601,2,FALSE)</f>
        <v>Namita Nanda</v>
      </c>
      <c r="AW1598" s="54"/>
      <c r="AX1598" s="54"/>
      <c r="BI1598" s="48"/>
      <c r="BJ1598" s="38"/>
      <c r="BK1598" s="38"/>
      <c r="BL1598" s="38"/>
      <c r="BM1598"/>
      <c r="BN1598" s="48"/>
      <c r="BR1598" s="19" t="s">
        <v>434</v>
      </c>
      <c r="BS1598" s="19" t="s">
        <v>4425</v>
      </c>
      <c r="BT1598" s="54" t="str">
        <f t="shared" si="200"/>
        <v>Finance</v>
      </c>
    </row>
    <row r="1599" spans="17:72">
      <c r="Q1599" s="18">
        <v>6.79</v>
      </c>
      <c r="R1599" s="56" t="str">
        <f t="shared" si="199"/>
        <v>Yes</v>
      </c>
      <c r="W1599" s="18" t="s">
        <v>434</v>
      </c>
      <c r="X1599" s="54" t="str">
        <f>VLOOKUP(W1599,Employees!$A$1:$B$601,2,FALSE)</f>
        <v>Namita Nanda</v>
      </c>
      <c r="AW1599" s="54"/>
      <c r="AX1599" s="54"/>
      <c r="BI1599" s="48"/>
      <c r="BJ1599" s="38"/>
      <c r="BK1599" s="38"/>
      <c r="BL1599" s="38"/>
      <c r="BM1599"/>
      <c r="BN1599" s="48"/>
      <c r="BR1599" s="18" t="s">
        <v>434</v>
      </c>
      <c r="BS1599" s="18" t="s">
        <v>4426</v>
      </c>
      <c r="BT1599" s="54" t="str">
        <f t="shared" si="200"/>
        <v>Finance</v>
      </c>
    </row>
    <row r="1600" spans="17:72">
      <c r="Q1600" s="19">
        <v>6.71</v>
      </c>
      <c r="R1600" s="56" t="str">
        <f t="shared" si="199"/>
        <v>Yes</v>
      </c>
      <c r="W1600" s="19" t="s">
        <v>434</v>
      </c>
      <c r="X1600" s="54" t="str">
        <f>VLOOKUP(W1600,Employees!$A$1:$B$601,2,FALSE)</f>
        <v>Namita Nanda</v>
      </c>
      <c r="AW1600" s="54"/>
      <c r="AX1600" s="54"/>
      <c r="BI1600" s="48"/>
      <c r="BJ1600" s="38"/>
      <c r="BK1600" s="38"/>
      <c r="BL1600" s="38"/>
      <c r="BM1600"/>
      <c r="BN1600" s="48"/>
      <c r="BR1600" s="19" t="s">
        <v>434</v>
      </c>
      <c r="BS1600" s="19" t="s">
        <v>4428</v>
      </c>
      <c r="BT1600" s="54" t="str">
        <f t="shared" si="200"/>
        <v>Finance</v>
      </c>
    </row>
    <row r="1601" spans="17:72">
      <c r="Q1601" s="18">
        <v>7.2</v>
      </c>
      <c r="R1601" s="56" t="str">
        <f t="shared" si="199"/>
        <v>Yes</v>
      </c>
      <c r="W1601" s="18" t="s">
        <v>434</v>
      </c>
      <c r="X1601" s="54" t="str">
        <f>VLOOKUP(W1601,Employees!$A$1:$B$601,2,FALSE)</f>
        <v>Namita Nanda</v>
      </c>
      <c r="AW1601" s="54"/>
      <c r="AX1601" s="54"/>
      <c r="BI1601" s="48"/>
      <c r="BJ1601" s="38"/>
      <c r="BK1601" s="38"/>
      <c r="BL1601" s="38"/>
      <c r="BM1601"/>
      <c r="BN1601" s="48"/>
      <c r="BR1601" s="18" t="s">
        <v>434</v>
      </c>
      <c r="BS1601" s="18" t="s">
        <v>4430</v>
      </c>
      <c r="BT1601" s="54" t="str">
        <f t="shared" si="200"/>
        <v>Finance</v>
      </c>
    </row>
    <row r="1602" spans="17:72">
      <c r="Q1602" s="19">
        <v>10.78</v>
      </c>
      <c r="R1602" s="56" t="str">
        <f t="shared" si="199"/>
        <v>Yes</v>
      </c>
      <c r="W1602" s="19" t="s">
        <v>434</v>
      </c>
      <c r="X1602" s="54" t="str">
        <f>VLOOKUP(W1602,Employees!$A$1:$B$601,2,FALSE)</f>
        <v>Namita Nanda</v>
      </c>
      <c r="AW1602" s="54"/>
      <c r="AX1602" s="54"/>
      <c r="BI1602" s="48"/>
      <c r="BJ1602" s="38"/>
      <c r="BK1602" s="38"/>
      <c r="BL1602" s="38"/>
      <c r="BM1602"/>
      <c r="BN1602" s="48"/>
      <c r="BR1602" s="19" t="s">
        <v>434</v>
      </c>
      <c r="BS1602" s="19" t="s">
        <v>4431</v>
      </c>
      <c r="BT1602" s="54" t="str">
        <f t="shared" si="200"/>
        <v>Finance</v>
      </c>
    </row>
    <row r="1603" spans="17:72">
      <c r="Q1603" s="18">
        <v>11.49</v>
      </c>
      <c r="R1603" s="56" t="str">
        <f t="shared" ref="R1603:R1666" si="201">IF(ISBLANK(Q1603),"No","Yes")</f>
        <v>Yes</v>
      </c>
      <c r="W1603" s="18" t="s">
        <v>434</v>
      </c>
      <c r="X1603" s="54" t="str">
        <f>VLOOKUP(W1603,Employees!$A$1:$B$601,2,FALSE)</f>
        <v>Namita Nanda</v>
      </c>
      <c r="AW1603" s="54"/>
      <c r="AX1603" s="54"/>
      <c r="BI1603" s="48"/>
      <c r="BJ1603" s="38"/>
      <c r="BK1603" s="38"/>
      <c r="BL1603" s="38"/>
      <c r="BM1603"/>
      <c r="BN1603" s="48"/>
      <c r="BR1603" s="18" t="s">
        <v>434</v>
      </c>
      <c r="BS1603" s="18" t="s">
        <v>4432</v>
      </c>
      <c r="BT1603" s="54" t="str">
        <f t="shared" ref="BT1603:BT1666" si="202">VLOOKUP(BR1603,$BP$2:$BQ$601,2,FALSE)</f>
        <v>Finance</v>
      </c>
    </row>
    <row r="1604" spans="17:72">
      <c r="Q1604" s="19">
        <v>6.84</v>
      </c>
      <c r="R1604" s="56" t="str">
        <f t="shared" si="201"/>
        <v>Yes</v>
      </c>
      <c r="W1604" s="19" t="s">
        <v>434</v>
      </c>
      <c r="X1604" s="54" t="str">
        <f>VLOOKUP(W1604,Employees!$A$1:$B$601,2,FALSE)</f>
        <v>Namita Nanda</v>
      </c>
      <c r="AW1604" s="54"/>
      <c r="AX1604" s="54"/>
      <c r="BI1604" s="48"/>
      <c r="BJ1604" s="38"/>
      <c r="BK1604" s="38"/>
      <c r="BL1604" s="38"/>
      <c r="BM1604"/>
      <c r="BN1604" s="48"/>
      <c r="BR1604" s="19" t="s">
        <v>434</v>
      </c>
      <c r="BS1604" s="19" t="s">
        <v>4433</v>
      </c>
      <c r="BT1604" s="54" t="str">
        <f t="shared" si="202"/>
        <v>Finance</v>
      </c>
    </row>
    <row r="1605" spans="17:72">
      <c r="Q1605" s="18">
        <v>9.7799999999999994</v>
      </c>
      <c r="R1605" s="56" t="str">
        <f t="shared" si="201"/>
        <v>Yes</v>
      </c>
      <c r="W1605" s="18" t="s">
        <v>434</v>
      </c>
      <c r="X1605" s="54" t="str">
        <f>VLOOKUP(W1605,Employees!$A$1:$B$601,2,FALSE)</f>
        <v>Namita Nanda</v>
      </c>
      <c r="AW1605" s="54"/>
      <c r="AX1605" s="54"/>
      <c r="BI1605" s="48"/>
      <c r="BJ1605" s="38"/>
      <c r="BK1605" s="38"/>
      <c r="BL1605" s="38"/>
      <c r="BM1605"/>
      <c r="BN1605" s="48"/>
      <c r="BR1605" s="18" t="s">
        <v>434</v>
      </c>
      <c r="BS1605" s="18" t="s">
        <v>4435</v>
      </c>
      <c r="BT1605" s="54" t="str">
        <f t="shared" si="202"/>
        <v>Finance</v>
      </c>
    </row>
    <row r="1606" spans="17:72">
      <c r="Q1606" s="19">
        <v>6.53</v>
      </c>
      <c r="R1606" s="56" t="str">
        <f t="shared" si="201"/>
        <v>Yes</v>
      </c>
      <c r="W1606" s="19" t="s">
        <v>434</v>
      </c>
      <c r="X1606" s="54" t="str">
        <f>VLOOKUP(W1606,Employees!$A$1:$B$601,2,FALSE)</f>
        <v>Namita Nanda</v>
      </c>
      <c r="AW1606" s="54"/>
      <c r="AX1606" s="54"/>
      <c r="BI1606" s="48"/>
      <c r="BJ1606" s="38"/>
      <c r="BK1606" s="38"/>
      <c r="BL1606" s="38"/>
      <c r="BM1606"/>
      <c r="BN1606" s="48"/>
      <c r="BR1606" s="19" t="s">
        <v>434</v>
      </c>
      <c r="BS1606" s="19" t="s">
        <v>4436</v>
      </c>
      <c r="BT1606" s="54" t="str">
        <f t="shared" si="202"/>
        <v>Finance</v>
      </c>
    </row>
    <row r="1607" spans="17:72">
      <c r="Q1607" s="18">
        <v>9.7200000000000006</v>
      </c>
      <c r="R1607" s="56" t="str">
        <f t="shared" si="201"/>
        <v>Yes</v>
      </c>
      <c r="W1607" s="18" t="s">
        <v>434</v>
      </c>
      <c r="X1607" s="54" t="str">
        <f>VLOOKUP(W1607,Employees!$A$1:$B$601,2,FALSE)</f>
        <v>Namita Nanda</v>
      </c>
      <c r="AW1607" s="54"/>
      <c r="AX1607" s="54"/>
      <c r="BI1607" s="48"/>
      <c r="BJ1607" s="38"/>
      <c r="BK1607" s="38"/>
      <c r="BL1607" s="38"/>
      <c r="BM1607"/>
      <c r="BN1607" s="48"/>
      <c r="BR1607" s="18" t="s">
        <v>434</v>
      </c>
      <c r="BS1607" s="18" t="s">
        <v>4437</v>
      </c>
      <c r="BT1607" s="54" t="str">
        <f t="shared" si="202"/>
        <v>Finance</v>
      </c>
    </row>
    <row r="1608" spans="17:72">
      <c r="Q1608" s="19">
        <v>7.61</v>
      </c>
      <c r="R1608" s="56" t="str">
        <f t="shared" si="201"/>
        <v>Yes</v>
      </c>
      <c r="W1608" s="19" t="s">
        <v>434</v>
      </c>
      <c r="X1608" s="54" t="str">
        <f>VLOOKUP(W1608,Employees!$A$1:$B$601,2,FALSE)</f>
        <v>Namita Nanda</v>
      </c>
      <c r="AW1608" s="54"/>
      <c r="AX1608" s="54"/>
      <c r="BI1608" s="48"/>
      <c r="BJ1608" s="38"/>
      <c r="BK1608" s="38"/>
      <c r="BL1608" s="38"/>
      <c r="BM1608"/>
      <c r="BN1608" s="48"/>
      <c r="BR1608" s="19" t="s">
        <v>434</v>
      </c>
      <c r="BS1608" s="19" t="s">
        <v>4438</v>
      </c>
      <c r="BT1608" s="54" t="str">
        <f t="shared" si="202"/>
        <v>Finance</v>
      </c>
    </row>
    <row r="1609" spans="17:72">
      <c r="Q1609" s="18">
        <v>8.0399999999999991</v>
      </c>
      <c r="R1609" s="56" t="str">
        <f t="shared" si="201"/>
        <v>Yes</v>
      </c>
      <c r="W1609" s="18" t="s">
        <v>434</v>
      </c>
      <c r="X1609" s="54" t="str">
        <f>VLOOKUP(W1609,Employees!$A$1:$B$601,2,FALSE)</f>
        <v>Namita Nanda</v>
      </c>
      <c r="AW1609" s="54"/>
      <c r="AX1609" s="54"/>
      <c r="BI1609" s="48"/>
      <c r="BJ1609" s="38"/>
      <c r="BK1609" s="38"/>
      <c r="BL1609" s="38"/>
      <c r="BM1609"/>
      <c r="BN1609" s="48"/>
      <c r="BR1609" s="18" t="s">
        <v>434</v>
      </c>
      <c r="BS1609" s="18" t="s">
        <v>4439</v>
      </c>
      <c r="BT1609" s="54" t="str">
        <f t="shared" si="202"/>
        <v>Finance</v>
      </c>
    </row>
    <row r="1610" spans="17:72">
      <c r="Q1610" s="19">
        <v>7.66</v>
      </c>
      <c r="R1610" s="56" t="str">
        <f t="shared" si="201"/>
        <v>Yes</v>
      </c>
      <c r="W1610" s="19" t="s">
        <v>434</v>
      </c>
      <c r="X1610" s="54" t="str">
        <f>VLOOKUP(W1610,Employees!$A$1:$B$601,2,FALSE)</f>
        <v>Namita Nanda</v>
      </c>
      <c r="AW1610" s="54"/>
      <c r="AX1610" s="54"/>
      <c r="BI1610" s="48"/>
      <c r="BJ1610" s="38"/>
      <c r="BK1610" s="38"/>
      <c r="BL1610" s="38"/>
      <c r="BM1610"/>
      <c r="BN1610" s="48"/>
      <c r="BR1610" s="19" t="s">
        <v>434</v>
      </c>
      <c r="BS1610" s="19" t="s">
        <v>4440</v>
      </c>
      <c r="BT1610" s="54" t="str">
        <f t="shared" si="202"/>
        <v>Finance</v>
      </c>
    </row>
    <row r="1611" spans="17:72">
      <c r="Q1611" s="18">
        <v>8.1199999999999992</v>
      </c>
      <c r="R1611" s="56" t="str">
        <f t="shared" si="201"/>
        <v>Yes</v>
      </c>
      <c r="W1611" s="18" t="s">
        <v>434</v>
      </c>
      <c r="X1611" s="54" t="str">
        <f>VLOOKUP(W1611,Employees!$A$1:$B$601,2,FALSE)</f>
        <v>Namita Nanda</v>
      </c>
      <c r="AW1611" s="54"/>
      <c r="AX1611" s="54"/>
      <c r="BI1611" s="48"/>
      <c r="BJ1611" s="38"/>
      <c r="BK1611" s="38"/>
      <c r="BL1611" s="38"/>
      <c r="BM1611"/>
      <c r="BN1611" s="48"/>
      <c r="BR1611" s="18" t="s">
        <v>434</v>
      </c>
      <c r="BS1611" s="18" t="s">
        <v>4441</v>
      </c>
      <c r="BT1611" s="54" t="str">
        <f t="shared" si="202"/>
        <v>Finance</v>
      </c>
    </row>
    <row r="1612" spans="17:72">
      <c r="Q1612" s="19">
        <v>8.1999999999999993</v>
      </c>
      <c r="R1612" s="56" t="str">
        <f t="shared" si="201"/>
        <v>Yes</v>
      </c>
      <c r="W1612" s="19" t="s">
        <v>434</v>
      </c>
      <c r="X1612" s="54" t="str">
        <f>VLOOKUP(W1612,Employees!$A$1:$B$601,2,FALSE)</f>
        <v>Namita Nanda</v>
      </c>
      <c r="AW1612" s="54"/>
      <c r="AX1612" s="54"/>
      <c r="BI1612" s="48"/>
      <c r="BJ1612" s="38"/>
      <c r="BK1612" s="38"/>
      <c r="BL1612" s="38"/>
      <c r="BM1612"/>
      <c r="BN1612" s="48"/>
      <c r="BR1612" s="19" t="s">
        <v>434</v>
      </c>
      <c r="BS1612" s="19" t="s">
        <v>4442</v>
      </c>
      <c r="BT1612" s="54" t="str">
        <f t="shared" si="202"/>
        <v>Finance</v>
      </c>
    </row>
    <row r="1613" spans="17:72">
      <c r="Q1613" s="18">
        <v>10.74</v>
      </c>
      <c r="R1613" s="56" t="str">
        <f t="shared" si="201"/>
        <v>Yes</v>
      </c>
      <c r="W1613" s="18" t="s">
        <v>434</v>
      </c>
      <c r="X1613" s="54" t="str">
        <f>VLOOKUP(W1613,Employees!$A$1:$B$601,2,FALSE)</f>
        <v>Namita Nanda</v>
      </c>
      <c r="AW1613" s="54"/>
      <c r="AX1613" s="54"/>
      <c r="BI1613" s="48"/>
      <c r="BJ1613" s="38"/>
      <c r="BK1613" s="38"/>
      <c r="BL1613" s="38"/>
      <c r="BM1613"/>
      <c r="BN1613" s="48"/>
      <c r="BR1613" s="18" t="s">
        <v>434</v>
      </c>
      <c r="BS1613" s="18" t="s">
        <v>4443</v>
      </c>
      <c r="BT1613" s="54" t="str">
        <f t="shared" si="202"/>
        <v>Finance</v>
      </c>
    </row>
    <row r="1614" spans="17:72">
      <c r="Q1614" s="19">
        <v>7.25</v>
      </c>
      <c r="R1614" s="56" t="str">
        <f t="shared" si="201"/>
        <v>Yes</v>
      </c>
      <c r="W1614" s="19" t="s">
        <v>434</v>
      </c>
      <c r="X1614" s="54" t="str">
        <f>VLOOKUP(W1614,Employees!$A$1:$B$601,2,FALSE)</f>
        <v>Namita Nanda</v>
      </c>
      <c r="AW1614" s="54"/>
      <c r="AX1614" s="54"/>
      <c r="BI1614" s="48"/>
      <c r="BJ1614" s="38"/>
      <c r="BK1614" s="38"/>
      <c r="BL1614" s="38"/>
      <c r="BM1614"/>
      <c r="BN1614" s="48"/>
      <c r="BR1614" s="19" t="s">
        <v>434</v>
      </c>
      <c r="BS1614" s="19" t="s">
        <v>4444</v>
      </c>
      <c r="BT1614" s="54" t="str">
        <f t="shared" si="202"/>
        <v>Finance</v>
      </c>
    </row>
    <row r="1615" spans="17:72">
      <c r="Q1615" s="18">
        <v>8.39</v>
      </c>
      <c r="R1615" s="56" t="str">
        <f t="shared" si="201"/>
        <v>Yes</v>
      </c>
      <c r="W1615" s="18" t="s">
        <v>434</v>
      </c>
      <c r="X1615" s="54" t="str">
        <f>VLOOKUP(W1615,Employees!$A$1:$B$601,2,FALSE)</f>
        <v>Namita Nanda</v>
      </c>
      <c r="AW1615" s="54"/>
      <c r="AX1615" s="54"/>
      <c r="BI1615" s="48"/>
      <c r="BJ1615" s="38"/>
      <c r="BK1615" s="38"/>
      <c r="BL1615" s="38"/>
      <c r="BM1615"/>
      <c r="BN1615" s="48"/>
      <c r="BR1615" s="18" t="s">
        <v>434</v>
      </c>
      <c r="BS1615" s="18" t="s">
        <v>4445</v>
      </c>
      <c r="BT1615" s="54" t="str">
        <f t="shared" si="202"/>
        <v>Finance</v>
      </c>
    </row>
    <row r="1616" spans="17:72">
      <c r="Q1616" s="19"/>
      <c r="R1616" s="56" t="str">
        <f t="shared" si="201"/>
        <v>No</v>
      </c>
      <c r="W1616" s="19" t="s">
        <v>434</v>
      </c>
      <c r="X1616" s="54" t="str">
        <f>VLOOKUP(W1616,Employees!$A$1:$B$601,2,FALSE)</f>
        <v>Namita Nanda</v>
      </c>
      <c r="AW1616" s="54"/>
      <c r="AX1616" s="54"/>
      <c r="BI1616" s="48"/>
      <c r="BJ1616" s="38"/>
      <c r="BK1616" s="38"/>
      <c r="BL1616" s="38"/>
      <c r="BM1616"/>
      <c r="BN1616" s="48"/>
      <c r="BR1616" s="19" t="s">
        <v>434</v>
      </c>
      <c r="BS1616" s="19" t="s">
        <v>4446</v>
      </c>
      <c r="BT1616" s="54" t="str">
        <f t="shared" si="202"/>
        <v>Finance</v>
      </c>
    </row>
    <row r="1617" spans="17:72">
      <c r="Q1617" s="18">
        <v>6.73</v>
      </c>
      <c r="R1617" s="56" t="str">
        <f t="shared" si="201"/>
        <v>Yes</v>
      </c>
      <c r="W1617" s="18" t="s">
        <v>434</v>
      </c>
      <c r="X1617" s="54" t="str">
        <f>VLOOKUP(W1617,Employees!$A$1:$B$601,2,FALSE)</f>
        <v>Namita Nanda</v>
      </c>
      <c r="AW1617" s="54"/>
      <c r="AX1617" s="54"/>
      <c r="BI1617" s="48"/>
      <c r="BJ1617" s="38"/>
      <c r="BK1617" s="38"/>
      <c r="BL1617" s="38"/>
      <c r="BM1617"/>
      <c r="BN1617" s="48"/>
      <c r="BR1617" s="18" t="s">
        <v>434</v>
      </c>
      <c r="BS1617" s="18" t="s">
        <v>4447</v>
      </c>
      <c r="BT1617" s="54" t="str">
        <f t="shared" si="202"/>
        <v>Finance</v>
      </c>
    </row>
    <row r="1618" spans="17:72">
      <c r="Q1618" s="19">
        <v>10.66</v>
      </c>
      <c r="R1618" s="56" t="str">
        <f t="shared" si="201"/>
        <v>Yes</v>
      </c>
      <c r="W1618" s="19" t="s">
        <v>434</v>
      </c>
      <c r="X1618" s="54" t="str">
        <f>VLOOKUP(W1618,Employees!$A$1:$B$601,2,FALSE)</f>
        <v>Namita Nanda</v>
      </c>
      <c r="AW1618" s="54"/>
      <c r="AX1618" s="54"/>
      <c r="BI1618" s="48"/>
      <c r="BJ1618" s="38"/>
      <c r="BK1618" s="38"/>
      <c r="BL1618" s="38"/>
      <c r="BM1618"/>
      <c r="BN1618" s="48"/>
      <c r="BR1618" s="19" t="s">
        <v>434</v>
      </c>
      <c r="BS1618" s="19" t="s">
        <v>4448</v>
      </c>
      <c r="BT1618" s="54" t="str">
        <f t="shared" si="202"/>
        <v>Finance</v>
      </c>
    </row>
    <row r="1619" spans="17:72">
      <c r="Q1619" s="18">
        <v>6.94</v>
      </c>
      <c r="R1619" s="56" t="str">
        <f t="shared" si="201"/>
        <v>Yes</v>
      </c>
      <c r="W1619" s="18" t="s">
        <v>434</v>
      </c>
      <c r="X1619" s="54" t="str">
        <f>VLOOKUP(W1619,Employees!$A$1:$B$601,2,FALSE)</f>
        <v>Namita Nanda</v>
      </c>
      <c r="AW1619" s="54"/>
      <c r="AX1619" s="54"/>
      <c r="BI1619" s="48"/>
      <c r="BJ1619" s="38"/>
      <c r="BK1619" s="38"/>
      <c r="BL1619" s="38"/>
      <c r="BM1619"/>
      <c r="BN1619" s="48"/>
      <c r="BR1619" s="18" t="s">
        <v>434</v>
      </c>
      <c r="BS1619" s="18" t="s">
        <v>4449</v>
      </c>
      <c r="BT1619" s="54" t="str">
        <f t="shared" si="202"/>
        <v>Finance</v>
      </c>
    </row>
    <row r="1620" spans="17:72">
      <c r="Q1620" s="19">
        <v>9.2200000000000006</v>
      </c>
      <c r="R1620" s="56" t="str">
        <f t="shared" si="201"/>
        <v>Yes</v>
      </c>
      <c r="W1620" s="19" t="s">
        <v>434</v>
      </c>
      <c r="X1620" s="54" t="str">
        <f>VLOOKUP(W1620,Employees!$A$1:$B$601,2,FALSE)</f>
        <v>Namita Nanda</v>
      </c>
      <c r="AW1620" s="54"/>
      <c r="AX1620" s="54"/>
      <c r="BI1620" s="48"/>
      <c r="BJ1620" s="38"/>
      <c r="BK1620" s="38"/>
      <c r="BL1620" s="38"/>
      <c r="BM1620"/>
      <c r="BN1620" s="48"/>
      <c r="BR1620" s="19" t="s">
        <v>434</v>
      </c>
      <c r="BS1620" s="19" t="s">
        <v>4450</v>
      </c>
      <c r="BT1620" s="54" t="str">
        <f t="shared" si="202"/>
        <v>Finance</v>
      </c>
    </row>
    <row r="1621" spans="17:72">
      <c r="Q1621" s="18">
        <v>10.77</v>
      </c>
      <c r="R1621" s="56" t="str">
        <f t="shared" si="201"/>
        <v>Yes</v>
      </c>
      <c r="W1621" s="18" t="s">
        <v>434</v>
      </c>
      <c r="X1621" s="54" t="str">
        <f>VLOOKUP(W1621,Employees!$A$1:$B$601,2,FALSE)</f>
        <v>Namita Nanda</v>
      </c>
      <c r="AW1621" s="54"/>
      <c r="AX1621" s="54"/>
      <c r="BI1621" s="48"/>
      <c r="BJ1621" s="38"/>
      <c r="BK1621" s="38"/>
      <c r="BL1621" s="38"/>
      <c r="BM1621"/>
      <c r="BN1621" s="48"/>
      <c r="BR1621" s="18" t="s">
        <v>434</v>
      </c>
      <c r="BS1621" s="18" t="s">
        <v>4451</v>
      </c>
      <c r="BT1621" s="54" t="str">
        <f t="shared" si="202"/>
        <v>Finance</v>
      </c>
    </row>
    <row r="1622" spans="17:72">
      <c r="Q1622" s="19">
        <v>8.02</v>
      </c>
      <c r="R1622" s="56" t="str">
        <f t="shared" si="201"/>
        <v>Yes</v>
      </c>
      <c r="W1622" s="19" t="s">
        <v>434</v>
      </c>
      <c r="X1622" s="54" t="str">
        <f>VLOOKUP(W1622,Employees!$A$1:$B$601,2,FALSE)</f>
        <v>Namita Nanda</v>
      </c>
      <c r="AW1622" s="54"/>
      <c r="AX1622" s="54"/>
      <c r="BI1622" s="48"/>
      <c r="BJ1622" s="38"/>
      <c r="BK1622" s="38"/>
      <c r="BL1622" s="38"/>
      <c r="BM1622"/>
      <c r="BN1622" s="48"/>
      <c r="BR1622" s="19" t="s">
        <v>434</v>
      </c>
      <c r="BS1622" s="19" t="s">
        <v>4452</v>
      </c>
      <c r="BT1622" s="54" t="str">
        <f t="shared" si="202"/>
        <v>Finance</v>
      </c>
    </row>
    <row r="1623" spans="17:72">
      <c r="Q1623" s="18">
        <v>8.44</v>
      </c>
      <c r="R1623" s="56" t="str">
        <f t="shared" si="201"/>
        <v>Yes</v>
      </c>
      <c r="W1623" s="18" t="s">
        <v>434</v>
      </c>
      <c r="X1623" s="54" t="str">
        <f>VLOOKUP(W1623,Employees!$A$1:$B$601,2,FALSE)</f>
        <v>Namita Nanda</v>
      </c>
      <c r="AW1623" s="54"/>
      <c r="AX1623" s="54"/>
      <c r="BI1623" s="48"/>
      <c r="BJ1623" s="38"/>
      <c r="BK1623" s="38"/>
      <c r="BL1623" s="38"/>
      <c r="BM1623"/>
      <c r="BN1623" s="48"/>
      <c r="BR1623" s="18" t="s">
        <v>434</v>
      </c>
      <c r="BS1623" s="18" t="s">
        <v>4453</v>
      </c>
      <c r="BT1623" s="54" t="str">
        <f t="shared" si="202"/>
        <v>Finance</v>
      </c>
    </row>
    <row r="1624" spans="17:72">
      <c r="Q1624" s="19">
        <v>7.02</v>
      </c>
      <c r="R1624" s="56" t="str">
        <f t="shared" si="201"/>
        <v>Yes</v>
      </c>
      <c r="W1624" s="19" t="s">
        <v>434</v>
      </c>
      <c r="X1624" s="54" t="str">
        <f>VLOOKUP(W1624,Employees!$A$1:$B$601,2,FALSE)</f>
        <v>Namita Nanda</v>
      </c>
      <c r="AW1624" s="54"/>
      <c r="AX1624" s="54"/>
      <c r="BI1624" s="48"/>
      <c r="BJ1624" s="38"/>
      <c r="BK1624" s="38"/>
      <c r="BL1624" s="38"/>
      <c r="BM1624"/>
      <c r="BN1624" s="48"/>
      <c r="BR1624" s="19" t="s">
        <v>434</v>
      </c>
      <c r="BS1624" s="19" t="s">
        <v>4454</v>
      </c>
      <c r="BT1624" s="54" t="str">
        <f t="shared" si="202"/>
        <v>Finance</v>
      </c>
    </row>
    <row r="1625" spans="17:72">
      <c r="Q1625" s="18">
        <v>11.38</v>
      </c>
      <c r="R1625" s="56" t="str">
        <f t="shared" si="201"/>
        <v>Yes</v>
      </c>
      <c r="W1625" s="18" t="s">
        <v>434</v>
      </c>
      <c r="X1625" s="54" t="str">
        <f>VLOOKUP(W1625,Employees!$A$1:$B$601,2,FALSE)</f>
        <v>Namita Nanda</v>
      </c>
      <c r="AW1625" s="54"/>
      <c r="AX1625" s="54"/>
      <c r="BI1625" s="48"/>
      <c r="BJ1625" s="38"/>
      <c r="BK1625" s="38"/>
      <c r="BL1625" s="38"/>
      <c r="BM1625"/>
      <c r="BN1625" s="48"/>
      <c r="BR1625" s="18" t="s">
        <v>434</v>
      </c>
      <c r="BS1625" s="18" t="s">
        <v>4455</v>
      </c>
      <c r="BT1625" s="54" t="str">
        <f t="shared" si="202"/>
        <v>Finance</v>
      </c>
    </row>
    <row r="1626" spans="17:72">
      <c r="Q1626" s="19">
        <v>8.7200000000000006</v>
      </c>
      <c r="R1626" s="56" t="str">
        <f t="shared" si="201"/>
        <v>Yes</v>
      </c>
      <c r="W1626" s="19" t="s">
        <v>434</v>
      </c>
      <c r="X1626" s="54" t="str">
        <f>VLOOKUP(W1626,Employees!$A$1:$B$601,2,FALSE)</f>
        <v>Namita Nanda</v>
      </c>
      <c r="AW1626" s="54"/>
      <c r="AX1626" s="54"/>
      <c r="BI1626" s="48"/>
      <c r="BJ1626" s="38"/>
      <c r="BK1626" s="38"/>
      <c r="BL1626" s="38"/>
      <c r="BM1626"/>
      <c r="BN1626" s="48"/>
      <c r="BR1626" s="19" t="s">
        <v>434</v>
      </c>
      <c r="BS1626" s="19" t="s">
        <v>4456</v>
      </c>
      <c r="BT1626" s="54" t="str">
        <f t="shared" si="202"/>
        <v>Finance</v>
      </c>
    </row>
    <row r="1627" spans="17:72">
      <c r="Q1627" s="18">
        <v>7.54</v>
      </c>
      <c r="R1627" s="56" t="str">
        <f t="shared" si="201"/>
        <v>Yes</v>
      </c>
      <c r="W1627" s="18" t="s">
        <v>434</v>
      </c>
      <c r="X1627" s="54" t="str">
        <f>VLOOKUP(W1627,Employees!$A$1:$B$601,2,FALSE)</f>
        <v>Namita Nanda</v>
      </c>
      <c r="AW1627" s="54"/>
      <c r="AX1627" s="54"/>
      <c r="BI1627" s="48"/>
      <c r="BJ1627" s="38"/>
      <c r="BK1627" s="38"/>
      <c r="BL1627" s="38"/>
      <c r="BM1627"/>
      <c r="BN1627" s="48"/>
      <c r="BR1627" s="18" t="s">
        <v>434</v>
      </c>
      <c r="BS1627" s="18" t="s">
        <v>4457</v>
      </c>
      <c r="BT1627" s="54" t="str">
        <f t="shared" si="202"/>
        <v>Finance</v>
      </c>
    </row>
    <row r="1628" spans="17:72">
      <c r="Q1628" s="19">
        <v>7.39</v>
      </c>
      <c r="R1628" s="56" t="str">
        <f t="shared" si="201"/>
        <v>Yes</v>
      </c>
      <c r="W1628" s="19" t="s">
        <v>434</v>
      </c>
      <c r="X1628" s="54" t="str">
        <f>VLOOKUP(W1628,Employees!$A$1:$B$601,2,FALSE)</f>
        <v>Namita Nanda</v>
      </c>
      <c r="AW1628" s="54"/>
      <c r="AX1628" s="54"/>
      <c r="BI1628" s="48"/>
      <c r="BJ1628" s="38"/>
      <c r="BK1628" s="38"/>
      <c r="BL1628" s="38"/>
      <c r="BM1628"/>
      <c r="BN1628" s="48"/>
      <c r="BR1628" s="19" t="s">
        <v>434</v>
      </c>
      <c r="BS1628" s="19" t="s">
        <v>4458</v>
      </c>
      <c r="BT1628" s="54" t="str">
        <f t="shared" si="202"/>
        <v>Finance</v>
      </c>
    </row>
    <row r="1629" spans="17:72">
      <c r="Q1629" s="18">
        <v>8.43</v>
      </c>
      <c r="R1629" s="56" t="str">
        <f t="shared" si="201"/>
        <v>Yes</v>
      </c>
      <c r="W1629" s="18" t="s">
        <v>434</v>
      </c>
      <c r="X1629" s="54" t="str">
        <f>VLOOKUP(W1629,Employees!$A$1:$B$601,2,FALSE)</f>
        <v>Namita Nanda</v>
      </c>
      <c r="AW1629" s="54"/>
      <c r="AX1629" s="54"/>
      <c r="BI1629" s="48"/>
      <c r="BJ1629" s="38"/>
      <c r="BK1629" s="38"/>
      <c r="BL1629" s="38"/>
      <c r="BM1629"/>
      <c r="BN1629" s="48"/>
      <c r="BR1629" s="18" t="s">
        <v>434</v>
      </c>
      <c r="BS1629" s="18" t="s">
        <v>4459</v>
      </c>
      <c r="BT1629" s="54" t="str">
        <f t="shared" si="202"/>
        <v>Finance</v>
      </c>
    </row>
    <row r="1630" spans="17:72">
      <c r="Q1630" s="19">
        <v>10.5</v>
      </c>
      <c r="R1630" s="56" t="str">
        <f t="shared" si="201"/>
        <v>Yes</v>
      </c>
      <c r="W1630" s="19" t="s">
        <v>434</v>
      </c>
      <c r="X1630" s="54" t="str">
        <f>VLOOKUP(W1630,Employees!$A$1:$B$601,2,FALSE)</f>
        <v>Namita Nanda</v>
      </c>
      <c r="AW1630" s="54"/>
      <c r="AX1630" s="54"/>
      <c r="BI1630" s="48"/>
      <c r="BJ1630" s="38"/>
      <c r="BK1630" s="38"/>
      <c r="BL1630" s="38"/>
      <c r="BM1630"/>
      <c r="BN1630" s="48"/>
      <c r="BR1630" s="19" t="s">
        <v>434</v>
      </c>
      <c r="BS1630" s="19" t="s">
        <v>4460</v>
      </c>
      <c r="BT1630" s="54" t="str">
        <f t="shared" si="202"/>
        <v>Finance</v>
      </c>
    </row>
    <row r="1631" spans="17:72">
      <c r="Q1631" s="18">
        <v>9.6300000000000008</v>
      </c>
      <c r="R1631" s="56" t="str">
        <f t="shared" si="201"/>
        <v>Yes</v>
      </c>
      <c r="W1631" s="18" t="s">
        <v>434</v>
      </c>
      <c r="X1631" s="54" t="str">
        <f>VLOOKUP(W1631,Employees!$A$1:$B$601,2,FALSE)</f>
        <v>Namita Nanda</v>
      </c>
      <c r="AW1631" s="54"/>
      <c r="AX1631" s="54"/>
      <c r="BI1631" s="48"/>
      <c r="BJ1631" s="38"/>
      <c r="BK1631" s="38"/>
      <c r="BL1631" s="38"/>
      <c r="BM1631"/>
      <c r="BN1631" s="48"/>
      <c r="BR1631" s="18" t="s">
        <v>434</v>
      </c>
      <c r="BS1631" s="18" t="s">
        <v>4461</v>
      </c>
      <c r="BT1631" s="54" t="str">
        <f t="shared" si="202"/>
        <v>Finance</v>
      </c>
    </row>
    <row r="1632" spans="17:72">
      <c r="Q1632" s="19">
        <v>11.29</v>
      </c>
      <c r="R1632" s="56" t="str">
        <f t="shared" si="201"/>
        <v>Yes</v>
      </c>
      <c r="W1632" s="19" t="s">
        <v>434</v>
      </c>
      <c r="X1632" s="54" t="str">
        <f>VLOOKUP(W1632,Employees!$A$1:$B$601,2,FALSE)</f>
        <v>Namita Nanda</v>
      </c>
      <c r="AW1632" s="54"/>
      <c r="AX1632" s="54"/>
      <c r="BI1632" s="48"/>
      <c r="BJ1632" s="38"/>
      <c r="BK1632" s="38"/>
      <c r="BL1632" s="38"/>
      <c r="BM1632"/>
      <c r="BN1632" s="48"/>
      <c r="BR1632" s="19" t="s">
        <v>434</v>
      </c>
      <c r="BS1632" s="19" t="s">
        <v>4462</v>
      </c>
      <c r="BT1632" s="54" t="str">
        <f t="shared" si="202"/>
        <v>Finance</v>
      </c>
    </row>
    <row r="1633" spans="17:72">
      <c r="Q1633" s="18">
        <v>9.58</v>
      </c>
      <c r="R1633" s="56" t="str">
        <f t="shared" si="201"/>
        <v>Yes</v>
      </c>
      <c r="W1633" s="18" t="s">
        <v>434</v>
      </c>
      <c r="X1633" s="54" t="str">
        <f>VLOOKUP(W1633,Employees!$A$1:$B$601,2,FALSE)</f>
        <v>Namita Nanda</v>
      </c>
      <c r="AW1633" s="54"/>
      <c r="AX1633" s="54"/>
      <c r="BI1633" s="48"/>
      <c r="BJ1633" s="38"/>
      <c r="BK1633" s="38"/>
      <c r="BL1633" s="38"/>
      <c r="BM1633"/>
      <c r="BN1633" s="48"/>
      <c r="BR1633" s="18" t="s">
        <v>434</v>
      </c>
      <c r="BS1633" s="18" t="s">
        <v>4463</v>
      </c>
      <c r="BT1633" s="54" t="str">
        <f t="shared" si="202"/>
        <v>Finance</v>
      </c>
    </row>
    <row r="1634" spans="17:72">
      <c r="Q1634" s="19">
        <v>9.65</v>
      </c>
      <c r="R1634" s="56" t="str">
        <f t="shared" si="201"/>
        <v>Yes</v>
      </c>
      <c r="W1634" s="19" t="s">
        <v>434</v>
      </c>
      <c r="X1634" s="54" t="str">
        <f>VLOOKUP(W1634,Employees!$A$1:$B$601,2,FALSE)</f>
        <v>Namita Nanda</v>
      </c>
      <c r="AW1634" s="54"/>
      <c r="AX1634" s="54"/>
      <c r="BI1634" s="48"/>
      <c r="BJ1634" s="38"/>
      <c r="BK1634" s="38"/>
      <c r="BL1634" s="38"/>
      <c r="BM1634"/>
      <c r="BN1634" s="48"/>
      <c r="BR1634" s="19" t="s">
        <v>434</v>
      </c>
      <c r="BS1634" s="19" t="s">
        <v>4464</v>
      </c>
      <c r="BT1634" s="54" t="str">
        <f t="shared" si="202"/>
        <v>Finance</v>
      </c>
    </row>
    <row r="1635" spans="17:72">
      <c r="Q1635" s="18">
        <v>10.14</v>
      </c>
      <c r="R1635" s="56" t="str">
        <f t="shared" si="201"/>
        <v>Yes</v>
      </c>
      <c r="W1635" s="18" t="s">
        <v>434</v>
      </c>
      <c r="X1635" s="54" t="str">
        <f>VLOOKUP(W1635,Employees!$A$1:$B$601,2,FALSE)</f>
        <v>Namita Nanda</v>
      </c>
      <c r="AW1635" s="54"/>
      <c r="AX1635" s="54"/>
      <c r="BI1635" s="48"/>
      <c r="BJ1635" s="38"/>
      <c r="BK1635" s="38"/>
      <c r="BL1635" s="38"/>
      <c r="BM1635"/>
      <c r="BN1635" s="48"/>
      <c r="BR1635" s="18" t="s">
        <v>434</v>
      </c>
      <c r="BS1635" s="18" t="s">
        <v>4465</v>
      </c>
      <c r="BT1635" s="54" t="str">
        <f t="shared" si="202"/>
        <v>Finance</v>
      </c>
    </row>
    <row r="1636" spans="17:72">
      <c r="Q1636" s="19">
        <v>6.88</v>
      </c>
      <c r="R1636" s="56" t="str">
        <f t="shared" si="201"/>
        <v>Yes</v>
      </c>
      <c r="W1636" s="19" t="s">
        <v>837</v>
      </c>
      <c r="X1636" s="54" t="str">
        <f>VLOOKUP(W1636,Employees!$A$1:$B$601,2,FALSE)</f>
        <v>Soumya Tripathy</v>
      </c>
      <c r="AW1636" s="54"/>
      <c r="AX1636" s="54"/>
      <c r="BI1636" s="48"/>
      <c r="BJ1636" s="38"/>
      <c r="BK1636" s="38"/>
      <c r="BL1636" s="38"/>
      <c r="BM1636"/>
      <c r="BN1636" s="48"/>
      <c r="BR1636" s="19" t="s">
        <v>837</v>
      </c>
      <c r="BS1636" s="19" t="s">
        <v>4466</v>
      </c>
      <c r="BT1636" s="54" t="str">
        <f t="shared" si="202"/>
        <v>Finance</v>
      </c>
    </row>
    <row r="1637" spans="17:72">
      <c r="Q1637" s="18">
        <v>10.33</v>
      </c>
      <c r="R1637" s="56" t="str">
        <f t="shared" si="201"/>
        <v>Yes</v>
      </c>
      <c r="W1637" s="18" t="s">
        <v>837</v>
      </c>
      <c r="X1637" s="54" t="str">
        <f>VLOOKUP(W1637,Employees!$A$1:$B$601,2,FALSE)</f>
        <v>Soumya Tripathy</v>
      </c>
      <c r="AW1637" s="54"/>
      <c r="AX1637" s="54"/>
      <c r="BI1637" s="48"/>
      <c r="BJ1637" s="38"/>
      <c r="BK1637" s="38"/>
      <c r="BL1637" s="38"/>
      <c r="BM1637"/>
      <c r="BN1637" s="48"/>
      <c r="BR1637" s="18" t="s">
        <v>837</v>
      </c>
      <c r="BS1637" s="18" t="s">
        <v>4467</v>
      </c>
      <c r="BT1637" s="54" t="str">
        <f t="shared" si="202"/>
        <v>Finance</v>
      </c>
    </row>
    <row r="1638" spans="17:72">
      <c r="Q1638" s="19">
        <v>6.73</v>
      </c>
      <c r="R1638" s="56" t="str">
        <f t="shared" si="201"/>
        <v>Yes</v>
      </c>
      <c r="W1638" s="19" t="s">
        <v>837</v>
      </c>
      <c r="X1638" s="54" t="str">
        <f>VLOOKUP(W1638,Employees!$A$1:$B$601,2,FALSE)</f>
        <v>Soumya Tripathy</v>
      </c>
      <c r="AW1638" s="54"/>
      <c r="AX1638" s="54"/>
      <c r="BI1638" s="48"/>
      <c r="BJ1638" s="38"/>
      <c r="BK1638" s="38"/>
      <c r="BL1638" s="38"/>
      <c r="BM1638"/>
      <c r="BN1638" s="48"/>
      <c r="BR1638" s="19" t="s">
        <v>837</v>
      </c>
      <c r="BS1638" s="19" t="s">
        <v>4468</v>
      </c>
      <c r="BT1638" s="54" t="str">
        <f t="shared" si="202"/>
        <v>Finance</v>
      </c>
    </row>
    <row r="1639" spans="17:72">
      <c r="Q1639" s="18">
        <v>10.050000000000001</v>
      </c>
      <c r="R1639" s="56" t="str">
        <f t="shared" si="201"/>
        <v>Yes</v>
      </c>
      <c r="W1639" s="18" t="s">
        <v>837</v>
      </c>
      <c r="X1639" s="54" t="str">
        <f>VLOOKUP(W1639,Employees!$A$1:$B$601,2,FALSE)</f>
        <v>Soumya Tripathy</v>
      </c>
      <c r="AW1639" s="54"/>
      <c r="AX1639" s="54"/>
      <c r="BI1639" s="48"/>
      <c r="BJ1639" s="38"/>
      <c r="BK1639" s="38"/>
      <c r="BL1639" s="38"/>
      <c r="BM1639"/>
      <c r="BN1639" s="48"/>
      <c r="BR1639" s="18" t="s">
        <v>837</v>
      </c>
      <c r="BS1639" s="18" t="s">
        <v>4469</v>
      </c>
      <c r="BT1639" s="54" t="str">
        <f t="shared" si="202"/>
        <v>Finance</v>
      </c>
    </row>
    <row r="1640" spans="17:72">
      <c r="Q1640" s="19">
        <v>7.55</v>
      </c>
      <c r="R1640" s="56" t="str">
        <f t="shared" si="201"/>
        <v>Yes</v>
      </c>
      <c r="W1640" s="19" t="s">
        <v>837</v>
      </c>
      <c r="X1640" s="54" t="str">
        <f>VLOOKUP(W1640,Employees!$A$1:$B$601,2,FALSE)</f>
        <v>Soumya Tripathy</v>
      </c>
      <c r="AW1640" s="54"/>
      <c r="AX1640" s="54"/>
      <c r="BI1640" s="48"/>
      <c r="BJ1640" s="38"/>
      <c r="BK1640" s="38"/>
      <c r="BL1640" s="38"/>
      <c r="BM1640"/>
      <c r="BN1640" s="48"/>
      <c r="BR1640" s="19" t="s">
        <v>837</v>
      </c>
      <c r="BS1640" s="19" t="s">
        <v>4470</v>
      </c>
      <c r="BT1640" s="54" t="str">
        <f t="shared" si="202"/>
        <v>Finance</v>
      </c>
    </row>
    <row r="1641" spans="17:72">
      <c r="Q1641" s="18">
        <v>10.63</v>
      </c>
      <c r="R1641" s="56" t="str">
        <f t="shared" si="201"/>
        <v>Yes</v>
      </c>
      <c r="W1641" s="18" t="s">
        <v>837</v>
      </c>
      <c r="X1641" s="54" t="str">
        <f>VLOOKUP(W1641,Employees!$A$1:$B$601,2,FALSE)</f>
        <v>Soumya Tripathy</v>
      </c>
      <c r="AW1641" s="54"/>
      <c r="AX1641" s="54"/>
      <c r="BI1641" s="48"/>
      <c r="BJ1641" s="38"/>
      <c r="BK1641" s="38"/>
      <c r="BL1641" s="38"/>
      <c r="BM1641"/>
      <c r="BN1641" s="48"/>
      <c r="BR1641" s="18" t="s">
        <v>837</v>
      </c>
      <c r="BS1641" s="18" t="s">
        <v>4471</v>
      </c>
      <c r="BT1641" s="54" t="str">
        <f t="shared" si="202"/>
        <v>Finance</v>
      </c>
    </row>
    <row r="1642" spans="17:72">
      <c r="Q1642" s="19">
        <v>7.57</v>
      </c>
      <c r="R1642" s="56" t="str">
        <f t="shared" si="201"/>
        <v>Yes</v>
      </c>
      <c r="W1642" s="19" t="s">
        <v>837</v>
      </c>
      <c r="X1642" s="54" t="str">
        <f>VLOOKUP(W1642,Employees!$A$1:$B$601,2,FALSE)</f>
        <v>Soumya Tripathy</v>
      </c>
      <c r="AW1642" s="54"/>
      <c r="AX1642" s="54"/>
      <c r="BI1642" s="48"/>
      <c r="BJ1642" s="38"/>
      <c r="BK1642" s="38"/>
      <c r="BL1642" s="38"/>
      <c r="BM1642"/>
      <c r="BN1642" s="48"/>
      <c r="BR1642" s="19" t="s">
        <v>837</v>
      </c>
      <c r="BS1642" s="19" t="s">
        <v>4472</v>
      </c>
      <c r="BT1642" s="54" t="str">
        <f t="shared" si="202"/>
        <v>Finance</v>
      </c>
    </row>
    <row r="1643" spans="17:72">
      <c r="Q1643" s="18">
        <v>6.61</v>
      </c>
      <c r="R1643" s="56" t="str">
        <f t="shared" si="201"/>
        <v>Yes</v>
      </c>
      <c r="W1643" s="18" t="s">
        <v>837</v>
      </c>
      <c r="X1643" s="54" t="str">
        <f>VLOOKUP(W1643,Employees!$A$1:$B$601,2,FALSE)</f>
        <v>Soumya Tripathy</v>
      </c>
      <c r="AW1643" s="54"/>
      <c r="AX1643" s="54"/>
      <c r="BI1643" s="48"/>
      <c r="BJ1643" s="38"/>
      <c r="BK1643" s="38"/>
      <c r="BL1643" s="38"/>
      <c r="BM1643"/>
      <c r="BN1643" s="48"/>
      <c r="BR1643" s="18" t="s">
        <v>837</v>
      </c>
      <c r="BS1643" s="18" t="s">
        <v>4473</v>
      </c>
      <c r="BT1643" s="54" t="str">
        <f t="shared" si="202"/>
        <v>Finance</v>
      </c>
    </row>
    <row r="1644" spans="17:72">
      <c r="Q1644" s="19">
        <v>8.81</v>
      </c>
      <c r="R1644" s="56" t="str">
        <f t="shared" si="201"/>
        <v>Yes</v>
      </c>
      <c r="W1644" s="19" t="s">
        <v>837</v>
      </c>
      <c r="X1644" s="54" t="str">
        <f>VLOOKUP(W1644,Employees!$A$1:$B$601,2,FALSE)</f>
        <v>Soumya Tripathy</v>
      </c>
      <c r="AW1644" s="54"/>
      <c r="AX1644" s="54"/>
      <c r="BI1644" s="48"/>
      <c r="BJ1644" s="38"/>
      <c r="BK1644" s="38"/>
      <c r="BL1644" s="38"/>
      <c r="BM1644"/>
      <c r="BN1644" s="48"/>
      <c r="BR1644" s="19" t="s">
        <v>837</v>
      </c>
      <c r="BS1644" s="19" t="s">
        <v>4474</v>
      </c>
      <c r="BT1644" s="54" t="str">
        <f t="shared" si="202"/>
        <v>Finance</v>
      </c>
    </row>
    <row r="1645" spans="17:72">
      <c r="Q1645" s="18">
        <v>9.48</v>
      </c>
      <c r="R1645" s="56" t="str">
        <f t="shared" si="201"/>
        <v>Yes</v>
      </c>
      <c r="W1645" s="18" t="s">
        <v>837</v>
      </c>
      <c r="X1645" s="54" t="str">
        <f>VLOOKUP(W1645,Employees!$A$1:$B$601,2,FALSE)</f>
        <v>Soumya Tripathy</v>
      </c>
      <c r="AW1645" s="54"/>
      <c r="AX1645" s="54"/>
      <c r="BI1645" s="48"/>
      <c r="BJ1645" s="38"/>
      <c r="BK1645" s="38"/>
      <c r="BL1645" s="38"/>
      <c r="BM1645"/>
      <c r="BN1645" s="48"/>
      <c r="BR1645" s="18" t="s">
        <v>837</v>
      </c>
      <c r="BS1645" s="18" t="s">
        <v>4475</v>
      </c>
      <c r="BT1645" s="54" t="str">
        <f t="shared" si="202"/>
        <v>Finance</v>
      </c>
    </row>
    <row r="1646" spans="17:72">
      <c r="Q1646" s="19">
        <v>10.31</v>
      </c>
      <c r="R1646" s="56" t="str">
        <f t="shared" si="201"/>
        <v>Yes</v>
      </c>
      <c r="W1646" s="19" t="s">
        <v>837</v>
      </c>
      <c r="X1646" s="54" t="str">
        <f>VLOOKUP(W1646,Employees!$A$1:$B$601,2,FALSE)</f>
        <v>Soumya Tripathy</v>
      </c>
      <c r="AW1646" s="54"/>
      <c r="AX1646" s="54"/>
      <c r="BI1646" s="48"/>
      <c r="BJ1646" s="38"/>
      <c r="BK1646" s="38"/>
      <c r="BL1646" s="38"/>
      <c r="BM1646"/>
      <c r="BN1646" s="48"/>
      <c r="BR1646" s="19" t="s">
        <v>837</v>
      </c>
      <c r="BS1646" s="19" t="s">
        <v>4476</v>
      </c>
      <c r="BT1646" s="54" t="str">
        <f t="shared" si="202"/>
        <v>Finance</v>
      </c>
    </row>
    <row r="1647" spans="17:72">
      <c r="Q1647" s="18">
        <v>7.8</v>
      </c>
      <c r="R1647" s="56" t="str">
        <f t="shared" si="201"/>
        <v>Yes</v>
      </c>
      <c r="W1647" s="18" t="s">
        <v>837</v>
      </c>
      <c r="X1647" s="54" t="str">
        <f>VLOOKUP(W1647,Employees!$A$1:$B$601,2,FALSE)</f>
        <v>Soumya Tripathy</v>
      </c>
      <c r="AW1647" s="54"/>
      <c r="AX1647" s="54"/>
      <c r="BI1647" s="48"/>
      <c r="BJ1647" s="38"/>
      <c r="BK1647" s="38"/>
      <c r="BL1647" s="38"/>
      <c r="BM1647"/>
      <c r="BN1647" s="48"/>
      <c r="BR1647" s="18" t="s">
        <v>837</v>
      </c>
      <c r="BS1647" s="18" t="s">
        <v>4477</v>
      </c>
      <c r="BT1647" s="54" t="str">
        <f t="shared" si="202"/>
        <v>Finance</v>
      </c>
    </row>
    <row r="1648" spans="17:72">
      <c r="Q1648" s="19">
        <v>11.25</v>
      </c>
      <c r="R1648" s="56" t="str">
        <f t="shared" si="201"/>
        <v>Yes</v>
      </c>
      <c r="W1648" s="19" t="s">
        <v>837</v>
      </c>
      <c r="X1648" s="54" t="str">
        <f>VLOOKUP(W1648,Employees!$A$1:$B$601,2,FALSE)</f>
        <v>Soumya Tripathy</v>
      </c>
      <c r="AW1648" s="54"/>
      <c r="AX1648" s="54"/>
      <c r="BI1648" s="48"/>
      <c r="BJ1648" s="38"/>
      <c r="BK1648" s="38"/>
      <c r="BL1648" s="38"/>
      <c r="BM1648"/>
      <c r="BN1648" s="48"/>
      <c r="BR1648" s="19" t="s">
        <v>837</v>
      </c>
      <c r="BS1648" s="19" t="s">
        <v>4478</v>
      </c>
      <c r="BT1648" s="54" t="str">
        <f t="shared" si="202"/>
        <v>Finance</v>
      </c>
    </row>
    <row r="1649" spans="17:72">
      <c r="Q1649" s="18">
        <v>8.83</v>
      </c>
      <c r="R1649" s="56" t="str">
        <f t="shared" si="201"/>
        <v>Yes</v>
      </c>
      <c r="W1649" s="18" t="s">
        <v>837</v>
      </c>
      <c r="X1649" s="54" t="str">
        <f>VLOOKUP(W1649,Employees!$A$1:$B$601,2,FALSE)</f>
        <v>Soumya Tripathy</v>
      </c>
      <c r="AW1649" s="54"/>
      <c r="AX1649" s="54"/>
      <c r="BI1649" s="48"/>
      <c r="BJ1649" s="38"/>
      <c r="BK1649" s="38"/>
      <c r="BL1649" s="38"/>
      <c r="BM1649"/>
      <c r="BN1649" s="48"/>
      <c r="BR1649" s="18" t="s">
        <v>837</v>
      </c>
      <c r="BS1649" s="18" t="s">
        <v>4479</v>
      </c>
      <c r="BT1649" s="54" t="str">
        <f t="shared" si="202"/>
        <v>Finance</v>
      </c>
    </row>
    <row r="1650" spans="17:72">
      <c r="Q1650" s="19">
        <v>10.07</v>
      </c>
      <c r="R1650" s="56" t="str">
        <f t="shared" si="201"/>
        <v>Yes</v>
      </c>
      <c r="W1650" s="19" t="s">
        <v>837</v>
      </c>
      <c r="X1650" s="54" t="str">
        <f>VLOOKUP(W1650,Employees!$A$1:$B$601,2,FALSE)</f>
        <v>Soumya Tripathy</v>
      </c>
      <c r="AW1650" s="54"/>
      <c r="AX1650" s="54"/>
      <c r="BI1650" s="48"/>
      <c r="BJ1650" s="38"/>
      <c r="BK1650" s="38"/>
      <c r="BL1650" s="38"/>
      <c r="BM1650"/>
      <c r="BN1650" s="48"/>
      <c r="BR1650" s="19" t="s">
        <v>837</v>
      </c>
      <c r="BS1650" s="19" t="s">
        <v>4480</v>
      </c>
      <c r="BT1650" s="54" t="str">
        <f t="shared" si="202"/>
        <v>Finance</v>
      </c>
    </row>
    <row r="1651" spans="17:72">
      <c r="Q1651" s="18">
        <v>10.52</v>
      </c>
      <c r="R1651" s="56" t="str">
        <f t="shared" si="201"/>
        <v>Yes</v>
      </c>
      <c r="W1651" s="18" t="s">
        <v>837</v>
      </c>
      <c r="X1651" s="54" t="str">
        <f>VLOOKUP(W1651,Employees!$A$1:$B$601,2,FALSE)</f>
        <v>Soumya Tripathy</v>
      </c>
      <c r="AW1651" s="54"/>
      <c r="AX1651" s="54"/>
      <c r="BI1651" s="48"/>
      <c r="BJ1651" s="38"/>
      <c r="BK1651" s="38"/>
      <c r="BL1651" s="38"/>
      <c r="BM1651"/>
      <c r="BN1651" s="48"/>
      <c r="BR1651" s="18" t="s">
        <v>837</v>
      </c>
      <c r="BS1651" s="18" t="s">
        <v>4481</v>
      </c>
      <c r="BT1651" s="54" t="str">
        <f t="shared" si="202"/>
        <v>Finance</v>
      </c>
    </row>
    <row r="1652" spans="17:72">
      <c r="Q1652" s="19">
        <v>8.48</v>
      </c>
      <c r="R1652" s="56" t="str">
        <f t="shared" si="201"/>
        <v>Yes</v>
      </c>
      <c r="W1652" s="19" t="s">
        <v>837</v>
      </c>
      <c r="X1652" s="54" t="str">
        <f>VLOOKUP(W1652,Employees!$A$1:$B$601,2,FALSE)</f>
        <v>Soumya Tripathy</v>
      </c>
      <c r="AW1652" s="54"/>
      <c r="AX1652" s="54"/>
      <c r="BI1652" s="48"/>
      <c r="BJ1652" s="38"/>
      <c r="BK1652" s="38"/>
      <c r="BL1652" s="38"/>
      <c r="BM1652"/>
      <c r="BN1652" s="48"/>
      <c r="BR1652" s="19" t="s">
        <v>837</v>
      </c>
      <c r="BS1652" s="19" t="s">
        <v>4482</v>
      </c>
      <c r="BT1652" s="54" t="str">
        <f t="shared" si="202"/>
        <v>Finance</v>
      </c>
    </row>
    <row r="1653" spans="17:72">
      <c r="Q1653" s="18">
        <v>7.39</v>
      </c>
      <c r="R1653" s="56" t="str">
        <f t="shared" si="201"/>
        <v>Yes</v>
      </c>
      <c r="W1653" s="18" t="s">
        <v>837</v>
      </c>
      <c r="X1653" s="54" t="str">
        <f>VLOOKUP(W1653,Employees!$A$1:$B$601,2,FALSE)</f>
        <v>Soumya Tripathy</v>
      </c>
      <c r="AW1653" s="54"/>
      <c r="AX1653" s="54"/>
      <c r="BI1653" s="48"/>
      <c r="BJ1653" s="38"/>
      <c r="BK1653" s="38"/>
      <c r="BL1653" s="38"/>
      <c r="BM1653"/>
      <c r="BN1653" s="48"/>
      <c r="BR1653" s="18" t="s">
        <v>837</v>
      </c>
      <c r="BS1653" s="18" t="s">
        <v>4483</v>
      </c>
      <c r="BT1653" s="54" t="str">
        <f t="shared" si="202"/>
        <v>Finance</v>
      </c>
    </row>
    <row r="1654" spans="17:72">
      <c r="Q1654" s="19">
        <v>7.78</v>
      </c>
      <c r="R1654" s="56" t="str">
        <f t="shared" si="201"/>
        <v>Yes</v>
      </c>
      <c r="W1654" s="19" t="s">
        <v>837</v>
      </c>
      <c r="X1654" s="54" t="str">
        <f>VLOOKUP(W1654,Employees!$A$1:$B$601,2,FALSE)</f>
        <v>Soumya Tripathy</v>
      </c>
      <c r="AW1654" s="54"/>
      <c r="AX1654" s="54"/>
      <c r="BI1654" s="48"/>
      <c r="BJ1654" s="38"/>
      <c r="BK1654" s="38"/>
      <c r="BL1654" s="38"/>
      <c r="BM1654"/>
      <c r="BN1654" s="48"/>
      <c r="BR1654" s="19" t="s">
        <v>837</v>
      </c>
      <c r="BS1654" s="19" t="s">
        <v>4484</v>
      </c>
      <c r="BT1654" s="54" t="str">
        <f t="shared" si="202"/>
        <v>Finance</v>
      </c>
    </row>
    <row r="1655" spans="17:72">
      <c r="Q1655" s="18">
        <v>10.45</v>
      </c>
      <c r="R1655" s="56" t="str">
        <f t="shared" si="201"/>
        <v>Yes</v>
      </c>
      <c r="W1655" s="18" t="s">
        <v>837</v>
      </c>
      <c r="X1655" s="54" t="str">
        <f>VLOOKUP(W1655,Employees!$A$1:$B$601,2,FALSE)</f>
        <v>Soumya Tripathy</v>
      </c>
      <c r="AW1655" s="54"/>
      <c r="AX1655" s="54"/>
      <c r="BI1655" s="48"/>
      <c r="BJ1655" s="38"/>
      <c r="BK1655" s="38"/>
      <c r="BL1655" s="38"/>
      <c r="BM1655"/>
      <c r="BN1655" s="48"/>
      <c r="BR1655" s="18" t="s">
        <v>837</v>
      </c>
      <c r="BS1655" s="18" t="s">
        <v>4485</v>
      </c>
      <c r="BT1655" s="54" t="str">
        <f t="shared" si="202"/>
        <v>Finance</v>
      </c>
    </row>
    <row r="1656" spans="17:72">
      <c r="Q1656" s="19">
        <v>10.43</v>
      </c>
      <c r="R1656" s="56" t="str">
        <f t="shared" si="201"/>
        <v>Yes</v>
      </c>
      <c r="W1656" s="19" t="s">
        <v>837</v>
      </c>
      <c r="X1656" s="54" t="str">
        <f>VLOOKUP(W1656,Employees!$A$1:$B$601,2,FALSE)</f>
        <v>Soumya Tripathy</v>
      </c>
      <c r="AW1656" s="54"/>
      <c r="AX1656" s="54"/>
      <c r="BI1656" s="48"/>
      <c r="BJ1656" s="38"/>
      <c r="BK1656" s="38"/>
      <c r="BL1656" s="38"/>
      <c r="BM1656"/>
      <c r="BN1656" s="48"/>
      <c r="BR1656" s="19" t="s">
        <v>837</v>
      </c>
      <c r="BS1656" s="19" t="s">
        <v>4486</v>
      </c>
      <c r="BT1656" s="54" t="str">
        <f t="shared" si="202"/>
        <v>Finance</v>
      </c>
    </row>
    <row r="1657" spans="17:72">
      <c r="Q1657" s="18">
        <v>8.26</v>
      </c>
      <c r="R1657" s="56" t="str">
        <f t="shared" si="201"/>
        <v>Yes</v>
      </c>
      <c r="W1657" s="18" t="s">
        <v>837</v>
      </c>
      <c r="X1657" s="54" t="str">
        <f>VLOOKUP(W1657,Employees!$A$1:$B$601,2,FALSE)</f>
        <v>Soumya Tripathy</v>
      </c>
      <c r="AW1657" s="54"/>
      <c r="AX1657" s="54"/>
      <c r="BI1657" s="48"/>
      <c r="BJ1657" s="38"/>
      <c r="BK1657" s="38"/>
      <c r="BL1657" s="38"/>
      <c r="BM1657"/>
      <c r="BN1657" s="48"/>
      <c r="BR1657" s="18" t="s">
        <v>837</v>
      </c>
      <c r="BS1657" s="18" t="s">
        <v>4487</v>
      </c>
      <c r="BT1657" s="54" t="str">
        <f t="shared" si="202"/>
        <v>Finance</v>
      </c>
    </row>
    <row r="1658" spans="17:72">
      <c r="Q1658" s="19">
        <v>8.18</v>
      </c>
      <c r="R1658" s="56" t="str">
        <f t="shared" si="201"/>
        <v>Yes</v>
      </c>
      <c r="W1658" s="19" t="s">
        <v>837</v>
      </c>
      <c r="X1658" s="54" t="str">
        <f>VLOOKUP(W1658,Employees!$A$1:$B$601,2,FALSE)</f>
        <v>Soumya Tripathy</v>
      </c>
      <c r="AW1658" s="54"/>
      <c r="AX1658" s="54"/>
      <c r="BI1658" s="48"/>
      <c r="BJ1658" s="38"/>
      <c r="BK1658" s="38"/>
      <c r="BL1658" s="38"/>
      <c r="BM1658"/>
      <c r="BN1658" s="48"/>
      <c r="BR1658" s="19" t="s">
        <v>837</v>
      </c>
      <c r="BS1658" s="19" t="s">
        <v>4488</v>
      </c>
      <c r="BT1658" s="54" t="str">
        <f t="shared" si="202"/>
        <v>Finance</v>
      </c>
    </row>
    <row r="1659" spans="17:72">
      <c r="Q1659" s="18">
        <v>6.55</v>
      </c>
      <c r="R1659" s="56" t="str">
        <f t="shared" si="201"/>
        <v>Yes</v>
      </c>
      <c r="W1659" s="18" t="s">
        <v>837</v>
      </c>
      <c r="X1659" s="54" t="str">
        <f>VLOOKUP(W1659,Employees!$A$1:$B$601,2,FALSE)</f>
        <v>Soumya Tripathy</v>
      </c>
      <c r="AW1659" s="54"/>
      <c r="AX1659" s="54"/>
      <c r="BI1659" s="48"/>
      <c r="BJ1659" s="38"/>
      <c r="BK1659" s="38"/>
      <c r="BL1659" s="38"/>
      <c r="BM1659"/>
      <c r="BN1659" s="48"/>
      <c r="BR1659" s="18" t="s">
        <v>837</v>
      </c>
      <c r="BS1659" s="18" t="s">
        <v>4489</v>
      </c>
      <c r="BT1659" s="54" t="str">
        <f t="shared" si="202"/>
        <v>Finance</v>
      </c>
    </row>
    <row r="1660" spans="17:72">
      <c r="Q1660" s="19">
        <v>7.59</v>
      </c>
      <c r="R1660" s="56" t="str">
        <f t="shared" si="201"/>
        <v>Yes</v>
      </c>
      <c r="W1660" s="19" t="s">
        <v>837</v>
      </c>
      <c r="X1660" s="54" t="str">
        <f>VLOOKUP(W1660,Employees!$A$1:$B$601,2,FALSE)</f>
        <v>Soumya Tripathy</v>
      </c>
      <c r="AW1660" s="54"/>
      <c r="AX1660" s="54"/>
      <c r="BI1660" s="48"/>
      <c r="BJ1660" s="38"/>
      <c r="BK1660" s="38"/>
      <c r="BL1660" s="38"/>
      <c r="BM1660"/>
      <c r="BN1660" s="48"/>
      <c r="BR1660" s="19" t="s">
        <v>837</v>
      </c>
      <c r="BS1660" s="19" t="s">
        <v>4490</v>
      </c>
      <c r="BT1660" s="54" t="str">
        <f t="shared" si="202"/>
        <v>Finance</v>
      </c>
    </row>
    <row r="1661" spans="17:72">
      <c r="Q1661" s="18">
        <v>10.119999999999999</v>
      </c>
      <c r="R1661" s="56" t="str">
        <f t="shared" si="201"/>
        <v>Yes</v>
      </c>
      <c r="W1661" s="18" t="s">
        <v>837</v>
      </c>
      <c r="X1661" s="54" t="str">
        <f>VLOOKUP(W1661,Employees!$A$1:$B$601,2,FALSE)</f>
        <v>Soumya Tripathy</v>
      </c>
      <c r="AW1661" s="54"/>
      <c r="AX1661" s="54"/>
      <c r="BI1661" s="48"/>
      <c r="BJ1661" s="38"/>
      <c r="BK1661" s="38"/>
      <c r="BL1661" s="38"/>
      <c r="BM1661"/>
      <c r="BN1661" s="48"/>
      <c r="BR1661" s="18" t="s">
        <v>837</v>
      </c>
      <c r="BS1661" s="18" t="s">
        <v>4491</v>
      </c>
      <c r="BT1661" s="54" t="str">
        <f t="shared" si="202"/>
        <v>Finance</v>
      </c>
    </row>
    <row r="1662" spans="17:72">
      <c r="Q1662" s="19">
        <v>8.89</v>
      </c>
      <c r="R1662" s="56" t="str">
        <f t="shared" si="201"/>
        <v>Yes</v>
      </c>
      <c r="W1662" s="19" t="s">
        <v>837</v>
      </c>
      <c r="X1662" s="54" t="str">
        <f>VLOOKUP(W1662,Employees!$A$1:$B$601,2,FALSE)</f>
        <v>Soumya Tripathy</v>
      </c>
      <c r="AW1662" s="54"/>
      <c r="AX1662" s="54"/>
      <c r="BI1662" s="48"/>
      <c r="BJ1662" s="38"/>
      <c r="BK1662" s="38"/>
      <c r="BL1662" s="38"/>
      <c r="BM1662"/>
      <c r="BN1662" s="48"/>
      <c r="BR1662" s="19" t="s">
        <v>837</v>
      </c>
      <c r="BS1662" s="19" t="s">
        <v>4492</v>
      </c>
      <c r="BT1662" s="54" t="str">
        <f t="shared" si="202"/>
        <v>Finance</v>
      </c>
    </row>
    <row r="1663" spans="17:72">
      <c r="Q1663" s="18">
        <v>10.42</v>
      </c>
      <c r="R1663" s="56" t="str">
        <f t="shared" si="201"/>
        <v>Yes</v>
      </c>
      <c r="W1663" s="18" t="s">
        <v>837</v>
      </c>
      <c r="X1663" s="54" t="str">
        <f>VLOOKUP(W1663,Employees!$A$1:$B$601,2,FALSE)</f>
        <v>Soumya Tripathy</v>
      </c>
      <c r="AW1663" s="54"/>
      <c r="AX1663" s="54"/>
      <c r="BI1663" s="48"/>
      <c r="BJ1663" s="38"/>
      <c r="BK1663" s="38"/>
      <c r="BL1663" s="38"/>
      <c r="BM1663"/>
      <c r="BN1663" s="48"/>
      <c r="BR1663" s="18" t="s">
        <v>837</v>
      </c>
      <c r="BS1663" s="18" t="s">
        <v>4493</v>
      </c>
      <c r="BT1663" s="54" t="str">
        <f t="shared" si="202"/>
        <v>Finance</v>
      </c>
    </row>
    <row r="1664" spans="17:72">
      <c r="Q1664" s="19">
        <v>9.32</v>
      </c>
      <c r="R1664" s="56" t="str">
        <f t="shared" si="201"/>
        <v>Yes</v>
      </c>
      <c r="W1664" s="19" t="s">
        <v>837</v>
      </c>
      <c r="X1664" s="54" t="str">
        <f>VLOOKUP(W1664,Employees!$A$1:$B$601,2,FALSE)</f>
        <v>Soumya Tripathy</v>
      </c>
      <c r="AW1664" s="54"/>
      <c r="AX1664" s="54"/>
      <c r="BI1664" s="48"/>
      <c r="BJ1664" s="38"/>
      <c r="BK1664" s="38"/>
      <c r="BL1664" s="38"/>
      <c r="BM1664"/>
      <c r="BN1664" s="48"/>
      <c r="BR1664" s="19" t="s">
        <v>837</v>
      </c>
      <c r="BS1664" s="19" t="s">
        <v>4494</v>
      </c>
      <c r="BT1664" s="54" t="str">
        <f t="shared" si="202"/>
        <v>Finance</v>
      </c>
    </row>
    <row r="1665" spans="17:72">
      <c r="Q1665" s="18">
        <v>10.119999999999999</v>
      </c>
      <c r="R1665" s="56" t="str">
        <f t="shared" si="201"/>
        <v>Yes</v>
      </c>
      <c r="W1665" s="18" t="s">
        <v>837</v>
      </c>
      <c r="X1665" s="54" t="str">
        <f>VLOOKUP(W1665,Employees!$A$1:$B$601,2,FALSE)</f>
        <v>Soumya Tripathy</v>
      </c>
      <c r="AW1665" s="54"/>
      <c r="AX1665" s="54"/>
      <c r="BI1665" s="48"/>
      <c r="BJ1665" s="38"/>
      <c r="BK1665" s="38"/>
      <c r="BL1665" s="38"/>
      <c r="BM1665"/>
      <c r="BN1665" s="48"/>
      <c r="BR1665" s="18" t="s">
        <v>837</v>
      </c>
      <c r="BS1665" s="18" t="s">
        <v>4495</v>
      </c>
      <c r="BT1665" s="54" t="str">
        <f t="shared" si="202"/>
        <v>Finance</v>
      </c>
    </row>
    <row r="1666" spans="17:72">
      <c r="Q1666" s="19">
        <v>9.69</v>
      </c>
      <c r="R1666" s="56" t="str">
        <f t="shared" si="201"/>
        <v>Yes</v>
      </c>
      <c r="W1666" s="19" t="s">
        <v>837</v>
      </c>
      <c r="X1666" s="54" t="str">
        <f>VLOOKUP(W1666,Employees!$A$1:$B$601,2,FALSE)</f>
        <v>Soumya Tripathy</v>
      </c>
      <c r="AW1666" s="54"/>
      <c r="AX1666" s="54"/>
      <c r="BI1666" s="48"/>
      <c r="BJ1666" s="38"/>
      <c r="BK1666" s="38"/>
      <c r="BL1666" s="38"/>
      <c r="BM1666"/>
      <c r="BN1666" s="48"/>
      <c r="BR1666" s="19" t="s">
        <v>837</v>
      </c>
      <c r="BS1666" s="19" t="s">
        <v>4496</v>
      </c>
      <c r="BT1666" s="54" t="str">
        <f t="shared" si="202"/>
        <v>Finance</v>
      </c>
    </row>
    <row r="1667" spans="17:72">
      <c r="Q1667" s="18">
        <v>7.09</v>
      </c>
      <c r="R1667" s="56" t="str">
        <f t="shared" ref="R1667:R1730" si="203">IF(ISBLANK(Q1667),"No","Yes")</f>
        <v>Yes</v>
      </c>
      <c r="W1667" s="18" t="s">
        <v>837</v>
      </c>
      <c r="X1667" s="54" t="str">
        <f>VLOOKUP(W1667,Employees!$A$1:$B$601,2,FALSE)</f>
        <v>Soumya Tripathy</v>
      </c>
      <c r="AW1667" s="54"/>
      <c r="AX1667" s="54"/>
      <c r="BI1667" s="48"/>
      <c r="BJ1667" s="38"/>
      <c r="BK1667" s="38"/>
      <c r="BL1667" s="38"/>
      <c r="BM1667"/>
      <c r="BN1667" s="48"/>
      <c r="BR1667" s="18" t="s">
        <v>837</v>
      </c>
      <c r="BS1667" s="18" t="s">
        <v>4497</v>
      </c>
      <c r="BT1667" s="54" t="str">
        <f t="shared" ref="BT1667:BT1730" si="204">VLOOKUP(BR1667,$BP$2:$BQ$601,2,FALSE)</f>
        <v>Finance</v>
      </c>
    </row>
    <row r="1668" spans="17:72">
      <c r="Q1668" s="19">
        <v>11.35</v>
      </c>
      <c r="R1668" s="56" t="str">
        <f t="shared" si="203"/>
        <v>Yes</v>
      </c>
      <c r="W1668" s="19" t="s">
        <v>837</v>
      </c>
      <c r="X1668" s="54" t="str">
        <f>VLOOKUP(W1668,Employees!$A$1:$B$601,2,FALSE)</f>
        <v>Soumya Tripathy</v>
      </c>
      <c r="AW1668" s="54"/>
      <c r="AX1668" s="54"/>
      <c r="BI1668" s="48"/>
      <c r="BJ1668" s="38"/>
      <c r="BK1668" s="38"/>
      <c r="BL1668" s="38"/>
      <c r="BM1668"/>
      <c r="BN1668" s="48"/>
      <c r="BR1668" s="19" t="s">
        <v>837</v>
      </c>
      <c r="BS1668" s="19" t="s">
        <v>4498</v>
      </c>
      <c r="BT1668" s="54" t="str">
        <f t="shared" si="204"/>
        <v>Finance</v>
      </c>
    </row>
    <row r="1669" spans="17:72">
      <c r="Q1669" s="18">
        <v>8.85</v>
      </c>
      <c r="R1669" s="56" t="str">
        <f t="shared" si="203"/>
        <v>Yes</v>
      </c>
      <c r="W1669" s="18" t="s">
        <v>837</v>
      </c>
      <c r="X1669" s="54" t="str">
        <f>VLOOKUP(W1669,Employees!$A$1:$B$601,2,FALSE)</f>
        <v>Soumya Tripathy</v>
      </c>
      <c r="AW1669" s="54"/>
      <c r="AX1669" s="54"/>
      <c r="BI1669" s="48"/>
      <c r="BJ1669" s="38"/>
      <c r="BK1669" s="38"/>
      <c r="BL1669" s="38"/>
      <c r="BM1669"/>
      <c r="BN1669" s="48"/>
      <c r="BR1669" s="18" t="s">
        <v>837</v>
      </c>
      <c r="BS1669" s="18" t="s">
        <v>4499</v>
      </c>
      <c r="BT1669" s="54" t="str">
        <f t="shared" si="204"/>
        <v>Finance</v>
      </c>
    </row>
    <row r="1670" spans="17:72">
      <c r="Q1670" s="19">
        <v>7.39</v>
      </c>
      <c r="R1670" s="56" t="str">
        <f t="shared" si="203"/>
        <v>Yes</v>
      </c>
      <c r="W1670" s="19" t="s">
        <v>837</v>
      </c>
      <c r="X1670" s="54" t="str">
        <f>VLOOKUP(W1670,Employees!$A$1:$B$601,2,FALSE)</f>
        <v>Soumya Tripathy</v>
      </c>
      <c r="AW1670" s="54"/>
      <c r="AX1670" s="54"/>
      <c r="BI1670" s="48"/>
      <c r="BJ1670" s="38"/>
      <c r="BK1670" s="38"/>
      <c r="BL1670" s="38"/>
      <c r="BM1670"/>
      <c r="BN1670" s="48"/>
      <c r="BR1670" s="19" t="s">
        <v>837</v>
      </c>
      <c r="BS1670" s="19" t="s">
        <v>4500</v>
      </c>
      <c r="BT1670" s="54" t="str">
        <f t="shared" si="204"/>
        <v>Finance</v>
      </c>
    </row>
    <row r="1671" spans="17:72">
      <c r="Q1671" s="18">
        <v>10.86</v>
      </c>
      <c r="R1671" s="56" t="str">
        <f t="shared" si="203"/>
        <v>Yes</v>
      </c>
      <c r="W1671" s="18" t="s">
        <v>837</v>
      </c>
      <c r="X1671" s="54" t="str">
        <f>VLOOKUP(W1671,Employees!$A$1:$B$601,2,FALSE)</f>
        <v>Soumya Tripathy</v>
      </c>
      <c r="AW1671" s="54"/>
      <c r="AX1671" s="54"/>
      <c r="BI1671" s="48"/>
      <c r="BJ1671" s="38"/>
      <c r="BK1671" s="38"/>
      <c r="BL1671" s="38"/>
      <c r="BM1671"/>
      <c r="BN1671" s="48"/>
      <c r="BR1671" s="18" t="s">
        <v>837</v>
      </c>
      <c r="BS1671" s="18" t="s">
        <v>4501</v>
      </c>
      <c r="BT1671" s="54" t="str">
        <f t="shared" si="204"/>
        <v>Finance</v>
      </c>
    </row>
    <row r="1672" spans="17:72">
      <c r="Q1672" s="19">
        <v>10.8</v>
      </c>
      <c r="R1672" s="56" t="str">
        <f t="shared" si="203"/>
        <v>Yes</v>
      </c>
      <c r="W1672" s="19" t="s">
        <v>837</v>
      </c>
      <c r="X1672" s="54" t="str">
        <f>VLOOKUP(W1672,Employees!$A$1:$B$601,2,FALSE)</f>
        <v>Soumya Tripathy</v>
      </c>
      <c r="AW1672" s="54"/>
      <c r="AX1672" s="54"/>
      <c r="BI1672" s="48"/>
      <c r="BJ1672" s="38"/>
      <c r="BK1672" s="38"/>
      <c r="BL1672" s="38"/>
      <c r="BM1672"/>
      <c r="BN1672" s="48"/>
      <c r="BR1672" s="19" t="s">
        <v>837</v>
      </c>
      <c r="BS1672" s="19" t="s">
        <v>4502</v>
      </c>
      <c r="BT1672" s="54" t="str">
        <f t="shared" si="204"/>
        <v>Finance</v>
      </c>
    </row>
    <row r="1673" spans="17:72">
      <c r="Q1673" s="18">
        <v>7.8</v>
      </c>
      <c r="R1673" s="56" t="str">
        <f t="shared" si="203"/>
        <v>Yes</v>
      </c>
      <c r="W1673" s="18" t="s">
        <v>837</v>
      </c>
      <c r="X1673" s="54" t="str">
        <f>VLOOKUP(W1673,Employees!$A$1:$B$601,2,FALSE)</f>
        <v>Soumya Tripathy</v>
      </c>
      <c r="AW1673" s="54"/>
      <c r="AX1673" s="54"/>
      <c r="BI1673" s="48"/>
      <c r="BJ1673" s="38"/>
      <c r="BK1673" s="38"/>
      <c r="BL1673" s="38"/>
      <c r="BM1673"/>
      <c r="BN1673" s="48"/>
      <c r="BR1673" s="18" t="s">
        <v>837</v>
      </c>
      <c r="BS1673" s="18" t="s">
        <v>4503</v>
      </c>
      <c r="BT1673" s="54" t="str">
        <f t="shared" si="204"/>
        <v>Finance</v>
      </c>
    </row>
    <row r="1674" spans="17:72">
      <c r="Q1674" s="19">
        <v>8.17</v>
      </c>
      <c r="R1674" s="56" t="str">
        <f t="shared" si="203"/>
        <v>Yes</v>
      </c>
      <c r="W1674" s="19" t="s">
        <v>837</v>
      </c>
      <c r="X1674" s="54" t="str">
        <f>VLOOKUP(W1674,Employees!$A$1:$B$601,2,FALSE)</f>
        <v>Soumya Tripathy</v>
      </c>
      <c r="AW1674" s="54"/>
      <c r="AX1674" s="54"/>
      <c r="BI1674" s="48"/>
      <c r="BJ1674" s="38"/>
      <c r="BK1674" s="38"/>
      <c r="BL1674" s="38"/>
      <c r="BM1674"/>
      <c r="BN1674" s="48"/>
      <c r="BR1674" s="19" t="s">
        <v>837</v>
      </c>
      <c r="BS1674" s="19" t="s">
        <v>4504</v>
      </c>
      <c r="BT1674" s="54" t="str">
        <f t="shared" si="204"/>
        <v>Finance</v>
      </c>
    </row>
    <row r="1675" spans="17:72">
      <c r="Q1675" s="18">
        <v>11.04</v>
      </c>
      <c r="R1675" s="56" t="str">
        <f t="shared" si="203"/>
        <v>Yes</v>
      </c>
      <c r="W1675" s="18" t="s">
        <v>837</v>
      </c>
      <c r="X1675" s="54" t="str">
        <f>VLOOKUP(W1675,Employees!$A$1:$B$601,2,FALSE)</f>
        <v>Soumya Tripathy</v>
      </c>
      <c r="AW1675" s="54"/>
      <c r="AX1675" s="54"/>
      <c r="BI1675" s="48"/>
      <c r="BJ1675" s="38"/>
      <c r="BK1675" s="38"/>
      <c r="BL1675" s="38"/>
      <c r="BM1675"/>
      <c r="BN1675" s="48"/>
      <c r="BR1675" s="18" t="s">
        <v>837</v>
      </c>
      <c r="BS1675" s="18" t="s">
        <v>4505</v>
      </c>
      <c r="BT1675" s="54" t="str">
        <f t="shared" si="204"/>
        <v>Finance</v>
      </c>
    </row>
    <row r="1676" spans="17:72">
      <c r="Q1676" s="19">
        <v>6.77</v>
      </c>
      <c r="R1676" s="56" t="str">
        <f t="shared" si="203"/>
        <v>Yes</v>
      </c>
      <c r="W1676" s="19" t="s">
        <v>837</v>
      </c>
      <c r="X1676" s="54" t="str">
        <f>VLOOKUP(W1676,Employees!$A$1:$B$601,2,FALSE)</f>
        <v>Soumya Tripathy</v>
      </c>
      <c r="AW1676" s="54"/>
      <c r="AX1676" s="54"/>
      <c r="BI1676" s="48"/>
      <c r="BJ1676" s="38"/>
      <c r="BK1676" s="38"/>
      <c r="BL1676" s="38"/>
      <c r="BM1676"/>
      <c r="BN1676" s="48"/>
      <c r="BR1676" s="19" t="s">
        <v>837</v>
      </c>
      <c r="BS1676" s="19" t="s">
        <v>4506</v>
      </c>
      <c r="BT1676" s="54" t="str">
        <f t="shared" si="204"/>
        <v>Finance</v>
      </c>
    </row>
    <row r="1677" spans="17:72">
      <c r="Q1677" s="18">
        <v>9.1</v>
      </c>
      <c r="R1677" s="56" t="str">
        <f t="shared" si="203"/>
        <v>Yes</v>
      </c>
      <c r="W1677" s="18" t="s">
        <v>837</v>
      </c>
      <c r="X1677" s="54" t="str">
        <f>VLOOKUP(W1677,Employees!$A$1:$B$601,2,FALSE)</f>
        <v>Soumya Tripathy</v>
      </c>
      <c r="AW1677" s="54"/>
      <c r="AX1677" s="54"/>
      <c r="BI1677" s="48"/>
      <c r="BJ1677" s="38"/>
      <c r="BK1677" s="38"/>
      <c r="BL1677" s="38"/>
      <c r="BM1677"/>
      <c r="BN1677" s="48"/>
      <c r="BR1677" s="18" t="s">
        <v>837</v>
      </c>
      <c r="BS1677" s="18" t="s">
        <v>4507</v>
      </c>
      <c r="BT1677" s="54" t="str">
        <f t="shared" si="204"/>
        <v>Finance</v>
      </c>
    </row>
    <row r="1678" spans="17:72">
      <c r="Q1678" s="19">
        <v>11.11</v>
      </c>
      <c r="R1678" s="56" t="str">
        <f t="shared" si="203"/>
        <v>Yes</v>
      </c>
      <c r="W1678" s="19" t="s">
        <v>837</v>
      </c>
      <c r="X1678" s="54" t="str">
        <f>VLOOKUP(W1678,Employees!$A$1:$B$601,2,FALSE)</f>
        <v>Soumya Tripathy</v>
      </c>
      <c r="AW1678" s="54"/>
      <c r="AX1678" s="54"/>
      <c r="BI1678" s="48"/>
      <c r="BJ1678" s="38"/>
      <c r="BK1678" s="38"/>
      <c r="BL1678" s="38"/>
      <c r="BM1678"/>
      <c r="BN1678" s="48"/>
      <c r="BR1678" s="19" t="s">
        <v>837</v>
      </c>
      <c r="BS1678" s="19" t="s">
        <v>4508</v>
      </c>
      <c r="BT1678" s="54" t="str">
        <f t="shared" si="204"/>
        <v>Finance</v>
      </c>
    </row>
    <row r="1679" spans="17:72">
      <c r="Q1679" s="18">
        <v>8.0399999999999991</v>
      </c>
      <c r="R1679" s="56" t="str">
        <f t="shared" si="203"/>
        <v>Yes</v>
      </c>
      <c r="W1679" s="18" t="s">
        <v>464</v>
      </c>
      <c r="X1679" s="54" t="str">
        <f>VLOOKUP(W1679,Employees!$A$1:$B$601,2,FALSE)</f>
        <v>Rahul Mishra</v>
      </c>
      <c r="AW1679" s="54"/>
      <c r="AX1679" s="54"/>
      <c r="BI1679" s="48"/>
      <c r="BJ1679" s="38"/>
      <c r="BK1679" s="38"/>
      <c r="BL1679" s="38"/>
      <c r="BM1679"/>
      <c r="BN1679" s="48"/>
      <c r="BR1679" s="18" t="s">
        <v>464</v>
      </c>
      <c r="BS1679" s="18" t="s">
        <v>4510</v>
      </c>
      <c r="BT1679" s="54" t="str">
        <f t="shared" si="204"/>
        <v>Marketing</v>
      </c>
    </row>
    <row r="1680" spans="17:72">
      <c r="Q1680" s="19">
        <v>9.4600000000000009</v>
      </c>
      <c r="R1680" s="56" t="str">
        <f t="shared" si="203"/>
        <v>Yes</v>
      </c>
      <c r="W1680" s="19" t="s">
        <v>464</v>
      </c>
      <c r="X1680" s="54" t="str">
        <f>VLOOKUP(W1680,Employees!$A$1:$B$601,2,FALSE)</f>
        <v>Rahul Mishra</v>
      </c>
      <c r="AW1680" s="54"/>
      <c r="AX1680" s="54"/>
      <c r="BI1680" s="48"/>
      <c r="BJ1680" s="38"/>
      <c r="BK1680" s="38"/>
      <c r="BL1680" s="38"/>
      <c r="BM1680"/>
      <c r="BN1680" s="48"/>
      <c r="BR1680" s="19" t="s">
        <v>464</v>
      </c>
      <c r="BS1680" s="19" t="s">
        <v>4511</v>
      </c>
      <c r="BT1680" s="54" t="str">
        <f t="shared" si="204"/>
        <v>Marketing</v>
      </c>
    </row>
    <row r="1681" spans="17:72">
      <c r="Q1681" s="18">
        <v>7.51</v>
      </c>
      <c r="R1681" s="56" t="str">
        <f t="shared" si="203"/>
        <v>Yes</v>
      </c>
      <c r="W1681" s="18" t="s">
        <v>464</v>
      </c>
      <c r="X1681" s="54" t="str">
        <f>VLOOKUP(W1681,Employees!$A$1:$B$601,2,FALSE)</f>
        <v>Rahul Mishra</v>
      </c>
      <c r="AW1681" s="54"/>
      <c r="AX1681" s="54"/>
      <c r="BI1681" s="48"/>
      <c r="BJ1681" s="38"/>
      <c r="BK1681" s="38"/>
      <c r="BL1681" s="38"/>
      <c r="BM1681"/>
      <c r="BN1681" s="48"/>
      <c r="BR1681" s="18" t="s">
        <v>464</v>
      </c>
      <c r="BS1681" s="18" t="s">
        <v>4512</v>
      </c>
      <c r="BT1681" s="54" t="str">
        <f t="shared" si="204"/>
        <v>Marketing</v>
      </c>
    </row>
    <row r="1682" spans="17:72">
      <c r="Q1682" s="19">
        <v>7.95</v>
      </c>
      <c r="R1682" s="56" t="str">
        <f t="shared" si="203"/>
        <v>Yes</v>
      </c>
      <c r="W1682" s="19" t="s">
        <v>464</v>
      </c>
      <c r="X1682" s="54" t="str">
        <f>VLOOKUP(W1682,Employees!$A$1:$B$601,2,FALSE)</f>
        <v>Rahul Mishra</v>
      </c>
      <c r="AW1682" s="54"/>
      <c r="AX1682" s="54"/>
      <c r="BI1682" s="48"/>
      <c r="BJ1682" s="38"/>
      <c r="BK1682" s="38"/>
      <c r="BL1682" s="38"/>
      <c r="BM1682"/>
      <c r="BN1682" s="48"/>
      <c r="BR1682" s="19" t="s">
        <v>464</v>
      </c>
      <c r="BS1682" s="19" t="s">
        <v>4513</v>
      </c>
      <c r="BT1682" s="54" t="str">
        <f t="shared" si="204"/>
        <v>Marketing</v>
      </c>
    </row>
    <row r="1683" spans="17:72">
      <c r="Q1683" s="18">
        <v>7.61</v>
      </c>
      <c r="R1683" s="56" t="str">
        <f t="shared" si="203"/>
        <v>Yes</v>
      </c>
      <c r="W1683" s="18" t="s">
        <v>464</v>
      </c>
      <c r="X1683" s="54" t="str">
        <f>VLOOKUP(W1683,Employees!$A$1:$B$601,2,FALSE)</f>
        <v>Rahul Mishra</v>
      </c>
      <c r="AW1683" s="54"/>
      <c r="AX1683" s="54"/>
      <c r="BI1683" s="48"/>
      <c r="BJ1683" s="38"/>
      <c r="BK1683" s="38"/>
      <c r="BL1683" s="38"/>
      <c r="BM1683"/>
      <c r="BN1683" s="48"/>
      <c r="BR1683" s="18" t="s">
        <v>464</v>
      </c>
      <c r="BS1683" s="18" t="s">
        <v>4514</v>
      </c>
      <c r="BT1683" s="54" t="str">
        <f t="shared" si="204"/>
        <v>Marketing</v>
      </c>
    </row>
    <row r="1684" spans="17:72">
      <c r="Q1684" s="19">
        <v>10.65</v>
      </c>
      <c r="R1684" s="56" t="str">
        <f t="shared" si="203"/>
        <v>Yes</v>
      </c>
      <c r="W1684" s="19" t="s">
        <v>464</v>
      </c>
      <c r="X1684" s="54" t="str">
        <f>VLOOKUP(W1684,Employees!$A$1:$B$601,2,FALSE)</f>
        <v>Rahul Mishra</v>
      </c>
      <c r="AW1684" s="54"/>
      <c r="AX1684" s="54"/>
      <c r="BI1684" s="48"/>
      <c r="BJ1684" s="38"/>
      <c r="BK1684" s="38"/>
      <c r="BL1684" s="38"/>
      <c r="BM1684"/>
      <c r="BN1684" s="48"/>
      <c r="BR1684" s="19" t="s">
        <v>464</v>
      </c>
      <c r="BS1684" s="19" t="s">
        <v>4515</v>
      </c>
      <c r="BT1684" s="54" t="str">
        <f t="shared" si="204"/>
        <v>Marketing</v>
      </c>
    </row>
    <row r="1685" spans="17:72">
      <c r="Q1685" s="18">
        <v>7.59</v>
      </c>
      <c r="R1685" s="56" t="str">
        <f t="shared" si="203"/>
        <v>Yes</v>
      </c>
      <c r="W1685" s="18" t="s">
        <v>464</v>
      </c>
      <c r="X1685" s="54" t="str">
        <f>VLOOKUP(W1685,Employees!$A$1:$B$601,2,FALSE)</f>
        <v>Rahul Mishra</v>
      </c>
      <c r="AW1685" s="54"/>
      <c r="AX1685" s="54"/>
      <c r="BI1685" s="48"/>
      <c r="BJ1685" s="38"/>
      <c r="BK1685" s="38"/>
      <c r="BL1685" s="38"/>
      <c r="BM1685"/>
      <c r="BN1685" s="48"/>
      <c r="BR1685" s="18" t="s">
        <v>464</v>
      </c>
      <c r="BS1685" s="18" t="s">
        <v>4516</v>
      </c>
      <c r="BT1685" s="54" t="str">
        <f t="shared" si="204"/>
        <v>Marketing</v>
      </c>
    </row>
    <row r="1686" spans="17:72">
      <c r="Q1686" s="19">
        <v>7.61</v>
      </c>
      <c r="R1686" s="56" t="str">
        <f t="shared" si="203"/>
        <v>Yes</v>
      </c>
      <c r="W1686" s="19" t="s">
        <v>464</v>
      </c>
      <c r="X1686" s="54" t="str">
        <f>VLOOKUP(W1686,Employees!$A$1:$B$601,2,FALSE)</f>
        <v>Rahul Mishra</v>
      </c>
      <c r="AW1686" s="54"/>
      <c r="AX1686" s="54"/>
      <c r="BI1686" s="48"/>
      <c r="BJ1686" s="38"/>
      <c r="BK1686" s="38"/>
      <c r="BL1686" s="38"/>
      <c r="BM1686"/>
      <c r="BN1686" s="48"/>
      <c r="BR1686" s="19" t="s">
        <v>464</v>
      </c>
      <c r="BS1686" s="19" t="s">
        <v>4517</v>
      </c>
      <c r="BT1686" s="54" t="str">
        <f t="shared" si="204"/>
        <v>Marketing</v>
      </c>
    </row>
    <row r="1687" spans="17:72">
      <c r="Q1687" s="18">
        <v>7.61</v>
      </c>
      <c r="R1687" s="56" t="str">
        <f t="shared" si="203"/>
        <v>Yes</v>
      </c>
      <c r="W1687" s="18" t="s">
        <v>464</v>
      </c>
      <c r="X1687" s="54" t="str">
        <f>VLOOKUP(W1687,Employees!$A$1:$B$601,2,FALSE)</f>
        <v>Rahul Mishra</v>
      </c>
      <c r="AW1687" s="54"/>
      <c r="AX1687" s="54"/>
      <c r="BI1687" s="48"/>
      <c r="BJ1687" s="38"/>
      <c r="BK1687" s="38"/>
      <c r="BL1687" s="38"/>
      <c r="BM1687"/>
      <c r="BN1687" s="48"/>
      <c r="BR1687" s="18" t="s">
        <v>464</v>
      </c>
      <c r="BS1687" s="18" t="s">
        <v>4518</v>
      </c>
      <c r="BT1687" s="54" t="str">
        <f t="shared" si="204"/>
        <v>Marketing</v>
      </c>
    </row>
    <row r="1688" spans="17:72">
      <c r="Q1688" s="19">
        <v>7.99</v>
      </c>
      <c r="R1688" s="56" t="str">
        <f t="shared" si="203"/>
        <v>Yes</v>
      </c>
      <c r="W1688" s="19" t="s">
        <v>464</v>
      </c>
      <c r="X1688" s="54" t="str">
        <f>VLOOKUP(W1688,Employees!$A$1:$B$601,2,FALSE)</f>
        <v>Rahul Mishra</v>
      </c>
      <c r="AW1688" s="54"/>
      <c r="AX1688" s="54"/>
      <c r="BI1688" s="48"/>
      <c r="BJ1688" s="38"/>
      <c r="BK1688" s="38"/>
      <c r="BL1688" s="38"/>
      <c r="BM1688"/>
      <c r="BN1688" s="48"/>
      <c r="BR1688" s="19" t="s">
        <v>464</v>
      </c>
      <c r="BS1688" s="19" t="s">
        <v>4519</v>
      </c>
      <c r="BT1688" s="54" t="str">
        <f t="shared" si="204"/>
        <v>Marketing</v>
      </c>
    </row>
    <row r="1689" spans="17:72">
      <c r="Q1689" s="18">
        <v>7.42</v>
      </c>
      <c r="R1689" s="56" t="str">
        <f t="shared" si="203"/>
        <v>Yes</v>
      </c>
      <c r="W1689" s="18" t="s">
        <v>464</v>
      </c>
      <c r="X1689" s="54" t="str">
        <f>VLOOKUP(W1689,Employees!$A$1:$B$601,2,FALSE)</f>
        <v>Rahul Mishra</v>
      </c>
      <c r="AW1689" s="54"/>
      <c r="AX1689" s="54"/>
      <c r="BI1689" s="48"/>
      <c r="BJ1689" s="38"/>
      <c r="BK1689" s="38"/>
      <c r="BL1689" s="38"/>
      <c r="BM1689"/>
      <c r="BN1689" s="48"/>
      <c r="BR1689" s="18" t="s">
        <v>464</v>
      </c>
      <c r="BS1689" s="18" t="s">
        <v>4520</v>
      </c>
      <c r="BT1689" s="54" t="str">
        <f t="shared" si="204"/>
        <v>Marketing</v>
      </c>
    </row>
    <row r="1690" spans="17:72">
      <c r="Q1690" s="19">
        <v>11.26</v>
      </c>
      <c r="R1690" s="56" t="str">
        <f t="shared" si="203"/>
        <v>Yes</v>
      </c>
      <c r="W1690" s="19" t="s">
        <v>464</v>
      </c>
      <c r="X1690" s="54" t="str">
        <f>VLOOKUP(W1690,Employees!$A$1:$B$601,2,FALSE)</f>
        <v>Rahul Mishra</v>
      </c>
      <c r="AW1690" s="54"/>
      <c r="AX1690" s="54"/>
      <c r="BI1690" s="48"/>
      <c r="BJ1690" s="38"/>
      <c r="BK1690" s="38"/>
      <c r="BL1690" s="38"/>
      <c r="BM1690"/>
      <c r="BN1690" s="48"/>
      <c r="BR1690" s="19" t="s">
        <v>464</v>
      </c>
      <c r="BS1690" s="19" t="s">
        <v>4521</v>
      </c>
      <c r="BT1690" s="54" t="str">
        <f t="shared" si="204"/>
        <v>Marketing</v>
      </c>
    </row>
    <row r="1691" spans="17:72">
      <c r="Q1691" s="18">
        <v>7.64</v>
      </c>
      <c r="R1691" s="56" t="str">
        <f t="shared" si="203"/>
        <v>Yes</v>
      </c>
      <c r="W1691" s="18" t="s">
        <v>464</v>
      </c>
      <c r="X1691" s="54" t="str">
        <f>VLOOKUP(W1691,Employees!$A$1:$B$601,2,FALSE)</f>
        <v>Rahul Mishra</v>
      </c>
      <c r="AW1691" s="54"/>
      <c r="AX1691" s="54"/>
      <c r="BI1691" s="48"/>
      <c r="BJ1691" s="38"/>
      <c r="BK1691" s="38"/>
      <c r="BL1691" s="38"/>
      <c r="BM1691"/>
      <c r="BN1691" s="48"/>
      <c r="BR1691" s="18" t="s">
        <v>464</v>
      </c>
      <c r="BS1691" s="18" t="s">
        <v>4522</v>
      </c>
      <c r="BT1691" s="54" t="str">
        <f t="shared" si="204"/>
        <v>Marketing</v>
      </c>
    </row>
    <row r="1692" spans="17:72">
      <c r="Q1692" s="19">
        <v>10.39</v>
      </c>
      <c r="R1692" s="56" t="str">
        <f t="shared" si="203"/>
        <v>Yes</v>
      </c>
      <c r="W1692" s="19" t="s">
        <v>464</v>
      </c>
      <c r="X1692" s="54" t="str">
        <f>VLOOKUP(W1692,Employees!$A$1:$B$601,2,FALSE)</f>
        <v>Rahul Mishra</v>
      </c>
      <c r="AW1692" s="54"/>
      <c r="AX1692" s="54"/>
      <c r="BI1692" s="48"/>
      <c r="BJ1692" s="38"/>
      <c r="BK1692" s="38"/>
      <c r="BL1692" s="38"/>
      <c r="BM1692"/>
      <c r="BN1692" s="48"/>
      <c r="BR1692" s="19" t="s">
        <v>464</v>
      </c>
      <c r="BS1692" s="19" t="s">
        <v>4523</v>
      </c>
      <c r="BT1692" s="54" t="str">
        <f t="shared" si="204"/>
        <v>Marketing</v>
      </c>
    </row>
    <row r="1693" spans="17:72">
      <c r="Q1693" s="18"/>
      <c r="R1693" s="56" t="str">
        <f t="shared" si="203"/>
        <v>No</v>
      </c>
      <c r="W1693" s="18" t="s">
        <v>464</v>
      </c>
      <c r="X1693" s="54" t="str">
        <f>VLOOKUP(W1693,Employees!$A$1:$B$601,2,FALSE)</f>
        <v>Rahul Mishra</v>
      </c>
      <c r="AW1693" s="54"/>
      <c r="AX1693" s="54"/>
      <c r="BI1693" s="48"/>
      <c r="BJ1693" s="38"/>
      <c r="BK1693" s="38"/>
      <c r="BL1693" s="38"/>
      <c r="BM1693"/>
      <c r="BN1693" s="48"/>
      <c r="BR1693" s="18" t="s">
        <v>464</v>
      </c>
      <c r="BS1693" s="18" t="s">
        <v>4524</v>
      </c>
      <c r="BT1693" s="54" t="str">
        <f t="shared" si="204"/>
        <v>Marketing</v>
      </c>
    </row>
    <row r="1694" spans="17:72">
      <c r="Q1694" s="19">
        <v>10.58</v>
      </c>
      <c r="R1694" s="56" t="str">
        <f t="shared" si="203"/>
        <v>Yes</v>
      </c>
      <c r="W1694" s="19" t="s">
        <v>464</v>
      </c>
      <c r="X1694" s="54" t="str">
        <f>VLOOKUP(W1694,Employees!$A$1:$B$601,2,FALSE)</f>
        <v>Rahul Mishra</v>
      </c>
      <c r="AW1694" s="54"/>
      <c r="AX1694" s="54"/>
      <c r="BI1694" s="48"/>
      <c r="BJ1694" s="38"/>
      <c r="BK1694" s="38"/>
      <c r="BL1694" s="38"/>
      <c r="BM1694"/>
      <c r="BN1694" s="48"/>
      <c r="BR1694" s="19" t="s">
        <v>464</v>
      </c>
      <c r="BS1694" s="19" t="s">
        <v>4525</v>
      </c>
      <c r="BT1694" s="54" t="str">
        <f t="shared" si="204"/>
        <v>Marketing</v>
      </c>
    </row>
    <row r="1695" spans="17:72">
      <c r="Q1695" s="18">
        <v>9.01</v>
      </c>
      <c r="R1695" s="56" t="str">
        <f t="shared" si="203"/>
        <v>Yes</v>
      </c>
      <c r="W1695" s="18" t="s">
        <v>464</v>
      </c>
      <c r="X1695" s="54" t="str">
        <f>VLOOKUP(W1695,Employees!$A$1:$B$601,2,FALSE)</f>
        <v>Rahul Mishra</v>
      </c>
      <c r="AW1695" s="54"/>
      <c r="AX1695" s="54"/>
      <c r="BI1695" s="48"/>
      <c r="BJ1695" s="38"/>
      <c r="BK1695" s="38"/>
      <c r="BL1695" s="38"/>
      <c r="BM1695"/>
      <c r="BN1695" s="48"/>
      <c r="BR1695" s="18" t="s">
        <v>464</v>
      </c>
      <c r="BS1695" s="18" t="s">
        <v>4526</v>
      </c>
      <c r="BT1695" s="54" t="str">
        <f t="shared" si="204"/>
        <v>Marketing</v>
      </c>
    </row>
    <row r="1696" spans="17:72">
      <c r="Q1696" s="19">
        <v>10.63</v>
      </c>
      <c r="R1696" s="56" t="str">
        <f t="shared" si="203"/>
        <v>Yes</v>
      </c>
      <c r="W1696" s="19" t="s">
        <v>464</v>
      </c>
      <c r="X1696" s="54" t="str">
        <f>VLOOKUP(W1696,Employees!$A$1:$B$601,2,FALSE)</f>
        <v>Rahul Mishra</v>
      </c>
      <c r="AW1696" s="54"/>
      <c r="AX1696" s="54"/>
      <c r="BI1696" s="48"/>
      <c r="BJ1696" s="38"/>
      <c r="BK1696" s="38"/>
      <c r="BL1696" s="38"/>
      <c r="BM1696"/>
      <c r="BN1696" s="48"/>
      <c r="BR1696" s="19" t="s">
        <v>464</v>
      </c>
      <c r="BS1696" s="19" t="s">
        <v>4527</v>
      </c>
      <c r="BT1696" s="54" t="str">
        <f t="shared" si="204"/>
        <v>Marketing</v>
      </c>
    </row>
    <row r="1697" spans="17:72">
      <c r="Q1697" s="18">
        <v>6.99</v>
      </c>
      <c r="R1697" s="56" t="str">
        <f t="shared" si="203"/>
        <v>Yes</v>
      </c>
      <c r="W1697" s="18" t="s">
        <v>464</v>
      </c>
      <c r="X1697" s="54" t="str">
        <f>VLOOKUP(W1697,Employees!$A$1:$B$601,2,FALSE)</f>
        <v>Rahul Mishra</v>
      </c>
      <c r="AW1697" s="54"/>
      <c r="AX1697" s="54"/>
      <c r="BI1697" s="48"/>
      <c r="BJ1697" s="38"/>
      <c r="BK1697" s="38"/>
      <c r="BL1697" s="38"/>
      <c r="BM1697"/>
      <c r="BN1697" s="48"/>
      <c r="BR1697" s="18" t="s">
        <v>464</v>
      </c>
      <c r="BS1697" s="18" t="s">
        <v>4528</v>
      </c>
      <c r="BT1697" s="54" t="str">
        <f t="shared" si="204"/>
        <v>Marketing</v>
      </c>
    </row>
    <row r="1698" spans="17:72">
      <c r="Q1698" s="19">
        <v>10.119999999999999</v>
      </c>
      <c r="R1698" s="56" t="str">
        <f t="shared" si="203"/>
        <v>Yes</v>
      </c>
      <c r="W1698" s="19" t="s">
        <v>464</v>
      </c>
      <c r="X1698" s="54" t="str">
        <f>VLOOKUP(W1698,Employees!$A$1:$B$601,2,FALSE)</f>
        <v>Rahul Mishra</v>
      </c>
      <c r="AW1698" s="54"/>
      <c r="AX1698" s="54"/>
      <c r="BI1698" s="48"/>
      <c r="BJ1698" s="38"/>
      <c r="BK1698" s="38"/>
      <c r="BL1698" s="38"/>
      <c r="BM1698"/>
      <c r="BN1698" s="48"/>
      <c r="BR1698" s="19" t="s">
        <v>464</v>
      </c>
      <c r="BS1698" s="19" t="s">
        <v>4529</v>
      </c>
      <c r="BT1698" s="54" t="str">
        <f t="shared" si="204"/>
        <v>Marketing</v>
      </c>
    </row>
    <row r="1699" spans="17:72">
      <c r="Q1699" s="18">
        <v>8.07</v>
      </c>
      <c r="R1699" s="56" t="str">
        <f t="shared" si="203"/>
        <v>Yes</v>
      </c>
      <c r="W1699" s="18" t="s">
        <v>464</v>
      </c>
      <c r="X1699" s="54" t="str">
        <f>VLOOKUP(W1699,Employees!$A$1:$B$601,2,FALSE)</f>
        <v>Rahul Mishra</v>
      </c>
      <c r="AW1699" s="54"/>
      <c r="AX1699" s="54"/>
      <c r="BI1699" s="48"/>
      <c r="BJ1699" s="38"/>
      <c r="BK1699" s="38"/>
      <c r="BL1699" s="38"/>
      <c r="BM1699"/>
      <c r="BN1699" s="48"/>
      <c r="BR1699" s="18" t="s">
        <v>464</v>
      </c>
      <c r="BS1699" s="18" t="s">
        <v>4530</v>
      </c>
      <c r="BT1699" s="54" t="str">
        <f t="shared" si="204"/>
        <v>Marketing</v>
      </c>
    </row>
    <row r="1700" spans="17:72">
      <c r="Q1700" s="19">
        <v>10.84</v>
      </c>
      <c r="R1700" s="56" t="str">
        <f t="shared" si="203"/>
        <v>Yes</v>
      </c>
      <c r="W1700" s="19" t="s">
        <v>464</v>
      </c>
      <c r="X1700" s="54" t="str">
        <f>VLOOKUP(W1700,Employees!$A$1:$B$601,2,FALSE)</f>
        <v>Rahul Mishra</v>
      </c>
      <c r="AW1700" s="54"/>
      <c r="AX1700" s="54"/>
      <c r="BI1700" s="48"/>
      <c r="BJ1700" s="38"/>
      <c r="BK1700" s="38"/>
      <c r="BL1700" s="38"/>
      <c r="BM1700"/>
      <c r="BN1700" s="48"/>
      <c r="BR1700" s="19" t="s">
        <v>464</v>
      </c>
      <c r="BS1700" s="19" t="s">
        <v>4531</v>
      </c>
      <c r="BT1700" s="54" t="str">
        <f t="shared" si="204"/>
        <v>Marketing</v>
      </c>
    </row>
    <row r="1701" spans="17:72">
      <c r="Q1701" s="18">
        <v>8.8000000000000007</v>
      </c>
      <c r="R1701" s="56" t="str">
        <f t="shared" si="203"/>
        <v>Yes</v>
      </c>
      <c r="W1701" s="18" t="s">
        <v>464</v>
      </c>
      <c r="X1701" s="54" t="str">
        <f>VLOOKUP(W1701,Employees!$A$1:$B$601,2,FALSE)</f>
        <v>Rahul Mishra</v>
      </c>
      <c r="AW1701" s="54"/>
      <c r="AX1701" s="54"/>
      <c r="BI1701" s="48"/>
      <c r="BJ1701" s="38"/>
      <c r="BK1701" s="38"/>
      <c r="BL1701" s="38"/>
      <c r="BM1701"/>
      <c r="BN1701" s="48"/>
      <c r="BR1701" s="18" t="s">
        <v>464</v>
      </c>
      <c r="BS1701" s="18" t="s">
        <v>4532</v>
      </c>
      <c r="BT1701" s="54" t="str">
        <f t="shared" si="204"/>
        <v>Marketing</v>
      </c>
    </row>
    <row r="1702" spans="17:72">
      <c r="Q1702" s="19">
        <v>6.65</v>
      </c>
      <c r="R1702" s="56" t="str">
        <f t="shared" si="203"/>
        <v>Yes</v>
      </c>
      <c r="W1702" s="19" t="s">
        <v>464</v>
      </c>
      <c r="X1702" s="54" t="str">
        <f>VLOOKUP(W1702,Employees!$A$1:$B$601,2,FALSE)</f>
        <v>Rahul Mishra</v>
      </c>
      <c r="AW1702" s="54"/>
      <c r="AX1702" s="54"/>
      <c r="BI1702" s="48"/>
      <c r="BJ1702" s="38"/>
      <c r="BK1702" s="38"/>
      <c r="BL1702" s="38"/>
      <c r="BM1702"/>
      <c r="BN1702" s="48"/>
      <c r="BR1702" s="19" t="s">
        <v>464</v>
      </c>
      <c r="BS1702" s="19" t="s">
        <v>4533</v>
      </c>
      <c r="BT1702" s="54" t="str">
        <f t="shared" si="204"/>
        <v>Marketing</v>
      </c>
    </row>
    <row r="1703" spans="17:72">
      <c r="Q1703" s="18">
        <v>10.43</v>
      </c>
      <c r="R1703" s="56" t="str">
        <f t="shared" si="203"/>
        <v>Yes</v>
      </c>
      <c r="W1703" s="18" t="s">
        <v>464</v>
      </c>
      <c r="X1703" s="54" t="str">
        <f>VLOOKUP(W1703,Employees!$A$1:$B$601,2,FALSE)</f>
        <v>Rahul Mishra</v>
      </c>
      <c r="AW1703" s="54"/>
      <c r="AX1703" s="54"/>
      <c r="BI1703" s="48"/>
      <c r="BJ1703" s="38"/>
      <c r="BK1703" s="38"/>
      <c r="BL1703" s="38"/>
      <c r="BM1703"/>
      <c r="BN1703" s="48"/>
      <c r="BR1703" s="18" t="s">
        <v>464</v>
      </c>
      <c r="BS1703" s="18" t="s">
        <v>4534</v>
      </c>
      <c r="BT1703" s="54" t="str">
        <f t="shared" si="204"/>
        <v>Marketing</v>
      </c>
    </row>
    <row r="1704" spans="17:72">
      <c r="Q1704" s="19">
        <v>8.8699999999999992</v>
      </c>
      <c r="R1704" s="56" t="str">
        <f t="shared" si="203"/>
        <v>Yes</v>
      </c>
      <c r="W1704" s="19" t="s">
        <v>464</v>
      </c>
      <c r="X1704" s="54" t="str">
        <f>VLOOKUP(W1704,Employees!$A$1:$B$601,2,FALSE)</f>
        <v>Rahul Mishra</v>
      </c>
      <c r="AW1704" s="54"/>
      <c r="AX1704" s="54"/>
      <c r="BI1704" s="48"/>
      <c r="BJ1704" s="38"/>
      <c r="BK1704" s="38"/>
      <c r="BL1704" s="38"/>
      <c r="BM1704"/>
      <c r="BN1704" s="48"/>
      <c r="BR1704" s="19" t="s">
        <v>464</v>
      </c>
      <c r="BS1704" s="19" t="s">
        <v>4535</v>
      </c>
      <c r="BT1704" s="54" t="str">
        <f t="shared" si="204"/>
        <v>Marketing</v>
      </c>
    </row>
    <row r="1705" spans="17:72">
      <c r="Q1705" s="18">
        <v>7</v>
      </c>
      <c r="R1705" s="56" t="str">
        <f t="shared" si="203"/>
        <v>Yes</v>
      </c>
      <c r="W1705" s="18" t="s">
        <v>464</v>
      </c>
      <c r="X1705" s="54" t="str">
        <f>VLOOKUP(W1705,Employees!$A$1:$B$601,2,FALSE)</f>
        <v>Rahul Mishra</v>
      </c>
      <c r="AW1705" s="54"/>
      <c r="AX1705" s="54"/>
      <c r="BI1705" s="48"/>
      <c r="BJ1705" s="38"/>
      <c r="BK1705" s="38"/>
      <c r="BL1705" s="38"/>
      <c r="BM1705"/>
      <c r="BN1705" s="48"/>
      <c r="BR1705" s="18" t="s">
        <v>464</v>
      </c>
      <c r="BS1705" s="18" t="s">
        <v>4536</v>
      </c>
      <c r="BT1705" s="54" t="str">
        <f t="shared" si="204"/>
        <v>Marketing</v>
      </c>
    </row>
    <row r="1706" spans="17:72">
      <c r="Q1706" s="19">
        <v>7.83</v>
      </c>
      <c r="R1706" s="56" t="str">
        <f t="shared" si="203"/>
        <v>Yes</v>
      </c>
      <c r="W1706" s="19" t="s">
        <v>464</v>
      </c>
      <c r="X1706" s="54" t="str">
        <f>VLOOKUP(W1706,Employees!$A$1:$B$601,2,FALSE)</f>
        <v>Rahul Mishra</v>
      </c>
      <c r="AW1706" s="54"/>
      <c r="AX1706" s="54"/>
      <c r="BI1706" s="48"/>
      <c r="BJ1706" s="38"/>
      <c r="BK1706" s="38"/>
      <c r="BL1706" s="38"/>
      <c r="BM1706"/>
      <c r="BN1706" s="48"/>
      <c r="BR1706" s="19" t="s">
        <v>464</v>
      </c>
      <c r="BS1706" s="19" t="s">
        <v>4537</v>
      </c>
      <c r="BT1706" s="54" t="str">
        <f t="shared" si="204"/>
        <v>Marketing</v>
      </c>
    </row>
    <row r="1707" spans="17:72">
      <c r="Q1707" s="18">
        <v>6.72</v>
      </c>
      <c r="R1707" s="56" t="str">
        <f t="shared" si="203"/>
        <v>Yes</v>
      </c>
      <c r="W1707" s="18" t="s">
        <v>464</v>
      </c>
      <c r="X1707" s="54" t="str">
        <f>VLOOKUP(W1707,Employees!$A$1:$B$601,2,FALSE)</f>
        <v>Rahul Mishra</v>
      </c>
      <c r="AW1707" s="54"/>
      <c r="AX1707" s="54"/>
      <c r="BI1707" s="48"/>
      <c r="BJ1707" s="38"/>
      <c r="BK1707" s="38"/>
      <c r="BL1707" s="38"/>
      <c r="BM1707"/>
      <c r="BN1707" s="48"/>
      <c r="BR1707" s="18" t="s">
        <v>464</v>
      </c>
      <c r="BS1707" s="18" t="s">
        <v>4538</v>
      </c>
      <c r="BT1707" s="54" t="str">
        <f t="shared" si="204"/>
        <v>Marketing</v>
      </c>
    </row>
    <row r="1708" spans="17:72">
      <c r="Q1708" s="19">
        <v>9.9</v>
      </c>
      <c r="R1708" s="56" t="str">
        <f t="shared" si="203"/>
        <v>Yes</v>
      </c>
      <c r="W1708" s="19" t="s">
        <v>464</v>
      </c>
      <c r="X1708" s="54" t="str">
        <f>VLOOKUP(W1708,Employees!$A$1:$B$601,2,FALSE)</f>
        <v>Rahul Mishra</v>
      </c>
      <c r="AW1708" s="54"/>
      <c r="AX1708" s="54"/>
      <c r="BI1708" s="48"/>
      <c r="BJ1708" s="38"/>
      <c r="BK1708" s="38"/>
      <c r="BL1708" s="38"/>
      <c r="BM1708"/>
      <c r="BN1708" s="48"/>
      <c r="BR1708" s="19" t="s">
        <v>464</v>
      </c>
      <c r="BS1708" s="19" t="s">
        <v>4539</v>
      </c>
      <c r="BT1708" s="54" t="str">
        <f t="shared" si="204"/>
        <v>Marketing</v>
      </c>
    </row>
    <row r="1709" spans="17:72">
      <c r="Q1709" s="18">
        <v>10.43</v>
      </c>
      <c r="R1709" s="56" t="str">
        <f t="shared" si="203"/>
        <v>Yes</v>
      </c>
      <c r="W1709" s="18" t="s">
        <v>464</v>
      </c>
      <c r="X1709" s="54" t="str">
        <f>VLOOKUP(W1709,Employees!$A$1:$B$601,2,FALSE)</f>
        <v>Rahul Mishra</v>
      </c>
      <c r="AW1709" s="54"/>
      <c r="AX1709" s="54"/>
      <c r="BI1709" s="48"/>
      <c r="BJ1709" s="38"/>
      <c r="BK1709" s="38"/>
      <c r="BL1709" s="38"/>
      <c r="BM1709"/>
      <c r="BN1709" s="48"/>
      <c r="BR1709" s="18" t="s">
        <v>464</v>
      </c>
      <c r="BS1709" s="18" t="s">
        <v>4540</v>
      </c>
      <c r="BT1709" s="54" t="str">
        <f t="shared" si="204"/>
        <v>Marketing</v>
      </c>
    </row>
    <row r="1710" spans="17:72">
      <c r="Q1710" s="19">
        <v>7.3</v>
      </c>
      <c r="R1710" s="56" t="str">
        <f t="shared" si="203"/>
        <v>Yes</v>
      </c>
      <c r="W1710" s="19" t="s">
        <v>464</v>
      </c>
      <c r="X1710" s="54" t="str">
        <f>VLOOKUP(W1710,Employees!$A$1:$B$601,2,FALSE)</f>
        <v>Rahul Mishra</v>
      </c>
      <c r="AW1710" s="54"/>
      <c r="AX1710" s="54"/>
      <c r="BI1710" s="48"/>
      <c r="BJ1710" s="38"/>
      <c r="BK1710" s="38"/>
      <c r="BL1710" s="38"/>
      <c r="BM1710"/>
      <c r="BN1710" s="48"/>
      <c r="BR1710" s="19" t="s">
        <v>464</v>
      </c>
      <c r="BS1710" s="19" t="s">
        <v>4541</v>
      </c>
      <c r="BT1710" s="54" t="str">
        <f t="shared" si="204"/>
        <v>Marketing</v>
      </c>
    </row>
    <row r="1711" spans="17:72">
      <c r="Q1711" s="18">
        <v>9.41</v>
      </c>
      <c r="R1711" s="56" t="str">
        <f t="shared" si="203"/>
        <v>Yes</v>
      </c>
      <c r="W1711" s="18" t="s">
        <v>464</v>
      </c>
      <c r="X1711" s="54" t="str">
        <f>VLOOKUP(W1711,Employees!$A$1:$B$601,2,FALSE)</f>
        <v>Rahul Mishra</v>
      </c>
      <c r="AW1711" s="54"/>
      <c r="AX1711" s="54"/>
      <c r="BI1711" s="48"/>
      <c r="BJ1711" s="38"/>
      <c r="BK1711" s="38"/>
      <c r="BL1711" s="38"/>
      <c r="BM1711"/>
      <c r="BN1711" s="48"/>
      <c r="BR1711" s="18" t="s">
        <v>464</v>
      </c>
      <c r="BS1711" s="18" t="s">
        <v>4542</v>
      </c>
      <c r="BT1711" s="54" t="str">
        <f t="shared" si="204"/>
        <v>Marketing</v>
      </c>
    </row>
    <row r="1712" spans="17:72">
      <c r="Q1712" s="19">
        <v>8.0399999999999991</v>
      </c>
      <c r="R1712" s="56" t="str">
        <f t="shared" si="203"/>
        <v>Yes</v>
      </c>
      <c r="W1712" s="19" t="s">
        <v>464</v>
      </c>
      <c r="X1712" s="54" t="str">
        <f>VLOOKUP(W1712,Employees!$A$1:$B$601,2,FALSE)</f>
        <v>Rahul Mishra</v>
      </c>
      <c r="AW1712" s="54"/>
      <c r="AX1712" s="54"/>
      <c r="BI1712" s="48"/>
      <c r="BJ1712" s="38"/>
      <c r="BK1712" s="38"/>
      <c r="BL1712" s="38"/>
      <c r="BM1712"/>
      <c r="BN1712" s="48"/>
      <c r="BR1712" s="19" t="s">
        <v>464</v>
      </c>
      <c r="BS1712" s="19" t="s">
        <v>4543</v>
      </c>
      <c r="BT1712" s="54" t="str">
        <f t="shared" si="204"/>
        <v>Marketing</v>
      </c>
    </row>
    <row r="1713" spans="17:72">
      <c r="Q1713" s="18">
        <v>10.4</v>
      </c>
      <c r="R1713" s="56" t="str">
        <f t="shared" si="203"/>
        <v>Yes</v>
      </c>
      <c r="W1713" s="18" t="s">
        <v>464</v>
      </c>
      <c r="X1713" s="54" t="str">
        <f>VLOOKUP(W1713,Employees!$A$1:$B$601,2,FALSE)</f>
        <v>Rahul Mishra</v>
      </c>
      <c r="AW1713" s="54"/>
      <c r="AX1713" s="54"/>
      <c r="BI1713" s="48"/>
      <c r="BJ1713" s="38"/>
      <c r="BK1713" s="38"/>
      <c r="BL1713" s="38"/>
      <c r="BM1713"/>
      <c r="BN1713" s="48"/>
      <c r="BR1713" s="18" t="s">
        <v>464</v>
      </c>
      <c r="BS1713" s="18" t="s">
        <v>4544</v>
      </c>
      <c r="BT1713" s="54" t="str">
        <f t="shared" si="204"/>
        <v>Marketing</v>
      </c>
    </row>
    <row r="1714" spans="17:72">
      <c r="Q1714" s="19">
        <v>7.01</v>
      </c>
      <c r="R1714" s="56" t="str">
        <f t="shared" si="203"/>
        <v>Yes</v>
      </c>
      <c r="W1714" s="19" t="s">
        <v>464</v>
      </c>
      <c r="X1714" s="54" t="str">
        <f>VLOOKUP(W1714,Employees!$A$1:$B$601,2,FALSE)</f>
        <v>Rahul Mishra</v>
      </c>
      <c r="AW1714" s="54"/>
      <c r="AX1714" s="54"/>
      <c r="BI1714" s="48"/>
      <c r="BJ1714" s="38"/>
      <c r="BK1714" s="38"/>
      <c r="BL1714" s="38"/>
      <c r="BM1714"/>
      <c r="BN1714" s="48"/>
      <c r="BR1714" s="19" t="s">
        <v>464</v>
      </c>
      <c r="BS1714" s="19" t="s">
        <v>4545</v>
      </c>
      <c r="BT1714" s="54" t="str">
        <f t="shared" si="204"/>
        <v>Marketing</v>
      </c>
    </row>
    <row r="1715" spans="17:72">
      <c r="Q1715" s="18">
        <v>10.95</v>
      </c>
      <c r="R1715" s="56" t="str">
        <f t="shared" si="203"/>
        <v>Yes</v>
      </c>
      <c r="W1715" s="18" t="s">
        <v>464</v>
      </c>
      <c r="X1715" s="54" t="str">
        <f>VLOOKUP(W1715,Employees!$A$1:$B$601,2,FALSE)</f>
        <v>Rahul Mishra</v>
      </c>
      <c r="AW1715" s="54"/>
      <c r="AX1715" s="54"/>
      <c r="BI1715" s="48"/>
      <c r="BJ1715" s="38"/>
      <c r="BK1715" s="38"/>
      <c r="BL1715" s="38"/>
      <c r="BM1715"/>
      <c r="BN1715" s="48"/>
      <c r="BR1715" s="18" t="s">
        <v>464</v>
      </c>
      <c r="BS1715" s="18" t="s">
        <v>4546</v>
      </c>
      <c r="BT1715" s="54" t="str">
        <f t="shared" si="204"/>
        <v>Marketing</v>
      </c>
    </row>
    <row r="1716" spans="17:72">
      <c r="Q1716" s="19">
        <v>8.7799999999999994</v>
      </c>
      <c r="R1716" s="56" t="str">
        <f t="shared" si="203"/>
        <v>Yes</v>
      </c>
      <c r="W1716" s="19" t="s">
        <v>464</v>
      </c>
      <c r="X1716" s="54" t="str">
        <f>VLOOKUP(W1716,Employees!$A$1:$B$601,2,FALSE)</f>
        <v>Rahul Mishra</v>
      </c>
      <c r="AW1716" s="54"/>
      <c r="AX1716" s="54"/>
      <c r="BI1716" s="48"/>
      <c r="BJ1716" s="38"/>
      <c r="BK1716" s="38"/>
      <c r="BL1716" s="38"/>
      <c r="BM1716"/>
      <c r="BN1716" s="48"/>
      <c r="BR1716" s="19" t="s">
        <v>464</v>
      </c>
      <c r="BS1716" s="19" t="s">
        <v>4547</v>
      </c>
      <c r="BT1716" s="54" t="str">
        <f t="shared" si="204"/>
        <v>Marketing</v>
      </c>
    </row>
    <row r="1717" spans="17:72">
      <c r="Q1717" s="18">
        <v>11.09</v>
      </c>
      <c r="R1717" s="56" t="str">
        <f t="shared" si="203"/>
        <v>Yes</v>
      </c>
      <c r="W1717" s="18" t="s">
        <v>464</v>
      </c>
      <c r="X1717" s="54" t="str">
        <f>VLOOKUP(W1717,Employees!$A$1:$B$601,2,FALSE)</f>
        <v>Rahul Mishra</v>
      </c>
      <c r="AW1717" s="54"/>
      <c r="AX1717" s="54"/>
      <c r="BI1717" s="48"/>
      <c r="BJ1717" s="38"/>
      <c r="BK1717" s="38"/>
      <c r="BL1717" s="38"/>
      <c r="BM1717"/>
      <c r="BN1717" s="48"/>
      <c r="BR1717" s="18" t="s">
        <v>464</v>
      </c>
      <c r="BS1717" s="18" t="s">
        <v>4548</v>
      </c>
      <c r="BT1717" s="54" t="str">
        <f t="shared" si="204"/>
        <v>Marketing</v>
      </c>
    </row>
    <row r="1718" spans="17:72">
      <c r="Q1718" s="19">
        <v>8.6</v>
      </c>
      <c r="R1718" s="56" t="str">
        <f t="shared" si="203"/>
        <v>Yes</v>
      </c>
      <c r="W1718" s="19" t="s">
        <v>464</v>
      </c>
      <c r="X1718" s="54" t="str">
        <f>VLOOKUP(W1718,Employees!$A$1:$B$601,2,FALSE)</f>
        <v>Rahul Mishra</v>
      </c>
      <c r="AW1718" s="54"/>
      <c r="AX1718" s="54"/>
      <c r="BI1718" s="48"/>
      <c r="BJ1718" s="38"/>
      <c r="BK1718" s="38"/>
      <c r="BL1718" s="38"/>
      <c r="BM1718"/>
      <c r="BN1718" s="48"/>
      <c r="BR1718" s="19" t="s">
        <v>464</v>
      </c>
      <c r="BS1718" s="19" t="s">
        <v>4549</v>
      </c>
      <c r="BT1718" s="54" t="str">
        <f t="shared" si="204"/>
        <v>Marketing</v>
      </c>
    </row>
    <row r="1719" spans="17:72">
      <c r="Q1719" s="18">
        <v>9.77</v>
      </c>
      <c r="R1719" s="56" t="str">
        <f t="shared" si="203"/>
        <v>Yes</v>
      </c>
      <c r="W1719" s="18" t="s">
        <v>464</v>
      </c>
      <c r="X1719" s="54" t="str">
        <f>VLOOKUP(W1719,Employees!$A$1:$B$601,2,FALSE)</f>
        <v>Rahul Mishra</v>
      </c>
      <c r="AW1719" s="54"/>
      <c r="AX1719" s="54"/>
      <c r="BI1719" s="48"/>
      <c r="BJ1719" s="38"/>
      <c r="BK1719" s="38"/>
      <c r="BL1719" s="38"/>
      <c r="BM1719"/>
      <c r="BN1719" s="48"/>
      <c r="BR1719" s="18" t="s">
        <v>464</v>
      </c>
      <c r="BS1719" s="18" t="s">
        <v>4550</v>
      </c>
      <c r="BT1719" s="54" t="str">
        <f t="shared" si="204"/>
        <v>Marketing</v>
      </c>
    </row>
    <row r="1720" spans="17:72">
      <c r="Q1720" s="19">
        <v>9.44</v>
      </c>
      <c r="R1720" s="56" t="str">
        <f t="shared" si="203"/>
        <v>Yes</v>
      </c>
      <c r="W1720" s="19" t="s">
        <v>464</v>
      </c>
      <c r="X1720" s="54" t="str">
        <f>VLOOKUP(W1720,Employees!$A$1:$B$601,2,FALSE)</f>
        <v>Rahul Mishra</v>
      </c>
      <c r="AW1720" s="54"/>
      <c r="AX1720" s="54"/>
      <c r="BI1720" s="48"/>
      <c r="BJ1720" s="38"/>
      <c r="BK1720" s="38"/>
      <c r="BL1720" s="38"/>
      <c r="BM1720"/>
      <c r="BN1720" s="48"/>
      <c r="BR1720" s="19" t="s">
        <v>464</v>
      </c>
      <c r="BS1720" s="19" t="s">
        <v>4551</v>
      </c>
      <c r="BT1720" s="54" t="str">
        <f t="shared" si="204"/>
        <v>Marketing</v>
      </c>
    </row>
    <row r="1721" spans="17:72">
      <c r="Q1721" s="18">
        <v>8.9700000000000006</v>
      </c>
      <c r="R1721" s="56" t="str">
        <f t="shared" si="203"/>
        <v>Yes</v>
      </c>
      <c r="W1721" s="18" t="s">
        <v>464</v>
      </c>
      <c r="X1721" s="54" t="str">
        <f>VLOOKUP(W1721,Employees!$A$1:$B$601,2,FALSE)</f>
        <v>Rahul Mishra</v>
      </c>
      <c r="AW1721" s="54"/>
      <c r="AX1721" s="54"/>
      <c r="BI1721" s="48"/>
      <c r="BJ1721" s="38"/>
      <c r="BK1721" s="38"/>
      <c r="BL1721" s="38"/>
      <c r="BM1721"/>
      <c r="BN1721" s="48"/>
      <c r="BR1721" s="18" t="s">
        <v>464</v>
      </c>
      <c r="BS1721" s="18" t="s">
        <v>4552</v>
      </c>
      <c r="BT1721" s="54" t="str">
        <f t="shared" si="204"/>
        <v>Marketing</v>
      </c>
    </row>
    <row r="1722" spans="17:72">
      <c r="Q1722" s="19">
        <v>8.07</v>
      </c>
      <c r="R1722" s="56" t="str">
        <f t="shared" si="203"/>
        <v>Yes</v>
      </c>
      <c r="W1722" s="19" t="s">
        <v>1309</v>
      </c>
      <c r="X1722" s="54" t="str">
        <f>VLOOKUP(W1722,Employees!$A$1:$B$601,2,FALSE)</f>
        <v>Ranjit Nanda</v>
      </c>
      <c r="AW1722" s="54"/>
      <c r="AX1722" s="54"/>
      <c r="BI1722" s="48"/>
      <c r="BJ1722" s="38"/>
      <c r="BK1722" s="38"/>
      <c r="BL1722" s="38"/>
      <c r="BM1722"/>
      <c r="BN1722" s="48"/>
      <c r="BR1722" s="19" t="s">
        <v>1309</v>
      </c>
      <c r="BS1722" s="19" t="s">
        <v>4553</v>
      </c>
      <c r="BT1722" s="54" t="str">
        <f t="shared" si="204"/>
        <v>Engineering</v>
      </c>
    </row>
    <row r="1723" spans="17:72">
      <c r="Q1723" s="18">
        <v>6.94</v>
      </c>
      <c r="R1723" s="56" t="str">
        <f t="shared" si="203"/>
        <v>Yes</v>
      </c>
      <c r="W1723" s="18" t="s">
        <v>1309</v>
      </c>
      <c r="X1723" s="54" t="str">
        <f>VLOOKUP(W1723,Employees!$A$1:$B$601,2,FALSE)</f>
        <v>Ranjit Nanda</v>
      </c>
      <c r="AW1723" s="54"/>
      <c r="AX1723" s="54"/>
      <c r="BI1723" s="48"/>
      <c r="BJ1723" s="38"/>
      <c r="BK1723" s="38"/>
      <c r="BL1723" s="38"/>
      <c r="BM1723"/>
      <c r="BN1723" s="48"/>
      <c r="BR1723" s="18" t="s">
        <v>1309</v>
      </c>
      <c r="BS1723" s="18" t="s">
        <v>4554</v>
      </c>
      <c r="BT1723" s="54" t="str">
        <f t="shared" si="204"/>
        <v>Engineering</v>
      </c>
    </row>
    <row r="1724" spans="17:72">
      <c r="Q1724" s="19">
        <v>10.52</v>
      </c>
      <c r="R1724" s="56" t="str">
        <f t="shared" si="203"/>
        <v>Yes</v>
      </c>
      <c r="W1724" s="19" t="s">
        <v>1309</v>
      </c>
      <c r="X1724" s="54" t="str">
        <f>VLOOKUP(W1724,Employees!$A$1:$B$601,2,FALSE)</f>
        <v>Ranjit Nanda</v>
      </c>
      <c r="AW1724" s="54"/>
      <c r="AX1724" s="54"/>
      <c r="BI1724" s="48"/>
      <c r="BJ1724" s="38"/>
      <c r="BK1724" s="38"/>
      <c r="BL1724" s="38"/>
      <c r="BM1724"/>
      <c r="BN1724" s="48"/>
      <c r="BR1724" s="19" t="s">
        <v>1309</v>
      </c>
      <c r="BS1724" s="19" t="s">
        <v>4555</v>
      </c>
      <c r="BT1724" s="54" t="str">
        <f t="shared" si="204"/>
        <v>Engineering</v>
      </c>
    </row>
    <row r="1725" spans="17:72">
      <c r="Q1725" s="18">
        <v>6.84</v>
      </c>
      <c r="R1725" s="56" t="str">
        <f t="shared" si="203"/>
        <v>Yes</v>
      </c>
      <c r="W1725" s="18" t="s">
        <v>1309</v>
      </c>
      <c r="X1725" s="54" t="str">
        <f>VLOOKUP(W1725,Employees!$A$1:$B$601,2,FALSE)</f>
        <v>Ranjit Nanda</v>
      </c>
      <c r="AW1725" s="54"/>
      <c r="AX1725" s="54"/>
      <c r="BI1725" s="48"/>
      <c r="BJ1725" s="38"/>
      <c r="BK1725" s="38"/>
      <c r="BL1725" s="38"/>
      <c r="BM1725"/>
      <c r="BN1725" s="48"/>
      <c r="BR1725" s="18" t="s">
        <v>1309</v>
      </c>
      <c r="BS1725" s="18" t="s">
        <v>4556</v>
      </c>
      <c r="BT1725" s="54" t="str">
        <f t="shared" si="204"/>
        <v>Engineering</v>
      </c>
    </row>
    <row r="1726" spans="17:72">
      <c r="Q1726" s="19">
        <v>10.53</v>
      </c>
      <c r="R1726" s="56" t="str">
        <f t="shared" si="203"/>
        <v>Yes</v>
      </c>
      <c r="W1726" s="19" t="s">
        <v>1309</v>
      </c>
      <c r="X1726" s="54" t="str">
        <f>VLOOKUP(W1726,Employees!$A$1:$B$601,2,FALSE)</f>
        <v>Ranjit Nanda</v>
      </c>
      <c r="AW1726" s="54"/>
      <c r="AX1726" s="54"/>
      <c r="BI1726" s="48"/>
      <c r="BJ1726" s="38"/>
      <c r="BK1726" s="38"/>
      <c r="BL1726" s="38"/>
      <c r="BM1726"/>
      <c r="BN1726" s="48"/>
      <c r="BR1726" s="19" t="s">
        <v>1309</v>
      </c>
      <c r="BS1726" s="19" t="s">
        <v>4557</v>
      </c>
      <c r="BT1726" s="54" t="str">
        <f t="shared" si="204"/>
        <v>Engineering</v>
      </c>
    </row>
    <row r="1727" spans="17:72">
      <c r="Q1727" s="18">
        <v>6.97</v>
      </c>
      <c r="R1727" s="56" t="str">
        <f t="shared" si="203"/>
        <v>Yes</v>
      </c>
      <c r="W1727" s="18" t="s">
        <v>1309</v>
      </c>
      <c r="X1727" s="54" t="str">
        <f>VLOOKUP(W1727,Employees!$A$1:$B$601,2,FALSE)</f>
        <v>Ranjit Nanda</v>
      </c>
      <c r="AW1727" s="54"/>
      <c r="AX1727" s="54"/>
      <c r="BI1727" s="48"/>
      <c r="BJ1727" s="38"/>
      <c r="BK1727" s="38"/>
      <c r="BL1727" s="38"/>
      <c r="BM1727"/>
      <c r="BN1727" s="48"/>
      <c r="BR1727" s="18" t="s">
        <v>1309</v>
      </c>
      <c r="BS1727" s="18" t="s">
        <v>4558</v>
      </c>
      <c r="BT1727" s="54" t="str">
        <f t="shared" si="204"/>
        <v>Engineering</v>
      </c>
    </row>
    <row r="1728" spans="17:72">
      <c r="Q1728" s="19">
        <v>9.44</v>
      </c>
      <c r="R1728" s="56" t="str">
        <f t="shared" si="203"/>
        <v>Yes</v>
      </c>
      <c r="W1728" s="19" t="s">
        <v>1309</v>
      </c>
      <c r="X1728" s="54" t="str">
        <f>VLOOKUP(W1728,Employees!$A$1:$B$601,2,FALSE)</f>
        <v>Ranjit Nanda</v>
      </c>
      <c r="AW1728" s="54"/>
      <c r="AX1728" s="54"/>
      <c r="BI1728" s="48"/>
      <c r="BJ1728" s="38"/>
      <c r="BK1728" s="38"/>
      <c r="BL1728" s="38"/>
      <c r="BM1728"/>
      <c r="BN1728" s="48"/>
      <c r="BR1728" s="19" t="s">
        <v>1309</v>
      </c>
      <c r="BS1728" s="19" t="s">
        <v>4559</v>
      </c>
      <c r="BT1728" s="54" t="str">
        <f t="shared" si="204"/>
        <v>Engineering</v>
      </c>
    </row>
    <row r="1729" spans="17:72">
      <c r="Q1729" s="18">
        <v>7.43</v>
      </c>
      <c r="R1729" s="56" t="str">
        <f t="shared" si="203"/>
        <v>Yes</v>
      </c>
      <c r="W1729" s="18" t="s">
        <v>1309</v>
      </c>
      <c r="X1729" s="54" t="str">
        <f>VLOOKUP(W1729,Employees!$A$1:$B$601,2,FALSE)</f>
        <v>Ranjit Nanda</v>
      </c>
      <c r="AW1729" s="54"/>
      <c r="AX1729" s="54"/>
      <c r="BI1729" s="48"/>
      <c r="BJ1729" s="38"/>
      <c r="BK1729" s="38"/>
      <c r="BL1729" s="38"/>
      <c r="BM1729"/>
      <c r="BN1729" s="48"/>
      <c r="BR1729" s="18" t="s">
        <v>1309</v>
      </c>
      <c r="BS1729" s="18" t="s">
        <v>4560</v>
      </c>
      <c r="BT1729" s="54" t="str">
        <f t="shared" si="204"/>
        <v>Engineering</v>
      </c>
    </row>
    <row r="1730" spans="17:72">
      <c r="Q1730" s="19">
        <v>7.27</v>
      </c>
      <c r="R1730" s="56" t="str">
        <f t="shared" si="203"/>
        <v>Yes</v>
      </c>
      <c r="W1730" s="19" t="s">
        <v>1309</v>
      </c>
      <c r="X1730" s="54" t="str">
        <f>VLOOKUP(W1730,Employees!$A$1:$B$601,2,FALSE)</f>
        <v>Ranjit Nanda</v>
      </c>
      <c r="AW1730" s="54"/>
      <c r="AX1730" s="54"/>
      <c r="BI1730" s="48"/>
      <c r="BJ1730" s="38"/>
      <c r="BK1730" s="38"/>
      <c r="BL1730" s="38"/>
      <c r="BM1730"/>
      <c r="BN1730" s="48"/>
      <c r="BR1730" s="19" t="s">
        <v>1309</v>
      </c>
      <c r="BS1730" s="19" t="s">
        <v>4561</v>
      </c>
      <c r="BT1730" s="54" t="str">
        <f t="shared" si="204"/>
        <v>Engineering</v>
      </c>
    </row>
    <row r="1731" spans="17:72">
      <c r="Q1731" s="18">
        <v>6.72</v>
      </c>
      <c r="R1731" s="56" t="str">
        <f t="shared" ref="R1731:R1794" si="205">IF(ISBLANK(Q1731),"No","Yes")</f>
        <v>Yes</v>
      </c>
      <c r="W1731" s="18" t="s">
        <v>1309</v>
      </c>
      <c r="X1731" s="54" t="str">
        <f>VLOOKUP(W1731,Employees!$A$1:$B$601,2,FALSE)</f>
        <v>Ranjit Nanda</v>
      </c>
      <c r="AW1731" s="54"/>
      <c r="AX1731" s="54"/>
      <c r="BI1731" s="48"/>
      <c r="BJ1731" s="38"/>
      <c r="BK1731" s="38"/>
      <c r="BL1731" s="38"/>
      <c r="BM1731"/>
      <c r="BN1731" s="48"/>
      <c r="BR1731" s="18" t="s">
        <v>1309</v>
      </c>
      <c r="BS1731" s="18" t="s">
        <v>4562</v>
      </c>
      <c r="BT1731" s="54" t="str">
        <f t="shared" ref="BT1731:BT1794" si="206">VLOOKUP(BR1731,$BP$2:$BQ$601,2,FALSE)</f>
        <v>Engineering</v>
      </c>
    </row>
    <row r="1732" spans="17:72">
      <c r="Q1732" s="19">
        <v>7.85</v>
      </c>
      <c r="R1732" s="56" t="str">
        <f t="shared" si="205"/>
        <v>Yes</v>
      </c>
      <c r="W1732" s="19" t="s">
        <v>1309</v>
      </c>
      <c r="X1732" s="54" t="str">
        <f>VLOOKUP(W1732,Employees!$A$1:$B$601,2,FALSE)</f>
        <v>Ranjit Nanda</v>
      </c>
      <c r="AW1732" s="54"/>
      <c r="AX1732" s="54"/>
      <c r="BI1732" s="48"/>
      <c r="BJ1732" s="38"/>
      <c r="BK1732" s="38"/>
      <c r="BL1732" s="38"/>
      <c r="BM1732"/>
      <c r="BN1732" s="48"/>
      <c r="BR1732" s="19" t="s">
        <v>1309</v>
      </c>
      <c r="BS1732" s="19" t="s">
        <v>4563</v>
      </c>
      <c r="BT1732" s="54" t="str">
        <f t="shared" si="206"/>
        <v>Engineering</v>
      </c>
    </row>
    <row r="1733" spans="17:72">
      <c r="Q1733" s="18">
        <v>7.39</v>
      </c>
      <c r="R1733" s="56" t="str">
        <f t="shared" si="205"/>
        <v>Yes</v>
      </c>
      <c r="W1733" s="18" t="s">
        <v>1309</v>
      </c>
      <c r="X1733" s="54" t="str">
        <f>VLOOKUP(W1733,Employees!$A$1:$B$601,2,FALSE)</f>
        <v>Ranjit Nanda</v>
      </c>
      <c r="AW1733" s="54"/>
      <c r="AX1733" s="54"/>
      <c r="BI1733" s="48"/>
      <c r="BJ1733" s="38"/>
      <c r="BK1733" s="38"/>
      <c r="BL1733" s="38"/>
      <c r="BM1733"/>
      <c r="BN1733" s="48"/>
      <c r="BR1733" s="18" t="s">
        <v>1309</v>
      </c>
      <c r="BS1733" s="18" t="s">
        <v>4564</v>
      </c>
      <c r="BT1733" s="54" t="str">
        <f t="shared" si="206"/>
        <v>Engineering</v>
      </c>
    </row>
    <row r="1734" spans="17:72">
      <c r="Q1734" s="19">
        <v>10.89</v>
      </c>
      <c r="R1734" s="56" t="str">
        <f t="shared" si="205"/>
        <v>Yes</v>
      </c>
      <c r="W1734" s="19" t="s">
        <v>1309</v>
      </c>
      <c r="X1734" s="54" t="str">
        <f>VLOOKUP(W1734,Employees!$A$1:$B$601,2,FALSE)</f>
        <v>Ranjit Nanda</v>
      </c>
      <c r="AW1734" s="54"/>
      <c r="AX1734" s="54"/>
      <c r="BI1734" s="48"/>
      <c r="BJ1734" s="38"/>
      <c r="BK1734" s="38"/>
      <c r="BL1734" s="38"/>
      <c r="BM1734"/>
      <c r="BN1734" s="48"/>
      <c r="BR1734" s="19" t="s">
        <v>1309</v>
      </c>
      <c r="BS1734" s="19" t="s">
        <v>4565</v>
      </c>
      <c r="BT1734" s="54" t="str">
        <f t="shared" si="206"/>
        <v>Engineering</v>
      </c>
    </row>
    <row r="1735" spans="17:72">
      <c r="Q1735" s="18">
        <v>8.68</v>
      </c>
      <c r="R1735" s="56" t="str">
        <f t="shared" si="205"/>
        <v>Yes</v>
      </c>
      <c r="W1735" s="18" t="s">
        <v>1309</v>
      </c>
      <c r="X1735" s="54" t="str">
        <f>VLOOKUP(W1735,Employees!$A$1:$B$601,2,FALSE)</f>
        <v>Ranjit Nanda</v>
      </c>
      <c r="AW1735" s="54"/>
      <c r="AX1735" s="54"/>
      <c r="BI1735" s="48"/>
      <c r="BJ1735" s="38"/>
      <c r="BK1735" s="38"/>
      <c r="BL1735" s="38"/>
      <c r="BM1735"/>
      <c r="BN1735" s="48"/>
      <c r="BR1735" s="18" t="s">
        <v>1309</v>
      </c>
      <c r="BS1735" s="18" t="s">
        <v>4566</v>
      </c>
      <c r="BT1735" s="54" t="str">
        <f t="shared" si="206"/>
        <v>Engineering</v>
      </c>
    </row>
    <row r="1736" spans="17:72">
      <c r="Q1736" s="19">
        <v>7.37</v>
      </c>
      <c r="R1736" s="56" t="str">
        <f t="shared" si="205"/>
        <v>Yes</v>
      </c>
      <c r="W1736" s="19" t="s">
        <v>1309</v>
      </c>
      <c r="X1736" s="54" t="str">
        <f>VLOOKUP(W1736,Employees!$A$1:$B$601,2,FALSE)</f>
        <v>Ranjit Nanda</v>
      </c>
      <c r="AW1736" s="54"/>
      <c r="AX1736" s="54"/>
      <c r="BI1736" s="48"/>
      <c r="BJ1736" s="38"/>
      <c r="BK1736" s="38"/>
      <c r="BL1736" s="38"/>
      <c r="BM1736"/>
      <c r="BN1736" s="48"/>
      <c r="BR1736" s="19" t="s">
        <v>1309</v>
      </c>
      <c r="BS1736" s="19" t="s">
        <v>4567</v>
      </c>
      <c r="BT1736" s="54" t="str">
        <f t="shared" si="206"/>
        <v>Engineering</v>
      </c>
    </row>
    <row r="1737" spans="17:72">
      <c r="Q1737" s="18">
        <v>11.16</v>
      </c>
      <c r="R1737" s="56" t="str">
        <f t="shared" si="205"/>
        <v>Yes</v>
      </c>
      <c r="W1737" s="18" t="s">
        <v>1309</v>
      </c>
      <c r="X1737" s="54" t="str">
        <f>VLOOKUP(W1737,Employees!$A$1:$B$601,2,FALSE)</f>
        <v>Ranjit Nanda</v>
      </c>
      <c r="AW1737" s="54"/>
      <c r="AX1737" s="54"/>
      <c r="BI1737" s="48"/>
      <c r="BJ1737" s="38"/>
      <c r="BK1737" s="38"/>
      <c r="BL1737" s="38"/>
      <c r="BM1737"/>
      <c r="BN1737" s="48"/>
      <c r="BR1737" s="18" t="s">
        <v>1309</v>
      </c>
      <c r="BS1737" s="18" t="s">
        <v>4568</v>
      </c>
      <c r="BT1737" s="54" t="str">
        <f t="shared" si="206"/>
        <v>Engineering</v>
      </c>
    </row>
    <row r="1738" spans="17:72">
      <c r="Q1738" s="19">
        <v>9.9600000000000009</v>
      </c>
      <c r="R1738" s="56" t="str">
        <f t="shared" si="205"/>
        <v>Yes</v>
      </c>
      <c r="W1738" s="19" t="s">
        <v>1309</v>
      </c>
      <c r="X1738" s="54" t="str">
        <f>VLOOKUP(W1738,Employees!$A$1:$B$601,2,FALSE)</f>
        <v>Ranjit Nanda</v>
      </c>
      <c r="AW1738" s="54"/>
      <c r="AX1738" s="54"/>
      <c r="BI1738" s="48"/>
      <c r="BJ1738" s="38"/>
      <c r="BK1738" s="38"/>
      <c r="BL1738" s="38"/>
      <c r="BM1738"/>
      <c r="BN1738" s="48"/>
      <c r="BR1738" s="19" t="s">
        <v>1309</v>
      </c>
      <c r="BS1738" s="19" t="s">
        <v>4569</v>
      </c>
      <c r="BT1738" s="54" t="str">
        <f t="shared" si="206"/>
        <v>Engineering</v>
      </c>
    </row>
    <row r="1739" spans="17:72">
      <c r="Q1739" s="18">
        <v>8.25</v>
      </c>
      <c r="R1739" s="56" t="str">
        <f t="shared" si="205"/>
        <v>Yes</v>
      </c>
      <c r="W1739" s="18" t="s">
        <v>1309</v>
      </c>
      <c r="X1739" s="54" t="str">
        <f>VLOOKUP(W1739,Employees!$A$1:$B$601,2,FALSE)</f>
        <v>Ranjit Nanda</v>
      </c>
      <c r="AW1739" s="54"/>
      <c r="AX1739" s="54"/>
      <c r="BI1739" s="48"/>
      <c r="BJ1739" s="38"/>
      <c r="BK1739" s="38"/>
      <c r="BL1739" s="38"/>
      <c r="BM1739"/>
      <c r="BN1739" s="48"/>
      <c r="BR1739" s="18" t="s">
        <v>1309</v>
      </c>
      <c r="BS1739" s="18" t="s">
        <v>4570</v>
      </c>
      <c r="BT1739" s="54" t="str">
        <f t="shared" si="206"/>
        <v>Engineering</v>
      </c>
    </row>
    <row r="1740" spans="17:72">
      <c r="Q1740" s="19">
        <v>10.97</v>
      </c>
      <c r="R1740" s="56" t="str">
        <f t="shared" si="205"/>
        <v>Yes</v>
      </c>
      <c r="W1740" s="19" t="s">
        <v>1309</v>
      </c>
      <c r="X1740" s="54" t="str">
        <f>VLOOKUP(W1740,Employees!$A$1:$B$601,2,FALSE)</f>
        <v>Ranjit Nanda</v>
      </c>
      <c r="AW1740" s="54"/>
      <c r="AX1740" s="54"/>
      <c r="BI1740" s="48"/>
      <c r="BJ1740" s="38"/>
      <c r="BK1740" s="38"/>
      <c r="BL1740" s="38"/>
      <c r="BM1740"/>
      <c r="BN1740" s="48"/>
      <c r="BR1740" s="19" t="s">
        <v>1309</v>
      </c>
      <c r="BS1740" s="19" t="s">
        <v>4571</v>
      </c>
      <c r="BT1740" s="54" t="str">
        <f t="shared" si="206"/>
        <v>Engineering</v>
      </c>
    </row>
    <row r="1741" spans="17:72">
      <c r="Q1741" s="18">
        <v>8.4499999999999993</v>
      </c>
      <c r="R1741" s="56" t="str">
        <f t="shared" si="205"/>
        <v>Yes</v>
      </c>
      <c r="W1741" s="18" t="s">
        <v>1309</v>
      </c>
      <c r="X1741" s="54" t="str">
        <f>VLOOKUP(W1741,Employees!$A$1:$B$601,2,FALSE)</f>
        <v>Ranjit Nanda</v>
      </c>
      <c r="AW1741" s="54"/>
      <c r="AX1741" s="54"/>
      <c r="BI1741" s="48"/>
      <c r="BJ1741" s="38"/>
      <c r="BK1741" s="38"/>
      <c r="BL1741" s="38"/>
      <c r="BM1741"/>
      <c r="BN1741" s="48"/>
      <c r="BR1741" s="18" t="s">
        <v>1309</v>
      </c>
      <c r="BS1741" s="18" t="s">
        <v>4572</v>
      </c>
      <c r="BT1741" s="54" t="str">
        <f t="shared" si="206"/>
        <v>Engineering</v>
      </c>
    </row>
    <row r="1742" spans="17:72">
      <c r="Q1742" s="19">
        <v>11.17</v>
      </c>
      <c r="R1742" s="56" t="str">
        <f t="shared" si="205"/>
        <v>Yes</v>
      </c>
      <c r="W1742" s="19" t="s">
        <v>1309</v>
      </c>
      <c r="X1742" s="54" t="str">
        <f>VLOOKUP(W1742,Employees!$A$1:$B$601,2,FALSE)</f>
        <v>Ranjit Nanda</v>
      </c>
      <c r="AW1742" s="54"/>
      <c r="AX1742" s="54"/>
      <c r="BI1742" s="48"/>
      <c r="BJ1742" s="38"/>
      <c r="BK1742" s="38"/>
      <c r="BL1742" s="38"/>
      <c r="BM1742"/>
      <c r="BN1742" s="48"/>
      <c r="BR1742" s="19" t="s">
        <v>1309</v>
      </c>
      <c r="BS1742" s="19" t="s">
        <v>4573</v>
      </c>
      <c r="BT1742" s="54" t="str">
        <f t="shared" si="206"/>
        <v>Engineering</v>
      </c>
    </row>
    <row r="1743" spans="17:72">
      <c r="Q1743" s="18">
        <v>9.8000000000000007</v>
      </c>
      <c r="R1743" s="56" t="str">
        <f t="shared" si="205"/>
        <v>Yes</v>
      </c>
      <c r="W1743" s="18" t="s">
        <v>1309</v>
      </c>
      <c r="X1743" s="54" t="str">
        <f>VLOOKUP(W1743,Employees!$A$1:$B$601,2,FALSE)</f>
        <v>Ranjit Nanda</v>
      </c>
      <c r="AW1743" s="54"/>
      <c r="AX1743" s="54"/>
      <c r="BI1743" s="48"/>
      <c r="BJ1743" s="38"/>
      <c r="BK1743" s="38"/>
      <c r="BL1743" s="38"/>
      <c r="BM1743"/>
      <c r="BN1743" s="48"/>
      <c r="BR1743" s="18" t="s">
        <v>1309</v>
      </c>
      <c r="BS1743" s="18" t="s">
        <v>4575</v>
      </c>
      <c r="BT1743" s="54" t="str">
        <f t="shared" si="206"/>
        <v>Engineering</v>
      </c>
    </row>
    <row r="1744" spans="17:72">
      <c r="Q1744" s="19">
        <v>9.89</v>
      </c>
      <c r="R1744" s="56" t="str">
        <f t="shared" si="205"/>
        <v>Yes</v>
      </c>
      <c r="W1744" s="19" t="s">
        <v>1309</v>
      </c>
      <c r="X1744" s="54" t="str">
        <f>VLOOKUP(W1744,Employees!$A$1:$B$601,2,FALSE)</f>
        <v>Ranjit Nanda</v>
      </c>
      <c r="AW1744" s="54"/>
      <c r="AX1744" s="54"/>
      <c r="BI1744" s="48"/>
      <c r="BJ1744" s="38"/>
      <c r="BK1744" s="38"/>
      <c r="BL1744" s="38"/>
      <c r="BM1744"/>
      <c r="BN1744" s="48"/>
      <c r="BR1744" s="19" t="s">
        <v>1309</v>
      </c>
      <c r="BS1744" s="19" t="s">
        <v>4576</v>
      </c>
      <c r="BT1744" s="54" t="str">
        <f t="shared" si="206"/>
        <v>Engineering</v>
      </c>
    </row>
    <row r="1745" spans="17:72">
      <c r="Q1745" s="18">
        <v>7.93</v>
      </c>
      <c r="R1745" s="56" t="str">
        <f t="shared" si="205"/>
        <v>Yes</v>
      </c>
      <c r="W1745" s="18" t="s">
        <v>1309</v>
      </c>
      <c r="X1745" s="54" t="str">
        <f>VLOOKUP(W1745,Employees!$A$1:$B$601,2,FALSE)</f>
        <v>Ranjit Nanda</v>
      </c>
      <c r="AW1745" s="54"/>
      <c r="AX1745" s="54"/>
      <c r="BI1745" s="48"/>
      <c r="BJ1745" s="38"/>
      <c r="BK1745" s="38"/>
      <c r="BL1745" s="38"/>
      <c r="BM1745"/>
      <c r="BN1745" s="48"/>
      <c r="BR1745" s="18" t="s">
        <v>1309</v>
      </c>
      <c r="BS1745" s="18" t="s">
        <v>4577</v>
      </c>
      <c r="BT1745" s="54" t="str">
        <f t="shared" si="206"/>
        <v>Engineering</v>
      </c>
    </row>
    <row r="1746" spans="17:72">
      <c r="Q1746" s="19">
        <v>9.5299999999999994</v>
      </c>
      <c r="R1746" s="56" t="str">
        <f t="shared" si="205"/>
        <v>Yes</v>
      </c>
      <c r="W1746" s="19" t="s">
        <v>1309</v>
      </c>
      <c r="X1746" s="54" t="str">
        <f>VLOOKUP(W1746,Employees!$A$1:$B$601,2,FALSE)</f>
        <v>Ranjit Nanda</v>
      </c>
      <c r="AW1746" s="54"/>
      <c r="AX1746" s="54"/>
      <c r="BI1746" s="48"/>
      <c r="BJ1746" s="38"/>
      <c r="BK1746" s="38"/>
      <c r="BL1746" s="38"/>
      <c r="BM1746"/>
      <c r="BN1746" s="48"/>
      <c r="BR1746" s="19" t="s">
        <v>1309</v>
      </c>
      <c r="BS1746" s="19" t="s">
        <v>4578</v>
      </c>
      <c r="BT1746" s="54" t="str">
        <f t="shared" si="206"/>
        <v>Engineering</v>
      </c>
    </row>
    <row r="1747" spans="17:72">
      <c r="Q1747" s="18">
        <v>6.61</v>
      </c>
      <c r="R1747" s="56" t="str">
        <f t="shared" si="205"/>
        <v>Yes</v>
      </c>
      <c r="W1747" s="18" t="s">
        <v>1309</v>
      </c>
      <c r="X1747" s="54" t="str">
        <f>VLOOKUP(W1747,Employees!$A$1:$B$601,2,FALSE)</f>
        <v>Ranjit Nanda</v>
      </c>
      <c r="AW1747" s="54"/>
      <c r="AX1747" s="54"/>
      <c r="BI1747" s="48"/>
      <c r="BJ1747" s="38"/>
      <c r="BK1747" s="38"/>
      <c r="BL1747" s="38"/>
      <c r="BM1747"/>
      <c r="BN1747" s="48"/>
      <c r="BR1747" s="18" t="s">
        <v>1309</v>
      </c>
      <c r="BS1747" s="18" t="s">
        <v>4579</v>
      </c>
      <c r="BT1747" s="54" t="str">
        <f t="shared" si="206"/>
        <v>Engineering</v>
      </c>
    </row>
    <row r="1748" spans="17:72">
      <c r="Q1748" s="19"/>
      <c r="R1748" s="56" t="str">
        <f t="shared" si="205"/>
        <v>No</v>
      </c>
      <c r="W1748" s="19" t="s">
        <v>1309</v>
      </c>
      <c r="X1748" s="54" t="str">
        <f>VLOOKUP(W1748,Employees!$A$1:$B$601,2,FALSE)</f>
        <v>Ranjit Nanda</v>
      </c>
      <c r="AW1748" s="54"/>
      <c r="AX1748" s="54"/>
      <c r="BI1748" s="48"/>
      <c r="BJ1748" s="38"/>
      <c r="BK1748" s="38"/>
      <c r="BL1748" s="38"/>
      <c r="BM1748"/>
      <c r="BN1748" s="48"/>
      <c r="BR1748" s="19" t="s">
        <v>1309</v>
      </c>
      <c r="BS1748" s="19" t="s">
        <v>4580</v>
      </c>
      <c r="BT1748" s="54" t="str">
        <f t="shared" si="206"/>
        <v>Engineering</v>
      </c>
    </row>
    <row r="1749" spans="17:72">
      <c r="Q1749" s="18">
        <v>9.18</v>
      </c>
      <c r="R1749" s="56" t="str">
        <f t="shared" si="205"/>
        <v>Yes</v>
      </c>
      <c r="W1749" s="18" t="s">
        <v>1309</v>
      </c>
      <c r="X1749" s="54" t="str">
        <f>VLOOKUP(W1749,Employees!$A$1:$B$601,2,FALSE)</f>
        <v>Ranjit Nanda</v>
      </c>
      <c r="AW1749" s="54"/>
      <c r="AX1749" s="54"/>
      <c r="BI1749" s="48"/>
      <c r="BJ1749" s="38"/>
      <c r="BK1749" s="38"/>
      <c r="BL1749" s="38"/>
      <c r="BM1749"/>
      <c r="BN1749" s="48"/>
      <c r="BR1749" s="18" t="s">
        <v>1309</v>
      </c>
      <c r="BS1749" s="18" t="s">
        <v>4581</v>
      </c>
      <c r="BT1749" s="54" t="str">
        <f t="shared" si="206"/>
        <v>Engineering</v>
      </c>
    </row>
    <row r="1750" spans="17:72">
      <c r="Q1750" s="19">
        <v>9.6300000000000008</v>
      </c>
      <c r="R1750" s="56" t="str">
        <f t="shared" si="205"/>
        <v>Yes</v>
      </c>
      <c r="W1750" s="19" t="s">
        <v>1309</v>
      </c>
      <c r="X1750" s="54" t="str">
        <f>VLOOKUP(W1750,Employees!$A$1:$B$601,2,FALSE)</f>
        <v>Ranjit Nanda</v>
      </c>
      <c r="AW1750" s="54"/>
      <c r="AX1750" s="54"/>
      <c r="BI1750" s="48"/>
      <c r="BJ1750" s="38"/>
      <c r="BK1750" s="38"/>
      <c r="BL1750" s="38"/>
      <c r="BM1750"/>
      <c r="BN1750" s="48"/>
      <c r="BR1750" s="19" t="s">
        <v>1309</v>
      </c>
      <c r="BS1750" s="19" t="s">
        <v>4582</v>
      </c>
      <c r="BT1750" s="54" t="str">
        <f t="shared" si="206"/>
        <v>Engineering</v>
      </c>
    </row>
    <row r="1751" spans="17:72">
      <c r="Q1751" s="18"/>
      <c r="R1751" s="56" t="str">
        <f t="shared" si="205"/>
        <v>No</v>
      </c>
      <c r="W1751" s="18" t="s">
        <v>1309</v>
      </c>
      <c r="X1751" s="54" t="str">
        <f>VLOOKUP(W1751,Employees!$A$1:$B$601,2,FALSE)</f>
        <v>Ranjit Nanda</v>
      </c>
      <c r="AW1751" s="54"/>
      <c r="AX1751" s="54"/>
      <c r="BI1751" s="48"/>
      <c r="BJ1751" s="38"/>
      <c r="BK1751" s="38"/>
      <c r="BL1751" s="38"/>
      <c r="BM1751"/>
      <c r="BN1751" s="48"/>
      <c r="BR1751" s="18" t="s">
        <v>1309</v>
      </c>
      <c r="BS1751" s="18" t="s">
        <v>4583</v>
      </c>
      <c r="BT1751" s="54" t="str">
        <f t="shared" si="206"/>
        <v>Engineering</v>
      </c>
    </row>
    <row r="1752" spans="17:72">
      <c r="Q1752" s="19">
        <v>9.24</v>
      </c>
      <c r="R1752" s="56" t="str">
        <f t="shared" si="205"/>
        <v>Yes</v>
      </c>
      <c r="W1752" s="19" t="s">
        <v>1309</v>
      </c>
      <c r="X1752" s="54" t="str">
        <f>VLOOKUP(W1752,Employees!$A$1:$B$601,2,FALSE)</f>
        <v>Ranjit Nanda</v>
      </c>
      <c r="AW1752" s="54"/>
      <c r="AX1752" s="54"/>
      <c r="BI1752" s="48"/>
      <c r="BJ1752" s="38"/>
      <c r="BK1752" s="38"/>
      <c r="BL1752" s="38"/>
      <c r="BM1752"/>
      <c r="BN1752" s="48"/>
      <c r="BR1752" s="19" t="s">
        <v>1309</v>
      </c>
      <c r="BS1752" s="19" t="s">
        <v>4584</v>
      </c>
      <c r="BT1752" s="54" t="str">
        <f t="shared" si="206"/>
        <v>Engineering</v>
      </c>
    </row>
    <row r="1753" spans="17:72">
      <c r="Q1753" s="18">
        <v>10.6</v>
      </c>
      <c r="R1753" s="56" t="str">
        <f t="shared" si="205"/>
        <v>Yes</v>
      </c>
      <c r="W1753" s="18" t="s">
        <v>1309</v>
      </c>
      <c r="X1753" s="54" t="str">
        <f>VLOOKUP(W1753,Employees!$A$1:$B$601,2,FALSE)</f>
        <v>Ranjit Nanda</v>
      </c>
      <c r="AW1753" s="54"/>
      <c r="AX1753" s="54"/>
      <c r="BI1753" s="48"/>
      <c r="BJ1753" s="38"/>
      <c r="BK1753" s="38"/>
      <c r="BL1753" s="38"/>
      <c r="BM1753"/>
      <c r="BN1753" s="48"/>
      <c r="BR1753" s="18" t="s">
        <v>1309</v>
      </c>
      <c r="BS1753" s="18" t="s">
        <v>4585</v>
      </c>
      <c r="BT1753" s="54" t="str">
        <f t="shared" si="206"/>
        <v>Engineering</v>
      </c>
    </row>
    <row r="1754" spans="17:72">
      <c r="Q1754" s="19">
        <v>7.64</v>
      </c>
      <c r="R1754" s="56" t="str">
        <f t="shared" si="205"/>
        <v>Yes</v>
      </c>
      <c r="W1754" s="19" t="s">
        <v>1309</v>
      </c>
      <c r="X1754" s="54" t="str">
        <f>VLOOKUP(W1754,Employees!$A$1:$B$601,2,FALSE)</f>
        <v>Ranjit Nanda</v>
      </c>
      <c r="AW1754" s="54"/>
      <c r="AX1754" s="54"/>
      <c r="BI1754" s="48"/>
      <c r="BJ1754" s="38"/>
      <c r="BK1754" s="38"/>
      <c r="BL1754" s="38"/>
      <c r="BM1754"/>
      <c r="BN1754" s="48"/>
      <c r="BR1754" s="19" t="s">
        <v>1309</v>
      </c>
      <c r="BS1754" s="19" t="s">
        <v>4586</v>
      </c>
      <c r="BT1754" s="54" t="str">
        <f t="shared" si="206"/>
        <v>Engineering</v>
      </c>
    </row>
    <row r="1755" spans="17:72">
      <c r="Q1755" s="18">
        <v>6.86</v>
      </c>
      <c r="R1755" s="56" t="str">
        <f t="shared" si="205"/>
        <v>Yes</v>
      </c>
      <c r="W1755" s="18" t="s">
        <v>1309</v>
      </c>
      <c r="X1755" s="54" t="str">
        <f>VLOOKUP(W1755,Employees!$A$1:$B$601,2,FALSE)</f>
        <v>Ranjit Nanda</v>
      </c>
      <c r="AW1755" s="54"/>
      <c r="AX1755" s="54"/>
      <c r="BI1755" s="48"/>
      <c r="BJ1755" s="38"/>
      <c r="BK1755" s="38"/>
      <c r="BL1755" s="38"/>
      <c r="BM1755"/>
      <c r="BN1755" s="48"/>
      <c r="BR1755" s="18" t="s">
        <v>1309</v>
      </c>
      <c r="BS1755" s="18" t="s">
        <v>4587</v>
      </c>
      <c r="BT1755" s="54" t="str">
        <f t="shared" si="206"/>
        <v>Engineering</v>
      </c>
    </row>
    <row r="1756" spans="17:72">
      <c r="Q1756" s="19">
        <v>11.17</v>
      </c>
      <c r="R1756" s="56" t="str">
        <f t="shared" si="205"/>
        <v>Yes</v>
      </c>
      <c r="W1756" s="19" t="s">
        <v>1309</v>
      </c>
      <c r="X1756" s="54" t="str">
        <f>VLOOKUP(W1756,Employees!$A$1:$B$601,2,FALSE)</f>
        <v>Ranjit Nanda</v>
      </c>
      <c r="AW1756" s="54"/>
      <c r="AX1756" s="54"/>
      <c r="BI1756" s="48"/>
      <c r="BJ1756" s="38"/>
      <c r="BK1756" s="38"/>
      <c r="BL1756" s="38"/>
      <c r="BM1756"/>
      <c r="BN1756" s="48"/>
      <c r="BR1756" s="19" t="s">
        <v>1309</v>
      </c>
      <c r="BS1756" s="19" t="s">
        <v>4588</v>
      </c>
      <c r="BT1756" s="54" t="str">
        <f t="shared" si="206"/>
        <v>Engineering</v>
      </c>
    </row>
    <row r="1757" spans="17:72">
      <c r="Q1757" s="18">
        <v>7.86</v>
      </c>
      <c r="R1757" s="56" t="str">
        <f t="shared" si="205"/>
        <v>Yes</v>
      </c>
      <c r="W1757" s="18" t="s">
        <v>1309</v>
      </c>
      <c r="X1757" s="54" t="str">
        <f>VLOOKUP(W1757,Employees!$A$1:$B$601,2,FALSE)</f>
        <v>Ranjit Nanda</v>
      </c>
      <c r="AW1757" s="54"/>
      <c r="AX1757" s="54"/>
      <c r="BI1757" s="48"/>
      <c r="BJ1757" s="38"/>
      <c r="BK1757" s="38"/>
      <c r="BL1757" s="38"/>
      <c r="BM1757"/>
      <c r="BN1757" s="48"/>
      <c r="BR1757" s="18" t="s">
        <v>1309</v>
      </c>
      <c r="BS1757" s="18" t="s">
        <v>4589</v>
      </c>
      <c r="BT1757" s="54" t="str">
        <f t="shared" si="206"/>
        <v>Engineering</v>
      </c>
    </row>
    <row r="1758" spans="17:72">
      <c r="Q1758" s="19">
        <v>7.46</v>
      </c>
      <c r="R1758" s="56" t="str">
        <f t="shared" si="205"/>
        <v>Yes</v>
      </c>
      <c r="W1758" s="19" t="s">
        <v>1309</v>
      </c>
      <c r="X1758" s="54" t="str">
        <f>VLOOKUP(W1758,Employees!$A$1:$B$601,2,FALSE)</f>
        <v>Ranjit Nanda</v>
      </c>
      <c r="AW1758" s="54"/>
      <c r="AX1758" s="54"/>
      <c r="BI1758" s="48"/>
      <c r="BJ1758" s="38"/>
      <c r="BK1758" s="38"/>
      <c r="BL1758" s="38"/>
      <c r="BM1758"/>
      <c r="BN1758" s="48"/>
      <c r="BR1758" s="19" t="s">
        <v>1309</v>
      </c>
      <c r="BS1758" s="19" t="s">
        <v>4590</v>
      </c>
      <c r="BT1758" s="54" t="str">
        <f t="shared" si="206"/>
        <v>Engineering</v>
      </c>
    </row>
    <row r="1759" spans="17:72">
      <c r="Q1759" s="18">
        <v>10.79</v>
      </c>
      <c r="R1759" s="56" t="str">
        <f t="shared" si="205"/>
        <v>Yes</v>
      </c>
      <c r="W1759" s="18" t="s">
        <v>1309</v>
      </c>
      <c r="X1759" s="54" t="str">
        <f>VLOOKUP(W1759,Employees!$A$1:$B$601,2,FALSE)</f>
        <v>Ranjit Nanda</v>
      </c>
      <c r="AW1759" s="54"/>
      <c r="AX1759" s="54"/>
      <c r="BI1759" s="48"/>
      <c r="BJ1759" s="38"/>
      <c r="BK1759" s="38"/>
      <c r="BL1759" s="38"/>
      <c r="BM1759"/>
      <c r="BN1759" s="48"/>
      <c r="BR1759" s="18" t="s">
        <v>1309</v>
      </c>
      <c r="BS1759" s="18" t="s">
        <v>4591</v>
      </c>
      <c r="BT1759" s="54" t="str">
        <f t="shared" si="206"/>
        <v>Engineering</v>
      </c>
    </row>
    <row r="1760" spans="17:72">
      <c r="Q1760" s="19">
        <v>6.73</v>
      </c>
      <c r="R1760" s="56" t="str">
        <f t="shared" si="205"/>
        <v>Yes</v>
      </c>
      <c r="W1760" s="19" t="s">
        <v>1309</v>
      </c>
      <c r="X1760" s="54" t="str">
        <f>VLOOKUP(W1760,Employees!$A$1:$B$601,2,FALSE)</f>
        <v>Ranjit Nanda</v>
      </c>
      <c r="AW1760" s="54"/>
      <c r="AX1760" s="54"/>
      <c r="BI1760" s="48"/>
      <c r="BJ1760" s="38"/>
      <c r="BK1760" s="38"/>
      <c r="BL1760" s="38"/>
      <c r="BM1760"/>
      <c r="BN1760" s="48"/>
      <c r="BR1760" s="19" t="s">
        <v>1309</v>
      </c>
      <c r="BS1760" s="19" t="s">
        <v>4592</v>
      </c>
      <c r="BT1760" s="54" t="str">
        <f t="shared" si="206"/>
        <v>Engineering</v>
      </c>
    </row>
    <row r="1761" spans="17:72">
      <c r="Q1761" s="18">
        <v>11.08</v>
      </c>
      <c r="R1761" s="56" t="str">
        <f t="shared" si="205"/>
        <v>Yes</v>
      </c>
      <c r="W1761" s="18" t="s">
        <v>1309</v>
      </c>
      <c r="X1761" s="54" t="str">
        <f>VLOOKUP(W1761,Employees!$A$1:$B$601,2,FALSE)</f>
        <v>Ranjit Nanda</v>
      </c>
      <c r="AW1761" s="54"/>
      <c r="AX1761" s="54"/>
      <c r="BI1761" s="48"/>
      <c r="BJ1761" s="38"/>
      <c r="BK1761" s="38"/>
      <c r="BL1761" s="38"/>
      <c r="BM1761"/>
      <c r="BN1761" s="48"/>
      <c r="BR1761" s="18" t="s">
        <v>1309</v>
      </c>
      <c r="BS1761" s="18" t="s">
        <v>4593</v>
      </c>
      <c r="BT1761" s="54" t="str">
        <f t="shared" si="206"/>
        <v>Engineering</v>
      </c>
    </row>
    <row r="1762" spans="17:72">
      <c r="Q1762" s="19">
        <v>9.9600000000000009</v>
      </c>
      <c r="R1762" s="56" t="str">
        <f t="shared" si="205"/>
        <v>Yes</v>
      </c>
      <c r="W1762" s="19" t="s">
        <v>1309</v>
      </c>
      <c r="X1762" s="54" t="str">
        <f>VLOOKUP(W1762,Employees!$A$1:$B$601,2,FALSE)</f>
        <v>Ranjit Nanda</v>
      </c>
      <c r="AW1762" s="54"/>
      <c r="AX1762" s="54"/>
      <c r="BI1762" s="48"/>
      <c r="BJ1762" s="38"/>
      <c r="BK1762" s="38"/>
      <c r="BL1762" s="38"/>
      <c r="BM1762"/>
      <c r="BN1762" s="48"/>
      <c r="BR1762" s="19" t="s">
        <v>1309</v>
      </c>
      <c r="BS1762" s="19" t="s">
        <v>4594</v>
      </c>
      <c r="BT1762" s="54" t="str">
        <f t="shared" si="206"/>
        <v>Engineering</v>
      </c>
    </row>
    <row r="1763" spans="17:72">
      <c r="Q1763" s="18">
        <v>10.63</v>
      </c>
      <c r="R1763" s="56" t="str">
        <f t="shared" si="205"/>
        <v>Yes</v>
      </c>
      <c r="W1763" s="18" t="s">
        <v>1309</v>
      </c>
      <c r="X1763" s="54" t="str">
        <f>VLOOKUP(W1763,Employees!$A$1:$B$601,2,FALSE)</f>
        <v>Ranjit Nanda</v>
      </c>
      <c r="AW1763" s="54"/>
      <c r="AX1763" s="54"/>
      <c r="BI1763" s="48"/>
      <c r="BJ1763" s="38"/>
      <c r="BK1763" s="38"/>
      <c r="BL1763" s="38"/>
      <c r="BM1763"/>
      <c r="BN1763" s="48"/>
      <c r="BR1763" s="18" t="s">
        <v>1309</v>
      </c>
      <c r="BS1763" s="18" t="s">
        <v>4595</v>
      </c>
      <c r="BT1763" s="54" t="str">
        <f t="shared" si="206"/>
        <v>Engineering</v>
      </c>
    </row>
    <row r="1764" spans="17:72">
      <c r="Q1764" s="19"/>
      <c r="R1764" s="56" t="str">
        <f t="shared" si="205"/>
        <v>No</v>
      </c>
      <c r="W1764" s="19" t="s">
        <v>1309</v>
      </c>
      <c r="X1764" s="54" t="str">
        <f>VLOOKUP(W1764,Employees!$A$1:$B$601,2,FALSE)</f>
        <v>Ranjit Nanda</v>
      </c>
      <c r="AW1764" s="54"/>
      <c r="AX1764" s="54"/>
      <c r="BI1764" s="48"/>
      <c r="BJ1764" s="38"/>
      <c r="BK1764" s="38"/>
      <c r="BL1764" s="38"/>
      <c r="BM1764"/>
      <c r="BN1764" s="48"/>
      <c r="BR1764" s="19" t="s">
        <v>1309</v>
      </c>
      <c r="BS1764" s="19" t="s">
        <v>4596</v>
      </c>
      <c r="BT1764" s="54" t="str">
        <f t="shared" si="206"/>
        <v>Engineering</v>
      </c>
    </row>
    <row r="1765" spans="17:72">
      <c r="Q1765" s="18">
        <v>9.59</v>
      </c>
      <c r="R1765" s="56" t="str">
        <f t="shared" si="205"/>
        <v>Yes</v>
      </c>
      <c r="W1765" s="18" t="s">
        <v>1343</v>
      </c>
      <c r="X1765" s="54" t="str">
        <f>VLOOKUP(W1765,Employees!$A$1:$B$601,2,FALSE)</f>
        <v>Rahul Biswal</v>
      </c>
      <c r="AW1765" s="54"/>
      <c r="AX1765" s="54"/>
      <c r="BI1765" s="48"/>
      <c r="BJ1765" s="38"/>
      <c r="BK1765" s="38"/>
      <c r="BL1765" s="38"/>
      <c r="BM1765"/>
      <c r="BN1765" s="48"/>
      <c r="BR1765" s="18" t="s">
        <v>1343</v>
      </c>
      <c r="BS1765" s="18" t="s">
        <v>4597</v>
      </c>
      <c r="BT1765" s="54" t="str">
        <f t="shared" si="206"/>
        <v>finance</v>
      </c>
    </row>
    <row r="1766" spans="17:72">
      <c r="Q1766" s="19">
        <v>9.7899999999999991</v>
      </c>
      <c r="R1766" s="56" t="str">
        <f t="shared" si="205"/>
        <v>Yes</v>
      </c>
      <c r="W1766" s="19" t="s">
        <v>1343</v>
      </c>
      <c r="X1766" s="54" t="str">
        <f>VLOOKUP(W1766,Employees!$A$1:$B$601,2,FALSE)</f>
        <v>Rahul Biswal</v>
      </c>
      <c r="AW1766" s="54"/>
      <c r="AX1766" s="54"/>
      <c r="BI1766" s="48"/>
      <c r="BJ1766" s="38"/>
      <c r="BK1766" s="38"/>
      <c r="BL1766" s="38"/>
      <c r="BM1766"/>
      <c r="BN1766" s="48"/>
      <c r="BR1766" s="19" t="s">
        <v>1343</v>
      </c>
      <c r="BS1766" s="19" t="s">
        <v>4598</v>
      </c>
      <c r="BT1766" s="54" t="str">
        <f t="shared" si="206"/>
        <v>finance</v>
      </c>
    </row>
    <row r="1767" spans="17:72">
      <c r="Q1767" s="18">
        <v>10.8</v>
      </c>
      <c r="R1767" s="56" t="str">
        <f t="shared" si="205"/>
        <v>Yes</v>
      </c>
      <c r="W1767" s="18" t="s">
        <v>1343</v>
      </c>
      <c r="X1767" s="54" t="str">
        <f>VLOOKUP(W1767,Employees!$A$1:$B$601,2,FALSE)</f>
        <v>Rahul Biswal</v>
      </c>
      <c r="AW1767" s="54"/>
      <c r="AX1767" s="54"/>
      <c r="BI1767" s="48"/>
      <c r="BJ1767" s="38"/>
      <c r="BK1767" s="38"/>
      <c r="BL1767" s="38"/>
      <c r="BM1767"/>
      <c r="BN1767" s="48"/>
      <c r="BR1767" s="18" t="s">
        <v>1343</v>
      </c>
      <c r="BS1767" s="18" t="s">
        <v>4599</v>
      </c>
      <c r="BT1767" s="54" t="str">
        <f t="shared" si="206"/>
        <v>finance</v>
      </c>
    </row>
    <row r="1768" spans="17:72">
      <c r="Q1768" s="19">
        <v>8.69</v>
      </c>
      <c r="R1768" s="56" t="str">
        <f t="shared" si="205"/>
        <v>Yes</v>
      </c>
      <c r="W1768" s="19" t="s">
        <v>1343</v>
      </c>
      <c r="X1768" s="54" t="str">
        <f>VLOOKUP(W1768,Employees!$A$1:$B$601,2,FALSE)</f>
        <v>Rahul Biswal</v>
      </c>
      <c r="AW1768" s="54"/>
      <c r="AX1768" s="54"/>
      <c r="BI1768" s="48"/>
      <c r="BJ1768" s="38"/>
      <c r="BK1768" s="38"/>
      <c r="BL1768" s="38"/>
      <c r="BM1768"/>
      <c r="BN1768" s="48"/>
      <c r="BR1768" s="19" t="s">
        <v>1343</v>
      </c>
      <c r="BS1768" s="19" t="s">
        <v>4600</v>
      </c>
      <c r="BT1768" s="54" t="str">
        <f t="shared" si="206"/>
        <v>finance</v>
      </c>
    </row>
    <row r="1769" spans="17:72">
      <c r="Q1769" s="18">
        <v>11.02</v>
      </c>
      <c r="R1769" s="56" t="str">
        <f t="shared" si="205"/>
        <v>Yes</v>
      </c>
      <c r="W1769" s="18" t="s">
        <v>1343</v>
      </c>
      <c r="X1769" s="54" t="str">
        <f>VLOOKUP(W1769,Employees!$A$1:$B$601,2,FALSE)</f>
        <v>Rahul Biswal</v>
      </c>
      <c r="AW1769" s="54"/>
      <c r="AX1769" s="54"/>
      <c r="BI1769" s="48"/>
      <c r="BJ1769" s="38"/>
      <c r="BK1769" s="38"/>
      <c r="BL1769" s="38"/>
      <c r="BM1769"/>
      <c r="BN1769" s="48"/>
      <c r="BR1769" s="18" t="s">
        <v>1343</v>
      </c>
      <c r="BS1769" s="18" t="s">
        <v>4601</v>
      </c>
      <c r="BT1769" s="54" t="str">
        <f t="shared" si="206"/>
        <v>finance</v>
      </c>
    </row>
    <row r="1770" spans="17:72">
      <c r="Q1770" s="19">
        <v>9.25</v>
      </c>
      <c r="R1770" s="56" t="str">
        <f t="shared" si="205"/>
        <v>Yes</v>
      </c>
      <c r="W1770" s="19" t="s">
        <v>1343</v>
      </c>
      <c r="X1770" s="54" t="str">
        <f>VLOOKUP(W1770,Employees!$A$1:$B$601,2,FALSE)</f>
        <v>Rahul Biswal</v>
      </c>
      <c r="AW1770" s="54"/>
      <c r="AX1770" s="54"/>
      <c r="BI1770" s="48"/>
      <c r="BJ1770" s="38"/>
      <c r="BK1770" s="38"/>
      <c r="BL1770" s="38"/>
      <c r="BM1770"/>
      <c r="BN1770" s="48"/>
      <c r="BR1770" s="19" t="s">
        <v>1343</v>
      </c>
      <c r="BS1770" s="19" t="s">
        <v>4602</v>
      </c>
      <c r="BT1770" s="54" t="str">
        <f t="shared" si="206"/>
        <v>finance</v>
      </c>
    </row>
    <row r="1771" spans="17:72">
      <c r="Q1771" s="18">
        <v>8.67</v>
      </c>
      <c r="R1771" s="56" t="str">
        <f t="shared" si="205"/>
        <v>Yes</v>
      </c>
      <c r="W1771" s="18" t="s">
        <v>1343</v>
      </c>
      <c r="X1771" s="54" t="str">
        <f>VLOOKUP(W1771,Employees!$A$1:$B$601,2,FALSE)</f>
        <v>Rahul Biswal</v>
      </c>
      <c r="AW1771" s="54"/>
      <c r="AX1771" s="54"/>
      <c r="BI1771" s="48"/>
      <c r="BJ1771" s="38"/>
      <c r="BK1771" s="38"/>
      <c r="BL1771" s="38"/>
      <c r="BM1771"/>
      <c r="BN1771" s="48"/>
      <c r="BR1771" s="18" t="s">
        <v>1343</v>
      </c>
      <c r="BS1771" s="18" t="s">
        <v>4603</v>
      </c>
      <c r="BT1771" s="54" t="str">
        <f t="shared" si="206"/>
        <v>finance</v>
      </c>
    </row>
    <row r="1772" spans="17:72">
      <c r="Q1772" s="19">
        <v>9.09</v>
      </c>
      <c r="R1772" s="56" t="str">
        <f t="shared" si="205"/>
        <v>Yes</v>
      </c>
      <c r="W1772" s="19" t="s">
        <v>1343</v>
      </c>
      <c r="X1772" s="54" t="str">
        <f>VLOOKUP(W1772,Employees!$A$1:$B$601,2,FALSE)</f>
        <v>Rahul Biswal</v>
      </c>
      <c r="AW1772" s="54"/>
      <c r="AX1772" s="54"/>
      <c r="BI1772" s="48"/>
      <c r="BJ1772" s="38"/>
      <c r="BK1772" s="38"/>
      <c r="BL1772" s="38"/>
      <c r="BM1772"/>
      <c r="BN1772" s="48"/>
      <c r="BR1772" s="19" t="s">
        <v>1343</v>
      </c>
      <c r="BS1772" s="19" t="s">
        <v>4604</v>
      </c>
      <c r="BT1772" s="54" t="str">
        <f t="shared" si="206"/>
        <v>finance</v>
      </c>
    </row>
    <row r="1773" spans="17:72">
      <c r="Q1773" s="18">
        <v>8.09</v>
      </c>
      <c r="R1773" s="56" t="str">
        <f t="shared" si="205"/>
        <v>Yes</v>
      </c>
      <c r="W1773" s="18" t="s">
        <v>1343</v>
      </c>
      <c r="X1773" s="54" t="str">
        <f>VLOOKUP(W1773,Employees!$A$1:$B$601,2,FALSE)</f>
        <v>Rahul Biswal</v>
      </c>
      <c r="AW1773" s="54"/>
      <c r="AX1773" s="54"/>
      <c r="BI1773" s="48"/>
      <c r="BJ1773" s="38"/>
      <c r="BK1773" s="38"/>
      <c r="BL1773" s="38"/>
      <c r="BM1773"/>
      <c r="BN1773" s="48"/>
      <c r="BR1773" s="18" t="s">
        <v>1343</v>
      </c>
      <c r="BS1773" s="18" t="s">
        <v>4605</v>
      </c>
      <c r="BT1773" s="54" t="str">
        <f t="shared" si="206"/>
        <v>finance</v>
      </c>
    </row>
    <row r="1774" spans="17:72">
      <c r="Q1774" s="19">
        <v>8.99</v>
      </c>
      <c r="R1774" s="56" t="str">
        <f t="shared" si="205"/>
        <v>Yes</v>
      </c>
      <c r="W1774" s="19" t="s">
        <v>1343</v>
      </c>
      <c r="X1774" s="54" t="str">
        <f>VLOOKUP(W1774,Employees!$A$1:$B$601,2,FALSE)</f>
        <v>Rahul Biswal</v>
      </c>
      <c r="AW1774" s="54"/>
      <c r="AX1774" s="54"/>
      <c r="BI1774" s="48"/>
      <c r="BJ1774" s="38"/>
      <c r="BK1774" s="38"/>
      <c r="BL1774" s="38"/>
      <c r="BM1774"/>
      <c r="BN1774" s="48"/>
      <c r="BR1774" s="19" t="s">
        <v>1343</v>
      </c>
      <c r="BS1774" s="19" t="s">
        <v>4606</v>
      </c>
      <c r="BT1774" s="54" t="str">
        <f t="shared" si="206"/>
        <v>finance</v>
      </c>
    </row>
    <row r="1775" spans="17:72">
      <c r="Q1775" s="18">
        <v>10.24</v>
      </c>
      <c r="R1775" s="56" t="str">
        <f t="shared" si="205"/>
        <v>Yes</v>
      </c>
      <c r="W1775" s="18" t="s">
        <v>1343</v>
      </c>
      <c r="X1775" s="54" t="str">
        <f>VLOOKUP(W1775,Employees!$A$1:$B$601,2,FALSE)</f>
        <v>Rahul Biswal</v>
      </c>
      <c r="AW1775" s="54"/>
      <c r="AX1775" s="54"/>
      <c r="BI1775" s="48"/>
      <c r="BJ1775" s="38"/>
      <c r="BK1775" s="38"/>
      <c r="BL1775" s="38"/>
      <c r="BM1775"/>
      <c r="BN1775" s="48"/>
      <c r="BR1775" s="18" t="s">
        <v>1343</v>
      </c>
      <c r="BS1775" s="18" t="s">
        <v>4607</v>
      </c>
      <c r="BT1775" s="54" t="str">
        <f t="shared" si="206"/>
        <v>finance</v>
      </c>
    </row>
    <row r="1776" spans="17:72">
      <c r="Q1776" s="19">
        <v>10.16</v>
      </c>
      <c r="R1776" s="56" t="str">
        <f t="shared" si="205"/>
        <v>Yes</v>
      </c>
      <c r="W1776" s="19" t="s">
        <v>1343</v>
      </c>
      <c r="X1776" s="54" t="str">
        <f>VLOOKUP(W1776,Employees!$A$1:$B$601,2,FALSE)</f>
        <v>Rahul Biswal</v>
      </c>
      <c r="AW1776" s="54"/>
      <c r="AX1776" s="54"/>
      <c r="BI1776" s="48"/>
      <c r="BJ1776" s="38"/>
      <c r="BK1776" s="38"/>
      <c r="BL1776" s="38"/>
      <c r="BM1776"/>
      <c r="BN1776" s="48"/>
      <c r="BR1776" s="19" t="s">
        <v>1343</v>
      </c>
      <c r="BS1776" s="19" t="s">
        <v>4608</v>
      </c>
      <c r="BT1776" s="54" t="str">
        <f t="shared" si="206"/>
        <v>finance</v>
      </c>
    </row>
    <row r="1777" spans="17:72">
      <c r="Q1777" s="18">
        <v>11.2</v>
      </c>
      <c r="R1777" s="56" t="str">
        <f t="shared" si="205"/>
        <v>Yes</v>
      </c>
      <c r="W1777" s="18" t="s">
        <v>1343</v>
      </c>
      <c r="X1777" s="54" t="str">
        <f>VLOOKUP(W1777,Employees!$A$1:$B$601,2,FALSE)</f>
        <v>Rahul Biswal</v>
      </c>
      <c r="AW1777" s="54"/>
      <c r="AX1777" s="54"/>
      <c r="BI1777" s="48"/>
      <c r="BJ1777" s="38"/>
      <c r="BK1777" s="38"/>
      <c r="BL1777" s="38"/>
      <c r="BM1777"/>
      <c r="BN1777" s="48"/>
      <c r="BR1777" s="18" t="s">
        <v>1343</v>
      </c>
      <c r="BS1777" s="18" t="s">
        <v>4609</v>
      </c>
      <c r="BT1777" s="54" t="str">
        <f t="shared" si="206"/>
        <v>finance</v>
      </c>
    </row>
    <row r="1778" spans="17:72">
      <c r="Q1778" s="19"/>
      <c r="R1778" s="56" t="str">
        <f t="shared" si="205"/>
        <v>No</v>
      </c>
      <c r="W1778" s="19" t="s">
        <v>1343</v>
      </c>
      <c r="X1778" s="54" t="str">
        <f>VLOOKUP(W1778,Employees!$A$1:$B$601,2,FALSE)</f>
        <v>Rahul Biswal</v>
      </c>
      <c r="AW1778" s="54"/>
      <c r="AX1778" s="54"/>
      <c r="BI1778" s="48"/>
      <c r="BJ1778" s="38"/>
      <c r="BK1778" s="38"/>
      <c r="BL1778" s="38"/>
      <c r="BM1778"/>
      <c r="BN1778" s="48"/>
      <c r="BR1778" s="19" t="s">
        <v>1343</v>
      </c>
      <c r="BS1778" s="19" t="s">
        <v>4610</v>
      </c>
      <c r="BT1778" s="54" t="str">
        <f t="shared" si="206"/>
        <v>finance</v>
      </c>
    </row>
    <row r="1779" spans="17:72">
      <c r="Q1779" s="18">
        <v>10.49</v>
      </c>
      <c r="R1779" s="56" t="str">
        <f t="shared" si="205"/>
        <v>Yes</v>
      </c>
      <c r="W1779" s="18" t="s">
        <v>1343</v>
      </c>
      <c r="X1779" s="54" t="str">
        <f>VLOOKUP(W1779,Employees!$A$1:$B$601,2,FALSE)</f>
        <v>Rahul Biswal</v>
      </c>
      <c r="AW1779" s="54"/>
      <c r="AX1779" s="54"/>
      <c r="BI1779" s="48"/>
      <c r="BJ1779" s="38"/>
      <c r="BK1779" s="38"/>
      <c r="BL1779" s="38"/>
      <c r="BM1779"/>
      <c r="BN1779" s="48"/>
      <c r="BR1779" s="18" t="s">
        <v>1343</v>
      </c>
      <c r="BS1779" s="18" t="s">
        <v>4611</v>
      </c>
      <c r="BT1779" s="54" t="str">
        <f t="shared" si="206"/>
        <v>finance</v>
      </c>
    </row>
    <row r="1780" spans="17:72">
      <c r="Q1780" s="19">
        <v>8.77</v>
      </c>
      <c r="R1780" s="56" t="str">
        <f t="shared" si="205"/>
        <v>Yes</v>
      </c>
      <c r="W1780" s="19" t="s">
        <v>1343</v>
      </c>
      <c r="X1780" s="54" t="str">
        <f>VLOOKUP(W1780,Employees!$A$1:$B$601,2,FALSE)</f>
        <v>Rahul Biswal</v>
      </c>
      <c r="AW1780" s="54"/>
      <c r="AX1780" s="54"/>
      <c r="BI1780" s="48"/>
      <c r="BJ1780" s="38"/>
      <c r="BK1780" s="38"/>
      <c r="BL1780" s="38"/>
      <c r="BM1780"/>
      <c r="BN1780" s="48"/>
      <c r="BR1780" s="19" t="s">
        <v>1343</v>
      </c>
      <c r="BS1780" s="19" t="s">
        <v>4612</v>
      </c>
      <c r="BT1780" s="54" t="str">
        <f t="shared" si="206"/>
        <v>finance</v>
      </c>
    </row>
    <row r="1781" spans="17:72">
      <c r="Q1781" s="18">
        <v>11.37</v>
      </c>
      <c r="R1781" s="56" t="str">
        <f t="shared" si="205"/>
        <v>Yes</v>
      </c>
      <c r="W1781" s="18" t="s">
        <v>1343</v>
      </c>
      <c r="X1781" s="54" t="str">
        <f>VLOOKUP(W1781,Employees!$A$1:$B$601,2,FALSE)</f>
        <v>Rahul Biswal</v>
      </c>
      <c r="AW1781" s="54"/>
      <c r="AX1781" s="54"/>
      <c r="BI1781" s="48"/>
      <c r="BJ1781" s="38"/>
      <c r="BK1781" s="38"/>
      <c r="BL1781" s="38"/>
      <c r="BM1781"/>
      <c r="BN1781" s="48"/>
      <c r="BR1781" s="18" t="s">
        <v>1343</v>
      </c>
      <c r="BS1781" s="18" t="s">
        <v>4613</v>
      </c>
      <c r="BT1781" s="54" t="str">
        <f t="shared" si="206"/>
        <v>finance</v>
      </c>
    </row>
    <row r="1782" spans="17:72">
      <c r="Q1782" s="19">
        <v>10.65</v>
      </c>
      <c r="R1782" s="56" t="str">
        <f t="shared" si="205"/>
        <v>Yes</v>
      </c>
      <c r="W1782" s="19" t="s">
        <v>1343</v>
      </c>
      <c r="X1782" s="54" t="str">
        <f>VLOOKUP(W1782,Employees!$A$1:$B$601,2,FALSE)</f>
        <v>Rahul Biswal</v>
      </c>
      <c r="AW1782" s="54"/>
      <c r="AX1782" s="54"/>
      <c r="BI1782" s="48"/>
      <c r="BJ1782" s="38"/>
      <c r="BK1782" s="38"/>
      <c r="BL1782" s="38"/>
      <c r="BM1782"/>
      <c r="BN1782" s="48"/>
      <c r="BR1782" s="19" t="s">
        <v>1343</v>
      </c>
      <c r="BS1782" s="19" t="s">
        <v>4614</v>
      </c>
      <c r="BT1782" s="54" t="str">
        <f t="shared" si="206"/>
        <v>finance</v>
      </c>
    </row>
    <row r="1783" spans="17:72">
      <c r="Q1783" s="18">
        <v>8.16</v>
      </c>
      <c r="R1783" s="56" t="str">
        <f t="shared" si="205"/>
        <v>Yes</v>
      </c>
      <c r="W1783" s="18" t="s">
        <v>1343</v>
      </c>
      <c r="X1783" s="54" t="str">
        <f>VLOOKUP(W1783,Employees!$A$1:$B$601,2,FALSE)</f>
        <v>Rahul Biswal</v>
      </c>
      <c r="AW1783" s="54"/>
      <c r="AX1783" s="54"/>
      <c r="BI1783" s="48"/>
      <c r="BJ1783" s="38"/>
      <c r="BK1783" s="38"/>
      <c r="BL1783" s="38"/>
      <c r="BM1783"/>
      <c r="BN1783" s="48"/>
      <c r="BR1783" s="18" t="s">
        <v>1343</v>
      </c>
      <c r="BS1783" s="18" t="s">
        <v>4615</v>
      </c>
      <c r="BT1783" s="54" t="str">
        <f t="shared" si="206"/>
        <v>finance</v>
      </c>
    </row>
    <row r="1784" spans="17:72">
      <c r="Q1784" s="19">
        <v>7.06</v>
      </c>
      <c r="R1784" s="56" t="str">
        <f t="shared" si="205"/>
        <v>Yes</v>
      </c>
      <c r="W1784" s="19" t="s">
        <v>1343</v>
      </c>
      <c r="X1784" s="54" t="str">
        <f>VLOOKUP(W1784,Employees!$A$1:$B$601,2,FALSE)</f>
        <v>Rahul Biswal</v>
      </c>
      <c r="AW1784" s="54"/>
      <c r="AX1784" s="54"/>
      <c r="BI1784" s="48"/>
      <c r="BJ1784" s="38"/>
      <c r="BK1784" s="38"/>
      <c r="BL1784" s="38"/>
      <c r="BM1784"/>
      <c r="BN1784" s="48"/>
      <c r="BR1784" s="19" t="s">
        <v>1343</v>
      </c>
      <c r="BS1784" s="19" t="s">
        <v>4616</v>
      </c>
      <c r="BT1784" s="54" t="str">
        <f t="shared" si="206"/>
        <v>finance</v>
      </c>
    </row>
    <row r="1785" spans="17:72">
      <c r="Q1785" s="18">
        <v>9.9600000000000009</v>
      </c>
      <c r="R1785" s="56" t="str">
        <f t="shared" si="205"/>
        <v>Yes</v>
      </c>
      <c r="W1785" s="18" t="s">
        <v>1343</v>
      </c>
      <c r="X1785" s="54" t="str">
        <f>VLOOKUP(W1785,Employees!$A$1:$B$601,2,FALSE)</f>
        <v>Rahul Biswal</v>
      </c>
      <c r="AW1785" s="54"/>
      <c r="AX1785" s="54"/>
      <c r="BI1785" s="48"/>
      <c r="BJ1785" s="38"/>
      <c r="BK1785" s="38"/>
      <c r="BL1785" s="38"/>
      <c r="BM1785"/>
      <c r="BN1785" s="48"/>
      <c r="BR1785" s="18" t="s">
        <v>1343</v>
      </c>
      <c r="BS1785" s="18" t="s">
        <v>4617</v>
      </c>
      <c r="BT1785" s="54" t="str">
        <f t="shared" si="206"/>
        <v>finance</v>
      </c>
    </row>
    <row r="1786" spans="17:72">
      <c r="Q1786" s="19">
        <v>8.94</v>
      </c>
      <c r="R1786" s="56" t="str">
        <f t="shared" si="205"/>
        <v>Yes</v>
      </c>
      <c r="W1786" s="19" t="s">
        <v>1343</v>
      </c>
      <c r="X1786" s="54" t="str">
        <f>VLOOKUP(W1786,Employees!$A$1:$B$601,2,FALSE)</f>
        <v>Rahul Biswal</v>
      </c>
      <c r="AW1786" s="54"/>
      <c r="AX1786" s="54"/>
      <c r="BI1786" s="48"/>
      <c r="BJ1786" s="38"/>
      <c r="BK1786" s="38"/>
      <c r="BL1786" s="38"/>
      <c r="BM1786"/>
      <c r="BN1786" s="48"/>
      <c r="BR1786" s="19" t="s">
        <v>1343</v>
      </c>
      <c r="BS1786" s="19" t="s">
        <v>4618</v>
      </c>
      <c r="BT1786" s="54" t="str">
        <f t="shared" si="206"/>
        <v>finance</v>
      </c>
    </row>
    <row r="1787" spans="17:72">
      <c r="Q1787" s="18">
        <v>7.68</v>
      </c>
      <c r="R1787" s="56" t="str">
        <f t="shared" si="205"/>
        <v>Yes</v>
      </c>
      <c r="W1787" s="18" t="s">
        <v>1343</v>
      </c>
      <c r="X1787" s="54" t="str">
        <f>VLOOKUP(W1787,Employees!$A$1:$B$601,2,FALSE)</f>
        <v>Rahul Biswal</v>
      </c>
      <c r="AW1787" s="54"/>
      <c r="AX1787" s="54"/>
      <c r="BI1787" s="48"/>
      <c r="BJ1787" s="38"/>
      <c r="BK1787" s="38"/>
      <c r="BL1787" s="38"/>
      <c r="BM1787"/>
      <c r="BN1787" s="48"/>
      <c r="BR1787" s="18" t="s">
        <v>1343</v>
      </c>
      <c r="BS1787" s="18" t="s">
        <v>4619</v>
      </c>
      <c r="BT1787" s="54" t="str">
        <f t="shared" si="206"/>
        <v>finance</v>
      </c>
    </row>
    <row r="1788" spans="17:72">
      <c r="Q1788" s="19">
        <v>9.8699999999999992</v>
      </c>
      <c r="R1788" s="56" t="str">
        <f t="shared" si="205"/>
        <v>Yes</v>
      </c>
      <c r="W1788" s="19" t="s">
        <v>1343</v>
      </c>
      <c r="X1788" s="54" t="str">
        <f>VLOOKUP(W1788,Employees!$A$1:$B$601,2,FALSE)</f>
        <v>Rahul Biswal</v>
      </c>
      <c r="AW1788" s="54"/>
      <c r="AX1788" s="54"/>
      <c r="BI1788" s="48"/>
      <c r="BJ1788" s="38"/>
      <c r="BK1788" s="38"/>
      <c r="BL1788" s="38"/>
      <c r="BM1788"/>
      <c r="BN1788" s="48"/>
      <c r="BR1788" s="19" t="s">
        <v>1343</v>
      </c>
      <c r="BS1788" s="19" t="s">
        <v>4620</v>
      </c>
      <c r="BT1788" s="54" t="str">
        <f t="shared" si="206"/>
        <v>finance</v>
      </c>
    </row>
    <row r="1789" spans="17:72">
      <c r="Q1789" s="18">
        <v>8.01</v>
      </c>
      <c r="R1789" s="56" t="str">
        <f t="shared" si="205"/>
        <v>Yes</v>
      </c>
      <c r="W1789" s="18" t="s">
        <v>1343</v>
      </c>
      <c r="X1789" s="54" t="str">
        <f>VLOOKUP(W1789,Employees!$A$1:$B$601,2,FALSE)</f>
        <v>Rahul Biswal</v>
      </c>
      <c r="AW1789" s="54"/>
      <c r="AX1789" s="54"/>
      <c r="BI1789" s="48"/>
      <c r="BJ1789" s="38"/>
      <c r="BK1789" s="38"/>
      <c r="BL1789" s="38"/>
      <c r="BM1789"/>
      <c r="BN1789" s="48"/>
      <c r="BR1789" s="18" t="s">
        <v>1343</v>
      </c>
      <c r="BS1789" s="18" t="s">
        <v>4621</v>
      </c>
      <c r="BT1789" s="54" t="str">
        <f t="shared" si="206"/>
        <v>finance</v>
      </c>
    </row>
    <row r="1790" spans="17:72">
      <c r="Q1790" s="19">
        <v>8.06</v>
      </c>
      <c r="R1790" s="56" t="str">
        <f t="shared" si="205"/>
        <v>Yes</v>
      </c>
      <c r="W1790" s="19" t="s">
        <v>1343</v>
      </c>
      <c r="X1790" s="54" t="str">
        <f>VLOOKUP(W1790,Employees!$A$1:$B$601,2,FALSE)</f>
        <v>Rahul Biswal</v>
      </c>
      <c r="AW1790" s="54"/>
      <c r="AX1790" s="54"/>
      <c r="BI1790" s="48"/>
      <c r="BJ1790" s="38"/>
      <c r="BK1790" s="38"/>
      <c r="BL1790" s="38"/>
      <c r="BM1790"/>
      <c r="BN1790" s="48"/>
      <c r="BR1790" s="19" t="s">
        <v>1343</v>
      </c>
      <c r="BS1790" s="19" t="s">
        <v>4622</v>
      </c>
      <c r="BT1790" s="54" t="str">
        <f t="shared" si="206"/>
        <v>finance</v>
      </c>
    </row>
    <row r="1791" spans="17:72">
      <c r="Q1791" s="18">
        <v>6.77</v>
      </c>
      <c r="R1791" s="56" t="str">
        <f t="shared" si="205"/>
        <v>Yes</v>
      </c>
      <c r="W1791" s="18" t="s">
        <v>1343</v>
      </c>
      <c r="X1791" s="54" t="str">
        <f>VLOOKUP(W1791,Employees!$A$1:$B$601,2,FALSE)</f>
        <v>Rahul Biswal</v>
      </c>
      <c r="AW1791" s="54"/>
      <c r="AX1791" s="54"/>
      <c r="BI1791" s="48"/>
      <c r="BJ1791" s="38"/>
      <c r="BK1791" s="38"/>
      <c r="BL1791" s="38"/>
      <c r="BM1791"/>
      <c r="BN1791" s="48"/>
      <c r="BR1791" s="18" t="s">
        <v>1343</v>
      </c>
      <c r="BS1791" s="18" t="s">
        <v>4623</v>
      </c>
      <c r="BT1791" s="54" t="str">
        <f t="shared" si="206"/>
        <v>finance</v>
      </c>
    </row>
    <row r="1792" spans="17:72">
      <c r="Q1792" s="19">
        <v>7.85</v>
      </c>
      <c r="R1792" s="56" t="str">
        <f t="shared" si="205"/>
        <v>Yes</v>
      </c>
      <c r="W1792" s="19" t="s">
        <v>1343</v>
      </c>
      <c r="X1792" s="54" t="str">
        <f>VLOOKUP(W1792,Employees!$A$1:$B$601,2,FALSE)</f>
        <v>Rahul Biswal</v>
      </c>
      <c r="AW1792" s="54"/>
      <c r="AX1792" s="54"/>
      <c r="BI1792" s="48"/>
      <c r="BJ1792" s="38"/>
      <c r="BK1792" s="38"/>
      <c r="BL1792" s="38"/>
      <c r="BM1792"/>
      <c r="BN1792" s="48"/>
      <c r="BR1792" s="19" t="s">
        <v>1343</v>
      </c>
      <c r="BS1792" s="19" t="s">
        <v>4624</v>
      </c>
      <c r="BT1792" s="54" t="str">
        <f t="shared" si="206"/>
        <v>finance</v>
      </c>
    </row>
    <row r="1793" spans="17:72">
      <c r="Q1793" s="18">
        <v>7.05</v>
      </c>
      <c r="R1793" s="56" t="str">
        <f t="shared" si="205"/>
        <v>Yes</v>
      </c>
      <c r="W1793" s="18" t="s">
        <v>1343</v>
      </c>
      <c r="X1793" s="54" t="str">
        <f>VLOOKUP(W1793,Employees!$A$1:$B$601,2,FALSE)</f>
        <v>Rahul Biswal</v>
      </c>
      <c r="AW1793" s="54"/>
      <c r="AX1793" s="54"/>
      <c r="BI1793" s="48"/>
      <c r="BJ1793" s="38"/>
      <c r="BK1793" s="38"/>
      <c r="BL1793" s="38"/>
      <c r="BM1793"/>
      <c r="BN1793" s="48"/>
      <c r="BR1793" s="18" t="s">
        <v>1343</v>
      </c>
      <c r="BS1793" s="18" t="s">
        <v>4625</v>
      </c>
      <c r="BT1793" s="54" t="str">
        <f t="shared" si="206"/>
        <v>finance</v>
      </c>
    </row>
    <row r="1794" spans="17:72">
      <c r="Q1794" s="19">
        <v>9.25</v>
      </c>
      <c r="R1794" s="56" t="str">
        <f t="shared" si="205"/>
        <v>Yes</v>
      </c>
      <c r="W1794" s="19" t="s">
        <v>1343</v>
      </c>
      <c r="X1794" s="54" t="str">
        <f>VLOOKUP(W1794,Employees!$A$1:$B$601,2,FALSE)</f>
        <v>Rahul Biswal</v>
      </c>
      <c r="AW1794" s="54"/>
      <c r="AX1794" s="54"/>
      <c r="BI1794" s="48"/>
      <c r="BJ1794" s="38"/>
      <c r="BK1794" s="38"/>
      <c r="BL1794" s="38"/>
      <c r="BM1794"/>
      <c r="BN1794" s="48"/>
      <c r="BR1794" s="19" t="s">
        <v>1343</v>
      </c>
      <c r="BS1794" s="19" t="s">
        <v>4626</v>
      </c>
      <c r="BT1794" s="54" t="str">
        <f t="shared" si="206"/>
        <v>finance</v>
      </c>
    </row>
    <row r="1795" spans="17:72">
      <c r="Q1795" s="18">
        <v>9.33</v>
      </c>
      <c r="R1795" s="56" t="str">
        <f t="shared" ref="R1795:R1858" si="207">IF(ISBLANK(Q1795),"No","Yes")</f>
        <v>Yes</v>
      </c>
      <c r="W1795" s="18" t="s">
        <v>1343</v>
      </c>
      <c r="X1795" s="54" t="str">
        <f>VLOOKUP(W1795,Employees!$A$1:$B$601,2,FALSE)</f>
        <v>Rahul Biswal</v>
      </c>
      <c r="AW1795" s="54"/>
      <c r="AX1795" s="54"/>
      <c r="BI1795" s="48"/>
      <c r="BJ1795" s="38"/>
      <c r="BK1795" s="38"/>
      <c r="BL1795" s="38"/>
      <c r="BM1795"/>
      <c r="BN1795" s="48"/>
      <c r="BR1795" s="18" t="s">
        <v>1343</v>
      </c>
      <c r="BS1795" s="18" t="s">
        <v>4627</v>
      </c>
      <c r="BT1795" s="54" t="str">
        <f t="shared" ref="BT1795:BT1858" si="208">VLOOKUP(BR1795,$BP$2:$BQ$601,2,FALSE)</f>
        <v>finance</v>
      </c>
    </row>
    <row r="1796" spans="17:72">
      <c r="Q1796" s="19">
        <v>7.17</v>
      </c>
      <c r="R1796" s="56" t="str">
        <f t="shared" si="207"/>
        <v>Yes</v>
      </c>
      <c r="W1796" s="19" t="s">
        <v>1343</v>
      </c>
      <c r="X1796" s="54" t="str">
        <f>VLOOKUP(W1796,Employees!$A$1:$B$601,2,FALSE)</f>
        <v>Rahul Biswal</v>
      </c>
      <c r="AW1796" s="54"/>
      <c r="AX1796" s="54"/>
      <c r="BI1796" s="48"/>
      <c r="BJ1796" s="38"/>
      <c r="BK1796" s="38"/>
      <c r="BL1796" s="38"/>
      <c r="BM1796"/>
      <c r="BN1796" s="48"/>
      <c r="BR1796" s="19" t="s">
        <v>1343</v>
      </c>
      <c r="BS1796" s="19" t="s">
        <v>4628</v>
      </c>
      <c r="BT1796" s="54" t="str">
        <f t="shared" si="208"/>
        <v>finance</v>
      </c>
    </row>
    <row r="1797" spans="17:72">
      <c r="Q1797" s="18">
        <v>9.11</v>
      </c>
      <c r="R1797" s="56" t="str">
        <f t="shared" si="207"/>
        <v>Yes</v>
      </c>
      <c r="W1797" s="18" t="s">
        <v>1343</v>
      </c>
      <c r="X1797" s="54" t="str">
        <f>VLOOKUP(W1797,Employees!$A$1:$B$601,2,FALSE)</f>
        <v>Rahul Biswal</v>
      </c>
      <c r="AW1797" s="54"/>
      <c r="AX1797" s="54"/>
      <c r="BI1797" s="48"/>
      <c r="BJ1797" s="38"/>
      <c r="BK1797" s="38"/>
      <c r="BL1797" s="38"/>
      <c r="BM1797"/>
      <c r="BN1797" s="48"/>
      <c r="BR1797" s="18" t="s">
        <v>1343</v>
      </c>
      <c r="BS1797" s="18" t="s">
        <v>4629</v>
      </c>
      <c r="BT1797" s="54" t="str">
        <f t="shared" si="208"/>
        <v>finance</v>
      </c>
    </row>
    <row r="1798" spans="17:72">
      <c r="Q1798" s="19">
        <v>8.6</v>
      </c>
      <c r="R1798" s="56" t="str">
        <f t="shared" si="207"/>
        <v>Yes</v>
      </c>
      <c r="W1798" s="19" t="s">
        <v>1343</v>
      </c>
      <c r="X1798" s="54" t="str">
        <f>VLOOKUP(W1798,Employees!$A$1:$B$601,2,FALSE)</f>
        <v>Rahul Biswal</v>
      </c>
      <c r="AW1798" s="54"/>
      <c r="AX1798" s="54"/>
      <c r="BI1798" s="48"/>
      <c r="BJ1798" s="38"/>
      <c r="BK1798" s="38"/>
      <c r="BL1798" s="38"/>
      <c r="BM1798"/>
      <c r="BN1798" s="48"/>
      <c r="BR1798" s="19" t="s">
        <v>1343</v>
      </c>
      <c r="BS1798" s="19" t="s">
        <v>4630</v>
      </c>
      <c r="BT1798" s="54" t="str">
        <f t="shared" si="208"/>
        <v>finance</v>
      </c>
    </row>
    <row r="1799" spans="17:72">
      <c r="Q1799" s="18">
        <v>8.57</v>
      </c>
      <c r="R1799" s="56" t="str">
        <f t="shared" si="207"/>
        <v>Yes</v>
      </c>
      <c r="W1799" s="18" t="s">
        <v>1343</v>
      </c>
      <c r="X1799" s="54" t="str">
        <f>VLOOKUP(W1799,Employees!$A$1:$B$601,2,FALSE)</f>
        <v>Rahul Biswal</v>
      </c>
      <c r="AW1799" s="54"/>
      <c r="AX1799" s="54"/>
      <c r="BI1799" s="48"/>
      <c r="BJ1799" s="38"/>
      <c r="BK1799" s="38"/>
      <c r="BL1799" s="38"/>
      <c r="BM1799"/>
      <c r="BN1799" s="48"/>
      <c r="BR1799" s="18" t="s">
        <v>1343</v>
      </c>
      <c r="BS1799" s="18" t="s">
        <v>4631</v>
      </c>
      <c r="BT1799" s="54" t="str">
        <f t="shared" si="208"/>
        <v>finance</v>
      </c>
    </row>
    <row r="1800" spans="17:72">
      <c r="Q1800" s="19">
        <v>8.44</v>
      </c>
      <c r="R1800" s="56" t="str">
        <f t="shared" si="207"/>
        <v>Yes</v>
      </c>
      <c r="W1800" s="19" t="s">
        <v>1343</v>
      </c>
      <c r="X1800" s="54" t="str">
        <f>VLOOKUP(W1800,Employees!$A$1:$B$601,2,FALSE)</f>
        <v>Rahul Biswal</v>
      </c>
      <c r="AW1800" s="54"/>
      <c r="AX1800" s="54"/>
      <c r="BI1800" s="48"/>
      <c r="BJ1800" s="38"/>
      <c r="BK1800" s="38"/>
      <c r="BL1800" s="38"/>
      <c r="BM1800"/>
      <c r="BN1800" s="48"/>
      <c r="BR1800" s="19" t="s">
        <v>1343</v>
      </c>
      <c r="BS1800" s="19" t="s">
        <v>4632</v>
      </c>
      <c r="BT1800" s="54" t="str">
        <f t="shared" si="208"/>
        <v>finance</v>
      </c>
    </row>
    <row r="1801" spans="17:72">
      <c r="Q1801" s="18">
        <v>6.7</v>
      </c>
      <c r="R1801" s="56" t="str">
        <f t="shared" si="207"/>
        <v>Yes</v>
      </c>
      <c r="W1801" s="18" t="s">
        <v>1343</v>
      </c>
      <c r="X1801" s="54" t="str">
        <f>VLOOKUP(W1801,Employees!$A$1:$B$601,2,FALSE)</f>
        <v>Rahul Biswal</v>
      </c>
      <c r="AW1801" s="54"/>
      <c r="AX1801" s="54"/>
      <c r="BI1801" s="48"/>
      <c r="BJ1801" s="38"/>
      <c r="BK1801" s="38"/>
      <c r="BL1801" s="38"/>
      <c r="BM1801"/>
      <c r="BN1801" s="48"/>
      <c r="BR1801" s="18" t="s">
        <v>1343</v>
      </c>
      <c r="BS1801" s="18" t="s">
        <v>4633</v>
      </c>
      <c r="BT1801" s="54" t="str">
        <f t="shared" si="208"/>
        <v>finance</v>
      </c>
    </row>
    <row r="1802" spans="17:72">
      <c r="Q1802" s="19">
        <v>10.87</v>
      </c>
      <c r="R1802" s="56" t="str">
        <f t="shared" si="207"/>
        <v>Yes</v>
      </c>
      <c r="W1802" s="19" t="s">
        <v>1343</v>
      </c>
      <c r="X1802" s="54" t="str">
        <f>VLOOKUP(W1802,Employees!$A$1:$B$601,2,FALSE)</f>
        <v>Rahul Biswal</v>
      </c>
      <c r="AW1802" s="54"/>
      <c r="AX1802" s="54"/>
      <c r="BI1802" s="48"/>
      <c r="BJ1802" s="38"/>
      <c r="BK1802" s="38"/>
      <c r="BL1802" s="38"/>
      <c r="BM1802"/>
      <c r="BN1802" s="48"/>
      <c r="BR1802" s="19" t="s">
        <v>1343</v>
      </c>
      <c r="BS1802" s="19" t="s">
        <v>4634</v>
      </c>
      <c r="BT1802" s="54" t="str">
        <f t="shared" si="208"/>
        <v>finance</v>
      </c>
    </row>
    <row r="1803" spans="17:72">
      <c r="Q1803" s="18">
        <v>9.23</v>
      </c>
      <c r="R1803" s="56" t="str">
        <f t="shared" si="207"/>
        <v>Yes</v>
      </c>
      <c r="W1803" s="18" t="s">
        <v>1343</v>
      </c>
      <c r="X1803" s="54" t="str">
        <f>VLOOKUP(W1803,Employees!$A$1:$B$601,2,FALSE)</f>
        <v>Rahul Biswal</v>
      </c>
      <c r="AW1803" s="54"/>
      <c r="AX1803" s="54"/>
      <c r="BI1803" s="48"/>
      <c r="BJ1803" s="38"/>
      <c r="BK1803" s="38"/>
      <c r="BL1803" s="38"/>
      <c r="BM1803"/>
      <c r="BN1803" s="48"/>
      <c r="BR1803" s="18" t="s">
        <v>1343</v>
      </c>
      <c r="BS1803" s="18" t="s">
        <v>4635</v>
      </c>
      <c r="BT1803" s="54" t="str">
        <f t="shared" si="208"/>
        <v>finance</v>
      </c>
    </row>
    <row r="1804" spans="17:72">
      <c r="Q1804" s="19">
        <v>8.6999999999999993</v>
      </c>
      <c r="R1804" s="56" t="str">
        <f t="shared" si="207"/>
        <v>Yes</v>
      </c>
      <c r="W1804" s="19" t="s">
        <v>1343</v>
      </c>
      <c r="X1804" s="54" t="str">
        <f>VLOOKUP(W1804,Employees!$A$1:$B$601,2,FALSE)</f>
        <v>Rahul Biswal</v>
      </c>
      <c r="AW1804" s="54"/>
      <c r="AX1804" s="54"/>
      <c r="BI1804" s="48"/>
      <c r="BJ1804" s="38"/>
      <c r="BK1804" s="38"/>
      <c r="BL1804" s="38"/>
      <c r="BM1804"/>
      <c r="BN1804" s="48"/>
      <c r="BR1804" s="19" t="s">
        <v>1343</v>
      </c>
      <c r="BS1804" s="19" t="s">
        <v>4636</v>
      </c>
      <c r="BT1804" s="54" t="str">
        <f t="shared" si="208"/>
        <v>finance</v>
      </c>
    </row>
    <row r="1805" spans="17:72">
      <c r="Q1805" s="18"/>
      <c r="R1805" s="56" t="str">
        <f t="shared" si="207"/>
        <v>No</v>
      </c>
      <c r="W1805" s="18" t="s">
        <v>1343</v>
      </c>
      <c r="X1805" s="54" t="str">
        <f>VLOOKUP(W1805,Employees!$A$1:$B$601,2,FALSE)</f>
        <v>Rahul Biswal</v>
      </c>
      <c r="AW1805" s="54"/>
      <c r="AX1805" s="54"/>
      <c r="BI1805" s="48"/>
      <c r="BJ1805" s="38"/>
      <c r="BK1805" s="38"/>
      <c r="BL1805" s="38"/>
      <c r="BM1805"/>
      <c r="BN1805" s="48"/>
      <c r="BR1805" s="18" t="s">
        <v>1343</v>
      </c>
      <c r="BS1805" s="18" t="s">
        <v>4637</v>
      </c>
      <c r="BT1805" s="54" t="str">
        <f t="shared" si="208"/>
        <v>finance</v>
      </c>
    </row>
    <row r="1806" spans="17:72">
      <c r="Q1806" s="19">
        <v>7.38</v>
      </c>
      <c r="R1806" s="56" t="str">
        <f t="shared" si="207"/>
        <v>Yes</v>
      </c>
      <c r="W1806" s="19" t="s">
        <v>1343</v>
      </c>
      <c r="X1806" s="54" t="str">
        <f>VLOOKUP(W1806,Employees!$A$1:$B$601,2,FALSE)</f>
        <v>Rahul Biswal</v>
      </c>
      <c r="AW1806" s="54"/>
      <c r="AX1806" s="54"/>
      <c r="BI1806" s="48"/>
      <c r="BJ1806" s="38"/>
      <c r="BK1806" s="38"/>
      <c r="BL1806" s="38"/>
      <c r="BM1806"/>
      <c r="BN1806" s="48"/>
      <c r="BR1806" s="19" t="s">
        <v>1343</v>
      </c>
      <c r="BS1806" s="19" t="s">
        <v>4638</v>
      </c>
      <c r="BT1806" s="54" t="str">
        <f t="shared" si="208"/>
        <v>finance</v>
      </c>
    </row>
    <row r="1807" spans="17:72">
      <c r="Q1807" s="18">
        <v>11.14</v>
      </c>
      <c r="R1807" s="56" t="str">
        <f t="shared" si="207"/>
        <v>Yes</v>
      </c>
      <c r="W1807" s="18" t="s">
        <v>1343</v>
      </c>
      <c r="X1807" s="54" t="str">
        <f>VLOOKUP(W1807,Employees!$A$1:$B$601,2,FALSE)</f>
        <v>Rahul Biswal</v>
      </c>
      <c r="AW1807" s="54"/>
      <c r="AX1807" s="54"/>
      <c r="BI1807" s="48"/>
      <c r="BJ1807" s="38"/>
      <c r="BK1807" s="38"/>
      <c r="BL1807" s="38"/>
      <c r="BM1807"/>
      <c r="BN1807" s="48"/>
      <c r="BR1807" s="18" t="s">
        <v>1343</v>
      </c>
      <c r="BS1807" s="18" t="s">
        <v>4639</v>
      </c>
      <c r="BT1807" s="54" t="str">
        <f t="shared" si="208"/>
        <v>finance</v>
      </c>
    </row>
    <row r="1808" spans="17:72">
      <c r="Q1808" s="19">
        <v>8.2200000000000006</v>
      </c>
      <c r="R1808" s="56" t="str">
        <f t="shared" si="207"/>
        <v>Yes</v>
      </c>
      <c r="W1808" s="19" t="s">
        <v>234</v>
      </c>
      <c r="X1808" s="54" t="str">
        <f>VLOOKUP(W1808,Employees!$A$1:$B$601,2,FALSE)</f>
        <v>Jyotirmayee Dhal</v>
      </c>
      <c r="AW1808" s="54"/>
      <c r="AX1808" s="54"/>
      <c r="BI1808" s="48"/>
      <c r="BJ1808" s="38"/>
      <c r="BK1808" s="38"/>
      <c r="BL1808" s="38"/>
      <c r="BM1808"/>
      <c r="BN1808" s="48"/>
      <c r="BR1808" s="19" t="s">
        <v>234</v>
      </c>
      <c r="BS1808" s="19" t="s">
        <v>4641</v>
      </c>
      <c r="BT1808" s="54" t="str">
        <f t="shared" si="208"/>
        <v>Design</v>
      </c>
    </row>
    <row r="1809" spans="17:72">
      <c r="Q1809" s="18">
        <v>7.24</v>
      </c>
      <c r="R1809" s="56" t="str">
        <f t="shared" si="207"/>
        <v>Yes</v>
      </c>
      <c r="W1809" s="18" t="s">
        <v>234</v>
      </c>
      <c r="X1809" s="54" t="str">
        <f>VLOOKUP(W1809,Employees!$A$1:$B$601,2,FALSE)</f>
        <v>Jyotirmayee Dhal</v>
      </c>
      <c r="AW1809" s="54"/>
      <c r="AX1809" s="54"/>
      <c r="BI1809" s="48"/>
      <c r="BJ1809" s="38"/>
      <c r="BK1809" s="38"/>
      <c r="BL1809" s="38"/>
      <c r="BM1809"/>
      <c r="BN1809" s="48"/>
      <c r="BR1809" s="18" t="s">
        <v>234</v>
      </c>
      <c r="BS1809" s="18" t="s">
        <v>4642</v>
      </c>
      <c r="BT1809" s="54" t="str">
        <f t="shared" si="208"/>
        <v>Design</v>
      </c>
    </row>
    <row r="1810" spans="17:72">
      <c r="Q1810" s="19">
        <v>6.84</v>
      </c>
      <c r="R1810" s="56" t="str">
        <f t="shared" si="207"/>
        <v>Yes</v>
      </c>
      <c r="W1810" s="19" t="s">
        <v>234</v>
      </c>
      <c r="X1810" s="54" t="str">
        <f>VLOOKUP(W1810,Employees!$A$1:$B$601,2,FALSE)</f>
        <v>Jyotirmayee Dhal</v>
      </c>
      <c r="AW1810" s="54"/>
      <c r="AX1810" s="54"/>
      <c r="BI1810" s="48"/>
      <c r="BJ1810" s="38"/>
      <c r="BK1810" s="38"/>
      <c r="BL1810" s="38"/>
      <c r="BM1810"/>
      <c r="BN1810" s="48"/>
      <c r="BR1810" s="19" t="s">
        <v>234</v>
      </c>
      <c r="BS1810" s="19" t="s">
        <v>4643</v>
      </c>
      <c r="BT1810" s="54" t="str">
        <f t="shared" si="208"/>
        <v>Design</v>
      </c>
    </row>
    <row r="1811" spans="17:72">
      <c r="Q1811" s="18">
        <v>8.81</v>
      </c>
      <c r="R1811" s="56" t="str">
        <f t="shared" si="207"/>
        <v>Yes</v>
      </c>
      <c r="W1811" s="18" t="s">
        <v>234</v>
      </c>
      <c r="X1811" s="54" t="str">
        <f>VLOOKUP(W1811,Employees!$A$1:$B$601,2,FALSE)</f>
        <v>Jyotirmayee Dhal</v>
      </c>
      <c r="AW1811" s="54"/>
      <c r="AX1811" s="54"/>
      <c r="BI1811" s="48"/>
      <c r="BJ1811" s="38"/>
      <c r="BK1811" s="38"/>
      <c r="BL1811" s="38"/>
      <c r="BM1811"/>
      <c r="BN1811" s="48"/>
      <c r="BR1811" s="18" t="s">
        <v>234</v>
      </c>
      <c r="BS1811" s="18" t="s">
        <v>4644</v>
      </c>
      <c r="BT1811" s="54" t="str">
        <f t="shared" si="208"/>
        <v>Design</v>
      </c>
    </row>
    <row r="1812" spans="17:72">
      <c r="Q1812" s="19">
        <v>8.83</v>
      </c>
      <c r="R1812" s="56" t="str">
        <f t="shared" si="207"/>
        <v>Yes</v>
      </c>
      <c r="W1812" s="19" t="s">
        <v>234</v>
      </c>
      <c r="X1812" s="54" t="str">
        <f>VLOOKUP(W1812,Employees!$A$1:$B$601,2,FALSE)</f>
        <v>Jyotirmayee Dhal</v>
      </c>
      <c r="AW1812" s="54"/>
      <c r="AX1812" s="54"/>
      <c r="BI1812" s="48"/>
      <c r="BJ1812" s="38"/>
      <c r="BK1812" s="38"/>
      <c r="BL1812" s="38"/>
      <c r="BM1812"/>
      <c r="BN1812" s="48"/>
      <c r="BR1812" s="19" t="s">
        <v>234</v>
      </c>
      <c r="BS1812" s="19" t="s">
        <v>4645</v>
      </c>
      <c r="BT1812" s="54" t="str">
        <f t="shared" si="208"/>
        <v>Design</v>
      </c>
    </row>
    <row r="1813" spans="17:72">
      <c r="Q1813" s="18">
        <v>8.01</v>
      </c>
      <c r="R1813" s="56" t="str">
        <f t="shared" si="207"/>
        <v>Yes</v>
      </c>
      <c r="W1813" s="18" t="s">
        <v>234</v>
      </c>
      <c r="X1813" s="54" t="str">
        <f>VLOOKUP(W1813,Employees!$A$1:$B$601,2,FALSE)</f>
        <v>Jyotirmayee Dhal</v>
      </c>
      <c r="AW1813" s="54"/>
      <c r="AX1813" s="54"/>
      <c r="BI1813" s="48"/>
      <c r="BJ1813" s="38"/>
      <c r="BK1813" s="38"/>
      <c r="BL1813" s="38"/>
      <c r="BM1813"/>
      <c r="BN1813" s="48"/>
      <c r="BR1813" s="18" t="s">
        <v>234</v>
      </c>
      <c r="BS1813" s="18" t="s">
        <v>4646</v>
      </c>
      <c r="BT1813" s="54" t="str">
        <f t="shared" si="208"/>
        <v>Design</v>
      </c>
    </row>
    <row r="1814" spans="17:72">
      <c r="Q1814" s="19">
        <v>7.93</v>
      </c>
      <c r="R1814" s="56" t="str">
        <f t="shared" si="207"/>
        <v>Yes</v>
      </c>
      <c r="W1814" s="19" t="s">
        <v>234</v>
      </c>
      <c r="X1814" s="54" t="str">
        <f>VLOOKUP(W1814,Employees!$A$1:$B$601,2,FALSE)</f>
        <v>Jyotirmayee Dhal</v>
      </c>
      <c r="AW1814" s="54"/>
      <c r="AX1814" s="54"/>
      <c r="BI1814" s="48"/>
      <c r="BJ1814" s="38"/>
      <c r="BK1814" s="38"/>
      <c r="BL1814" s="38"/>
      <c r="BM1814"/>
      <c r="BN1814" s="48"/>
      <c r="BR1814" s="19" t="s">
        <v>234</v>
      </c>
      <c r="BS1814" s="19" t="s">
        <v>4647</v>
      </c>
      <c r="BT1814" s="54" t="str">
        <f t="shared" si="208"/>
        <v>Design</v>
      </c>
    </row>
    <row r="1815" spans="17:72">
      <c r="Q1815" s="18">
        <v>9.73</v>
      </c>
      <c r="R1815" s="56" t="str">
        <f t="shared" si="207"/>
        <v>Yes</v>
      </c>
      <c r="W1815" s="18" t="s">
        <v>234</v>
      </c>
      <c r="X1815" s="54" t="str">
        <f>VLOOKUP(W1815,Employees!$A$1:$B$601,2,FALSE)</f>
        <v>Jyotirmayee Dhal</v>
      </c>
      <c r="AW1815" s="54"/>
      <c r="AX1815" s="54"/>
      <c r="BI1815" s="48"/>
      <c r="BJ1815" s="38"/>
      <c r="BK1815" s="38"/>
      <c r="BL1815" s="38"/>
      <c r="BM1815"/>
      <c r="BN1815" s="48"/>
      <c r="BR1815" s="18" t="s">
        <v>234</v>
      </c>
      <c r="BS1815" s="18" t="s">
        <v>4648</v>
      </c>
      <c r="BT1815" s="54" t="str">
        <f t="shared" si="208"/>
        <v>Design</v>
      </c>
    </row>
    <row r="1816" spans="17:72">
      <c r="Q1816" s="19">
        <v>8.64</v>
      </c>
      <c r="R1816" s="56" t="str">
        <f t="shared" si="207"/>
        <v>Yes</v>
      </c>
      <c r="W1816" s="19" t="s">
        <v>234</v>
      </c>
      <c r="X1816" s="54" t="str">
        <f>VLOOKUP(W1816,Employees!$A$1:$B$601,2,FALSE)</f>
        <v>Jyotirmayee Dhal</v>
      </c>
      <c r="AW1816" s="54"/>
      <c r="AX1816" s="54"/>
      <c r="BI1816" s="48"/>
      <c r="BJ1816" s="38"/>
      <c r="BK1816" s="38"/>
      <c r="BL1816" s="38"/>
      <c r="BM1816"/>
      <c r="BN1816" s="48"/>
      <c r="BR1816" s="19" t="s">
        <v>234</v>
      </c>
      <c r="BS1816" s="19" t="s">
        <v>4649</v>
      </c>
      <c r="BT1816" s="54" t="str">
        <f t="shared" si="208"/>
        <v>Design</v>
      </c>
    </row>
    <row r="1817" spans="17:72">
      <c r="Q1817" s="18">
        <v>7.13</v>
      </c>
      <c r="R1817" s="56" t="str">
        <f t="shared" si="207"/>
        <v>Yes</v>
      </c>
      <c r="W1817" s="18" t="s">
        <v>234</v>
      </c>
      <c r="X1817" s="54" t="str">
        <f>VLOOKUP(W1817,Employees!$A$1:$B$601,2,FALSE)</f>
        <v>Jyotirmayee Dhal</v>
      </c>
      <c r="AW1817" s="54"/>
      <c r="AX1817" s="54"/>
      <c r="BI1817" s="48"/>
      <c r="BJ1817" s="38"/>
      <c r="BK1817" s="38"/>
      <c r="BL1817" s="38"/>
      <c r="BM1817"/>
      <c r="BN1817" s="48"/>
      <c r="BR1817" s="18" t="s">
        <v>234</v>
      </c>
      <c r="BS1817" s="18" t="s">
        <v>4650</v>
      </c>
      <c r="BT1817" s="54" t="str">
        <f t="shared" si="208"/>
        <v>Design</v>
      </c>
    </row>
    <row r="1818" spans="17:72">
      <c r="Q1818" s="19">
        <v>10.34</v>
      </c>
      <c r="R1818" s="56" t="str">
        <f t="shared" si="207"/>
        <v>Yes</v>
      </c>
      <c r="W1818" s="19" t="s">
        <v>234</v>
      </c>
      <c r="X1818" s="54" t="str">
        <f>VLOOKUP(W1818,Employees!$A$1:$B$601,2,FALSE)</f>
        <v>Jyotirmayee Dhal</v>
      </c>
      <c r="AW1818" s="54"/>
      <c r="AX1818" s="54"/>
      <c r="BI1818" s="48"/>
      <c r="BJ1818" s="38"/>
      <c r="BK1818" s="38"/>
      <c r="BL1818" s="38"/>
      <c r="BM1818"/>
      <c r="BN1818" s="48"/>
      <c r="BR1818" s="19" t="s">
        <v>234</v>
      </c>
      <c r="BS1818" s="19" t="s">
        <v>4651</v>
      </c>
      <c r="BT1818" s="54" t="str">
        <f t="shared" si="208"/>
        <v>Design</v>
      </c>
    </row>
    <row r="1819" spans="17:72">
      <c r="Q1819" s="18">
        <v>11.45</v>
      </c>
      <c r="R1819" s="56" t="str">
        <f t="shared" si="207"/>
        <v>Yes</v>
      </c>
      <c r="W1819" s="18" t="s">
        <v>234</v>
      </c>
      <c r="X1819" s="54" t="str">
        <f>VLOOKUP(W1819,Employees!$A$1:$B$601,2,FALSE)</f>
        <v>Jyotirmayee Dhal</v>
      </c>
      <c r="AW1819" s="54"/>
      <c r="AX1819" s="54"/>
      <c r="BI1819" s="48"/>
      <c r="BJ1819" s="38"/>
      <c r="BK1819" s="38"/>
      <c r="BL1819" s="38"/>
      <c r="BM1819"/>
      <c r="BN1819" s="48"/>
      <c r="BR1819" s="18" t="s">
        <v>234</v>
      </c>
      <c r="BS1819" s="18" t="s">
        <v>4652</v>
      </c>
      <c r="BT1819" s="54" t="str">
        <f t="shared" si="208"/>
        <v>Design</v>
      </c>
    </row>
    <row r="1820" spans="17:72">
      <c r="Q1820" s="19"/>
      <c r="R1820" s="56" t="str">
        <f t="shared" si="207"/>
        <v>No</v>
      </c>
      <c r="W1820" s="19" t="s">
        <v>234</v>
      </c>
      <c r="X1820" s="54" t="str">
        <f>VLOOKUP(W1820,Employees!$A$1:$B$601,2,FALSE)</f>
        <v>Jyotirmayee Dhal</v>
      </c>
      <c r="AW1820" s="54"/>
      <c r="AX1820" s="54"/>
      <c r="BI1820" s="48"/>
      <c r="BJ1820" s="38"/>
      <c r="BK1820" s="38"/>
      <c r="BL1820" s="38"/>
      <c r="BM1820"/>
      <c r="BN1820" s="48"/>
      <c r="BR1820" s="19" t="s">
        <v>234</v>
      </c>
      <c r="BS1820" s="19" t="s">
        <v>4654</v>
      </c>
      <c r="BT1820" s="54" t="str">
        <f t="shared" si="208"/>
        <v>Design</v>
      </c>
    </row>
    <row r="1821" spans="17:72">
      <c r="Q1821" s="18">
        <v>11.4</v>
      </c>
      <c r="R1821" s="56" t="str">
        <f t="shared" si="207"/>
        <v>Yes</v>
      </c>
      <c r="W1821" s="18" t="s">
        <v>234</v>
      </c>
      <c r="X1821" s="54" t="str">
        <f>VLOOKUP(W1821,Employees!$A$1:$B$601,2,FALSE)</f>
        <v>Jyotirmayee Dhal</v>
      </c>
      <c r="AW1821" s="54"/>
      <c r="AX1821" s="54"/>
      <c r="BI1821" s="48"/>
      <c r="BJ1821" s="38"/>
      <c r="BK1821" s="38"/>
      <c r="BL1821" s="38"/>
      <c r="BM1821"/>
      <c r="BN1821" s="48"/>
      <c r="BR1821" s="18" t="s">
        <v>234</v>
      </c>
      <c r="BS1821" s="18" t="s">
        <v>4655</v>
      </c>
      <c r="BT1821" s="54" t="str">
        <f t="shared" si="208"/>
        <v>Design</v>
      </c>
    </row>
    <row r="1822" spans="17:72">
      <c r="Q1822" s="19">
        <v>9.1999999999999993</v>
      </c>
      <c r="R1822" s="56" t="str">
        <f t="shared" si="207"/>
        <v>Yes</v>
      </c>
      <c r="W1822" s="19" t="s">
        <v>234</v>
      </c>
      <c r="X1822" s="54" t="str">
        <f>VLOOKUP(W1822,Employees!$A$1:$B$601,2,FALSE)</f>
        <v>Jyotirmayee Dhal</v>
      </c>
      <c r="AW1822" s="54"/>
      <c r="AX1822" s="54"/>
      <c r="BI1822" s="48"/>
      <c r="BJ1822" s="38"/>
      <c r="BK1822" s="38"/>
      <c r="BL1822" s="38"/>
      <c r="BM1822"/>
      <c r="BN1822" s="48"/>
      <c r="BR1822" s="19" t="s">
        <v>234</v>
      </c>
      <c r="BS1822" s="19" t="s">
        <v>4656</v>
      </c>
      <c r="BT1822" s="54" t="str">
        <f t="shared" si="208"/>
        <v>Design</v>
      </c>
    </row>
    <row r="1823" spans="17:72">
      <c r="Q1823" s="18">
        <v>10.17</v>
      </c>
      <c r="R1823" s="56" t="str">
        <f t="shared" si="207"/>
        <v>Yes</v>
      </c>
      <c r="W1823" s="18" t="s">
        <v>234</v>
      </c>
      <c r="X1823" s="54" t="str">
        <f>VLOOKUP(W1823,Employees!$A$1:$B$601,2,FALSE)</f>
        <v>Jyotirmayee Dhal</v>
      </c>
      <c r="AW1823" s="54"/>
      <c r="AX1823" s="54"/>
      <c r="BI1823" s="48"/>
      <c r="BJ1823" s="38"/>
      <c r="BK1823" s="38"/>
      <c r="BL1823" s="38"/>
      <c r="BM1823"/>
      <c r="BN1823" s="48"/>
      <c r="BR1823" s="18" t="s">
        <v>234</v>
      </c>
      <c r="BS1823" s="18" t="s">
        <v>4657</v>
      </c>
      <c r="BT1823" s="54" t="str">
        <f t="shared" si="208"/>
        <v>Design</v>
      </c>
    </row>
    <row r="1824" spans="17:72">
      <c r="Q1824" s="19">
        <v>7.3</v>
      </c>
      <c r="R1824" s="56" t="str">
        <f t="shared" si="207"/>
        <v>Yes</v>
      </c>
      <c r="W1824" s="19" t="s">
        <v>234</v>
      </c>
      <c r="X1824" s="54" t="str">
        <f>VLOOKUP(W1824,Employees!$A$1:$B$601,2,FALSE)</f>
        <v>Jyotirmayee Dhal</v>
      </c>
      <c r="AW1824" s="54"/>
      <c r="AX1824" s="54"/>
      <c r="BI1824" s="48"/>
      <c r="BJ1824" s="38"/>
      <c r="BK1824" s="38"/>
      <c r="BL1824" s="38"/>
      <c r="BM1824"/>
      <c r="BN1824" s="48"/>
      <c r="BR1824" s="19" t="s">
        <v>234</v>
      </c>
      <c r="BS1824" s="19" t="s">
        <v>4658</v>
      </c>
      <c r="BT1824" s="54" t="str">
        <f t="shared" si="208"/>
        <v>Design</v>
      </c>
    </row>
    <row r="1825" spans="17:72">
      <c r="Q1825" s="18">
        <v>8.25</v>
      </c>
      <c r="R1825" s="56" t="str">
        <f t="shared" si="207"/>
        <v>Yes</v>
      </c>
      <c r="W1825" s="18" t="s">
        <v>234</v>
      </c>
      <c r="X1825" s="54" t="str">
        <f>VLOOKUP(W1825,Employees!$A$1:$B$601,2,FALSE)</f>
        <v>Jyotirmayee Dhal</v>
      </c>
      <c r="AW1825" s="54"/>
      <c r="AX1825" s="54"/>
      <c r="BI1825" s="48"/>
      <c r="BJ1825" s="38"/>
      <c r="BK1825" s="38"/>
      <c r="BL1825" s="38"/>
      <c r="BM1825"/>
      <c r="BN1825" s="48"/>
      <c r="BR1825" s="18" t="s">
        <v>234</v>
      </c>
      <c r="BS1825" s="18" t="s">
        <v>4659</v>
      </c>
      <c r="BT1825" s="54" t="str">
        <f t="shared" si="208"/>
        <v>Design</v>
      </c>
    </row>
    <row r="1826" spans="17:72">
      <c r="Q1826" s="19">
        <v>11.07</v>
      </c>
      <c r="R1826" s="56" t="str">
        <f t="shared" si="207"/>
        <v>Yes</v>
      </c>
      <c r="W1826" s="19" t="s">
        <v>234</v>
      </c>
      <c r="X1826" s="54" t="str">
        <f>VLOOKUP(W1826,Employees!$A$1:$B$601,2,FALSE)</f>
        <v>Jyotirmayee Dhal</v>
      </c>
      <c r="AW1826" s="54"/>
      <c r="AX1826" s="54"/>
      <c r="BI1826" s="48"/>
      <c r="BJ1826" s="38"/>
      <c r="BK1826" s="38"/>
      <c r="BL1826" s="38"/>
      <c r="BM1826"/>
      <c r="BN1826" s="48"/>
      <c r="BR1826" s="19" t="s">
        <v>234</v>
      </c>
      <c r="BS1826" s="19" t="s">
        <v>4660</v>
      </c>
      <c r="BT1826" s="54" t="str">
        <f t="shared" si="208"/>
        <v>Design</v>
      </c>
    </row>
    <row r="1827" spans="17:72">
      <c r="Q1827" s="18">
        <v>9.93</v>
      </c>
      <c r="R1827" s="56" t="str">
        <f t="shared" si="207"/>
        <v>Yes</v>
      </c>
      <c r="W1827" s="18" t="s">
        <v>234</v>
      </c>
      <c r="X1827" s="54" t="str">
        <f>VLOOKUP(W1827,Employees!$A$1:$B$601,2,FALSE)</f>
        <v>Jyotirmayee Dhal</v>
      </c>
      <c r="AW1827" s="54"/>
      <c r="AX1827" s="54"/>
      <c r="BI1827" s="48"/>
      <c r="BJ1827" s="38"/>
      <c r="BK1827" s="38"/>
      <c r="BL1827" s="38"/>
      <c r="BM1827"/>
      <c r="BN1827" s="48"/>
      <c r="BR1827" s="18" t="s">
        <v>234</v>
      </c>
      <c r="BS1827" s="18" t="s">
        <v>4661</v>
      </c>
      <c r="BT1827" s="54" t="str">
        <f t="shared" si="208"/>
        <v>Design</v>
      </c>
    </row>
    <row r="1828" spans="17:72">
      <c r="Q1828" s="19">
        <v>9.2899999999999991</v>
      </c>
      <c r="R1828" s="56" t="str">
        <f t="shared" si="207"/>
        <v>Yes</v>
      </c>
      <c r="W1828" s="19" t="s">
        <v>234</v>
      </c>
      <c r="X1828" s="54" t="str">
        <f>VLOOKUP(W1828,Employees!$A$1:$B$601,2,FALSE)</f>
        <v>Jyotirmayee Dhal</v>
      </c>
      <c r="AW1828" s="54"/>
      <c r="AX1828" s="54"/>
      <c r="BI1828" s="48"/>
      <c r="BJ1828" s="38"/>
      <c r="BK1828" s="38"/>
      <c r="BL1828" s="38"/>
      <c r="BM1828"/>
      <c r="BN1828" s="48"/>
      <c r="BR1828" s="19" t="s">
        <v>234</v>
      </c>
      <c r="BS1828" s="19" t="s">
        <v>4662</v>
      </c>
      <c r="BT1828" s="54" t="str">
        <f t="shared" si="208"/>
        <v>Design</v>
      </c>
    </row>
    <row r="1829" spans="17:72">
      <c r="Q1829" s="18">
        <v>10.84</v>
      </c>
      <c r="R1829" s="56" t="str">
        <f t="shared" si="207"/>
        <v>Yes</v>
      </c>
      <c r="W1829" s="18" t="s">
        <v>234</v>
      </c>
      <c r="X1829" s="54" t="str">
        <f>VLOOKUP(W1829,Employees!$A$1:$B$601,2,FALSE)</f>
        <v>Jyotirmayee Dhal</v>
      </c>
      <c r="AW1829" s="54"/>
      <c r="AX1829" s="54"/>
      <c r="BI1829" s="48"/>
      <c r="BJ1829" s="38"/>
      <c r="BK1829" s="38"/>
      <c r="BL1829" s="38"/>
      <c r="BM1829"/>
      <c r="BN1829" s="48"/>
      <c r="BR1829" s="18" t="s">
        <v>234</v>
      </c>
      <c r="BS1829" s="18" t="s">
        <v>4663</v>
      </c>
      <c r="BT1829" s="54" t="str">
        <f t="shared" si="208"/>
        <v>Design</v>
      </c>
    </row>
    <row r="1830" spans="17:72">
      <c r="Q1830" s="19">
        <v>9.16</v>
      </c>
      <c r="R1830" s="56" t="str">
        <f t="shared" si="207"/>
        <v>Yes</v>
      </c>
      <c r="W1830" s="19" t="s">
        <v>234</v>
      </c>
      <c r="X1830" s="54" t="str">
        <f>VLOOKUP(W1830,Employees!$A$1:$B$601,2,FALSE)</f>
        <v>Jyotirmayee Dhal</v>
      </c>
      <c r="AW1830" s="54"/>
      <c r="AX1830" s="54"/>
      <c r="BI1830" s="48"/>
      <c r="BJ1830" s="38"/>
      <c r="BK1830" s="38"/>
      <c r="BL1830" s="38"/>
      <c r="BM1830"/>
      <c r="BN1830" s="48"/>
      <c r="BR1830" s="19" t="s">
        <v>234</v>
      </c>
      <c r="BS1830" s="19" t="s">
        <v>4664</v>
      </c>
      <c r="BT1830" s="54" t="str">
        <f t="shared" si="208"/>
        <v>Design</v>
      </c>
    </row>
    <row r="1831" spans="17:72">
      <c r="Q1831" s="18">
        <v>7.15</v>
      </c>
      <c r="R1831" s="56" t="str">
        <f t="shared" si="207"/>
        <v>Yes</v>
      </c>
      <c r="W1831" s="18" t="s">
        <v>234</v>
      </c>
      <c r="X1831" s="54" t="str">
        <f>VLOOKUP(W1831,Employees!$A$1:$B$601,2,FALSE)</f>
        <v>Jyotirmayee Dhal</v>
      </c>
      <c r="AW1831" s="54"/>
      <c r="AX1831" s="54"/>
      <c r="BI1831" s="48"/>
      <c r="BJ1831" s="38"/>
      <c r="BK1831" s="38"/>
      <c r="BL1831" s="38"/>
      <c r="BM1831"/>
      <c r="BN1831" s="48"/>
      <c r="BR1831" s="18" t="s">
        <v>234</v>
      </c>
      <c r="BS1831" s="18" t="s">
        <v>4665</v>
      </c>
      <c r="BT1831" s="54" t="str">
        <f t="shared" si="208"/>
        <v>Design</v>
      </c>
    </row>
    <row r="1832" spans="17:72">
      <c r="Q1832" s="19">
        <v>10.36</v>
      </c>
      <c r="R1832" s="56" t="str">
        <f t="shared" si="207"/>
        <v>Yes</v>
      </c>
      <c r="W1832" s="19" t="s">
        <v>234</v>
      </c>
      <c r="X1832" s="54" t="str">
        <f>VLOOKUP(W1832,Employees!$A$1:$B$601,2,FALSE)</f>
        <v>Jyotirmayee Dhal</v>
      </c>
      <c r="AW1832" s="54"/>
      <c r="AX1832" s="54"/>
      <c r="BI1832" s="48"/>
      <c r="BJ1832" s="38"/>
      <c r="BK1832" s="38"/>
      <c r="BL1832" s="38"/>
      <c r="BM1832"/>
      <c r="BN1832" s="48"/>
      <c r="BR1832" s="19" t="s">
        <v>234</v>
      </c>
      <c r="BS1832" s="19" t="s">
        <v>4666</v>
      </c>
      <c r="BT1832" s="54" t="str">
        <f t="shared" si="208"/>
        <v>Design</v>
      </c>
    </row>
    <row r="1833" spans="17:72">
      <c r="Q1833" s="18">
        <v>7.38</v>
      </c>
      <c r="R1833" s="56" t="str">
        <f t="shared" si="207"/>
        <v>Yes</v>
      </c>
      <c r="W1833" s="18" t="s">
        <v>234</v>
      </c>
      <c r="X1833" s="54" t="str">
        <f>VLOOKUP(W1833,Employees!$A$1:$B$601,2,FALSE)</f>
        <v>Jyotirmayee Dhal</v>
      </c>
      <c r="AW1833" s="54"/>
      <c r="AX1833" s="54"/>
      <c r="BI1833" s="48"/>
      <c r="BJ1833" s="38"/>
      <c r="BK1833" s="38"/>
      <c r="BL1833" s="38"/>
      <c r="BM1833"/>
      <c r="BN1833" s="48"/>
      <c r="BR1833" s="18" t="s">
        <v>234</v>
      </c>
      <c r="BS1833" s="18" t="s">
        <v>4667</v>
      </c>
      <c r="BT1833" s="54" t="str">
        <f t="shared" si="208"/>
        <v>Design</v>
      </c>
    </row>
    <row r="1834" spans="17:72">
      <c r="Q1834" s="19">
        <v>11.07</v>
      </c>
      <c r="R1834" s="56" t="str">
        <f t="shared" si="207"/>
        <v>Yes</v>
      </c>
      <c r="W1834" s="19" t="s">
        <v>234</v>
      </c>
      <c r="X1834" s="54" t="str">
        <f>VLOOKUP(W1834,Employees!$A$1:$B$601,2,FALSE)</f>
        <v>Jyotirmayee Dhal</v>
      </c>
      <c r="AW1834" s="54"/>
      <c r="AX1834" s="54"/>
      <c r="BI1834" s="48"/>
      <c r="BJ1834" s="38"/>
      <c r="BK1834" s="38"/>
      <c r="BL1834" s="38"/>
      <c r="BM1834"/>
      <c r="BN1834" s="48"/>
      <c r="BR1834" s="19" t="s">
        <v>234</v>
      </c>
      <c r="BS1834" s="19" t="s">
        <v>4668</v>
      </c>
      <c r="BT1834" s="54" t="str">
        <f t="shared" si="208"/>
        <v>Design</v>
      </c>
    </row>
    <row r="1835" spans="17:72">
      <c r="Q1835" s="18"/>
      <c r="R1835" s="56" t="str">
        <f t="shared" si="207"/>
        <v>No</v>
      </c>
      <c r="W1835" s="18" t="s">
        <v>234</v>
      </c>
      <c r="X1835" s="54" t="str">
        <f>VLOOKUP(W1835,Employees!$A$1:$B$601,2,FALSE)</f>
        <v>Jyotirmayee Dhal</v>
      </c>
      <c r="AW1835" s="54"/>
      <c r="AX1835" s="54"/>
      <c r="BI1835" s="48"/>
      <c r="BJ1835" s="38"/>
      <c r="BK1835" s="38"/>
      <c r="BL1835" s="38"/>
      <c r="BM1835"/>
      <c r="BN1835" s="48"/>
      <c r="BR1835" s="18" t="s">
        <v>234</v>
      </c>
      <c r="BS1835" s="18" t="s">
        <v>4669</v>
      </c>
      <c r="BT1835" s="54" t="str">
        <f t="shared" si="208"/>
        <v>Design</v>
      </c>
    </row>
    <row r="1836" spans="17:72">
      <c r="Q1836" s="19">
        <v>7.01</v>
      </c>
      <c r="R1836" s="56" t="str">
        <f t="shared" si="207"/>
        <v>Yes</v>
      </c>
      <c r="W1836" s="19" t="s">
        <v>234</v>
      </c>
      <c r="X1836" s="54" t="str">
        <f>VLOOKUP(W1836,Employees!$A$1:$B$601,2,FALSE)</f>
        <v>Jyotirmayee Dhal</v>
      </c>
      <c r="AW1836" s="54"/>
      <c r="AX1836" s="54"/>
      <c r="BI1836" s="48"/>
      <c r="BJ1836" s="38"/>
      <c r="BK1836" s="38"/>
      <c r="BL1836" s="38"/>
      <c r="BM1836"/>
      <c r="BN1836" s="48"/>
      <c r="BR1836" s="19" t="s">
        <v>234</v>
      </c>
      <c r="BS1836" s="19" t="s">
        <v>4670</v>
      </c>
      <c r="BT1836" s="54" t="str">
        <f t="shared" si="208"/>
        <v>Design</v>
      </c>
    </row>
    <row r="1837" spans="17:72">
      <c r="Q1837" s="18">
        <v>10.36</v>
      </c>
      <c r="R1837" s="56" t="str">
        <f t="shared" si="207"/>
        <v>Yes</v>
      </c>
      <c r="W1837" s="18" t="s">
        <v>234</v>
      </c>
      <c r="X1837" s="54" t="str">
        <f>VLOOKUP(W1837,Employees!$A$1:$B$601,2,FALSE)</f>
        <v>Jyotirmayee Dhal</v>
      </c>
      <c r="AW1837" s="54"/>
      <c r="AX1837" s="54"/>
      <c r="BI1837" s="48"/>
      <c r="BJ1837" s="38"/>
      <c r="BK1837" s="38"/>
      <c r="BL1837" s="38"/>
      <c r="BM1837"/>
      <c r="BN1837" s="48"/>
      <c r="BR1837" s="18" t="s">
        <v>234</v>
      </c>
      <c r="BS1837" s="18" t="s">
        <v>4671</v>
      </c>
      <c r="BT1837" s="54" t="str">
        <f t="shared" si="208"/>
        <v>Design</v>
      </c>
    </row>
    <row r="1838" spans="17:72">
      <c r="Q1838" s="19">
        <v>9.2100000000000009</v>
      </c>
      <c r="R1838" s="56" t="str">
        <f t="shared" si="207"/>
        <v>Yes</v>
      </c>
      <c r="W1838" s="19" t="s">
        <v>234</v>
      </c>
      <c r="X1838" s="54" t="str">
        <f>VLOOKUP(W1838,Employees!$A$1:$B$601,2,FALSE)</f>
        <v>Jyotirmayee Dhal</v>
      </c>
      <c r="AW1838" s="54"/>
      <c r="AX1838" s="54"/>
      <c r="BI1838" s="48"/>
      <c r="BJ1838" s="38"/>
      <c r="BK1838" s="38"/>
      <c r="BL1838" s="38"/>
      <c r="BM1838"/>
      <c r="BN1838" s="48"/>
      <c r="BR1838" s="19" t="s">
        <v>234</v>
      </c>
      <c r="BS1838" s="19" t="s">
        <v>4672</v>
      </c>
      <c r="BT1838" s="54" t="str">
        <f t="shared" si="208"/>
        <v>Design</v>
      </c>
    </row>
    <row r="1839" spans="17:72">
      <c r="Q1839" s="18">
        <v>10.93</v>
      </c>
      <c r="R1839" s="56" t="str">
        <f t="shared" si="207"/>
        <v>Yes</v>
      </c>
      <c r="W1839" s="18" t="s">
        <v>234</v>
      </c>
      <c r="X1839" s="54" t="str">
        <f>VLOOKUP(W1839,Employees!$A$1:$B$601,2,FALSE)</f>
        <v>Jyotirmayee Dhal</v>
      </c>
      <c r="AW1839" s="54"/>
      <c r="AX1839" s="54"/>
      <c r="BI1839" s="48"/>
      <c r="BJ1839" s="38"/>
      <c r="BK1839" s="38"/>
      <c r="BL1839" s="38"/>
      <c r="BM1839"/>
      <c r="BN1839" s="48"/>
      <c r="BR1839" s="18" t="s">
        <v>234</v>
      </c>
      <c r="BS1839" s="18" t="s">
        <v>4674</v>
      </c>
      <c r="BT1839" s="54" t="str">
        <f t="shared" si="208"/>
        <v>Design</v>
      </c>
    </row>
    <row r="1840" spans="17:72">
      <c r="Q1840" s="19">
        <v>9.31</v>
      </c>
      <c r="R1840" s="56" t="str">
        <f t="shared" si="207"/>
        <v>Yes</v>
      </c>
      <c r="W1840" s="19" t="s">
        <v>234</v>
      </c>
      <c r="X1840" s="54" t="str">
        <f>VLOOKUP(W1840,Employees!$A$1:$B$601,2,FALSE)</f>
        <v>Jyotirmayee Dhal</v>
      </c>
      <c r="AW1840" s="54"/>
      <c r="AX1840" s="54"/>
      <c r="BI1840" s="48"/>
      <c r="BJ1840" s="38"/>
      <c r="BK1840" s="38"/>
      <c r="BL1840" s="38"/>
      <c r="BM1840"/>
      <c r="BN1840" s="48"/>
      <c r="BR1840" s="19" t="s">
        <v>234</v>
      </c>
      <c r="BS1840" s="19" t="s">
        <v>4675</v>
      </c>
      <c r="BT1840" s="54" t="str">
        <f t="shared" si="208"/>
        <v>Design</v>
      </c>
    </row>
    <row r="1841" spans="17:72">
      <c r="Q1841" s="18">
        <v>7.27</v>
      </c>
      <c r="R1841" s="56" t="str">
        <f t="shared" si="207"/>
        <v>Yes</v>
      </c>
      <c r="W1841" s="18" t="s">
        <v>234</v>
      </c>
      <c r="X1841" s="54" t="str">
        <f>VLOOKUP(W1841,Employees!$A$1:$B$601,2,FALSE)</f>
        <v>Jyotirmayee Dhal</v>
      </c>
      <c r="AW1841" s="54"/>
      <c r="AX1841" s="54"/>
      <c r="BI1841" s="48"/>
      <c r="BJ1841" s="38"/>
      <c r="BK1841" s="38"/>
      <c r="BL1841" s="38"/>
      <c r="BM1841"/>
      <c r="BN1841" s="48"/>
      <c r="BR1841" s="18" t="s">
        <v>234</v>
      </c>
      <c r="BS1841" s="18" t="s">
        <v>4676</v>
      </c>
      <c r="BT1841" s="54" t="str">
        <f t="shared" si="208"/>
        <v>Design</v>
      </c>
    </row>
    <row r="1842" spans="17:72">
      <c r="Q1842" s="19">
        <v>11.06</v>
      </c>
      <c r="R1842" s="56" t="str">
        <f t="shared" si="207"/>
        <v>Yes</v>
      </c>
      <c r="W1842" s="19" t="s">
        <v>234</v>
      </c>
      <c r="X1842" s="54" t="str">
        <f>VLOOKUP(W1842,Employees!$A$1:$B$601,2,FALSE)</f>
        <v>Jyotirmayee Dhal</v>
      </c>
      <c r="AW1842" s="54"/>
      <c r="AX1842" s="54"/>
      <c r="BI1842" s="48"/>
      <c r="BJ1842" s="38"/>
      <c r="BK1842" s="38"/>
      <c r="BL1842" s="38"/>
      <c r="BM1842"/>
      <c r="BN1842" s="48"/>
      <c r="BR1842" s="19" t="s">
        <v>234</v>
      </c>
      <c r="BS1842" s="19" t="s">
        <v>4677</v>
      </c>
      <c r="BT1842" s="54" t="str">
        <f t="shared" si="208"/>
        <v>Design</v>
      </c>
    </row>
    <row r="1843" spans="17:72">
      <c r="Q1843" s="18">
        <v>8.9499999999999993</v>
      </c>
      <c r="R1843" s="56" t="str">
        <f t="shared" si="207"/>
        <v>Yes</v>
      </c>
      <c r="W1843" s="18" t="s">
        <v>234</v>
      </c>
      <c r="X1843" s="54" t="str">
        <f>VLOOKUP(W1843,Employees!$A$1:$B$601,2,FALSE)</f>
        <v>Jyotirmayee Dhal</v>
      </c>
      <c r="AW1843" s="54"/>
      <c r="AX1843" s="54"/>
      <c r="BI1843" s="48"/>
      <c r="BJ1843" s="38"/>
      <c r="BK1843" s="38"/>
      <c r="BL1843" s="38"/>
      <c r="BM1843"/>
      <c r="BN1843" s="48"/>
      <c r="BR1843" s="18" t="s">
        <v>234</v>
      </c>
      <c r="BS1843" s="18" t="s">
        <v>4678</v>
      </c>
      <c r="BT1843" s="54" t="str">
        <f t="shared" si="208"/>
        <v>Design</v>
      </c>
    </row>
    <row r="1844" spans="17:72">
      <c r="Q1844" s="19">
        <v>8.8800000000000008</v>
      </c>
      <c r="R1844" s="56" t="str">
        <f t="shared" si="207"/>
        <v>Yes</v>
      </c>
      <c r="W1844" s="19" t="s">
        <v>234</v>
      </c>
      <c r="X1844" s="54" t="str">
        <f>VLOOKUP(W1844,Employees!$A$1:$B$601,2,FALSE)</f>
        <v>Jyotirmayee Dhal</v>
      </c>
      <c r="AW1844" s="54"/>
      <c r="AX1844" s="54"/>
      <c r="BI1844" s="48"/>
      <c r="BJ1844" s="38"/>
      <c r="BK1844" s="38"/>
      <c r="BL1844" s="38"/>
      <c r="BM1844"/>
      <c r="BN1844" s="48"/>
      <c r="BR1844" s="19" t="s">
        <v>234</v>
      </c>
      <c r="BS1844" s="19" t="s">
        <v>4679</v>
      </c>
      <c r="BT1844" s="54" t="str">
        <f t="shared" si="208"/>
        <v>Design</v>
      </c>
    </row>
    <row r="1845" spans="17:72">
      <c r="Q1845" s="18">
        <v>9.18</v>
      </c>
      <c r="R1845" s="56" t="str">
        <f t="shared" si="207"/>
        <v>Yes</v>
      </c>
      <c r="W1845" s="18" t="s">
        <v>234</v>
      </c>
      <c r="X1845" s="54" t="str">
        <f>VLOOKUP(W1845,Employees!$A$1:$B$601,2,FALSE)</f>
        <v>Jyotirmayee Dhal</v>
      </c>
      <c r="AW1845" s="54"/>
      <c r="AX1845" s="54"/>
      <c r="BI1845" s="48"/>
      <c r="BJ1845" s="38"/>
      <c r="BK1845" s="38"/>
      <c r="BL1845" s="38"/>
      <c r="BM1845"/>
      <c r="BN1845" s="48"/>
      <c r="BR1845" s="18" t="s">
        <v>234</v>
      </c>
      <c r="BS1845" s="18" t="s">
        <v>4680</v>
      </c>
      <c r="BT1845" s="54" t="str">
        <f t="shared" si="208"/>
        <v>Design</v>
      </c>
    </row>
    <row r="1846" spans="17:72">
      <c r="Q1846" s="19">
        <v>10.06</v>
      </c>
      <c r="R1846" s="56" t="str">
        <f t="shared" si="207"/>
        <v>Yes</v>
      </c>
      <c r="W1846" s="19" t="s">
        <v>234</v>
      </c>
      <c r="X1846" s="54" t="str">
        <f>VLOOKUP(W1846,Employees!$A$1:$B$601,2,FALSE)</f>
        <v>Jyotirmayee Dhal</v>
      </c>
      <c r="AW1846" s="54"/>
      <c r="AX1846" s="54"/>
      <c r="BI1846" s="48"/>
      <c r="BJ1846" s="38"/>
      <c r="BK1846" s="38"/>
      <c r="BL1846" s="38"/>
      <c r="BM1846"/>
      <c r="BN1846" s="48"/>
      <c r="BR1846" s="19" t="s">
        <v>234</v>
      </c>
      <c r="BS1846" s="19" t="s">
        <v>4681</v>
      </c>
      <c r="BT1846" s="54" t="str">
        <f t="shared" si="208"/>
        <v>Design</v>
      </c>
    </row>
    <row r="1847" spans="17:72">
      <c r="Q1847" s="18">
        <v>7</v>
      </c>
      <c r="R1847" s="56" t="str">
        <f t="shared" si="207"/>
        <v>Yes</v>
      </c>
      <c r="W1847" s="18" t="s">
        <v>234</v>
      </c>
      <c r="X1847" s="54" t="str">
        <f>VLOOKUP(W1847,Employees!$A$1:$B$601,2,FALSE)</f>
        <v>Jyotirmayee Dhal</v>
      </c>
      <c r="AW1847" s="54"/>
      <c r="AX1847" s="54"/>
      <c r="BI1847" s="48"/>
      <c r="BJ1847" s="38"/>
      <c r="BK1847" s="38"/>
      <c r="BL1847" s="38"/>
      <c r="BM1847"/>
      <c r="BN1847" s="48"/>
      <c r="BR1847" s="18" t="s">
        <v>234</v>
      </c>
      <c r="BS1847" s="18" t="s">
        <v>4682</v>
      </c>
      <c r="BT1847" s="54" t="str">
        <f t="shared" si="208"/>
        <v>Design</v>
      </c>
    </row>
    <row r="1848" spans="17:72">
      <c r="Q1848" s="19">
        <v>9.0399999999999991</v>
      </c>
      <c r="R1848" s="56" t="str">
        <f t="shared" si="207"/>
        <v>Yes</v>
      </c>
      <c r="W1848" s="19" t="s">
        <v>234</v>
      </c>
      <c r="X1848" s="54" t="str">
        <f>VLOOKUP(W1848,Employees!$A$1:$B$601,2,FALSE)</f>
        <v>Jyotirmayee Dhal</v>
      </c>
      <c r="AW1848" s="54"/>
      <c r="AX1848" s="54"/>
      <c r="BI1848" s="48"/>
      <c r="BJ1848" s="38"/>
      <c r="BK1848" s="38"/>
      <c r="BL1848" s="38"/>
      <c r="BM1848"/>
      <c r="BN1848" s="48"/>
      <c r="BR1848" s="19" t="s">
        <v>234</v>
      </c>
      <c r="BS1848" s="19" t="s">
        <v>4683</v>
      </c>
      <c r="BT1848" s="54" t="str">
        <f t="shared" si="208"/>
        <v>Design</v>
      </c>
    </row>
    <row r="1849" spans="17:72">
      <c r="Q1849" s="18">
        <v>10.45</v>
      </c>
      <c r="R1849" s="56" t="str">
        <f t="shared" si="207"/>
        <v>Yes</v>
      </c>
      <c r="W1849" s="18" t="s">
        <v>234</v>
      </c>
      <c r="X1849" s="54" t="str">
        <f>VLOOKUP(W1849,Employees!$A$1:$B$601,2,FALSE)</f>
        <v>Jyotirmayee Dhal</v>
      </c>
      <c r="AW1849" s="54"/>
      <c r="AX1849" s="54"/>
      <c r="BI1849" s="48"/>
      <c r="BJ1849" s="38"/>
      <c r="BK1849" s="38"/>
      <c r="BL1849" s="38"/>
      <c r="BM1849"/>
      <c r="BN1849" s="48"/>
      <c r="BR1849" s="18" t="s">
        <v>234</v>
      </c>
      <c r="BS1849" s="18" t="s">
        <v>4684</v>
      </c>
      <c r="BT1849" s="54" t="str">
        <f t="shared" si="208"/>
        <v>Design</v>
      </c>
    </row>
    <row r="1850" spans="17:72">
      <c r="Q1850" s="19"/>
      <c r="R1850" s="56" t="str">
        <f t="shared" si="207"/>
        <v>No</v>
      </c>
      <c r="W1850" s="19" t="s">
        <v>234</v>
      </c>
      <c r="X1850" s="54" t="str">
        <f>VLOOKUP(W1850,Employees!$A$1:$B$601,2,FALSE)</f>
        <v>Jyotirmayee Dhal</v>
      </c>
      <c r="AW1850" s="54"/>
      <c r="AX1850" s="54"/>
      <c r="BI1850" s="48"/>
      <c r="BJ1850" s="38"/>
      <c r="BK1850" s="38"/>
      <c r="BL1850" s="38"/>
      <c r="BM1850"/>
      <c r="BN1850" s="48"/>
      <c r="BR1850" s="19" t="s">
        <v>234</v>
      </c>
      <c r="BS1850" s="19" t="s">
        <v>4685</v>
      </c>
      <c r="BT1850" s="54" t="str">
        <f t="shared" si="208"/>
        <v>Design</v>
      </c>
    </row>
    <row r="1851" spans="17:72">
      <c r="Q1851" s="18">
        <v>9.41</v>
      </c>
      <c r="R1851" s="56" t="str">
        <f t="shared" si="207"/>
        <v>Yes</v>
      </c>
      <c r="W1851" s="18" t="s">
        <v>536</v>
      </c>
      <c r="X1851" s="54" t="str">
        <f>VLOOKUP(W1851,Employees!$A$1:$B$601,2,FALSE)</f>
        <v>Sudhansu Senapati</v>
      </c>
      <c r="AW1851" s="54"/>
      <c r="AX1851" s="54"/>
      <c r="BI1851" s="48"/>
      <c r="BJ1851" s="38"/>
      <c r="BK1851" s="38"/>
      <c r="BL1851" s="38"/>
      <c r="BM1851"/>
      <c r="BN1851" s="48"/>
      <c r="BR1851" s="18" t="s">
        <v>536</v>
      </c>
      <c r="BS1851" s="18" t="s">
        <v>4686</v>
      </c>
      <c r="BT1851" s="54" t="str">
        <f t="shared" si="208"/>
        <v>Design</v>
      </c>
    </row>
    <row r="1852" spans="17:72">
      <c r="Q1852" s="19">
        <v>6.74</v>
      </c>
      <c r="R1852" s="56" t="str">
        <f t="shared" si="207"/>
        <v>Yes</v>
      </c>
      <c r="W1852" s="19" t="s">
        <v>536</v>
      </c>
      <c r="X1852" s="54" t="str">
        <f>VLOOKUP(W1852,Employees!$A$1:$B$601,2,FALSE)</f>
        <v>Sudhansu Senapati</v>
      </c>
      <c r="AW1852" s="54"/>
      <c r="AX1852" s="54"/>
      <c r="BI1852" s="48"/>
      <c r="BJ1852" s="38"/>
      <c r="BK1852" s="38"/>
      <c r="BL1852" s="38"/>
      <c r="BM1852"/>
      <c r="BN1852" s="48"/>
      <c r="BR1852" s="19" t="s">
        <v>536</v>
      </c>
      <c r="BS1852" s="19" t="s">
        <v>4687</v>
      </c>
      <c r="BT1852" s="54" t="str">
        <f t="shared" si="208"/>
        <v>Design</v>
      </c>
    </row>
    <row r="1853" spans="17:72">
      <c r="Q1853" s="18">
        <v>10.57</v>
      </c>
      <c r="R1853" s="56" t="str">
        <f t="shared" si="207"/>
        <v>Yes</v>
      </c>
      <c r="W1853" s="18" t="s">
        <v>536</v>
      </c>
      <c r="X1853" s="54" t="str">
        <f>VLOOKUP(W1853,Employees!$A$1:$B$601,2,FALSE)</f>
        <v>Sudhansu Senapati</v>
      </c>
      <c r="AW1853" s="54"/>
      <c r="AX1853" s="54"/>
      <c r="BI1853" s="48"/>
      <c r="BJ1853" s="38"/>
      <c r="BK1853" s="38"/>
      <c r="BL1853" s="38"/>
      <c r="BM1853"/>
      <c r="BN1853" s="48"/>
      <c r="BR1853" s="18" t="s">
        <v>536</v>
      </c>
      <c r="BS1853" s="18" t="s">
        <v>4689</v>
      </c>
      <c r="BT1853" s="54" t="str">
        <f t="shared" si="208"/>
        <v>Design</v>
      </c>
    </row>
    <row r="1854" spans="17:72">
      <c r="Q1854" s="19">
        <v>9.7899999999999991</v>
      </c>
      <c r="R1854" s="56" t="str">
        <f t="shared" si="207"/>
        <v>Yes</v>
      </c>
      <c r="W1854" s="19" t="s">
        <v>536</v>
      </c>
      <c r="X1854" s="54" t="str">
        <f>VLOOKUP(W1854,Employees!$A$1:$B$601,2,FALSE)</f>
        <v>Sudhansu Senapati</v>
      </c>
      <c r="AW1854" s="54"/>
      <c r="AX1854" s="54"/>
      <c r="BI1854" s="48"/>
      <c r="BJ1854" s="38"/>
      <c r="BK1854" s="38"/>
      <c r="BL1854" s="38"/>
      <c r="BM1854"/>
      <c r="BN1854" s="48"/>
      <c r="BR1854" s="19" t="s">
        <v>536</v>
      </c>
      <c r="BS1854" s="19" t="s">
        <v>4690</v>
      </c>
      <c r="BT1854" s="54" t="str">
        <f t="shared" si="208"/>
        <v>Design</v>
      </c>
    </row>
    <row r="1855" spans="17:72">
      <c r="Q1855" s="18">
        <v>10.97</v>
      </c>
      <c r="R1855" s="56" t="str">
        <f t="shared" si="207"/>
        <v>Yes</v>
      </c>
      <c r="W1855" s="18" t="s">
        <v>536</v>
      </c>
      <c r="X1855" s="54" t="str">
        <f>VLOOKUP(W1855,Employees!$A$1:$B$601,2,FALSE)</f>
        <v>Sudhansu Senapati</v>
      </c>
      <c r="AW1855" s="54"/>
      <c r="AX1855" s="54"/>
      <c r="BI1855" s="48"/>
      <c r="BJ1855" s="38"/>
      <c r="BK1855" s="38"/>
      <c r="BL1855" s="38"/>
      <c r="BM1855"/>
      <c r="BN1855" s="48"/>
      <c r="BR1855" s="18" t="s">
        <v>536</v>
      </c>
      <c r="BS1855" s="18" t="s">
        <v>4691</v>
      </c>
      <c r="BT1855" s="54" t="str">
        <f t="shared" si="208"/>
        <v>Design</v>
      </c>
    </row>
    <row r="1856" spans="17:72">
      <c r="Q1856" s="19">
        <v>7.85</v>
      </c>
      <c r="R1856" s="56" t="str">
        <f t="shared" si="207"/>
        <v>Yes</v>
      </c>
      <c r="W1856" s="19" t="s">
        <v>536</v>
      </c>
      <c r="X1856" s="54" t="str">
        <f>VLOOKUP(W1856,Employees!$A$1:$B$601,2,FALSE)</f>
        <v>Sudhansu Senapati</v>
      </c>
      <c r="AW1856" s="54"/>
      <c r="AX1856" s="54"/>
      <c r="BI1856" s="48"/>
      <c r="BJ1856" s="38"/>
      <c r="BK1856" s="38"/>
      <c r="BL1856" s="38"/>
      <c r="BM1856"/>
      <c r="BN1856" s="48"/>
      <c r="BR1856" s="19" t="s">
        <v>536</v>
      </c>
      <c r="BS1856" s="19" t="s">
        <v>4692</v>
      </c>
      <c r="BT1856" s="54" t="str">
        <f t="shared" si="208"/>
        <v>Design</v>
      </c>
    </row>
    <row r="1857" spans="17:72">
      <c r="Q1857" s="18">
        <v>8.07</v>
      </c>
      <c r="R1857" s="56" t="str">
        <f t="shared" si="207"/>
        <v>Yes</v>
      </c>
      <c r="W1857" s="18" t="s">
        <v>536</v>
      </c>
      <c r="X1857" s="54" t="str">
        <f>VLOOKUP(W1857,Employees!$A$1:$B$601,2,FALSE)</f>
        <v>Sudhansu Senapati</v>
      </c>
      <c r="AW1857" s="54"/>
      <c r="AX1857" s="54"/>
      <c r="BI1857" s="48"/>
      <c r="BJ1857" s="38"/>
      <c r="BK1857" s="38"/>
      <c r="BL1857" s="38"/>
      <c r="BM1857"/>
      <c r="BN1857" s="48"/>
      <c r="BR1857" s="18" t="s">
        <v>536</v>
      </c>
      <c r="BS1857" s="18" t="s">
        <v>4693</v>
      </c>
      <c r="BT1857" s="54" t="str">
        <f t="shared" si="208"/>
        <v>Design</v>
      </c>
    </row>
    <row r="1858" spans="17:72">
      <c r="Q1858" s="19">
        <v>9.23</v>
      </c>
      <c r="R1858" s="56" t="str">
        <f t="shared" si="207"/>
        <v>Yes</v>
      </c>
      <c r="W1858" s="19" t="s">
        <v>536</v>
      </c>
      <c r="X1858" s="54" t="str">
        <f>VLOOKUP(W1858,Employees!$A$1:$B$601,2,FALSE)</f>
        <v>Sudhansu Senapati</v>
      </c>
      <c r="AW1858" s="54"/>
      <c r="AX1858" s="54"/>
      <c r="BI1858" s="48"/>
      <c r="BJ1858" s="38"/>
      <c r="BK1858" s="38"/>
      <c r="BL1858" s="38"/>
      <c r="BM1858"/>
      <c r="BN1858" s="48"/>
      <c r="BR1858" s="19" t="s">
        <v>536</v>
      </c>
      <c r="BS1858" s="19" t="s">
        <v>4694</v>
      </c>
      <c r="BT1858" s="54" t="str">
        <f t="shared" si="208"/>
        <v>Design</v>
      </c>
    </row>
    <row r="1859" spans="17:72">
      <c r="Q1859" s="18">
        <v>7.24</v>
      </c>
      <c r="R1859" s="56" t="str">
        <f t="shared" ref="R1859:R1922" si="209">IF(ISBLANK(Q1859),"No","Yes")</f>
        <v>Yes</v>
      </c>
      <c r="W1859" s="18" t="s">
        <v>536</v>
      </c>
      <c r="X1859" s="54" t="str">
        <f>VLOOKUP(W1859,Employees!$A$1:$B$601,2,FALSE)</f>
        <v>Sudhansu Senapati</v>
      </c>
      <c r="AW1859" s="54"/>
      <c r="AX1859" s="54"/>
      <c r="BI1859" s="48"/>
      <c r="BJ1859" s="38"/>
      <c r="BK1859" s="38"/>
      <c r="BL1859" s="38"/>
      <c r="BM1859"/>
      <c r="BN1859" s="48"/>
      <c r="BR1859" s="18" t="s">
        <v>536</v>
      </c>
      <c r="BS1859" s="18" t="s">
        <v>4695</v>
      </c>
      <c r="BT1859" s="54" t="str">
        <f t="shared" ref="BT1859:BT1922" si="210">VLOOKUP(BR1859,$BP$2:$BQ$601,2,FALSE)</f>
        <v>Design</v>
      </c>
    </row>
    <row r="1860" spans="17:72">
      <c r="Q1860" s="19">
        <v>6.55</v>
      </c>
      <c r="R1860" s="56" t="str">
        <f t="shared" si="209"/>
        <v>Yes</v>
      </c>
      <c r="W1860" s="19" t="s">
        <v>536</v>
      </c>
      <c r="X1860" s="54" t="str">
        <f>VLOOKUP(W1860,Employees!$A$1:$B$601,2,FALSE)</f>
        <v>Sudhansu Senapati</v>
      </c>
      <c r="AW1860" s="54"/>
      <c r="AX1860" s="54"/>
      <c r="BI1860" s="48"/>
      <c r="BJ1860" s="38"/>
      <c r="BK1860" s="38"/>
      <c r="BL1860" s="38"/>
      <c r="BM1860"/>
      <c r="BN1860" s="48"/>
      <c r="BR1860" s="19" t="s">
        <v>536</v>
      </c>
      <c r="BS1860" s="19" t="s">
        <v>4696</v>
      </c>
      <c r="BT1860" s="54" t="str">
        <f t="shared" si="210"/>
        <v>Design</v>
      </c>
    </row>
    <row r="1861" spans="17:72">
      <c r="Q1861" s="18">
        <v>6.52</v>
      </c>
      <c r="R1861" s="56" t="str">
        <f t="shared" si="209"/>
        <v>Yes</v>
      </c>
      <c r="W1861" s="18" t="s">
        <v>536</v>
      </c>
      <c r="X1861" s="54" t="str">
        <f>VLOOKUP(W1861,Employees!$A$1:$B$601,2,FALSE)</f>
        <v>Sudhansu Senapati</v>
      </c>
      <c r="AW1861" s="54"/>
      <c r="AX1861" s="54"/>
      <c r="BI1861" s="48"/>
      <c r="BJ1861" s="38"/>
      <c r="BK1861" s="38"/>
      <c r="BL1861" s="38"/>
      <c r="BM1861"/>
      <c r="BN1861" s="48"/>
      <c r="BR1861" s="18" t="s">
        <v>536</v>
      </c>
      <c r="BS1861" s="18" t="s">
        <v>4697</v>
      </c>
      <c r="BT1861" s="54" t="str">
        <f t="shared" si="210"/>
        <v>Design</v>
      </c>
    </row>
    <row r="1862" spans="17:72">
      <c r="Q1862" s="19">
        <v>6.57</v>
      </c>
      <c r="R1862" s="56" t="str">
        <f t="shared" si="209"/>
        <v>Yes</v>
      </c>
      <c r="W1862" s="19" t="s">
        <v>536</v>
      </c>
      <c r="X1862" s="54" t="str">
        <f>VLOOKUP(W1862,Employees!$A$1:$B$601,2,FALSE)</f>
        <v>Sudhansu Senapati</v>
      </c>
      <c r="AW1862" s="54"/>
      <c r="AX1862" s="54"/>
      <c r="BI1862" s="48"/>
      <c r="BJ1862" s="38"/>
      <c r="BK1862" s="38"/>
      <c r="BL1862" s="38"/>
      <c r="BM1862"/>
      <c r="BN1862" s="48"/>
      <c r="BR1862" s="19" t="s">
        <v>536</v>
      </c>
      <c r="BS1862" s="19" t="s">
        <v>4698</v>
      </c>
      <c r="BT1862" s="54" t="str">
        <f t="shared" si="210"/>
        <v>Design</v>
      </c>
    </row>
    <row r="1863" spans="17:72">
      <c r="Q1863" s="18">
        <v>9.59</v>
      </c>
      <c r="R1863" s="56" t="str">
        <f t="shared" si="209"/>
        <v>Yes</v>
      </c>
      <c r="W1863" s="18" t="s">
        <v>536</v>
      </c>
      <c r="X1863" s="54" t="str">
        <f>VLOOKUP(W1863,Employees!$A$1:$B$601,2,FALSE)</f>
        <v>Sudhansu Senapati</v>
      </c>
      <c r="AW1863" s="54"/>
      <c r="AX1863" s="54"/>
      <c r="BI1863" s="48"/>
      <c r="BJ1863" s="38"/>
      <c r="BK1863" s="38"/>
      <c r="BL1863" s="38"/>
      <c r="BM1863"/>
      <c r="BN1863" s="48"/>
      <c r="BR1863" s="18" t="s">
        <v>536</v>
      </c>
      <c r="BS1863" s="18" t="s">
        <v>4699</v>
      </c>
      <c r="BT1863" s="54" t="str">
        <f t="shared" si="210"/>
        <v>Design</v>
      </c>
    </row>
    <row r="1864" spans="17:72">
      <c r="Q1864" s="19"/>
      <c r="R1864" s="56" t="str">
        <f t="shared" si="209"/>
        <v>No</v>
      </c>
      <c r="W1864" s="19" t="s">
        <v>536</v>
      </c>
      <c r="X1864" s="54" t="str">
        <f>VLOOKUP(W1864,Employees!$A$1:$B$601,2,FALSE)</f>
        <v>Sudhansu Senapati</v>
      </c>
      <c r="AW1864" s="54"/>
      <c r="AX1864" s="54"/>
      <c r="BI1864" s="48"/>
      <c r="BJ1864" s="38"/>
      <c r="BK1864" s="38"/>
      <c r="BL1864" s="38"/>
      <c r="BM1864"/>
      <c r="BN1864" s="48"/>
      <c r="BR1864" s="19" t="s">
        <v>536</v>
      </c>
      <c r="BS1864" s="19" t="s">
        <v>4700</v>
      </c>
      <c r="BT1864" s="54" t="str">
        <f t="shared" si="210"/>
        <v>Design</v>
      </c>
    </row>
    <row r="1865" spans="17:72">
      <c r="Q1865" s="18">
        <v>7.75</v>
      </c>
      <c r="R1865" s="56" t="str">
        <f t="shared" si="209"/>
        <v>Yes</v>
      </c>
      <c r="W1865" s="18" t="s">
        <v>536</v>
      </c>
      <c r="X1865" s="54" t="str">
        <f>VLOOKUP(W1865,Employees!$A$1:$B$601,2,FALSE)</f>
        <v>Sudhansu Senapati</v>
      </c>
      <c r="AW1865" s="54"/>
      <c r="AX1865" s="54"/>
      <c r="BI1865" s="48"/>
      <c r="BJ1865" s="38"/>
      <c r="BK1865" s="38"/>
      <c r="BL1865" s="38"/>
      <c r="BM1865"/>
      <c r="BN1865" s="48"/>
      <c r="BR1865" s="18" t="s">
        <v>536</v>
      </c>
      <c r="BS1865" s="18" t="s">
        <v>4701</v>
      </c>
      <c r="BT1865" s="54" t="str">
        <f t="shared" si="210"/>
        <v>Design</v>
      </c>
    </row>
    <row r="1866" spans="17:72">
      <c r="Q1866" s="19">
        <v>6.6</v>
      </c>
      <c r="R1866" s="56" t="str">
        <f t="shared" si="209"/>
        <v>Yes</v>
      </c>
      <c r="W1866" s="19" t="s">
        <v>536</v>
      </c>
      <c r="X1866" s="54" t="str">
        <f>VLOOKUP(W1866,Employees!$A$1:$B$601,2,FALSE)</f>
        <v>Sudhansu Senapati</v>
      </c>
      <c r="AW1866" s="54"/>
      <c r="AX1866" s="54"/>
      <c r="BI1866" s="48"/>
      <c r="BJ1866" s="38"/>
      <c r="BK1866" s="38"/>
      <c r="BL1866" s="38"/>
      <c r="BM1866"/>
      <c r="BN1866" s="48"/>
      <c r="BR1866" s="19" t="s">
        <v>536</v>
      </c>
      <c r="BS1866" s="19" t="s">
        <v>4702</v>
      </c>
      <c r="BT1866" s="54" t="str">
        <f t="shared" si="210"/>
        <v>Design</v>
      </c>
    </row>
    <row r="1867" spans="17:72">
      <c r="Q1867" s="18">
        <v>11.4</v>
      </c>
      <c r="R1867" s="56" t="str">
        <f t="shared" si="209"/>
        <v>Yes</v>
      </c>
      <c r="W1867" s="18" t="s">
        <v>536</v>
      </c>
      <c r="X1867" s="54" t="str">
        <f>VLOOKUP(W1867,Employees!$A$1:$B$601,2,FALSE)</f>
        <v>Sudhansu Senapati</v>
      </c>
      <c r="AW1867" s="54"/>
      <c r="AX1867" s="54"/>
      <c r="BI1867" s="48"/>
      <c r="BJ1867" s="38"/>
      <c r="BK1867" s="38"/>
      <c r="BL1867" s="38"/>
      <c r="BM1867"/>
      <c r="BN1867" s="48"/>
      <c r="BR1867" s="18" t="s">
        <v>536</v>
      </c>
      <c r="BS1867" s="18" t="s">
        <v>4703</v>
      </c>
      <c r="BT1867" s="54" t="str">
        <f t="shared" si="210"/>
        <v>Design</v>
      </c>
    </row>
    <row r="1868" spans="17:72">
      <c r="Q1868" s="19">
        <v>8.14</v>
      </c>
      <c r="R1868" s="56" t="str">
        <f t="shared" si="209"/>
        <v>Yes</v>
      </c>
      <c r="W1868" s="19" t="s">
        <v>536</v>
      </c>
      <c r="X1868" s="54" t="str">
        <f>VLOOKUP(W1868,Employees!$A$1:$B$601,2,FALSE)</f>
        <v>Sudhansu Senapati</v>
      </c>
      <c r="AW1868" s="54"/>
      <c r="AX1868" s="54"/>
      <c r="BI1868" s="48"/>
      <c r="BJ1868" s="38"/>
      <c r="BK1868" s="38"/>
      <c r="BL1868" s="38"/>
      <c r="BM1868"/>
      <c r="BN1868" s="48"/>
      <c r="BR1868" s="19" t="s">
        <v>536</v>
      </c>
      <c r="BS1868" s="19" t="s">
        <v>4704</v>
      </c>
      <c r="BT1868" s="54" t="str">
        <f t="shared" si="210"/>
        <v>Design</v>
      </c>
    </row>
    <row r="1869" spans="17:72">
      <c r="Q1869" s="18">
        <v>7.67</v>
      </c>
      <c r="R1869" s="56" t="str">
        <f t="shared" si="209"/>
        <v>Yes</v>
      </c>
      <c r="W1869" s="18" t="s">
        <v>536</v>
      </c>
      <c r="X1869" s="54" t="str">
        <f>VLOOKUP(W1869,Employees!$A$1:$B$601,2,FALSE)</f>
        <v>Sudhansu Senapati</v>
      </c>
      <c r="AW1869" s="54"/>
      <c r="AX1869" s="54"/>
      <c r="BI1869" s="48"/>
      <c r="BJ1869" s="38"/>
      <c r="BK1869" s="38"/>
      <c r="BL1869" s="38"/>
      <c r="BM1869"/>
      <c r="BN1869" s="48"/>
      <c r="BR1869" s="18" t="s">
        <v>536</v>
      </c>
      <c r="BS1869" s="18" t="s">
        <v>4705</v>
      </c>
      <c r="BT1869" s="54" t="str">
        <f t="shared" si="210"/>
        <v>Design</v>
      </c>
    </row>
    <row r="1870" spans="17:72">
      <c r="Q1870" s="19">
        <v>8</v>
      </c>
      <c r="R1870" s="56" t="str">
        <f t="shared" si="209"/>
        <v>Yes</v>
      </c>
      <c r="W1870" s="19" t="s">
        <v>536</v>
      </c>
      <c r="X1870" s="54" t="str">
        <f>VLOOKUP(W1870,Employees!$A$1:$B$601,2,FALSE)</f>
        <v>Sudhansu Senapati</v>
      </c>
      <c r="AW1870" s="54"/>
      <c r="AX1870" s="54"/>
      <c r="BI1870" s="48"/>
      <c r="BJ1870" s="38"/>
      <c r="BK1870" s="38"/>
      <c r="BL1870" s="38"/>
      <c r="BM1870"/>
      <c r="BN1870" s="48"/>
      <c r="BR1870" s="19" t="s">
        <v>536</v>
      </c>
      <c r="BS1870" s="19" t="s">
        <v>4706</v>
      </c>
      <c r="BT1870" s="54" t="str">
        <f t="shared" si="210"/>
        <v>Design</v>
      </c>
    </row>
    <row r="1871" spans="17:72">
      <c r="Q1871" s="18">
        <v>10.18</v>
      </c>
      <c r="R1871" s="56" t="str">
        <f t="shared" si="209"/>
        <v>Yes</v>
      </c>
      <c r="W1871" s="18" t="s">
        <v>536</v>
      </c>
      <c r="X1871" s="54" t="str">
        <f>VLOOKUP(W1871,Employees!$A$1:$B$601,2,FALSE)</f>
        <v>Sudhansu Senapati</v>
      </c>
      <c r="AW1871" s="54"/>
      <c r="AX1871" s="54"/>
      <c r="BI1871" s="48"/>
      <c r="BJ1871" s="38"/>
      <c r="BK1871" s="38"/>
      <c r="BL1871" s="38"/>
      <c r="BM1871"/>
      <c r="BN1871" s="48"/>
      <c r="BR1871" s="18" t="s">
        <v>536</v>
      </c>
      <c r="BS1871" s="18" t="s">
        <v>4707</v>
      </c>
      <c r="BT1871" s="54" t="str">
        <f t="shared" si="210"/>
        <v>Design</v>
      </c>
    </row>
    <row r="1872" spans="17:72">
      <c r="Q1872" s="19">
        <v>9.81</v>
      </c>
      <c r="R1872" s="56" t="str">
        <f t="shared" si="209"/>
        <v>Yes</v>
      </c>
      <c r="W1872" s="19" t="s">
        <v>536</v>
      </c>
      <c r="X1872" s="54" t="str">
        <f>VLOOKUP(W1872,Employees!$A$1:$B$601,2,FALSE)</f>
        <v>Sudhansu Senapati</v>
      </c>
      <c r="AW1872" s="54"/>
      <c r="AX1872" s="54"/>
      <c r="BI1872" s="48"/>
      <c r="BJ1872" s="38"/>
      <c r="BK1872" s="38"/>
      <c r="BL1872" s="38"/>
      <c r="BM1872"/>
      <c r="BN1872" s="48"/>
      <c r="BR1872" s="19" t="s">
        <v>536</v>
      </c>
      <c r="BS1872" s="19" t="s">
        <v>4708</v>
      </c>
      <c r="BT1872" s="54" t="str">
        <f t="shared" si="210"/>
        <v>Design</v>
      </c>
    </row>
    <row r="1873" spans="17:72">
      <c r="Q1873" s="18">
        <v>8.3699999999999992</v>
      </c>
      <c r="R1873" s="56" t="str">
        <f t="shared" si="209"/>
        <v>Yes</v>
      </c>
      <c r="W1873" s="18" t="s">
        <v>536</v>
      </c>
      <c r="X1873" s="54" t="str">
        <f>VLOOKUP(W1873,Employees!$A$1:$B$601,2,FALSE)</f>
        <v>Sudhansu Senapati</v>
      </c>
      <c r="AW1873" s="54"/>
      <c r="AX1873" s="54"/>
      <c r="BI1873" s="48"/>
      <c r="BJ1873" s="38"/>
      <c r="BK1873" s="38"/>
      <c r="BL1873" s="38"/>
      <c r="BM1873"/>
      <c r="BN1873" s="48"/>
      <c r="BR1873" s="18" t="s">
        <v>536</v>
      </c>
      <c r="BS1873" s="18" t="s">
        <v>4709</v>
      </c>
      <c r="BT1873" s="54" t="str">
        <f t="shared" si="210"/>
        <v>Design</v>
      </c>
    </row>
    <row r="1874" spans="17:72">
      <c r="Q1874" s="19">
        <v>6.83</v>
      </c>
      <c r="R1874" s="56" t="str">
        <f t="shared" si="209"/>
        <v>Yes</v>
      </c>
      <c r="W1874" s="19" t="s">
        <v>536</v>
      </c>
      <c r="X1874" s="54" t="str">
        <f>VLOOKUP(W1874,Employees!$A$1:$B$601,2,FALSE)</f>
        <v>Sudhansu Senapati</v>
      </c>
      <c r="AW1874" s="54"/>
      <c r="AX1874" s="54"/>
      <c r="BI1874" s="48"/>
      <c r="BJ1874" s="38"/>
      <c r="BK1874" s="38"/>
      <c r="BL1874" s="38"/>
      <c r="BM1874"/>
      <c r="BN1874" s="48"/>
      <c r="BR1874" s="19" t="s">
        <v>536</v>
      </c>
      <c r="BS1874" s="19" t="s">
        <v>4710</v>
      </c>
      <c r="BT1874" s="54" t="str">
        <f t="shared" si="210"/>
        <v>Design</v>
      </c>
    </row>
    <row r="1875" spans="17:72">
      <c r="Q1875" s="18">
        <v>11.12</v>
      </c>
      <c r="R1875" s="56" t="str">
        <f t="shared" si="209"/>
        <v>Yes</v>
      </c>
      <c r="W1875" s="18" t="s">
        <v>536</v>
      </c>
      <c r="X1875" s="54" t="str">
        <f>VLOOKUP(W1875,Employees!$A$1:$B$601,2,FALSE)</f>
        <v>Sudhansu Senapati</v>
      </c>
      <c r="AW1875" s="54"/>
      <c r="AX1875" s="54"/>
      <c r="BI1875" s="48"/>
      <c r="BJ1875" s="38"/>
      <c r="BK1875" s="38"/>
      <c r="BL1875" s="38"/>
      <c r="BM1875"/>
      <c r="BN1875" s="48"/>
      <c r="BR1875" s="18" t="s">
        <v>536</v>
      </c>
      <c r="BS1875" s="18" t="s">
        <v>4711</v>
      </c>
      <c r="BT1875" s="54" t="str">
        <f t="shared" si="210"/>
        <v>Design</v>
      </c>
    </row>
    <row r="1876" spans="17:72">
      <c r="Q1876" s="19">
        <v>11.37</v>
      </c>
      <c r="R1876" s="56" t="str">
        <f t="shared" si="209"/>
        <v>Yes</v>
      </c>
      <c r="W1876" s="19" t="s">
        <v>536</v>
      </c>
      <c r="X1876" s="54" t="str">
        <f>VLOOKUP(W1876,Employees!$A$1:$B$601,2,FALSE)</f>
        <v>Sudhansu Senapati</v>
      </c>
      <c r="AW1876" s="54"/>
      <c r="AX1876" s="54"/>
      <c r="BI1876" s="48"/>
      <c r="BJ1876" s="38"/>
      <c r="BK1876" s="38"/>
      <c r="BL1876" s="38"/>
      <c r="BM1876"/>
      <c r="BN1876" s="48"/>
      <c r="BR1876" s="19" t="s">
        <v>536</v>
      </c>
      <c r="BS1876" s="19" t="s">
        <v>4712</v>
      </c>
      <c r="BT1876" s="54" t="str">
        <f t="shared" si="210"/>
        <v>Design</v>
      </c>
    </row>
    <row r="1877" spans="17:72">
      <c r="Q1877" s="18">
        <v>9.18</v>
      </c>
      <c r="R1877" s="56" t="str">
        <f t="shared" si="209"/>
        <v>Yes</v>
      </c>
      <c r="W1877" s="18" t="s">
        <v>536</v>
      </c>
      <c r="X1877" s="54" t="str">
        <f>VLOOKUP(W1877,Employees!$A$1:$B$601,2,FALSE)</f>
        <v>Sudhansu Senapati</v>
      </c>
      <c r="AW1877" s="54"/>
      <c r="AX1877" s="54"/>
      <c r="BI1877" s="48"/>
      <c r="BJ1877" s="38"/>
      <c r="BK1877" s="38"/>
      <c r="BL1877" s="38"/>
      <c r="BM1877"/>
      <c r="BN1877" s="48"/>
      <c r="BR1877" s="18" t="s">
        <v>536</v>
      </c>
      <c r="BS1877" s="18" t="s">
        <v>4713</v>
      </c>
      <c r="BT1877" s="54" t="str">
        <f t="shared" si="210"/>
        <v>Design</v>
      </c>
    </row>
    <row r="1878" spans="17:72">
      <c r="Q1878" s="19">
        <v>7.47</v>
      </c>
      <c r="R1878" s="56" t="str">
        <f t="shared" si="209"/>
        <v>Yes</v>
      </c>
      <c r="W1878" s="19" t="s">
        <v>536</v>
      </c>
      <c r="X1878" s="54" t="str">
        <f>VLOOKUP(W1878,Employees!$A$1:$B$601,2,FALSE)</f>
        <v>Sudhansu Senapati</v>
      </c>
      <c r="AW1878" s="54"/>
      <c r="AX1878" s="54"/>
      <c r="BI1878" s="48"/>
      <c r="BJ1878" s="38"/>
      <c r="BK1878" s="38"/>
      <c r="BL1878" s="38"/>
      <c r="BM1878"/>
      <c r="BN1878" s="48"/>
      <c r="BR1878" s="19" t="s">
        <v>536</v>
      </c>
      <c r="BS1878" s="19" t="s">
        <v>4714</v>
      </c>
      <c r="BT1878" s="54" t="str">
        <f t="shared" si="210"/>
        <v>Design</v>
      </c>
    </row>
    <row r="1879" spans="17:72">
      <c r="Q1879" s="18">
        <v>11.17</v>
      </c>
      <c r="R1879" s="56" t="str">
        <f t="shared" si="209"/>
        <v>Yes</v>
      </c>
      <c r="W1879" s="18" t="s">
        <v>536</v>
      </c>
      <c r="X1879" s="54" t="str">
        <f>VLOOKUP(W1879,Employees!$A$1:$B$601,2,FALSE)</f>
        <v>Sudhansu Senapati</v>
      </c>
      <c r="AW1879" s="54"/>
      <c r="AX1879" s="54"/>
      <c r="BI1879" s="48"/>
      <c r="BJ1879" s="38"/>
      <c r="BK1879" s="38"/>
      <c r="BL1879" s="38"/>
      <c r="BM1879"/>
      <c r="BN1879" s="48"/>
      <c r="BR1879" s="18" t="s">
        <v>536</v>
      </c>
      <c r="BS1879" s="18" t="s">
        <v>4715</v>
      </c>
      <c r="BT1879" s="54" t="str">
        <f t="shared" si="210"/>
        <v>Design</v>
      </c>
    </row>
    <row r="1880" spans="17:72">
      <c r="Q1880" s="19">
        <v>9.6199999999999992</v>
      </c>
      <c r="R1880" s="56" t="str">
        <f t="shared" si="209"/>
        <v>Yes</v>
      </c>
      <c r="W1880" s="19" t="s">
        <v>536</v>
      </c>
      <c r="X1880" s="54" t="str">
        <f>VLOOKUP(W1880,Employees!$A$1:$B$601,2,FALSE)</f>
        <v>Sudhansu Senapati</v>
      </c>
      <c r="AW1880" s="54"/>
      <c r="AX1880" s="54"/>
      <c r="BI1880" s="48"/>
      <c r="BJ1880" s="38"/>
      <c r="BK1880" s="38"/>
      <c r="BL1880" s="38"/>
      <c r="BM1880"/>
      <c r="BN1880" s="48"/>
      <c r="BR1880" s="19" t="s">
        <v>536</v>
      </c>
      <c r="BS1880" s="19" t="s">
        <v>4716</v>
      </c>
      <c r="BT1880" s="54" t="str">
        <f t="shared" si="210"/>
        <v>Design</v>
      </c>
    </row>
    <row r="1881" spans="17:72">
      <c r="Q1881" s="18">
        <v>10.98</v>
      </c>
      <c r="R1881" s="56" t="str">
        <f t="shared" si="209"/>
        <v>Yes</v>
      </c>
      <c r="W1881" s="18" t="s">
        <v>536</v>
      </c>
      <c r="X1881" s="54" t="str">
        <f>VLOOKUP(W1881,Employees!$A$1:$B$601,2,FALSE)</f>
        <v>Sudhansu Senapati</v>
      </c>
      <c r="AW1881" s="54"/>
      <c r="AX1881" s="54"/>
      <c r="BI1881" s="48"/>
      <c r="BJ1881" s="38"/>
      <c r="BK1881" s="38"/>
      <c r="BL1881" s="38"/>
      <c r="BM1881"/>
      <c r="BN1881" s="48"/>
      <c r="BR1881" s="18" t="s">
        <v>536</v>
      </c>
      <c r="BS1881" s="18" t="s">
        <v>4717</v>
      </c>
      <c r="BT1881" s="54" t="str">
        <f t="shared" si="210"/>
        <v>Design</v>
      </c>
    </row>
    <row r="1882" spans="17:72">
      <c r="Q1882" s="19">
        <v>10.46</v>
      </c>
      <c r="R1882" s="56" t="str">
        <f t="shared" si="209"/>
        <v>Yes</v>
      </c>
      <c r="W1882" s="19" t="s">
        <v>536</v>
      </c>
      <c r="X1882" s="54" t="str">
        <f>VLOOKUP(W1882,Employees!$A$1:$B$601,2,FALSE)</f>
        <v>Sudhansu Senapati</v>
      </c>
      <c r="AW1882" s="54"/>
      <c r="AX1882" s="54"/>
      <c r="BI1882" s="48"/>
      <c r="BJ1882" s="38"/>
      <c r="BK1882" s="38"/>
      <c r="BL1882" s="38"/>
      <c r="BM1882"/>
      <c r="BN1882" s="48"/>
      <c r="BR1882" s="19" t="s">
        <v>536</v>
      </c>
      <c r="BS1882" s="19" t="s">
        <v>4718</v>
      </c>
      <c r="BT1882" s="54" t="str">
        <f t="shared" si="210"/>
        <v>Design</v>
      </c>
    </row>
    <row r="1883" spans="17:72">
      <c r="Q1883" s="18">
        <v>7.97</v>
      </c>
      <c r="R1883" s="56" t="str">
        <f t="shared" si="209"/>
        <v>Yes</v>
      </c>
      <c r="W1883" s="18" t="s">
        <v>536</v>
      </c>
      <c r="X1883" s="54" t="str">
        <f>VLOOKUP(W1883,Employees!$A$1:$B$601,2,FALSE)</f>
        <v>Sudhansu Senapati</v>
      </c>
      <c r="AW1883" s="54"/>
      <c r="AX1883" s="54"/>
      <c r="BI1883" s="48"/>
      <c r="BJ1883" s="38"/>
      <c r="BK1883" s="38"/>
      <c r="BL1883" s="38"/>
      <c r="BM1883"/>
      <c r="BN1883" s="48"/>
      <c r="BR1883" s="18" t="s">
        <v>536</v>
      </c>
      <c r="BS1883" s="18" t="s">
        <v>4719</v>
      </c>
      <c r="BT1883" s="54" t="str">
        <f t="shared" si="210"/>
        <v>Design</v>
      </c>
    </row>
    <row r="1884" spans="17:72">
      <c r="Q1884" s="19">
        <v>6.62</v>
      </c>
      <c r="R1884" s="56" t="str">
        <f t="shared" si="209"/>
        <v>Yes</v>
      </c>
      <c r="W1884" s="19" t="s">
        <v>536</v>
      </c>
      <c r="X1884" s="54" t="str">
        <f>VLOOKUP(W1884,Employees!$A$1:$B$601,2,FALSE)</f>
        <v>Sudhansu Senapati</v>
      </c>
      <c r="AW1884" s="54"/>
      <c r="AX1884" s="54"/>
      <c r="BI1884" s="48"/>
      <c r="BJ1884" s="38"/>
      <c r="BK1884" s="38"/>
      <c r="BL1884" s="38"/>
      <c r="BM1884"/>
      <c r="BN1884" s="48"/>
      <c r="BR1884" s="19" t="s">
        <v>536</v>
      </c>
      <c r="BS1884" s="19" t="s">
        <v>4720</v>
      </c>
      <c r="BT1884" s="54" t="str">
        <f t="shared" si="210"/>
        <v>Design</v>
      </c>
    </row>
    <row r="1885" spans="17:72">
      <c r="Q1885" s="18">
        <v>8.1999999999999993</v>
      </c>
      <c r="R1885" s="56" t="str">
        <f t="shared" si="209"/>
        <v>Yes</v>
      </c>
      <c r="W1885" s="18" t="s">
        <v>536</v>
      </c>
      <c r="X1885" s="54" t="str">
        <f>VLOOKUP(W1885,Employees!$A$1:$B$601,2,FALSE)</f>
        <v>Sudhansu Senapati</v>
      </c>
      <c r="AW1885" s="54"/>
      <c r="AX1885" s="54"/>
      <c r="BI1885" s="48"/>
      <c r="BJ1885" s="38"/>
      <c r="BK1885" s="38"/>
      <c r="BL1885" s="38"/>
      <c r="BM1885"/>
      <c r="BN1885" s="48"/>
      <c r="BR1885" s="18" t="s">
        <v>536</v>
      </c>
      <c r="BS1885" s="18" t="s">
        <v>4721</v>
      </c>
      <c r="BT1885" s="54" t="str">
        <f t="shared" si="210"/>
        <v>Design</v>
      </c>
    </row>
    <row r="1886" spans="17:72">
      <c r="Q1886" s="19">
        <v>10.26</v>
      </c>
      <c r="R1886" s="56" t="str">
        <f t="shared" si="209"/>
        <v>Yes</v>
      </c>
      <c r="W1886" s="19" t="s">
        <v>536</v>
      </c>
      <c r="X1886" s="54" t="str">
        <f>VLOOKUP(W1886,Employees!$A$1:$B$601,2,FALSE)</f>
        <v>Sudhansu Senapati</v>
      </c>
      <c r="AW1886" s="54"/>
      <c r="AX1886" s="54"/>
      <c r="BI1886" s="48"/>
      <c r="BJ1886" s="38"/>
      <c r="BK1886" s="38"/>
      <c r="BL1886" s="38"/>
      <c r="BM1886"/>
      <c r="BN1886" s="48"/>
      <c r="BR1886" s="19" t="s">
        <v>536</v>
      </c>
      <c r="BS1886" s="19" t="s">
        <v>4722</v>
      </c>
      <c r="BT1886" s="54" t="str">
        <f t="shared" si="210"/>
        <v>Design</v>
      </c>
    </row>
    <row r="1887" spans="17:72">
      <c r="Q1887" s="18">
        <v>6.91</v>
      </c>
      <c r="R1887" s="56" t="str">
        <f t="shared" si="209"/>
        <v>Yes</v>
      </c>
      <c r="W1887" s="18" t="s">
        <v>536</v>
      </c>
      <c r="X1887" s="54" t="str">
        <f>VLOOKUP(W1887,Employees!$A$1:$B$601,2,FALSE)</f>
        <v>Sudhansu Senapati</v>
      </c>
      <c r="AW1887" s="54"/>
      <c r="AX1887" s="54"/>
      <c r="BI1887" s="48"/>
      <c r="BJ1887" s="38"/>
      <c r="BK1887" s="38"/>
      <c r="BL1887" s="38"/>
      <c r="BM1887"/>
      <c r="BN1887" s="48"/>
      <c r="BR1887" s="18" t="s">
        <v>536</v>
      </c>
      <c r="BS1887" s="18" t="s">
        <v>4723</v>
      </c>
      <c r="BT1887" s="54" t="str">
        <f t="shared" si="210"/>
        <v>Design</v>
      </c>
    </row>
    <row r="1888" spans="17:72">
      <c r="Q1888" s="19">
        <v>8.86</v>
      </c>
      <c r="R1888" s="56" t="str">
        <f t="shared" si="209"/>
        <v>Yes</v>
      </c>
      <c r="W1888" s="19" t="s">
        <v>536</v>
      </c>
      <c r="X1888" s="54" t="str">
        <f>VLOOKUP(W1888,Employees!$A$1:$B$601,2,FALSE)</f>
        <v>Sudhansu Senapati</v>
      </c>
      <c r="AW1888" s="54"/>
      <c r="AX1888" s="54"/>
      <c r="BI1888" s="48"/>
      <c r="BJ1888" s="38"/>
      <c r="BK1888" s="38"/>
      <c r="BL1888" s="38"/>
      <c r="BM1888"/>
      <c r="BN1888" s="48"/>
      <c r="BR1888" s="19" t="s">
        <v>536</v>
      </c>
      <c r="BS1888" s="19" t="s">
        <v>4724</v>
      </c>
      <c r="BT1888" s="54" t="str">
        <f t="shared" si="210"/>
        <v>Design</v>
      </c>
    </row>
    <row r="1889" spans="17:72">
      <c r="Q1889" s="18">
        <v>11.43</v>
      </c>
      <c r="R1889" s="56" t="str">
        <f t="shared" si="209"/>
        <v>Yes</v>
      </c>
      <c r="W1889" s="18" t="s">
        <v>536</v>
      </c>
      <c r="X1889" s="54" t="str">
        <f>VLOOKUP(W1889,Employees!$A$1:$B$601,2,FALSE)</f>
        <v>Sudhansu Senapati</v>
      </c>
      <c r="AW1889" s="54"/>
      <c r="AX1889" s="54"/>
      <c r="BI1889" s="48"/>
      <c r="BJ1889" s="38"/>
      <c r="BK1889" s="38"/>
      <c r="BL1889" s="38"/>
      <c r="BM1889"/>
      <c r="BN1889" s="48"/>
      <c r="BR1889" s="18" t="s">
        <v>536</v>
      </c>
      <c r="BS1889" s="18" t="s">
        <v>4725</v>
      </c>
      <c r="BT1889" s="54" t="str">
        <f t="shared" si="210"/>
        <v>Design</v>
      </c>
    </row>
    <row r="1890" spans="17:72">
      <c r="Q1890" s="19">
        <v>9.1999999999999993</v>
      </c>
      <c r="R1890" s="56" t="str">
        <f t="shared" si="209"/>
        <v>Yes</v>
      </c>
      <c r="W1890" s="19" t="s">
        <v>536</v>
      </c>
      <c r="X1890" s="54" t="str">
        <f>VLOOKUP(W1890,Employees!$A$1:$B$601,2,FALSE)</f>
        <v>Sudhansu Senapati</v>
      </c>
      <c r="AW1890" s="54"/>
      <c r="AX1890" s="54"/>
      <c r="BI1890" s="48"/>
      <c r="BJ1890" s="38"/>
      <c r="BK1890" s="38"/>
      <c r="BL1890" s="38"/>
      <c r="BM1890"/>
      <c r="BN1890" s="48"/>
      <c r="BR1890" s="19" t="s">
        <v>536</v>
      </c>
      <c r="BS1890" s="19" t="s">
        <v>4727</v>
      </c>
      <c r="BT1890" s="54" t="str">
        <f t="shared" si="210"/>
        <v>Design</v>
      </c>
    </row>
    <row r="1891" spans="17:72">
      <c r="Q1891" s="18"/>
      <c r="R1891" s="56" t="str">
        <f t="shared" si="209"/>
        <v>No</v>
      </c>
      <c r="W1891" s="18" t="s">
        <v>536</v>
      </c>
      <c r="X1891" s="54" t="str">
        <f>VLOOKUP(W1891,Employees!$A$1:$B$601,2,FALSE)</f>
        <v>Sudhansu Senapati</v>
      </c>
      <c r="AW1891" s="54"/>
      <c r="AX1891" s="54"/>
      <c r="BI1891" s="48"/>
      <c r="BJ1891" s="38"/>
      <c r="BK1891" s="38"/>
      <c r="BL1891" s="38"/>
      <c r="BM1891"/>
      <c r="BN1891" s="48"/>
      <c r="BR1891" s="18" t="s">
        <v>536</v>
      </c>
      <c r="BS1891" s="18" t="s">
        <v>4728</v>
      </c>
      <c r="BT1891" s="54" t="str">
        <f t="shared" si="210"/>
        <v>Design</v>
      </c>
    </row>
    <row r="1892" spans="17:72">
      <c r="Q1892" s="19">
        <v>10.1</v>
      </c>
      <c r="R1892" s="56" t="str">
        <f t="shared" si="209"/>
        <v>Yes</v>
      </c>
      <c r="W1892" s="19" t="s">
        <v>536</v>
      </c>
      <c r="X1892" s="54" t="str">
        <f>VLOOKUP(W1892,Employees!$A$1:$B$601,2,FALSE)</f>
        <v>Sudhansu Senapati</v>
      </c>
      <c r="AW1892" s="54"/>
      <c r="AX1892" s="54"/>
      <c r="BI1892" s="48"/>
      <c r="BJ1892" s="38"/>
      <c r="BK1892" s="38"/>
      <c r="BL1892" s="38"/>
      <c r="BM1892"/>
      <c r="BN1892" s="48"/>
      <c r="BR1892" s="19" t="s">
        <v>536</v>
      </c>
      <c r="BS1892" s="19" t="s">
        <v>4729</v>
      </c>
      <c r="BT1892" s="54" t="str">
        <f t="shared" si="210"/>
        <v>Design</v>
      </c>
    </row>
    <row r="1893" spans="17:72">
      <c r="Q1893" s="18">
        <v>9.93</v>
      </c>
      <c r="R1893" s="56" t="str">
        <f t="shared" si="209"/>
        <v>Yes</v>
      </c>
      <c r="W1893" s="18" t="s">
        <v>536</v>
      </c>
      <c r="X1893" s="54" t="str">
        <f>VLOOKUP(W1893,Employees!$A$1:$B$601,2,FALSE)</f>
        <v>Sudhansu Senapati</v>
      </c>
      <c r="AW1893" s="54"/>
      <c r="AX1893" s="54"/>
      <c r="BI1893" s="48"/>
      <c r="BJ1893" s="38"/>
      <c r="BK1893" s="38"/>
      <c r="BL1893" s="38"/>
      <c r="BM1893"/>
      <c r="BN1893" s="48"/>
      <c r="BR1893" s="18" t="s">
        <v>536</v>
      </c>
      <c r="BS1893" s="18" t="s">
        <v>4730</v>
      </c>
      <c r="BT1893" s="54" t="str">
        <f t="shared" si="210"/>
        <v>Design</v>
      </c>
    </row>
    <row r="1894" spans="17:72">
      <c r="Q1894" s="19">
        <v>8.92</v>
      </c>
      <c r="R1894" s="56" t="str">
        <f t="shared" si="209"/>
        <v>Yes</v>
      </c>
      <c r="W1894" s="19" t="s">
        <v>276</v>
      </c>
      <c r="X1894" s="54" t="str">
        <f>VLOOKUP(W1894,Employees!$A$1:$B$601,2,FALSE)</f>
        <v>Debasmita Routray</v>
      </c>
      <c r="AW1894" s="54"/>
      <c r="AX1894" s="54"/>
      <c r="BI1894" s="48"/>
      <c r="BJ1894" s="38"/>
      <c r="BK1894" s="38"/>
      <c r="BL1894" s="38"/>
      <c r="BM1894"/>
      <c r="BN1894" s="48"/>
      <c r="BR1894" s="19" t="s">
        <v>276</v>
      </c>
      <c r="BS1894" s="19" t="s">
        <v>4731</v>
      </c>
      <c r="BT1894" s="54" t="str">
        <f t="shared" si="210"/>
        <v>Sales</v>
      </c>
    </row>
    <row r="1895" spans="17:72">
      <c r="Q1895" s="18">
        <v>7.51</v>
      </c>
      <c r="R1895" s="56" t="str">
        <f t="shared" si="209"/>
        <v>Yes</v>
      </c>
      <c r="W1895" s="18" t="s">
        <v>276</v>
      </c>
      <c r="X1895" s="54" t="str">
        <f>VLOOKUP(W1895,Employees!$A$1:$B$601,2,FALSE)</f>
        <v>Debasmita Routray</v>
      </c>
      <c r="AW1895" s="54"/>
      <c r="AX1895" s="54"/>
      <c r="BI1895" s="48"/>
      <c r="BJ1895" s="38"/>
      <c r="BK1895" s="38"/>
      <c r="BL1895" s="38"/>
      <c r="BM1895"/>
      <c r="BN1895" s="48"/>
      <c r="BR1895" s="18" t="s">
        <v>276</v>
      </c>
      <c r="BS1895" s="18" t="s">
        <v>4732</v>
      </c>
      <c r="BT1895" s="54" t="str">
        <f t="shared" si="210"/>
        <v>Sales</v>
      </c>
    </row>
    <row r="1896" spans="17:72">
      <c r="Q1896" s="19">
        <v>9.75</v>
      </c>
      <c r="R1896" s="56" t="str">
        <f t="shared" si="209"/>
        <v>Yes</v>
      </c>
      <c r="W1896" s="19" t="s">
        <v>276</v>
      </c>
      <c r="X1896" s="54" t="str">
        <f>VLOOKUP(W1896,Employees!$A$1:$B$601,2,FALSE)</f>
        <v>Debasmita Routray</v>
      </c>
      <c r="AW1896" s="54"/>
      <c r="AX1896" s="54"/>
      <c r="BI1896" s="48"/>
      <c r="BJ1896" s="38"/>
      <c r="BK1896" s="38"/>
      <c r="BL1896" s="38"/>
      <c r="BM1896"/>
      <c r="BN1896" s="48"/>
      <c r="BR1896" s="19" t="s">
        <v>276</v>
      </c>
      <c r="BS1896" s="19" t="s">
        <v>4733</v>
      </c>
      <c r="BT1896" s="54" t="str">
        <f t="shared" si="210"/>
        <v>Sales</v>
      </c>
    </row>
    <row r="1897" spans="17:72">
      <c r="Q1897" s="18">
        <v>9.93</v>
      </c>
      <c r="R1897" s="56" t="str">
        <f t="shared" si="209"/>
        <v>Yes</v>
      </c>
      <c r="W1897" s="18" t="s">
        <v>276</v>
      </c>
      <c r="X1897" s="54" t="str">
        <f>VLOOKUP(W1897,Employees!$A$1:$B$601,2,FALSE)</f>
        <v>Debasmita Routray</v>
      </c>
      <c r="AW1897" s="54"/>
      <c r="AX1897" s="54"/>
      <c r="BI1897" s="48"/>
      <c r="BJ1897" s="38"/>
      <c r="BK1897" s="38"/>
      <c r="BL1897" s="38"/>
      <c r="BM1897"/>
      <c r="BN1897" s="48"/>
      <c r="BR1897" s="18" t="s">
        <v>276</v>
      </c>
      <c r="BS1897" s="18" t="s">
        <v>4734</v>
      </c>
      <c r="BT1897" s="54" t="str">
        <f t="shared" si="210"/>
        <v>Sales</v>
      </c>
    </row>
    <row r="1898" spans="17:72">
      <c r="Q1898" s="19">
        <v>7.54</v>
      </c>
      <c r="R1898" s="56" t="str">
        <f t="shared" si="209"/>
        <v>Yes</v>
      </c>
      <c r="W1898" s="19" t="s">
        <v>276</v>
      </c>
      <c r="X1898" s="54" t="str">
        <f>VLOOKUP(W1898,Employees!$A$1:$B$601,2,FALSE)</f>
        <v>Debasmita Routray</v>
      </c>
      <c r="AW1898" s="54"/>
      <c r="AX1898" s="54"/>
      <c r="BI1898" s="48"/>
      <c r="BJ1898" s="38"/>
      <c r="BK1898" s="38"/>
      <c r="BL1898" s="38"/>
      <c r="BM1898"/>
      <c r="BN1898" s="48"/>
      <c r="BR1898" s="19" t="s">
        <v>276</v>
      </c>
      <c r="BS1898" s="19" t="s">
        <v>4735</v>
      </c>
      <c r="BT1898" s="54" t="str">
        <f t="shared" si="210"/>
        <v>Sales</v>
      </c>
    </row>
    <row r="1899" spans="17:72">
      <c r="Q1899" s="18">
        <v>9.34</v>
      </c>
      <c r="R1899" s="56" t="str">
        <f t="shared" si="209"/>
        <v>Yes</v>
      </c>
      <c r="W1899" s="18" t="s">
        <v>276</v>
      </c>
      <c r="X1899" s="54" t="str">
        <f>VLOOKUP(W1899,Employees!$A$1:$B$601,2,FALSE)</f>
        <v>Debasmita Routray</v>
      </c>
      <c r="AW1899" s="54"/>
      <c r="AX1899" s="54"/>
      <c r="BI1899" s="48"/>
      <c r="BJ1899" s="38"/>
      <c r="BK1899" s="38"/>
      <c r="BL1899" s="38"/>
      <c r="BM1899"/>
      <c r="BN1899" s="48"/>
      <c r="BR1899" s="18" t="s">
        <v>276</v>
      </c>
      <c r="BS1899" s="18" t="s">
        <v>4736</v>
      </c>
      <c r="BT1899" s="54" t="str">
        <f t="shared" si="210"/>
        <v>Sales</v>
      </c>
    </row>
    <row r="1900" spans="17:72">
      <c r="Q1900" s="19">
        <v>6.7</v>
      </c>
      <c r="R1900" s="56" t="str">
        <f t="shared" si="209"/>
        <v>Yes</v>
      </c>
      <c r="W1900" s="19" t="s">
        <v>276</v>
      </c>
      <c r="X1900" s="54" t="str">
        <f>VLOOKUP(W1900,Employees!$A$1:$B$601,2,FALSE)</f>
        <v>Debasmita Routray</v>
      </c>
      <c r="AW1900" s="54"/>
      <c r="AX1900" s="54"/>
      <c r="BI1900" s="48"/>
      <c r="BJ1900" s="38"/>
      <c r="BK1900" s="38"/>
      <c r="BL1900" s="38"/>
      <c r="BM1900"/>
      <c r="BN1900" s="48"/>
      <c r="BR1900" s="19" t="s">
        <v>276</v>
      </c>
      <c r="BS1900" s="19" t="s">
        <v>4737</v>
      </c>
      <c r="BT1900" s="54" t="str">
        <f t="shared" si="210"/>
        <v>Sales</v>
      </c>
    </row>
    <row r="1901" spans="17:72">
      <c r="Q1901" s="18">
        <v>10.75</v>
      </c>
      <c r="R1901" s="56" t="str">
        <f t="shared" si="209"/>
        <v>Yes</v>
      </c>
      <c r="W1901" s="18" t="s">
        <v>276</v>
      </c>
      <c r="X1901" s="54" t="str">
        <f>VLOOKUP(W1901,Employees!$A$1:$B$601,2,FALSE)</f>
        <v>Debasmita Routray</v>
      </c>
      <c r="AW1901" s="54"/>
      <c r="AX1901" s="54"/>
      <c r="BI1901" s="48"/>
      <c r="BJ1901" s="38"/>
      <c r="BK1901" s="38"/>
      <c r="BL1901" s="38"/>
      <c r="BM1901"/>
      <c r="BN1901" s="48"/>
      <c r="BR1901" s="18" t="s">
        <v>276</v>
      </c>
      <c r="BS1901" s="18" t="s">
        <v>4738</v>
      </c>
      <c r="BT1901" s="54" t="str">
        <f t="shared" si="210"/>
        <v>Sales</v>
      </c>
    </row>
    <row r="1902" spans="17:72">
      <c r="Q1902" s="19">
        <v>8.5299999999999994</v>
      </c>
      <c r="R1902" s="56" t="str">
        <f t="shared" si="209"/>
        <v>Yes</v>
      </c>
      <c r="W1902" s="19" t="s">
        <v>276</v>
      </c>
      <c r="X1902" s="54" t="str">
        <f>VLOOKUP(W1902,Employees!$A$1:$B$601,2,FALSE)</f>
        <v>Debasmita Routray</v>
      </c>
      <c r="AW1902" s="54"/>
      <c r="AX1902" s="54"/>
      <c r="BI1902" s="48"/>
      <c r="BJ1902" s="38"/>
      <c r="BK1902" s="38"/>
      <c r="BL1902" s="38"/>
      <c r="BM1902"/>
      <c r="BN1902" s="48"/>
      <c r="BR1902" s="19" t="s">
        <v>276</v>
      </c>
      <c r="BS1902" s="19" t="s">
        <v>4739</v>
      </c>
      <c r="BT1902" s="54" t="str">
        <f t="shared" si="210"/>
        <v>Sales</v>
      </c>
    </row>
    <row r="1903" spans="17:72">
      <c r="Q1903" s="18">
        <v>10.96</v>
      </c>
      <c r="R1903" s="56" t="str">
        <f t="shared" si="209"/>
        <v>Yes</v>
      </c>
      <c r="W1903" s="18" t="s">
        <v>276</v>
      </c>
      <c r="X1903" s="54" t="str">
        <f>VLOOKUP(W1903,Employees!$A$1:$B$601,2,FALSE)</f>
        <v>Debasmita Routray</v>
      </c>
      <c r="AW1903" s="54"/>
      <c r="AX1903" s="54"/>
      <c r="BI1903" s="48"/>
      <c r="BJ1903" s="38"/>
      <c r="BK1903" s="38"/>
      <c r="BL1903" s="38"/>
      <c r="BM1903"/>
      <c r="BN1903" s="48"/>
      <c r="BR1903" s="18" t="s">
        <v>276</v>
      </c>
      <c r="BS1903" s="18" t="s">
        <v>4740</v>
      </c>
      <c r="BT1903" s="54" t="str">
        <f t="shared" si="210"/>
        <v>Sales</v>
      </c>
    </row>
    <row r="1904" spans="17:72">
      <c r="Q1904" s="19">
        <v>10.39</v>
      </c>
      <c r="R1904" s="56" t="str">
        <f t="shared" si="209"/>
        <v>Yes</v>
      </c>
      <c r="W1904" s="19" t="s">
        <v>276</v>
      </c>
      <c r="X1904" s="54" t="str">
        <f>VLOOKUP(W1904,Employees!$A$1:$B$601,2,FALSE)</f>
        <v>Debasmita Routray</v>
      </c>
      <c r="AW1904" s="54"/>
      <c r="AX1904" s="54"/>
      <c r="BI1904" s="48"/>
      <c r="BJ1904" s="38"/>
      <c r="BK1904" s="38"/>
      <c r="BL1904" s="38"/>
      <c r="BM1904"/>
      <c r="BN1904" s="48"/>
      <c r="BR1904" s="19" t="s">
        <v>276</v>
      </c>
      <c r="BS1904" s="19" t="s">
        <v>4741</v>
      </c>
      <c r="BT1904" s="54" t="str">
        <f t="shared" si="210"/>
        <v>Sales</v>
      </c>
    </row>
    <row r="1905" spans="17:72">
      <c r="Q1905" s="18">
        <v>11.17</v>
      </c>
      <c r="R1905" s="56" t="str">
        <f t="shared" si="209"/>
        <v>Yes</v>
      </c>
      <c r="W1905" s="18" t="s">
        <v>276</v>
      </c>
      <c r="X1905" s="54" t="str">
        <f>VLOOKUP(W1905,Employees!$A$1:$B$601,2,FALSE)</f>
        <v>Debasmita Routray</v>
      </c>
      <c r="AW1905" s="54"/>
      <c r="AX1905" s="54"/>
      <c r="BI1905" s="48"/>
      <c r="BJ1905" s="38"/>
      <c r="BK1905" s="38"/>
      <c r="BL1905" s="38"/>
      <c r="BM1905"/>
      <c r="BN1905" s="48"/>
      <c r="BR1905" s="18" t="s">
        <v>276</v>
      </c>
      <c r="BS1905" s="18" t="s">
        <v>4742</v>
      </c>
      <c r="BT1905" s="54" t="str">
        <f t="shared" si="210"/>
        <v>Sales</v>
      </c>
    </row>
    <row r="1906" spans="17:72">
      <c r="Q1906" s="19">
        <v>10.88</v>
      </c>
      <c r="R1906" s="56" t="str">
        <f t="shared" si="209"/>
        <v>Yes</v>
      </c>
      <c r="W1906" s="19" t="s">
        <v>276</v>
      </c>
      <c r="X1906" s="54" t="str">
        <f>VLOOKUP(W1906,Employees!$A$1:$B$601,2,FALSE)</f>
        <v>Debasmita Routray</v>
      </c>
      <c r="AW1906" s="54"/>
      <c r="AX1906" s="54"/>
      <c r="BI1906" s="48"/>
      <c r="BJ1906" s="38"/>
      <c r="BK1906" s="38"/>
      <c r="BL1906" s="38"/>
      <c r="BM1906"/>
      <c r="BN1906" s="48"/>
      <c r="BR1906" s="19" t="s">
        <v>276</v>
      </c>
      <c r="BS1906" s="19" t="s">
        <v>4743</v>
      </c>
      <c r="BT1906" s="54" t="str">
        <f t="shared" si="210"/>
        <v>Sales</v>
      </c>
    </row>
    <row r="1907" spans="17:72">
      <c r="Q1907" s="18">
        <v>8.14</v>
      </c>
      <c r="R1907" s="56" t="str">
        <f t="shared" si="209"/>
        <v>Yes</v>
      </c>
      <c r="W1907" s="18" t="s">
        <v>276</v>
      </c>
      <c r="X1907" s="54" t="str">
        <f>VLOOKUP(W1907,Employees!$A$1:$B$601,2,FALSE)</f>
        <v>Debasmita Routray</v>
      </c>
      <c r="AW1907" s="54"/>
      <c r="AX1907" s="54"/>
      <c r="BI1907" s="48"/>
      <c r="BJ1907" s="38"/>
      <c r="BK1907" s="38"/>
      <c r="BL1907" s="38"/>
      <c r="BM1907"/>
      <c r="BN1907" s="48"/>
      <c r="BR1907" s="18" t="s">
        <v>276</v>
      </c>
      <c r="BS1907" s="18" t="s">
        <v>4744</v>
      </c>
      <c r="BT1907" s="54" t="str">
        <f t="shared" si="210"/>
        <v>Sales</v>
      </c>
    </row>
    <row r="1908" spans="17:72">
      <c r="Q1908" s="19">
        <v>8.48</v>
      </c>
      <c r="R1908" s="56" t="str">
        <f t="shared" si="209"/>
        <v>Yes</v>
      </c>
      <c r="W1908" s="19" t="s">
        <v>276</v>
      </c>
      <c r="X1908" s="54" t="str">
        <f>VLOOKUP(W1908,Employees!$A$1:$B$601,2,FALSE)</f>
        <v>Debasmita Routray</v>
      </c>
      <c r="AW1908" s="54"/>
      <c r="AX1908" s="54"/>
      <c r="BI1908" s="48"/>
      <c r="BJ1908" s="38"/>
      <c r="BK1908" s="38"/>
      <c r="BL1908" s="38"/>
      <c r="BM1908"/>
      <c r="BN1908" s="48"/>
      <c r="BR1908" s="19" t="s">
        <v>276</v>
      </c>
      <c r="BS1908" s="19" t="s">
        <v>4745</v>
      </c>
      <c r="BT1908" s="54" t="str">
        <f t="shared" si="210"/>
        <v>Sales</v>
      </c>
    </row>
    <row r="1909" spans="17:72">
      <c r="Q1909" s="18">
        <v>9.5299999999999994</v>
      </c>
      <c r="R1909" s="56" t="str">
        <f t="shared" si="209"/>
        <v>Yes</v>
      </c>
      <c r="W1909" s="18" t="s">
        <v>276</v>
      </c>
      <c r="X1909" s="54" t="str">
        <f>VLOOKUP(W1909,Employees!$A$1:$B$601,2,FALSE)</f>
        <v>Debasmita Routray</v>
      </c>
      <c r="AW1909" s="54"/>
      <c r="AX1909" s="54"/>
      <c r="BI1909" s="48"/>
      <c r="BJ1909" s="38"/>
      <c r="BK1909" s="38"/>
      <c r="BL1909" s="38"/>
      <c r="BM1909"/>
      <c r="BN1909" s="48"/>
      <c r="BR1909" s="18" t="s">
        <v>276</v>
      </c>
      <c r="BS1909" s="18" t="s">
        <v>4746</v>
      </c>
      <c r="BT1909" s="54" t="str">
        <f t="shared" si="210"/>
        <v>Sales</v>
      </c>
    </row>
    <row r="1910" spans="17:72">
      <c r="Q1910" s="19">
        <v>6.74</v>
      </c>
      <c r="R1910" s="56" t="str">
        <f t="shared" si="209"/>
        <v>Yes</v>
      </c>
      <c r="W1910" s="19" t="s">
        <v>276</v>
      </c>
      <c r="X1910" s="54" t="str">
        <f>VLOOKUP(W1910,Employees!$A$1:$B$601,2,FALSE)</f>
        <v>Debasmita Routray</v>
      </c>
      <c r="AW1910" s="54"/>
      <c r="AX1910" s="54"/>
      <c r="BI1910" s="48"/>
      <c r="BJ1910" s="38"/>
      <c r="BK1910" s="38"/>
      <c r="BL1910" s="38"/>
      <c r="BM1910"/>
      <c r="BN1910" s="48"/>
      <c r="BR1910" s="19" t="s">
        <v>276</v>
      </c>
      <c r="BS1910" s="19" t="s">
        <v>4747</v>
      </c>
      <c r="BT1910" s="54" t="str">
        <f t="shared" si="210"/>
        <v>Sales</v>
      </c>
    </row>
    <row r="1911" spans="17:72">
      <c r="Q1911" s="18">
        <v>10.27</v>
      </c>
      <c r="R1911" s="56" t="str">
        <f t="shared" si="209"/>
        <v>Yes</v>
      </c>
      <c r="W1911" s="18" t="s">
        <v>276</v>
      </c>
      <c r="X1911" s="54" t="str">
        <f>VLOOKUP(W1911,Employees!$A$1:$B$601,2,FALSE)</f>
        <v>Debasmita Routray</v>
      </c>
      <c r="AW1911" s="54"/>
      <c r="AX1911" s="54"/>
      <c r="BI1911" s="48"/>
      <c r="BJ1911" s="38"/>
      <c r="BK1911" s="38"/>
      <c r="BL1911" s="38"/>
      <c r="BM1911"/>
      <c r="BN1911" s="48"/>
      <c r="BR1911" s="18" t="s">
        <v>276</v>
      </c>
      <c r="BS1911" s="18" t="s">
        <v>4749</v>
      </c>
      <c r="BT1911" s="54" t="str">
        <f t="shared" si="210"/>
        <v>Sales</v>
      </c>
    </row>
    <row r="1912" spans="17:72">
      <c r="Q1912" s="19">
        <v>11.45</v>
      </c>
      <c r="R1912" s="56" t="str">
        <f t="shared" si="209"/>
        <v>Yes</v>
      </c>
      <c r="W1912" s="19" t="s">
        <v>276</v>
      </c>
      <c r="X1912" s="54" t="str">
        <f>VLOOKUP(W1912,Employees!$A$1:$B$601,2,FALSE)</f>
        <v>Debasmita Routray</v>
      </c>
      <c r="AW1912" s="54"/>
      <c r="AX1912" s="54"/>
      <c r="BI1912" s="48"/>
      <c r="BJ1912" s="38"/>
      <c r="BK1912" s="38"/>
      <c r="BL1912" s="38"/>
      <c r="BM1912"/>
      <c r="BN1912" s="48"/>
      <c r="BR1912" s="19" t="s">
        <v>276</v>
      </c>
      <c r="BS1912" s="19" t="s">
        <v>4750</v>
      </c>
      <c r="BT1912" s="54" t="str">
        <f t="shared" si="210"/>
        <v>Sales</v>
      </c>
    </row>
    <row r="1913" spans="17:72">
      <c r="Q1913" s="18">
        <v>6.55</v>
      </c>
      <c r="R1913" s="56" t="str">
        <f t="shared" si="209"/>
        <v>Yes</v>
      </c>
      <c r="W1913" s="18" t="s">
        <v>276</v>
      </c>
      <c r="X1913" s="54" t="str">
        <f>VLOOKUP(W1913,Employees!$A$1:$B$601,2,FALSE)</f>
        <v>Debasmita Routray</v>
      </c>
      <c r="AW1913" s="54"/>
      <c r="AX1913" s="54"/>
      <c r="BI1913" s="48"/>
      <c r="BJ1913" s="38"/>
      <c r="BK1913" s="38"/>
      <c r="BL1913" s="38"/>
      <c r="BM1913"/>
      <c r="BN1913" s="48"/>
      <c r="BR1913" s="18" t="s">
        <v>276</v>
      </c>
      <c r="BS1913" s="18" t="s">
        <v>4751</v>
      </c>
      <c r="BT1913" s="54" t="str">
        <f t="shared" si="210"/>
        <v>Sales</v>
      </c>
    </row>
    <row r="1914" spans="17:72">
      <c r="Q1914" s="19">
        <v>10.78</v>
      </c>
      <c r="R1914" s="56" t="str">
        <f t="shared" si="209"/>
        <v>Yes</v>
      </c>
      <c r="W1914" s="19" t="s">
        <v>276</v>
      </c>
      <c r="X1914" s="54" t="str">
        <f>VLOOKUP(W1914,Employees!$A$1:$B$601,2,FALSE)</f>
        <v>Debasmita Routray</v>
      </c>
      <c r="AW1914" s="54"/>
      <c r="AX1914" s="54"/>
      <c r="BI1914" s="48"/>
      <c r="BJ1914" s="38"/>
      <c r="BK1914" s="38"/>
      <c r="BL1914" s="38"/>
      <c r="BM1914"/>
      <c r="BN1914" s="48"/>
      <c r="BR1914" s="19" t="s">
        <v>276</v>
      </c>
      <c r="BS1914" s="19" t="s">
        <v>4752</v>
      </c>
      <c r="BT1914" s="54" t="str">
        <f t="shared" si="210"/>
        <v>Sales</v>
      </c>
    </row>
    <row r="1915" spans="17:72">
      <c r="Q1915" s="18">
        <v>10.69</v>
      </c>
      <c r="R1915" s="56" t="str">
        <f t="shared" si="209"/>
        <v>Yes</v>
      </c>
      <c r="W1915" s="18" t="s">
        <v>276</v>
      </c>
      <c r="X1915" s="54" t="str">
        <f>VLOOKUP(W1915,Employees!$A$1:$B$601,2,FALSE)</f>
        <v>Debasmita Routray</v>
      </c>
      <c r="AW1915" s="54"/>
      <c r="AX1915" s="54"/>
      <c r="BI1915" s="48"/>
      <c r="BJ1915" s="38"/>
      <c r="BK1915" s="38"/>
      <c r="BL1915" s="38"/>
      <c r="BM1915"/>
      <c r="BN1915" s="48"/>
      <c r="BR1915" s="18" t="s">
        <v>276</v>
      </c>
      <c r="BS1915" s="18" t="s">
        <v>4753</v>
      </c>
      <c r="BT1915" s="54" t="str">
        <f t="shared" si="210"/>
        <v>Sales</v>
      </c>
    </row>
    <row r="1916" spans="17:72">
      <c r="Q1916" s="19">
        <v>9.69</v>
      </c>
      <c r="R1916" s="56" t="str">
        <f t="shared" si="209"/>
        <v>Yes</v>
      </c>
      <c r="W1916" s="19" t="s">
        <v>276</v>
      </c>
      <c r="X1916" s="54" t="str">
        <f>VLOOKUP(W1916,Employees!$A$1:$B$601,2,FALSE)</f>
        <v>Debasmita Routray</v>
      </c>
      <c r="AW1916" s="54"/>
      <c r="AX1916" s="54"/>
      <c r="BI1916" s="48"/>
      <c r="BJ1916" s="38"/>
      <c r="BK1916" s="38"/>
      <c r="BL1916" s="38"/>
      <c r="BM1916"/>
      <c r="BN1916" s="48"/>
      <c r="BR1916" s="19" t="s">
        <v>276</v>
      </c>
      <c r="BS1916" s="19" t="s">
        <v>4754</v>
      </c>
      <c r="BT1916" s="54" t="str">
        <f t="shared" si="210"/>
        <v>Sales</v>
      </c>
    </row>
    <row r="1917" spans="17:72">
      <c r="Q1917" s="18">
        <v>9.31</v>
      </c>
      <c r="R1917" s="56" t="str">
        <f t="shared" si="209"/>
        <v>Yes</v>
      </c>
      <c r="W1917" s="18" t="s">
        <v>276</v>
      </c>
      <c r="X1917" s="54" t="str">
        <f>VLOOKUP(W1917,Employees!$A$1:$B$601,2,FALSE)</f>
        <v>Debasmita Routray</v>
      </c>
      <c r="AW1917" s="54"/>
      <c r="AX1917" s="54"/>
      <c r="BI1917" s="48"/>
      <c r="BJ1917" s="38"/>
      <c r="BK1917" s="38"/>
      <c r="BL1917" s="38"/>
      <c r="BM1917"/>
      <c r="BN1917" s="48"/>
      <c r="BR1917" s="18" t="s">
        <v>276</v>
      </c>
      <c r="BS1917" s="18" t="s">
        <v>4755</v>
      </c>
      <c r="BT1917" s="54" t="str">
        <f t="shared" si="210"/>
        <v>Sales</v>
      </c>
    </row>
    <row r="1918" spans="17:72">
      <c r="Q1918" s="19">
        <v>7.44</v>
      </c>
      <c r="R1918" s="56" t="str">
        <f t="shared" si="209"/>
        <v>Yes</v>
      </c>
      <c r="W1918" s="19" t="s">
        <v>276</v>
      </c>
      <c r="X1918" s="54" t="str">
        <f>VLOOKUP(W1918,Employees!$A$1:$B$601,2,FALSE)</f>
        <v>Debasmita Routray</v>
      </c>
      <c r="AW1918" s="54"/>
      <c r="AX1918" s="54"/>
      <c r="BI1918" s="48"/>
      <c r="BJ1918" s="38"/>
      <c r="BK1918" s="38"/>
      <c r="BL1918" s="38"/>
      <c r="BM1918"/>
      <c r="BN1918" s="48"/>
      <c r="BR1918" s="19" t="s">
        <v>276</v>
      </c>
      <c r="BS1918" s="19" t="s">
        <v>4756</v>
      </c>
      <c r="BT1918" s="54" t="str">
        <f t="shared" si="210"/>
        <v>Sales</v>
      </c>
    </row>
    <row r="1919" spans="17:72">
      <c r="Q1919" s="18">
        <v>7.46</v>
      </c>
      <c r="R1919" s="56" t="str">
        <f t="shared" si="209"/>
        <v>Yes</v>
      </c>
      <c r="W1919" s="18" t="s">
        <v>276</v>
      </c>
      <c r="X1919" s="54" t="str">
        <f>VLOOKUP(W1919,Employees!$A$1:$B$601,2,FALSE)</f>
        <v>Debasmita Routray</v>
      </c>
      <c r="AW1919" s="54"/>
      <c r="AX1919" s="54"/>
      <c r="BI1919" s="48"/>
      <c r="BJ1919" s="38"/>
      <c r="BK1919" s="38"/>
      <c r="BL1919" s="38"/>
      <c r="BM1919"/>
      <c r="BN1919" s="48"/>
      <c r="BR1919" s="18" t="s">
        <v>276</v>
      </c>
      <c r="BS1919" s="18" t="s">
        <v>4757</v>
      </c>
      <c r="BT1919" s="54" t="str">
        <f t="shared" si="210"/>
        <v>Sales</v>
      </c>
    </row>
    <row r="1920" spans="17:72">
      <c r="Q1920" s="19">
        <v>9.1300000000000008</v>
      </c>
      <c r="R1920" s="56" t="str">
        <f t="shared" si="209"/>
        <v>Yes</v>
      </c>
      <c r="W1920" s="19" t="s">
        <v>276</v>
      </c>
      <c r="X1920" s="54" t="str">
        <f>VLOOKUP(W1920,Employees!$A$1:$B$601,2,FALSE)</f>
        <v>Debasmita Routray</v>
      </c>
      <c r="AW1920" s="54"/>
      <c r="AX1920" s="54"/>
      <c r="BI1920" s="48"/>
      <c r="BJ1920" s="38"/>
      <c r="BK1920" s="38"/>
      <c r="BL1920" s="38"/>
      <c r="BM1920"/>
      <c r="BN1920" s="48"/>
      <c r="BR1920" s="19" t="s">
        <v>276</v>
      </c>
      <c r="BS1920" s="19" t="s">
        <v>4758</v>
      </c>
      <c r="BT1920" s="54" t="str">
        <f t="shared" si="210"/>
        <v>Sales</v>
      </c>
    </row>
    <row r="1921" spans="17:72">
      <c r="Q1921" s="18">
        <v>9.7799999999999994</v>
      </c>
      <c r="R1921" s="56" t="str">
        <f t="shared" si="209"/>
        <v>Yes</v>
      </c>
      <c r="W1921" s="18" t="s">
        <v>276</v>
      </c>
      <c r="X1921" s="54" t="str">
        <f>VLOOKUP(W1921,Employees!$A$1:$B$601,2,FALSE)</f>
        <v>Debasmita Routray</v>
      </c>
      <c r="AW1921" s="54"/>
      <c r="AX1921" s="54"/>
      <c r="BI1921" s="48"/>
      <c r="BJ1921" s="38"/>
      <c r="BK1921" s="38"/>
      <c r="BL1921" s="38"/>
      <c r="BM1921"/>
      <c r="BN1921" s="48"/>
      <c r="BR1921" s="18" t="s">
        <v>276</v>
      </c>
      <c r="BS1921" s="18" t="s">
        <v>4759</v>
      </c>
      <c r="BT1921" s="54" t="str">
        <f t="shared" si="210"/>
        <v>Sales</v>
      </c>
    </row>
    <row r="1922" spans="17:72">
      <c r="Q1922" s="19">
        <v>10.51</v>
      </c>
      <c r="R1922" s="56" t="str">
        <f t="shared" si="209"/>
        <v>Yes</v>
      </c>
      <c r="W1922" s="19" t="s">
        <v>276</v>
      </c>
      <c r="X1922" s="54" t="str">
        <f>VLOOKUP(W1922,Employees!$A$1:$B$601,2,FALSE)</f>
        <v>Debasmita Routray</v>
      </c>
      <c r="AW1922" s="54"/>
      <c r="AX1922" s="54"/>
      <c r="BI1922" s="48"/>
      <c r="BJ1922" s="38"/>
      <c r="BK1922" s="38"/>
      <c r="BL1922" s="38"/>
      <c r="BM1922"/>
      <c r="BN1922" s="48"/>
      <c r="BR1922" s="19" t="s">
        <v>276</v>
      </c>
      <c r="BS1922" s="19" t="s">
        <v>4760</v>
      </c>
      <c r="BT1922" s="54" t="str">
        <f t="shared" si="210"/>
        <v>Sales</v>
      </c>
    </row>
    <row r="1923" spans="17:72">
      <c r="Q1923" s="18">
        <v>8.24</v>
      </c>
      <c r="R1923" s="56" t="str">
        <f t="shared" ref="R1923:R1986" si="211">IF(ISBLANK(Q1923),"No","Yes")</f>
        <v>Yes</v>
      </c>
      <c r="W1923" s="18" t="s">
        <v>276</v>
      </c>
      <c r="X1923" s="54" t="str">
        <f>VLOOKUP(W1923,Employees!$A$1:$B$601,2,FALSE)</f>
        <v>Debasmita Routray</v>
      </c>
      <c r="AW1923" s="54"/>
      <c r="AX1923" s="54"/>
      <c r="BI1923" s="48"/>
      <c r="BJ1923" s="38"/>
      <c r="BK1923" s="38"/>
      <c r="BL1923" s="38"/>
      <c r="BM1923"/>
      <c r="BN1923" s="48"/>
      <c r="BR1923" s="18" t="s">
        <v>276</v>
      </c>
      <c r="BS1923" s="18" t="s">
        <v>4761</v>
      </c>
      <c r="BT1923" s="54" t="str">
        <f t="shared" ref="BT1923:BT1986" si="212">VLOOKUP(BR1923,$BP$2:$BQ$601,2,FALSE)</f>
        <v>Sales</v>
      </c>
    </row>
    <row r="1924" spans="17:72">
      <c r="Q1924" s="19">
        <v>11.22</v>
      </c>
      <c r="R1924" s="56" t="str">
        <f t="shared" si="211"/>
        <v>Yes</v>
      </c>
      <c r="W1924" s="19" t="s">
        <v>276</v>
      </c>
      <c r="X1924" s="54" t="str">
        <f>VLOOKUP(W1924,Employees!$A$1:$B$601,2,FALSE)</f>
        <v>Debasmita Routray</v>
      </c>
      <c r="AW1924" s="54"/>
      <c r="AX1924" s="54"/>
      <c r="BI1924" s="48"/>
      <c r="BJ1924" s="38"/>
      <c r="BK1924" s="38"/>
      <c r="BL1924" s="38"/>
      <c r="BM1924"/>
      <c r="BN1924" s="48"/>
      <c r="BR1924" s="19" t="s">
        <v>276</v>
      </c>
      <c r="BS1924" s="19" t="s">
        <v>4762</v>
      </c>
      <c r="BT1924" s="54" t="str">
        <f t="shared" si="212"/>
        <v>Sales</v>
      </c>
    </row>
    <row r="1925" spans="17:72">
      <c r="Q1925" s="18">
        <v>10.15</v>
      </c>
      <c r="R1925" s="56" t="str">
        <f t="shared" si="211"/>
        <v>Yes</v>
      </c>
      <c r="W1925" s="18" t="s">
        <v>276</v>
      </c>
      <c r="X1925" s="54" t="str">
        <f>VLOOKUP(W1925,Employees!$A$1:$B$601,2,FALSE)</f>
        <v>Debasmita Routray</v>
      </c>
      <c r="AW1925" s="54"/>
      <c r="AX1925" s="54"/>
      <c r="BI1925" s="48"/>
      <c r="BJ1925" s="38"/>
      <c r="BK1925" s="38"/>
      <c r="BL1925" s="38"/>
      <c r="BM1925"/>
      <c r="BN1925" s="48"/>
      <c r="BR1925" s="18" t="s">
        <v>276</v>
      </c>
      <c r="BS1925" s="18" t="s">
        <v>4763</v>
      </c>
      <c r="BT1925" s="54" t="str">
        <f t="shared" si="212"/>
        <v>Sales</v>
      </c>
    </row>
    <row r="1926" spans="17:72">
      <c r="Q1926" s="19">
        <v>7.78</v>
      </c>
      <c r="R1926" s="56" t="str">
        <f t="shared" si="211"/>
        <v>Yes</v>
      </c>
      <c r="W1926" s="19" t="s">
        <v>276</v>
      </c>
      <c r="X1926" s="54" t="str">
        <f>VLOOKUP(W1926,Employees!$A$1:$B$601,2,FALSE)</f>
        <v>Debasmita Routray</v>
      </c>
      <c r="AW1926" s="54"/>
      <c r="AX1926" s="54"/>
      <c r="BI1926" s="48"/>
      <c r="BJ1926" s="38"/>
      <c r="BK1926" s="38"/>
      <c r="BL1926" s="38"/>
      <c r="BM1926"/>
      <c r="BN1926" s="48"/>
      <c r="BR1926" s="19" t="s">
        <v>276</v>
      </c>
      <c r="BS1926" s="19" t="s">
        <v>4764</v>
      </c>
      <c r="BT1926" s="54" t="str">
        <f t="shared" si="212"/>
        <v>Sales</v>
      </c>
    </row>
    <row r="1927" spans="17:72">
      <c r="Q1927" s="18">
        <v>6.52</v>
      </c>
      <c r="R1927" s="56" t="str">
        <f t="shared" si="211"/>
        <v>Yes</v>
      </c>
      <c r="W1927" s="18" t="s">
        <v>276</v>
      </c>
      <c r="X1927" s="54" t="str">
        <f>VLOOKUP(W1927,Employees!$A$1:$B$601,2,FALSE)</f>
        <v>Debasmita Routray</v>
      </c>
      <c r="AW1927" s="54"/>
      <c r="AX1927" s="54"/>
      <c r="BI1927" s="48"/>
      <c r="BJ1927" s="38"/>
      <c r="BK1927" s="38"/>
      <c r="BL1927" s="38"/>
      <c r="BM1927"/>
      <c r="BN1927" s="48"/>
      <c r="BR1927" s="18" t="s">
        <v>276</v>
      </c>
      <c r="BS1927" s="18" t="s">
        <v>4765</v>
      </c>
      <c r="BT1927" s="54" t="str">
        <f t="shared" si="212"/>
        <v>Sales</v>
      </c>
    </row>
    <row r="1928" spans="17:72">
      <c r="Q1928" s="19">
        <v>8.8800000000000008</v>
      </c>
      <c r="R1928" s="56" t="str">
        <f t="shared" si="211"/>
        <v>Yes</v>
      </c>
      <c r="W1928" s="19" t="s">
        <v>276</v>
      </c>
      <c r="X1928" s="54" t="str">
        <f>VLOOKUP(W1928,Employees!$A$1:$B$601,2,FALSE)</f>
        <v>Debasmita Routray</v>
      </c>
      <c r="AW1928" s="54"/>
      <c r="AX1928" s="54"/>
      <c r="BI1928" s="48"/>
      <c r="BJ1928" s="38"/>
      <c r="BK1928" s="38"/>
      <c r="BL1928" s="38"/>
      <c r="BM1928"/>
      <c r="BN1928" s="48"/>
      <c r="BR1928" s="19" t="s">
        <v>276</v>
      </c>
      <c r="BS1928" s="19" t="s">
        <v>4766</v>
      </c>
      <c r="BT1928" s="54" t="str">
        <f t="shared" si="212"/>
        <v>Sales</v>
      </c>
    </row>
    <row r="1929" spans="17:72">
      <c r="Q1929" s="18">
        <v>10.74</v>
      </c>
      <c r="R1929" s="56" t="str">
        <f t="shared" si="211"/>
        <v>Yes</v>
      </c>
      <c r="W1929" s="18" t="s">
        <v>276</v>
      </c>
      <c r="X1929" s="54" t="str">
        <f>VLOOKUP(W1929,Employees!$A$1:$B$601,2,FALSE)</f>
        <v>Debasmita Routray</v>
      </c>
      <c r="AW1929" s="54"/>
      <c r="AX1929" s="54"/>
      <c r="BI1929" s="48"/>
      <c r="BJ1929" s="38"/>
      <c r="BK1929" s="38"/>
      <c r="BL1929" s="38"/>
      <c r="BM1929"/>
      <c r="BN1929" s="48"/>
      <c r="BR1929" s="18" t="s">
        <v>276</v>
      </c>
      <c r="BS1929" s="18" t="s">
        <v>4767</v>
      </c>
      <c r="BT1929" s="54" t="str">
        <f t="shared" si="212"/>
        <v>Sales</v>
      </c>
    </row>
    <row r="1930" spans="17:72">
      <c r="Q1930" s="19">
        <v>6.67</v>
      </c>
      <c r="R1930" s="56" t="str">
        <f t="shared" si="211"/>
        <v>Yes</v>
      </c>
      <c r="W1930" s="19" t="s">
        <v>276</v>
      </c>
      <c r="X1930" s="54" t="str">
        <f>VLOOKUP(W1930,Employees!$A$1:$B$601,2,FALSE)</f>
        <v>Debasmita Routray</v>
      </c>
      <c r="AW1930" s="54"/>
      <c r="AX1930" s="54"/>
      <c r="BI1930" s="48"/>
      <c r="BJ1930" s="38"/>
      <c r="BK1930" s="38"/>
      <c r="BL1930" s="38"/>
      <c r="BM1930"/>
      <c r="BN1930" s="48"/>
      <c r="BR1930" s="19" t="s">
        <v>276</v>
      </c>
      <c r="BS1930" s="19" t="s">
        <v>4768</v>
      </c>
      <c r="BT1930" s="54" t="str">
        <f t="shared" si="212"/>
        <v>Sales</v>
      </c>
    </row>
    <row r="1931" spans="17:72">
      <c r="Q1931" s="18">
        <v>6.9</v>
      </c>
      <c r="R1931" s="56" t="str">
        <f t="shared" si="211"/>
        <v>Yes</v>
      </c>
      <c r="W1931" s="18" t="s">
        <v>276</v>
      </c>
      <c r="X1931" s="54" t="str">
        <f>VLOOKUP(W1931,Employees!$A$1:$B$601,2,FALSE)</f>
        <v>Debasmita Routray</v>
      </c>
      <c r="AW1931" s="54"/>
      <c r="AX1931" s="54"/>
      <c r="BI1931" s="48"/>
      <c r="BJ1931" s="38"/>
      <c r="BK1931" s="38"/>
      <c r="BL1931" s="38"/>
      <c r="BM1931"/>
      <c r="BN1931" s="48"/>
      <c r="BR1931" s="18" t="s">
        <v>276</v>
      </c>
      <c r="BS1931" s="18" t="s">
        <v>4770</v>
      </c>
      <c r="BT1931" s="54" t="str">
        <f t="shared" si="212"/>
        <v>Sales</v>
      </c>
    </row>
    <row r="1932" spans="17:72">
      <c r="Q1932" s="19">
        <v>7.38</v>
      </c>
      <c r="R1932" s="56" t="str">
        <f t="shared" si="211"/>
        <v>Yes</v>
      </c>
      <c r="W1932" s="19" t="s">
        <v>276</v>
      </c>
      <c r="X1932" s="54" t="str">
        <f>VLOOKUP(W1932,Employees!$A$1:$B$601,2,FALSE)</f>
        <v>Debasmita Routray</v>
      </c>
      <c r="AW1932" s="54"/>
      <c r="AX1932" s="54"/>
      <c r="BI1932" s="48"/>
      <c r="BJ1932" s="38"/>
      <c r="BK1932" s="38"/>
      <c r="BL1932" s="38"/>
      <c r="BM1932"/>
      <c r="BN1932" s="48"/>
      <c r="BR1932" s="19" t="s">
        <v>276</v>
      </c>
      <c r="BS1932" s="19" t="s">
        <v>4771</v>
      </c>
      <c r="BT1932" s="54" t="str">
        <f t="shared" si="212"/>
        <v>Sales</v>
      </c>
    </row>
    <row r="1933" spans="17:72">
      <c r="Q1933" s="18">
        <v>7.21</v>
      </c>
      <c r="R1933" s="56" t="str">
        <f t="shared" si="211"/>
        <v>Yes</v>
      </c>
      <c r="W1933" s="18" t="s">
        <v>276</v>
      </c>
      <c r="X1933" s="54" t="str">
        <f>VLOOKUP(W1933,Employees!$A$1:$B$601,2,FALSE)</f>
        <v>Debasmita Routray</v>
      </c>
      <c r="AW1933" s="54"/>
      <c r="AX1933" s="54"/>
      <c r="BI1933" s="48"/>
      <c r="BJ1933" s="38"/>
      <c r="BK1933" s="38"/>
      <c r="BL1933" s="38"/>
      <c r="BM1933"/>
      <c r="BN1933" s="48"/>
      <c r="BR1933" s="18" t="s">
        <v>276</v>
      </c>
      <c r="BS1933" s="18" t="s">
        <v>4772</v>
      </c>
      <c r="BT1933" s="54" t="str">
        <f t="shared" si="212"/>
        <v>Sales</v>
      </c>
    </row>
    <row r="1934" spans="17:72">
      <c r="Q1934" s="19">
        <v>7.83</v>
      </c>
      <c r="R1934" s="56" t="str">
        <f t="shared" si="211"/>
        <v>Yes</v>
      </c>
      <c r="W1934" s="19" t="s">
        <v>276</v>
      </c>
      <c r="X1934" s="54" t="str">
        <f>VLOOKUP(W1934,Employees!$A$1:$B$601,2,FALSE)</f>
        <v>Debasmita Routray</v>
      </c>
      <c r="AW1934" s="54"/>
      <c r="AX1934" s="54"/>
      <c r="BI1934" s="48"/>
      <c r="BJ1934" s="38"/>
      <c r="BK1934" s="38"/>
      <c r="BL1934" s="38"/>
      <c r="BM1934"/>
      <c r="BN1934" s="48"/>
      <c r="BR1934" s="19" t="s">
        <v>276</v>
      </c>
      <c r="BS1934" s="19" t="s">
        <v>4773</v>
      </c>
      <c r="BT1934" s="54" t="str">
        <f t="shared" si="212"/>
        <v>Sales</v>
      </c>
    </row>
    <row r="1935" spans="17:72">
      <c r="Q1935" s="18">
        <v>8.41</v>
      </c>
      <c r="R1935" s="56" t="str">
        <f t="shared" si="211"/>
        <v>Yes</v>
      </c>
      <c r="W1935" s="18" t="s">
        <v>276</v>
      </c>
      <c r="X1935" s="54" t="str">
        <f>VLOOKUP(W1935,Employees!$A$1:$B$601,2,FALSE)</f>
        <v>Debasmita Routray</v>
      </c>
      <c r="AW1935" s="54"/>
      <c r="AX1935" s="54"/>
      <c r="BI1935" s="48"/>
      <c r="BJ1935" s="38"/>
      <c r="BK1935" s="38"/>
      <c r="BL1935" s="38"/>
      <c r="BM1935"/>
      <c r="BN1935" s="48"/>
      <c r="BR1935" s="18" t="s">
        <v>276</v>
      </c>
      <c r="BS1935" s="18" t="s">
        <v>4774</v>
      </c>
      <c r="BT1935" s="54" t="str">
        <f t="shared" si="212"/>
        <v>Sales</v>
      </c>
    </row>
    <row r="1936" spans="17:72">
      <c r="Q1936" s="19">
        <v>10.84</v>
      </c>
      <c r="R1936" s="56" t="str">
        <f t="shared" si="211"/>
        <v>Yes</v>
      </c>
      <c r="W1936" s="19" t="s">
        <v>276</v>
      </c>
      <c r="X1936" s="54" t="str">
        <f>VLOOKUP(W1936,Employees!$A$1:$B$601,2,FALSE)</f>
        <v>Debasmita Routray</v>
      </c>
      <c r="AW1936" s="54"/>
      <c r="AX1936" s="54"/>
      <c r="BI1936" s="48"/>
      <c r="BJ1936" s="38"/>
      <c r="BK1936" s="38"/>
      <c r="BL1936" s="38"/>
      <c r="BM1936"/>
      <c r="BN1936" s="48"/>
      <c r="BR1936" s="19" t="s">
        <v>276</v>
      </c>
      <c r="BS1936" s="19" t="s">
        <v>4775</v>
      </c>
      <c r="BT1936" s="54" t="str">
        <f t="shared" si="212"/>
        <v>Sales</v>
      </c>
    </row>
    <row r="1937" spans="17:72">
      <c r="Q1937" s="18">
        <v>10.67</v>
      </c>
      <c r="R1937" s="56" t="str">
        <f t="shared" si="211"/>
        <v>Yes</v>
      </c>
      <c r="W1937" s="18" t="s">
        <v>1030</v>
      </c>
      <c r="X1937" s="54" t="str">
        <f>VLOOKUP(W1937,Employees!$A$1:$B$601,2,FALSE)</f>
        <v>Bikash Routray</v>
      </c>
      <c r="AW1937" s="54"/>
      <c r="AX1937" s="54"/>
      <c r="BI1937" s="48"/>
      <c r="BJ1937" s="38"/>
      <c r="BK1937" s="38"/>
      <c r="BL1937" s="38"/>
      <c r="BM1937"/>
      <c r="BN1937" s="48"/>
      <c r="BR1937" s="18" t="s">
        <v>1030</v>
      </c>
      <c r="BS1937" s="18" t="s">
        <v>4776</v>
      </c>
      <c r="BT1937" s="54" t="str">
        <f t="shared" si="212"/>
        <v>design</v>
      </c>
    </row>
    <row r="1938" spans="17:72">
      <c r="Q1938" s="19">
        <v>7.7</v>
      </c>
      <c r="R1938" s="56" t="str">
        <f t="shared" si="211"/>
        <v>Yes</v>
      </c>
      <c r="W1938" s="19" t="s">
        <v>1030</v>
      </c>
      <c r="X1938" s="54" t="str">
        <f>VLOOKUP(W1938,Employees!$A$1:$B$601,2,FALSE)</f>
        <v>Bikash Routray</v>
      </c>
      <c r="AW1938" s="54"/>
      <c r="AX1938" s="54"/>
      <c r="BI1938" s="48"/>
      <c r="BJ1938" s="38"/>
      <c r="BK1938" s="38"/>
      <c r="BL1938" s="38"/>
      <c r="BM1938"/>
      <c r="BN1938" s="48"/>
      <c r="BR1938" s="19" t="s">
        <v>1030</v>
      </c>
      <c r="BS1938" s="19" t="s">
        <v>4777</v>
      </c>
      <c r="BT1938" s="54" t="str">
        <f t="shared" si="212"/>
        <v>design</v>
      </c>
    </row>
    <row r="1939" spans="17:72">
      <c r="Q1939" s="18">
        <v>10.93</v>
      </c>
      <c r="R1939" s="56" t="str">
        <f t="shared" si="211"/>
        <v>Yes</v>
      </c>
      <c r="W1939" s="18" t="s">
        <v>1030</v>
      </c>
      <c r="X1939" s="54" t="str">
        <f>VLOOKUP(W1939,Employees!$A$1:$B$601,2,FALSE)</f>
        <v>Bikash Routray</v>
      </c>
      <c r="AW1939" s="54"/>
      <c r="AX1939" s="54"/>
      <c r="BI1939" s="48"/>
      <c r="BJ1939" s="38"/>
      <c r="BK1939" s="38"/>
      <c r="BL1939" s="38"/>
      <c r="BM1939"/>
      <c r="BN1939" s="48"/>
      <c r="BR1939" s="18" t="s">
        <v>1030</v>
      </c>
      <c r="BS1939" s="18" t="s">
        <v>4778</v>
      </c>
      <c r="BT1939" s="54" t="str">
        <f t="shared" si="212"/>
        <v>design</v>
      </c>
    </row>
    <row r="1940" spans="17:72">
      <c r="Q1940" s="19">
        <v>8.02</v>
      </c>
      <c r="R1940" s="56" t="str">
        <f t="shared" si="211"/>
        <v>Yes</v>
      </c>
      <c r="W1940" s="19" t="s">
        <v>1030</v>
      </c>
      <c r="X1940" s="54" t="str">
        <f>VLOOKUP(W1940,Employees!$A$1:$B$601,2,FALSE)</f>
        <v>Bikash Routray</v>
      </c>
      <c r="AW1940" s="54"/>
      <c r="AX1940" s="54"/>
      <c r="BI1940" s="48"/>
      <c r="BJ1940" s="38"/>
      <c r="BK1940" s="38"/>
      <c r="BL1940" s="38"/>
      <c r="BM1940"/>
      <c r="BN1940" s="48"/>
      <c r="BR1940" s="19" t="s">
        <v>1030</v>
      </c>
      <c r="BS1940" s="19" t="s">
        <v>4779</v>
      </c>
      <c r="BT1940" s="54" t="str">
        <f t="shared" si="212"/>
        <v>design</v>
      </c>
    </row>
    <row r="1941" spans="17:72">
      <c r="Q1941" s="18">
        <v>6.54</v>
      </c>
      <c r="R1941" s="56" t="str">
        <f t="shared" si="211"/>
        <v>Yes</v>
      </c>
      <c r="W1941" s="18" t="s">
        <v>1030</v>
      </c>
      <c r="X1941" s="54" t="str">
        <f>VLOOKUP(W1941,Employees!$A$1:$B$601,2,FALSE)</f>
        <v>Bikash Routray</v>
      </c>
      <c r="AW1941" s="54"/>
      <c r="AX1941" s="54"/>
      <c r="BI1941" s="48"/>
      <c r="BJ1941" s="38"/>
      <c r="BK1941" s="38"/>
      <c r="BL1941" s="38"/>
      <c r="BM1941"/>
      <c r="BN1941" s="48"/>
      <c r="BR1941" s="18" t="s">
        <v>1030</v>
      </c>
      <c r="BS1941" s="18" t="s">
        <v>4780</v>
      </c>
      <c r="BT1941" s="54" t="str">
        <f t="shared" si="212"/>
        <v>design</v>
      </c>
    </row>
    <row r="1942" spans="17:72">
      <c r="Q1942" s="19">
        <v>7.35</v>
      </c>
      <c r="R1942" s="56" t="str">
        <f t="shared" si="211"/>
        <v>Yes</v>
      </c>
      <c r="W1942" s="19" t="s">
        <v>1030</v>
      </c>
      <c r="X1942" s="54" t="str">
        <f>VLOOKUP(W1942,Employees!$A$1:$B$601,2,FALSE)</f>
        <v>Bikash Routray</v>
      </c>
      <c r="AW1942" s="54"/>
      <c r="AX1942" s="54"/>
      <c r="BI1942" s="48"/>
      <c r="BJ1942" s="38"/>
      <c r="BK1942" s="38"/>
      <c r="BL1942" s="38"/>
      <c r="BM1942"/>
      <c r="BN1942" s="48"/>
      <c r="BR1942" s="19" t="s">
        <v>1030</v>
      </c>
      <c r="BS1942" s="19" t="s">
        <v>4781</v>
      </c>
      <c r="BT1942" s="54" t="str">
        <f t="shared" si="212"/>
        <v>design</v>
      </c>
    </row>
    <row r="1943" spans="17:72">
      <c r="Q1943" s="18">
        <v>8.0299999999999994</v>
      </c>
      <c r="R1943" s="56" t="str">
        <f t="shared" si="211"/>
        <v>Yes</v>
      </c>
      <c r="W1943" s="18" t="s">
        <v>1030</v>
      </c>
      <c r="X1943" s="54" t="str">
        <f>VLOOKUP(W1943,Employees!$A$1:$B$601,2,FALSE)</f>
        <v>Bikash Routray</v>
      </c>
      <c r="AW1943" s="54"/>
      <c r="AX1943" s="54"/>
      <c r="BI1943" s="48"/>
      <c r="BJ1943" s="38"/>
      <c r="BK1943" s="38"/>
      <c r="BL1943" s="38"/>
      <c r="BM1943"/>
      <c r="BN1943" s="48"/>
      <c r="BR1943" s="18" t="s">
        <v>1030</v>
      </c>
      <c r="BS1943" s="18" t="s">
        <v>4782</v>
      </c>
      <c r="BT1943" s="54" t="str">
        <f t="shared" si="212"/>
        <v>design</v>
      </c>
    </row>
    <row r="1944" spans="17:72">
      <c r="Q1944" s="19">
        <v>10.83</v>
      </c>
      <c r="R1944" s="56" t="str">
        <f t="shared" si="211"/>
        <v>Yes</v>
      </c>
      <c r="W1944" s="19" t="s">
        <v>1030</v>
      </c>
      <c r="X1944" s="54" t="str">
        <f>VLOOKUP(W1944,Employees!$A$1:$B$601,2,FALSE)</f>
        <v>Bikash Routray</v>
      </c>
      <c r="AW1944" s="54"/>
      <c r="AX1944" s="54"/>
      <c r="BI1944" s="48"/>
      <c r="BJ1944" s="38"/>
      <c r="BK1944" s="38"/>
      <c r="BL1944" s="38"/>
      <c r="BM1944"/>
      <c r="BN1944" s="48"/>
      <c r="BR1944" s="19" t="s">
        <v>1030</v>
      </c>
      <c r="BS1944" s="19" t="s">
        <v>4783</v>
      </c>
      <c r="BT1944" s="54" t="str">
        <f t="shared" si="212"/>
        <v>design</v>
      </c>
    </row>
    <row r="1945" spans="17:72">
      <c r="Q1945" s="18">
        <v>8.7799999999999994</v>
      </c>
      <c r="R1945" s="56" t="str">
        <f t="shared" si="211"/>
        <v>Yes</v>
      </c>
      <c r="W1945" s="18" t="s">
        <v>1030</v>
      </c>
      <c r="X1945" s="54" t="str">
        <f>VLOOKUP(W1945,Employees!$A$1:$B$601,2,FALSE)</f>
        <v>Bikash Routray</v>
      </c>
      <c r="AW1945" s="54"/>
      <c r="AX1945" s="54"/>
      <c r="BI1945" s="48"/>
      <c r="BJ1945" s="38"/>
      <c r="BK1945" s="38"/>
      <c r="BL1945" s="38"/>
      <c r="BM1945"/>
      <c r="BN1945" s="48"/>
      <c r="BR1945" s="18" t="s">
        <v>1030</v>
      </c>
      <c r="BS1945" s="18" t="s">
        <v>4784</v>
      </c>
      <c r="BT1945" s="54" t="str">
        <f t="shared" si="212"/>
        <v>design</v>
      </c>
    </row>
    <row r="1946" spans="17:72">
      <c r="Q1946" s="19"/>
      <c r="R1946" s="56" t="str">
        <f t="shared" si="211"/>
        <v>No</v>
      </c>
      <c r="W1946" s="19" t="s">
        <v>1030</v>
      </c>
      <c r="X1946" s="54" t="str">
        <f>VLOOKUP(W1946,Employees!$A$1:$B$601,2,FALSE)</f>
        <v>Bikash Routray</v>
      </c>
      <c r="AW1946" s="54"/>
      <c r="AX1946" s="54"/>
      <c r="BI1946" s="48"/>
      <c r="BJ1946" s="38"/>
      <c r="BK1946" s="38"/>
      <c r="BL1946" s="38"/>
      <c r="BM1946"/>
      <c r="BN1946" s="48"/>
      <c r="BR1946" s="19" t="s">
        <v>1030</v>
      </c>
      <c r="BS1946" s="19" t="s">
        <v>4785</v>
      </c>
      <c r="BT1946" s="54" t="str">
        <f t="shared" si="212"/>
        <v>design</v>
      </c>
    </row>
    <row r="1947" spans="17:72">
      <c r="Q1947" s="18">
        <v>11.25</v>
      </c>
      <c r="R1947" s="56" t="str">
        <f t="shared" si="211"/>
        <v>Yes</v>
      </c>
      <c r="W1947" s="18" t="s">
        <v>1030</v>
      </c>
      <c r="X1947" s="54" t="str">
        <f>VLOOKUP(W1947,Employees!$A$1:$B$601,2,FALSE)</f>
        <v>Bikash Routray</v>
      </c>
      <c r="AW1947" s="54"/>
      <c r="AX1947" s="54"/>
      <c r="BI1947" s="48"/>
      <c r="BJ1947" s="38"/>
      <c r="BK1947" s="38"/>
      <c r="BL1947" s="38"/>
      <c r="BM1947"/>
      <c r="BN1947" s="48"/>
      <c r="BR1947" s="18" t="s">
        <v>1030</v>
      </c>
      <c r="BS1947" s="18" t="s">
        <v>4786</v>
      </c>
      <c r="BT1947" s="54" t="str">
        <f t="shared" si="212"/>
        <v>design</v>
      </c>
    </row>
    <row r="1948" spans="17:72">
      <c r="Q1948" s="19">
        <v>11</v>
      </c>
      <c r="R1948" s="56" t="str">
        <f t="shared" si="211"/>
        <v>Yes</v>
      </c>
      <c r="W1948" s="19" t="s">
        <v>1030</v>
      </c>
      <c r="X1948" s="54" t="str">
        <f>VLOOKUP(W1948,Employees!$A$1:$B$601,2,FALSE)</f>
        <v>Bikash Routray</v>
      </c>
      <c r="AW1948" s="54"/>
      <c r="AX1948" s="54"/>
      <c r="BI1948" s="48"/>
      <c r="BJ1948" s="38"/>
      <c r="BK1948" s="38"/>
      <c r="BL1948" s="38"/>
      <c r="BM1948"/>
      <c r="BN1948" s="48"/>
      <c r="BR1948" s="19" t="s">
        <v>1030</v>
      </c>
      <c r="BS1948" s="19" t="s">
        <v>4787</v>
      </c>
      <c r="BT1948" s="54" t="str">
        <f t="shared" si="212"/>
        <v>design</v>
      </c>
    </row>
    <row r="1949" spans="17:72">
      <c r="Q1949" s="18">
        <v>9.42</v>
      </c>
      <c r="R1949" s="56" t="str">
        <f t="shared" si="211"/>
        <v>Yes</v>
      </c>
      <c r="W1949" s="18" t="s">
        <v>1030</v>
      </c>
      <c r="X1949" s="54" t="str">
        <f>VLOOKUP(W1949,Employees!$A$1:$B$601,2,FALSE)</f>
        <v>Bikash Routray</v>
      </c>
      <c r="AW1949" s="54"/>
      <c r="AX1949" s="54"/>
      <c r="BI1949" s="48"/>
      <c r="BJ1949" s="38"/>
      <c r="BK1949" s="38"/>
      <c r="BL1949" s="38"/>
      <c r="BM1949"/>
      <c r="BN1949" s="48"/>
      <c r="BR1949" s="18" t="s">
        <v>1030</v>
      </c>
      <c r="BS1949" s="18" t="s">
        <v>4789</v>
      </c>
      <c r="BT1949" s="54" t="str">
        <f t="shared" si="212"/>
        <v>design</v>
      </c>
    </row>
    <row r="1950" spans="17:72">
      <c r="Q1950" s="19">
        <v>7.88</v>
      </c>
      <c r="R1950" s="56" t="str">
        <f t="shared" si="211"/>
        <v>Yes</v>
      </c>
      <c r="W1950" s="19" t="s">
        <v>1030</v>
      </c>
      <c r="X1950" s="54" t="str">
        <f>VLOOKUP(W1950,Employees!$A$1:$B$601,2,FALSE)</f>
        <v>Bikash Routray</v>
      </c>
      <c r="AW1950" s="54"/>
      <c r="AX1950" s="54"/>
      <c r="BI1950" s="48"/>
      <c r="BJ1950" s="38"/>
      <c r="BK1950" s="38"/>
      <c r="BL1950" s="38"/>
      <c r="BM1950"/>
      <c r="BN1950" s="48"/>
      <c r="BR1950" s="19" t="s">
        <v>1030</v>
      </c>
      <c r="BS1950" s="19" t="s">
        <v>4790</v>
      </c>
      <c r="BT1950" s="54" t="str">
        <f t="shared" si="212"/>
        <v>design</v>
      </c>
    </row>
    <row r="1951" spans="17:72">
      <c r="Q1951" s="18">
        <v>9.42</v>
      </c>
      <c r="R1951" s="56" t="str">
        <f t="shared" si="211"/>
        <v>Yes</v>
      </c>
      <c r="W1951" s="18" t="s">
        <v>1030</v>
      </c>
      <c r="X1951" s="54" t="str">
        <f>VLOOKUP(W1951,Employees!$A$1:$B$601,2,FALSE)</f>
        <v>Bikash Routray</v>
      </c>
      <c r="AW1951" s="54"/>
      <c r="AX1951" s="54"/>
      <c r="BI1951" s="48"/>
      <c r="BJ1951" s="38"/>
      <c r="BK1951" s="38"/>
      <c r="BL1951" s="38"/>
      <c r="BM1951"/>
      <c r="BN1951" s="48"/>
      <c r="BR1951" s="18" t="s">
        <v>1030</v>
      </c>
      <c r="BS1951" s="18" t="s">
        <v>4791</v>
      </c>
      <c r="BT1951" s="54" t="str">
        <f t="shared" si="212"/>
        <v>design</v>
      </c>
    </row>
    <row r="1952" spans="17:72">
      <c r="Q1952" s="19">
        <v>10.6</v>
      </c>
      <c r="R1952" s="56" t="str">
        <f t="shared" si="211"/>
        <v>Yes</v>
      </c>
      <c r="W1952" s="19" t="s">
        <v>1030</v>
      </c>
      <c r="X1952" s="54" t="str">
        <f>VLOOKUP(W1952,Employees!$A$1:$B$601,2,FALSE)</f>
        <v>Bikash Routray</v>
      </c>
      <c r="AW1952" s="54"/>
      <c r="AX1952" s="54"/>
      <c r="BI1952" s="48"/>
      <c r="BJ1952" s="38"/>
      <c r="BK1952" s="38"/>
      <c r="BL1952" s="38"/>
      <c r="BM1952"/>
      <c r="BN1952" s="48"/>
      <c r="BR1952" s="19" t="s">
        <v>1030</v>
      </c>
      <c r="BS1952" s="19" t="s">
        <v>4792</v>
      </c>
      <c r="BT1952" s="54" t="str">
        <f t="shared" si="212"/>
        <v>design</v>
      </c>
    </row>
    <row r="1953" spans="17:72">
      <c r="Q1953" s="18"/>
      <c r="R1953" s="56" t="str">
        <f t="shared" si="211"/>
        <v>No</v>
      </c>
      <c r="W1953" s="18" t="s">
        <v>1030</v>
      </c>
      <c r="X1953" s="54" t="str">
        <f>VLOOKUP(W1953,Employees!$A$1:$B$601,2,FALSE)</f>
        <v>Bikash Routray</v>
      </c>
      <c r="AW1953" s="54"/>
      <c r="AX1953" s="54"/>
      <c r="BI1953" s="48"/>
      <c r="BJ1953" s="38"/>
      <c r="BK1953" s="38"/>
      <c r="BL1953" s="38"/>
      <c r="BM1953"/>
      <c r="BN1953" s="48"/>
      <c r="BR1953" s="18" t="s">
        <v>1030</v>
      </c>
      <c r="BS1953" s="18" t="s">
        <v>4793</v>
      </c>
      <c r="BT1953" s="54" t="str">
        <f t="shared" si="212"/>
        <v>design</v>
      </c>
    </row>
    <row r="1954" spans="17:72">
      <c r="Q1954" s="19">
        <v>9.1300000000000008</v>
      </c>
      <c r="R1954" s="56" t="str">
        <f t="shared" si="211"/>
        <v>Yes</v>
      </c>
      <c r="W1954" s="19" t="s">
        <v>1030</v>
      </c>
      <c r="X1954" s="54" t="str">
        <f>VLOOKUP(W1954,Employees!$A$1:$B$601,2,FALSE)</f>
        <v>Bikash Routray</v>
      </c>
      <c r="AW1954" s="54"/>
      <c r="AX1954" s="54"/>
      <c r="BI1954" s="48"/>
      <c r="BJ1954" s="38"/>
      <c r="BK1954" s="38"/>
      <c r="BL1954" s="38"/>
      <c r="BM1954"/>
      <c r="BN1954" s="48"/>
      <c r="BR1954" s="19" t="s">
        <v>1030</v>
      </c>
      <c r="BS1954" s="19" t="s">
        <v>4794</v>
      </c>
      <c r="BT1954" s="54" t="str">
        <f t="shared" si="212"/>
        <v>design</v>
      </c>
    </row>
    <row r="1955" spans="17:72">
      <c r="Q1955" s="18">
        <v>8.26</v>
      </c>
      <c r="R1955" s="56" t="str">
        <f t="shared" si="211"/>
        <v>Yes</v>
      </c>
      <c r="W1955" s="18" t="s">
        <v>1030</v>
      </c>
      <c r="X1955" s="54" t="str">
        <f>VLOOKUP(W1955,Employees!$A$1:$B$601,2,FALSE)</f>
        <v>Bikash Routray</v>
      </c>
      <c r="AW1955" s="54"/>
      <c r="AX1955" s="54"/>
      <c r="BI1955" s="48"/>
      <c r="BJ1955" s="38"/>
      <c r="BK1955" s="38"/>
      <c r="BL1955" s="38"/>
      <c r="BM1955"/>
      <c r="BN1955" s="48"/>
      <c r="BR1955" s="18" t="s">
        <v>1030</v>
      </c>
      <c r="BS1955" s="18" t="s">
        <v>4795</v>
      </c>
      <c r="BT1955" s="54" t="str">
        <f t="shared" si="212"/>
        <v>design</v>
      </c>
    </row>
    <row r="1956" spans="17:72">
      <c r="Q1956" s="19">
        <v>8.33</v>
      </c>
      <c r="R1956" s="56" t="str">
        <f t="shared" si="211"/>
        <v>Yes</v>
      </c>
      <c r="W1956" s="19" t="s">
        <v>1030</v>
      </c>
      <c r="X1956" s="54" t="str">
        <f>VLOOKUP(W1956,Employees!$A$1:$B$601,2,FALSE)</f>
        <v>Bikash Routray</v>
      </c>
      <c r="AW1956" s="54"/>
      <c r="AX1956" s="54"/>
      <c r="BI1956" s="48"/>
      <c r="BJ1956" s="38"/>
      <c r="BK1956" s="38"/>
      <c r="BL1956" s="38"/>
      <c r="BM1956"/>
      <c r="BN1956" s="48"/>
      <c r="BR1956" s="19" t="s">
        <v>1030</v>
      </c>
      <c r="BS1956" s="19" t="s">
        <v>4796</v>
      </c>
      <c r="BT1956" s="54" t="str">
        <f t="shared" si="212"/>
        <v>design</v>
      </c>
    </row>
    <row r="1957" spans="17:72">
      <c r="Q1957" s="18">
        <v>9.41</v>
      </c>
      <c r="R1957" s="56" t="str">
        <f t="shared" si="211"/>
        <v>Yes</v>
      </c>
      <c r="W1957" s="18" t="s">
        <v>1030</v>
      </c>
      <c r="X1957" s="54" t="str">
        <f>VLOOKUP(W1957,Employees!$A$1:$B$601,2,FALSE)</f>
        <v>Bikash Routray</v>
      </c>
      <c r="AW1957" s="54"/>
      <c r="AX1957" s="54"/>
      <c r="BI1957" s="48"/>
      <c r="BJ1957" s="38"/>
      <c r="BK1957" s="38"/>
      <c r="BL1957" s="38"/>
      <c r="BM1957"/>
      <c r="BN1957" s="48"/>
      <c r="BR1957" s="18" t="s">
        <v>1030</v>
      </c>
      <c r="BS1957" s="18" t="s">
        <v>4797</v>
      </c>
      <c r="BT1957" s="54" t="str">
        <f t="shared" si="212"/>
        <v>design</v>
      </c>
    </row>
    <row r="1958" spans="17:72">
      <c r="Q1958" s="19">
        <v>7.23</v>
      </c>
      <c r="R1958" s="56" t="str">
        <f t="shared" si="211"/>
        <v>Yes</v>
      </c>
      <c r="W1958" s="19" t="s">
        <v>1030</v>
      </c>
      <c r="X1958" s="54" t="str">
        <f>VLOOKUP(W1958,Employees!$A$1:$B$601,2,FALSE)</f>
        <v>Bikash Routray</v>
      </c>
      <c r="AW1958" s="54"/>
      <c r="AX1958" s="54"/>
      <c r="BI1958" s="48"/>
      <c r="BJ1958" s="38"/>
      <c r="BK1958" s="38"/>
      <c r="BL1958" s="38"/>
      <c r="BM1958"/>
      <c r="BN1958" s="48"/>
      <c r="BR1958" s="19" t="s">
        <v>1030</v>
      </c>
      <c r="BS1958" s="19" t="s">
        <v>4798</v>
      </c>
      <c r="BT1958" s="54" t="str">
        <f t="shared" si="212"/>
        <v>design</v>
      </c>
    </row>
    <row r="1959" spans="17:72">
      <c r="Q1959" s="18">
        <v>9.5500000000000007</v>
      </c>
      <c r="R1959" s="56" t="str">
        <f t="shared" si="211"/>
        <v>Yes</v>
      </c>
      <c r="W1959" s="18" t="s">
        <v>1030</v>
      </c>
      <c r="X1959" s="54" t="str">
        <f>VLOOKUP(W1959,Employees!$A$1:$B$601,2,FALSE)</f>
        <v>Bikash Routray</v>
      </c>
      <c r="AW1959" s="54"/>
      <c r="AX1959" s="54"/>
      <c r="BI1959" s="48"/>
      <c r="BJ1959" s="38"/>
      <c r="BK1959" s="38"/>
      <c r="BL1959" s="38"/>
      <c r="BM1959"/>
      <c r="BN1959" s="48"/>
      <c r="BR1959" s="18" t="s">
        <v>1030</v>
      </c>
      <c r="BS1959" s="18" t="s">
        <v>4799</v>
      </c>
      <c r="BT1959" s="54" t="str">
        <f t="shared" si="212"/>
        <v>design</v>
      </c>
    </row>
    <row r="1960" spans="17:72">
      <c r="Q1960" s="19">
        <v>6.79</v>
      </c>
      <c r="R1960" s="56" t="str">
        <f t="shared" si="211"/>
        <v>Yes</v>
      </c>
      <c r="W1960" s="19" t="s">
        <v>1030</v>
      </c>
      <c r="X1960" s="54" t="str">
        <f>VLOOKUP(W1960,Employees!$A$1:$B$601,2,FALSE)</f>
        <v>Bikash Routray</v>
      </c>
      <c r="AW1960" s="54"/>
      <c r="AX1960" s="54"/>
      <c r="BI1960" s="48"/>
      <c r="BJ1960" s="38"/>
      <c r="BK1960" s="38"/>
      <c r="BL1960" s="38"/>
      <c r="BM1960"/>
      <c r="BN1960" s="48"/>
      <c r="BR1960" s="19" t="s">
        <v>1030</v>
      </c>
      <c r="BS1960" s="19" t="s">
        <v>4800</v>
      </c>
      <c r="BT1960" s="54" t="str">
        <f t="shared" si="212"/>
        <v>design</v>
      </c>
    </row>
    <row r="1961" spans="17:72">
      <c r="Q1961" s="18">
        <v>7.87</v>
      </c>
      <c r="R1961" s="56" t="str">
        <f t="shared" si="211"/>
        <v>Yes</v>
      </c>
      <c r="W1961" s="18" t="s">
        <v>1030</v>
      </c>
      <c r="X1961" s="54" t="str">
        <f>VLOOKUP(W1961,Employees!$A$1:$B$601,2,FALSE)</f>
        <v>Bikash Routray</v>
      </c>
      <c r="AW1961" s="54"/>
      <c r="AX1961" s="54"/>
      <c r="BI1961" s="48"/>
      <c r="BJ1961" s="38"/>
      <c r="BK1961" s="38"/>
      <c r="BL1961" s="38"/>
      <c r="BM1961"/>
      <c r="BN1961" s="48"/>
      <c r="BR1961" s="18" t="s">
        <v>1030</v>
      </c>
      <c r="BS1961" s="18" t="s">
        <v>4801</v>
      </c>
      <c r="BT1961" s="54" t="str">
        <f t="shared" si="212"/>
        <v>design</v>
      </c>
    </row>
    <row r="1962" spans="17:72">
      <c r="Q1962" s="19">
        <v>10.16</v>
      </c>
      <c r="R1962" s="56" t="str">
        <f t="shared" si="211"/>
        <v>Yes</v>
      </c>
      <c r="W1962" s="19" t="s">
        <v>1030</v>
      </c>
      <c r="X1962" s="54" t="str">
        <f>VLOOKUP(W1962,Employees!$A$1:$B$601,2,FALSE)</f>
        <v>Bikash Routray</v>
      </c>
      <c r="AW1962" s="54"/>
      <c r="AX1962" s="54"/>
      <c r="BI1962" s="48"/>
      <c r="BJ1962" s="38"/>
      <c r="BK1962" s="38"/>
      <c r="BL1962" s="38"/>
      <c r="BM1962"/>
      <c r="BN1962" s="48"/>
      <c r="BR1962" s="19" t="s">
        <v>1030</v>
      </c>
      <c r="BS1962" s="19" t="s">
        <v>4802</v>
      </c>
      <c r="BT1962" s="54" t="str">
        <f t="shared" si="212"/>
        <v>design</v>
      </c>
    </row>
    <row r="1963" spans="17:72">
      <c r="Q1963" s="18">
        <v>9.61</v>
      </c>
      <c r="R1963" s="56" t="str">
        <f t="shared" si="211"/>
        <v>Yes</v>
      </c>
      <c r="W1963" s="18" t="s">
        <v>1030</v>
      </c>
      <c r="X1963" s="54" t="str">
        <f>VLOOKUP(W1963,Employees!$A$1:$B$601,2,FALSE)</f>
        <v>Bikash Routray</v>
      </c>
      <c r="AW1963" s="54"/>
      <c r="AX1963" s="54"/>
      <c r="BI1963" s="48"/>
      <c r="BJ1963" s="38"/>
      <c r="BK1963" s="38"/>
      <c r="BL1963" s="38"/>
      <c r="BM1963"/>
      <c r="BN1963" s="48"/>
      <c r="BR1963" s="18" t="s">
        <v>1030</v>
      </c>
      <c r="BS1963" s="18" t="s">
        <v>4803</v>
      </c>
      <c r="BT1963" s="54" t="str">
        <f t="shared" si="212"/>
        <v>design</v>
      </c>
    </row>
    <row r="1964" spans="17:72">
      <c r="Q1964" s="19">
        <v>9.09</v>
      </c>
      <c r="R1964" s="56" t="str">
        <f t="shared" si="211"/>
        <v>Yes</v>
      </c>
      <c r="W1964" s="19" t="s">
        <v>1030</v>
      </c>
      <c r="X1964" s="54" t="str">
        <f>VLOOKUP(W1964,Employees!$A$1:$B$601,2,FALSE)</f>
        <v>Bikash Routray</v>
      </c>
      <c r="AW1964" s="54"/>
      <c r="AX1964" s="54"/>
      <c r="BI1964" s="48"/>
      <c r="BJ1964" s="38"/>
      <c r="BK1964" s="38"/>
      <c r="BL1964" s="38"/>
      <c r="BM1964"/>
      <c r="BN1964" s="48"/>
      <c r="BR1964" s="19" t="s">
        <v>1030</v>
      </c>
      <c r="BS1964" s="19" t="s">
        <v>4804</v>
      </c>
      <c r="BT1964" s="54" t="str">
        <f t="shared" si="212"/>
        <v>design</v>
      </c>
    </row>
    <row r="1965" spans="17:72">
      <c r="Q1965" s="18">
        <v>8.19</v>
      </c>
      <c r="R1965" s="56" t="str">
        <f t="shared" si="211"/>
        <v>Yes</v>
      </c>
      <c r="W1965" s="18" t="s">
        <v>1030</v>
      </c>
      <c r="X1965" s="54" t="str">
        <f>VLOOKUP(W1965,Employees!$A$1:$B$601,2,FALSE)</f>
        <v>Bikash Routray</v>
      </c>
      <c r="AW1965" s="54"/>
      <c r="AX1965" s="54"/>
      <c r="BI1965" s="48"/>
      <c r="BJ1965" s="38"/>
      <c r="BK1965" s="38"/>
      <c r="BL1965" s="38"/>
      <c r="BM1965"/>
      <c r="BN1965" s="48"/>
      <c r="BR1965" s="18" t="s">
        <v>1030</v>
      </c>
      <c r="BS1965" s="18" t="s">
        <v>4805</v>
      </c>
      <c r="BT1965" s="54" t="str">
        <f t="shared" si="212"/>
        <v>design</v>
      </c>
    </row>
    <row r="1966" spans="17:72">
      <c r="Q1966" s="19">
        <v>7.99</v>
      </c>
      <c r="R1966" s="56" t="str">
        <f t="shared" si="211"/>
        <v>Yes</v>
      </c>
      <c r="W1966" s="19" t="s">
        <v>1030</v>
      </c>
      <c r="X1966" s="54" t="str">
        <f>VLOOKUP(W1966,Employees!$A$1:$B$601,2,FALSE)</f>
        <v>Bikash Routray</v>
      </c>
      <c r="AW1966" s="54"/>
      <c r="AX1966" s="54"/>
      <c r="BI1966" s="48"/>
      <c r="BJ1966" s="38"/>
      <c r="BK1966" s="38"/>
      <c r="BL1966" s="38"/>
      <c r="BM1966"/>
      <c r="BN1966" s="48"/>
      <c r="BR1966" s="19" t="s">
        <v>1030</v>
      </c>
      <c r="BS1966" s="19" t="s">
        <v>4806</v>
      </c>
      <c r="BT1966" s="54" t="str">
        <f t="shared" si="212"/>
        <v>design</v>
      </c>
    </row>
    <row r="1967" spans="17:72">
      <c r="Q1967" s="18">
        <v>10.87</v>
      </c>
      <c r="R1967" s="56" t="str">
        <f t="shared" si="211"/>
        <v>Yes</v>
      </c>
      <c r="W1967" s="18" t="s">
        <v>1030</v>
      </c>
      <c r="X1967" s="54" t="str">
        <f>VLOOKUP(W1967,Employees!$A$1:$B$601,2,FALSE)</f>
        <v>Bikash Routray</v>
      </c>
      <c r="AW1967" s="54"/>
      <c r="AX1967" s="54"/>
      <c r="BI1967" s="48"/>
      <c r="BJ1967" s="38"/>
      <c r="BK1967" s="38"/>
      <c r="BL1967" s="38"/>
      <c r="BM1967"/>
      <c r="BN1967" s="48"/>
      <c r="BR1967" s="18" t="s">
        <v>1030</v>
      </c>
      <c r="BS1967" s="18" t="s">
        <v>4807</v>
      </c>
      <c r="BT1967" s="54" t="str">
        <f t="shared" si="212"/>
        <v>design</v>
      </c>
    </row>
    <row r="1968" spans="17:72">
      <c r="Q1968" s="19">
        <v>8.77</v>
      </c>
      <c r="R1968" s="56" t="str">
        <f t="shared" si="211"/>
        <v>Yes</v>
      </c>
      <c r="W1968" s="19" t="s">
        <v>1030</v>
      </c>
      <c r="X1968" s="54" t="str">
        <f>VLOOKUP(W1968,Employees!$A$1:$B$601,2,FALSE)</f>
        <v>Bikash Routray</v>
      </c>
      <c r="AW1968" s="54"/>
      <c r="AX1968" s="54"/>
      <c r="BI1968" s="48"/>
      <c r="BJ1968" s="38"/>
      <c r="BK1968" s="38"/>
      <c r="BL1968" s="38"/>
      <c r="BM1968"/>
      <c r="BN1968" s="48"/>
      <c r="BR1968" s="19" t="s">
        <v>1030</v>
      </c>
      <c r="BS1968" s="19" t="s">
        <v>4808</v>
      </c>
      <c r="BT1968" s="54" t="str">
        <f t="shared" si="212"/>
        <v>design</v>
      </c>
    </row>
    <row r="1969" spans="17:72">
      <c r="Q1969" s="18">
        <v>10.47</v>
      </c>
      <c r="R1969" s="56" t="str">
        <f t="shared" si="211"/>
        <v>Yes</v>
      </c>
      <c r="W1969" s="18" t="s">
        <v>1030</v>
      </c>
      <c r="X1969" s="54" t="str">
        <f>VLOOKUP(W1969,Employees!$A$1:$B$601,2,FALSE)</f>
        <v>Bikash Routray</v>
      </c>
      <c r="AW1969" s="54"/>
      <c r="AX1969" s="54"/>
      <c r="BI1969" s="48"/>
      <c r="BJ1969" s="38"/>
      <c r="BK1969" s="38"/>
      <c r="BL1969" s="38"/>
      <c r="BM1969"/>
      <c r="BN1969" s="48"/>
      <c r="BR1969" s="18" t="s">
        <v>1030</v>
      </c>
      <c r="BS1969" s="18" t="s">
        <v>4809</v>
      </c>
      <c r="BT1969" s="54" t="str">
        <f t="shared" si="212"/>
        <v>design</v>
      </c>
    </row>
    <row r="1970" spans="17:72">
      <c r="Q1970" s="19">
        <v>8.9499999999999993</v>
      </c>
      <c r="R1970" s="56" t="str">
        <f t="shared" si="211"/>
        <v>Yes</v>
      </c>
      <c r="W1970" s="19" t="s">
        <v>1030</v>
      </c>
      <c r="X1970" s="54" t="str">
        <f>VLOOKUP(W1970,Employees!$A$1:$B$601,2,FALSE)</f>
        <v>Bikash Routray</v>
      </c>
      <c r="AW1970" s="54"/>
      <c r="AX1970" s="54"/>
      <c r="BI1970" s="48"/>
      <c r="BJ1970" s="38"/>
      <c r="BK1970" s="38"/>
      <c r="BL1970" s="38"/>
      <c r="BM1970"/>
      <c r="BN1970" s="48"/>
      <c r="BR1970" s="19" t="s">
        <v>1030</v>
      </c>
      <c r="BS1970" s="19" t="s">
        <v>4810</v>
      </c>
      <c r="BT1970" s="54" t="str">
        <f t="shared" si="212"/>
        <v>design</v>
      </c>
    </row>
    <row r="1971" spans="17:72">
      <c r="Q1971" s="18">
        <v>11.13</v>
      </c>
      <c r="R1971" s="56" t="str">
        <f t="shared" si="211"/>
        <v>Yes</v>
      </c>
      <c r="W1971" s="18" t="s">
        <v>1030</v>
      </c>
      <c r="X1971" s="54" t="str">
        <f>VLOOKUP(W1971,Employees!$A$1:$B$601,2,FALSE)</f>
        <v>Bikash Routray</v>
      </c>
      <c r="AW1971" s="54"/>
      <c r="AX1971" s="54"/>
      <c r="BI1971" s="48"/>
      <c r="BJ1971" s="38"/>
      <c r="BK1971" s="38"/>
      <c r="BL1971" s="38"/>
      <c r="BM1971"/>
      <c r="BN1971" s="48"/>
      <c r="BR1971" s="18" t="s">
        <v>1030</v>
      </c>
      <c r="BS1971" s="18" t="s">
        <v>4811</v>
      </c>
      <c r="BT1971" s="54" t="str">
        <f t="shared" si="212"/>
        <v>design</v>
      </c>
    </row>
    <row r="1972" spans="17:72">
      <c r="Q1972" s="19">
        <v>10.88</v>
      </c>
      <c r="R1972" s="56" t="str">
        <f t="shared" si="211"/>
        <v>Yes</v>
      </c>
      <c r="W1972" s="19" t="s">
        <v>1030</v>
      </c>
      <c r="X1972" s="54" t="str">
        <f>VLOOKUP(W1972,Employees!$A$1:$B$601,2,FALSE)</f>
        <v>Bikash Routray</v>
      </c>
      <c r="AW1972" s="54"/>
      <c r="AX1972" s="54"/>
      <c r="BI1972" s="48"/>
      <c r="BJ1972" s="38"/>
      <c r="BK1972" s="38"/>
      <c r="BL1972" s="38"/>
      <c r="BM1972"/>
      <c r="BN1972" s="48"/>
      <c r="BR1972" s="19" t="s">
        <v>1030</v>
      </c>
      <c r="BS1972" s="19" t="s">
        <v>4813</v>
      </c>
      <c r="BT1972" s="54" t="str">
        <f t="shared" si="212"/>
        <v>design</v>
      </c>
    </row>
    <row r="1973" spans="17:72">
      <c r="Q1973" s="18">
        <v>10.050000000000001</v>
      </c>
      <c r="R1973" s="56" t="str">
        <f t="shared" si="211"/>
        <v>Yes</v>
      </c>
      <c r="W1973" s="18" t="s">
        <v>1030</v>
      </c>
      <c r="X1973" s="54" t="str">
        <f>VLOOKUP(W1973,Employees!$A$1:$B$601,2,FALSE)</f>
        <v>Bikash Routray</v>
      </c>
      <c r="AW1973" s="54"/>
      <c r="AX1973" s="54"/>
      <c r="BI1973" s="48"/>
      <c r="BJ1973" s="38"/>
      <c r="BK1973" s="38"/>
      <c r="BL1973" s="38"/>
      <c r="BM1973"/>
      <c r="BN1973" s="48"/>
      <c r="BR1973" s="18" t="s">
        <v>1030</v>
      </c>
      <c r="BS1973" s="18" t="s">
        <v>4814</v>
      </c>
      <c r="BT1973" s="54" t="str">
        <f t="shared" si="212"/>
        <v>design</v>
      </c>
    </row>
    <row r="1974" spans="17:72">
      <c r="Q1974" s="19">
        <v>8.8000000000000007</v>
      </c>
      <c r="R1974" s="56" t="str">
        <f t="shared" si="211"/>
        <v>Yes</v>
      </c>
      <c r="W1974" s="19" t="s">
        <v>1030</v>
      </c>
      <c r="X1974" s="54" t="str">
        <f>VLOOKUP(W1974,Employees!$A$1:$B$601,2,FALSE)</f>
        <v>Bikash Routray</v>
      </c>
      <c r="AW1974" s="54"/>
      <c r="AX1974" s="54"/>
      <c r="BI1974" s="48"/>
      <c r="BJ1974" s="38"/>
      <c r="BK1974" s="38"/>
      <c r="BL1974" s="38"/>
      <c r="BM1974"/>
      <c r="BN1974" s="48"/>
      <c r="BR1974" s="19" t="s">
        <v>1030</v>
      </c>
      <c r="BS1974" s="19" t="s">
        <v>4815</v>
      </c>
      <c r="BT1974" s="54" t="str">
        <f t="shared" si="212"/>
        <v>design</v>
      </c>
    </row>
    <row r="1975" spans="17:72">
      <c r="Q1975" s="18">
        <v>8.24</v>
      </c>
      <c r="R1975" s="56" t="str">
        <f t="shared" si="211"/>
        <v>Yes</v>
      </c>
      <c r="W1975" s="18" t="s">
        <v>1030</v>
      </c>
      <c r="X1975" s="54" t="str">
        <f>VLOOKUP(W1975,Employees!$A$1:$B$601,2,FALSE)</f>
        <v>Bikash Routray</v>
      </c>
      <c r="AW1975" s="54"/>
      <c r="AX1975" s="54"/>
      <c r="BI1975" s="48"/>
      <c r="BJ1975" s="38"/>
      <c r="BK1975" s="38"/>
      <c r="BL1975" s="38"/>
      <c r="BM1975"/>
      <c r="BN1975" s="48"/>
      <c r="BR1975" s="18" t="s">
        <v>1030</v>
      </c>
      <c r="BS1975" s="18" t="s">
        <v>4816</v>
      </c>
      <c r="BT1975" s="54" t="str">
        <f t="shared" si="212"/>
        <v>design</v>
      </c>
    </row>
    <row r="1976" spans="17:72">
      <c r="Q1976" s="19">
        <v>8</v>
      </c>
      <c r="R1976" s="56" t="str">
        <f t="shared" si="211"/>
        <v>Yes</v>
      </c>
      <c r="W1976" s="19" t="s">
        <v>1030</v>
      </c>
      <c r="X1976" s="54" t="str">
        <f>VLOOKUP(W1976,Employees!$A$1:$B$601,2,FALSE)</f>
        <v>Bikash Routray</v>
      </c>
      <c r="AW1976" s="54"/>
      <c r="AX1976" s="54"/>
      <c r="BI1976" s="48"/>
      <c r="BJ1976" s="38"/>
      <c r="BK1976" s="38"/>
      <c r="BL1976" s="38"/>
      <c r="BM1976"/>
      <c r="BN1976" s="48"/>
      <c r="BR1976" s="19" t="s">
        <v>1030</v>
      </c>
      <c r="BS1976" s="19" t="s">
        <v>4817</v>
      </c>
      <c r="BT1976" s="54" t="str">
        <f t="shared" si="212"/>
        <v>design</v>
      </c>
    </row>
    <row r="1977" spans="17:72">
      <c r="Q1977" s="18">
        <v>10.86</v>
      </c>
      <c r="R1977" s="56" t="str">
        <f t="shared" si="211"/>
        <v>Yes</v>
      </c>
      <c r="W1977" s="18" t="s">
        <v>1030</v>
      </c>
      <c r="X1977" s="54" t="str">
        <f>VLOOKUP(W1977,Employees!$A$1:$B$601,2,FALSE)</f>
        <v>Bikash Routray</v>
      </c>
      <c r="AW1977" s="54"/>
      <c r="AX1977" s="54"/>
      <c r="BI1977" s="48"/>
      <c r="BJ1977" s="38"/>
      <c r="BK1977" s="38"/>
      <c r="BL1977" s="38"/>
      <c r="BM1977"/>
      <c r="BN1977" s="48"/>
      <c r="BR1977" s="18" t="s">
        <v>1030</v>
      </c>
      <c r="BS1977" s="18" t="s">
        <v>4818</v>
      </c>
      <c r="BT1977" s="54" t="str">
        <f t="shared" si="212"/>
        <v>design</v>
      </c>
    </row>
    <row r="1978" spans="17:72">
      <c r="Q1978" s="19">
        <v>6.82</v>
      </c>
      <c r="R1978" s="56" t="str">
        <f t="shared" si="211"/>
        <v>Yes</v>
      </c>
      <c r="W1978" s="19" t="s">
        <v>1030</v>
      </c>
      <c r="X1978" s="54" t="str">
        <f>VLOOKUP(W1978,Employees!$A$1:$B$601,2,FALSE)</f>
        <v>Bikash Routray</v>
      </c>
      <c r="AW1978" s="54"/>
      <c r="AX1978" s="54"/>
      <c r="BI1978" s="48"/>
      <c r="BJ1978" s="38"/>
      <c r="BK1978" s="38"/>
      <c r="BL1978" s="38"/>
      <c r="BM1978"/>
      <c r="BN1978" s="48"/>
      <c r="BR1978" s="19" t="s">
        <v>1030</v>
      </c>
      <c r="BS1978" s="19" t="s">
        <v>4819</v>
      </c>
      <c r="BT1978" s="54" t="str">
        <f t="shared" si="212"/>
        <v>design</v>
      </c>
    </row>
    <row r="1979" spans="17:72">
      <c r="Q1979" s="18">
        <v>8.7799999999999994</v>
      </c>
      <c r="R1979" s="56" t="str">
        <f t="shared" si="211"/>
        <v>Yes</v>
      </c>
      <c r="W1979" s="18" t="s">
        <v>1030</v>
      </c>
      <c r="X1979" s="54" t="str">
        <f>VLOOKUP(W1979,Employees!$A$1:$B$601,2,FALSE)</f>
        <v>Bikash Routray</v>
      </c>
      <c r="AW1979" s="54"/>
      <c r="AX1979" s="54"/>
      <c r="BI1979" s="48"/>
      <c r="BJ1979" s="38"/>
      <c r="BK1979" s="38"/>
      <c r="BL1979" s="38"/>
      <c r="BM1979"/>
      <c r="BN1979" s="48"/>
      <c r="BR1979" s="18" t="s">
        <v>1030</v>
      </c>
      <c r="BS1979" s="18" t="s">
        <v>4820</v>
      </c>
      <c r="BT1979" s="54" t="str">
        <f t="shared" si="212"/>
        <v>design</v>
      </c>
    </row>
    <row r="1980" spans="17:72">
      <c r="Q1980" s="19">
        <v>9.0399999999999991</v>
      </c>
      <c r="R1980" s="56" t="str">
        <f t="shared" si="211"/>
        <v>Yes</v>
      </c>
      <c r="W1980" s="19" t="s">
        <v>741</v>
      </c>
      <c r="X1980" s="54" t="str">
        <f>VLOOKUP(W1980,Employees!$A$1:$B$601,2,FALSE)</f>
        <v>Lipsa Sahu</v>
      </c>
      <c r="AW1980" s="54"/>
      <c r="AX1980" s="54"/>
      <c r="BI1980" s="48"/>
      <c r="BJ1980" s="38"/>
      <c r="BK1980" s="38"/>
      <c r="BL1980" s="38"/>
      <c r="BM1980"/>
      <c r="BN1980" s="48"/>
      <c r="BR1980" s="19" t="s">
        <v>741</v>
      </c>
      <c r="BS1980" s="19" t="s">
        <v>4821</v>
      </c>
      <c r="BT1980" s="54" t="str">
        <f t="shared" si="212"/>
        <v>Design</v>
      </c>
    </row>
    <row r="1981" spans="17:72">
      <c r="Q1981" s="18">
        <v>7.8</v>
      </c>
      <c r="R1981" s="56" t="str">
        <f t="shared" si="211"/>
        <v>Yes</v>
      </c>
      <c r="W1981" s="18" t="s">
        <v>741</v>
      </c>
      <c r="X1981" s="54" t="str">
        <f>VLOOKUP(W1981,Employees!$A$1:$B$601,2,FALSE)</f>
        <v>Lipsa Sahu</v>
      </c>
      <c r="AW1981" s="54"/>
      <c r="AX1981" s="54"/>
      <c r="BI1981" s="48"/>
      <c r="BJ1981" s="38"/>
      <c r="BK1981" s="38"/>
      <c r="BL1981" s="38"/>
      <c r="BM1981"/>
      <c r="BN1981" s="48"/>
      <c r="BR1981" s="18" t="s">
        <v>741</v>
      </c>
      <c r="BS1981" s="18" t="s">
        <v>4822</v>
      </c>
      <c r="BT1981" s="54" t="str">
        <f t="shared" si="212"/>
        <v>Design</v>
      </c>
    </row>
    <row r="1982" spans="17:72">
      <c r="Q1982" s="19">
        <v>6.85</v>
      </c>
      <c r="R1982" s="56" t="str">
        <f t="shared" si="211"/>
        <v>Yes</v>
      </c>
      <c r="W1982" s="19" t="s">
        <v>741</v>
      </c>
      <c r="X1982" s="54" t="str">
        <f>VLOOKUP(W1982,Employees!$A$1:$B$601,2,FALSE)</f>
        <v>Lipsa Sahu</v>
      </c>
      <c r="AW1982" s="54"/>
      <c r="AX1982" s="54"/>
      <c r="BI1982" s="48"/>
      <c r="BJ1982" s="38"/>
      <c r="BK1982" s="38"/>
      <c r="BL1982" s="38"/>
      <c r="BM1982"/>
      <c r="BN1982" s="48"/>
      <c r="BR1982" s="19" t="s">
        <v>741</v>
      </c>
      <c r="BS1982" s="19" t="s">
        <v>4823</v>
      </c>
      <c r="BT1982" s="54" t="str">
        <f t="shared" si="212"/>
        <v>Design</v>
      </c>
    </row>
    <row r="1983" spans="17:72">
      <c r="Q1983" s="18">
        <v>8.2200000000000006</v>
      </c>
      <c r="R1983" s="56" t="str">
        <f t="shared" si="211"/>
        <v>Yes</v>
      </c>
      <c r="W1983" s="18" t="s">
        <v>741</v>
      </c>
      <c r="X1983" s="54" t="str">
        <f>VLOOKUP(W1983,Employees!$A$1:$B$601,2,FALSE)</f>
        <v>Lipsa Sahu</v>
      </c>
      <c r="AW1983" s="54"/>
      <c r="AX1983" s="54"/>
      <c r="BI1983" s="48"/>
      <c r="BJ1983" s="38"/>
      <c r="BK1983" s="38"/>
      <c r="BL1983" s="38"/>
      <c r="BM1983"/>
      <c r="BN1983" s="48"/>
      <c r="BR1983" s="18" t="s">
        <v>741</v>
      </c>
      <c r="BS1983" s="18" t="s">
        <v>4824</v>
      </c>
      <c r="BT1983" s="54" t="str">
        <f t="shared" si="212"/>
        <v>Design</v>
      </c>
    </row>
    <row r="1984" spans="17:72">
      <c r="Q1984" s="19">
        <v>9.26</v>
      </c>
      <c r="R1984" s="56" t="str">
        <f t="shared" si="211"/>
        <v>Yes</v>
      </c>
      <c r="W1984" s="19" t="s">
        <v>741</v>
      </c>
      <c r="X1984" s="54" t="str">
        <f>VLOOKUP(W1984,Employees!$A$1:$B$601,2,FALSE)</f>
        <v>Lipsa Sahu</v>
      </c>
      <c r="AW1984" s="54"/>
      <c r="AX1984" s="54"/>
      <c r="BI1984" s="48"/>
      <c r="BJ1984" s="38"/>
      <c r="BK1984" s="38"/>
      <c r="BL1984" s="38"/>
      <c r="BM1984"/>
      <c r="BN1984" s="48"/>
      <c r="BR1984" s="19" t="s">
        <v>741</v>
      </c>
      <c r="BS1984" s="19" t="s">
        <v>4825</v>
      </c>
      <c r="BT1984" s="54" t="str">
        <f t="shared" si="212"/>
        <v>Design</v>
      </c>
    </row>
    <row r="1985" spans="17:72">
      <c r="Q1985" s="18">
        <v>7.99</v>
      </c>
      <c r="R1985" s="56" t="str">
        <f t="shared" si="211"/>
        <v>Yes</v>
      </c>
      <c r="W1985" s="18" t="s">
        <v>741</v>
      </c>
      <c r="X1985" s="54" t="str">
        <f>VLOOKUP(W1985,Employees!$A$1:$B$601,2,FALSE)</f>
        <v>Lipsa Sahu</v>
      </c>
      <c r="AW1985" s="54"/>
      <c r="AX1985" s="54"/>
      <c r="BI1985" s="48"/>
      <c r="BJ1985" s="38"/>
      <c r="BK1985" s="38"/>
      <c r="BL1985" s="38"/>
      <c r="BM1985"/>
      <c r="BN1985" s="48"/>
      <c r="BR1985" s="18" t="s">
        <v>741</v>
      </c>
      <c r="BS1985" s="18" t="s">
        <v>4826</v>
      </c>
      <c r="BT1985" s="54" t="str">
        <f t="shared" si="212"/>
        <v>Design</v>
      </c>
    </row>
    <row r="1986" spans="17:72">
      <c r="Q1986" s="19">
        <v>9.83</v>
      </c>
      <c r="R1986" s="56" t="str">
        <f t="shared" si="211"/>
        <v>Yes</v>
      </c>
      <c r="W1986" s="19" t="s">
        <v>741</v>
      </c>
      <c r="X1986" s="54" t="str">
        <f>VLOOKUP(W1986,Employees!$A$1:$B$601,2,FALSE)</f>
        <v>Lipsa Sahu</v>
      </c>
      <c r="AW1986" s="54"/>
      <c r="AX1986" s="54"/>
      <c r="BI1986" s="48"/>
      <c r="BJ1986" s="38"/>
      <c r="BK1986" s="38"/>
      <c r="BL1986" s="38"/>
      <c r="BM1986"/>
      <c r="BN1986" s="48"/>
      <c r="BR1986" s="19" t="s">
        <v>741</v>
      </c>
      <c r="BS1986" s="19" t="s">
        <v>4828</v>
      </c>
      <c r="BT1986" s="54" t="str">
        <f t="shared" si="212"/>
        <v>Design</v>
      </c>
    </row>
    <row r="1987" spans="17:72">
      <c r="Q1987" s="18">
        <v>9.99</v>
      </c>
      <c r="R1987" s="56" t="str">
        <f t="shared" ref="R1987:R2050" si="213">IF(ISBLANK(Q1987),"No","Yes")</f>
        <v>Yes</v>
      </c>
      <c r="W1987" s="18" t="s">
        <v>741</v>
      </c>
      <c r="X1987" s="54" t="str">
        <f>VLOOKUP(W1987,Employees!$A$1:$B$601,2,FALSE)</f>
        <v>Lipsa Sahu</v>
      </c>
      <c r="AW1987" s="54"/>
      <c r="AX1987" s="54"/>
      <c r="BI1987" s="48"/>
      <c r="BJ1987" s="38"/>
      <c r="BK1987" s="38"/>
      <c r="BL1987" s="38"/>
      <c r="BM1987"/>
      <c r="BN1987" s="48"/>
      <c r="BR1987" s="18" t="s">
        <v>741</v>
      </c>
      <c r="BS1987" s="18" t="s">
        <v>4829</v>
      </c>
      <c r="BT1987" s="54" t="str">
        <f t="shared" ref="BT1987:BT2050" si="214">VLOOKUP(BR1987,$BP$2:$BQ$601,2,FALSE)</f>
        <v>Design</v>
      </c>
    </row>
    <row r="1988" spans="17:72">
      <c r="Q1988" s="19">
        <v>7.2</v>
      </c>
      <c r="R1988" s="56" t="str">
        <f t="shared" si="213"/>
        <v>Yes</v>
      </c>
      <c r="W1988" s="19" t="s">
        <v>741</v>
      </c>
      <c r="X1988" s="54" t="str">
        <f>VLOOKUP(W1988,Employees!$A$1:$B$601,2,FALSE)</f>
        <v>Lipsa Sahu</v>
      </c>
      <c r="AW1988" s="54"/>
      <c r="AX1988" s="54"/>
      <c r="BI1988" s="48"/>
      <c r="BJ1988" s="38"/>
      <c r="BK1988" s="38"/>
      <c r="BL1988" s="38"/>
      <c r="BM1988"/>
      <c r="BN1988" s="48"/>
      <c r="BR1988" s="19" t="s">
        <v>741</v>
      </c>
      <c r="BS1988" s="19" t="s">
        <v>4830</v>
      </c>
      <c r="BT1988" s="54" t="str">
        <f t="shared" si="214"/>
        <v>Design</v>
      </c>
    </row>
    <row r="1989" spans="17:72">
      <c r="Q1989" s="18">
        <v>10.8</v>
      </c>
      <c r="R1989" s="56" t="str">
        <f t="shared" si="213"/>
        <v>Yes</v>
      </c>
      <c r="W1989" s="18" t="s">
        <v>741</v>
      </c>
      <c r="X1989" s="54" t="str">
        <f>VLOOKUP(W1989,Employees!$A$1:$B$601,2,FALSE)</f>
        <v>Lipsa Sahu</v>
      </c>
      <c r="AW1989" s="54"/>
      <c r="AX1989" s="54"/>
      <c r="BI1989" s="48"/>
      <c r="BJ1989" s="38"/>
      <c r="BK1989" s="38"/>
      <c r="BL1989" s="38"/>
      <c r="BM1989"/>
      <c r="BN1989" s="48"/>
      <c r="BR1989" s="18" t="s">
        <v>741</v>
      </c>
      <c r="BS1989" s="18" t="s">
        <v>4831</v>
      </c>
      <c r="BT1989" s="54" t="str">
        <f t="shared" si="214"/>
        <v>Design</v>
      </c>
    </row>
    <row r="1990" spans="17:72">
      <c r="Q1990" s="19">
        <v>7.52</v>
      </c>
      <c r="R1990" s="56" t="str">
        <f t="shared" si="213"/>
        <v>Yes</v>
      </c>
      <c r="W1990" s="19" t="s">
        <v>741</v>
      </c>
      <c r="X1990" s="54" t="str">
        <f>VLOOKUP(W1990,Employees!$A$1:$B$601,2,FALSE)</f>
        <v>Lipsa Sahu</v>
      </c>
      <c r="AW1990" s="54"/>
      <c r="AX1990" s="54"/>
      <c r="BI1990" s="48"/>
      <c r="BJ1990" s="38"/>
      <c r="BK1990" s="38"/>
      <c r="BL1990" s="38"/>
      <c r="BM1990"/>
      <c r="BN1990" s="48"/>
      <c r="BR1990" s="19" t="s">
        <v>741</v>
      </c>
      <c r="BS1990" s="19" t="s">
        <v>4832</v>
      </c>
      <c r="BT1990" s="54" t="str">
        <f t="shared" si="214"/>
        <v>Design</v>
      </c>
    </row>
    <row r="1991" spans="17:72">
      <c r="Q1991" s="18">
        <v>9.77</v>
      </c>
      <c r="R1991" s="56" t="str">
        <f t="shared" si="213"/>
        <v>Yes</v>
      </c>
      <c r="W1991" s="18" t="s">
        <v>741</v>
      </c>
      <c r="X1991" s="54" t="str">
        <f>VLOOKUP(W1991,Employees!$A$1:$B$601,2,FALSE)</f>
        <v>Lipsa Sahu</v>
      </c>
      <c r="AW1991" s="54"/>
      <c r="AX1991" s="54"/>
      <c r="BI1991" s="48"/>
      <c r="BJ1991" s="38"/>
      <c r="BK1991" s="38"/>
      <c r="BL1991" s="38"/>
      <c r="BM1991"/>
      <c r="BN1991" s="48"/>
      <c r="BR1991" s="18" t="s">
        <v>741</v>
      </c>
      <c r="BS1991" s="18" t="s">
        <v>4833</v>
      </c>
      <c r="BT1991" s="54" t="str">
        <f t="shared" si="214"/>
        <v>Design</v>
      </c>
    </row>
    <row r="1992" spans="17:72">
      <c r="Q1992" s="19">
        <v>9.9600000000000009</v>
      </c>
      <c r="R1992" s="56" t="str">
        <f t="shared" si="213"/>
        <v>Yes</v>
      </c>
      <c r="W1992" s="19" t="s">
        <v>741</v>
      </c>
      <c r="X1992" s="54" t="str">
        <f>VLOOKUP(W1992,Employees!$A$1:$B$601,2,FALSE)</f>
        <v>Lipsa Sahu</v>
      </c>
      <c r="AW1992" s="54"/>
      <c r="AX1992" s="54"/>
      <c r="BI1992" s="48"/>
      <c r="BJ1992" s="38"/>
      <c r="BK1992" s="38"/>
      <c r="BL1992" s="38"/>
      <c r="BM1992"/>
      <c r="BN1992" s="48"/>
      <c r="BR1992" s="19" t="s">
        <v>741</v>
      </c>
      <c r="BS1992" s="19" t="s">
        <v>4834</v>
      </c>
      <c r="BT1992" s="54" t="str">
        <f t="shared" si="214"/>
        <v>Design</v>
      </c>
    </row>
    <row r="1993" spans="17:72">
      <c r="Q1993" s="18">
        <v>8.9700000000000006</v>
      </c>
      <c r="R1993" s="56" t="str">
        <f t="shared" si="213"/>
        <v>Yes</v>
      </c>
      <c r="W1993" s="18" t="s">
        <v>741</v>
      </c>
      <c r="X1993" s="54" t="str">
        <f>VLOOKUP(W1993,Employees!$A$1:$B$601,2,FALSE)</f>
        <v>Lipsa Sahu</v>
      </c>
      <c r="AW1993" s="54"/>
      <c r="AX1993" s="54"/>
      <c r="BI1993" s="48"/>
      <c r="BJ1993" s="38"/>
      <c r="BK1993" s="38"/>
      <c r="BL1993" s="38"/>
      <c r="BM1993"/>
      <c r="BN1993" s="48"/>
      <c r="BR1993" s="18" t="s">
        <v>741</v>
      </c>
      <c r="BS1993" s="18" t="s">
        <v>4835</v>
      </c>
      <c r="BT1993" s="54" t="str">
        <f t="shared" si="214"/>
        <v>Design</v>
      </c>
    </row>
    <row r="1994" spans="17:72">
      <c r="Q1994" s="19">
        <v>7.98</v>
      </c>
      <c r="R1994" s="56" t="str">
        <f t="shared" si="213"/>
        <v>Yes</v>
      </c>
      <c r="W1994" s="19" t="s">
        <v>741</v>
      </c>
      <c r="X1994" s="54" t="str">
        <f>VLOOKUP(W1994,Employees!$A$1:$B$601,2,FALSE)</f>
        <v>Lipsa Sahu</v>
      </c>
      <c r="AW1994" s="54"/>
      <c r="AX1994" s="54"/>
      <c r="BI1994" s="48"/>
      <c r="BJ1994" s="38"/>
      <c r="BK1994" s="38"/>
      <c r="BL1994" s="38"/>
      <c r="BM1994"/>
      <c r="BN1994" s="48"/>
      <c r="BR1994" s="19" t="s">
        <v>741</v>
      </c>
      <c r="BS1994" s="19" t="s">
        <v>4836</v>
      </c>
      <c r="BT1994" s="54" t="str">
        <f t="shared" si="214"/>
        <v>Design</v>
      </c>
    </row>
    <row r="1995" spans="17:72">
      <c r="Q1995" s="18">
        <v>7.24</v>
      </c>
      <c r="R1995" s="56" t="str">
        <f t="shared" si="213"/>
        <v>Yes</v>
      </c>
      <c r="W1995" s="18" t="s">
        <v>741</v>
      </c>
      <c r="X1995" s="54" t="str">
        <f>VLOOKUP(W1995,Employees!$A$1:$B$601,2,FALSE)</f>
        <v>Lipsa Sahu</v>
      </c>
      <c r="AW1995" s="54"/>
      <c r="AX1995" s="54"/>
      <c r="BI1995" s="48"/>
      <c r="BJ1995" s="38"/>
      <c r="BK1995" s="38"/>
      <c r="BL1995" s="38"/>
      <c r="BM1995"/>
      <c r="BN1995" s="48"/>
      <c r="BR1995" s="18" t="s">
        <v>741</v>
      </c>
      <c r="BS1995" s="18" t="s">
        <v>4837</v>
      </c>
      <c r="BT1995" s="54" t="str">
        <f t="shared" si="214"/>
        <v>Design</v>
      </c>
    </row>
    <row r="1996" spans="17:72">
      <c r="Q1996" s="19">
        <v>9</v>
      </c>
      <c r="R1996" s="56" t="str">
        <f t="shared" si="213"/>
        <v>Yes</v>
      </c>
      <c r="W1996" s="19" t="s">
        <v>741</v>
      </c>
      <c r="X1996" s="54" t="str">
        <f>VLOOKUP(W1996,Employees!$A$1:$B$601,2,FALSE)</f>
        <v>Lipsa Sahu</v>
      </c>
      <c r="AW1996" s="54"/>
      <c r="AX1996" s="54"/>
      <c r="BI1996" s="48"/>
      <c r="BJ1996" s="38"/>
      <c r="BK1996" s="38"/>
      <c r="BL1996" s="38"/>
      <c r="BM1996"/>
      <c r="BN1996" s="48"/>
      <c r="BR1996" s="19" t="s">
        <v>741</v>
      </c>
      <c r="BS1996" s="19" t="s">
        <v>4838</v>
      </c>
      <c r="BT1996" s="54" t="str">
        <f t="shared" si="214"/>
        <v>Design</v>
      </c>
    </row>
    <row r="1997" spans="17:72">
      <c r="Q1997" s="18">
        <v>10.51</v>
      </c>
      <c r="R1997" s="56" t="str">
        <f t="shared" si="213"/>
        <v>Yes</v>
      </c>
      <c r="W1997" s="18" t="s">
        <v>741</v>
      </c>
      <c r="X1997" s="54" t="str">
        <f>VLOOKUP(W1997,Employees!$A$1:$B$601,2,FALSE)</f>
        <v>Lipsa Sahu</v>
      </c>
      <c r="AW1997" s="54"/>
      <c r="AX1997" s="54"/>
      <c r="BI1997" s="48"/>
      <c r="BJ1997" s="38"/>
      <c r="BK1997" s="38"/>
      <c r="BL1997" s="38"/>
      <c r="BM1997"/>
      <c r="BN1997" s="48"/>
      <c r="BR1997" s="18" t="s">
        <v>741</v>
      </c>
      <c r="BS1997" s="18" t="s">
        <v>4839</v>
      </c>
      <c r="BT1997" s="54" t="str">
        <f t="shared" si="214"/>
        <v>Design</v>
      </c>
    </row>
    <row r="1998" spans="17:72">
      <c r="Q1998" s="19">
        <v>8.56</v>
      </c>
      <c r="R1998" s="56" t="str">
        <f t="shared" si="213"/>
        <v>Yes</v>
      </c>
      <c r="W1998" s="19" t="s">
        <v>741</v>
      </c>
      <c r="X1998" s="54" t="str">
        <f>VLOOKUP(W1998,Employees!$A$1:$B$601,2,FALSE)</f>
        <v>Lipsa Sahu</v>
      </c>
      <c r="AW1998" s="54"/>
      <c r="AX1998" s="54"/>
      <c r="BI1998" s="48"/>
      <c r="BJ1998" s="38"/>
      <c r="BK1998" s="38"/>
      <c r="BL1998" s="38"/>
      <c r="BM1998"/>
      <c r="BN1998" s="48"/>
      <c r="BR1998" s="19" t="s">
        <v>741</v>
      </c>
      <c r="BS1998" s="19" t="s">
        <v>4840</v>
      </c>
      <c r="BT1998" s="54" t="str">
        <f t="shared" si="214"/>
        <v>Design</v>
      </c>
    </row>
    <row r="1999" spans="17:72">
      <c r="Q1999" s="18">
        <v>9.9600000000000009</v>
      </c>
      <c r="R1999" s="56" t="str">
        <f t="shared" si="213"/>
        <v>Yes</v>
      </c>
      <c r="W1999" s="18" t="s">
        <v>741</v>
      </c>
      <c r="X1999" s="54" t="str">
        <f>VLOOKUP(W1999,Employees!$A$1:$B$601,2,FALSE)</f>
        <v>Lipsa Sahu</v>
      </c>
      <c r="AW1999" s="54"/>
      <c r="AX1999" s="54"/>
      <c r="BI1999" s="48"/>
      <c r="BJ1999" s="38"/>
      <c r="BK1999" s="38"/>
      <c r="BL1999" s="38"/>
      <c r="BM1999"/>
      <c r="BN1999" s="48"/>
      <c r="BR1999" s="18" t="s">
        <v>741</v>
      </c>
      <c r="BS1999" s="18" t="s">
        <v>4841</v>
      </c>
      <c r="BT1999" s="54" t="str">
        <f t="shared" si="214"/>
        <v>Design</v>
      </c>
    </row>
    <row r="2000" spans="17:72">
      <c r="Q2000" s="19">
        <v>6.94</v>
      </c>
      <c r="R2000" s="56" t="str">
        <f t="shared" si="213"/>
        <v>Yes</v>
      </c>
      <c r="W2000" s="19" t="s">
        <v>741</v>
      </c>
      <c r="X2000" s="54" t="str">
        <f>VLOOKUP(W2000,Employees!$A$1:$B$601,2,FALSE)</f>
        <v>Lipsa Sahu</v>
      </c>
      <c r="AW2000" s="54"/>
      <c r="AX2000" s="54"/>
      <c r="BI2000" s="48"/>
      <c r="BJ2000" s="38"/>
      <c r="BK2000" s="38"/>
      <c r="BL2000" s="38"/>
      <c r="BM2000"/>
      <c r="BN2000" s="48"/>
      <c r="BR2000" s="19" t="s">
        <v>741</v>
      </c>
      <c r="BS2000" s="19" t="s">
        <v>4842</v>
      </c>
      <c r="BT2000" s="54" t="str">
        <f t="shared" si="214"/>
        <v>Design</v>
      </c>
    </row>
    <row r="2001" spans="17:72">
      <c r="Q2001" s="18">
        <v>9.26</v>
      </c>
      <c r="R2001" s="56" t="str">
        <f t="shared" si="213"/>
        <v>Yes</v>
      </c>
      <c r="W2001" s="18" t="s">
        <v>741</v>
      </c>
      <c r="X2001" s="54" t="str">
        <f>VLOOKUP(W2001,Employees!$A$1:$B$601,2,FALSE)</f>
        <v>Lipsa Sahu</v>
      </c>
      <c r="AW2001" s="54"/>
      <c r="AX2001" s="54"/>
      <c r="BI2001" s="48"/>
      <c r="BJ2001" s="38"/>
      <c r="BK2001" s="38"/>
      <c r="BL2001" s="38"/>
      <c r="BM2001"/>
      <c r="BN2001" s="48"/>
      <c r="BR2001" s="18" t="s">
        <v>741</v>
      </c>
      <c r="BS2001" s="18" t="s">
        <v>4843</v>
      </c>
      <c r="BT2001" s="54" t="str">
        <f t="shared" si="214"/>
        <v>Design</v>
      </c>
    </row>
    <row r="2002" spans="17:72">
      <c r="Q2002" s="19"/>
      <c r="R2002" s="56" t="str">
        <f t="shared" si="213"/>
        <v>No</v>
      </c>
      <c r="W2002" s="19" t="s">
        <v>741</v>
      </c>
      <c r="X2002" s="54" t="str">
        <f>VLOOKUP(W2002,Employees!$A$1:$B$601,2,FALSE)</f>
        <v>Lipsa Sahu</v>
      </c>
      <c r="AW2002" s="54"/>
      <c r="AX2002" s="54"/>
      <c r="BI2002" s="48"/>
      <c r="BJ2002" s="38"/>
      <c r="BK2002" s="38"/>
      <c r="BL2002" s="38"/>
      <c r="BM2002"/>
      <c r="BN2002" s="48"/>
      <c r="BR2002" s="19" t="s">
        <v>741</v>
      </c>
      <c r="BS2002" s="19" t="s">
        <v>4844</v>
      </c>
      <c r="BT2002" s="54" t="str">
        <f t="shared" si="214"/>
        <v>Design</v>
      </c>
    </row>
    <row r="2003" spans="17:72">
      <c r="Q2003" s="18">
        <v>7.89</v>
      </c>
      <c r="R2003" s="56" t="str">
        <f t="shared" si="213"/>
        <v>Yes</v>
      </c>
      <c r="W2003" s="18" t="s">
        <v>741</v>
      </c>
      <c r="X2003" s="54" t="str">
        <f>VLOOKUP(W2003,Employees!$A$1:$B$601,2,FALSE)</f>
        <v>Lipsa Sahu</v>
      </c>
      <c r="AW2003" s="54"/>
      <c r="AX2003" s="54"/>
      <c r="BI2003" s="48"/>
      <c r="BJ2003" s="38"/>
      <c r="BK2003" s="38"/>
      <c r="BL2003" s="38"/>
      <c r="BM2003"/>
      <c r="BN2003" s="48"/>
      <c r="BR2003" s="18" t="s">
        <v>741</v>
      </c>
      <c r="BS2003" s="18" t="s">
        <v>4845</v>
      </c>
      <c r="BT2003" s="54" t="str">
        <f t="shared" si="214"/>
        <v>Design</v>
      </c>
    </row>
    <row r="2004" spans="17:72">
      <c r="Q2004" s="19">
        <v>8.92</v>
      </c>
      <c r="R2004" s="56" t="str">
        <f t="shared" si="213"/>
        <v>Yes</v>
      </c>
      <c r="W2004" s="19" t="s">
        <v>741</v>
      </c>
      <c r="X2004" s="54" t="str">
        <f>VLOOKUP(W2004,Employees!$A$1:$B$601,2,FALSE)</f>
        <v>Lipsa Sahu</v>
      </c>
      <c r="AW2004" s="54"/>
      <c r="AX2004" s="54"/>
      <c r="BI2004" s="48"/>
      <c r="BJ2004" s="38"/>
      <c r="BK2004" s="38"/>
      <c r="BL2004" s="38"/>
      <c r="BM2004"/>
      <c r="BN2004" s="48"/>
      <c r="BR2004" s="19" t="s">
        <v>741</v>
      </c>
      <c r="BS2004" s="19" t="s">
        <v>4846</v>
      </c>
      <c r="BT2004" s="54" t="str">
        <f t="shared" si="214"/>
        <v>Design</v>
      </c>
    </row>
    <row r="2005" spans="17:72">
      <c r="Q2005" s="18">
        <v>6.77</v>
      </c>
      <c r="R2005" s="56" t="str">
        <f t="shared" si="213"/>
        <v>Yes</v>
      </c>
      <c r="W2005" s="18" t="s">
        <v>741</v>
      </c>
      <c r="X2005" s="54" t="str">
        <f>VLOOKUP(W2005,Employees!$A$1:$B$601,2,FALSE)</f>
        <v>Lipsa Sahu</v>
      </c>
      <c r="AW2005" s="54"/>
      <c r="AX2005" s="54"/>
      <c r="BI2005" s="48"/>
      <c r="BJ2005" s="38"/>
      <c r="BK2005" s="38"/>
      <c r="BL2005" s="38"/>
      <c r="BM2005"/>
      <c r="BN2005" s="48"/>
      <c r="BR2005" s="18" t="s">
        <v>741</v>
      </c>
      <c r="BS2005" s="18" t="s">
        <v>4847</v>
      </c>
      <c r="BT2005" s="54" t="str">
        <f t="shared" si="214"/>
        <v>Design</v>
      </c>
    </row>
    <row r="2006" spans="17:72">
      <c r="Q2006" s="19">
        <v>9.4499999999999993</v>
      </c>
      <c r="R2006" s="56" t="str">
        <f t="shared" si="213"/>
        <v>Yes</v>
      </c>
      <c r="W2006" s="19" t="s">
        <v>741</v>
      </c>
      <c r="X2006" s="54" t="str">
        <f>VLOOKUP(W2006,Employees!$A$1:$B$601,2,FALSE)</f>
        <v>Lipsa Sahu</v>
      </c>
      <c r="AW2006" s="54"/>
      <c r="AX2006" s="54"/>
      <c r="BI2006" s="48"/>
      <c r="BJ2006" s="38"/>
      <c r="BK2006" s="38"/>
      <c r="BL2006" s="38"/>
      <c r="BM2006"/>
      <c r="BN2006" s="48"/>
      <c r="BR2006" s="19" t="s">
        <v>741</v>
      </c>
      <c r="BS2006" s="19" t="s">
        <v>4848</v>
      </c>
      <c r="BT2006" s="54" t="str">
        <f t="shared" si="214"/>
        <v>Design</v>
      </c>
    </row>
    <row r="2007" spans="17:72">
      <c r="Q2007" s="18">
        <v>7.11</v>
      </c>
      <c r="R2007" s="56" t="str">
        <f t="shared" si="213"/>
        <v>Yes</v>
      </c>
      <c r="W2007" s="18" t="s">
        <v>741</v>
      </c>
      <c r="X2007" s="54" t="str">
        <f>VLOOKUP(W2007,Employees!$A$1:$B$601,2,FALSE)</f>
        <v>Lipsa Sahu</v>
      </c>
      <c r="AW2007" s="54"/>
      <c r="AX2007" s="54"/>
      <c r="BI2007" s="48"/>
      <c r="BJ2007" s="38"/>
      <c r="BK2007" s="38"/>
      <c r="BL2007" s="38"/>
      <c r="BM2007"/>
      <c r="BN2007" s="48"/>
      <c r="BR2007" s="18" t="s">
        <v>741</v>
      </c>
      <c r="BS2007" s="18" t="s">
        <v>4849</v>
      </c>
      <c r="BT2007" s="54" t="str">
        <f t="shared" si="214"/>
        <v>Design</v>
      </c>
    </row>
    <row r="2008" spans="17:72">
      <c r="Q2008" s="19">
        <v>6.83</v>
      </c>
      <c r="R2008" s="56" t="str">
        <f t="shared" si="213"/>
        <v>Yes</v>
      </c>
      <c r="W2008" s="19" t="s">
        <v>741</v>
      </c>
      <c r="X2008" s="54" t="str">
        <f>VLOOKUP(W2008,Employees!$A$1:$B$601,2,FALSE)</f>
        <v>Lipsa Sahu</v>
      </c>
      <c r="AW2008" s="54"/>
      <c r="AX2008" s="54"/>
      <c r="BI2008" s="48"/>
      <c r="BJ2008" s="38"/>
      <c r="BK2008" s="38"/>
      <c r="BL2008" s="38"/>
      <c r="BM2008"/>
      <c r="BN2008" s="48"/>
      <c r="BR2008" s="19" t="s">
        <v>741</v>
      </c>
      <c r="BS2008" s="19" t="s">
        <v>4850</v>
      </c>
      <c r="BT2008" s="54" t="str">
        <f t="shared" si="214"/>
        <v>Design</v>
      </c>
    </row>
    <row r="2009" spans="17:72">
      <c r="Q2009" s="18"/>
      <c r="R2009" s="56" t="str">
        <f t="shared" si="213"/>
        <v>No</v>
      </c>
      <c r="W2009" s="18" t="s">
        <v>741</v>
      </c>
      <c r="X2009" s="54" t="str">
        <f>VLOOKUP(W2009,Employees!$A$1:$B$601,2,FALSE)</f>
        <v>Lipsa Sahu</v>
      </c>
      <c r="AW2009" s="54"/>
      <c r="AX2009" s="54"/>
      <c r="BI2009" s="48"/>
      <c r="BJ2009" s="38"/>
      <c r="BK2009" s="38"/>
      <c r="BL2009" s="38"/>
      <c r="BM2009"/>
      <c r="BN2009" s="48"/>
      <c r="BR2009" s="18" t="s">
        <v>741</v>
      </c>
      <c r="BS2009" s="18" t="s">
        <v>4851</v>
      </c>
      <c r="BT2009" s="54" t="str">
        <f t="shared" si="214"/>
        <v>Design</v>
      </c>
    </row>
    <row r="2010" spans="17:72">
      <c r="Q2010" s="19">
        <v>9.91</v>
      </c>
      <c r="R2010" s="56" t="str">
        <f t="shared" si="213"/>
        <v>Yes</v>
      </c>
      <c r="W2010" s="19" t="s">
        <v>741</v>
      </c>
      <c r="X2010" s="54" t="str">
        <f>VLOOKUP(W2010,Employees!$A$1:$B$601,2,FALSE)</f>
        <v>Lipsa Sahu</v>
      </c>
      <c r="AW2010" s="54"/>
      <c r="AX2010" s="54"/>
      <c r="BI2010" s="48"/>
      <c r="BJ2010" s="38"/>
      <c r="BK2010" s="38"/>
      <c r="BL2010" s="38"/>
      <c r="BM2010"/>
      <c r="BN2010" s="48"/>
      <c r="BR2010" s="19" t="s">
        <v>741</v>
      </c>
      <c r="BS2010" s="19" t="s">
        <v>4852</v>
      </c>
      <c r="BT2010" s="54" t="str">
        <f t="shared" si="214"/>
        <v>Design</v>
      </c>
    </row>
    <row r="2011" spans="17:72">
      <c r="Q2011" s="18">
        <v>8.23</v>
      </c>
      <c r="R2011" s="56" t="str">
        <f t="shared" si="213"/>
        <v>Yes</v>
      </c>
      <c r="W2011" s="18" t="s">
        <v>741</v>
      </c>
      <c r="X2011" s="54" t="str">
        <f>VLOOKUP(W2011,Employees!$A$1:$B$601,2,FALSE)</f>
        <v>Lipsa Sahu</v>
      </c>
      <c r="AW2011" s="54"/>
      <c r="AX2011" s="54"/>
      <c r="BI2011" s="48"/>
      <c r="BJ2011" s="38"/>
      <c r="BK2011" s="38"/>
      <c r="BL2011" s="38"/>
      <c r="BM2011"/>
      <c r="BN2011" s="48"/>
      <c r="BR2011" s="18" t="s">
        <v>741</v>
      </c>
      <c r="BS2011" s="18" t="s">
        <v>4853</v>
      </c>
      <c r="BT2011" s="54" t="str">
        <f t="shared" si="214"/>
        <v>Design</v>
      </c>
    </row>
    <row r="2012" spans="17:72">
      <c r="Q2012" s="19">
        <v>8.19</v>
      </c>
      <c r="R2012" s="56" t="str">
        <f t="shared" si="213"/>
        <v>Yes</v>
      </c>
      <c r="W2012" s="19" t="s">
        <v>741</v>
      </c>
      <c r="X2012" s="54" t="str">
        <f>VLOOKUP(W2012,Employees!$A$1:$B$601,2,FALSE)</f>
        <v>Lipsa Sahu</v>
      </c>
      <c r="AW2012" s="54"/>
      <c r="AX2012" s="54"/>
      <c r="BI2012" s="48"/>
      <c r="BJ2012" s="38"/>
      <c r="BK2012" s="38"/>
      <c r="BL2012" s="38"/>
      <c r="BM2012"/>
      <c r="BN2012" s="48"/>
      <c r="BR2012" s="19" t="s">
        <v>741</v>
      </c>
      <c r="BS2012" s="19" t="s">
        <v>4854</v>
      </c>
      <c r="BT2012" s="54" t="str">
        <f t="shared" si="214"/>
        <v>Design</v>
      </c>
    </row>
    <row r="2013" spans="17:72">
      <c r="Q2013" s="18">
        <v>11.43</v>
      </c>
      <c r="R2013" s="56" t="str">
        <f t="shared" si="213"/>
        <v>Yes</v>
      </c>
      <c r="W2013" s="18" t="s">
        <v>741</v>
      </c>
      <c r="X2013" s="54" t="str">
        <f>VLOOKUP(W2013,Employees!$A$1:$B$601,2,FALSE)</f>
        <v>Lipsa Sahu</v>
      </c>
      <c r="AW2013" s="54"/>
      <c r="AX2013" s="54"/>
      <c r="BI2013" s="48"/>
      <c r="BJ2013" s="38"/>
      <c r="BK2013" s="38"/>
      <c r="BL2013" s="38"/>
      <c r="BM2013"/>
      <c r="BN2013" s="48"/>
      <c r="BR2013" s="18" t="s">
        <v>741</v>
      </c>
      <c r="BS2013" s="18" t="s">
        <v>4855</v>
      </c>
      <c r="BT2013" s="54" t="str">
        <f t="shared" si="214"/>
        <v>Design</v>
      </c>
    </row>
    <row r="2014" spans="17:72">
      <c r="Q2014" s="19">
        <v>9.75</v>
      </c>
      <c r="R2014" s="56" t="str">
        <f t="shared" si="213"/>
        <v>Yes</v>
      </c>
      <c r="W2014" s="19" t="s">
        <v>741</v>
      </c>
      <c r="X2014" s="54" t="str">
        <f>VLOOKUP(W2014,Employees!$A$1:$B$601,2,FALSE)</f>
        <v>Lipsa Sahu</v>
      </c>
      <c r="AW2014" s="54"/>
      <c r="AX2014" s="54"/>
      <c r="BI2014" s="48"/>
      <c r="BJ2014" s="38"/>
      <c r="BK2014" s="38"/>
      <c r="BL2014" s="38"/>
      <c r="BM2014"/>
      <c r="BN2014" s="48"/>
      <c r="BR2014" s="19" t="s">
        <v>741</v>
      </c>
      <c r="BS2014" s="19" t="s">
        <v>4856</v>
      </c>
      <c r="BT2014" s="54" t="str">
        <f t="shared" si="214"/>
        <v>Design</v>
      </c>
    </row>
    <row r="2015" spans="17:72">
      <c r="Q2015" s="18">
        <v>10.41</v>
      </c>
      <c r="R2015" s="56" t="str">
        <f t="shared" si="213"/>
        <v>Yes</v>
      </c>
      <c r="W2015" s="18" t="s">
        <v>741</v>
      </c>
      <c r="X2015" s="54" t="str">
        <f>VLOOKUP(W2015,Employees!$A$1:$B$601,2,FALSE)</f>
        <v>Lipsa Sahu</v>
      </c>
      <c r="AW2015" s="54"/>
      <c r="AX2015" s="54"/>
      <c r="BI2015" s="48"/>
      <c r="BJ2015" s="38"/>
      <c r="BK2015" s="38"/>
      <c r="BL2015" s="38"/>
      <c r="BM2015"/>
      <c r="BN2015" s="48"/>
      <c r="BR2015" s="18" t="s">
        <v>741</v>
      </c>
      <c r="BS2015" s="18" t="s">
        <v>4857</v>
      </c>
      <c r="BT2015" s="54" t="str">
        <f t="shared" si="214"/>
        <v>Design</v>
      </c>
    </row>
    <row r="2016" spans="17:72">
      <c r="Q2016" s="19">
        <v>7.81</v>
      </c>
      <c r="R2016" s="56" t="str">
        <f t="shared" si="213"/>
        <v>Yes</v>
      </c>
      <c r="W2016" s="19" t="s">
        <v>741</v>
      </c>
      <c r="X2016" s="54" t="str">
        <f>VLOOKUP(W2016,Employees!$A$1:$B$601,2,FALSE)</f>
        <v>Lipsa Sahu</v>
      </c>
      <c r="AW2016" s="54"/>
      <c r="AX2016" s="54"/>
      <c r="BI2016" s="48"/>
      <c r="BJ2016" s="38"/>
      <c r="BK2016" s="38"/>
      <c r="BL2016" s="38"/>
      <c r="BM2016"/>
      <c r="BN2016" s="48"/>
      <c r="BR2016" s="19" t="s">
        <v>741</v>
      </c>
      <c r="BS2016" s="19" t="s">
        <v>4858</v>
      </c>
      <c r="BT2016" s="54" t="str">
        <f t="shared" si="214"/>
        <v>Design</v>
      </c>
    </row>
    <row r="2017" spans="17:72">
      <c r="Q2017" s="18">
        <v>7.77</v>
      </c>
      <c r="R2017" s="56" t="str">
        <f t="shared" si="213"/>
        <v>Yes</v>
      </c>
      <c r="W2017" s="18" t="s">
        <v>741</v>
      </c>
      <c r="X2017" s="54" t="str">
        <f>VLOOKUP(W2017,Employees!$A$1:$B$601,2,FALSE)</f>
        <v>Lipsa Sahu</v>
      </c>
      <c r="AW2017" s="54"/>
      <c r="AX2017" s="54"/>
      <c r="BI2017" s="48"/>
      <c r="BJ2017" s="38"/>
      <c r="BK2017" s="38"/>
      <c r="BL2017" s="38"/>
      <c r="BM2017"/>
      <c r="BN2017" s="48"/>
      <c r="BR2017" s="18" t="s">
        <v>741</v>
      </c>
      <c r="BS2017" s="18" t="s">
        <v>4859</v>
      </c>
      <c r="BT2017" s="54" t="str">
        <f t="shared" si="214"/>
        <v>Design</v>
      </c>
    </row>
    <row r="2018" spans="17:72">
      <c r="Q2018" s="19"/>
      <c r="R2018" s="56" t="str">
        <f t="shared" si="213"/>
        <v>No</v>
      </c>
      <c r="W2018" s="19" t="s">
        <v>741</v>
      </c>
      <c r="X2018" s="54" t="str">
        <f>VLOOKUP(W2018,Employees!$A$1:$B$601,2,FALSE)</f>
        <v>Lipsa Sahu</v>
      </c>
      <c r="AW2018" s="54"/>
      <c r="AX2018" s="54"/>
      <c r="BI2018" s="48"/>
      <c r="BJ2018" s="38"/>
      <c r="BK2018" s="38"/>
      <c r="BL2018" s="38"/>
      <c r="BM2018"/>
      <c r="BN2018" s="48"/>
      <c r="BR2018" s="19" t="s">
        <v>741</v>
      </c>
      <c r="BS2018" s="19" t="s">
        <v>4860</v>
      </c>
      <c r="BT2018" s="54" t="str">
        <f t="shared" si="214"/>
        <v>Design</v>
      </c>
    </row>
    <row r="2019" spans="17:72">
      <c r="Q2019" s="18">
        <v>7.2</v>
      </c>
      <c r="R2019" s="56" t="str">
        <f t="shared" si="213"/>
        <v>Yes</v>
      </c>
      <c r="W2019" s="18" t="s">
        <v>741</v>
      </c>
      <c r="X2019" s="54" t="str">
        <f>VLOOKUP(W2019,Employees!$A$1:$B$601,2,FALSE)</f>
        <v>Lipsa Sahu</v>
      </c>
      <c r="AW2019" s="54"/>
      <c r="AX2019" s="54"/>
      <c r="BI2019" s="48"/>
      <c r="BJ2019" s="38"/>
      <c r="BK2019" s="38"/>
      <c r="BL2019" s="38"/>
      <c r="BM2019"/>
      <c r="BN2019" s="48"/>
      <c r="BR2019" s="18" t="s">
        <v>741</v>
      </c>
      <c r="BS2019" s="18" t="s">
        <v>4861</v>
      </c>
      <c r="BT2019" s="54" t="str">
        <f t="shared" si="214"/>
        <v>Design</v>
      </c>
    </row>
    <row r="2020" spans="17:72">
      <c r="Q2020" s="19">
        <v>7.3</v>
      </c>
      <c r="R2020" s="56" t="str">
        <f t="shared" si="213"/>
        <v>Yes</v>
      </c>
      <c r="W2020" s="19" t="s">
        <v>741</v>
      </c>
      <c r="X2020" s="54" t="str">
        <f>VLOOKUP(W2020,Employees!$A$1:$B$601,2,FALSE)</f>
        <v>Lipsa Sahu</v>
      </c>
      <c r="AW2020" s="54"/>
      <c r="AX2020" s="54"/>
      <c r="BI2020" s="48"/>
      <c r="BJ2020" s="38"/>
      <c r="BK2020" s="38"/>
      <c r="BL2020" s="38"/>
      <c r="BM2020"/>
      <c r="BN2020" s="48"/>
      <c r="BR2020" s="19" t="s">
        <v>741</v>
      </c>
      <c r="BS2020" s="19" t="s">
        <v>4862</v>
      </c>
      <c r="BT2020" s="54" t="str">
        <f t="shared" si="214"/>
        <v>Design</v>
      </c>
    </row>
    <row r="2021" spans="17:72">
      <c r="Q2021" s="18">
        <v>7.57</v>
      </c>
      <c r="R2021" s="56" t="str">
        <f t="shared" si="213"/>
        <v>Yes</v>
      </c>
      <c r="W2021" s="18" t="s">
        <v>741</v>
      </c>
      <c r="X2021" s="54" t="str">
        <f>VLOOKUP(W2021,Employees!$A$1:$B$601,2,FALSE)</f>
        <v>Lipsa Sahu</v>
      </c>
      <c r="AW2021" s="54"/>
      <c r="AX2021" s="54"/>
      <c r="BI2021" s="48"/>
      <c r="BJ2021" s="38"/>
      <c r="BK2021" s="38"/>
      <c r="BL2021" s="38"/>
      <c r="BM2021"/>
      <c r="BN2021" s="48"/>
      <c r="BR2021" s="18" t="s">
        <v>741</v>
      </c>
      <c r="BS2021" s="18" t="s">
        <v>4863</v>
      </c>
      <c r="BT2021" s="54" t="str">
        <f t="shared" si="214"/>
        <v>Design</v>
      </c>
    </row>
    <row r="2022" spans="17:72">
      <c r="Q2022" s="19">
        <v>10.64</v>
      </c>
      <c r="R2022" s="56" t="str">
        <f t="shared" si="213"/>
        <v>Yes</v>
      </c>
      <c r="W2022" s="19" t="s">
        <v>741</v>
      </c>
      <c r="X2022" s="54" t="str">
        <f>VLOOKUP(W2022,Employees!$A$1:$B$601,2,FALSE)</f>
        <v>Lipsa Sahu</v>
      </c>
      <c r="AW2022" s="54"/>
      <c r="AX2022" s="54"/>
      <c r="BI2022" s="48"/>
      <c r="BJ2022" s="38"/>
      <c r="BK2022" s="38"/>
      <c r="BL2022" s="38"/>
      <c r="BM2022"/>
      <c r="BN2022" s="48"/>
      <c r="BR2022" s="19" t="s">
        <v>741</v>
      </c>
      <c r="BS2022" s="19" t="s">
        <v>4864</v>
      </c>
      <c r="BT2022" s="54" t="str">
        <f t="shared" si="214"/>
        <v>Design</v>
      </c>
    </row>
    <row r="2023" spans="17:72">
      <c r="Q2023" s="18">
        <v>10.34</v>
      </c>
      <c r="R2023" s="56" t="str">
        <f t="shared" si="213"/>
        <v>Yes</v>
      </c>
      <c r="W2023" s="18" t="s">
        <v>1495</v>
      </c>
      <c r="X2023" s="54" t="str">
        <f>VLOOKUP(W2023,Employees!$A$1:$B$601,2,FALSE)</f>
        <v>Ipsita Parida</v>
      </c>
      <c r="AW2023" s="54"/>
      <c r="AX2023" s="54"/>
      <c r="BI2023" s="48"/>
      <c r="BJ2023" s="38"/>
      <c r="BK2023" s="38"/>
      <c r="BL2023" s="38"/>
      <c r="BM2023"/>
      <c r="BN2023" s="48"/>
      <c r="BR2023" s="18" t="s">
        <v>1495</v>
      </c>
      <c r="BS2023" s="18" t="s">
        <v>4865</v>
      </c>
      <c r="BT2023" s="54" t="str">
        <f t="shared" si="214"/>
        <v>QA</v>
      </c>
    </row>
    <row r="2024" spans="17:72">
      <c r="Q2024" s="19">
        <v>6.98</v>
      </c>
      <c r="R2024" s="56" t="str">
        <f t="shared" si="213"/>
        <v>Yes</v>
      </c>
      <c r="W2024" s="19" t="s">
        <v>1495</v>
      </c>
      <c r="X2024" s="54" t="str">
        <f>VLOOKUP(W2024,Employees!$A$1:$B$601,2,FALSE)</f>
        <v>Ipsita Parida</v>
      </c>
      <c r="AW2024" s="54"/>
      <c r="AX2024" s="54"/>
      <c r="BI2024" s="48"/>
      <c r="BJ2024" s="38"/>
      <c r="BK2024" s="38"/>
      <c r="BL2024" s="38"/>
      <c r="BM2024"/>
      <c r="BN2024" s="48"/>
      <c r="BR2024" s="19" t="s">
        <v>1495</v>
      </c>
      <c r="BS2024" s="19" t="s">
        <v>4866</v>
      </c>
      <c r="BT2024" s="54" t="str">
        <f t="shared" si="214"/>
        <v>QA</v>
      </c>
    </row>
    <row r="2025" spans="17:72">
      <c r="Q2025" s="18">
        <v>9.33</v>
      </c>
      <c r="R2025" s="56" t="str">
        <f t="shared" si="213"/>
        <v>Yes</v>
      </c>
      <c r="W2025" s="18" t="s">
        <v>1495</v>
      </c>
      <c r="X2025" s="54" t="str">
        <f>VLOOKUP(W2025,Employees!$A$1:$B$601,2,FALSE)</f>
        <v>Ipsita Parida</v>
      </c>
      <c r="AW2025" s="54"/>
      <c r="AX2025" s="54"/>
      <c r="BI2025" s="48"/>
      <c r="BJ2025" s="38"/>
      <c r="BK2025" s="38"/>
      <c r="BL2025" s="38"/>
      <c r="BM2025"/>
      <c r="BN2025" s="48"/>
      <c r="BR2025" s="18" t="s">
        <v>1495</v>
      </c>
      <c r="BS2025" s="18" t="s">
        <v>4867</v>
      </c>
      <c r="BT2025" s="54" t="str">
        <f t="shared" si="214"/>
        <v>QA</v>
      </c>
    </row>
    <row r="2026" spans="17:72">
      <c r="Q2026" s="19">
        <v>9.61</v>
      </c>
      <c r="R2026" s="56" t="str">
        <f t="shared" si="213"/>
        <v>Yes</v>
      </c>
      <c r="W2026" s="19" t="s">
        <v>1495</v>
      </c>
      <c r="X2026" s="54" t="str">
        <f>VLOOKUP(W2026,Employees!$A$1:$B$601,2,FALSE)</f>
        <v>Ipsita Parida</v>
      </c>
      <c r="AW2026" s="54"/>
      <c r="AX2026" s="54"/>
      <c r="BI2026" s="48"/>
      <c r="BJ2026" s="38"/>
      <c r="BK2026" s="38"/>
      <c r="BL2026" s="38"/>
      <c r="BM2026"/>
      <c r="BN2026" s="48"/>
      <c r="BR2026" s="19" t="s">
        <v>1495</v>
      </c>
      <c r="BS2026" s="19" t="s">
        <v>4868</v>
      </c>
      <c r="BT2026" s="54" t="str">
        <f t="shared" si="214"/>
        <v>QA</v>
      </c>
    </row>
    <row r="2027" spans="17:72">
      <c r="Q2027" s="18">
        <v>9.9700000000000006</v>
      </c>
      <c r="R2027" s="56" t="str">
        <f t="shared" si="213"/>
        <v>Yes</v>
      </c>
      <c r="W2027" s="18" t="s">
        <v>1495</v>
      </c>
      <c r="X2027" s="54" t="str">
        <f>VLOOKUP(W2027,Employees!$A$1:$B$601,2,FALSE)</f>
        <v>Ipsita Parida</v>
      </c>
      <c r="AW2027" s="54"/>
      <c r="AX2027" s="54"/>
      <c r="BI2027" s="48"/>
      <c r="BJ2027" s="38"/>
      <c r="BK2027" s="38"/>
      <c r="BL2027" s="38"/>
      <c r="BM2027"/>
      <c r="BN2027" s="48"/>
      <c r="BR2027" s="18" t="s">
        <v>1495</v>
      </c>
      <c r="BS2027" s="18" t="s">
        <v>4869</v>
      </c>
      <c r="BT2027" s="54" t="str">
        <f t="shared" si="214"/>
        <v>QA</v>
      </c>
    </row>
    <row r="2028" spans="17:72">
      <c r="Q2028" s="19">
        <v>9.7200000000000006</v>
      </c>
      <c r="R2028" s="56" t="str">
        <f t="shared" si="213"/>
        <v>Yes</v>
      </c>
      <c r="W2028" s="19" t="s">
        <v>1495</v>
      </c>
      <c r="X2028" s="54" t="str">
        <f>VLOOKUP(W2028,Employees!$A$1:$B$601,2,FALSE)</f>
        <v>Ipsita Parida</v>
      </c>
      <c r="AW2028" s="54"/>
      <c r="AX2028" s="54"/>
      <c r="BI2028" s="48"/>
      <c r="BJ2028" s="38"/>
      <c r="BK2028" s="38"/>
      <c r="BL2028" s="38"/>
      <c r="BM2028"/>
      <c r="BN2028" s="48"/>
      <c r="BR2028" s="19" t="s">
        <v>1495</v>
      </c>
      <c r="BS2028" s="19" t="s">
        <v>4870</v>
      </c>
      <c r="BT2028" s="54" t="str">
        <f t="shared" si="214"/>
        <v>QA</v>
      </c>
    </row>
    <row r="2029" spans="17:72">
      <c r="Q2029" s="18">
        <v>9.98</v>
      </c>
      <c r="R2029" s="56" t="str">
        <f t="shared" si="213"/>
        <v>Yes</v>
      </c>
      <c r="W2029" s="18" t="s">
        <v>1495</v>
      </c>
      <c r="X2029" s="54" t="str">
        <f>VLOOKUP(W2029,Employees!$A$1:$B$601,2,FALSE)</f>
        <v>Ipsita Parida</v>
      </c>
      <c r="AW2029" s="54"/>
      <c r="AX2029" s="54"/>
      <c r="BI2029" s="48"/>
      <c r="BJ2029" s="38"/>
      <c r="BK2029" s="38"/>
      <c r="BL2029" s="38"/>
      <c r="BM2029"/>
      <c r="BN2029" s="48"/>
      <c r="BR2029" s="18" t="s">
        <v>1495</v>
      </c>
      <c r="BS2029" s="18" t="s">
        <v>4871</v>
      </c>
      <c r="BT2029" s="54" t="str">
        <f t="shared" si="214"/>
        <v>QA</v>
      </c>
    </row>
    <row r="2030" spans="17:72">
      <c r="Q2030" s="19">
        <v>9.41</v>
      </c>
      <c r="R2030" s="56" t="str">
        <f t="shared" si="213"/>
        <v>Yes</v>
      </c>
      <c r="W2030" s="19" t="s">
        <v>1495</v>
      </c>
      <c r="X2030" s="54" t="str">
        <f>VLOOKUP(W2030,Employees!$A$1:$B$601,2,FALSE)</f>
        <v>Ipsita Parida</v>
      </c>
      <c r="AW2030" s="54"/>
      <c r="AX2030" s="54"/>
      <c r="BI2030" s="48"/>
      <c r="BJ2030" s="38"/>
      <c r="BK2030" s="38"/>
      <c r="BL2030" s="38"/>
      <c r="BM2030"/>
      <c r="BN2030" s="48"/>
      <c r="BR2030" s="19" t="s">
        <v>1495</v>
      </c>
      <c r="BS2030" s="19" t="s">
        <v>4872</v>
      </c>
      <c r="BT2030" s="54" t="str">
        <f t="shared" si="214"/>
        <v>QA</v>
      </c>
    </row>
    <row r="2031" spans="17:72">
      <c r="Q2031" s="18">
        <v>9.1300000000000008</v>
      </c>
      <c r="R2031" s="56" t="str">
        <f t="shared" si="213"/>
        <v>Yes</v>
      </c>
      <c r="W2031" s="18" t="s">
        <v>1495</v>
      </c>
      <c r="X2031" s="54" t="str">
        <f>VLOOKUP(W2031,Employees!$A$1:$B$601,2,FALSE)</f>
        <v>Ipsita Parida</v>
      </c>
      <c r="AW2031" s="54"/>
      <c r="AX2031" s="54"/>
      <c r="BI2031" s="48"/>
      <c r="BJ2031" s="38"/>
      <c r="BK2031" s="38"/>
      <c r="BL2031" s="38"/>
      <c r="BM2031"/>
      <c r="BN2031" s="48"/>
      <c r="BR2031" s="18" t="s">
        <v>1495</v>
      </c>
      <c r="BS2031" s="18" t="s">
        <v>4873</v>
      </c>
      <c r="BT2031" s="54" t="str">
        <f t="shared" si="214"/>
        <v>QA</v>
      </c>
    </row>
    <row r="2032" spans="17:72">
      <c r="Q2032" s="19">
        <v>10.57</v>
      </c>
      <c r="R2032" s="56" t="str">
        <f t="shared" si="213"/>
        <v>Yes</v>
      </c>
      <c r="W2032" s="19" t="s">
        <v>1495</v>
      </c>
      <c r="X2032" s="54" t="str">
        <f>VLOOKUP(W2032,Employees!$A$1:$B$601,2,FALSE)</f>
        <v>Ipsita Parida</v>
      </c>
      <c r="AW2032" s="54"/>
      <c r="AX2032" s="54"/>
      <c r="BI2032" s="48"/>
      <c r="BJ2032" s="38"/>
      <c r="BK2032" s="38"/>
      <c r="BL2032" s="38"/>
      <c r="BM2032"/>
      <c r="BN2032" s="48"/>
      <c r="BR2032" s="19" t="s">
        <v>1495</v>
      </c>
      <c r="BS2032" s="19" t="s">
        <v>4874</v>
      </c>
      <c r="BT2032" s="54" t="str">
        <f t="shared" si="214"/>
        <v>QA</v>
      </c>
    </row>
    <row r="2033" spans="17:72">
      <c r="Q2033" s="18">
        <v>8.1999999999999993</v>
      </c>
      <c r="R2033" s="56" t="str">
        <f t="shared" si="213"/>
        <v>Yes</v>
      </c>
      <c r="W2033" s="18" t="s">
        <v>1495</v>
      </c>
      <c r="X2033" s="54" t="str">
        <f>VLOOKUP(W2033,Employees!$A$1:$B$601,2,FALSE)</f>
        <v>Ipsita Parida</v>
      </c>
      <c r="AW2033" s="54"/>
      <c r="AX2033" s="54"/>
      <c r="BI2033" s="48"/>
      <c r="BJ2033" s="38"/>
      <c r="BK2033" s="38"/>
      <c r="BL2033" s="38"/>
      <c r="BM2033"/>
      <c r="BN2033" s="48"/>
      <c r="BR2033" s="18" t="s">
        <v>1495</v>
      </c>
      <c r="BS2033" s="18" t="s">
        <v>4875</v>
      </c>
      <c r="BT2033" s="54" t="str">
        <f t="shared" si="214"/>
        <v>QA</v>
      </c>
    </row>
    <row r="2034" spans="17:72">
      <c r="Q2034" s="19">
        <v>8.82</v>
      </c>
      <c r="R2034" s="56" t="str">
        <f t="shared" si="213"/>
        <v>Yes</v>
      </c>
      <c r="W2034" s="19" t="s">
        <v>1495</v>
      </c>
      <c r="X2034" s="54" t="str">
        <f>VLOOKUP(W2034,Employees!$A$1:$B$601,2,FALSE)</f>
        <v>Ipsita Parida</v>
      </c>
      <c r="AW2034" s="54"/>
      <c r="AX2034" s="54"/>
      <c r="BI2034" s="48"/>
      <c r="BJ2034" s="38"/>
      <c r="BK2034" s="38"/>
      <c r="BL2034" s="38"/>
      <c r="BM2034"/>
      <c r="BN2034" s="48"/>
      <c r="BR2034" s="19" t="s">
        <v>1495</v>
      </c>
      <c r="BS2034" s="19" t="s">
        <v>4876</v>
      </c>
      <c r="BT2034" s="54" t="str">
        <f t="shared" si="214"/>
        <v>QA</v>
      </c>
    </row>
    <row r="2035" spans="17:72">
      <c r="Q2035" s="18">
        <v>7.07</v>
      </c>
      <c r="R2035" s="56" t="str">
        <f t="shared" si="213"/>
        <v>Yes</v>
      </c>
      <c r="W2035" s="18" t="s">
        <v>1495</v>
      </c>
      <c r="X2035" s="54" t="str">
        <f>VLOOKUP(W2035,Employees!$A$1:$B$601,2,FALSE)</f>
        <v>Ipsita Parida</v>
      </c>
      <c r="AW2035" s="54"/>
      <c r="AX2035" s="54"/>
      <c r="BI2035" s="48"/>
      <c r="BJ2035" s="38"/>
      <c r="BK2035" s="38"/>
      <c r="BL2035" s="38"/>
      <c r="BM2035"/>
      <c r="BN2035" s="48"/>
      <c r="BR2035" s="18" t="s">
        <v>1495</v>
      </c>
      <c r="BS2035" s="18" t="s">
        <v>4877</v>
      </c>
      <c r="BT2035" s="54" t="str">
        <f t="shared" si="214"/>
        <v>QA</v>
      </c>
    </row>
    <row r="2036" spans="17:72">
      <c r="Q2036" s="19">
        <v>11.44</v>
      </c>
      <c r="R2036" s="56" t="str">
        <f t="shared" si="213"/>
        <v>Yes</v>
      </c>
      <c r="W2036" s="19" t="s">
        <v>1495</v>
      </c>
      <c r="X2036" s="54" t="str">
        <f>VLOOKUP(W2036,Employees!$A$1:$B$601,2,FALSE)</f>
        <v>Ipsita Parida</v>
      </c>
      <c r="AW2036" s="54"/>
      <c r="AX2036" s="54"/>
      <c r="BI2036" s="48"/>
      <c r="BJ2036" s="38"/>
      <c r="BK2036" s="38"/>
      <c r="BL2036" s="38"/>
      <c r="BM2036"/>
      <c r="BN2036" s="48"/>
      <c r="BR2036" s="19" t="s">
        <v>1495</v>
      </c>
      <c r="BS2036" s="19" t="s">
        <v>4878</v>
      </c>
      <c r="BT2036" s="54" t="str">
        <f t="shared" si="214"/>
        <v>QA</v>
      </c>
    </row>
    <row r="2037" spans="17:72">
      <c r="Q2037" s="18">
        <v>8.91</v>
      </c>
      <c r="R2037" s="56" t="str">
        <f t="shared" si="213"/>
        <v>Yes</v>
      </c>
      <c r="W2037" s="18" t="s">
        <v>1495</v>
      </c>
      <c r="X2037" s="54" t="str">
        <f>VLOOKUP(W2037,Employees!$A$1:$B$601,2,FALSE)</f>
        <v>Ipsita Parida</v>
      </c>
      <c r="AW2037" s="54"/>
      <c r="AX2037" s="54"/>
      <c r="BI2037" s="48"/>
      <c r="BJ2037" s="38"/>
      <c r="BK2037" s="38"/>
      <c r="BL2037" s="38"/>
      <c r="BM2037"/>
      <c r="BN2037" s="48"/>
      <c r="BR2037" s="18" t="s">
        <v>1495</v>
      </c>
      <c r="BS2037" s="18" t="s">
        <v>4879</v>
      </c>
      <c r="BT2037" s="54" t="str">
        <f t="shared" si="214"/>
        <v>QA</v>
      </c>
    </row>
    <row r="2038" spans="17:72">
      <c r="Q2038" s="19">
        <v>7.63</v>
      </c>
      <c r="R2038" s="56" t="str">
        <f t="shared" si="213"/>
        <v>Yes</v>
      </c>
      <c r="W2038" s="19" t="s">
        <v>1495</v>
      </c>
      <c r="X2038" s="54" t="str">
        <f>VLOOKUP(W2038,Employees!$A$1:$B$601,2,FALSE)</f>
        <v>Ipsita Parida</v>
      </c>
      <c r="AW2038" s="54"/>
      <c r="AX2038" s="54"/>
      <c r="BI2038" s="48"/>
      <c r="BJ2038" s="38"/>
      <c r="BK2038" s="38"/>
      <c r="BL2038" s="38"/>
      <c r="BM2038"/>
      <c r="BN2038" s="48"/>
      <c r="BR2038" s="19" t="s">
        <v>1495</v>
      </c>
      <c r="BS2038" s="19" t="s">
        <v>4880</v>
      </c>
      <c r="BT2038" s="54" t="str">
        <f t="shared" si="214"/>
        <v>QA</v>
      </c>
    </row>
    <row r="2039" spans="17:72">
      <c r="Q2039" s="18">
        <v>8.57</v>
      </c>
      <c r="R2039" s="56" t="str">
        <f t="shared" si="213"/>
        <v>Yes</v>
      </c>
      <c r="W2039" s="18" t="s">
        <v>1495</v>
      </c>
      <c r="X2039" s="54" t="str">
        <f>VLOOKUP(W2039,Employees!$A$1:$B$601,2,FALSE)</f>
        <v>Ipsita Parida</v>
      </c>
      <c r="AW2039" s="54"/>
      <c r="AX2039" s="54"/>
      <c r="BI2039" s="48"/>
      <c r="BJ2039" s="38"/>
      <c r="BK2039" s="38"/>
      <c r="BL2039" s="38"/>
      <c r="BM2039"/>
      <c r="BN2039" s="48"/>
      <c r="BR2039" s="18" t="s">
        <v>1495</v>
      </c>
      <c r="BS2039" s="18" t="s">
        <v>4881</v>
      </c>
      <c r="BT2039" s="54" t="str">
        <f t="shared" si="214"/>
        <v>QA</v>
      </c>
    </row>
    <row r="2040" spans="17:72">
      <c r="Q2040" s="19">
        <v>10.73</v>
      </c>
      <c r="R2040" s="56" t="str">
        <f t="shared" si="213"/>
        <v>Yes</v>
      </c>
      <c r="W2040" s="19" t="s">
        <v>1495</v>
      </c>
      <c r="X2040" s="54" t="str">
        <f>VLOOKUP(W2040,Employees!$A$1:$B$601,2,FALSE)</f>
        <v>Ipsita Parida</v>
      </c>
      <c r="AW2040" s="54"/>
      <c r="AX2040" s="54"/>
      <c r="BI2040" s="48"/>
      <c r="BJ2040" s="38"/>
      <c r="BK2040" s="38"/>
      <c r="BL2040" s="38"/>
      <c r="BM2040"/>
      <c r="BN2040" s="48"/>
      <c r="BR2040" s="19" t="s">
        <v>1495</v>
      </c>
      <c r="BS2040" s="19" t="s">
        <v>4882</v>
      </c>
      <c r="BT2040" s="54" t="str">
        <f t="shared" si="214"/>
        <v>QA</v>
      </c>
    </row>
    <row r="2041" spans="17:72">
      <c r="Q2041" s="18">
        <v>11.26</v>
      </c>
      <c r="R2041" s="56" t="str">
        <f t="shared" si="213"/>
        <v>Yes</v>
      </c>
      <c r="W2041" s="18" t="s">
        <v>1495</v>
      </c>
      <c r="X2041" s="54" t="str">
        <f>VLOOKUP(W2041,Employees!$A$1:$B$601,2,FALSE)</f>
        <v>Ipsita Parida</v>
      </c>
      <c r="AW2041" s="54"/>
      <c r="AX2041" s="54"/>
      <c r="BI2041" s="48"/>
      <c r="BJ2041" s="38"/>
      <c r="BK2041" s="38"/>
      <c r="BL2041" s="38"/>
      <c r="BM2041"/>
      <c r="BN2041" s="48"/>
      <c r="BR2041" s="18" t="s">
        <v>1495</v>
      </c>
      <c r="BS2041" s="18" t="s">
        <v>4883</v>
      </c>
      <c r="BT2041" s="54" t="str">
        <f t="shared" si="214"/>
        <v>QA</v>
      </c>
    </row>
    <row r="2042" spans="17:72">
      <c r="Q2042" s="19">
        <v>8.93</v>
      </c>
      <c r="R2042" s="56" t="str">
        <f t="shared" si="213"/>
        <v>Yes</v>
      </c>
      <c r="W2042" s="19" t="s">
        <v>1495</v>
      </c>
      <c r="X2042" s="54" t="str">
        <f>VLOOKUP(W2042,Employees!$A$1:$B$601,2,FALSE)</f>
        <v>Ipsita Parida</v>
      </c>
      <c r="AW2042" s="54"/>
      <c r="AX2042" s="54"/>
      <c r="BI2042" s="48"/>
      <c r="BJ2042" s="38"/>
      <c r="BK2042" s="38"/>
      <c r="BL2042" s="38"/>
      <c r="BM2042"/>
      <c r="BN2042" s="48"/>
      <c r="BR2042" s="19" t="s">
        <v>1495</v>
      </c>
      <c r="BS2042" s="19" t="s">
        <v>4884</v>
      </c>
      <c r="BT2042" s="54" t="str">
        <f t="shared" si="214"/>
        <v>QA</v>
      </c>
    </row>
    <row r="2043" spans="17:72">
      <c r="Q2043" s="18">
        <v>10.199999999999999</v>
      </c>
      <c r="R2043" s="56" t="str">
        <f t="shared" si="213"/>
        <v>Yes</v>
      </c>
      <c r="W2043" s="18" t="s">
        <v>1495</v>
      </c>
      <c r="X2043" s="54" t="str">
        <f>VLOOKUP(W2043,Employees!$A$1:$B$601,2,FALSE)</f>
        <v>Ipsita Parida</v>
      </c>
      <c r="AW2043" s="54"/>
      <c r="AX2043" s="54"/>
      <c r="BI2043" s="48"/>
      <c r="BJ2043" s="38"/>
      <c r="BK2043" s="38"/>
      <c r="BL2043" s="38"/>
      <c r="BM2043"/>
      <c r="BN2043" s="48"/>
      <c r="BR2043" s="18" t="s">
        <v>1495</v>
      </c>
      <c r="BS2043" s="18" t="s">
        <v>4885</v>
      </c>
      <c r="BT2043" s="54" t="str">
        <f t="shared" si="214"/>
        <v>QA</v>
      </c>
    </row>
    <row r="2044" spans="17:72">
      <c r="Q2044" s="19">
        <v>9.32</v>
      </c>
      <c r="R2044" s="56" t="str">
        <f t="shared" si="213"/>
        <v>Yes</v>
      </c>
      <c r="W2044" s="19" t="s">
        <v>1495</v>
      </c>
      <c r="X2044" s="54" t="str">
        <f>VLOOKUP(W2044,Employees!$A$1:$B$601,2,FALSE)</f>
        <v>Ipsita Parida</v>
      </c>
      <c r="AW2044" s="54"/>
      <c r="AX2044" s="54"/>
      <c r="BI2044" s="48"/>
      <c r="BJ2044" s="38"/>
      <c r="BK2044" s="38"/>
      <c r="BL2044" s="38"/>
      <c r="BM2044"/>
      <c r="BN2044" s="48"/>
      <c r="BR2044" s="19" t="s">
        <v>1495</v>
      </c>
      <c r="BS2044" s="19" t="s">
        <v>4886</v>
      </c>
      <c r="BT2044" s="54" t="str">
        <f t="shared" si="214"/>
        <v>QA</v>
      </c>
    </row>
    <row r="2045" spans="17:72">
      <c r="Q2045" s="18">
        <v>8.41</v>
      </c>
      <c r="R2045" s="56" t="str">
        <f t="shared" si="213"/>
        <v>Yes</v>
      </c>
      <c r="W2045" s="18" t="s">
        <v>1495</v>
      </c>
      <c r="X2045" s="54" t="str">
        <f>VLOOKUP(W2045,Employees!$A$1:$B$601,2,FALSE)</f>
        <v>Ipsita Parida</v>
      </c>
      <c r="AW2045" s="54"/>
      <c r="AX2045" s="54"/>
      <c r="BI2045" s="48"/>
      <c r="BJ2045" s="38"/>
      <c r="BK2045" s="38"/>
      <c r="BL2045" s="38"/>
      <c r="BM2045"/>
      <c r="BN2045" s="48"/>
      <c r="BR2045" s="18" t="s">
        <v>1495</v>
      </c>
      <c r="BS2045" s="18" t="s">
        <v>4887</v>
      </c>
      <c r="BT2045" s="54" t="str">
        <f t="shared" si="214"/>
        <v>QA</v>
      </c>
    </row>
    <row r="2046" spans="17:72">
      <c r="Q2046" s="19">
        <v>9.44</v>
      </c>
      <c r="R2046" s="56" t="str">
        <f t="shared" si="213"/>
        <v>Yes</v>
      </c>
      <c r="W2046" s="19" t="s">
        <v>1495</v>
      </c>
      <c r="X2046" s="54" t="str">
        <f>VLOOKUP(W2046,Employees!$A$1:$B$601,2,FALSE)</f>
        <v>Ipsita Parida</v>
      </c>
      <c r="AW2046" s="54"/>
      <c r="AX2046" s="54"/>
      <c r="BI2046" s="48"/>
      <c r="BJ2046" s="38"/>
      <c r="BK2046" s="38"/>
      <c r="BL2046" s="38"/>
      <c r="BM2046"/>
      <c r="BN2046" s="48"/>
      <c r="BR2046" s="19" t="s">
        <v>1495</v>
      </c>
      <c r="BS2046" s="19" t="s">
        <v>4888</v>
      </c>
      <c r="BT2046" s="54" t="str">
        <f t="shared" si="214"/>
        <v>QA</v>
      </c>
    </row>
    <row r="2047" spans="17:72">
      <c r="Q2047" s="18">
        <v>9.7100000000000009</v>
      </c>
      <c r="R2047" s="56" t="str">
        <f t="shared" si="213"/>
        <v>Yes</v>
      </c>
      <c r="W2047" s="18" t="s">
        <v>1495</v>
      </c>
      <c r="X2047" s="54" t="str">
        <f>VLOOKUP(W2047,Employees!$A$1:$B$601,2,FALSE)</f>
        <v>Ipsita Parida</v>
      </c>
      <c r="AW2047" s="54"/>
      <c r="AX2047" s="54"/>
      <c r="BI2047" s="48"/>
      <c r="BJ2047" s="38"/>
      <c r="BK2047" s="38"/>
      <c r="BL2047" s="38"/>
      <c r="BM2047"/>
      <c r="BN2047" s="48"/>
      <c r="BR2047" s="18" t="s">
        <v>1495</v>
      </c>
      <c r="BS2047" s="18" t="s">
        <v>4889</v>
      </c>
      <c r="BT2047" s="54" t="str">
        <f t="shared" si="214"/>
        <v>QA</v>
      </c>
    </row>
    <row r="2048" spans="17:72">
      <c r="Q2048" s="19">
        <v>9.76</v>
      </c>
      <c r="R2048" s="56" t="str">
        <f t="shared" si="213"/>
        <v>Yes</v>
      </c>
      <c r="W2048" s="19" t="s">
        <v>1495</v>
      </c>
      <c r="X2048" s="54" t="str">
        <f>VLOOKUP(W2048,Employees!$A$1:$B$601,2,FALSE)</f>
        <v>Ipsita Parida</v>
      </c>
      <c r="AW2048" s="54"/>
      <c r="AX2048" s="54"/>
      <c r="BI2048" s="48"/>
      <c r="BJ2048" s="38"/>
      <c r="BK2048" s="38"/>
      <c r="BL2048" s="38"/>
      <c r="BM2048"/>
      <c r="BN2048" s="48"/>
      <c r="BR2048" s="19" t="s">
        <v>1495</v>
      </c>
      <c r="BS2048" s="19" t="s">
        <v>4890</v>
      </c>
      <c r="BT2048" s="54" t="str">
        <f t="shared" si="214"/>
        <v>QA</v>
      </c>
    </row>
    <row r="2049" spans="17:72">
      <c r="Q2049" s="18">
        <v>10.3</v>
      </c>
      <c r="R2049" s="56" t="str">
        <f t="shared" si="213"/>
        <v>Yes</v>
      </c>
      <c r="W2049" s="18" t="s">
        <v>1495</v>
      </c>
      <c r="X2049" s="54" t="str">
        <f>VLOOKUP(W2049,Employees!$A$1:$B$601,2,FALSE)</f>
        <v>Ipsita Parida</v>
      </c>
      <c r="AW2049" s="54"/>
      <c r="AX2049" s="54"/>
      <c r="BI2049" s="48"/>
      <c r="BJ2049" s="38"/>
      <c r="BK2049" s="38"/>
      <c r="BL2049" s="38"/>
      <c r="BM2049"/>
      <c r="BN2049" s="48"/>
      <c r="BR2049" s="18" t="s">
        <v>1495</v>
      </c>
      <c r="BS2049" s="18" t="s">
        <v>4891</v>
      </c>
      <c r="BT2049" s="54" t="str">
        <f t="shared" si="214"/>
        <v>QA</v>
      </c>
    </row>
    <row r="2050" spans="17:72">
      <c r="Q2050" s="19">
        <v>8.74</v>
      </c>
      <c r="R2050" s="56" t="str">
        <f t="shared" si="213"/>
        <v>Yes</v>
      </c>
      <c r="W2050" s="19" t="s">
        <v>1495</v>
      </c>
      <c r="X2050" s="54" t="str">
        <f>VLOOKUP(W2050,Employees!$A$1:$B$601,2,FALSE)</f>
        <v>Ipsita Parida</v>
      </c>
      <c r="AW2050" s="54"/>
      <c r="AX2050" s="54"/>
      <c r="BI2050" s="48"/>
      <c r="BJ2050" s="38"/>
      <c r="BK2050" s="38"/>
      <c r="BL2050" s="38"/>
      <c r="BM2050"/>
      <c r="BN2050" s="48"/>
      <c r="BR2050" s="19" t="s">
        <v>1495</v>
      </c>
      <c r="BS2050" s="19" t="s">
        <v>4892</v>
      </c>
      <c r="BT2050" s="54" t="str">
        <f t="shared" si="214"/>
        <v>QA</v>
      </c>
    </row>
    <row r="2051" spans="17:72">
      <c r="Q2051" s="18">
        <v>9.1199999999999992</v>
      </c>
      <c r="R2051" s="56" t="str">
        <f t="shared" ref="R2051:R2114" si="215">IF(ISBLANK(Q2051),"No","Yes")</f>
        <v>Yes</v>
      </c>
      <c r="W2051" s="18" t="s">
        <v>1495</v>
      </c>
      <c r="X2051" s="54" t="str">
        <f>VLOOKUP(W2051,Employees!$A$1:$B$601,2,FALSE)</f>
        <v>Ipsita Parida</v>
      </c>
      <c r="AW2051" s="54"/>
      <c r="AX2051" s="54"/>
      <c r="BI2051" s="48"/>
      <c r="BJ2051" s="38"/>
      <c r="BK2051" s="38"/>
      <c r="BL2051" s="38"/>
      <c r="BM2051"/>
      <c r="BN2051" s="48"/>
      <c r="BR2051" s="18" t="s">
        <v>1495</v>
      </c>
      <c r="BS2051" s="18" t="s">
        <v>4893</v>
      </c>
      <c r="BT2051" s="54" t="str">
        <f t="shared" ref="BT2051:BT2114" si="216">VLOOKUP(BR2051,$BP$2:$BQ$601,2,FALSE)</f>
        <v>QA</v>
      </c>
    </row>
    <row r="2052" spans="17:72">
      <c r="Q2052" s="19">
        <v>8.7899999999999991</v>
      </c>
      <c r="R2052" s="56" t="str">
        <f t="shared" si="215"/>
        <v>Yes</v>
      </c>
      <c r="W2052" s="19" t="s">
        <v>1495</v>
      </c>
      <c r="X2052" s="54" t="str">
        <f>VLOOKUP(W2052,Employees!$A$1:$B$601,2,FALSE)</f>
        <v>Ipsita Parida</v>
      </c>
      <c r="AW2052" s="54"/>
      <c r="AX2052" s="54"/>
      <c r="BI2052" s="48"/>
      <c r="BJ2052" s="38"/>
      <c r="BK2052" s="38"/>
      <c r="BL2052" s="38"/>
      <c r="BM2052"/>
      <c r="BN2052" s="48"/>
      <c r="BR2052" s="19" t="s">
        <v>1495</v>
      </c>
      <c r="BS2052" s="19" t="s">
        <v>4894</v>
      </c>
      <c r="BT2052" s="54" t="str">
        <f t="shared" si="216"/>
        <v>QA</v>
      </c>
    </row>
    <row r="2053" spans="17:72">
      <c r="Q2053" s="18">
        <v>10.69</v>
      </c>
      <c r="R2053" s="56" t="str">
        <f t="shared" si="215"/>
        <v>Yes</v>
      </c>
      <c r="W2053" s="18" t="s">
        <v>1495</v>
      </c>
      <c r="X2053" s="54" t="str">
        <f>VLOOKUP(W2053,Employees!$A$1:$B$601,2,FALSE)</f>
        <v>Ipsita Parida</v>
      </c>
      <c r="AW2053" s="54"/>
      <c r="AX2053" s="54"/>
      <c r="BI2053" s="48"/>
      <c r="BJ2053" s="38"/>
      <c r="BK2053" s="38"/>
      <c r="BL2053" s="38"/>
      <c r="BM2053"/>
      <c r="BN2053" s="48"/>
      <c r="BR2053" s="18" t="s">
        <v>1495</v>
      </c>
      <c r="BS2053" s="18" t="s">
        <v>4895</v>
      </c>
      <c r="BT2053" s="54" t="str">
        <f t="shared" si="216"/>
        <v>QA</v>
      </c>
    </row>
    <row r="2054" spans="17:72">
      <c r="Q2054" s="19">
        <v>9.85</v>
      </c>
      <c r="R2054" s="56" t="str">
        <f t="shared" si="215"/>
        <v>Yes</v>
      </c>
      <c r="W2054" s="19" t="s">
        <v>1495</v>
      </c>
      <c r="X2054" s="54" t="str">
        <f>VLOOKUP(W2054,Employees!$A$1:$B$601,2,FALSE)</f>
        <v>Ipsita Parida</v>
      </c>
      <c r="AW2054" s="54"/>
      <c r="AX2054" s="54"/>
      <c r="BI2054" s="48"/>
      <c r="BJ2054" s="38"/>
      <c r="BK2054" s="38"/>
      <c r="BL2054" s="38"/>
      <c r="BM2054"/>
      <c r="BN2054" s="48"/>
      <c r="BR2054" s="19" t="s">
        <v>1495</v>
      </c>
      <c r="BS2054" s="19" t="s">
        <v>4896</v>
      </c>
      <c r="BT2054" s="54" t="str">
        <f t="shared" si="216"/>
        <v>QA</v>
      </c>
    </row>
    <row r="2055" spans="17:72">
      <c r="Q2055" s="18">
        <v>10.1</v>
      </c>
      <c r="R2055" s="56" t="str">
        <f t="shared" si="215"/>
        <v>Yes</v>
      </c>
      <c r="W2055" s="18" t="s">
        <v>1495</v>
      </c>
      <c r="X2055" s="54" t="str">
        <f>VLOOKUP(W2055,Employees!$A$1:$B$601,2,FALSE)</f>
        <v>Ipsita Parida</v>
      </c>
      <c r="AW2055" s="54"/>
      <c r="AX2055" s="54"/>
      <c r="BI2055" s="48"/>
      <c r="BJ2055" s="38"/>
      <c r="BK2055" s="38"/>
      <c r="BL2055" s="38"/>
      <c r="BM2055"/>
      <c r="BN2055" s="48"/>
      <c r="BR2055" s="18" t="s">
        <v>1495</v>
      </c>
      <c r="BS2055" s="18" t="s">
        <v>4897</v>
      </c>
      <c r="BT2055" s="54" t="str">
        <f t="shared" si="216"/>
        <v>QA</v>
      </c>
    </row>
    <row r="2056" spans="17:72">
      <c r="Q2056" s="19">
        <v>6.89</v>
      </c>
      <c r="R2056" s="56" t="str">
        <f t="shared" si="215"/>
        <v>Yes</v>
      </c>
      <c r="W2056" s="19" t="s">
        <v>1495</v>
      </c>
      <c r="X2056" s="54" t="str">
        <f>VLOOKUP(W2056,Employees!$A$1:$B$601,2,FALSE)</f>
        <v>Ipsita Parida</v>
      </c>
      <c r="AW2056" s="54"/>
      <c r="AX2056" s="54"/>
      <c r="BI2056" s="48"/>
      <c r="BJ2056" s="38"/>
      <c r="BK2056" s="38"/>
      <c r="BL2056" s="38"/>
      <c r="BM2056"/>
      <c r="BN2056" s="48"/>
      <c r="BR2056" s="19" t="s">
        <v>1495</v>
      </c>
      <c r="BS2056" s="19" t="s">
        <v>4899</v>
      </c>
      <c r="BT2056" s="54" t="str">
        <f t="shared" si="216"/>
        <v>QA</v>
      </c>
    </row>
    <row r="2057" spans="17:72">
      <c r="Q2057" s="18">
        <v>10.94</v>
      </c>
      <c r="R2057" s="56" t="str">
        <f t="shared" si="215"/>
        <v>Yes</v>
      </c>
      <c r="W2057" s="18" t="s">
        <v>1495</v>
      </c>
      <c r="X2057" s="54" t="str">
        <f>VLOOKUP(W2057,Employees!$A$1:$B$601,2,FALSE)</f>
        <v>Ipsita Parida</v>
      </c>
      <c r="AW2057" s="54"/>
      <c r="AX2057" s="54"/>
      <c r="BI2057" s="48"/>
      <c r="BJ2057" s="38"/>
      <c r="BK2057" s="38"/>
      <c r="BL2057" s="38"/>
      <c r="BM2057"/>
      <c r="BN2057" s="48"/>
      <c r="BR2057" s="18" t="s">
        <v>1495</v>
      </c>
      <c r="BS2057" s="18" t="s">
        <v>4901</v>
      </c>
      <c r="BT2057" s="54" t="str">
        <f t="shared" si="216"/>
        <v>QA</v>
      </c>
    </row>
    <row r="2058" spans="17:72">
      <c r="Q2058" s="19">
        <v>8.91</v>
      </c>
      <c r="R2058" s="56" t="str">
        <f t="shared" si="215"/>
        <v>Yes</v>
      </c>
      <c r="W2058" s="19" t="s">
        <v>1495</v>
      </c>
      <c r="X2058" s="54" t="str">
        <f>VLOOKUP(W2058,Employees!$A$1:$B$601,2,FALSE)</f>
        <v>Ipsita Parida</v>
      </c>
      <c r="AW2058" s="54"/>
      <c r="AX2058" s="54"/>
      <c r="BI2058" s="48"/>
      <c r="BJ2058" s="38"/>
      <c r="BK2058" s="38"/>
      <c r="BL2058" s="38"/>
      <c r="BM2058"/>
      <c r="BN2058" s="48"/>
      <c r="BR2058" s="19" t="s">
        <v>1495</v>
      </c>
      <c r="BS2058" s="19" t="s">
        <v>4902</v>
      </c>
      <c r="BT2058" s="54" t="str">
        <f t="shared" si="216"/>
        <v>QA</v>
      </c>
    </row>
    <row r="2059" spans="17:72">
      <c r="Q2059" s="18">
        <v>8.7200000000000006</v>
      </c>
      <c r="R2059" s="56" t="str">
        <f t="shared" si="215"/>
        <v>Yes</v>
      </c>
      <c r="W2059" s="18" t="s">
        <v>1495</v>
      </c>
      <c r="X2059" s="54" t="str">
        <f>VLOOKUP(W2059,Employees!$A$1:$B$601,2,FALSE)</f>
        <v>Ipsita Parida</v>
      </c>
      <c r="AW2059" s="54"/>
      <c r="AX2059" s="54"/>
      <c r="BI2059" s="48"/>
      <c r="BJ2059" s="38"/>
      <c r="BK2059" s="38"/>
      <c r="BL2059" s="38"/>
      <c r="BM2059"/>
      <c r="BN2059" s="48"/>
      <c r="BR2059" s="18" t="s">
        <v>1495</v>
      </c>
      <c r="BS2059" s="18" t="s">
        <v>4903</v>
      </c>
      <c r="BT2059" s="54" t="str">
        <f t="shared" si="216"/>
        <v>QA</v>
      </c>
    </row>
    <row r="2060" spans="17:72">
      <c r="Q2060" s="19">
        <v>9.1199999999999992</v>
      </c>
      <c r="R2060" s="56" t="str">
        <f t="shared" si="215"/>
        <v>Yes</v>
      </c>
      <c r="W2060" s="19" t="s">
        <v>1495</v>
      </c>
      <c r="X2060" s="54" t="str">
        <f>VLOOKUP(W2060,Employees!$A$1:$B$601,2,FALSE)</f>
        <v>Ipsita Parida</v>
      </c>
      <c r="AW2060" s="54"/>
      <c r="AX2060" s="54"/>
      <c r="BI2060" s="48"/>
      <c r="BJ2060" s="38"/>
      <c r="BK2060" s="38"/>
      <c r="BL2060" s="38"/>
      <c r="BM2060"/>
      <c r="BN2060" s="48"/>
      <c r="BR2060" s="19" t="s">
        <v>1495</v>
      </c>
      <c r="BS2060" s="19" t="s">
        <v>4904</v>
      </c>
      <c r="BT2060" s="54" t="str">
        <f t="shared" si="216"/>
        <v>QA</v>
      </c>
    </row>
    <row r="2061" spans="17:72">
      <c r="Q2061" s="18">
        <v>11.04</v>
      </c>
      <c r="R2061" s="56" t="str">
        <f t="shared" si="215"/>
        <v>Yes</v>
      </c>
      <c r="W2061" s="18" t="s">
        <v>1495</v>
      </c>
      <c r="X2061" s="54" t="str">
        <f>VLOOKUP(W2061,Employees!$A$1:$B$601,2,FALSE)</f>
        <v>Ipsita Parida</v>
      </c>
      <c r="AW2061" s="54"/>
      <c r="AX2061" s="54"/>
      <c r="BI2061" s="48"/>
      <c r="BJ2061" s="38"/>
      <c r="BK2061" s="38"/>
      <c r="BL2061" s="38"/>
      <c r="BM2061"/>
      <c r="BN2061" s="48"/>
      <c r="BR2061" s="18" t="s">
        <v>1495</v>
      </c>
      <c r="BS2061" s="18" t="s">
        <v>4905</v>
      </c>
      <c r="BT2061" s="54" t="str">
        <f t="shared" si="216"/>
        <v>QA</v>
      </c>
    </row>
    <row r="2062" spans="17:72">
      <c r="Q2062" s="19">
        <v>8.23</v>
      </c>
      <c r="R2062" s="56" t="str">
        <f t="shared" si="215"/>
        <v>Yes</v>
      </c>
      <c r="W2062" s="19" t="s">
        <v>1495</v>
      </c>
      <c r="X2062" s="54" t="str">
        <f>VLOOKUP(W2062,Employees!$A$1:$B$601,2,FALSE)</f>
        <v>Ipsita Parida</v>
      </c>
      <c r="AW2062" s="54"/>
      <c r="AX2062" s="54"/>
      <c r="BI2062" s="48"/>
      <c r="BJ2062" s="38"/>
      <c r="BK2062" s="38"/>
      <c r="BL2062" s="38"/>
      <c r="BM2062"/>
      <c r="BN2062" s="48"/>
      <c r="BR2062" s="19" t="s">
        <v>1495</v>
      </c>
      <c r="BS2062" s="19" t="s">
        <v>4908</v>
      </c>
      <c r="BT2062" s="54" t="str">
        <f t="shared" si="216"/>
        <v>QA</v>
      </c>
    </row>
    <row r="2063" spans="17:72">
      <c r="Q2063" s="18">
        <v>7.08</v>
      </c>
      <c r="R2063" s="56" t="str">
        <f t="shared" si="215"/>
        <v>Yes</v>
      </c>
      <c r="W2063" s="18" t="s">
        <v>1495</v>
      </c>
      <c r="X2063" s="54" t="str">
        <f>VLOOKUP(W2063,Employees!$A$1:$B$601,2,FALSE)</f>
        <v>Ipsita Parida</v>
      </c>
      <c r="AW2063" s="54"/>
      <c r="AX2063" s="54"/>
      <c r="BI2063" s="48"/>
      <c r="BJ2063" s="38"/>
      <c r="BK2063" s="38"/>
      <c r="BL2063" s="38"/>
      <c r="BM2063"/>
      <c r="BN2063" s="48"/>
      <c r="BR2063" s="18" t="s">
        <v>1495</v>
      </c>
      <c r="BS2063" s="18" t="s">
        <v>4909</v>
      </c>
      <c r="BT2063" s="54" t="str">
        <f t="shared" si="216"/>
        <v>QA</v>
      </c>
    </row>
    <row r="2064" spans="17:72">
      <c r="Q2064" s="19">
        <v>8.51</v>
      </c>
      <c r="R2064" s="56" t="str">
        <f t="shared" si="215"/>
        <v>Yes</v>
      </c>
      <c r="W2064" s="19" t="s">
        <v>1495</v>
      </c>
      <c r="X2064" s="54" t="str">
        <f>VLOOKUP(W2064,Employees!$A$1:$B$601,2,FALSE)</f>
        <v>Ipsita Parida</v>
      </c>
      <c r="AW2064" s="54"/>
      <c r="AX2064" s="54"/>
      <c r="BI2064" s="48"/>
      <c r="BJ2064" s="38"/>
      <c r="BK2064" s="38"/>
      <c r="BL2064" s="38"/>
      <c r="BM2064"/>
      <c r="BN2064" s="48"/>
      <c r="BR2064" s="19" t="s">
        <v>1495</v>
      </c>
      <c r="BS2064" s="19" t="s">
        <v>4910</v>
      </c>
      <c r="BT2064" s="54" t="str">
        <f t="shared" si="216"/>
        <v>QA</v>
      </c>
    </row>
    <row r="2065" spans="17:72">
      <c r="Q2065" s="18">
        <v>7.8</v>
      </c>
      <c r="R2065" s="56" t="str">
        <f t="shared" si="215"/>
        <v>Yes</v>
      </c>
      <c r="W2065" s="18" t="s">
        <v>1495</v>
      </c>
      <c r="X2065" s="54" t="str">
        <f>VLOOKUP(W2065,Employees!$A$1:$B$601,2,FALSE)</f>
        <v>Ipsita Parida</v>
      </c>
      <c r="AW2065" s="54"/>
      <c r="AX2065" s="54"/>
      <c r="BI2065" s="48"/>
      <c r="BJ2065" s="38"/>
      <c r="BK2065" s="38"/>
      <c r="BL2065" s="38"/>
      <c r="BM2065"/>
      <c r="BN2065" s="48"/>
      <c r="BR2065" s="18" t="s">
        <v>1495</v>
      </c>
      <c r="BS2065" s="18" t="s">
        <v>4911</v>
      </c>
      <c r="BT2065" s="54" t="str">
        <f t="shared" si="216"/>
        <v>QA</v>
      </c>
    </row>
    <row r="2066" spans="17:72">
      <c r="Q2066" s="19">
        <v>7</v>
      </c>
      <c r="R2066" s="56" t="str">
        <f t="shared" si="215"/>
        <v>Yes</v>
      </c>
      <c r="W2066" s="19" t="s">
        <v>1142</v>
      </c>
      <c r="X2066" s="54" t="str">
        <f>VLOOKUP(W2066,Employees!$A$1:$B$601,2,FALSE)</f>
        <v>Lipsa Routray</v>
      </c>
      <c r="AW2066" s="54"/>
      <c r="AX2066" s="54"/>
      <c r="BI2066" s="48"/>
      <c r="BJ2066" s="38"/>
      <c r="BK2066" s="38"/>
      <c r="BL2066" s="38"/>
      <c r="BM2066"/>
      <c r="BN2066" s="48"/>
      <c r="BR2066" s="19" t="s">
        <v>1142</v>
      </c>
      <c r="BS2066" s="19" t="s">
        <v>4912</v>
      </c>
      <c r="BT2066" s="54" t="str">
        <f t="shared" si="216"/>
        <v>Finance</v>
      </c>
    </row>
    <row r="2067" spans="17:72">
      <c r="Q2067" s="18">
        <v>8.69</v>
      </c>
      <c r="R2067" s="56" t="str">
        <f t="shared" si="215"/>
        <v>Yes</v>
      </c>
      <c r="W2067" s="18" t="s">
        <v>1142</v>
      </c>
      <c r="X2067" s="54" t="str">
        <f>VLOOKUP(W2067,Employees!$A$1:$B$601,2,FALSE)</f>
        <v>Lipsa Routray</v>
      </c>
      <c r="AW2067" s="54"/>
      <c r="AX2067" s="54"/>
      <c r="BI2067" s="48"/>
      <c r="BJ2067" s="38"/>
      <c r="BK2067" s="38"/>
      <c r="BL2067" s="38"/>
      <c r="BM2067"/>
      <c r="BN2067" s="48"/>
      <c r="BR2067" s="18" t="s">
        <v>1142</v>
      </c>
      <c r="BS2067" s="18" t="s">
        <v>4913</v>
      </c>
      <c r="BT2067" s="54" t="str">
        <f t="shared" si="216"/>
        <v>Finance</v>
      </c>
    </row>
    <row r="2068" spans="17:72">
      <c r="Q2068" s="19">
        <v>9.39</v>
      </c>
      <c r="R2068" s="56" t="str">
        <f t="shared" si="215"/>
        <v>Yes</v>
      </c>
      <c r="W2068" s="19" t="s">
        <v>1142</v>
      </c>
      <c r="X2068" s="54" t="str">
        <f>VLOOKUP(W2068,Employees!$A$1:$B$601,2,FALSE)</f>
        <v>Lipsa Routray</v>
      </c>
      <c r="AW2068" s="54"/>
      <c r="AX2068" s="54"/>
      <c r="BI2068" s="48"/>
      <c r="BJ2068" s="38"/>
      <c r="BK2068" s="38"/>
      <c r="BL2068" s="38"/>
      <c r="BM2068"/>
      <c r="BN2068" s="48"/>
      <c r="BR2068" s="19" t="s">
        <v>1142</v>
      </c>
      <c r="BS2068" s="19" t="s">
        <v>4914</v>
      </c>
      <c r="BT2068" s="54" t="str">
        <f t="shared" si="216"/>
        <v>Finance</v>
      </c>
    </row>
    <row r="2069" spans="17:72">
      <c r="Q2069" s="18">
        <v>6.73</v>
      </c>
      <c r="R2069" s="56" t="str">
        <f t="shared" si="215"/>
        <v>Yes</v>
      </c>
      <c r="W2069" s="18" t="s">
        <v>1142</v>
      </c>
      <c r="X2069" s="54" t="str">
        <f>VLOOKUP(W2069,Employees!$A$1:$B$601,2,FALSE)</f>
        <v>Lipsa Routray</v>
      </c>
      <c r="AW2069" s="54"/>
      <c r="AX2069" s="54"/>
      <c r="BI2069" s="48"/>
      <c r="BJ2069" s="38"/>
      <c r="BK2069" s="38"/>
      <c r="BL2069" s="38"/>
      <c r="BM2069"/>
      <c r="BN2069" s="48"/>
      <c r="BR2069" s="18" t="s">
        <v>1142</v>
      </c>
      <c r="BS2069" s="18" t="s">
        <v>4915</v>
      </c>
      <c r="BT2069" s="54" t="str">
        <f t="shared" si="216"/>
        <v>Finance</v>
      </c>
    </row>
    <row r="2070" spans="17:72">
      <c r="Q2070" s="19">
        <v>7.61</v>
      </c>
      <c r="R2070" s="56" t="str">
        <f t="shared" si="215"/>
        <v>Yes</v>
      </c>
      <c r="W2070" s="19" t="s">
        <v>1142</v>
      </c>
      <c r="X2070" s="54" t="str">
        <f>VLOOKUP(W2070,Employees!$A$1:$B$601,2,FALSE)</f>
        <v>Lipsa Routray</v>
      </c>
      <c r="AW2070" s="54"/>
      <c r="AX2070" s="54"/>
      <c r="BI2070" s="48"/>
      <c r="BJ2070" s="38"/>
      <c r="BK2070" s="38"/>
      <c r="BL2070" s="38"/>
      <c r="BM2070"/>
      <c r="BN2070" s="48"/>
      <c r="BR2070" s="19" t="s">
        <v>1142</v>
      </c>
      <c r="BS2070" s="19" t="s">
        <v>4916</v>
      </c>
      <c r="BT2070" s="54" t="str">
        <f t="shared" si="216"/>
        <v>Finance</v>
      </c>
    </row>
    <row r="2071" spans="17:72">
      <c r="Q2071" s="18">
        <v>9.01</v>
      </c>
      <c r="R2071" s="56" t="str">
        <f t="shared" si="215"/>
        <v>Yes</v>
      </c>
      <c r="W2071" s="18" t="s">
        <v>1142</v>
      </c>
      <c r="X2071" s="54" t="str">
        <f>VLOOKUP(W2071,Employees!$A$1:$B$601,2,FALSE)</f>
        <v>Lipsa Routray</v>
      </c>
      <c r="AW2071" s="54"/>
      <c r="AX2071" s="54"/>
      <c r="BI2071" s="48"/>
      <c r="BJ2071" s="38"/>
      <c r="BK2071" s="38"/>
      <c r="BL2071" s="38"/>
      <c r="BM2071"/>
      <c r="BN2071" s="48"/>
      <c r="BR2071" s="18" t="s">
        <v>1142</v>
      </c>
      <c r="BS2071" s="18" t="s">
        <v>4917</v>
      </c>
      <c r="BT2071" s="54" t="str">
        <f t="shared" si="216"/>
        <v>Finance</v>
      </c>
    </row>
    <row r="2072" spans="17:72">
      <c r="Q2072" s="19">
        <v>10.09</v>
      </c>
      <c r="R2072" s="56" t="str">
        <f t="shared" si="215"/>
        <v>Yes</v>
      </c>
      <c r="W2072" s="19" t="s">
        <v>1142</v>
      </c>
      <c r="X2072" s="54" t="str">
        <f>VLOOKUP(W2072,Employees!$A$1:$B$601,2,FALSE)</f>
        <v>Lipsa Routray</v>
      </c>
      <c r="AW2072" s="54"/>
      <c r="AX2072" s="54"/>
      <c r="BI2072" s="48"/>
      <c r="BJ2072" s="38"/>
      <c r="BK2072" s="38"/>
      <c r="BL2072" s="38"/>
      <c r="BM2072"/>
      <c r="BN2072" s="48"/>
      <c r="BR2072" s="19" t="s">
        <v>1142</v>
      </c>
      <c r="BS2072" s="19" t="s">
        <v>4918</v>
      </c>
      <c r="BT2072" s="54" t="str">
        <f t="shared" si="216"/>
        <v>Finance</v>
      </c>
    </row>
    <row r="2073" spans="17:72">
      <c r="Q2073" s="18">
        <v>6.88</v>
      </c>
      <c r="R2073" s="56" t="str">
        <f t="shared" si="215"/>
        <v>Yes</v>
      </c>
      <c r="W2073" s="18" t="s">
        <v>1142</v>
      </c>
      <c r="X2073" s="54" t="str">
        <f>VLOOKUP(W2073,Employees!$A$1:$B$601,2,FALSE)</f>
        <v>Lipsa Routray</v>
      </c>
      <c r="AW2073" s="54"/>
      <c r="AX2073" s="54"/>
      <c r="BI2073" s="48"/>
      <c r="BJ2073" s="38"/>
      <c r="BK2073" s="38"/>
      <c r="BL2073" s="38"/>
      <c r="BM2073"/>
      <c r="BN2073" s="48"/>
      <c r="BR2073" s="18" t="s">
        <v>1142</v>
      </c>
      <c r="BS2073" s="18" t="s">
        <v>4919</v>
      </c>
      <c r="BT2073" s="54" t="str">
        <f t="shared" si="216"/>
        <v>Finance</v>
      </c>
    </row>
    <row r="2074" spans="17:72">
      <c r="Q2074" s="19">
        <v>6.67</v>
      </c>
      <c r="R2074" s="56" t="str">
        <f t="shared" si="215"/>
        <v>Yes</v>
      </c>
      <c r="W2074" s="19" t="s">
        <v>1142</v>
      </c>
      <c r="X2074" s="54" t="str">
        <f>VLOOKUP(W2074,Employees!$A$1:$B$601,2,FALSE)</f>
        <v>Lipsa Routray</v>
      </c>
      <c r="AW2074" s="54"/>
      <c r="AX2074" s="54"/>
      <c r="BI2074" s="48"/>
      <c r="BJ2074" s="38"/>
      <c r="BK2074" s="38"/>
      <c r="BL2074" s="38"/>
      <c r="BM2074"/>
      <c r="BN2074" s="48"/>
      <c r="BR2074" s="19" t="s">
        <v>1142</v>
      </c>
      <c r="BS2074" s="19" t="s">
        <v>4920</v>
      </c>
      <c r="BT2074" s="54" t="str">
        <f t="shared" si="216"/>
        <v>Finance</v>
      </c>
    </row>
    <row r="2075" spans="17:72">
      <c r="Q2075" s="18">
        <v>8.82</v>
      </c>
      <c r="R2075" s="56" t="str">
        <f t="shared" si="215"/>
        <v>Yes</v>
      </c>
      <c r="W2075" s="18" t="s">
        <v>1142</v>
      </c>
      <c r="X2075" s="54" t="str">
        <f>VLOOKUP(W2075,Employees!$A$1:$B$601,2,FALSE)</f>
        <v>Lipsa Routray</v>
      </c>
      <c r="AW2075" s="54"/>
      <c r="AX2075" s="54"/>
      <c r="BI2075" s="48"/>
      <c r="BJ2075" s="38"/>
      <c r="BK2075" s="38"/>
      <c r="BL2075" s="38"/>
      <c r="BM2075"/>
      <c r="BN2075" s="48"/>
      <c r="BR2075" s="18" t="s">
        <v>1142</v>
      </c>
      <c r="BS2075" s="18" t="s">
        <v>4922</v>
      </c>
      <c r="BT2075" s="54" t="str">
        <f t="shared" si="216"/>
        <v>Finance</v>
      </c>
    </row>
    <row r="2076" spans="17:72">
      <c r="Q2076" s="19">
        <v>10.45</v>
      </c>
      <c r="R2076" s="56" t="str">
        <f t="shared" si="215"/>
        <v>Yes</v>
      </c>
      <c r="W2076" s="19" t="s">
        <v>1142</v>
      </c>
      <c r="X2076" s="54" t="str">
        <f>VLOOKUP(W2076,Employees!$A$1:$B$601,2,FALSE)</f>
        <v>Lipsa Routray</v>
      </c>
      <c r="AW2076" s="54"/>
      <c r="AX2076" s="54"/>
      <c r="BI2076" s="48"/>
      <c r="BJ2076" s="38"/>
      <c r="BK2076" s="38"/>
      <c r="BL2076" s="38"/>
      <c r="BM2076"/>
      <c r="BN2076" s="48"/>
      <c r="BR2076" s="19" t="s">
        <v>1142</v>
      </c>
      <c r="BS2076" s="19" t="s">
        <v>4923</v>
      </c>
      <c r="BT2076" s="54" t="str">
        <f t="shared" si="216"/>
        <v>Finance</v>
      </c>
    </row>
    <row r="2077" spans="17:72">
      <c r="Q2077" s="18">
        <v>9.09</v>
      </c>
      <c r="R2077" s="56" t="str">
        <f t="shared" si="215"/>
        <v>Yes</v>
      </c>
      <c r="W2077" s="18" t="s">
        <v>1142</v>
      </c>
      <c r="X2077" s="54" t="str">
        <f>VLOOKUP(W2077,Employees!$A$1:$B$601,2,FALSE)</f>
        <v>Lipsa Routray</v>
      </c>
      <c r="AW2077" s="54"/>
      <c r="AX2077" s="54"/>
      <c r="BI2077" s="48"/>
      <c r="BJ2077" s="38"/>
      <c r="BK2077" s="38"/>
      <c r="BL2077" s="38"/>
      <c r="BM2077"/>
      <c r="BN2077" s="48"/>
      <c r="BR2077" s="18" t="s">
        <v>1142</v>
      </c>
      <c r="BS2077" s="18" t="s">
        <v>4924</v>
      </c>
      <c r="BT2077" s="54" t="str">
        <f t="shared" si="216"/>
        <v>Finance</v>
      </c>
    </row>
    <row r="2078" spans="17:72">
      <c r="Q2078" s="19">
        <v>10.72</v>
      </c>
      <c r="R2078" s="56" t="str">
        <f t="shared" si="215"/>
        <v>Yes</v>
      </c>
      <c r="W2078" s="19" t="s">
        <v>1142</v>
      </c>
      <c r="X2078" s="54" t="str">
        <f>VLOOKUP(W2078,Employees!$A$1:$B$601,2,FALSE)</f>
        <v>Lipsa Routray</v>
      </c>
      <c r="AW2078" s="54"/>
      <c r="AX2078" s="54"/>
      <c r="BI2078" s="48"/>
      <c r="BJ2078" s="38"/>
      <c r="BK2078" s="38"/>
      <c r="BL2078" s="38"/>
      <c r="BM2078"/>
      <c r="BN2078" s="48"/>
      <c r="BR2078" s="19" t="s">
        <v>1142</v>
      </c>
      <c r="BS2078" s="19" t="s">
        <v>4925</v>
      </c>
      <c r="BT2078" s="54" t="str">
        <f t="shared" si="216"/>
        <v>Finance</v>
      </c>
    </row>
    <row r="2079" spans="17:72">
      <c r="Q2079" s="18">
        <v>8.3699999999999992</v>
      </c>
      <c r="R2079" s="56" t="str">
        <f t="shared" si="215"/>
        <v>Yes</v>
      </c>
      <c r="W2079" s="18" t="s">
        <v>1142</v>
      </c>
      <c r="X2079" s="54" t="str">
        <f>VLOOKUP(W2079,Employees!$A$1:$B$601,2,FALSE)</f>
        <v>Lipsa Routray</v>
      </c>
      <c r="AW2079" s="54"/>
      <c r="AX2079" s="54"/>
      <c r="BI2079" s="48"/>
      <c r="BJ2079" s="38"/>
      <c r="BK2079" s="38"/>
      <c r="BL2079" s="38"/>
      <c r="BM2079"/>
      <c r="BN2079" s="48"/>
      <c r="BR2079" s="18" t="s">
        <v>1142</v>
      </c>
      <c r="BS2079" s="18" t="s">
        <v>4926</v>
      </c>
      <c r="BT2079" s="54" t="str">
        <f t="shared" si="216"/>
        <v>Finance</v>
      </c>
    </row>
    <row r="2080" spans="17:72">
      <c r="Q2080" s="19">
        <v>9.34</v>
      </c>
      <c r="R2080" s="56" t="str">
        <f t="shared" si="215"/>
        <v>Yes</v>
      </c>
      <c r="W2080" s="19" t="s">
        <v>1142</v>
      </c>
      <c r="X2080" s="54" t="str">
        <f>VLOOKUP(W2080,Employees!$A$1:$B$601,2,FALSE)</f>
        <v>Lipsa Routray</v>
      </c>
      <c r="AW2080" s="54"/>
      <c r="AX2080" s="54"/>
      <c r="BI2080" s="48"/>
      <c r="BJ2080" s="38"/>
      <c r="BK2080" s="38"/>
      <c r="BL2080" s="38"/>
      <c r="BM2080"/>
      <c r="BN2080" s="48"/>
      <c r="BR2080" s="19" t="s">
        <v>1142</v>
      </c>
      <c r="BS2080" s="19" t="s">
        <v>4927</v>
      </c>
      <c r="BT2080" s="54" t="str">
        <f t="shared" si="216"/>
        <v>Finance</v>
      </c>
    </row>
    <row r="2081" spans="17:72">
      <c r="Q2081" s="18">
        <v>7.9</v>
      </c>
      <c r="R2081" s="56" t="str">
        <f t="shared" si="215"/>
        <v>Yes</v>
      </c>
      <c r="W2081" s="18" t="s">
        <v>1142</v>
      </c>
      <c r="X2081" s="54" t="str">
        <f>VLOOKUP(W2081,Employees!$A$1:$B$601,2,FALSE)</f>
        <v>Lipsa Routray</v>
      </c>
      <c r="AW2081" s="54"/>
      <c r="AX2081" s="54"/>
      <c r="BI2081" s="48"/>
      <c r="BJ2081" s="38"/>
      <c r="BK2081" s="38"/>
      <c r="BL2081" s="38"/>
      <c r="BM2081"/>
      <c r="BN2081" s="48"/>
      <c r="BR2081" s="18" t="s">
        <v>1142</v>
      </c>
      <c r="BS2081" s="18" t="s">
        <v>4928</v>
      </c>
      <c r="BT2081" s="54" t="str">
        <f t="shared" si="216"/>
        <v>Finance</v>
      </c>
    </row>
    <row r="2082" spans="17:72">
      <c r="Q2082" s="19">
        <v>8.26</v>
      </c>
      <c r="R2082" s="56" t="str">
        <f t="shared" si="215"/>
        <v>Yes</v>
      </c>
      <c r="W2082" s="19" t="s">
        <v>1142</v>
      </c>
      <c r="X2082" s="54" t="str">
        <f>VLOOKUP(W2082,Employees!$A$1:$B$601,2,FALSE)</f>
        <v>Lipsa Routray</v>
      </c>
      <c r="AW2082" s="54"/>
      <c r="AX2082" s="54"/>
      <c r="BI2082" s="48"/>
      <c r="BJ2082" s="38"/>
      <c r="BK2082" s="38"/>
      <c r="BL2082" s="38"/>
      <c r="BM2082"/>
      <c r="BN2082" s="48"/>
      <c r="BR2082" s="19" t="s">
        <v>1142</v>
      </c>
      <c r="BS2082" s="19" t="s">
        <v>4929</v>
      </c>
      <c r="BT2082" s="54" t="str">
        <f t="shared" si="216"/>
        <v>Finance</v>
      </c>
    </row>
    <row r="2083" spans="17:72">
      <c r="Q2083" s="18">
        <v>11.09</v>
      </c>
      <c r="R2083" s="56" t="str">
        <f t="shared" si="215"/>
        <v>Yes</v>
      </c>
      <c r="W2083" s="18" t="s">
        <v>1142</v>
      </c>
      <c r="X2083" s="54" t="str">
        <f>VLOOKUP(W2083,Employees!$A$1:$B$601,2,FALSE)</f>
        <v>Lipsa Routray</v>
      </c>
      <c r="AW2083" s="54"/>
      <c r="AX2083" s="54"/>
      <c r="BI2083" s="48"/>
      <c r="BJ2083" s="38"/>
      <c r="BK2083" s="38"/>
      <c r="BL2083" s="38"/>
      <c r="BM2083"/>
      <c r="BN2083" s="48"/>
      <c r="BR2083" s="18" t="s">
        <v>1142</v>
      </c>
      <c r="BS2083" s="18" t="s">
        <v>4930</v>
      </c>
      <c r="BT2083" s="54" t="str">
        <f t="shared" si="216"/>
        <v>Finance</v>
      </c>
    </row>
    <row r="2084" spans="17:72">
      <c r="Q2084" s="19">
        <v>7.65</v>
      </c>
      <c r="R2084" s="56" t="str">
        <f t="shared" si="215"/>
        <v>Yes</v>
      </c>
      <c r="W2084" s="19" t="s">
        <v>1142</v>
      </c>
      <c r="X2084" s="54" t="str">
        <f>VLOOKUP(W2084,Employees!$A$1:$B$601,2,FALSE)</f>
        <v>Lipsa Routray</v>
      </c>
      <c r="AW2084" s="54"/>
      <c r="AX2084" s="54"/>
      <c r="BI2084" s="48"/>
      <c r="BJ2084" s="38"/>
      <c r="BK2084" s="38"/>
      <c r="BL2084" s="38"/>
      <c r="BM2084"/>
      <c r="BN2084" s="48"/>
      <c r="BR2084" s="19" t="s">
        <v>1142</v>
      </c>
      <c r="BS2084" s="19" t="s">
        <v>4931</v>
      </c>
      <c r="BT2084" s="54" t="str">
        <f t="shared" si="216"/>
        <v>Finance</v>
      </c>
    </row>
    <row r="2085" spans="17:72">
      <c r="Q2085" s="18">
        <v>7.58</v>
      </c>
      <c r="R2085" s="56" t="str">
        <f t="shared" si="215"/>
        <v>Yes</v>
      </c>
      <c r="W2085" s="18" t="s">
        <v>1142</v>
      </c>
      <c r="X2085" s="54" t="str">
        <f>VLOOKUP(W2085,Employees!$A$1:$B$601,2,FALSE)</f>
        <v>Lipsa Routray</v>
      </c>
      <c r="AW2085" s="54"/>
      <c r="AX2085" s="54"/>
      <c r="BI2085" s="48"/>
      <c r="BJ2085" s="38"/>
      <c r="BK2085" s="38"/>
      <c r="BL2085" s="38"/>
      <c r="BM2085"/>
      <c r="BN2085" s="48"/>
      <c r="BR2085" s="18" t="s">
        <v>1142</v>
      </c>
      <c r="BS2085" s="18" t="s">
        <v>4932</v>
      </c>
      <c r="BT2085" s="54" t="str">
        <f t="shared" si="216"/>
        <v>Finance</v>
      </c>
    </row>
    <row r="2086" spans="17:72">
      <c r="Q2086" s="19">
        <v>10.87</v>
      </c>
      <c r="R2086" s="56" t="str">
        <f t="shared" si="215"/>
        <v>Yes</v>
      </c>
      <c r="W2086" s="19" t="s">
        <v>1142</v>
      </c>
      <c r="X2086" s="54" t="str">
        <f>VLOOKUP(W2086,Employees!$A$1:$B$601,2,FALSE)</f>
        <v>Lipsa Routray</v>
      </c>
      <c r="AW2086" s="54"/>
      <c r="AX2086" s="54"/>
      <c r="BI2086" s="48"/>
      <c r="BJ2086" s="38"/>
      <c r="BK2086" s="38"/>
      <c r="BL2086" s="38"/>
      <c r="BM2086"/>
      <c r="BN2086" s="48"/>
      <c r="BR2086" s="19" t="s">
        <v>1142</v>
      </c>
      <c r="BS2086" s="19" t="s">
        <v>4933</v>
      </c>
      <c r="BT2086" s="54" t="str">
        <f t="shared" si="216"/>
        <v>Finance</v>
      </c>
    </row>
    <row r="2087" spans="17:72">
      <c r="Q2087" s="18">
        <v>9.2100000000000009</v>
      </c>
      <c r="R2087" s="56" t="str">
        <f t="shared" si="215"/>
        <v>Yes</v>
      </c>
      <c r="W2087" s="18" t="s">
        <v>1142</v>
      </c>
      <c r="X2087" s="54" t="str">
        <f>VLOOKUP(W2087,Employees!$A$1:$B$601,2,FALSE)</f>
        <v>Lipsa Routray</v>
      </c>
      <c r="AW2087" s="54"/>
      <c r="AX2087" s="54"/>
      <c r="BI2087" s="48"/>
      <c r="BJ2087" s="38"/>
      <c r="BK2087" s="38"/>
      <c r="BL2087" s="38"/>
      <c r="BM2087"/>
      <c r="BN2087" s="48"/>
      <c r="BR2087" s="18" t="s">
        <v>1142</v>
      </c>
      <c r="BS2087" s="18" t="s">
        <v>4935</v>
      </c>
      <c r="BT2087" s="54" t="str">
        <f t="shared" si="216"/>
        <v>Finance</v>
      </c>
    </row>
    <row r="2088" spans="17:72">
      <c r="Q2088" s="19">
        <v>10.89</v>
      </c>
      <c r="R2088" s="56" t="str">
        <f t="shared" si="215"/>
        <v>Yes</v>
      </c>
      <c r="W2088" s="19" t="s">
        <v>1142</v>
      </c>
      <c r="X2088" s="54" t="str">
        <f>VLOOKUP(W2088,Employees!$A$1:$B$601,2,FALSE)</f>
        <v>Lipsa Routray</v>
      </c>
      <c r="AW2088" s="54"/>
      <c r="AX2088" s="54"/>
      <c r="BI2088" s="48"/>
      <c r="BJ2088" s="38"/>
      <c r="BK2088" s="38"/>
      <c r="BL2088" s="38"/>
      <c r="BM2088"/>
      <c r="BN2088" s="48"/>
      <c r="BR2088" s="19" t="s">
        <v>1142</v>
      </c>
      <c r="BS2088" s="19" t="s">
        <v>4936</v>
      </c>
      <c r="BT2088" s="54" t="str">
        <f t="shared" si="216"/>
        <v>Finance</v>
      </c>
    </row>
    <row r="2089" spans="17:72">
      <c r="Q2089" s="18">
        <v>9.18</v>
      </c>
      <c r="R2089" s="56" t="str">
        <f t="shared" si="215"/>
        <v>Yes</v>
      </c>
      <c r="W2089" s="18" t="s">
        <v>1142</v>
      </c>
      <c r="X2089" s="54" t="str">
        <f>VLOOKUP(W2089,Employees!$A$1:$B$601,2,FALSE)</f>
        <v>Lipsa Routray</v>
      </c>
      <c r="AW2089" s="54"/>
      <c r="AX2089" s="54"/>
      <c r="BI2089" s="48"/>
      <c r="BJ2089" s="38"/>
      <c r="BK2089" s="38"/>
      <c r="BL2089" s="38"/>
      <c r="BM2089"/>
      <c r="BN2089" s="48"/>
      <c r="BR2089" s="18" t="s">
        <v>1142</v>
      </c>
      <c r="BS2089" s="18" t="s">
        <v>4937</v>
      </c>
      <c r="BT2089" s="54" t="str">
        <f t="shared" si="216"/>
        <v>Finance</v>
      </c>
    </row>
    <row r="2090" spans="17:72">
      <c r="Q2090" s="19">
        <v>6.9</v>
      </c>
      <c r="R2090" s="56" t="str">
        <f t="shared" si="215"/>
        <v>Yes</v>
      </c>
      <c r="W2090" s="19" t="s">
        <v>1142</v>
      </c>
      <c r="X2090" s="54" t="str">
        <f>VLOOKUP(W2090,Employees!$A$1:$B$601,2,FALSE)</f>
        <v>Lipsa Routray</v>
      </c>
      <c r="AW2090" s="54"/>
      <c r="AX2090" s="54"/>
      <c r="BI2090" s="48"/>
      <c r="BJ2090" s="38"/>
      <c r="BK2090" s="38"/>
      <c r="BL2090" s="38"/>
      <c r="BM2090"/>
      <c r="BN2090" s="48"/>
      <c r="BR2090" s="19" t="s">
        <v>1142</v>
      </c>
      <c r="BS2090" s="19" t="s">
        <v>4938</v>
      </c>
      <c r="BT2090" s="54" t="str">
        <f t="shared" si="216"/>
        <v>Finance</v>
      </c>
    </row>
    <row r="2091" spans="17:72">
      <c r="Q2091" s="18">
        <v>6.61</v>
      </c>
      <c r="R2091" s="56" t="str">
        <f t="shared" si="215"/>
        <v>Yes</v>
      </c>
      <c r="W2091" s="18" t="s">
        <v>1142</v>
      </c>
      <c r="X2091" s="54" t="str">
        <f>VLOOKUP(W2091,Employees!$A$1:$B$601,2,FALSE)</f>
        <v>Lipsa Routray</v>
      </c>
      <c r="AW2091" s="54"/>
      <c r="AX2091" s="54"/>
      <c r="BI2091" s="48"/>
      <c r="BJ2091" s="38"/>
      <c r="BK2091" s="38"/>
      <c r="BL2091" s="38"/>
      <c r="BM2091"/>
      <c r="BN2091" s="48"/>
      <c r="BR2091" s="18" t="s">
        <v>1142</v>
      </c>
      <c r="BS2091" s="18" t="s">
        <v>4939</v>
      </c>
      <c r="BT2091" s="54" t="str">
        <f t="shared" si="216"/>
        <v>Finance</v>
      </c>
    </row>
    <row r="2092" spans="17:72">
      <c r="Q2092" s="19">
        <v>7.76</v>
      </c>
      <c r="R2092" s="56" t="str">
        <f t="shared" si="215"/>
        <v>Yes</v>
      </c>
      <c r="W2092" s="19" t="s">
        <v>1142</v>
      </c>
      <c r="X2092" s="54" t="str">
        <f>VLOOKUP(W2092,Employees!$A$1:$B$601,2,FALSE)</f>
        <v>Lipsa Routray</v>
      </c>
      <c r="AW2092" s="54"/>
      <c r="AX2092" s="54"/>
      <c r="BI2092" s="48"/>
      <c r="BJ2092" s="38"/>
      <c r="BK2092" s="38"/>
      <c r="BL2092" s="38"/>
      <c r="BM2092"/>
      <c r="BN2092" s="48"/>
      <c r="BR2092" s="19" t="s">
        <v>1142</v>
      </c>
      <c r="BS2092" s="19" t="s">
        <v>4940</v>
      </c>
      <c r="BT2092" s="54" t="str">
        <f t="shared" si="216"/>
        <v>Finance</v>
      </c>
    </row>
    <row r="2093" spans="17:72">
      <c r="Q2093" s="18">
        <v>8.4499999999999993</v>
      </c>
      <c r="R2093" s="56" t="str">
        <f t="shared" si="215"/>
        <v>Yes</v>
      </c>
      <c r="W2093" s="18" t="s">
        <v>1142</v>
      </c>
      <c r="X2093" s="54" t="str">
        <f>VLOOKUP(W2093,Employees!$A$1:$B$601,2,FALSE)</f>
        <v>Lipsa Routray</v>
      </c>
      <c r="AW2093" s="54"/>
      <c r="AX2093" s="54"/>
      <c r="BI2093" s="48"/>
      <c r="BJ2093" s="38"/>
      <c r="BK2093" s="38"/>
      <c r="BL2093" s="38"/>
      <c r="BM2093"/>
      <c r="BN2093" s="48"/>
      <c r="BR2093" s="18" t="s">
        <v>1142</v>
      </c>
      <c r="BS2093" s="18" t="s">
        <v>4941</v>
      </c>
      <c r="BT2093" s="54" t="str">
        <f t="shared" si="216"/>
        <v>Finance</v>
      </c>
    </row>
    <row r="2094" spans="17:72">
      <c r="Q2094" s="19">
        <v>10.029999999999999</v>
      </c>
      <c r="R2094" s="56" t="str">
        <f t="shared" si="215"/>
        <v>Yes</v>
      </c>
      <c r="W2094" s="19" t="s">
        <v>1142</v>
      </c>
      <c r="X2094" s="54" t="str">
        <f>VLOOKUP(W2094,Employees!$A$1:$B$601,2,FALSE)</f>
        <v>Lipsa Routray</v>
      </c>
      <c r="AW2094" s="54"/>
      <c r="AX2094" s="54"/>
      <c r="BI2094" s="48"/>
      <c r="BJ2094" s="38"/>
      <c r="BK2094" s="38"/>
      <c r="BL2094" s="38"/>
      <c r="BM2094"/>
      <c r="BN2094" s="48"/>
      <c r="BR2094" s="19" t="s">
        <v>1142</v>
      </c>
      <c r="BS2094" s="19" t="s">
        <v>4942</v>
      </c>
      <c r="BT2094" s="54" t="str">
        <f t="shared" si="216"/>
        <v>Finance</v>
      </c>
    </row>
    <row r="2095" spans="17:72">
      <c r="Q2095" s="18">
        <v>10.55</v>
      </c>
      <c r="R2095" s="56" t="str">
        <f t="shared" si="215"/>
        <v>Yes</v>
      </c>
      <c r="W2095" s="18" t="s">
        <v>1142</v>
      </c>
      <c r="X2095" s="54" t="str">
        <f>VLOOKUP(W2095,Employees!$A$1:$B$601,2,FALSE)</f>
        <v>Lipsa Routray</v>
      </c>
      <c r="AW2095" s="54"/>
      <c r="AX2095" s="54"/>
      <c r="BI2095" s="48"/>
      <c r="BJ2095" s="38"/>
      <c r="BK2095" s="38"/>
      <c r="BL2095" s="38"/>
      <c r="BM2095"/>
      <c r="BN2095" s="48"/>
      <c r="BR2095" s="18" t="s">
        <v>1142</v>
      </c>
      <c r="BS2095" s="18" t="s">
        <v>4943</v>
      </c>
      <c r="BT2095" s="54" t="str">
        <f t="shared" si="216"/>
        <v>Finance</v>
      </c>
    </row>
    <row r="2096" spans="17:72">
      <c r="Q2096" s="19">
        <v>10.28</v>
      </c>
      <c r="R2096" s="56" t="str">
        <f t="shared" si="215"/>
        <v>Yes</v>
      </c>
      <c r="W2096" s="19" t="s">
        <v>1142</v>
      </c>
      <c r="X2096" s="54" t="str">
        <f>VLOOKUP(W2096,Employees!$A$1:$B$601,2,FALSE)</f>
        <v>Lipsa Routray</v>
      </c>
      <c r="AW2096" s="54"/>
      <c r="AX2096" s="54"/>
      <c r="BI2096" s="48"/>
      <c r="BJ2096" s="38"/>
      <c r="BK2096" s="38"/>
      <c r="BL2096" s="38"/>
      <c r="BM2096"/>
      <c r="BN2096" s="48"/>
      <c r="BR2096" s="19" t="s">
        <v>1142</v>
      </c>
      <c r="BS2096" s="19" t="s">
        <v>4944</v>
      </c>
      <c r="BT2096" s="54" t="str">
        <f t="shared" si="216"/>
        <v>Finance</v>
      </c>
    </row>
    <row r="2097" spans="17:72">
      <c r="Q2097" s="18">
        <v>11.34</v>
      </c>
      <c r="R2097" s="56" t="str">
        <f t="shared" si="215"/>
        <v>Yes</v>
      </c>
      <c r="W2097" s="18" t="s">
        <v>1142</v>
      </c>
      <c r="X2097" s="54" t="str">
        <f>VLOOKUP(W2097,Employees!$A$1:$B$601,2,FALSE)</f>
        <v>Lipsa Routray</v>
      </c>
      <c r="AW2097" s="54"/>
      <c r="AX2097" s="54"/>
      <c r="BI2097" s="48"/>
      <c r="BJ2097" s="38"/>
      <c r="BK2097" s="38"/>
      <c r="BL2097" s="38"/>
      <c r="BM2097"/>
      <c r="BN2097" s="48"/>
      <c r="BR2097" s="18" t="s">
        <v>1142</v>
      </c>
      <c r="BS2097" s="18" t="s">
        <v>4945</v>
      </c>
      <c r="BT2097" s="54" t="str">
        <f t="shared" si="216"/>
        <v>Finance</v>
      </c>
    </row>
    <row r="2098" spans="17:72">
      <c r="Q2098" s="19">
        <v>9.31</v>
      </c>
      <c r="R2098" s="56" t="str">
        <f t="shared" si="215"/>
        <v>Yes</v>
      </c>
      <c r="W2098" s="19" t="s">
        <v>1142</v>
      </c>
      <c r="X2098" s="54" t="str">
        <f>VLOOKUP(W2098,Employees!$A$1:$B$601,2,FALSE)</f>
        <v>Lipsa Routray</v>
      </c>
      <c r="AW2098" s="54"/>
      <c r="AX2098" s="54"/>
      <c r="BI2098" s="48"/>
      <c r="BJ2098" s="38"/>
      <c r="BK2098" s="38"/>
      <c r="BL2098" s="38"/>
      <c r="BM2098"/>
      <c r="BN2098" s="48"/>
      <c r="BR2098" s="19" t="s">
        <v>1142</v>
      </c>
      <c r="BS2098" s="19" t="s">
        <v>4946</v>
      </c>
      <c r="BT2098" s="54" t="str">
        <f t="shared" si="216"/>
        <v>Finance</v>
      </c>
    </row>
    <row r="2099" spans="17:72">
      <c r="Q2099" s="18">
        <v>7.37</v>
      </c>
      <c r="R2099" s="56" t="str">
        <f t="shared" si="215"/>
        <v>Yes</v>
      </c>
      <c r="W2099" s="18" t="s">
        <v>1142</v>
      </c>
      <c r="X2099" s="54" t="str">
        <f>VLOOKUP(W2099,Employees!$A$1:$B$601,2,FALSE)</f>
        <v>Lipsa Routray</v>
      </c>
      <c r="AW2099" s="54"/>
      <c r="AX2099" s="54"/>
      <c r="BI2099" s="48"/>
      <c r="BJ2099" s="38"/>
      <c r="BK2099" s="38"/>
      <c r="BL2099" s="38"/>
      <c r="BM2099"/>
      <c r="BN2099" s="48"/>
      <c r="BR2099" s="18" t="s">
        <v>1142</v>
      </c>
      <c r="BS2099" s="18" t="s">
        <v>4947</v>
      </c>
      <c r="BT2099" s="54" t="str">
        <f t="shared" si="216"/>
        <v>Finance</v>
      </c>
    </row>
    <row r="2100" spans="17:72">
      <c r="Q2100" s="19">
        <v>10.56</v>
      </c>
      <c r="R2100" s="56" t="str">
        <f t="shared" si="215"/>
        <v>Yes</v>
      </c>
      <c r="W2100" s="19" t="s">
        <v>1142</v>
      </c>
      <c r="X2100" s="54" t="str">
        <f>VLOOKUP(W2100,Employees!$A$1:$B$601,2,FALSE)</f>
        <v>Lipsa Routray</v>
      </c>
      <c r="AW2100" s="54"/>
      <c r="AX2100" s="54"/>
      <c r="BI2100" s="48"/>
      <c r="BJ2100" s="38"/>
      <c r="BK2100" s="38"/>
      <c r="BL2100" s="38"/>
      <c r="BM2100"/>
      <c r="BN2100" s="48"/>
      <c r="BR2100" s="19" t="s">
        <v>1142</v>
      </c>
      <c r="BS2100" s="19" t="s">
        <v>4948</v>
      </c>
      <c r="BT2100" s="54" t="str">
        <f t="shared" si="216"/>
        <v>Finance</v>
      </c>
    </row>
    <row r="2101" spans="17:72">
      <c r="Q2101" s="18">
        <v>8.24</v>
      </c>
      <c r="R2101" s="56" t="str">
        <f t="shared" si="215"/>
        <v>Yes</v>
      </c>
      <c r="W2101" s="18" t="s">
        <v>1142</v>
      </c>
      <c r="X2101" s="54" t="str">
        <f>VLOOKUP(W2101,Employees!$A$1:$B$601,2,FALSE)</f>
        <v>Lipsa Routray</v>
      </c>
      <c r="AW2101" s="54"/>
      <c r="AX2101" s="54"/>
      <c r="BI2101" s="48"/>
      <c r="BJ2101" s="38"/>
      <c r="BK2101" s="38"/>
      <c r="BL2101" s="38"/>
      <c r="BM2101"/>
      <c r="BN2101" s="48"/>
      <c r="BR2101" s="18" t="s">
        <v>1142</v>
      </c>
      <c r="BS2101" s="18" t="s">
        <v>4949</v>
      </c>
      <c r="BT2101" s="54" t="str">
        <f t="shared" si="216"/>
        <v>Finance</v>
      </c>
    </row>
    <row r="2102" spans="17:72">
      <c r="Q2102" s="19">
        <v>9.9</v>
      </c>
      <c r="R2102" s="56" t="str">
        <f t="shared" si="215"/>
        <v>Yes</v>
      </c>
      <c r="W2102" s="19" t="s">
        <v>1142</v>
      </c>
      <c r="X2102" s="54" t="str">
        <f>VLOOKUP(W2102,Employees!$A$1:$B$601,2,FALSE)</f>
        <v>Lipsa Routray</v>
      </c>
      <c r="AW2102" s="54"/>
      <c r="AX2102" s="54"/>
      <c r="BI2102" s="48"/>
      <c r="BJ2102" s="38"/>
      <c r="BK2102" s="38"/>
      <c r="BL2102" s="38"/>
      <c r="BM2102"/>
      <c r="BN2102" s="48"/>
      <c r="BR2102" s="19" t="s">
        <v>1142</v>
      </c>
      <c r="BS2102" s="19" t="s">
        <v>4950</v>
      </c>
      <c r="BT2102" s="54" t="str">
        <f t="shared" si="216"/>
        <v>Finance</v>
      </c>
    </row>
    <row r="2103" spans="17:72">
      <c r="Q2103" s="18">
        <v>8.7200000000000006</v>
      </c>
      <c r="R2103" s="56" t="str">
        <f t="shared" si="215"/>
        <v>Yes</v>
      </c>
      <c r="W2103" s="18" t="s">
        <v>1142</v>
      </c>
      <c r="X2103" s="54" t="str">
        <f>VLOOKUP(W2103,Employees!$A$1:$B$601,2,FALSE)</f>
        <v>Lipsa Routray</v>
      </c>
      <c r="AW2103" s="54"/>
      <c r="AX2103" s="54"/>
      <c r="BI2103" s="48"/>
      <c r="BJ2103" s="38"/>
      <c r="BK2103" s="38"/>
      <c r="BL2103" s="38"/>
      <c r="BM2103"/>
      <c r="BN2103" s="48"/>
      <c r="BR2103" s="18" t="s">
        <v>1142</v>
      </c>
      <c r="BS2103" s="18" t="s">
        <v>4951</v>
      </c>
      <c r="BT2103" s="54" t="str">
        <f t="shared" si="216"/>
        <v>Finance</v>
      </c>
    </row>
    <row r="2104" spans="17:72">
      <c r="Q2104" s="19">
        <v>6.54</v>
      </c>
      <c r="R2104" s="56" t="str">
        <f t="shared" si="215"/>
        <v>Yes</v>
      </c>
      <c r="W2104" s="19" t="s">
        <v>1142</v>
      </c>
      <c r="X2104" s="54" t="str">
        <f>VLOOKUP(W2104,Employees!$A$1:$B$601,2,FALSE)</f>
        <v>Lipsa Routray</v>
      </c>
      <c r="AW2104" s="54"/>
      <c r="AX2104" s="54"/>
      <c r="BI2104" s="48"/>
      <c r="BJ2104" s="38"/>
      <c r="BK2104" s="38"/>
      <c r="BL2104" s="38"/>
      <c r="BM2104"/>
      <c r="BN2104" s="48"/>
      <c r="BR2104" s="19" t="s">
        <v>1142</v>
      </c>
      <c r="BS2104" s="19" t="s">
        <v>4952</v>
      </c>
      <c r="BT2104" s="54" t="str">
        <f t="shared" si="216"/>
        <v>Finance</v>
      </c>
    </row>
    <row r="2105" spans="17:72">
      <c r="Q2105" s="18">
        <v>7.98</v>
      </c>
      <c r="R2105" s="56" t="str">
        <f t="shared" si="215"/>
        <v>Yes</v>
      </c>
      <c r="W2105" s="18" t="s">
        <v>1142</v>
      </c>
      <c r="X2105" s="54" t="str">
        <f>VLOOKUP(W2105,Employees!$A$1:$B$601,2,FALSE)</f>
        <v>Lipsa Routray</v>
      </c>
      <c r="AW2105" s="54"/>
      <c r="AX2105" s="54"/>
      <c r="BI2105" s="48"/>
      <c r="BJ2105" s="38"/>
      <c r="BK2105" s="38"/>
      <c r="BL2105" s="38"/>
      <c r="BM2105"/>
      <c r="BN2105" s="48"/>
      <c r="BR2105" s="18" t="s">
        <v>1142</v>
      </c>
      <c r="BS2105" s="18" t="s">
        <v>4953</v>
      </c>
      <c r="BT2105" s="54" t="str">
        <f t="shared" si="216"/>
        <v>Finance</v>
      </c>
    </row>
    <row r="2106" spans="17:72">
      <c r="Q2106" s="19">
        <v>9.19</v>
      </c>
      <c r="R2106" s="56" t="str">
        <f t="shared" si="215"/>
        <v>Yes</v>
      </c>
      <c r="W2106" s="19" t="s">
        <v>1142</v>
      </c>
      <c r="X2106" s="54" t="str">
        <f>VLOOKUP(W2106,Employees!$A$1:$B$601,2,FALSE)</f>
        <v>Lipsa Routray</v>
      </c>
      <c r="AW2106" s="54"/>
      <c r="AX2106" s="54"/>
      <c r="BI2106" s="48"/>
      <c r="BJ2106" s="38"/>
      <c r="BK2106" s="38"/>
      <c r="BL2106" s="38"/>
      <c r="BM2106"/>
      <c r="BN2106" s="48"/>
      <c r="BR2106" s="19" t="s">
        <v>1142</v>
      </c>
      <c r="BS2106" s="19" t="s">
        <v>4954</v>
      </c>
      <c r="BT2106" s="54" t="str">
        <f t="shared" si="216"/>
        <v>Finance</v>
      </c>
    </row>
    <row r="2107" spans="17:72">
      <c r="Q2107" s="18">
        <v>8.06</v>
      </c>
      <c r="R2107" s="56" t="str">
        <f t="shared" si="215"/>
        <v>Yes</v>
      </c>
      <c r="W2107" s="18" t="s">
        <v>1142</v>
      </c>
      <c r="X2107" s="54" t="str">
        <f>VLOOKUP(W2107,Employees!$A$1:$B$601,2,FALSE)</f>
        <v>Lipsa Routray</v>
      </c>
      <c r="AW2107" s="54"/>
      <c r="AX2107" s="54"/>
      <c r="BI2107" s="48"/>
      <c r="BJ2107" s="38"/>
      <c r="BK2107" s="38"/>
      <c r="BL2107" s="38"/>
      <c r="BM2107"/>
      <c r="BN2107" s="48"/>
      <c r="BR2107" s="18" t="s">
        <v>1142</v>
      </c>
      <c r="BS2107" s="18" t="s">
        <v>4955</v>
      </c>
      <c r="BT2107" s="54" t="str">
        <f t="shared" si="216"/>
        <v>Finance</v>
      </c>
    </row>
    <row r="2108" spans="17:72">
      <c r="Q2108" s="19">
        <v>7.62</v>
      </c>
      <c r="R2108" s="56" t="str">
        <f t="shared" si="215"/>
        <v>Yes</v>
      </c>
      <c r="W2108" s="19" t="s">
        <v>1142</v>
      </c>
      <c r="X2108" s="54" t="str">
        <f>VLOOKUP(W2108,Employees!$A$1:$B$601,2,FALSE)</f>
        <v>Lipsa Routray</v>
      </c>
      <c r="AW2108" s="54"/>
      <c r="AX2108" s="54"/>
      <c r="BI2108" s="48"/>
      <c r="BJ2108" s="38"/>
      <c r="BK2108" s="38"/>
      <c r="BL2108" s="38"/>
      <c r="BM2108"/>
      <c r="BN2108" s="48"/>
      <c r="BR2108" s="19" t="s">
        <v>1142</v>
      </c>
      <c r="BS2108" s="19" t="s">
        <v>4956</v>
      </c>
      <c r="BT2108" s="54" t="str">
        <f t="shared" si="216"/>
        <v>Finance</v>
      </c>
    </row>
    <row r="2109" spans="17:72">
      <c r="Q2109" s="18">
        <v>7.59</v>
      </c>
      <c r="R2109" s="56" t="str">
        <f t="shared" si="215"/>
        <v>Yes</v>
      </c>
      <c r="W2109" s="18" t="s">
        <v>419</v>
      </c>
      <c r="X2109" s="54" t="str">
        <f>VLOOKUP(W2109,Employees!$A$1:$B$601,2,FALSE)</f>
        <v>Satyajit Mishra</v>
      </c>
      <c r="AW2109" s="54"/>
      <c r="AX2109" s="54"/>
      <c r="BI2109" s="48"/>
      <c r="BJ2109" s="38"/>
      <c r="BK2109" s="38"/>
      <c r="BL2109" s="38"/>
      <c r="BM2109"/>
      <c r="BN2109" s="48"/>
      <c r="BR2109" s="18" t="s">
        <v>419</v>
      </c>
      <c r="BS2109" s="18" t="s">
        <v>4957</v>
      </c>
      <c r="BT2109" s="54" t="str">
        <f t="shared" si="216"/>
        <v>HR</v>
      </c>
    </row>
    <row r="2110" spans="17:72">
      <c r="Q2110" s="19">
        <v>8.7799999999999994</v>
      </c>
      <c r="R2110" s="56" t="str">
        <f t="shared" si="215"/>
        <v>Yes</v>
      </c>
      <c r="W2110" s="19" t="s">
        <v>419</v>
      </c>
      <c r="X2110" s="54" t="str">
        <f>VLOOKUP(W2110,Employees!$A$1:$B$601,2,FALSE)</f>
        <v>Satyajit Mishra</v>
      </c>
      <c r="AW2110" s="54"/>
      <c r="AX2110" s="54"/>
      <c r="BI2110" s="48"/>
      <c r="BJ2110" s="38"/>
      <c r="BK2110" s="38"/>
      <c r="BL2110" s="38"/>
      <c r="BM2110"/>
      <c r="BN2110" s="48"/>
      <c r="BR2110" s="19" t="s">
        <v>419</v>
      </c>
      <c r="BS2110" s="19" t="s">
        <v>4958</v>
      </c>
      <c r="BT2110" s="54" t="str">
        <f t="shared" si="216"/>
        <v>HR</v>
      </c>
    </row>
    <row r="2111" spans="17:72">
      <c r="Q2111" s="18">
        <v>11.21</v>
      </c>
      <c r="R2111" s="56" t="str">
        <f t="shared" si="215"/>
        <v>Yes</v>
      </c>
      <c r="W2111" s="18" t="s">
        <v>419</v>
      </c>
      <c r="X2111" s="54" t="str">
        <f>VLOOKUP(W2111,Employees!$A$1:$B$601,2,FALSE)</f>
        <v>Satyajit Mishra</v>
      </c>
      <c r="AW2111" s="54"/>
      <c r="AX2111" s="54"/>
      <c r="BI2111" s="48"/>
      <c r="BJ2111" s="38"/>
      <c r="BK2111" s="38"/>
      <c r="BL2111" s="38"/>
      <c r="BM2111"/>
      <c r="BN2111" s="48"/>
      <c r="BR2111" s="18" t="s">
        <v>419</v>
      </c>
      <c r="BS2111" s="18" t="s">
        <v>4959</v>
      </c>
      <c r="BT2111" s="54" t="str">
        <f t="shared" si="216"/>
        <v>HR</v>
      </c>
    </row>
    <row r="2112" spans="17:72">
      <c r="Q2112" s="19">
        <v>10.93</v>
      </c>
      <c r="R2112" s="56" t="str">
        <f t="shared" si="215"/>
        <v>Yes</v>
      </c>
      <c r="W2112" s="19" t="s">
        <v>419</v>
      </c>
      <c r="X2112" s="54" t="str">
        <f>VLOOKUP(W2112,Employees!$A$1:$B$601,2,FALSE)</f>
        <v>Satyajit Mishra</v>
      </c>
      <c r="AW2112" s="54"/>
      <c r="AX2112" s="54"/>
      <c r="BI2112" s="48"/>
      <c r="BJ2112" s="38"/>
      <c r="BK2112" s="38"/>
      <c r="BL2112" s="38"/>
      <c r="BM2112"/>
      <c r="BN2112" s="48"/>
      <c r="BR2112" s="19" t="s">
        <v>419</v>
      </c>
      <c r="BS2112" s="19" t="s">
        <v>4960</v>
      </c>
      <c r="BT2112" s="54" t="str">
        <f t="shared" si="216"/>
        <v>HR</v>
      </c>
    </row>
    <row r="2113" spans="17:72">
      <c r="Q2113" s="18">
        <v>7.04</v>
      </c>
      <c r="R2113" s="56" t="str">
        <f t="shared" si="215"/>
        <v>Yes</v>
      </c>
      <c r="W2113" s="18" t="s">
        <v>419</v>
      </c>
      <c r="X2113" s="54" t="str">
        <f>VLOOKUP(W2113,Employees!$A$1:$B$601,2,FALSE)</f>
        <v>Satyajit Mishra</v>
      </c>
      <c r="AW2113" s="54"/>
      <c r="AX2113" s="54"/>
      <c r="BI2113" s="48"/>
      <c r="BJ2113" s="38"/>
      <c r="BK2113" s="38"/>
      <c r="BL2113" s="38"/>
      <c r="BM2113"/>
      <c r="BN2113" s="48"/>
      <c r="BR2113" s="18" t="s">
        <v>419</v>
      </c>
      <c r="BS2113" s="18" t="s">
        <v>4961</v>
      </c>
      <c r="BT2113" s="54" t="str">
        <f t="shared" si="216"/>
        <v>HR</v>
      </c>
    </row>
    <row r="2114" spans="17:72">
      <c r="Q2114" s="19">
        <v>9.5500000000000007</v>
      </c>
      <c r="R2114" s="56" t="str">
        <f t="shared" si="215"/>
        <v>Yes</v>
      </c>
      <c r="W2114" s="19" t="s">
        <v>419</v>
      </c>
      <c r="X2114" s="54" t="str">
        <f>VLOOKUP(W2114,Employees!$A$1:$B$601,2,FALSE)</f>
        <v>Satyajit Mishra</v>
      </c>
      <c r="AW2114" s="54"/>
      <c r="AX2114" s="54"/>
      <c r="BI2114" s="48"/>
      <c r="BJ2114" s="38"/>
      <c r="BK2114" s="38"/>
      <c r="BL2114" s="38"/>
      <c r="BM2114"/>
      <c r="BN2114" s="48"/>
      <c r="BR2114" s="19" t="s">
        <v>419</v>
      </c>
      <c r="BS2114" s="19" t="s">
        <v>4962</v>
      </c>
      <c r="BT2114" s="54" t="str">
        <f t="shared" si="216"/>
        <v>HR</v>
      </c>
    </row>
    <row r="2115" spans="17:72">
      <c r="Q2115" s="18">
        <v>10.47</v>
      </c>
      <c r="R2115" s="56" t="str">
        <f t="shared" ref="R2115:R2178" si="217">IF(ISBLANK(Q2115),"No","Yes")</f>
        <v>Yes</v>
      </c>
      <c r="W2115" s="18" t="s">
        <v>419</v>
      </c>
      <c r="X2115" s="54" t="str">
        <f>VLOOKUP(W2115,Employees!$A$1:$B$601,2,FALSE)</f>
        <v>Satyajit Mishra</v>
      </c>
      <c r="AW2115" s="54"/>
      <c r="AX2115" s="54"/>
      <c r="BI2115" s="48"/>
      <c r="BJ2115" s="38"/>
      <c r="BK2115" s="38"/>
      <c r="BL2115" s="38"/>
      <c r="BM2115"/>
      <c r="BN2115" s="48"/>
      <c r="BR2115" s="18" t="s">
        <v>419</v>
      </c>
      <c r="BS2115" s="18" t="s">
        <v>4963</v>
      </c>
      <c r="BT2115" s="54" t="str">
        <f t="shared" ref="BT2115:BT2151" si="218">VLOOKUP(BR2115,$BP$2:$BQ$601,2,FALSE)</f>
        <v>HR</v>
      </c>
    </row>
    <row r="2116" spans="17:72">
      <c r="Q2116" s="19">
        <v>8.9499999999999993</v>
      </c>
      <c r="R2116" s="56" t="str">
        <f t="shared" si="217"/>
        <v>Yes</v>
      </c>
      <c r="W2116" s="19" t="s">
        <v>419</v>
      </c>
      <c r="X2116" s="54" t="str">
        <f>VLOOKUP(W2116,Employees!$A$1:$B$601,2,FALSE)</f>
        <v>Satyajit Mishra</v>
      </c>
      <c r="AW2116" s="54"/>
      <c r="AX2116" s="54"/>
      <c r="BI2116" s="48"/>
      <c r="BJ2116" s="38"/>
      <c r="BK2116" s="38"/>
      <c r="BL2116" s="38"/>
      <c r="BM2116"/>
      <c r="BN2116" s="48"/>
      <c r="BR2116" s="19" t="s">
        <v>419</v>
      </c>
      <c r="BS2116" s="19" t="s">
        <v>4964</v>
      </c>
      <c r="BT2116" s="54" t="str">
        <f t="shared" si="218"/>
        <v>HR</v>
      </c>
    </row>
    <row r="2117" spans="17:72">
      <c r="Q2117" s="18">
        <v>9.75</v>
      </c>
      <c r="R2117" s="56" t="str">
        <f t="shared" si="217"/>
        <v>Yes</v>
      </c>
      <c r="W2117" s="18" t="s">
        <v>419</v>
      </c>
      <c r="X2117" s="54" t="str">
        <f>VLOOKUP(W2117,Employees!$A$1:$B$601,2,FALSE)</f>
        <v>Satyajit Mishra</v>
      </c>
      <c r="AW2117" s="54"/>
      <c r="AX2117" s="54"/>
      <c r="BI2117" s="48"/>
      <c r="BJ2117" s="38"/>
      <c r="BK2117" s="38"/>
      <c r="BL2117" s="38"/>
      <c r="BM2117"/>
      <c r="BN2117" s="48"/>
      <c r="BR2117" s="18" t="s">
        <v>419</v>
      </c>
      <c r="BS2117" s="18" t="s">
        <v>4965</v>
      </c>
      <c r="BT2117" s="54" t="str">
        <f t="shared" si="218"/>
        <v>HR</v>
      </c>
    </row>
    <row r="2118" spans="17:72">
      <c r="Q2118" s="19">
        <v>10.47</v>
      </c>
      <c r="R2118" s="56" t="str">
        <f t="shared" si="217"/>
        <v>Yes</v>
      </c>
      <c r="W2118" s="19" t="s">
        <v>419</v>
      </c>
      <c r="X2118" s="54" t="str">
        <f>VLOOKUP(W2118,Employees!$A$1:$B$601,2,FALSE)</f>
        <v>Satyajit Mishra</v>
      </c>
      <c r="AW2118" s="54"/>
      <c r="AX2118" s="54"/>
      <c r="BI2118" s="48"/>
      <c r="BJ2118" s="38"/>
      <c r="BK2118" s="38"/>
      <c r="BL2118" s="38"/>
      <c r="BM2118"/>
      <c r="BN2118" s="48"/>
      <c r="BR2118" s="19" t="s">
        <v>419</v>
      </c>
      <c r="BS2118" s="19" t="s">
        <v>4966</v>
      </c>
      <c r="BT2118" s="54" t="str">
        <f t="shared" si="218"/>
        <v>HR</v>
      </c>
    </row>
    <row r="2119" spans="17:72">
      <c r="Q2119" s="18">
        <v>10.14</v>
      </c>
      <c r="R2119" s="56" t="str">
        <f t="shared" si="217"/>
        <v>Yes</v>
      </c>
      <c r="W2119" s="18" t="s">
        <v>419</v>
      </c>
      <c r="X2119" s="54" t="str">
        <f>VLOOKUP(W2119,Employees!$A$1:$B$601,2,FALSE)</f>
        <v>Satyajit Mishra</v>
      </c>
      <c r="AW2119" s="54"/>
      <c r="AX2119" s="54"/>
      <c r="BI2119" s="48"/>
      <c r="BJ2119" s="38"/>
      <c r="BK2119" s="38"/>
      <c r="BL2119" s="38"/>
      <c r="BM2119"/>
      <c r="BN2119" s="48"/>
      <c r="BR2119" s="18" t="s">
        <v>419</v>
      </c>
      <c r="BS2119" s="18" t="s">
        <v>4967</v>
      </c>
      <c r="BT2119" s="54" t="str">
        <f t="shared" si="218"/>
        <v>HR</v>
      </c>
    </row>
    <row r="2120" spans="17:72">
      <c r="Q2120" s="19">
        <v>8</v>
      </c>
      <c r="R2120" s="56" t="str">
        <f t="shared" si="217"/>
        <v>Yes</v>
      </c>
      <c r="W2120" s="19" t="s">
        <v>419</v>
      </c>
      <c r="X2120" s="54" t="str">
        <f>VLOOKUP(W2120,Employees!$A$1:$B$601,2,FALSE)</f>
        <v>Satyajit Mishra</v>
      </c>
      <c r="AW2120" s="54"/>
      <c r="AX2120" s="54"/>
      <c r="BI2120" s="48"/>
      <c r="BJ2120" s="38"/>
      <c r="BK2120" s="38"/>
      <c r="BL2120" s="38"/>
      <c r="BM2120"/>
      <c r="BN2120" s="48"/>
      <c r="BR2120" s="19" t="s">
        <v>419</v>
      </c>
      <c r="BS2120" s="19" t="s">
        <v>4968</v>
      </c>
      <c r="BT2120" s="54" t="str">
        <f t="shared" si="218"/>
        <v>HR</v>
      </c>
    </row>
    <row r="2121" spans="17:72">
      <c r="Q2121" s="18">
        <v>10.31</v>
      </c>
      <c r="R2121" s="56" t="str">
        <f t="shared" si="217"/>
        <v>Yes</v>
      </c>
      <c r="W2121" s="18" t="s">
        <v>419</v>
      </c>
      <c r="X2121" s="54" t="str">
        <f>VLOOKUP(W2121,Employees!$A$1:$B$601,2,FALSE)</f>
        <v>Satyajit Mishra</v>
      </c>
      <c r="AW2121" s="54"/>
      <c r="AX2121" s="54"/>
      <c r="BI2121" s="48"/>
      <c r="BJ2121" s="38"/>
      <c r="BK2121" s="38"/>
      <c r="BL2121" s="38"/>
      <c r="BM2121"/>
      <c r="BN2121" s="48"/>
      <c r="BR2121" s="18" t="s">
        <v>419</v>
      </c>
      <c r="BS2121" s="18" t="s">
        <v>4969</v>
      </c>
      <c r="BT2121" s="54" t="str">
        <f t="shared" si="218"/>
        <v>HR</v>
      </c>
    </row>
    <row r="2122" spans="17:72">
      <c r="Q2122" s="19">
        <v>10.31</v>
      </c>
      <c r="R2122" s="56" t="str">
        <f t="shared" si="217"/>
        <v>Yes</v>
      </c>
      <c r="W2122" s="19" t="s">
        <v>419</v>
      </c>
      <c r="X2122" s="54" t="str">
        <f>VLOOKUP(W2122,Employees!$A$1:$B$601,2,FALSE)</f>
        <v>Satyajit Mishra</v>
      </c>
      <c r="AW2122" s="54"/>
      <c r="AX2122" s="54"/>
      <c r="BI2122" s="48"/>
      <c r="BJ2122" s="38"/>
      <c r="BK2122" s="38"/>
      <c r="BL2122" s="38"/>
      <c r="BM2122"/>
      <c r="BN2122" s="48"/>
      <c r="BR2122" s="19" t="s">
        <v>419</v>
      </c>
      <c r="BS2122" s="19" t="s">
        <v>4970</v>
      </c>
      <c r="BT2122" s="54" t="str">
        <f t="shared" si="218"/>
        <v>HR</v>
      </c>
    </row>
    <row r="2123" spans="17:72">
      <c r="Q2123" s="18">
        <v>7.19</v>
      </c>
      <c r="R2123" s="56" t="str">
        <f t="shared" si="217"/>
        <v>Yes</v>
      </c>
      <c r="W2123" s="18" t="s">
        <v>419</v>
      </c>
      <c r="X2123" s="54" t="str">
        <f>VLOOKUP(W2123,Employees!$A$1:$B$601,2,FALSE)</f>
        <v>Satyajit Mishra</v>
      </c>
      <c r="AW2123" s="54"/>
      <c r="AX2123" s="54"/>
      <c r="BI2123" s="48"/>
      <c r="BJ2123" s="38"/>
      <c r="BK2123" s="38"/>
      <c r="BL2123" s="38"/>
      <c r="BM2123"/>
      <c r="BN2123" s="48"/>
      <c r="BR2123" s="18" t="s">
        <v>419</v>
      </c>
      <c r="BS2123" s="18" t="s">
        <v>4971</v>
      </c>
      <c r="BT2123" s="54" t="str">
        <f t="shared" si="218"/>
        <v>HR</v>
      </c>
    </row>
    <row r="2124" spans="17:72">
      <c r="Q2124" s="19">
        <v>7.81</v>
      </c>
      <c r="R2124" s="56" t="str">
        <f t="shared" si="217"/>
        <v>Yes</v>
      </c>
      <c r="W2124" s="19" t="s">
        <v>419</v>
      </c>
      <c r="X2124" s="54" t="str">
        <f>VLOOKUP(W2124,Employees!$A$1:$B$601,2,FALSE)</f>
        <v>Satyajit Mishra</v>
      </c>
      <c r="AW2124" s="54"/>
      <c r="AX2124" s="54"/>
      <c r="BI2124" s="48"/>
      <c r="BJ2124" s="38"/>
      <c r="BK2124" s="38"/>
      <c r="BL2124" s="38"/>
      <c r="BM2124"/>
      <c r="BN2124" s="48"/>
      <c r="BR2124" s="19" t="s">
        <v>419</v>
      </c>
      <c r="BS2124" s="19" t="s">
        <v>4972</v>
      </c>
      <c r="BT2124" s="54" t="str">
        <f t="shared" si="218"/>
        <v>HR</v>
      </c>
    </row>
    <row r="2125" spans="17:72">
      <c r="Q2125" s="18">
        <v>9.85</v>
      </c>
      <c r="R2125" s="56" t="str">
        <f t="shared" si="217"/>
        <v>Yes</v>
      </c>
      <c r="W2125" s="18" t="s">
        <v>419</v>
      </c>
      <c r="X2125" s="54" t="str">
        <f>VLOOKUP(W2125,Employees!$A$1:$B$601,2,FALSE)</f>
        <v>Satyajit Mishra</v>
      </c>
      <c r="AW2125" s="54"/>
      <c r="AX2125" s="54"/>
      <c r="BI2125" s="48"/>
      <c r="BJ2125" s="38"/>
      <c r="BK2125" s="38"/>
      <c r="BL2125" s="38"/>
      <c r="BM2125"/>
      <c r="BN2125" s="48"/>
      <c r="BR2125" s="18" t="s">
        <v>419</v>
      </c>
      <c r="BS2125" s="18" t="s">
        <v>4973</v>
      </c>
      <c r="BT2125" s="54" t="str">
        <f t="shared" si="218"/>
        <v>HR</v>
      </c>
    </row>
    <row r="2126" spans="17:72">
      <c r="Q2126" s="19">
        <v>11.06</v>
      </c>
      <c r="R2126" s="56" t="str">
        <f t="shared" si="217"/>
        <v>Yes</v>
      </c>
      <c r="W2126" s="19" t="s">
        <v>419</v>
      </c>
      <c r="X2126" s="54" t="str">
        <f>VLOOKUP(W2126,Employees!$A$1:$B$601,2,FALSE)</f>
        <v>Satyajit Mishra</v>
      </c>
      <c r="AW2126" s="54"/>
      <c r="AX2126" s="54"/>
      <c r="BI2126" s="48"/>
      <c r="BJ2126" s="38"/>
      <c r="BK2126" s="38"/>
      <c r="BL2126" s="38"/>
      <c r="BM2126"/>
      <c r="BN2126" s="48"/>
      <c r="BR2126" s="19" t="s">
        <v>419</v>
      </c>
      <c r="BS2126" s="19" t="s">
        <v>4974</v>
      </c>
      <c r="BT2126" s="54" t="str">
        <f t="shared" si="218"/>
        <v>HR</v>
      </c>
    </row>
    <row r="2127" spans="17:72">
      <c r="Q2127" s="18">
        <v>8.7200000000000006</v>
      </c>
      <c r="R2127" s="56" t="str">
        <f t="shared" si="217"/>
        <v>Yes</v>
      </c>
      <c r="W2127" s="18" t="s">
        <v>419</v>
      </c>
      <c r="X2127" s="54" t="str">
        <f>VLOOKUP(W2127,Employees!$A$1:$B$601,2,FALSE)</f>
        <v>Satyajit Mishra</v>
      </c>
      <c r="AW2127" s="54"/>
      <c r="AX2127" s="54"/>
      <c r="BI2127" s="48"/>
      <c r="BJ2127" s="38"/>
      <c r="BK2127" s="38"/>
      <c r="BL2127" s="38"/>
      <c r="BM2127"/>
      <c r="BN2127" s="48"/>
      <c r="BR2127" s="18" t="s">
        <v>419</v>
      </c>
      <c r="BS2127" s="18" t="s">
        <v>4975</v>
      </c>
      <c r="BT2127" s="54" t="str">
        <f t="shared" si="218"/>
        <v>HR</v>
      </c>
    </row>
    <row r="2128" spans="17:72">
      <c r="Q2128" s="19">
        <v>6.64</v>
      </c>
      <c r="R2128" s="56" t="str">
        <f t="shared" si="217"/>
        <v>Yes</v>
      </c>
      <c r="W2128" s="19" t="s">
        <v>419</v>
      </c>
      <c r="X2128" s="54" t="str">
        <f>VLOOKUP(W2128,Employees!$A$1:$B$601,2,FALSE)</f>
        <v>Satyajit Mishra</v>
      </c>
      <c r="AW2128" s="54"/>
      <c r="AX2128" s="54"/>
      <c r="BI2128" s="48"/>
      <c r="BJ2128" s="38"/>
      <c r="BK2128" s="38"/>
      <c r="BL2128" s="38"/>
      <c r="BM2128"/>
      <c r="BN2128" s="48"/>
      <c r="BR2128" s="19" t="s">
        <v>419</v>
      </c>
      <c r="BS2128" s="19" t="s">
        <v>4976</v>
      </c>
      <c r="BT2128" s="54" t="str">
        <f t="shared" si="218"/>
        <v>HR</v>
      </c>
    </row>
    <row r="2129" spans="17:72">
      <c r="Q2129" s="18">
        <v>8.11</v>
      </c>
      <c r="R2129" s="56" t="str">
        <f t="shared" si="217"/>
        <v>Yes</v>
      </c>
      <c r="W2129" s="18" t="s">
        <v>419</v>
      </c>
      <c r="X2129" s="54" t="str">
        <f>VLOOKUP(W2129,Employees!$A$1:$B$601,2,FALSE)</f>
        <v>Satyajit Mishra</v>
      </c>
      <c r="AW2129" s="54"/>
      <c r="AX2129" s="54"/>
      <c r="BI2129" s="48"/>
      <c r="BJ2129" s="38"/>
      <c r="BK2129" s="38"/>
      <c r="BL2129" s="38"/>
      <c r="BM2129"/>
      <c r="BN2129" s="48"/>
      <c r="BR2129" s="18" t="s">
        <v>419</v>
      </c>
      <c r="BS2129" s="18" t="s">
        <v>4978</v>
      </c>
      <c r="BT2129" s="54" t="str">
        <f t="shared" si="218"/>
        <v>HR</v>
      </c>
    </row>
    <row r="2130" spans="17:72">
      <c r="Q2130" s="19">
        <v>7.29</v>
      </c>
      <c r="R2130" s="56" t="str">
        <f t="shared" si="217"/>
        <v>Yes</v>
      </c>
      <c r="W2130" s="19" t="s">
        <v>419</v>
      </c>
      <c r="X2130" s="54" t="str">
        <f>VLOOKUP(W2130,Employees!$A$1:$B$601,2,FALSE)</f>
        <v>Satyajit Mishra</v>
      </c>
      <c r="AW2130" s="54"/>
      <c r="AX2130" s="54"/>
      <c r="BI2130" s="48"/>
      <c r="BJ2130" s="38"/>
      <c r="BK2130" s="38"/>
      <c r="BL2130" s="38"/>
      <c r="BM2130"/>
      <c r="BN2130" s="48"/>
      <c r="BR2130" s="19" t="s">
        <v>419</v>
      </c>
      <c r="BS2130" s="19" t="s">
        <v>4979</v>
      </c>
      <c r="BT2130" s="54" t="str">
        <f t="shared" si="218"/>
        <v>HR</v>
      </c>
    </row>
    <row r="2131" spans="17:72">
      <c r="Q2131" s="18">
        <v>10.42</v>
      </c>
      <c r="R2131" s="56" t="str">
        <f t="shared" si="217"/>
        <v>Yes</v>
      </c>
      <c r="W2131" s="18" t="s">
        <v>419</v>
      </c>
      <c r="X2131" s="54" t="str">
        <f>VLOOKUP(W2131,Employees!$A$1:$B$601,2,FALSE)</f>
        <v>Satyajit Mishra</v>
      </c>
      <c r="AW2131" s="54"/>
      <c r="AX2131" s="54"/>
      <c r="BI2131" s="48"/>
      <c r="BJ2131" s="38"/>
      <c r="BK2131" s="38"/>
      <c r="BL2131" s="38"/>
      <c r="BM2131"/>
      <c r="BN2131" s="48"/>
      <c r="BR2131" s="18" t="s">
        <v>419</v>
      </c>
      <c r="BS2131" s="18" t="s">
        <v>4980</v>
      </c>
      <c r="BT2131" s="54" t="str">
        <f t="shared" si="218"/>
        <v>HR</v>
      </c>
    </row>
    <row r="2132" spans="17:72">
      <c r="Q2132" s="19">
        <v>9.9499999999999993</v>
      </c>
      <c r="R2132" s="56" t="str">
        <f t="shared" si="217"/>
        <v>Yes</v>
      </c>
      <c r="W2132" s="19" t="s">
        <v>419</v>
      </c>
      <c r="X2132" s="54" t="str">
        <f>VLOOKUP(W2132,Employees!$A$1:$B$601,2,FALSE)</f>
        <v>Satyajit Mishra</v>
      </c>
      <c r="AW2132" s="54"/>
      <c r="AX2132" s="54"/>
      <c r="BI2132" s="48"/>
      <c r="BJ2132" s="38"/>
      <c r="BK2132" s="38"/>
      <c r="BL2132" s="38"/>
      <c r="BM2132"/>
      <c r="BN2132" s="48"/>
      <c r="BR2132" s="19" t="s">
        <v>419</v>
      </c>
      <c r="BS2132" s="19" t="s">
        <v>4981</v>
      </c>
      <c r="BT2132" s="54" t="str">
        <f t="shared" si="218"/>
        <v>HR</v>
      </c>
    </row>
    <row r="2133" spans="17:72">
      <c r="Q2133" s="18">
        <v>11.29</v>
      </c>
      <c r="R2133" s="56" t="str">
        <f t="shared" si="217"/>
        <v>Yes</v>
      </c>
      <c r="W2133" s="18" t="s">
        <v>419</v>
      </c>
      <c r="X2133" s="54" t="str">
        <f>VLOOKUP(W2133,Employees!$A$1:$B$601,2,FALSE)</f>
        <v>Satyajit Mishra</v>
      </c>
      <c r="AW2133" s="54"/>
      <c r="AX2133" s="54"/>
      <c r="BI2133" s="48"/>
      <c r="BJ2133" s="38"/>
      <c r="BK2133" s="38"/>
      <c r="BL2133" s="38"/>
      <c r="BM2133"/>
      <c r="BN2133" s="48"/>
      <c r="BR2133" s="18" t="s">
        <v>419</v>
      </c>
      <c r="BS2133" s="18" t="s">
        <v>4982</v>
      </c>
      <c r="BT2133" s="54" t="str">
        <f t="shared" si="218"/>
        <v>HR</v>
      </c>
    </row>
    <row r="2134" spans="17:72">
      <c r="Q2134" s="19">
        <v>9.43</v>
      </c>
      <c r="R2134" s="56" t="str">
        <f t="shared" si="217"/>
        <v>Yes</v>
      </c>
      <c r="W2134" s="19" t="s">
        <v>419</v>
      </c>
      <c r="X2134" s="54" t="str">
        <f>VLOOKUP(W2134,Employees!$A$1:$B$601,2,FALSE)</f>
        <v>Satyajit Mishra</v>
      </c>
      <c r="AW2134" s="54"/>
      <c r="AX2134" s="54"/>
      <c r="BI2134" s="48"/>
      <c r="BJ2134" s="38"/>
      <c r="BK2134" s="38"/>
      <c r="BL2134" s="38"/>
      <c r="BM2134"/>
      <c r="BN2134" s="48"/>
      <c r="BR2134" s="19" t="s">
        <v>419</v>
      </c>
      <c r="BS2134" s="19" t="s">
        <v>4983</v>
      </c>
      <c r="BT2134" s="54" t="str">
        <f t="shared" si="218"/>
        <v>HR</v>
      </c>
    </row>
    <row r="2135" spans="17:72">
      <c r="Q2135" s="18">
        <v>11.25</v>
      </c>
      <c r="R2135" s="56" t="str">
        <f t="shared" si="217"/>
        <v>Yes</v>
      </c>
      <c r="W2135" s="18" t="s">
        <v>419</v>
      </c>
      <c r="X2135" s="54" t="str">
        <f>VLOOKUP(W2135,Employees!$A$1:$B$601,2,FALSE)</f>
        <v>Satyajit Mishra</v>
      </c>
      <c r="AW2135" s="54"/>
      <c r="AX2135" s="54"/>
      <c r="BI2135" s="48"/>
      <c r="BJ2135" s="38"/>
      <c r="BK2135" s="38"/>
      <c r="BL2135" s="38"/>
      <c r="BM2135"/>
      <c r="BN2135" s="48"/>
      <c r="BR2135" s="18" t="s">
        <v>419</v>
      </c>
      <c r="BS2135" s="18" t="s">
        <v>4984</v>
      </c>
      <c r="BT2135" s="54" t="str">
        <f t="shared" si="218"/>
        <v>HR</v>
      </c>
    </row>
    <row r="2136" spans="17:72">
      <c r="Q2136" s="19">
        <v>11.24</v>
      </c>
      <c r="R2136" s="56" t="str">
        <f t="shared" si="217"/>
        <v>Yes</v>
      </c>
      <c r="W2136" s="19" t="s">
        <v>419</v>
      </c>
      <c r="X2136" s="54" t="str">
        <f>VLOOKUP(W2136,Employees!$A$1:$B$601,2,FALSE)</f>
        <v>Satyajit Mishra</v>
      </c>
      <c r="AW2136" s="54"/>
      <c r="AX2136" s="54"/>
      <c r="BI2136" s="48"/>
      <c r="BJ2136" s="38"/>
      <c r="BK2136" s="38"/>
      <c r="BL2136" s="38"/>
      <c r="BM2136"/>
      <c r="BN2136" s="48"/>
      <c r="BR2136" s="19" t="s">
        <v>419</v>
      </c>
      <c r="BS2136" s="19" t="s">
        <v>4985</v>
      </c>
      <c r="BT2136" s="54" t="str">
        <f t="shared" si="218"/>
        <v>HR</v>
      </c>
    </row>
    <row r="2137" spans="17:72">
      <c r="Q2137" s="18">
        <v>8.43</v>
      </c>
      <c r="R2137" s="56" t="str">
        <f t="shared" si="217"/>
        <v>Yes</v>
      </c>
      <c r="W2137" s="18" t="s">
        <v>419</v>
      </c>
      <c r="X2137" s="54" t="str">
        <f>VLOOKUP(W2137,Employees!$A$1:$B$601,2,FALSE)</f>
        <v>Satyajit Mishra</v>
      </c>
      <c r="AW2137" s="54"/>
      <c r="AX2137" s="54"/>
      <c r="BI2137" s="48"/>
      <c r="BJ2137" s="38"/>
      <c r="BK2137" s="38"/>
      <c r="BL2137" s="38"/>
      <c r="BM2137"/>
      <c r="BN2137" s="48"/>
      <c r="BR2137" s="18" t="s">
        <v>419</v>
      </c>
      <c r="BS2137" s="18" t="s">
        <v>4986</v>
      </c>
      <c r="BT2137" s="54" t="str">
        <f t="shared" si="218"/>
        <v>HR</v>
      </c>
    </row>
    <row r="2138" spans="17:72">
      <c r="Q2138" s="19">
        <v>10.7</v>
      </c>
      <c r="R2138" s="56" t="str">
        <f t="shared" si="217"/>
        <v>Yes</v>
      </c>
      <c r="W2138" s="19" t="s">
        <v>419</v>
      </c>
      <c r="X2138" s="54" t="str">
        <f>VLOOKUP(W2138,Employees!$A$1:$B$601,2,FALSE)</f>
        <v>Satyajit Mishra</v>
      </c>
      <c r="AW2138" s="54"/>
      <c r="AX2138" s="54"/>
      <c r="BI2138" s="48"/>
      <c r="BJ2138" s="38"/>
      <c r="BK2138" s="38"/>
      <c r="BL2138" s="38"/>
      <c r="BM2138"/>
      <c r="BN2138" s="48"/>
      <c r="BR2138" s="19" t="s">
        <v>419</v>
      </c>
      <c r="BS2138" s="19" t="s">
        <v>4987</v>
      </c>
      <c r="BT2138" s="54" t="str">
        <f t="shared" si="218"/>
        <v>HR</v>
      </c>
    </row>
    <row r="2139" spans="17:72">
      <c r="Q2139" s="18">
        <v>9.0299999999999994</v>
      </c>
      <c r="R2139" s="56" t="str">
        <f t="shared" si="217"/>
        <v>Yes</v>
      </c>
      <c r="W2139" s="18" t="s">
        <v>419</v>
      </c>
      <c r="X2139" s="54" t="str">
        <f>VLOOKUP(W2139,Employees!$A$1:$B$601,2,FALSE)</f>
        <v>Satyajit Mishra</v>
      </c>
      <c r="AW2139" s="54"/>
      <c r="AX2139" s="54"/>
      <c r="BI2139" s="48"/>
      <c r="BJ2139" s="38"/>
      <c r="BK2139" s="38"/>
      <c r="BL2139" s="38"/>
      <c r="BM2139"/>
      <c r="BN2139" s="48"/>
      <c r="BR2139" s="18" t="s">
        <v>419</v>
      </c>
      <c r="BS2139" s="18" t="s">
        <v>4989</v>
      </c>
      <c r="BT2139" s="54" t="str">
        <f t="shared" si="218"/>
        <v>HR</v>
      </c>
    </row>
    <row r="2140" spans="17:72">
      <c r="Q2140" s="19">
        <v>11.21</v>
      </c>
      <c r="R2140" s="56" t="str">
        <f t="shared" si="217"/>
        <v>Yes</v>
      </c>
      <c r="W2140" s="19" t="s">
        <v>419</v>
      </c>
      <c r="X2140" s="54" t="str">
        <f>VLOOKUP(W2140,Employees!$A$1:$B$601,2,FALSE)</f>
        <v>Satyajit Mishra</v>
      </c>
      <c r="AW2140" s="54"/>
      <c r="AX2140" s="54"/>
      <c r="BI2140" s="48"/>
      <c r="BJ2140" s="38"/>
      <c r="BK2140" s="38"/>
      <c r="BL2140" s="38"/>
      <c r="BM2140"/>
      <c r="BN2140" s="48"/>
      <c r="BR2140" s="19" t="s">
        <v>419</v>
      </c>
      <c r="BS2140" s="19" t="s">
        <v>4990</v>
      </c>
      <c r="BT2140" s="54" t="str">
        <f t="shared" si="218"/>
        <v>HR</v>
      </c>
    </row>
    <row r="2141" spans="17:72">
      <c r="Q2141" s="18">
        <v>6.72</v>
      </c>
      <c r="R2141" s="56" t="str">
        <f t="shared" si="217"/>
        <v>Yes</v>
      </c>
      <c r="W2141" s="18" t="s">
        <v>419</v>
      </c>
      <c r="X2141" s="54" t="str">
        <f>VLOOKUP(W2141,Employees!$A$1:$B$601,2,FALSE)</f>
        <v>Satyajit Mishra</v>
      </c>
      <c r="AW2141" s="54"/>
      <c r="AX2141" s="54"/>
      <c r="BI2141" s="48"/>
      <c r="BJ2141" s="38"/>
      <c r="BK2141" s="38"/>
      <c r="BL2141" s="38"/>
      <c r="BM2141"/>
      <c r="BN2141" s="48"/>
      <c r="BR2141" s="18" t="s">
        <v>419</v>
      </c>
      <c r="BS2141" s="18" t="s">
        <v>4991</v>
      </c>
      <c r="BT2141" s="54" t="str">
        <f t="shared" si="218"/>
        <v>HR</v>
      </c>
    </row>
    <row r="2142" spans="17:72">
      <c r="Q2142" s="19">
        <v>11.5</v>
      </c>
      <c r="R2142" s="56" t="str">
        <f t="shared" si="217"/>
        <v>Yes</v>
      </c>
      <c r="W2142" s="19" t="s">
        <v>419</v>
      </c>
      <c r="X2142" s="54" t="str">
        <f>VLOOKUP(W2142,Employees!$A$1:$B$601,2,FALSE)</f>
        <v>Satyajit Mishra</v>
      </c>
      <c r="AW2142" s="54"/>
      <c r="AX2142" s="54"/>
      <c r="BI2142" s="48"/>
      <c r="BJ2142" s="38"/>
      <c r="BK2142" s="38"/>
      <c r="BL2142" s="38"/>
      <c r="BM2142"/>
      <c r="BN2142" s="48"/>
      <c r="BR2142" s="19" t="s">
        <v>419</v>
      </c>
      <c r="BS2142" s="19" t="s">
        <v>4992</v>
      </c>
      <c r="BT2142" s="54" t="str">
        <f t="shared" si="218"/>
        <v>HR</v>
      </c>
    </row>
    <row r="2143" spans="17:72">
      <c r="Q2143" s="18">
        <v>10.54</v>
      </c>
      <c r="R2143" s="56" t="str">
        <f t="shared" si="217"/>
        <v>Yes</v>
      </c>
      <c r="W2143" s="18" t="s">
        <v>419</v>
      </c>
      <c r="X2143" s="54" t="str">
        <f>VLOOKUP(W2143,Employees!$A$1:$B$601,2,FALSE)</f>
        <v>Satyajit Mishra</v>
      </c>
      <c r="AW2143" s="54"/>
      <c r="AX2143" s="54"/>
      <c r="BI2143" s="48"/>
      <c r="BJ2143" s="38"/>
      <c r="BK2143" s="38"/>
      <c r="BL2143" s="38"/>
      <c r="BM2143"/>
      <c r="BN2143" s="48"/>
      <c r="BR2143" s="18" t="s">
        <v>419</v>
      </c>
      <c r="BS2143" s="18" t="s">
        <v>4994</v>
      </c>
      <c r="BT2143" s="54" t="str">
        <f t="shared" si="218"/>
        <v>HR</v>
      </c>
    </row>
    <row r="2144" spans="17:72">
      <c r="Q2144" s="19">
        <v>8.6999999999999993</v>
      </c>
      <c r="R2144" s="56" t="str">
        <f t="shared" si="217"/>
        <v>Yes</v>
      </c>
      <c r="W2144" s="19" t="s">
        <v>419</v>
      </c>
      <c r="X2144" s="54" t="str">
        <f>VLOOKUP(W2144,Employees!$A$1:$B$601,2,FALSE)</f>
        <v>Satyajit Mishra</v>
      </c>
      <c r="AW2144" s="54"/>
      <c r="AX2144" s="54"/>
      <c r="BI2144" s="48"/>
      <c r="BJ2144" s="38"/>
      <c r="BK2144" s="38"/>
      <c r="BL2144" s="38"/>
      <c r="BM2144"/>
      <c r="BN2144" s="48"/>
      <c r="BR2144" s="19" t="s">
        <v>419</v>
      </c>
      <c r="BS2144" s="19" t="s">
        <v>4995</v>
      </c>
      <c r="BT2144" s="54" t="str">
        <f t="shared" si="218"/>
        <v>HR</v>
      </c>
    </row>
    <row r="2145" spans="17:72">
      <c r="Q2145" s="18">
        <v>7.33</v>
      </c>
      <c r="R2145" s="56" t="str">
        <f t="shared" si="217"/>
        <v>Yes</v>
      </c>
      <c r="W2145" s="18" t="s">
        <v>419</v>
      </c>
      <c r="X2145" s="54" t="str">
        <f>VLOOKUP(W2145,Employees!$A$1:$B$601,2,FALSE)</f>
        <v>Satyajit Mishra</v>
      </c>
      <c r="AW2145" s="54"/>
      <c r="AX2145" s="54"/>
      <c r="BI2145" s="48"/>
      <c r="BJ2145" s="38"/>
      <c r="BK2145" s="38"/>
      <c r="BL2145" s="38"/>
      <c r="BM2145"/>
      <c r="BN2145" s="48"/>
      <c r="BR2145" s="18" t="s">
        <v>419</v>
      </c>
      <c r="BS2145" s="18" t="s">
        <v>4996</v>
      </c>
      <c r="BT2145" s="54" t="str">
        <f t="shared" si="218"/>
        <v>HR</v>
      </c>
    </row>
    <row r="2146" spans="17:72">
      <c r="Q2146" s="19">
        <v>8.11</v>
      </c>
      <c r="R2146" s="56" t="str">
        <f t="shared" si="217"/>
        <v>Yes</v>
      </c>
      <c r="W2146" s="19" t="s">
        <v>419</v>
      </c>
      <c r="X2146" s="54" t="str">
        <f>VLOOKUP(W2146,Employees!$A$1:$B$601,2,FALSE)</f>
        <v>Satyajit Mishra</v>
      </c>
      <c r="AW2146" s="54"/>
      <c r="AX2146" s="54"/>
      <c r="BI2146" s="48"/>
      <c r="BJ2146" s="38"/>
      <c r="BK2146" s="38"/>
      <c r="BL2146" s="38"/>
      <c r="BM2146"/>
      <c r="BN2146" s="48"/>
      <c r="BR2146" s="19" t="s">
        <v>419</v>
      </c>
      <c r="BS2146" s="19" t="s">
        <v>4997</v>
      </c>
      <c r="BT2146" s="54" t="str">
        <f t="shared" si="218"/>
        <v>HR</v>
      </c>
    </row>
    <row r="2147" spans="17:72">
      <c r="Q2147" s="18">
        <v>7.58</v>
      </c>
      <c r="R2147" s="56" t="str">
        <f t="shared" si="217"/>
        <v>Yes</v>
      </c>
      <c r="W2147" s="18" t="s">
        <v>419</v>
      </c>
      <c r="X2147" s="54" t="str">
        <f>VLOOKUP(W2147,Employees!$A$1:$B$601,2,FALSE)</f>
        <v>Satyajit Mishra</v>
      </c>
      <c r="AW2147" s="54"/>
      <c r="AX2147" s="54"/>
      <c r="BI2147" s="48"/>
      <c r="BJ2147" s="38"/>
      <c r="BK2147" s="38"/>
      <c r="BL2147" s="38"/>
      <c r="BM2147"/>
      <c r="BN2147" s="48"/>
      <c r="BR2147" s="18" t="s">
        <v>419</v>
      </c>
      <c r="BS2147" s="18" t="s">
        <v>4998</v>
      </c>
      <c r="BT2147" s="54" t="str">
        <f t="shared" si="218"/>
        <v>HR</v>
      </c>
    </row>
    <row r="2148" spans="17:72">
      <c r="Q2148" s="19">
        <v>8.09</v>
      </c>
      <c r="R2148" s="56" t="str">
        <f t="shared" si="217"/>
        <v>Yes</v>
      </c>
      <c r="W2148" s="19" t="s">
        <v>419</v>
      </c>
      <c r="X2148" s="54" t="str">
        <f>VLOOKUP(W2148,Employees!$A$1:$B$601,2,FALSE)</f>
        <v>Satyajit Mishra</v>
      </c>
      <c r="AW2148" s="54"/>
      <c r="AX2148" s="54"/>
      <c r="BI2148" s="48"/>
      <c r="BJ2148" s="38"/>
      <c r="BK2148" s="38"/>
      <c r="BL2148" s="38"/>
      <c r="BM2148"/>
      <c r="BN2148" s="48"/>
      <c r="BR2148" s="19" t="s">
        <v>419</v>
      </c>
      <c r="BS2148" s="19" t="s">
        <v>4999</v>
      </c>
      <c r="BT2148" s="54" t="str">
        <f t="shared" si="218"/>
        <v>HR</v>
      </c>
    </row>
    <row r="2149" spans="17:72">
      <c r="Q2149" s="18">
        <v>8.0500000000000007</v>
      </c>
      <c r="R2149" s="56" t="str">
        <f t="shared" si="217"/>
        <v>Yes</v>
      </c>
      <c r="W2149" s="18" t="s">
        <v>419</v>
      </c>
      <c r="X2149" s="54" t="str">
        <f>VLOOKUP(W2149,Employees!$A$1:$B$601,2,FALSE)</f>
        <v>Satyajit Mishra</v>
      </c>
      <c r="AW2149" s="54"/>
      <c r="AX2149" s="54"/>
      <c r="BI2149" s="48"/>
      <c r="BJ2149" s="38"/>
      <c r="BK2149" s="38"/>
      <c r="BL2149" s="38"/>
      <c r="BM2149"/>
      <c r="BN2149" s="48"/>
      <c r="BR2149" s="18" t="s">
        <v>419</v>
      </c>
      <c r="BS2149" s="18" t="s">
        <v>5000</v>
      </c>
      <c r="BT2149" s="54" t="str">
        <f t="shared" si="218"/>
        <v>HR</v>
      </c>
    </row>
    <row r="2150" spans="17:72">
      <c r="Q2150" s="19">
        <v>10.97</v>
      </c>
      <c r="R2150" s="56" t="str">
        <f t="shared" si="217"/>
        <v>Yes</v>
      </c>
      <c r="W2150" s="19" t="s">
        <v>419</v>
      </c>
      <c r="X2150" s="54" t="str">
        <f>VLOOKUP(W2150,Employees!$A$1:$B$601,2,FALSE)</f>
        <v>Satyajit Mishra</v>
      </c>
      <c r="AW2150" s="54"/>
      <c r="AX2150" s="54"/>
      <c r="BI2150" s="48"/>
      <c r="BJ2150" s="38"/>
      <c r="BK2150" s="38"/>
      <c r="BL2150" s="38"/>
      <c r="BM2150"/>
      <c r="BN2150" s="48"/>
      <c r="BR2150" s="19" t="s">
        <v>419</v>
      </c>
      <c r="BS2150" s="19" t="s">
        <v>5001</v>
      </c>
      <c r="BT2150" s="54" t="str">
        <f t="shared" si="218"/>
        <v>HR</v>
      </c>
    </row>
    <row r="2151" spans="17:72">
      <c r="Q2151" s="18"/>
      <c r="W2151" s="18" t="s">
        <v>419</v>
      </c>
      <c r="X2151" s="54" t="str">
        <f>VLOOKUP(W2151,Employees!$A$1:$B$601,2,FALSE)</f>
        <v>Satyajit Mishra</v>
      </c>
      <c r="AW2151" s="54"/>
      <c r="AX2151" s="54"/>
      <c r="BI2151" s="48"/>
      <c r="BJ2151" s="38"/>
      <c r="BK2151" s="38"/>
      <c r="BL2151" s="38"/>
      <c r="BM2151"/>
      <c r="BN2151" s="48"/>
      <c r="BR2151" s="18" t="s">
        <v>419</v>
      </c>
      <c r="BS2151" s="18" t="s">
        <v>5002</v>
      </c>
      <c r="BT2151" s="54" t="str">
        <f t="shared" si="218"/>
        <v>HR</v>
      </c>
    </row>
  </sheetData>
  <mergeCells count="7">
    <mergeCell ref="A54:B54"/>
    <mergeCell ref="A46:B46"/>
    <mergeCell ref="A3:B3"/>
    <mergeCell ref="A14:B14"/>
    <mergeCell ref="A22:B22"/>
    <mergeCell ref="A31:B31"/>
    <mergeCell ref="A39:B39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3B244CC5-DC09-4A62-B885-1D9FC0F3C906}">
            <xm:f>NOT(ISERROR(SEARCH($AO$3,AO2)))</xm:f>
            <xm:f>$AO$3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AO2:AO401</xm:sqref>
        </x14:conditionalFormatting>
        <x14:conditionalFormatting xmlns:xm="http://schemas.microsoft.com/office/excel/2006/main">
          <x14:cfRule type="containsText" priority="6" operator="containsText" id="{187292CD-AEBB-4412-8445-224AA75EF811}">
            <xm:f>NOT(ISERROR(SEARCH($AO$15,AO2)))</xm:f>
            <xm:f>$AO$15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AO2:AO401</xm:sqref>
        </x14:conditionalFormatting>
        <x14:conditionalFormatting xmlns:xm="http://schemas.microsoft.com/office/excel/2006/main">
          <x14:cfRule type="containsText" priority="5" operator="containsText" id="{C142E480-9596-45A7-88DB-4E856F050E0F}">
            <xm:f>NOT(ISERROR(SEARCH($AR$50,AR2)))</xm:f>
            <xm:f>$AR$50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AR2:AR601</xm:sqref>
        </x14:conditionalFormatting>
        <x14:conditionalFormatting xmlns:xm="http://schemas.microsoft.com/office/excel/2006/main">
          <x14:cfRule type="containsText" priority="4" operator="containsText" id="{7EBCE9A2-221E-4AE0-8365-60834182E45C}">
            <xm:f>NOT(ISERROR(SEARCH($BF$2,BF2)))</xm:f>
            <xm:f>$BF$2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BF2:BF201</xm:sqref>
        </x14:conditionalFormatting>
        <x14:conditionalFormatting xmlns:xm="http://schemas.microsoft.com/office/excel/2006/main">
          <x14:cfRule type="containsText" priority="3" operator="containsText" id="{5F06ACAB-2697-4A40-B96B-13DB2C986220}">
            <xm:f>NOT(ISERROR(SEARCH($BL$3,BL3)))</xm:f>
            <xm:f>$BL$3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BL3:BL601</xm:sqref>
        </x14:conditionalFormatting>
        <x14:conditionalFormatting xmlns:xm="http://schemas.microsoft.com/office/excel/2006/main">
          <x14:cfRule type="containsText" priority="2" operator="containsText" id="{AD3986BF-DD3A-4FDB-AC11-1E468CA0300D}">
            <xm:f>NOT(ISERROR(SEARCH($BL$6,BL3)))</xm:f>
            <xm:f>$BL$6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BL3:BL601</xm:sqref>
        </x14:conditionalFormatting>
        <x14:conditionalFormatting xmlns:xm="http://schemas.microsoft.com/office/excel/2006/main">
          <x14:cfRule type="containsText" priority="1" operator="containsText" id="{637197E4-F5EF-44EA-97BE-FE48E7A12A42}">
            <xm:f>NOT(ISERROR(SEARCH($BF$6,BF6)))</xm:f>
            <xm:f>$BF$6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BF6:BF201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AA0565-780D-430A-8774-D2B8EBEB2D20}">
          <x14:formula1>
            <xm:f>Employees!$D:$D</xm:f>
          </x14:formula1>
          <xm:sqref>C4</xm:sqref>
        </x14:dataValidation>
        <x14:dataValidation type="list" allowBlank="1" showInputMessage="1" showErrorMessage="1" xr:uid="{0ACB9483-0DFF-44CB-A74E-672C09073B8D}">
          <x14:formula1>
            <xm:f>KPL_Summary!$C$4:$C$75</xm:f>
          </x14:formula1>
          <xm:sqref>C8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1D37-22D9-4919-AE56-0109BE4344F0}">
  <sheetPr>
    <tabColor rgb="FF7030A0"/>
  </sheetPr>
  <dimension ref="A3:D14"/>
  <sheetViews>
    <sheetView workbookViewId="0">
      <selection activeCell="D12" sqref="D12"/>
    </sheetView>
  </sheetViews>
  <sheetFormatPr defaultRowHeight="15"/>
  <cols>
    <col min="1" max="1" width="14.85546875" bestFit="1" customWidth="1"/>
    <col min="2" max="2" width="25" bestFit="1" customWidth="1"/>
    <col min="4" max="4" width="30.140625" style="6" customWidth="1"/>
  </cols>
  <sheetData>
    <row r="3" spans="1:4" ht="64.5" customHeight="1">
      <c r="A3" s="60" t="s">
        <v>3</v>
      </c>
      <c r="B3" t="s">
        <v>5882</v>
      </c>
      <c r="D3" s="63" t="s">
        <v>5883</v>
      </c>
    </row>
    <row r="4" spans="1:4">
      <c r="A4" t="s">
        <v>89</v>
      </c>
      <c r="B4" s="61">
        <v>131046.73770491804</v>
      </c>
      <c r="D4" s="52" t="str">
        <f>INDEX(A4:A13,MATCH(MAX(B4:B13),B4:B13,0))</f>
        <v>Data Science</v>
      </c>
    </row>
    <row r="5" spans="1:4">
      <c r="A5" t="s">
        <v>24</v>
      </c>
      <c r="B5" s="61">
        <v>113217.58024691358</v>
      </c>
    </row>
    <row r="6" spans="1:4">
      <c r="A6" t="s">
        <v>16</v>
      </c>
      <c r="B6" s="61">
        <v>119460.70689655172</v>
      </c>
    </row>
    <row r="7" spans="1:4">
      <c r="A7" t="s">
        <v>39</v>
      </c>
      <c r="B7" s="61">
        <v>125063.24137931035</v>
      </c>
    </row>
    <row r="8" spans="1:4">
      <c r="A8" t="s">
        <v>176</v>
      </c>
      <c r="B8" s="61">
        <v>93190.159090909088</v>
      </c>
    </row>
    <row r="9" spans="1:4">
      <c r="A9" t="s">
        <v>84</v>
      </c>
      <c r="B9" s="61">
        <v>117506.08196721312</v>
      </c>
    </row>
    <row r="10" spans="1:4">
      <c r="A10" t="s">
        <v>118</v>
      </c>
      <c r="B10" s="61">
        <v>117689.8275862069</v>
      </c>
    </row>
    <row r="11" spans="1:4">
      <c r="A11" t="s">
        <v>63</v>
      </c>
      <c r="B11" s="61">
        <v>121090.42857142857</v>
      </c>
    </row>
    <row r="12" spans="1:4">
      <c r="A12" t="s">
        <v>133</v>
      </c>
      <c r="B12" s="61">
        <v>109212</v>
      </c>
    </row>
    <row r="13" spans="1:4">
      <c r="A13" t="s">
        <v>51</v>
      </c>
      <c r="B13" s="61">
        <v>125303.515625</v>
      </c>
    </row>
    <row r="14" spans="1:4">
      <c r="A14" t="s">
        <v>5884</v>
      </c>
      <c r="B14" s="61">
        <v>117969.06112054329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4C9B-16C8-4BD1-A14E-DC993797B778}">
  <sheetPr>
    <tabColor rgb="FFFF0000"/>
  </sheetPr>
  <dimension ref="A1:N401"/>
  <sheetViews>
    <sheetView workbookViewId="0"/>
  </sheetViews>
  <sheetFormatPr defaultRowHeight="15"/>
  <cols>
    <col min="1" max="1" width="10.28515625" bestFit="1" customWidth="1"/>
    <col min="2" max="2" width="21.5703125" bestFit="1" customWidth="1"/>
    <col min="3" max="3" width="16.85546875" bestFit="1" customWidth="1"/>
    <col min="4" max="4" width="12" bestFit="1" customWidth="1"/>
    <col min="12" max="12" width="10.85546875" bestFit="1" customWidth="1"/>
    <col min="13" max="13" width="20.85546875" bestFit="1" customWidth="1"/>
  </cols>
  <sheetData>
    <row r="1" spans="1:14" ht="36">
      <c r="A1" s="10" t="s">
        <v>5003</v>
      </c>
      <c r="B1" s="10" t="s">
        <v>1</v>
      </c>
      <c r="C1" s="10" t="s">
        <v>5004</v>
      </c>
      <c r="D1" s="10" t="s">
        <v>3</v>
      </c>
      <c r="E1" s="10" t="s">
        <v>5005</v>
      </c>
      <c r="F1" s="10" t="s">
        <v>5006</v>
      </c>
      <c r="G1" s="10" t="s">
        <v>5007</v>
      </c>
      <c r="H1" s="10" t="s">
        <v>5008</v>
      </c>
      <c r="I1" s="10" t="s">
        <v>5009</v>
      </c>
      <c r="J1" s="10" t="s">
        <v>5010</v>
      </c>
      <c r="K1" s="10" t="s">
        <v>5011</v>
      </c>
      <c r="L1" s="39" t="s">
        <v>5012</v>
      </c>
      <c r="M1" s="10" t="s">
        <v>5</v>
      </c>
      <c r="N1" s="10" t="s">
        <v>5013</v>
      </c>
    </row>
    <row r="2" spans="1:14">
      <c r="A2" s="19" t="s">
        <v>5014</v>
      </c>
      <c r="B2" s="19" t="s">
        <v>5015</v>
      </c>
      <c r="C2" s="19" t="s">
        <v>225</v>
      </c>
      <c r="D2" s="19" t="s">
        <v>89</v>
      </c>
      <c r="E2" s="19" t="s">
        <v>5016</v>
      </c>
      <c r="F2" s="19">
        <v>3.8</v>
      </c>
      <c r="G2" s="19">
        <v>7.9</v>
      </c>
      <c r="H2" s="19">
        <v>5.8</v>
      </c>
      <c r="I2" s="19">
        <v>123018</v>
      </c>
      <c r="J2" s="19">
        <v>135000</v>
      </c>
      <c r="K2" s="19" t="s">
        <v>5017</v>
      </c>
      <c r="L2" s="40" t="s">
        <v>1068</v>
      </c>
      <c r="M2" s="19" t="s">
        <v>46</v>
      </c>
      <c r="N2" s="19">
        <v>4.7</v>
      </c>
    </row>
    <row r="3" spans="1:14">
      <c r="A3" s="18" t="s">
        <v>5018</v>
      </c>
      <c r="B3" s="18" t="s">
        <v>306</v>
      </c>
      <c r="C3" s="18" t="s">
        <v>335</v>
      </c>
      <c r="D3" s="18" t="s">
        <v>89</v>
      </c>
      <c r="E3" s="18" t="s">
        <v>5019</v>
      </c>
      <c r="F3" s="18">
        <v>3.1</v>
      </c>
      <c r="G3" s="18">
        <v>3.3</v>
      </c>
      <c r="H3" s="18">
        <v>3.2</v>
      </c>
      <c r="I3" s="18">
        <v>139712</v>
      </c>
      <c r="J3" s="18">
        <v>132960</v>
      </c>
      <c r="K3" s="18" t="s">
        <v>5020</v>
      </c>
      <c r="L3" s="41" t="s">
        <v>1886</v>
      </c>
      <c r="M3" s="18" t="s">
        <v>172</v>
      </c>
      <c r="N3" s="18">
        <v>5.7</v>
      </c>
    </row>
    <row r="4" spans="1:14">
      <c r="A4" s="19" t="s">
        <v>5021</v>
      </c>
      <c r="B4" s="19" t="s">
        <v>5022</v>
      </c>
      <c r="C4" s="19" t="s">
        <v>138</v>
      </c>
      <c r="D4" s="19" t="s">
        <v>39</v>
      </c>
      <c r="E4" s="19" t="s">
        <v>5023</v>
      </c>
      <c r="F4" s="19">
        <v>4.0999999999999996</v>
      </c>
      <c r="G4" s="19">
        <v>6.7</v>
      </c>
      <c r="H4" s="19">
        <v>5.4</v>
      </c>
      <c r="I4" s="19">
        <v>26013</v>
      </c>
      <c r="J4" s="19">
        <v>28384</v>
      </c>
      <c r="K4" s="19" t="s">
        <v>5017</v>
      </c>
      <c r="L4" s="40" t="s">
        <v>1819</v>
      </c>
      <c r="M4" s="19" t="s">
        <v>172</v>
      </c>
      <c r="N4" s="19">
        <v>14.5</v>
      </c>
    </row>
    <row r="5" spans="1:14">
      <c r="A5" s="18" t="s">
        <v>5024</v>
      </c>
      <c r="B5" s="18" t="s">
        <v>545</v>
      </c>
      <c r="C5" s="18" t="s">
        <v>335</v>
      </c>
      <c r="D5" s="18" t="s">
        <v>84</v>
      </c>
      <c r="E5" s="18" t="s">
        <v>5025</v>
      </c>
      <c r="F5" s="18">
        <v>3.5</v>
      </c>
      <c r="G5" s="18">
        <v>8.8000000000000007</v>
      </c>
      <c r="H5" s="18">
        <v>6.2</v>
      </c>
      <c r="I5" s="18">
        <v>176914</v>
      </c>
      <c r="J5" s="18">
        <v>170600</v>
      </c>
      <c r="K5" s="18" t="s">
        <v>5017</v>
      </c>
      <c r="L5" s="41" t="s">
        <v>5026</v>
      </c>
      <c r="M5" s="18" t="s">
        <v>18</v>
      </c>
      <c r="N5" s="18">
        <v>11.7</v>
      </c>
    </row>
    <row r="6" spans="1:14">
      <c r="A6" s="19" t="s">
        <v>5027</v>
      </c>
      <c r="B6" s="19" t="s">
        <v>428</v>
      </c>
      <c r="C6" s="19"/>
      <c r="D6" s="19" t="s">
        <v>16</v>
      </c>
      <c r="E6" s="19" t="s">
        <v>5019</v>
      </c>
      <c r="F6" s="19">
        <v>3.1</v>
      </c>
      <c r="G6" s="19">
        <v>7.9</v>
      </c>
      <c r="H6" s="19">
        <v>5.5</v>
      </c>
      <c r="I6" s="19">
        <v>155983</v>
      </c>
      <c r="J6" s="19">
        <v>164134</v>
      </c>
      <c r="K6" s="19" t="s">
        <v>5028</v>
      </c>
      <c r="L6" s="40" t="s">
        <v>5029</v>
      </c>
      <c r="M6" s="19" t="s">
        <v>70</v>
      </c>
      <c r="N6" s="19">
        <v>7</v>
      </c>
    </row>
    <row r="7" spans="1:14">
      <c r="A7" s="18" t="s">
        <v>5030</v>
      </c>
      <c r="B7" s="18" t="s">
        <v>148</v>
      </c>
      <c r="C7" s="18" t="s">
        <v>225</v>
      </c>
      <c r="D7" s="18" t="s">
        <v>51</v>
      </c>
      <c r="E7" s="18" t="s">
        <v>5031</v>
      </c>
      <c r="F7" s="18">
        <v>4.3</v>
      </c>
      <c r="G7" s="18">
        <v>9.6</v>
      </c>
      <c r="H7" s="18">
        <v>6.9</v>
      </c>
      <c r="I7" s="18">
        <v>37894</v>
      </c>
      <c r="J7" s="18">
        <v>39365</v>
      </c>
      <c r="K7" s="18" t="s">
        <v>5020</v>
      </c>
      <c r="L7" s="41" t="s">
        <v>1042</v>
      </c>
      <c r="M7" s="18" t="s">
        <v>46</v>
      </c>
      <c r="N7" s="18">
        <v>4.3</v>
      </c>
    </row>
    <row r="8" spans="1:14">
      <c r="A8" s="19" t="s">
        <v>5032</v>
      </c>
      <c r="B8" s="19" t="s">
        <v>5033</v>
      </c>
      <c r="C8" s="19" t="s">
        <v>335</v>
      </c>
      <c r="D8" s="19" t="s">
        <v>63</v>
      </c>
      <c r="E8" s="19" t="s">
        <v>5019</v>
      </c>
      <c r="F8" s="19"/>
      <c r="G8" s="19">
        <v>8.5</v>
      </c>
      <c r="H8" s="19"/>
      <c r="I8" s="19">
        <v>164283</v>
      </c>
      <c r="J8" s="19">
        <v>170751</v>
      </c>
      <c r="K8" s="19" t="s">
        <v>5020</v>
      </c>
      <c r="L8" s="40" t="s">
        <v>1867</v>
      </c>
      <c r="M8" s="19" t="s">
        <v>114</v>
      </c>
      <c r="N8" s="19">
        <v>11</v>
      </c>
    </row>
    <row r="9" spans="1:14">
      <c r="A9" s="18" t="s">
        <v>5034</v>
      </c>
      <c r="B9" s="18" t="s">
        <v>775</v>
      </c>
      <c r="C9" s="18" t="s">
        <v>98</v>
      </c>
      <c r="D9" s="18" t="s">
        <v>89</v>
      </c>
      <c r="E9" s="18" t="s">
        <v>5016</v>
      </c>
      <c r="F9" s="18">
        <v>8.1</v>
      </c>
      <c r="G9" s="18">
        <v>4.2</v>
      </c>
      <c r="H9" s="18">
        <v>6.2</v>
      </c>
      <c r="I9" s="18">
        <v>86255</v>
      </c>
      <c r="J9" s="18"/>
      <c r="K9" s="18" t="s">
        <v>5035</v>
      </c>
      <c r="L9" s="41" t="s">
        <v>2211</v>
      </c>
      <c r="M9" s="18" t="s">
        <v>214</v>
      </c>
      <c r="N9" s="18">
        <v>13</v>
      </c>
    </row>
    <row r="10" spans="1:14">
      <c r="A10" s="19" t="s">
        <v>5036</v>
      </c>
      <c r="B10" s="19" t="s">
        <v>5037</v>
      </c>
      <c r="C10" s="19" t="s">
        <v>138</v>
      </c>
      <c r="D10" s="19" t="s">
        <v>16</v>
      </c>
      <c r="E10" s="19" t="s">
        <v>5023</v>
      </c>
      <c r="F10" s="19">
        <v>4.3</v>
      </c>
      <c r="G10" s="19">
        <v>4.8</v>
      </c>
      <c r="H10" s="19">
        <v>4.5</v>
      </c>
      <c r="I10" s="19">
        <v>24144</v>
      </c>
      <c r="J10" s="19">
        <v>25381</v>
      </c>
      <c r="K10" s="19" t="s">
        <v>5020</v>
      </c>
      <c r="L10" s="40" t="s">
        <v>1892</v>
      </c>
      <c r="M10" s="19" t="s">
        <v>53</v>
      </c>
      <c r="N10" s="19">
        <v>8.8000000000000007</v>
      </c>
    </row>
    <row r="11" spans="1:14">
      <c r="A11" s="18" t="s">
        <v>5038</v>
      </c>
      <c r="B11" s="18" t="s">
        <v>5039</v>
      </c>
      <c r="C11" s="18" t="s">
        <v>5040</v>
      </c>
      <c r="D11" s="18" t="s">
        <v>133</v>
      </c>
      <c r="E11" s="18" t="s">
        <v>5025</v>
      </c>
      <c r="F11" s="18">
        <v>7.5</v>
      </c>
      <c r="G11" s="18">
        <v>6.9</v>
      </c>
      <c r="H11" s="18">
        <v>7.2</v>
      </c>
      <c r="I11" s="18">
        <v>191563</v>
      </c>
      <c r="J11" s="18"/>
      <c r="K11" s="18" t="s">
        <v>5028</v>
      </c>
      <c r="L11" s="41" t="s">
        <v>5041</v>
      </c>
      <c r="M11" s="18" t="s">
        <v>214</v>
      </c>
      <c r="N11" s="18">
        <v>5.9</v>
      </c>
    </row>
    <row r="12" spans="1:14">
      <c r="A12" s="19" t="s">
        <v>5042</v>
      </c>
      <c r="B12" s="19" t="s">
        <v>203</v>
      </c>
      <c r="C12" s="19" t="s">
        <v>225</v>
      </c>
      <c r="D12" s="19" t="s">
        <v>16</v>
      </c>
      <c r="E12" s="19" t="s">
        <v>5025</v>
      </c>
      <c r="F12" s="19">
        <v>7.4</v>
      </c>
      <c r="G12" s="19">
        <v>3.3</v>
      </c>
      <c r="H12" s="19">
        <v>5.3</v>
      </c>
      <c r="I12" s="19">
        <v>170124</v>
      </c>
      <c r="J12" s="19">
        <v>160467</v>
      </c>
      <c r="K12" s="19" t="s">
        <v>5020</v>
      </c>
      <c r="L12" s="40" t="s">
        <v>5043</v>
      </c>
      <c r="M12" s="19" t="s">
        <v>75</v>
      </c>
      <c r="N12" s="19">
        <v>9</v>
      </c>
    </row>
    <row r="13" spans="1:14">
      <c r="A13" s="18" t="s">
        <v>5044</v>
      </c>
      <c r="B13" s="18" t="s">
        <v>203</v>
      </c>
      <c r="C13" s="18" t="s">
        <v>225</v>
      </c>
      <c r="D13" s="18" t="s">
        <v>133</v>
      </c>
      <c r="E13" s="18" t="s">
        <v>5023</v>
      </c>
      <c r="F13" s="18">
        <v>9.6</v>
      </c>
      <c r="G13" s="18">
        <v>9.1</v>
      </c>
      <c r="H13" s="18">
        <v>9.3000000000000007</v>
      </c>
      <c r="I13" s="18">
        <v>108417</v>
      </c>
      <c r="J13" s="18">
        <v>122402</v>
      </c>
      <c r="K13" s="18" t="s">
        <v>5045</v>
      </c>
      <c r="L13" s="41" t="s">
        <v>5046</v>
      </c>
      <c r="M13" s="18" t="s">
        <v>65</v>
      </c>
      <c r="N13" s="18">
        <v>6.5</v>
      </c>
    </row>
    <row r="14" spans="1:14">
      <c r="A14" s="19" t="s">
        <v>5047</v>
      </c>
      <c r="B14" s="19" t="s">
        <v>5048</v>
      </c>
      <c r="C14" s="19" t="s">
        <v>105</v>
      </c>
      <c r="D14" s="19" t="s">
        <v>16</v>
      </c>
      <c r="E14" s="19" t="s">
        <v>5019</v>
      </c>
      <c r="F14" s="19">
        <v>8.8000000000000007</v>
      </c>
      <c r="G14" s="19">
        <v>8.6</v>
      </c>
      <c r="H14" s="19">
        <v>8.6999999999999993</v>
      </c>
      <c r="I14" s="19"/>
      <c r="J14" s="19">
        <v>166699</v>
      </c>
      <c r="K14" s="19" t="s">
        <v>5017</v>
      </c>
      <c r="L14" s="40" t="s">
        <v>5049</v>
      </c>
      <c r="M14" s="19" t="s">
        <v>46</v>
      </c>
      <c r="N14" s="19">
        <v>11.2</v>
      </c>
    </row>
    <row r="15" spans="1:14">
      <c r="A15" s="18" t="s">
        <v>5050</v>
      </c>
      <c r="B15" s="18" t="s">
        <v>1386</v>
      </c>
      <c r="C15" s="18" t="s">
        <v>105</v>
      </c>
      <c r="D15" s="18" t="s">
        <v>63</v>
      </c>
      <c r="E15" s="18" t="s">
        <v>5051</v>
      </c>
      <c r="F15" s="18">
        <v>7</v>
      </c>
      <c r="G15" s="18">
        <v>8.8000000000000007</v>
      </c>
      <c r="H15" s="18">
        <v>7.9</v>
      </c>
      <c r="I15" s="18">
        <v>144314</v>
      </c>
      <c r="J15" s="18">
        <v>135340</v>
      </c>
      <c r="K15" s="18" t="s">
        <v>5035</v>
      </c>
      <c r="L15" s="41" t="s">
        <v>709</v>
      </c>
      <c r="M15" s="18" t="s">
        <v>32</v>
      </c>
      <c r="N15" s="18">
        <v>7.6</v>
      </c>
    </row>
    <row r="16" spans="1:14">
      <c r="A16" s="19" t="s">
        <v>5052</v>
      </c>
      <c r="B16" s="19" t="s">
        <v>5053</v>
      </c>
      <c r="C16" s="19" t="s">
        <v>79</v>
      </c>
      <c r="D16" s="19" t="s">
        <v>16</v>
      </c>
      <c r="E16" s="19" t="s">
        <v>5019</v>
      </c>
      <c r="F16" s="19">
        <v>3.1</v>
      </c>
      <c r="G16" s="19">
        <v>8.5</v>
      </c>
      <c r="H16" s="19">
        <v>5.8</v>
      </c>
      <c r="I16" s="19"/>
      <c r="J16" s="19"/>
      <c r="K16" s="19" t="s">
        <v>5020</v>
      </c>
      <c r="L16" s="40" t="s">
        <v>5054</v>
      </c>
      <c r="M16" s="19" t="s">
        <v>172</v>
      </c>
      <c r="N16" s="19">
        <v>9.8000000000000007</v>
      </c>
    </row>
    <row r="17" spans="1:14">
      <c r="A17" s="18" t="s">
        <v>5055</v>
      </c>
      <c r="B17" s="18" t="s">
        <v>1447</v>
      </c>
      <c r="C17" s="18" t="s">
        <v>105</v>
      </c>
      <c r="D17" s="18" t="s">
        <v>84</v>
      </c>
      <c r="E17" s="18" t="s">
        <v>5023</v>
      </c>
      <c r="F17" s="18">
        <v>9</v>
      </c>
      <c r="G17" s="18">
        <v>4.8</v>
      </c>
      <c r="H17" s="18">
        <v>6.9</v>
      </c>
      <c r="I17" s="18">
        <v>75018</v>
      </c>
      <c r="J17" s="18">
        <v>70245</v>
      </c>
      <c r="K17" s="18" t="s">
        <v>5020</v>
      </c>
      <c r="L17" s="41" t="s">
        <v>5056</v>
      </c>
      <c r="M17" s="18" t="s">
        <v>149</v>
      </c>
      <c r="N17" s="18">
        <v>4.9000000000000004</v>
      </c>
    </row>
    <row r="18" spans="1:14">
      <c r="A18" s="19" t="s">
        <v>5057</v>
      </c>
      <c r="B18" s="19" t="s">
        <v>1188</v>
      </c>
      <c r="C18" s="19" t="s">
        <v>138</v>
      </c>
      <c r="D18" s="19" t="s">
        <v>24</v>
      </c>
      <c r="E18" s="19" t="s">
        <v>5019</v>
      </c>
      <c r="F18" s="19">
        <v>4</v>
      </c>
      <c r="G18" s="19">
        <v>4</v>
      </c>
      <c r="H18" s="19">
        <v>4</v>
      </c>
      <c r="I18" s="19">
        <v>134338</v>
      </c>
      <c r="J18" s="19">
        <v>151435</v>
      </c>
      <c r="K18" s="19" t="s">
        <v>5020</v>
      </c>
      <c r="L18" s="40" t="s">
        <v>5058</v>
      </c>
      <c r="M18" s="19" t="s">
        <v>214</v>
      </c>
      <c r="N18" s="19">
        <v>10</v>
      </c>
    </row>
    <row r="19" spans="1:14">
      <c r="A19" s="18" t="s">
        <v>5059</v>
      </c>
      <c r="B19" s="18" t="s">
        <v>171</v>
      </c>
      <c r="C19" s="18" t="s">
        <v>5040</v>
      </c>
      <c r="D19" s="18" t="s">
        <v>39</v>
      </c>
      <c r="E19" s="18" t="s">
        <v>5060</v>
      </c>
      <c r="F19" s="18">
        <v>8.8000000000000007</v>
      </c>
      <c r="G19" s="18">
        <v>6.4</v>
      </c>
      <c r="H19" s="18">
        <v>7.6</v>
      </c>
      <c r="I19" s="18">
        <v>75363</v>
      </c>
      <c r="J19" s="18"/>
      <c r="K19" s="18" t="s">
        <v>5017</v>
      </c>
      <c r="L19" s="41" t="s">
        <v>5061</v>
      </c>
      <c r="M19" s="18" t="s">
        <v>70</v>
      </c>
      <c r="N19" s="18">
        <v>8.1999999999999993</v>
      </c>
    </row>
    <row r="20" spans="1:14">
      <c r="A20" s="19" t="s">
        <v>5062</v>
      </c>
      <c r="B20" s="19" t="s">
        <v>662</v>
      </c>
      <c r="C20" s="19" t="s">
        <v>335</v>
      </c>
      <c r="D20" s="19" t="s">
        <v>176</v>
      </c>
      <c r="E20" s="19" t="s">
        <v>5060</v>
      </c>
      <c r="F20" s="19">
        <v>4.5</v>
      </c>
      <c r="G20" s="19">
        <v>4.4000000000000004</v>
      </c>
      <c r="H20" s="19">
        <v>4.5</v>
      </c>
      <c r="I20" s="19">
        <v>60126</v>
      </c>
      <c r="J20" s="19"/>
      <c r="K20" s="19" t="s">
        <v>5035</v>
      </c>
      <c r="L20" s="40" t="s">
        <v>5063</v>
      </c>
      <c r="M20" s="19" t="s">
        <v>26</v>
      </c>
      <c r="N20" s="19">
        <v>5</v>
      </c>
    </row>
    <row r="21" spans="1:14">
      <c r="A21" s="18" t="s">
        <v>5064</v>
      </c>
      <c r="B21" s="18" t="s">
        <v>5065</v>
      </c>
      <c r="C21" s="18" t="s">
        <v>98</v>
      </c>
      <c r="D21" s="18" t="s">
        <v>63</v>
      </c>
      <c r="E21" s="18" t="s">
        <v>5019</v>
      </c>
      <c r="F21" s="18">
        <v>5.5</v>
      </c>
      <c r="G21" s="18">
        <v>7.3</v>
      </c>
      <c r="H21" s="18">
        <v>6.4</v>
      </c>
      <c r="I21" s="18">
        <v>67215</v>
      </c>
      <c r="J21" s="18">
        <v>58147</v>
      </c>
      <c r="K21" s="18" t="s">
        <v>5035</v>
      </c>
      <c r="L21" s="41" t="s">
        <v>2002</v>
      </c>
      <c r="M21" s="18" t="s">
        <v>172</v>
      </c>
      <c r="N21" s="18">
        <v>0.9</v>
      </c>
    </row>
    <row r="22" spans="1:14">
      <c r="A22" s="19" t="s">
        <v>5066</v>
      </c>
      <c r="B22" s="19" t="s">
        <v>528</v>
      </c>
      <c r="C22" s="19" t="s">
        <v>5040</v>
      </c>
      <c r="D22" s="19" t="s">
        <v>39</v>
      </c>
      <c r="E22" s="19" t="s">
        <v>5031</v>
      </c>
      <c r="F22" s="19">
        <v>8.5</v>
      </c>
      <c r="G22" s="19">
        <v>7.6</v>
      </c>
      <c r="H22" s="19">
        <v>8.1</v>
      </c>
      <c r="I22" s="19">
        <v>113954</v>
      </c>
      <c r="J22" s="19"/>
      <c r="K22" s="19" t="s">
        <v>5035</v>
      </c>
      <c r="L22" s="40" t="s">
        <v>1737</v>
      </c>
      <c r="M22" s="19" t="s">
        <v>32</v>
      </c>
      <c r="N22" s="19">
        <v>11.7</v>
      </c>
    </row>
    <row r="23" spans="1:14">
      <c r="A23" s="18" t="s">
        <v>5067</v>
      </c>
      <c r="B23" s="18" t="s">
        <v>1145</v>
      </c>
      <c r="C23" s="18" t="s">
        <v>105</v>
      </c>
      <c r="D23" s="18" t="s">
        <v>118</v>
      </c>
      <c r="E23" s="18" t="s">
        <v>5016</v>
      </c>
      <c r="F23" s="18">
        <v>6.5</v>
      </c>
      <c r="G23" s="18">
        <v>9.1</v>
      </c>
      <c r="H23" s="18">
        <v>7.8</v>
      </c>
      <c r="I23" s="18">
        <v>183795</v>
      </c>
      <c r="J23" s="18">
        <v>208454</v>
      </c>
      <c r="K23" s="18" t="s">
        <v>5020</v>
      </c>
      <c r="L23" s="41" t="s">
        <v>2035</v>
      </c>
      <c r="M23" s="18" t="s">
        <v>70</v>
      </c>
      <c r="N23" s="18">
        <v>4.8</v>
      </c>
    </row>
    <row r="24" spans="1:14">
      <c r="A24" s="19" t="s">
        <v>5068</v>
      </c>
      <c r="B24" s="19" t="s">
        <v>5069</v>
      </c>
      <c r="C24" s="19" t="s">
        <v>225</v>
      </c>
      <c r="D24" s="19" t="s">
        <v>51</v>
      </c>
      <c r="E24" s="19" t="s">
        <v>5051</v>
      </c>
      <c r="F24" s="19">
        <v>5.5</v>
      </c>
      <c r="G24" s="19">
        <v>8.6</v>
      </c>
      <c r="H24" s="19">
        <v>7</v>
      </c>
      <c r="I24" s="19">
        <v>64504</v>
      </c>
      <c r="J24" s="19"/>
      <c r="K24" s="19" t="s">
        <v>5017</v>
      </c>
      <c r="L24" s="40" t="s">
        <v>5070</v>
      </c>
      <c r="M24" s="19" t="s">
        <v>53</v>
      </c>
      <c r="N24" s="19">
        <v>11.4</v>
      </c>
    </row>
    <row r="25" spans="1:14">
      <c r="A25" s="18" t="s">
        <v>5071</v>
      </c>
      <c r="B25" s="18" t="s">
        <v>502</v>
      </c>
      <c r="C25" s="18" t="s">
        <v>225</v>
      </c>
      <c r="D25" s="18" t="s">
        <v>176</v>
      </c>
      <c r="E25" s="18" t="s">
        <v>5051</v>
      </c>
      <c r="F25" s="18">
        <v>3.8</v>
      </c>
      <c r="G25" s="18">
        <v>5.5</v>
      </c>
      <c r="H25" s="18">
        <v>4.7</v>
      </c>
      <c r="I25" s="18">
        <v>196050</v>
      </c>
      <c r="J25" s="18">
        <v>225137</v>
      </c>
      <c r="K25" s="18" t="s">
        <v>5020</v>
      </c>
      <c r="L25" s="41" t="s">
        <v>5072</v>
      </c>
      <c r="M25" s="18" t="s">
        <v>75</v>
      </c>
      <c r="N25" s="18">
        <v>8.6999999999999993</v>
      </c>
    </row>
    <row r="26" spans="1:14">
      <c r="A26" s="19" t="s">
        <v>5073</v>
      </c>
      <c r="B26" s="19" t="s">
        <v>1257</v>
      </c>
      <c r="C26" s="19" t="s">
        <v>105</v>
      </c>
      <c r="D26" s="19" t="s">
        <v>51</v>
      </c>
      <c r="E26" s="19" t="s">
        <v>5023</v>
      </c>
      <c r="F26" s="19">
        <v>6.7</v>
      </c>
      <c r="G26" s="19">
        <v>3.7</v>
      </c>
      <c r="H26" s="19">
        <v>5.2</v>
      </c>
      <c r="I26" s="19">
        <v>66622</v>
      </c>
      <c r="J26" s="19">
        <v>66872</v>
      </c>
      <c r="K26" s="19" t="s">
        <v>5035</v>
      </c>
      <c r="L26" s="40" t="s">
        <v>5074</v>
      </c>
      <c r="M26" s="19" t="s">
        <v>75</v>
      </c>
      <c r="N26" s="19">
        <v>5.0999999999999996</v>
      </c>
    </row>
    <row r="27" spans="1:14">
      <c r="A27" s="18" t="s">
        <v>5075</v>
      </c>
      <c r="B27" s="18" t="s">
        <v>5076</v>
      </c>
      <c r="C27" s="18" t="s">
        <v>138</v>
      </c>
      <c r="D27" s="18" t="s">
        <v>118</v>
      </c>
      <c r="E27" s="18" t="s">
        <v>5077</v>
      </c>
      <c r="F27" s="18">
        <v>3.1</v>
      </c>
      <c r="G27" s="18">
        <v>4.3</v>
      </c>
      <c r="H27" s="18">
        <v>3.7</v>
      </c>
      <c r="I27" s="18">
        <v>60845</v>
      </c>
      <c r="J27" s="18">
        <v>66284</v>
      </c>
      <c r="K27" s="18" t="s">
        <v>5045</v>
      </c>
      <c r="L27" s="41" t="s">
        <v>5078</v>
      </c>
      <c r="M27" s="18" t="s">
        <v>149</v>
      </c>
      <c r="N27" s="18">
        <v>5.9</v>
      </c>
    </row>
    <row r="28" spans="1:14">
      <c r="A28" s="19" t="s">
        <v>5079</v>
      </c>
      <c r="B28" s="19" t="s">
        <v>5080</v>
      </c>
      <c r="C28" s="19" t="s">
        <v>153</v>
      </c>
      <c r="D28" s="19" t="s">
        <v>133</v>
      </c>
      <c r="E28" s="19" t="s">
        <v>5016</v>
      </c>
      <c r="F28" s="19">
        <v>3.4</v>
      </c>
      <c r="G28" s="19">
        <v>9</v>
      </c>
      <c r="H28" s="19">
        <v>6.2</v>
      </c>
      <c r="I28" s="19">
        <v>129397</v>
      </c>
      <c r="J28" s="19">
        <v>117989</v>
      </c>
      <c r="K28" s="19" t="s">
        <v>5020</v>
      </c>
      <c r="L28" s="40" t="s">
        <v>5081</v>
      </c>
      <c r="M28" s="19" t="s">
        <v>70</v>
      </c>
      <c r="N28" s="19">
        <v>11.7</v>
      </c>
    </row>
    <row r="29" spans="1:14">
      <c r="A29" s="18" t="s">
        <v>5082</v>
      </c>
      <c r="B29" s="18" t="s">
        <v>1297</v>
      </c>
      <c r="C29" s="18" t="s">
        <v>335</v>
      </c>
      <c r="D29" s="18" t="s">
        <v>16</v>
      </c>
      <c r="E29" s="18" t="s">
        <v>5025</v>
      </c>
      <c r="F29" s="18">
        <v>4.2</v>
      </c>
      <c r="G29" s="18">
        <v>5.2</v>
      </c>
      <c r="H29" s="18">
        <v>4.7</v>
      </c>
      <c r="I29" s="18">
        <v>199530</v>
      </c>
      <c r="J29" s="18"/>
      <c r="K29" s="18" t="s">
        <v>5017</v>
      </c>
      <c r="L29" s="41" t="s">
        <v>5083</v>
      </c>
      <c r="M29" s="18" t="s">
        <v>75</v>
      </c>
      <c r="N29" s="18">
        <v>9.1999999999999993</v>
      </c>
    </row>
    <row r="30" spans="1:14">
      <c r="A30" s="19" t="s">
        <v>5084</v>
      </c>
      <c r="B30" s="19" t="s">
        <v>5085</v>
      </c>
      <c r="C30" s="19" t="s">
        <v>138</v>
      </c>
      <c r="D30" s="19" t="s">
        <v>16</v>
      </c>
      <c r="E30" s="19" t="s">
        <v>5051</v>
      </c>
      <c r="F30" s="19">
        <v>6.6</v>
      </c>
      <c r="G30" s="19">
        <v>4.2</v>
      </c>
      <c r="H30" s="19">
        <v>5.4</v>
      </c>
      <c r="I30" s="19">
        <v>169961</v>
      </c>
      <c r="J30" s="19">
        <v>185498</v>
      </c>
      <c r="K30" s="19" t="s">
        <v>5020</v>
      </c>
      <c r="L30" s="40" t="s">
        <v>2215</v>
      </c>
      <c r="M30" s="19" t="s">
        <v>149</v>
      </c>
      <c r="N30" s="19">
        <v>11.6</v>
      </c>
    </row>
    <row r="31" spans="1:14">
      <c r="A31" s="18" t="s">
        <v>5086</v>
      </c>
      <c r="B31" s="18" t="s">
        <v>1460</v>
      </c>
      <c r="C31" s="18" t="s">
        <v>105</v>
      </c>
      <c r="D31" s="18" t="s">
        <v>51</v>
      </c>
      <c r="E31" s="18" t="s">
        <v>5016</v>
      </c>
      <c r="F31" s="18">
        <v>8.5</v>
      </c>
      <c r="G31" s="18">
        <v>5.5</v>
      </c>
      <c r="H31" s="18">
        <v>7</v>
      </c>
      <c r="I31" s="18">
        <v>131761</v>
      </c>
      <c r="J31" s="18">
        <v>125277</v>
      </c>
      <c r="K31" s="18" t="s">
        <v>5045</v>
      </c>
      <c r="L31" s="41" t="s">
        <v>5087</v>
      </c>
      <c r="M31" s="18" t="s">
        <v>172</v>
      </c>
      <c r="N31" s="18">
        <v>11.3</v>
      </c>
    </row>
    <row r="32" spans="1:14">
      <c r="A32" s="19" t="s">
        <v>5088</v>
      </c>
      <c r="B32" s="19" t="s">
        <v>631</v>
      </c>
      <c r="C32" s="19" t="s">
        <v>153</v>
      </c>
      <c r="D32" s="19" t="s">
        <v>51</v>
      </c>
      <c r="E32" s="19" t="s">
        <v>5060</v>
      </c>
      <c r="F32" s="19">
        <v>9.6999999999999993</v>
      </c>
      <c r="G32" s="19">
        <v>8.8000000000000007</v>
      </c>
      <c r="H32" s="19">
        <v>9.1999999999999993</v>
      </c>
      <c r="I32" s="19">
        <v>180507</v>
      </c>
      <c r="J32" s="19">
        <v>193212</v>
      </c>
      <c r="K32" s="19" t="s">
        <v>5020</v>
      </c>
      <c r="L32" s="40" t="s">
        <v>1430</v>
      </c>
      <c r="M32" s="19" t="s">
        <v>149</v>
      </c>
      <c r="N32" s="19">
        <v>6.8</v>
      </c>
    </row>
    <row r="33" spans="1:14">
      <c r="A33" s="18" t="s">
        <v>5089</v>
      </c>
      <c r="B33" s="18" t="s">
        <v>628</v>
      </c>
      <c r="C33" s="18" t="s">
        <v>98</v>
      </c>
      <c r="D33" s="18" t="s">
        <v>89</v>
      </c>
      <c r="E33" s="18" t="s">
        <v>5077</v>
      </c>
      <c r="F33" s="18">
        <v>3.8</v>
      </c>
      <c r="G33" s="18">
        <v>6.2</v>
      </c>
      <c r="H33" s="18">
        <v>5</v>
      </c>
      <c r="I33" s="18">
        <v>158520</v>
      </c>
      <c r="J33" s="18">
        <v>151325</v>
      </c>
      <c r="K33" s="18" t="s">
        <v>5017</v>
      </c>
      <c r="L33" s="41" t="s">
        <v>585</v>
      </c>
      <c r="M33" s="18" t="s">
        <v>75</v>
      </c>
      <c r="N33" s="18">
        <v>4.3</v>
      </c>
    </row>
    <row r="34" spans="1:14">
      <c r="A34" s="19" t="s">
        <v>5090</v>
      </c>
      <c r="B34" s="19" t="s">
        <v>5091</v>
      </c>
      <c r="C34" s="19" t="s">
        <v>225</v>
      </c>
      <c r="D34" s="19" t="s">
        <v>24</v>
      </c>
      <c r="E34" s="19" t="s">
        <v>5025</v>
      </c>
      <c r="F34" s="19">
        <v>9.8000000000000007</v>
      </c>
      <c r="G34" s="19">
        <v>8.5</v>
      </c>
      <c r="H34" s="19">
        <v>9.1999999999999993</v>
      </c>
      <c r="I34" s="19">
        <v>125983</v>
      </c>
      <c r="J34" s="19">
        <v>129695</v>
      </c>
      <c r="K34" s="19" t="s">
        <v>5045</v>
      </c>
      <c r="L34" s="40" t="s">
        <v>5092</v>
      </c>
      <c r="M34" s="19" t="s">
        <v>214</v>
      </c>
      <c r="N34" s="19">
        <v>6.3</v>
      </c>
    </row>
    <row r="35" spans="1:14">
      <c r="A35" s="18" t="s">
        <v>5093</v>
      </c>
      <c r="B35" s="18" t="s">
        <v>655</v>
      </c>
      <c r="C35" s="18" t="s">
        <v>105</v>
      </c>
      <c r="D35" s="18" t="s">
        <v>51</v>
      </c>
      <c r="E35" s="18" t="s">
        <v>5019</v>
      </c>
      <c r="F35" s="18">
        <v>4.5</v>
      </c>
      <c r="G35" s="18"/>
      <c r="H35" s="18">
        <v>4.5</v>
      </c>
      <c r="I35" s="18">
        <v>103827</v>
      </c>
      <c r="J35" s="18">
        <v>117799</v>
      </c>
      <c r="K35" s="18" t="s">
        <v>5035</v>
      </c>
      <c r="L35" s="41" t="s">
        <v>1913</v>
      </c>
      <c r="M35" s="18" t="s">
        <v>149</v>
      </c>
      <c r="N35" s="18">
        <v>9.8000000000000007</v>
      </c>
    </row>
    <row r="36" spans="1:14">
      <c r="A36" s="19" t="s">
        <v>5094</v>
      </c>
      <c r="B36" s="19" t="s">
        <v>5095</v>
      </c>
      <c r="C36" s="19" t="s">
        <v>90</v>
      </c>
      <c r="D36" s="19" t="s">
        <v>84</v>
      </c>
      <c r="E36" s="19" t="s">
        <v>5060</v>
      </c>
      <c r="F36" s="19">
        <v>7.7</v>
      </c>
      <c r="G36" s="19">
        <v>5.9</v>
      </c>
      <c r="H36" s="19">
        <v>6.8</v>
      </c>
      <c r="I36" s="19">
        <v>131980</v>
      </c>
      <c r="J36" s="19"/>
      <c r="K36" s="19" t="s">
        <v>5028</v>
      </c>
      <c r="L36" s="40" t="s">
        <v>5096</v>
      </c>
      <c r="M36" s="19" t="s">
        <v>114</v>
      </c>
      <c r="N36" s="19">
        <v>13.5</v>
      </c>
    </row>
    <row r="37" spans="1:14">
      <c r="A37" s="18" t="s">
        <v>5097</v>
      </c>
      <c r="B37" s="18" t="s">
        <v>886</v>
      </c>
      <c r="C37" s="18" t="s">
        <v>25</v>
      </c>
      <c r="D37" s="18" t="s">
        <v>118</v>
      </c>
      <c r="E37" s="18" t="s">
        <v>5060</v>
      </c>
      <c r="F37" s="18">
        <v>5.3</v>
      </c>
      <c r="G37" s="18">
        <v>9.5</v>
      </c>
      <c r="H37" s="18">
        <v>7.4</v>
      </c>
      <c r="I37" s="18">
        <v>83588</v>
      </c>
      <c r="J37" s="18">
        <v>91424</v>
      </c>
      <c r="K37" s="18" t="s">
        <v>5028</v>
      </c>
      <c r="L37" s="41" t="s">
        <v>5098</v>
      </c>
      <c r="M37" s="18" t="s">
        <v>149</v>
      </c>
      <c r="N37" s="18">
        <v>4.8</v>
      </c>
    </row>
    <row r="38" spans="1:14">
      <c r="A38" s="19" t="s">
        <v>5099</v>
      </c>
      <c r="B38" s="19" t="s">
        <v>788</v>
      </c>
      <c r="C38" s="19" t="s">
        <v>138</v>
      </c>
      <c r="D38" s="19" t="s">
        <v>39</v>
      </c>
      <c r="E38" s="19" t="s">
        <v>5019</v>
      </c>
      <c r="F38" s="19">
        <v>6.1</v>
      </c>
      <c r="G38" s="19">
        <v>6.2</v>
      </c>
      <c r="H38" s="19">
        <v>6.2</v>
      </c>
      <c r="I38" s="19">
        <v>139840</v>
      </c>
      <c r="J38" s="19">
        <v>125731</v>
      </c>
      <c r="K38" s="19" t="s">
        <v>5035</v>
      </c>
      <c r="L38" s="40" t="s">
        <v>2296</v>
      </c>
      <c r="M38" s="19" t="s">
        <v>18</v>
      </c>
      <c r="N38" s="19">
        <v>11.7</v>
      </c>
    </row>
    <row r="39" spans="1:14">
      <c r="A39" s="18" t="s">
        <v>5100</v>
      </c>
      <c r="B39" s="18" t="s">
        <v>727</v>
      </c>
      <c r="C39" s="18" t="s">
        <v>25</v>
      </c>
      <c r="D39" s="18" t="s">
        <v>51</v>
      </c>
      <c r="E39" s="18" t="s">
        <v>5077</v>
      </c>
      <c r="F39" s="18">
        <v>7.9</v>
      </c>
      <c r="G39" s="18">
        <v>3.3</v>
      </c>
      <c r="H39" s="18">
        <v>5.6</v>
      </c>
      <c r="I39" s="18">
        <v>100081</v>
      </c>
      <c r="J39" s="18">
        <v>89054</v>
      </c>
      <c r="K39" s="18" t="s">
        <v>5045</v>
      </c>
      <c r="L39" s="41" t="s">
        <v>5101</v>
      </c>
      <c r="M39" s="18" t="s">
        <v>18</v>
      </c>
      <c r="N39" s="18">
        <v>3.9</v>
      </c>
    </row>
    <row r="40" spans="1:14">
      <c r="A40" s="19" t="s">
        <v>5102</v>
      </c>
      <c r="B40" s="19" t="s">
        <v>5103</v>
      </c>
      <c r="C40" s="19" t="s">
        <v>98</v>
      </c>
      <c r="D40" s="19" t="s">
        <v>51</v>
      </c>
      <c r="E40" s="19" t="s">
        <v>5025</v>
      </c>
      <c r="F40" s="19">
        <v>5.7</v>
      </c>
      <c r="G40" s="19">
        <v>3.9</v>
      </c>
      <c r="H40" s="19">
        <v>4.8</v>
      </c>
      <c r="I40" s="19"/>
      <c r="J40" s="19"/>
      <c r="K40" s="19" t="s">
        <v>5045</v>
      </c>
      <c r="L40" s="40" t="s">
        <v>5104</v>
      </c>
      <c r="M40" s="19" t="s">
        <v>53</v>
      </c>
      <c r="N40" s="19">
        <v>0.7</v>
      </c>
    </row>
    <row r="41" spans="1:14">
      <c r="A41" s="18" t="s">
        <v>5105</v>
      </c>
      <c r="B41" s="18" t="s">
        <v>78</v>
      </c>
      <c r="C41" s="18" t="s">
        <v>90</v>
      </c>
      <c r="D41" s="18" t="s">
        <v>89</v>
      </c>
      <c r="E41" s="18" t="s">
        <v>5025</v>
      </c>
      <c r="F41" s="18">
        <v>7</v>
      </c>
      <c r="G41" s="18">
        <v>6.2</v>
      </c>
      <c r="H41" s="18">
        <v>6.6</v>
      </c>
      <c r="I41" s="18">
        <v>184893</v>
      </c>
      <c r="J41" s="18">
        <v>192973</v>
      </c>
      <c r="K41" s="18" t="s">
        <v>5020</v>
      </c>
      <c r="L41" s="41" t="s">
        <v>5106</v>
      </c>
      <c r="M41" s="18" t="s">
        <v>214</v>
      </c>
      <c r="N41" s="18">
        <v>9.1999999999999993</v>
      </c>
    </row>
    <row r="42" spans="1:14">
      <c r="A42" s="19" t="s">
        <v>5107</v>
      </c>
      <c r="B42" s="19" t="s">
        <v>715</v>
      </c>
      <c r="C42" s="19" t="s">
        <v>5040</v>
      </c>
      <c r="D42" s="19" t="s">
        <v>176</v>
      </c>
      <c r="E42" s="19" t="s">
        <v>5023</v>
      </c>
      <c r="F42" s="19">
        <v>6.6</v>
      </c>
      <c r="G42" s="19">
        <v>7.9</v>
      </c>
      <c r="H42" s="19">
        <v>7.2</v>
      </c>
      <c r="I42" s="19">
        <v>94557</v>
      </c>
      <c r="J42" s="19"/>
      <c r="K42" s="19" t="s">
        <v>5035</v>
      </c>
      <c r="L42" s="40" t="s">
        <v>5108</v>
      </c>
      <c r="M42" s="19" t="s">
        <v>32</v>
      </c>
      <c r="N42" s="19">
        <v>0.6</v>
      </c>
    </row>
    <row r="43" spans="1:14">
      <c r="A43" s="18" t="s">
        <v>5109</v>
      </c>
      <c r="B43" s="18" t="s">
        <v>5110</v>
      </c>
      <c r="C43" s="18" t="s">
        <v>153</v>
      </c>
      <c r="D43" s="18" t="s">
        <v>16</v>
      </c>
      <c r="E43" s="18" t="s">
        <v>5077</v>
      </c>
      <c r="F43" s="18">
        <v>5.0999999999999996</v>
      </c>
      <c r="G43" s="18">
        <v>3.6</v>
      </c>
      <c r="H43" s="18">
        <v>4.3</v>
      </c>
      <c r="I43" s="18">
        <v>145379</v>
      </c>
      <c r="J43" s="18">
        <v>144200</v>
      </c>
      <c r="K43" s="18" t="s">
        <v>5017</v>
      </c>
      <c r="L43" s="41" t="s">
        <v>5111</v>
      </c>
      <c r="M43" s="18" t="s">
        <v>18</v>
      </c>
      <c r="N43" s="18">
        <v>6.3</v>
      </c>
    </row>
    <row r="44" spans="1:14">
      <c r="A44" s="19" t="s">
        <v>5112</v>
      </c>
      <c r="B44" s="19" t="s">
        <v>375</v>
      </c>
      <c r="C44" s="19" t="s">
        <v>138</v>
      </c>
      <c r="D44" s="19" t="s">
        <v>84</v>
      </c>
      <c r="E44" s="19" t="s">
        <v>5019</v>
      </c>
      <c r="F44" s="19">
        <v>4.5</v>
      </c>
      <c r="G44" s="19">
        <v>4.4000000000000004</v>
      </c>
      <c r="H44" s="19">
        <v>4.5</v>
      </c>
      <c r="I44" s="19">
        <v>155745</v>
      </c>
      <c r="J44" s="19"/>
      <c r="K44" s="19" t="s">
        <v>5028</v>
      </c>
      <c r="L44" s="40" t="s">
        <v>5113</v>
      </c>
      <c r="M44" s="19" t="s">
        <v>26</v>
      </c>
      <c r="N44" s="19">
        <v>9.5</v>
      </c>
    </row>
    <row r="45" spans="1:14">
      <c r="A45" s="18" t="s">
        <v>5114</v>
      </c>
      <c r="B45" s="18" t="s">
        <v>5115</v>
      </c>
      <c r="C45" s="18" t="s">
        <v>105</v>
      </c>
      <c r="D45" s="18" t="s">
        <v>133</v>
      </c>
      <c r="E45" s="18" t="s">
        <v>5060</v>
      </c>
      <c r="F45" s="18">
        <v>4.8</v>
      </c>
      <c r="G45" s="18">
        <v>6.1</v>
      </c>
      <c r="H45" s="18">
        <v>5.4</v>
      </c>
      <c r="I45" s="18">
        <v>195587</v>
      </c>
      <c r="J45" s="18"/>
      <c r="K45" s="18" t="s">
        <v>5045</v>
      </c>
      <c r="L45" s="41" t="s">
        <v>5116</v>
      </c>
      <c r="M45" s="18" t="s">
        <v>53</v>
      </c>
      <c r="N45" s="18">
        <v>8.6999999999999993</v>
      </c>
    </row>
    <row r="46" spans="1:14">
      <c r="A46" s="19" t="s">
        <v>5117</v>
      </c>
      <c r="B46" s="19" t="s">
        <v>14</v>
      </c>
      <c r="C46" s="19" t="s">
        <v>79</v>
      </c>
      <c r="D46" s="19" t="s">
        <v>24</v>
      </c>
      <c r="E46" s="19" t="s">
        <v>5016</v>
      </c>
      <c r="F46" s="19">
        <v>3.3</v>
      </c>
      <c r="G46" s="19">
        <v>6</v>
      </c>
      <c r="H46" s="19">
        <v>4.7</v>
      </c>
      <c r="I46" s="19">
        <v>172657</v>
      </c>
      <c r="J46" s="19">
        <v>163716</v>
      </c>
      <c r="K46" s="19" t="s">
        <v>5035</v>
      </c>
      <c r="L46" s="40" t="s">
        <v>5118</v>
      </c>
      <c r="M46" s="19" t="s">
        <v>18</v>
      </c>
      <c r="N46" s="19">
        <v>7.2</v>
      </c>
    </row>
    <row r="47" spans="1:14">
      <c r="A47" s="18" t="s">
        <v>5119</v>
      </c>
      <c r="B47" s="18" t="s">
        <v>699</v>
      </c>
      <c r="C47" s="18" t="s">
        <v>90</v>
      </c>
      <c r="D47" s="18" t="s">
        <v>176</v>
      </c>
      <c r="E47" s="18" t="s">
        <v>5051</v>
      </c>
      <c r="F47" s="18">
        <v>5.9</v>
      </c>
      <c r="G47" s="18"/>
      <c r="H47" s="18">
        <v>5.9</v>
      </c>
      <c r="I47" s="18">
        <v>61815</v>
      </c>
      <c r="J47" s="18">
        <v>66009</v>
      </c>
      <c r="K47" s="18" t="s">
        <v>5020</v>
      </c>
      <c r="L47" s="41" t="s">
        <v>1381</v>
      </c>
      <c r="M47" s="18" t="s">
        <v>172</v>
      </c>
      <c r="N47" s="18">
        <v>13.8</v>
      </c>
    </row>
    <row r="48" spans="1:14">
      <c r="A48" s="19" t="s">
        <v>5120</v>
      </c>
      <c r="B48" s="19" t="s">
        <v>5121</v>
      </c>
      <c r="C48" s="19" t="s">
        <v>25</v>
      </c>
      <c r="D48" s="19" t="s">
        <v>39</v>
      </c>
      <c r="E48" s="19" t="s">
        <v>5019</v>
      </c>
      <c r="F48" s="19">
        <v>3.1</v>
      </c>
      <c r="G48" s="19">
        <v>4.7</v>
      </c>
      <c r="H48" s="19">
        <v>3.9</v>
      </c>
      <c r="I48" s="19">
        <v>146052</v>
      </c>
      <c r="J48" s="19">
        <v>129873</v>
      </c>
      <c r="K48" s="19" t="s">
        <v>5028</v>
      </c>
      <c r="L48" s="40" t="s">
        <v>722</v>
      </c>
      <c r="M48" s="19" t="s">
        <v>70</v>
      </c>
      <c r="N48" s="19">
        <v>4.0999999999999996</v>
      </c>
    </row>
    <row r="49" spans="1:14">
      <c r="A49" s="18" t="s">
        <v>5122</v>
      </c>
      <c r="B49" s="18" t="s">
        <v>5123</v>
      </c>
      <c r="C49" s="18" t="s">
        <v>105</v>
      </c>
      <c r="D49" s="18" t="s">
        <v>63</v>
      </c>
      <c r="E49" s="18" t="s">
        <v>5051</v>
      </c>
      <c r="F49" s="18">
        <v>4.8</v>
      </c>
      <c r="G49" s="18">
        <v>7.9</v>
      </c>
      <c r="H49" s="18">
        <v>6.3</v>
      </c>
      <c r="I49" s="18">
        <v>53469</v>
      </c>
      <c r="J49" s="18">
        <v>47821</v>
      </c>
      <c r="K49" s="18" t="s">
        <v>5020</v>
      </c>
      <c r="L49" s="41" t="s">
        <v>5124</v>
      </c>
      <c r="M49" s="18" t="s">
        <v>53</v>
      </c>
      <c r="N49" s="18">
        <v>4.2</v>
      </c>
    </row>
    <row r="50" spans="1:14">
      <c r="A50" s="19" t="s">
        <v>5125</v>
      </c>
      <c r="B50" s="19" t="s">
        <v>5126</v>
      </c>
      <c r="C50" s="19" t="s">
        <v>105</v>
      </c>
      <c r="D50" s="19" t="s">
        <v>63</v>
      </c>
      <c r="E50" s="19" t="s">
        <v>5051</v>
      </c>
      <c r="F50" s="19">
        <v>4.3</v>
      </c>
      <c r="G50" s="19">
        <v>5.3</v>
      </c>
      <c r="H50" s="19">
        <v>4.8</v>
      </c>
      <c r="I50" s="19">
        <v>82666</v>
      </c>
      <c r="J50" s="19">
        <v>78032</v>
      </c>
      <c r="K50" s="19" t="s">
        <v>5045</v>
      </c>
      <c r="L50" s="40" t="s">
        <v>5127</v>
      </c>
      <c r="M50" s="19" t="s">
        <v>53</v>
      </c>
      <c r="N50" s="19">
        <v>6.5</v>
      </c>
    </row>
    <row r="51" spans="1:14">
      <c r="A51" s="18" t="s">
        <v>5128</v>
      </c>
      <c r="B51" s="18" t="s">
        <v>5129</v>
      </c>
      <c r="C51" s="18" t="s">
        <v>225</v>
      </c>
      <c r="D51" s="18" t="s">
        <v>118</v>
      </c>
      <c r="E51" s="18" t="s">
        <v>5031</v>
      </c>
      <c r="F51" s="18">
        <v>7.2</v>
      </c>
      <c r="G51" s="18">
        <v>5.9</v>
      </c>
      <c r="H51" s="18">
        <v>6.6</v>
      </c>
      <c r="I51" s="18">
        <v>112022</v>
      </c>
      <c r="J51" s="18">
        <v>111420</v>
      </c>
      <c r="K51" s="18" t="s">
        <v>5045</v>
      </c>
      <c r="L51" s="41" t="s">
        <v>5130</v>
      </c>
      <c r="M51" s="18" t="s">
        <v>26</v>
      </c>
      <c r="N51" s="18">
        <v>14.5</v>
      </c>
    </row>
    <row r="52" spans="1:14">
      <c r="A52" s="19" t="s">
        <v>5131</v>
      </c>
      <c r="B52" s="19" t="s">
        <v>5132</v>
      </c>
      <c r="C52" s="19" t="s">
        <v>225</v>
      </c>
      <c r="D52" s="19" t="s">
        <v>89</v>
      </c>
      <c r="E52" s="19" t="s">
        <v>5019</v>
      </c>
      <c r="F52" s="19">
        <v>5.0999999999999996</v>
      </c>
      <c r="G52" s="19">
        <v>6.6</v>
      </c>
      <c r="H52" s="19">
        <v>5.8</v>
      </c>
      <c r="I52" s="19">
        <v>190492</v>
      </c>
      <c r="J52" s="19">
        <v>194921</v>
      </c>
      <c r="K52" s="19" t="s">
        <v>5017</v>
      </c>
      <c r="L52" s="40" t="s">
        <v>1068</v>
      </c>
      <c r="M52" s="19" t="s">
        <v>26</v>
      </c>
      <c r="N52" s="19">
        <v>9.1999999999999993</v>
      </c>
    </row>
    <row r="53" spans="1:14">
      <c r="A53" s="18" t="s">
        <v>5133</v>
      </c>
      <c r="B53" s="18" t="s">
        <v>5134</v>
      </c>
      <c r="C53" s="18" t="s">
        <v>105</v>
      </c>
      <c r="D53" s="18" t="s">
        <v>118</v>
      </c>
      <c r="E53" s="18" t="s">
        <v>5051</v>
      </c>
      <c r="F53" s="18">
        <v>3.9</v>
      </c>
      <c r="G53" s="18">
        <v>6.3</v>
      </c>
      <c r="H53" s="18">
        <v>5.0999999999999996</v>
      </c>
      <c r="I53" s="18">
        <v>30777</v>
      </c>
      <c r="J53" s="18">
        <v>26704</v>
      </c>
      <c r="K53" s="18" t="s">
        <v>5020</v>
      </c>
      <c r="L53" s="41" t="s">
        <v>1631</v>
      </c>
      <c r="M53" s="18" t="s">
        <v>172</v>
      </c>
      <c r="N53" s="18">
        <v>3.7</v>
      </c>
    </row>
    <row r="54" spans="1:14">
      <c r="A54" s="19" t="s">
        <v>5135</v>
      </c>
      <c r="B54" s="19" t="s">
        <v>851</v>
      </c>
      <c r="C54" s="19" t="s">
        <v>105</v>
      </c>
      <c r="D54" s="19" t="s">
        <v>39</v>
      </c>
      <c r="E54" s="19" t="s">
        <v>5023</v>
      </c>
      <c r="F54" s="19">
        <v>9.3000000000000007</v>
      </c>
      <c r="G54" s="19">
        <v>5.2</v>
      </c>
      <c r="H54" s="19">
        <v>7.2</v>
      </c>
      <c r="I54" s="19">
        <v>187040</v>
      </c>
      <c r="J54" s="19"/>
      <c r="K54" s="19" t="s">
        <v>5020</v>
      </c>
      <c r="L54" s="40" t="s">
        <v>5136</v>
      </c>
      <c r="M54" s="19" t="s">
        <v>32</v>
      </c>
      <c r="N54" s="19">
        <v>12.1</v>
      </c>
    </row>
    <row r="55" spans="1:14">
      <c r="A55" s="18" t="s">
        <v>5137</v>
      </c>
      <c r="B55" s="18" t="s">
        <v>386</v>
      </c>
      <c r="C55" s="18" t="s">
        <v>79</v>
      </c>
      <c r="D55" s="18" t="s">
        <v>24</v>
      </c>
      <c r="E55" s="18" t="s">
        <v>5025</v>
      </c>
      <c r="F55" s="18">
        <v>6.8</v>
      </c>
      <c r="G55" s="18">
        <v>3.5</v>
      </c>
      <c r="H55" s="18">
        <v>5.2</v>
      </c>
      <c r="I55" s="18">
        <v>144671</v>
      </c>
      <c r="J55" s="18">
        <v>150032</v>
      </c>
      <c r="K55" s="18" t="s">
        <v>5035</v>
      </c>
      <c r="L55" s="41" t="s">
        <v>5138</v>
      </c>
      <c r="M55" s="18" t="s">
        <v>70</v>
      </c>
      <c r="N55" s="18">
        <v>14.9</v>
      </c>
    </row>
    <row r="56" spans="1:14">
      <c r="A56" s="19" t="s">
        <v>5139</v>
      </c>
      <c r="B56" s="19" t="s">
        <v>907</v>
      </c>
      <c r="C56" s="19" t="s">
        <v>335</v>
      </c>
      <c r="D56" s="19" t="s">
        <v>118</v>
      </c>
      <c r="E56" s="19" t="s">
        <v>5060</v>
      </c>
      <c r="F56" s="19">
        <v>8.5</v>
      </c>
      <c r="G56" s="19">
        <v>9.6</v>
      </c>
      <c r="H56" s="19">
        <v>9.1</v>
      </c>
      <c r="I56" s="19">
        <v>20578</v>
      </c>
      <c r="J56" s="19"/>
      <c r="K56" s="19" t="s">
        <v>5020</v>
      </c>
      <c r="L56" s="40" t="s">
        <v>5140</v>
      </c>
      <c r="M56" s="19" t="s">
        <v>32</v>
      </c>
      <c r="N56" s="19">
        <v>14.3</v>
      </c>
    </row>
    <row r="57" spans="1:14">
      <c r="A57" s="18" t="s">
        <v>5141</v>
      </c>
      <c r="B57" s="18" t="s">
        <v>5142</v>
      </c>
      <c r="C57" s="18" t="s">
        <v>105</v>
      </c>
      <c r="D57" s="18" t="s">
        <v>63</v>
      </c>
      <c r="E57" s="18" t="s">
        <v>5016</v>
      </c>
      <c r="F57" s="18">
        <v>3.1</v>
      </c>
      <c r="G57" s="18">
        <v>3.9</v>
      </c>
      <c r="H57" s="18">
        <v>3.5</v>
      </c>
      <c r="I57" s="18">
        <v>56944</v>
      </c>
      <c r="J57" s="18"/>
      <c r="K57" s="18" t="s">
        <v>5020</v>
      </c>
      <c r="L57" s="41" t="s">
        <v>5143</v>
      </c>
      <c r="M57" s="18" t="s">
        <v>46</v>
      </c>
      <c r="N57" s="18">
        <v>13.1</v>
      </c>
    </row>
    <row r="58" spans="1:14">
      <c r="A58" s="19" t="s">
        <v>5144</v>
      </c>
      <c r="B58" s="19" t="s">
        <v>724</v>
      </c>
      <c r="C58" s="19" t="s">
        <v>5040</v>
      </c>
      <c r="D58" s="19" t="s">
        <v>51</v>
      </c>
      <c r="E58" s="19" t="s">
        <v>5077</v>
      </c>
      <c r="F58" s="19">
        <v>7.9</v>
      </c>
      <c r="G58" s="19">
        <v>4.8</v>
      </c>
      <c r="H58" s="19">
        <v>6.3</v>
      </c>
      <c r="I58" s="19">
        <v>107452</v>
      </c>
      <c r="J58" s="19"/>
      <c r="K58" s="19" t="s">
        <v>5035</v>
      </c>
      <c r="L58" s="40" t="s">
        <v>5145</v>
      </c>
      <c r="M58" s="19" t="s">
        <v>70</v>
      </c>
      <c r="N58" s="19">
        <v>13.5</v>
      </c>
    </row>
    <row r="59" spans="1:14">
      <c r="A59" s="18" t="s">
        <v>5146</v>
      </c>
      <c r="B59" s="18" t="s">
        <v>37</v>
      </c>
      <c r="C59" s="18" t="s">
        <v>225</v>
      </c>
      <c r="D59" s="18" t="s">
        <v>51</v>
      </c>
      <c r="E59" s="18" t="s">
        <v>5060</v>
      </c>
      <c r="F59" s="18">
        <v>9.3000000000000007</v>
      </c>
      <c r="G59" s="18">
        <v>7.9</v>
      </c>
      <c r="H59" s="18">
        <v>8.6</v>
      </c>
      <c r="I59" s="18">
        <v>35226</v>
      </c>
      <c r="J59" s="18">
        <v>31094</v>
      </c>
      <c r="K59" s="18" t="s">
        <v>5045</v>
      </c>
      <c r="L59" s="41" t="s">
        <v>5054</v>
      </c>
      <c r="M59" s="18" t="s">
        <v>214</v>
      </c>
      <c r="N59" s="18">
        <v>14</v>
      </c>
    </row>
    <row r="60" spans="1:14">
      <c r="A60" s="19" t="s">
        <v>5147</v>
      </c>
      <c r="B60" s="19" t="s">
        <v>460</v>
      </c>
      <c r="C60" s="19" t="s">
        <v>335</v>
      </c>
      <c r="D60" s="19" t="s">
        <v>16</v>
      </c>
      <c r="E60" s="19" t="s">
        <v>5051</v>
      </c>
      <c r="F60" s="19">
        <v>6.2</v>
      </c>
      <c r="G60" s="19">
        <v>4.8</v>
      </c>
      <c r="H60" s="19">
        <v>5.5</v>
      </c>
      <c r="I60" s="19">
        <v>105266</v>
      </c>
      <c r="J60" s="19">
        <v>102061</v>
      </c>
      <c r="K60" s="19" t="s">
        <v>5020</v>
      </c>
      <c r="L60" s="40" t="s">
        <v>5098</v>
      </c>
      <c r="M60" s="19" t="s">
        <v>75</v>
      </c>
      <c r="N60" s="19">
        <v>1.2</v>
      </c>
    </row>
    <row r="61" spans="1:14">
      <c r="A61" s="18" t="s">
        <v>5148</v>
      </c>
      <c r="B61" s="18" t="s">
        <v>919</v>
      </c>
      <c r="C61" s="18" t="s">
        <v>79</v>
      </c>
      <c r="D61" s="18" t="s">
        <v>39</v>
      </c>
      <c r="E61" s="18" t="s">
        <v>5031</v>
      </c>
      <c r="F61" s="18">
        <v>6.6</v>
      </c>
      <c r="G61" s="18">
        <v>9</v>
      </c>
      <c r="H61" s="18">
        <v>7.8</v>
      </c>
      <c r="I61" s="18">
        <v>48089</v>
      </c>
      <c r="J61" s="18"/>
      <c r="K61" s="18" t="s">
        <v>5020</v>
      </c>
      <c r="L61" s="41" t="s">
        <v>5149</v>
      </c>
      <c r="M61" s="18" t="s">
        <v>65</v>
      </c>
      <c r="N61" s="18">
        <v>12.6</v>
      </c>
    </row>
    <row r="62" spans="1:14">
      <c r="A62" s="19" t="s">
        <v>5150</v>
      </c>
      <c r="B62" s="19" t="s">
        <v>398</v>
      </c>
      <c r="C62" s="19" t="s">
        <v>90</v>
      </c>
      <c r="D62" s="19" t="s">
        <v>89</v>
      </c>
      <c r="E62" s="19" t="s">
        <v>5077</v>
      </c>
      <c r="F62" s="19">
        <v>8</v>
      </c>
      <c r="G62" s="19"/>
      <c r="H62" s="19">
        <v>8</v>
      </c>
      <c r="I62" s="19">
        <v>173697</v>
      </c>
      <c r="J62" s="19">
        <v>152999</v>
      </c>
      <c r="K62" s="19" t="s">
        <v>5017</v>
      </c>
      <c r="L62" s="40" t="s">
        <v>407</v>
      </c>
      <c r="M62" s="19" t="s">
        <v>114</v>
      </c>
      <c r="N62" s="19">
        <v>14.2</v>
      </c>
    </row>
    <row r="63" spans="1:14">
      <c r="A63" s="18" t="s">
        <v>5151</v>
      </c>
      <c r="B63" s="18" t="s">
        <v>5152</v>
      </c>
      <c r="C63" s="18" t="s">
        <v>105</v>
      </c>
      <c r="D63" s="18" t="s">
        <v>176</v>
      </c>
      <c r="E63" s="18" t="s">
        <v>5025</v>
      </c>
      <c r="F63" s="18">
        <v>4.0999999999999996</v>
      </c>
      <c r="G63" s="18">
        <v>4.5999999999999996</v>
      </c>
      <c r="H63" s="18">
        <v>4.3</v>
      </c>
      <c r="I63" s="18">
        <v>178122</v>
      </c>
      <c r="J63" s="18"/>
      <c r="K63" s="18" t="s">
        <v>5017</v>
      </c>
      <c r="L63" s="41" t="s">
        <v>5153</v>
      </c>
      <c r="M63" s="18" t="s">
        <v>26</v>
      </c>
      <c r="N63" s="18">
        <v>3.6</v>
      </c>
    </row>
    <row r="64" spans="1:14">
      <c r="A64" s="19" t="s">
        <v>5154</v>
      </c>
      <c r="B64" s="19" t="s">
        <v>5155</v>
      </c>
      <c r="C64" s="19" t="s">
        <v>98</v>
      </c>
      <c r="D64" s="19" t="s">
        <v>16</v>
      </c>
      <c r="E64" s="19" t="s">
        <v>5016</v>
      </c>
      <c r="F64" s="19">
        <v>5.9</v>
      </c>
      <c r="G64" s="19">
        <v>4.3</v>
      </c>
      <c r="H64" s="19">
        <v>5.0999999999999996</v>
      </c>
      <c r="I64" s="19">
        <v>69391</v>
      </c>
      <c r="J64" s="19"/>
      <c r="K64" s="19" t="s">
        <v>5028</v>
      </c>
      <c r="L64" s="40" t="s">
        <v>5156</v>
      </c>
      <c r="M64" s="19" t="s">
        <v>172</v>
      </c>
      <c r="N64" s="19">
        <v>9.4</v>
      </c>
    </row>
    <row r="65" spans="1:14">
      <c r="A65" s="18" t="s">
        <v>5157</v>
      </c>
      <c r="B65" s="18" t="s">
        <v>1243</v>
      </c>
      <c r="C65" s="18" t="s">
        <v>138</v>
      </c>
      <c r="D65" s="18" t="s">
        <v>24</v>
      </c>
      <c r="E65" s="18" t="s">
        <v>5023</v>
      </c>
      <c r="F65" s="18">
        <v>8</v>
      </c>
      <c r="G65" s="18">
        <v>9.3000000000000007</v>
      </c>
      <c r="H65" s="18">
        <v>8.6999999999999993</v>
      </c>
      <c r="I65" s="18">
        <v>27129</v>
      </c>
      <c r="J65" s="18">
        <v>26908</v>
      </c>
      <c r="K65" s="18" t="s">
        <v>5045</v>
      </c>
      <c r="L65" s="41" t="s">
        <v>1636</v>
      </c>
      <c r="M65" s="18" t="s">
        <v>46</v>
      </c>
      <c r="N65" s="18">
        <v>10.9</v>
      </c>
    </row>
    <row r="66" spans="1:14">
      <c r="A66" s="19" t="s">
        <v>5158</v>
      </c>
      <c r="B66" s="19" t="s">
        <v>269</v>
      </c>
      <c r="C66" s="19" t="s">
        <v>138</v>
      </c>
      <c r="D66" s="19" t="s">
        <v>51</v>
      </c>
      <c r="E66" s="19" t="s">
        <v>5051</v>
      </c>
      <c r="F66" s="19">
        <v>8.9</v>
      </c>
      <c r="G66" s="19">
        <v>9.5</v>
      </c>
      <c r="H66" s="19">
        <v>9.1999999999999993</v>
      </c>
      <c r="I66" s="19">
        <v>129107</v>
      </c>
      <c r="J66" s="19">
        <v>145758</v>
      </c>
      <c r="K66" s="19" t="s">
        <v>5035</v>
      </c>
      <c r="L66" s="40" t="s">
        <v>1684</v>
      </c>
      <c r="M66" s="19" t="s">
        <v>172</v>
      </c>
      <c r="N66" s="19">
        <v>1</v>
      </c>
    </row>
    <row r="67" spans="1:14">
      <c r="A67" s="18" t="s">
        <v>5159</v>
      </c>
      <c r="B67" s="18" t="s">
        <v>798</v>
      </c>
      <c r="C67" s="18" t="s">
        <v>335</v>
      </c>
      <c r="D67" s="18" t="s">
        <v>133</v>
      </c>
      <c r="E67" s="18" t="s">
        <v>5023</v>
      </c>
      <c r="F67" s="18">
        <v>5.3</v>
      </c>
      <c r="G67" s="18">
        <v>6.3</v>
      </c>
      <c r="H67" s="18">
        <v>5.8</v>
      </c>
      <c r="I67" s="18">
        <v>119642</v>
      </c>
      <c r="J67" s="18">
        <v>117619</v>
      </c>
      <c r="K67" s="18" t="s">
        <v>5020</v>
      </c>
      <c r="L67" s="41" t="s">
        <v>309</v>
      </c>
      <c r="M67" s="18" t="s">
        <v>75</v>
      </c>
      <c r="N67" s="18">
        <v>1.6</v>
      </c>
    </row>
    <row r="68" spans="1:14">
      <c r="A68" s="19" t="s">
        <v>5160</v>
      </c>
      <c r="B68" s="19" t="s">
        <v>1434</v>
      </c>
      <c r="C68" s="19" t="s">
        <v>105</v>
      </c>
      <c r="D68" s="19" t="s">
        <v>16</v>
      </c>
      <c r="E68" s="19" t="s">
        <v>5051</v>
      </c>
      <c r="F68" s="19"/>
      <c r="G68" s="19">
        <v>4.5</v>
      </c>
      <c r="H68" s="19"/>
      <c r="I68" s="19">
        <v>133370</v>
      </c>
      <c r="J68" s="19">
        <v>120603</v>
      </c>
      <c r="K68" s="19" t="s">
        <v>5045</v>
      </c>
      <c r="L68" s="40" t="s">
        <v>2222</v>
      </c>
      <c r="M68" s="19" t="s">
        <v>18</v>
      </c>
      <c r="N68" s="19">
        <v>5.0999999999999996</v>
      </c>
    </row>
    <row r="69" spans="1:14">
      <c r="A69" s="18" t="s">
        <v>5161</v>
      </c>
      <c r="B69" s="18" t="s">
        <v>5162</v>
      </c>
      <c r="C69" s="18" t="s">
        <v>79</v>
      </c>
      <c r="D69" s="18" t="s">
        <v>176</v>
      </c>
      <c r="E69" s="18" t="s">
        <v>5031</v>
      </c>
      <c r="F69" s="18">
        <v>6.8</v>
      </c>
      <c r="G69" s="18">
        <v>7.2</v>
      </c>
      <c r="H69" s="18">
        <v>7</v>
      </c>
      <c r="I69" s="18">
        <v>174045</v>
      </c>
      <c r="J69" s="18">
        <v>197218</v>
      </c>
      <c r="K69" s="18" t="s">
        <v>5020</v>
      </c>
      <c r="L69" s="41" t="s">
        <v>5163</v>
      </c>
      <c r="M69" s="18" t="s">
        <v>65</v>
      </c>
      <c r="N69" s="18">
        <v>1.2</v>
      </c>
    </row>
    <row r="70" spans="1:14">
      <c r="A70" s="19" t="s">
        <v>5164</v>
      </c>
      <c r="B70" s="19" t="s">
        <v>5165</v>
      </c>
      <c r="C70" s="19" t="s">
        <v>98</v>
      </c>
      <c r="D70" s="19" t="s">
        <v>176</v>
      </c>
      <c r="E70" s="19" t="s">
        <v>5016</v>
      </c>
      <c r="F70" s="19">
        <v>8.8000000000000007</v>
      </c>
      <c r="G70" s="19">
        <v>5.0999999999999996</v>
      </c>
      <c r="H70" s="19">
        <v>7</v>
      </c>
      <c r="I70" s="19">
        <v>70392</v>
      </c>
      <c r="J70" s="19"/>
      <c r="K70" s="19" t="s">
        <v>5020</v>
      </c>
      <c r="L70" s="40" t="s">
        <v>5166</v>
      </c>
      <c r="M70" s="19" t="s">
        <v>18</v>
      </c>
      <c r="N70" s="19">
        <v>8.9</v>
      </c>
    </row>
    <row r="71" spans="1:14">
      <c r="A71" s="18" t="s">
        <v>5167</v>
      </c>
      <c r="B71" s="18" t="s">
        <v>263</v>
      </c>
      <c r="C71" s="18" t="s">
        <v>105</v>
      </c>
      <c r="D71" s="18" t="s">
        <v>63</v>
      </c>
      <c r="E71" s="18" t="s">
        <v>5019</v>
      </c>
      <c r="F71" s="18">
        <v>7.5</v>
      </c>
      <c r="G71" s="18">
        <v>7</v>
      </c>
      <c r="H71" s="18">
        <v>7.2</v>
      </c>
      <c r="I71" s="18">
        <v>123290</v>
      </c>
      <c r="J71" s="18"/>
      <c r="K71" s="18" t="s">
        <v>5020</v>
      </c>
      <c r="L71" s="41" t="s">
        <v>5168</v>
      </c>
      <c r="M71" s="18" t="s">
        <v>214</v>
      </c>
      <c r="N71" s="18">
        <v>7.7</v>
      </c>
    </row>
    <row r="72" spans="1:14">
      <c r="A72" s="19" t="s">
        <v>5169</v>
      </c>
      <c r="B72" s="19" t="s">
        <v>1291</v>
      </c>
      <c r="C72" s="19" t="s">
        <v>90</v>
      </c>
      <c r="D72" s="19" t="s">
        <v>24</v>
      </c>
      <c r="E72" s="19" t="s">
        <v>5025</v>
      </c>
      <c r="F72" s="19"/>
      <c r="G72" s="19">
        <v>4.5</v>
      </c>
      <c r="H72" s="19"/>
      <c r="I72" s="19">
        <v>56511</v>
      </c>
      <c r="J72" s="19">
        <v>63401</v>
      </c>
      <c r="K72" s="19" t="s">
        <v>5045</v>
      </c>
      <c r="L72" s="40" t="s">
        <v>1676</v>
      </c>
      <c r="M72" s="19" t="s">
        <v>53</v>
      </c>
      <c r="N72" s="19">
        <v>2.5</v>
      </c>
    </row>
    <row r="73" spans="1:14">
      <c r="A73" s="18" t="s">
        <v>5170</v>
      </c>
      <c r="B73" s="18" t="s">
        <v>1023</v>
      </c>
      <c r="C73" s="18" t="s">
        <v>335</v>
      </c>
      <c r="D73" s="18" t="s">
        <v>176</v>
      </c>
      <c r="E73" s="18" t="s">
        <v>5016</v>
      </c>
      <c r="F73" s="18">
        <v>8.4</v>
      </c>
      <c r="G73" s="18">
        <v>7.9</v>
      </c>
      <c r="H73" s="18">
        <v>8.1999999999999993</v>
      </c>
      <c r="I73" s="18">
        <v>125829</v>
      </c>
      <c r="J73" s="18"/>
      <c r="K73" s="18" t="s">
        <v>5035</v>
      </c>
      <c r="L73" s="41" t="s">
        <v>5171</v>
      </c>
      <c r="M73" s="18" t="s">
        <v>53</v>
      </c>
      <c r="N73" s="18">
        <v>3.7</v>
      </c>
    </row>
    <row r="74" spans="1:14">
      <c r="A74" s="19" t="s">
        <v>5172</v>
      </c>
      <c r="B74" s="19" t="s">
        <v>404</v>
      </c>
      <c r="C74" s="19" t="s">
        <v>5040</v>
      </c>
      <c r="D74" s="19" t="s">
        <v>176</v>
      </c>
      <c r="E74" s="19" t="s">
        <v>5016</v>
      </c>
      <c r="F74" s="19">
        <v>8.5</v>
      </c>
      <c r="G74" s="19">
        <v>5.0999999999999996</v>
      </c>
      <c r="H74" s="19">
        <v>6.8</v>
      </c>
      <c r="I74" s="19">
        <v>34216</v>
      </c>
      <c r="J74" s="19"/>
      <c r="K74" s="19" t="s">
        <v>5017</v>
      </c>
      <c r="L74" s="40" t="s">
        <v>1192</v>
      </c>
      <c r="M74" s="19" t="s">
        <v>70</v>
      </c>
      <c r="N74" s="19">
        <v>1.9</v>
      </c>
    </row>
    <row r="75" spans="1:14">
      <c r="A75" s="18" t="s">
        <v>5173</v>
      </c>
      <c r="B75" s="18" t="s">
        <v>413</v>
      </c>
      <c r="C75" s="18" t="s">
        <v>138</v>
      </c>
      <c r="D75" s="18" t="s">
        <v>63</v>
      </c>
      <c r="E75" s="18" t="s">
        <v>5016</v>
      </c>
      <c r="F75" s="18">
        <v>9.4</v>
      </c>
      <c r="G75" s="18">
        <v>3.1</v>
      </c>
      <c r="H75" s="18">
        <v>6.2</v>
      </c>
      <c r="I75" s="18">
        <v>141909</v>
      </c>
      <c r="J75" s="18">
        <v>150344</v>
      </c>
      <c r="K75" s="18" t="s">
        <v>5020</v>
      </c>
      <c r="L75" s="41" t="s">
        <v>5174</v>
      </c>
      <c r="M75" s="18" t="s">
        <v>46</v>
      </c>
      <c r="N75" s="18">
        <v>1.5</v>
      </c>
    </row>
    <row r="76" spans="1:14">
      <c r="A76" s="19" t="s">
        <v>5175</v>
      </c>
      <c r="B76" s="19" t="s">
        <v>5176</v>
      </c>
      <c r="C76" s="19" t="s">
        <v>98</v>
      </c>
      <c r="D76" s="19" t="s">
        <v>133</v>
      </c>
      <c r="E76" s="19" t="s">
        <v>5025</v>
      </c>
      <c r="F76" s="19">
        <v>6.4</v>
      </c>
      <c r="G76" s="19">
        <v>8.1999999999999993</v>
      </c>
      <c r="H76" s="19">
        <v>7.3</v>
      </c>
      <c r="I76" s="19">
        <v>61665</v>
      </c>
      <c r="J76" s="19">
        <v>64147</v>
      </c>
      <c r="K76" s="19" t="s">
        <v>5017</v>
      </c>
      <c r="L76" s="40" t="s">
        <v>5177</v>
      </c>
      <c r="M76" s="19" t="s">
        <v>46</v>
      </c>
      <c r="N76" s="19">
        <v>4.9000000000000004</v>
      </c>
    </row>
    <row r="77" spans="1:14">
      <c r="A77" s="18" t="s">
        <v>5178</v>
      </c>
      <c r="B77" s="18" t="s">
        <v>5179</v>
      </c>
      <c r="C77" s="18" t="s">
        <v>98</v>
      </c>
      <c r="D77" s="18" t="s">
        <v>89</v>
      </c>
      <c r="E77" s="18" t="s">
        <v>5060</v>
      </c>
      <c r="F77" s="18">
        <v>5.2</v>
      </c>
      <c r="G77" s="18">
        <v>4.2</v>
      </c>
      <c r="H77" s="18">
        <v>4.7</v>
      </c>
      <c r="I77" s="18">
        <v>141496</v>
      </c>
      <c r="J77" s="18"/>
      <c r="K77" s="18" t="s">
        <v>5017</v>
      </c>
      <c r="L77" s="41" t="s">
        <v>2064</v>
      </c>
      <c r="M77" s="18" t="s">
        <v>26</v>
      </c>
      <c r="N77" s="18">
        <v>2</v>
      </c>
    </row>
    <row r="78" spans="1:14">
      <c r="A78" s="19" t="s">
        <v>5180</v>
      </c>
      <c r="B78" s="19" t="s">
        <v>512</v>
      </c>
      <c r="C78" s="19" t="s">
        <v>25</v>
      </c>
      <c r="D78" s="19" t="s">
        <v>89</v>
      </c>
      <c r="E78" s="19" t="s">
        <v>5016</v>
      </c>
      <c r="F78" s="19">
        <v>3.5</v>
      </c>
      <c r="G78" s="19">
        <v>8.8000000000000007</v>
      </c>
      <c r="H78" s="19">
        <v>6.2</v>
      </c>
      <c r="I78" s="19">
        <v>35262</v>
      </c>
      <c r="J78" s="19">
        <v>32631</v>
      </c>
      <c r="K78" s="19" t="s">
        <v>5020</v>
      </c>
      <c r="L78" s="40" t="s">
        <v>5181</v>
      </c>
      <c r="M78" s="19" t="s">
        <v>114</v>
      </c>
      <c r="N78" s="19">
        <v>14.7</v>
      </c>
    </row>
    <row r="79" spans="1:14">
      <c r="A79" s="18" t="s">
        <v>5182</v>
      </c>
      <c r="B79" s="18" t="s">
        <v>5183</v>
      </c>
      <c r="C79" s="18" t="s">
        <v>98</v>
      </c>
      <c r="D79" s="18" t="s">
        <v>84</v>
      </c>
      <c r="E79" s="18" t="s">
        <v>5031</v>
      </c>
      <c r="F79" s="18">
        <v>5.8</v>
      </c>
      <c r="G79" s="18">
        <v>8.6999999999999993</v>
      </c>
      <c r="H79" s="18">
        <v>7.2</v>
      </c>
      <c r="I79" s="18">
        <v>110287</v>
      </c>
      <c r="J79" s="18">
        <v>106409</v>
      </c>
      <c r="K79" s="18" t="s">
        <v>5035</v>
      </c>
      <c r="L79" s="41" t="s">
        <v>5184</v>
      </c>
      <c r="M79" s="18" t="s">
        <v>26</v>
      </c>
      <c r="N79" s="18">
        <v>8.6999999999999993</v>
      </c>
    </row>
    <row r="80" spans="1:14">
      <c r="A80" s="19" t="s">
        <v>5185</v>
      </c>
      <c r="B80" s="19" t="s">
        <v>5186</v>
      </c>
      <c r="C80" s="19" t="s">
        <v>5040</v>
      </c>
      <c r="D80" s="19" t="s">
        <v>24</v>
      </c>
      <c r="E80" s="19" t="s">
        <v>5025</v>
      </c>
      <c r="F80" s="19">
        <v>7.1</v>
      </c>
      <c r="G80" s="19">
        <v>7.2</v>
      </c>
      <c r="H80" s="19">
        <v>7.2</v>
      </c>
      <c r="I80" s="19">
        <v>143803</v>
      </c>
      <c r="J80" s="19">
        <v>164896</v>
      </c>
      <c r="K80" s="19" t="s">
        <v>5020</v>
      </c>
      <c r="L80" s="40" t="s">
        <v>585</v>
      </c>
      <c r="M80" s="19" t="s">
        <v>75</v>
      </c>
      <c r="N80" s="19">
        <v>6</v>
      </c>
    </row>
    <row r="81" spans="1:14">
      <c r="A81" s="18" t="s">
        <v>5187</v>
      </c>
      <c r="B81" s="18" t="s">
        <v>344</v>
      </c>
      <c r="C81" s="18" t="s">
        <v>153</v>
      </c>
      <c r="D81" s="18" t="s">
        <v>84</v>
      </c>
      <c r="E81" s="18" t="s">
        <v>5025</v>
      </c>
      <c r="F81" s="18">
        <v>3.9</v>
      </c>
      <c r="G81" s="18">
        <v>6.2</v>
      </c>
      <c r="H81" s="18">
        <v>5</v>
      </c>
      <c r="I81" s="18"/>
      <c r="J81" s="18"/>
      <c r="K81" s="18" t="s">
        <v>5045</v>
      </c>
      <c r="L81" s="41" t="s">
        <v>523</v>
      </c>
      <c r="M81" s="18" t="s">
        <v>70</v>
      </c>
      <c r="N81" s="18">
        <v>5.3</v>
      </c>
    </row>
    <row r="82" spans="1:14">
      <c r="A82" s="19" t="s">
        <v>5188</v>
      </c>
      <c r="B82" s="19" t="s">
        <v>137</v>
      </c>
      <c r="C82" s="19" t="s">
        <v>153</v>
      </c>
      <c r="D82" s="19" t="s">
        <v>89</v>
      </c>
      <c r="E82" s="19" t="s">
        <v>5077</v>
      </c>
      <c r="F82" s="19">
        <v>7.4</v>
      </c>
      <c r="G82" s="19">
        <v>8.8000000000000007</v>
      </c>
      <c r="H82" s="19">
        <v>8.1</v>
      </c>
      <c r="I82" s="19">
        <v>97734</v>
      </c>
      <c r="J82" s="19">
        <v>92021</v>
      </c>
      <c r="K82" s="19" t="s">
        <v>5045</v>
      </c>
      <c r="L82" s="40" t="s">
        <v>5174</v>
      </c>
      <c r="M82" s="19" t="s">
        <v>214</v>
      </c>
      <c r="N82" s="19">
        <v>3.6</v>
      </c>
    </row>
    <row r="83" spans="1:14">
      <c r="A83" s="18" t="s">
        <v>5189</v>
      </c>
      <c r="B83" s="18" t="s">
        <v>5190</v>
      </c>
      <c r="C83" s="18" t="s">
        <v>225</v>
      </c>
      <c r="D83" s="18" t="s">
        <v>118</v>
      </c>
      <c r="E83" s="18" t="s">
        <v>5077</v>
      </c>
      <c r="F83" s="18">
        <v>7.5</v>
      </c>
      <c r="G83" s="18">
        <v>4</v>
      </c>
      <c r="H83" s="18">
        <v>5.8</v>
      </c>
      <c r="I83" s="18">
        <v>190672</v>
      </c>
      <c r="J83" s="18">
        <v>166185</v>
      </c>
      <c r="K83" s="18" t="s">
        <v>5045</v>
      </c>
      <c r="L83" s="41" t="s">
        <v>5191</v>
      </c>
      <c r="M83" s="18" t="s">
        <v>65</v>
      </c>
      <c r="N83" s="18">
        <v>9.9</v>
      </c>
    </row>
    <row r="84" spans="1:14">
      <c r="A84" s="19" t="s">
        <v>5192</v>
      </c>
      <c r="B84" s="19" t="s">
        <v>613</v>
      </c>
      <c r="C84" s="19" t="s">
        <v>105</v>
      </c>
      <c r="D84" s="19" t="s">
        <v>16</v>
      </c>
      <c r="E84" s="19" t="s">
        <v>5060</v>
      </c>
      <c r="F84" s="19">
        <v>5.6</v>
      </c>
      <c r="G84" s="19">
        <v>8</v>
      </c>
      <c r="H84" s="19">
        <v>6.8</v>
      </c>
      <c r="I84" s="19">
        <v>93200</v>
      </c>
      <c r="J84" s="19">
        <v>93867</v>
      </c>
      <c r="K84" s="19" t="s">
        <v>5045</v>
      </c>
      <c r="L84" s="40" t="s">
        <v>1424</v>
      </c>
      <c r="M84" s="19" t="s">
        <v>18</v>
      </c>
      <c r="N84" s="19">
        <v>11.2</v>
      </c>
    </row>
    <row r="85" spans="1:14">
      <c r="A85" s="18" t="s">
        <v>5193</v>
      </c>
      <c r="B85" s="18" t="s">
        <v>655</v>
      </c>
      <c r="C85" s="18" t="s">
        <v>5040</v>
      </c>
      <c r="D85" s="18" t="s">
        <v>133</v>
      </c>
      <c r="E85" s="18" t="s">
        <v>5077</v>
      </c>
      <c r="F85" s="18">
        <v>6.9</v>
      </c>
      <c r="G85" s="18"/>
      <c r="H85" s="18">
        <v>6.9</v>
      </c>
      <c r="I85" s="18">
        <v>77608</v>
      </c>
      <c r="J85" s="18">
        <v>67908</v>
      </c>
      <c r="K85" s="18" t="s">
        <v>5045</v>
      </c>
      <c r="L85" s="41" t="s">
        <v>5194</v>
      </c>
      <c r="M85" s="18" t="s">
        <v>214</v>
      </c>
      <c r="N85" s="18">
        <v>6.8</v>
      </c>
    </row>
    <row r="86" spans="1:14">
      <c r="A86" s="19" t="s">
        <v>5195</v>
      </c>
      <c r="B86" s="19" t="s">
        <v>5196</v>
      </c>
      <c r="C86" s="19" t="s">
        <v>225</v>
      </c>
      <c r="D86" s="19" t="s">
        <v>16</v>
      </c>
      <c r="E86" s="19" t="s">
        <v>5016</v>
      </c>
      <c r="F86" s="19">
        <v>4</v>
      </c>
      <c r="G86" s="19">
        <v>5.2</v>
      </c>
      <c r="H86" s="19">
        <v>4.5999999999999996</v>
      </c>
      <c r="I86" s="19">
        <v>47895</v>
      </c>
      <c r="J86" s="19"/>
      <c r="K86" s="19" t="s">
        <v>5045</v>
      </c>
      <c r="L86" s="40" t="s">
        <v>407</v>
      </c>
      <c r="M86" s="19" t="s">
        <v>75</v>
      </c>
      <c r="N86" s="19">
        <v>6.4</v>
      </c>
    </row>
    <row r="87" spans="1:14">
      <c r="A87" s="18" t="s">
        <v>5197</v>
      </c>
      <c r="B87" s="18" t="s">
        <v>1103</v>
      </c>
      <c r="C87" s="18" t="s">
        <v>98</v>
      </c>
      <c r="D87" s="18" t="s">
        <v>16</v>
      </c>
      <c r="E87" s="18" t="s">
        <v>5016</v>
      </c>
      <c r="F87" s="18">
        <v>5.8</v>
      </c>
      <c r="G87" s="18">
        <v>7.8</v>
      </c>
      <c r="H87" s="18">
        <v>6.8</v>
      </c>
      <c r="I87" s="18">
        <v>193111</v>
      </c>
      <c r="J87" s="18">
        <v>205760</v>
      </c>
      <c r="K87" s="18" t="s">
        <v>5020</v>
      </c>
      <c r="L87" s="41" t="s">
        <v>5198</v>
      </c>
      <c r="M87" s="18" t="s">
        <v>65</v>
      </c>
      <c r="N87" s="18">
        <v>10.7</v>
      </c>
    </row>
    <row r="88" spans="1:14">
      <c r="A88" s="19" t="s">
        <v>5199</v>
      </c>
      <c r="B88" s="19" t="s">
        <v>826</v>
      </c>
      <c r="C88" s="19" t="s">
        <v>225</v>
      </c>
      <c r="D88" s="19" t="s">
        <v>84</v>
      </c>
      <c r="E88" s="19" t="s">
        <v>5023</v>
      </c>
      <c r="F88" s="19">
        <v>8.1</v>
      </c>
      <c r="G88" s="19">
        <v>6.5</v>
      </c>
      <c r="H88" s="19">
        <v>7.3</v>
      </c>
      <c r="I88" s="19">
        <v>151012</v>
      </c>
      <c r="J88" s="19">
        <v>136761</v>
      </c>
      <c r="K88" s="19" t="s">
        <v>5035</v>
      </c>
      <c r="L88" s="40" t="s">
        <v>5081</v>
      </c>
      <c r="M88" s="19" t="s">
        <v>70</v>
      </c>
      <c r="N88" s="19">
        <v>7.5</v>
      </c>
    </row>
    <row r="89" spans="1:14">
      <c r="A89" s="18" t="s">
        <v>5200</v>
      </c>
      <c r="B89" s="18" t="s">
        <v>5201</v>
      </c>
      <c r="C89" s="18" t="s">
        <v>153</v>
      </c>
      <c r="D89" s="18" t="s">
        <v>176</v>
      </c>
      <c r="E89" s="18" t="s">
        <v>5060</v>
      </c>
      <c r="F89" s="18">
        <v>8.4</v>
      </c>
      <c r="G89" s="18">
        <v>3.7</v>
      </c>
      <c r="H89" s="18">
        <v>6.1</v>
      </c>
      <c r="I89" s="18">
        <v>155732</v>
      </c>
      <c r="J89" s="18">
        <v>152306</v>
      </c>
      <c r="K89" s="18" t="s">
        <v>5020</v>
      </c>
      <c r="L89" s="41" t="s">
        <v>5181</v>
      </c>
      <c r="M89" s="18" t="s">
        <v>75</v>
      </c>
      <c r="N89" s="18">
        <v>12.6</v>
      </c>
    </row>
    <row r="90" spans="1:14">
      <c r="A90" s="19" t="s">
        <v>5202</v>
      </c>
      <c r="B90" s="19" t="s">
        <v>702</v>
      </c>
      <c r="C90" s="19" t="s">
        <v>98</v>
      </c>
      <c r="D90" s="19" t="s">
        <v>84</v>
      </c>
      <c r="E90" s="19" t="s">
        <v>5016</v>
      </c>
      <c r="F90" s="19">
        <v>8.8000000000000007</v>
      </c>
      <c r="G90" s="19">
        <v>7.1</v>
      </c>
      <c r="H90" s="19">
        <v>8</v>
      </c>
      <c r="I90" s="19">
        <v>144744</v>
      </c>
      <c r="J90" s="19"/>
      <c r="K90" s="19" t="s">
        <v>5028</v>
      </c>
      <c r="L90" s="40" t="s">
        <v>5203</v>
      </c>
      <c r="M90" s="19" t="s">
        <v>70</v>
      </c>
      <c r="N90" s="19">
        <v>12.8</v>
      </c>
    </row>
    <row r="91" spans="1:14">
      <c r="A91" s="18" t="s">
        <v>5204</v>
      </c>
      <c r="B91" s="18" t="s">
        <v>5176</v>
      </c>
      <c r="C91" s="18" t="s">
        <v>225</v>
      </c>
      <c r="D91" s="18" t="s">
        <v>39</v>
      </c>
      <c r="E91" s="18" t="s">
        <v>5023</v>
      </c>
      <c r="F91" s="18">
        <v>9.9</v>
      </c>
      <c r="G91" s="18">
        <v>8.5</v>
      </c>
      <c r="H91" s="18">
        <v>9.1999999999999993</v>
      </c>
      <c r="I91" s="18">
        <v>188620</v>
      </c>
      <c r="J91" s="18">
        <v>175386</v>
      </c>
      <c r="K91" s="18" t="s">
        <v>5020</v>
      </c>
      <c r="L91" s="41" t="s">
        <v>5205</v>
      </c>
      <c r="M91" s="18" t="s">
        <v>18</v>
      </c>
      <c r="N91" s="18">
        <v>12.8</v>
      </c>
    </row>
    <row r="92" spans="1:14">
      <c r="A92" s="19" t="s">
        <v>5206</v>
      </c>
      <c r="B92" s="19" t="s">
        <v>961</v>
      </c>
      <c r="C92" s="19" t="s">
        <v>138</v>
      </c>
      <c r="D92" s="19" t="s">
        <v>51</v>
      </c>
      <c r="E92" s="19" t="s">
        <v>5025</v>
      </c>
      <c r="F92" s="19">
        <v>8.3000000000000007</v>
      </c>
      <c r="G92" s="19">
        <v>6.7</v>
      </c>
      <c r="H92" s="19">
        <v>7.5</v>
      </c>
      <c r="I92" s="19">
        <v>95485</v>
      </c>
      <c r="J92" s="19">
        <v>107800</v>
      </c>
      <c r="K92" s="19" t="s">
        <v>5020</v>
      </c>
      <c r="L92" s="40" t="s">
        <v>5026</v>
      </c>
      <c r="M92" s="19" t="s">
        <v>75</v>
      </c>
      <c r="N92" s="19">
        <v>2.1</v>
      </c>
    </row>
    <row r="93" spans="1:14">
      <c r="A93" s="18" t="s">
        <v>5207</v>
      </c>
      <c r="B93" s="18" t="s">
        <v>1340</v>
      </c>
      <c r="C93" s="18" t="s">
        <v>98</v>
      </c>
      <c r="D93" s="18" t="s">
        <v>176</v>
      </c>
      <c r="E93" s="18" t="s">
        <v>5023</v>
      </c>
      <c r="F93" s="18">
        <v>5.0999999999999996</v>
      </c>
      <c r="G93" s="18">
        <v>3.1</v>
      </c>
      <c r="H93" s="18">
        <v>4.0999999999999996</v>
      </c>
      <c r="I93" s="18">
        <v>95659</v>
      </c>
      <c r="J93" s="18">
        <v>109976</v>
      </c>
      <c r="K93" s="18" t="s">
        <v>5020</v>
      </c>
      <c r="L93" s="41" t="s">
        <v>5184</v>
      </c>
      <c r="M93" s="18" t="s">
        <v>32</v>
      </c>
      <c r="N93" s="18">
        <v>4</v>
      </c>
    </row>
    <row r="94" spans="1:14">
      <c r="A94" s="19" t="s">
        <v>5208</v>
      </c>
      <c r="B94" s="19" t="s">
        <v>1010</v>
      </c>
      <c r="C94" s="19" t="s">
        <v>25</v>
      </c>
      <c r="D94" s="19" t="s">
        <v>24</v>
      </c>
      <c r="E94" s="19" t="s">
        <v>5025</v>
      </c>
      <c r="F94" s="19">
        <v>3.5</v>
      </c>
      <c r="G94" s="19">
        <v>6.8</v>
      </c>
      <c r="H94" s="19">
        <v>5.2</v>
      </c>
      <c r="I94" s="19">
        <v>79589</v>
      </c>
      <c r="J94" s="19">
        <v>70936</v>
      </c>
      <c r="K94" s="19" t="s">
        <v>5035</v>
      </c>
      <c r="L94" s="40" t="s">
        <v>1818</v>
      </c>
      <c r="M94" s="19" t="s">
        <v>75</v>
      </c>
      <c r="N94" s="19">
        <v>13</v>
      </c>
    </row>
    <row r="95" spans="1:14">
      <c r="A95" s="18" t="s">
        <v>5209</v>
      </c>
      <c r="B95" s="18" t="s">
        <v>718</v>
      </c>
      <c r="C95" s="18" t="s">
        <v>153</v>
      </c>
      <c r="D95" s="18" t="s">
        <v>118</v>
      </c>
      <c r="E95" s="18" t="s">
        <v>5019</v>
      </c>
      <c r="F95" s="18">
        <v>6.8</v>
      </c>
      <c r="G95" s="18">
        <v>5.9</v>
      </c>
      <c r="H95" s="18">
        <v>6.3</v>
      </c>
      <c r="I95" s="18">
        <v>147422</v>
      </c>
      <c r="J95" s="18">
        <v>151979</v>
      </c>
      <c r="K95" s="18" t="s">
        <v>5017</v>
      </c>
      <c r="L95" s="41" t="s">
        <v>5210</v>
      </c>
      <c r="M95" s="18" t="s">
        <v>75</v>
      </c>
      <c r="N95" s="18">
        <v>12.3</v>
      </c>
    </row>
    <row r="96" spans="1:14">
      <c r="A96" s="19" t="s">
        <v>5211</v>
      </c>
      <c r="B96" s="19" t="s">
        <v>5212</v>
      </c>
      <c r="C96" s="19" t="s">
        <v>79</v>
      </c>
      <c r="D96" s="19" t="s">
        <v>63</v>
      </c>
      <c r="E96" s="19" t="s">
        <v>5031</v>
      </c>
      <c r="F96" s="19">
        <v>8.1999999999999993</v>
      </c>
      <c r="G96" s="19">
        <v>8.1</v>
      </c>
      <c r="H96" s="19">
        <v>8.1</v>
      </c>
      <c r="I96" s="19">
        <v>135674</v>
      </c>
      <c r="J96" s="19">
        <v>115839</v>
      </c>
      <c r="K96" s="19" t="s">
        <v>5028</v>
      </c>
      <c r="L96" s="40" t="s">
        <v>315</v>
      </c>
      <c r="M96" s="19" t="s">
        <v>26</v>
      </c>
      <c r="N96" s="19">
        <v>8.9</v>
      </c>
    </row>
    <row r="97" spans="1:14">
      <c r="A97" s="18" t="s">
        <v>5213</v>
      </c>
      <c r="B97" s="18" t="s">
        <v>5214</v>
      </c>
      <c r="C97" s="18" t="s">
        <v>335</v>
      </c>
      <c r="D97" s="18" t="s">
        <v>118</v>
      </c>
      <c r="E97" s="18" t="s">
        <v>5051</v>
      </c>
      <c r="F97" s="18">
        <v>6.7</v>
      </c>
      <c r="G97" s="18">
        <v>4.0999999999999996</v>
      </c>
      <c r="H97" s="18">
        <v>5.4</v>
      </c>
      <c r="I97" s="18">
        <v>190442</v>
      </c>
      <c r="J97" s="18">
        <v>165080</v>
      </c>
      <c r="K97" s="18" t="s">
        <v>5020</v>
      </c>
      <c r="L97" s="41" t="s">
        <v>5215</v>
      </c>
      <c r="M97" s="18" t="s">
        <v>18</v>
      </c>
      <c r="N97" s="18">
        <v>8.4</v>
      </c>
    </row>
    <row r="98" spans="1:14">
      <c r="A98" s="19" t="s">
        <v>5216</v>
      </c>
      <c r="B98" s="19" t="s">
        <v>428</v>
      </c>
      <c r="C98" s="19" t="s">
        <v>153</v>
      </c>
      <c r="D98" s="19" t="s">
        <v>176</v>
      </c>
      <c r="E98" s="19" t="s">
        <v>5077</v>
      </c>
      <c r="F98" s="19">
        <v>9</v>
      </c>
      <c r="G98" s="19">
        <v>6.5</v>
      </c>
      <c r="H98" s="19">
        <v>7.8</v>
      </c>
      <c r="I98" s="19">
        <v>90894</v>
      </c>
      <c r="J98" s="19">
        <v>89108</v>
      </c>
      <c r="K98" s="19" t="s">
        <v>5028</v>
      </c>
      <c r="L98" s="40" t="s">
        <v>5217</v>
      </c>
      <c r="M98" s="19" t="s">
        <v>172</v>
      </c>
      <c r="N98" s="19">
        <v>12.5</v>
      </c>
    </row>
    <row r="99" spans="1:14">
      <c r="A99" s="18" t="s">
        <v>5218</v>
      </c>
      <c r="B99" s="18" t="s">
        <v>5219</v>
      </c>
      <c r="C99" s="18" t="s">
        <v>225</v>
      </c>
      <c r="D99" s="18" t="s">
        <v>176</v>
      </c>
      <c r="E99" s="18" t="s">
        <v>5025</v>
      </c>
      <c r="F99" s="18">
        <v>8.6</v>
      </c>
      <c r="G99" s="18">
        <v>3.5</v>
      </c>
      <c r="H99" s="18">
        <v>6</v>
      </c>
      <c r="I99" s="18">
        <v>63434</v>
      </c>
      <c r="J99" s="18"/>
      <c r="K99" s="18" t="s">
        <v>5045</v>
      </c>
      <c r="L99" s="41" t="s">
        <v>5220</v>
      </c>
      <c r="M99" s="18" t="s">
        <v>32</v>
      </c>
      <c r="N99" s="18">
        <v>12.8</v>
      </c>
    </row>
    <row r="100" spans="1:14">
      <c r="A100" s="19" t="s">
        <v>5221</v>
      </c>
      <c r="B100" s="19" t="s">
        <v>485</v>
      </c>
      <c r="C100" s="19" t="s">
        <v>225</v>
      </c>
      <c r="D100" s="19" t="s">
        <v>84</v>
      </c>
      <c r="E100" s="19" t="s">
        <v>5016</v>
      </c>
      <c r="F100" s="19">
        <v>4.5999999999999996</v>
      </c>
      <c r="G100" s="19">
        <v>6</v>
      </c>
      <c r="H100" s="19">
        <v>5.3</v>
      </c>
      <c r="I100" s="19">
        <v>189712</v>
      </c>
      <c r="J100" s="19">
        <v>205441</v>
      </c>
      <c r="K100" s="19" t="s">
        <v>5017</v>
      </c>
      <c r="L100" s="40" t="s">
        <v>5222</v>
      </c>
      <c r="M100" s="19" t="s">
        <v>18</v>
      </c>
      <c r="N100" s="19">
        <v>11.1</v>
      </c>
    </row>
    <row r="101" spans="1:14">
      <c r="A101" s="18" t="s">
        <v>5223</v>
      </c>
      <c r="B101" s="18" t="s">
        <v>5224</v>
      </c>
      <c r="C101" s="18" t="s">
        <v>138</v>
      </c>
      <c r="D101" s="18" t="s">
        <v>51</v>
      </c>
      <c r="E101" s="18" t="s">
        <v>5051</v>
      </c>
      <c r="F101" s="18">
        <v>9.4</v>
      </c>
      <c r="G101" s="18">
        <v>5.7</v>
      </c>
      <c r="H101" s="18">
        <v>7.6</v>
      </c>
      <c r="I101" s="18">
        <v>140917</v>
      </c>
      <c r="J101" s="18">
        <v>141399</v>
      </c>
      <c r="K101" s="18" t="s">
        <v>5045</v>
      </c>
      <c r="L101" s="41" t="s">
        <v>5225</v>
      </c>
      <c r="M101" s="18" t="s">
        <v>26</v>
      </c>
      <c r="N101" s="18">
        <v>11.6</v>
      </c>
    </row>
    <row r="102" spans="1:14">
      <c r="A102" s="19" t="s">
        <v>5226</v>
      </c>
      <c r="B102" s="19" t="s">
        <v>964</v>
      </c>
      <c r="C102" s="19" t="s">
        <v>5040</v>
      </c>
      <c r="D102" s="19" t="s">
        <v>16</v>
      </c>
      <c r="E102" s="19" t="s">
        <v>5023</v>
      </c>
      <c r="F102" s="19">
        <v>9.1</v>
      </c>
      <c r="G102" s="19">
        <v>7.4</v>
      </c>
      <c r="H102" s="19">
        <v>8.1999999999999993</v>
      </c>
      <c r="I102" s="19">
        <v>60954</v>
      </c>
      <c r="J102" s="19">
        <v>68652</v>
      </c>
      <c r="K102" s="19" t="s">
        <v>5020</v>
      </c>
      <c r="L102" s="40" t="s">
        <v>5227</v>
      </c>
      <c r="M102" s="19" t="s">
        <v>214</v>
      </c>
      <c r="N102" s="19">
        <v>9.1999999999999993</v>
      </c>
    </row>
    <row r="103" spans="1:14">
      <c r="A103" s="18" t="s">
        <v>5228</v>
      </c>
      <c r="B103" s="18" t="s">
        <v>932</v>
      </c>
      <c r="C103" s="18" t="s">
        <v>98</v>
      </c>
      <c r="D103" s="18" t="s">
        <v>89</v>
      </c>
      <c r="E103" s="18" t="s">
        <v>5019</v>
      </c>
      <c r="F103" s="18">
        <v>7.1</v>
      </c>
      <c r="G103" s="18">
        <v>7.4</v>
      </c>
      <c r="H103" s="18">
        <v>7.2</v>
      </c>
      <c r="I103" s="18">
        <v>176308</v>
      </c>
      <c r="J103" s="18">
        <v>194286</v>
      </c>
      <c r="K103" s="18" t="s">
        <v>5035</v>
      </c>
      <c r="L103" s="41" t="s">
        <v>2050</v>
      </c>
      <c r="M103" s="18" t="s">
        <v>214</v>
      </c>
      <c r="N103" s="18">
        <v>4.7</v>
      </c>
    </row>
    <row r="104" spans="1:14">
      <c r="A104" s="19" t="s">
        <v>5229</v>
      </c>
      <c r="B104" s="19" t="s">
        <v>5230</v>
      </c>
      <c r="C104" s="19" t="s">
        <v>5040</v>
      </c>
      <c r="D104" s="19" t="s">
        <v>118</v>
      </c>
      <c r="E104" s="19" t="s">
        <v>5016</v>
      </c>
      <c r="F104" s="19">
        <v>6.9</v>
      </c>
      <c r="G104" s="19">
        <v>8.8000000000000007</v>
      </c>
      <c r="H104" s="19">
        <v>7.9</v>
      </c>
      <c r="I104" s="19">
        <v>171663</v>
      </c>
      <c r="J104" s="19">
        <v>147075</v>
      </c>
      <c r="K104" s="19" t="s">
        <v>5045</v>
      </c>
      <c r="L104" s="40" t="s">
        <v>5231</v>
      </c>
      <c r="M104" s="19" t="s">
        <v>75</v>
      </c>
      <c r="N104" s="19">
        <v>2</v>
      </c>
    </row>
    <row r="105" spans="1:14">
      <c r="A105" s="18" t="s">
        <v>5232</v>
      </c>
      <c r="B105" s="18" t="s">
        <v>5233</v>
      </c>
      <c r="C105" s="18" t="s">
        <v>138</v>
      </c>
      <c r="D105" s="18" t="s">
        <v>24</v>
      </c>
      <c r="E105" s="18" t="s">
        <v>5060</v>
      </c>
      <c r="F105" s="18">
        <v>9.1</v>
      </c>
      <c r="G105" s="18">
        <v>6</v>
      </c>
      <c r="H105" s="18">
        <v>7.5</v>
      </c>
      <c r="I105" s="18">
        <v>101358</v>
      </c>
      <c r="J105" s="18">
        <v>116255</v>
      </c>
      <c r="K105" s="18" t="s">
        <v>5035</v>
      </c>
      <c r="L105" s="41" t="s">
        <v>5234</v>
      </c>
      <c r="M105" s="18" t="s">
        <v>172</v>
      </c>
      <c r="N105" s="18">
        <v>5.5</v>
      </c>
    </row>
    <row r="106" spans="1:14">
      <c r="A106" s="19" t="s">
        <v>5235</v>
      </c>
      <c r="B106" s="19" t="s">
        <v>1123</v>
      </c>
      <c r="C106" s="19" t="s">
        <v>153</v>
      </c>
      <c r="D106" s="19" t="s">
        <v>89</v>
      </c>
      <c r="E106" s="19" t="s">
        <v>5077</v>
      </c>
      <c r="F106" s="19">
        <v>9.1</v>
      </c>
      <c r="G106" s="19">
        <v>7.2</v>
      </c>
      <c r="H106" s="19">
        <v>8.1999999999999993</v>
      </c>
      <c r="I106" s="19">
        <v>36251</v>
      </c>
      <c r="J106" s="19">
        <v>39261</v>
      </c>
      <c r="K106" s="19" t="s">
        <v>5017</v>
      </c>
      <c r="L106" s="40" t="s">
        <v>1984</v>
      </c>
      <c r="M106" s="19" t="s">
        <v>214</v>
      </c>
      <c r="N106" s="19">
        <v>3.5</v>
      </c>
    </row>
    <row r="107" spans="1:14">
      <c r="A107" s="18" t="s">
        <v>5236</v>
      </c>
      <c r="B107" s="18" t="s">
        <v>440</v>
      </c>
      <c r="C107" s="18" t="s">
        <v>25</v>
      </c>
      <c r="D107" s="18" t="s">
        <v>176</v>
      </c>
      <c r="E107" s="18" t="s">
        <v>5060</v>
      </c>
      <c r="F107" s="18">
        <v>5.7</v>
      </c>
      <c r="G107" s="18">
        <v>5.9</v>
      </c>
      <c r="H107" s="18">
        <v>5.8</v>
      </c>
      <c r="I107" s="18">
        <v>197317</v>
      </c>
      <c r="J107" s="18">
        <v>199283</v>
      </c>
      <c r="K107" s="18" t="s">
        <v>5020</v>
      </c>
      <c r="L107" s="41" t="s">
        <v>2018</v>
      </c>
      <c r="M107" s="18" t="s">
        <v>214</v>
      </c>
      <c r="N107" s="18">
        <v>5.7</v>
      </c>
    </row>
    <row r="108" spans="1:14">
      <c r="A108" s="19" t="s">
        <v>5237</v>
      </c>
      <c r="B108" s="19" t="s">
        <v>881</v>
      </c>
      <c r="C108" s="19" t="s">
        <v>25</v>
      </c>
      <c r="D108" s="19" t="s">
        <v>133</v>
      </c>
      <c r="E108" s="19" t="s">
        <v>5060</v>
      </c>
      <c r="F108" s="19">
        <v>8.9</v>
      </c>
      <c r="G108" s="19">
        <v>8.6</v>
      </c>
      <c r="H108" s="19">
        <v>8.8000000000000007</v>
      </c>
      <c r="I108" s="19">
        <v>76892</v>
      </c>
      <c r="J108" s="19">
        <v>84314</v>
      </c>
      <c r="K108" s="19" t="s">
        <v>5017</v>
      </c>
      <c r="L108" s="40" t="s">
        <v>523</v>
      </c>
      <c r="M108" s="19" t="s">
        <v>26</v>
      </c>
      <c r="N108" s="19">
        <v>6.5</v>
      </c>
    </row>
    <row r="109" spans="1:14">
      <c r="A109" s="18" t="s">
        <v>5238</v>
      </c>
      <c r="B109" s="18" t="s">
        <v>881</v>
      </c>
      <c r="C109" s="18" t="s">
        <v>90</v>
      </c>
      <c r="D109" s="18" t="s">
        <v>51</v>
      </c>
      <c r="E109" s="18" t="s">
        <v>5077</v>
      </c>
      <c r="F109" s="18">
        <v>5.9</v>
      </c>
      <c r="G109" s="18">
        <v>9.5</v>
      </c>
      <c r="H109" s="18">
        <v>7.7</v>
      </c>
      <c r="I109" s="18">
        <v>49261</v>
      </c>
      <c r="J109" s="18">
        <v>53520</v>
      </c>
      <c r="K109" s="18" t="s">
        <v>5028</v>
      </c>
      <c r="L109" s="41" t="s">
        <v>5239</v>
      </c>
      <c r="M109" s="18" t="s">
        <v>149</v>
      </c>
      <c r="N109" s="18">
        <v>3.6</v>
      </c>
    </row>
    <row r="110" spans="1:14">
      <c r="A110" s="19" t="s">
        <v>5240</v>
      </c>
      <c r="B110" s="19" t="s">
        <v>5115</v>
      </c>
      <c r="C110" s="19" t="s">
        <v>335</v>
      </c>
      <c r="D110" s="19" t="s">
        <v>84</v>
      </c>
      <c r="E110" s="19" t="s">
        <v>5025</v>
      </c>
      <c r="F110" s="19">
        <v>5.9</v>
      </c>
      <c r="G110" s="19">
        <v>5.0999999999999996</v>
      </c>
      <c r="H110" s="19">
        <v>5.5</v>
      </c>
      <c r="I110" s="19">
        <v>95674</v>
      </c>
      <c r="J110" s="19">
        <v>83369</v>
      </c>
      <c r="K110" s="19" t="s">
        <v>5035</v>
      </c>
      <c r="L110" s="40" t="s">
        <v>1669</v>
      </c>
      <c r="M110" s="19" t="s">
        <v>26</v>
      </c>
      <c r="N110" s="19">
        <v>6.7</v>
      </c>
    </row>
    <row r="111" spans="1:14">
      <c r="A111" s="18" t="s">
        <v>5241</v>
      </c>
      <c r="B111" s="18" t="s">
        <v>5242</v>
      </c>
      <c r="C111" s="18" t="s">
        <v>153</v>
      </c>
      <c r="D111" s="18" t="s">
        <v>51</v>
      </c>
      <c r="E111" s="18" t="s">
        <v>5060</v>
      </c>
      <c r="F111" s="18">
        <v>5.6</v>
      </c>
      <c r="G111" s="18">
        <v>3.6</v>
      </c>
      <c r="H111" s="18">
        <v>4.5999999999999996</v>
      </c>
      <c r="I111" s="18">
        <v>74310</v>
      </c>
      <c r="J111" s="18">
        <v>81126</v>
      </c>
      <c r="K111" s="18" t="s">
        <v>5020</v>
      </c>
      <c r="L111" s="41" t="s">
        <v>5243</v>
      </c>
      <c r="M111" s="18" t="s">
        <v>70</v>
      </c>
      <c r="N111" s="18">
        <v>9.5</v>
      </c>
    </row>
    <row r="112" spans="1:14">
      <c r="A112" s="19" t="s">
        <v>5244</v>
      </c>
      <c r="B112" s="19" t="s">
        <v>561</v>
      </c>
      <c r="C112" s="19" t="s">
        <v>225</v>
      </c>
      <c r="D112" s="19" t="s">
        <v>24</v>
      </c>
      <c r="E112" s="19" t="s">
        <v>5016</v>
      </c>
      <c r="F112" s="19">
        <v>8.5</v>
      </c>
      <c r="G112" s="19">
        <v>3.2</v>
      </c>
      <c r="H112" s="19">
        <v>5.8</v>
      </c>
      <c r="I112" s="19">
        <v>143450</v>
      </c>
      <c r="J112" s="19">
        <v>121982</v>
      </c>
      <c r="K112" s="19" t="s">
        <v>5045</v>
      </c>
      <c r="L112" s="40" t="s">
        <v>5245</v>
      </c>
      <c r="M112" s="19" t="s">
        <v>70</v>
      </c>
      <c r="N112" s="19">
        <v>8.5</v>
      </c>
    </row>
    <row r="113" spans="1:14">
      <c r="A113" s="18" t="s">
        <v>5246</v>
      </c>
      <c r="B113" s="18" t="s">
        <v>1308</v>
      </c>
      <c r="C113" s="18" t="s">
        <v>225</v>
      </c>
      <c r="D113" s="18" t="s">
        <v>24</v>
      </c>
      <c r="E113" s="18" t="s">
        <v>5031</v>
      </c>
      <c r="F113" s="18">
        <v>7.6</v>
      </c>
      <c r="G113" s="18">
        <v>6.7</v>
      </c>
      <c r="H113" s="18">
        <v>7.2</v>
      </c>
      <c r="I113" s="18">
        <v>164077</v>
      </c>
      <c r="J113" s="18">
        <v>146851</v>
      </c>
      <c r="K113" s="18" t="s">
        <v>5035</v>
      </c>
      <c r="L113" s="41" t="s">
        <v>5247</v>
      </c>
      <c r="M113" s="18" t="s">
        <v>26</v>
      </c>
      <c r="N113" s="18">
        <v>11.7</v>
      </c>
    </row>
    <row r="114" spans="1:14">
      <c r="A114" s="19" t="s">
        <v>5248</v>
      </c>
      <c r="B114" s="19" t="s">
        <v>5249</v>
      </c>
      <c r="C114" s="19" t="s">
        <v>98</v>
      </c>
      <c r="D114" s="19" t="s">
        <v>84</v>
      </c>
      <c r="E114" s="19" t="s">
        <v>5016</v>
      </c>
      <c r="F114" s="19">
        <v>5.0999999999999996</v>
      </c>
      <c r="G114" s="19">
        <v>3.4</v>
      </c>
      <c r="H114" s="19">
        <v>4.2</v>
      </c>
      <c r="I114" s="19">
        <v>111368</v>
      </c>
      <c r="J114" s="19">
        <v>101709</v>
      </c>
      <c r="K114" s="19" t="s">
        <v>5017</v>
      </c>
      <c r="L114" s="40" t="s">
        <v>360</v>
      </c>
      <c r="M114" s="19" t="s">
        <v>26</v>
      </c>
      <c r="N114" s="19">
        <v>10.9</v>
      </c>
    </row>
    <row r="115" spans="1:14">
      <c r="A115" s="18" t="s">
        <v>5250</v>
      </c>
      <c r="B115" s="18" t="s">
        <v>22</v>
      </c>
      <c r="C115" s="18" t="s">
        <v>98</v>
      </c>
      <c r="D115" s="18" t="s">
        <v>16</v>
      </c>
      <c r="E115" s="18" t="s">
        <v>5051</v>
      </c>
      <c r="F115" s="18">
        <v>3.2</v>
      </c>
      <c r="G115" s="18">
        <v>6</v>
      </c>
      <c r="H115" s="18">
        <v>4.5999999999999996</v>
      </c>
      <c r="I115" s="18">
        <v>114487</v>
      </c>
      <c r="J115" s="18">
        <v>124489</v>
      </c>
      <c r="K115" s="18" t="s">
        <v>5028</v>
      </c>
      <c r="L115" s="41" t="s">
        <v>5251</v>
      </c>
      <c r="M115" s="18" t="s">
        <v>214</v>
      </c>
      <c r="N115" s="18">
        <v>9.4</v>
      </c>
    </row>
    <row r="116" spans="1:14">
      <c r="A116" s="19" t="s">
        <v>5252</v>
      </c>
      <c r="B116" s="19" t="s">
        <v>1320</v>
      </c>
      <c r="C116" s="19" t="s">
        <v>98</v>
      </c>
      <c r="D116" s="19" t="s">
        <v>133</v>
      </c>
      <c r="E116" s="19" t="s">
        <v>5077</v>
      </c>
      <c r="F116" s="19">
        <v>4.9000000000000004</v>
      </c>
      <c r="G116" s="19">
        <v>6.6</v>
      </c>
      <c r="H116" s="19">
        <v>5.8</v>
      </c>
      <c r="I116" s="19">
        <v>196368</v>
      </c>
      <c r="J116" s="19">
        <v>188403</v>
      </c>
      <c r="K116" s="19" t="s">
        <v>5028</v>
      </c>
      <c r="L116" s="40" t="s">
        <v>5101</v>
      </c>
      <c r="M116" s="19" t="s">
        <v>26</v>
      </c>
      <c r="N116" s="19">
        <v>11.3</v>
      </c>
    </row>
    <row r="117" spans="1:14">
      <c r="A117" s="18" t="s">
        <v>5253</v>
      </c>
      <c r="B117" s="18" t="s">
        <v>5254</v>
      </c>
      <c r="C117" s="18" t="s">
        <v>25</v>
      </c>
      <c r="D117" s="18" t="s">
        <v>51</v>
      </c>
      <c r="E117" s="18" t="s">
        <v>5031</v>
      </c>
      <c r="F117" s="18">
        <v>7.8</v>
      </c>
      <c r="G117" s="18">
        <v>6</v>
      </c>
      <c r="H117" s="18">
        <v>6.9</v>
      </c>
      <c r="I117" s="18">
        <v>93388</v>
      </c>
      <c r="J117" s="18"/>
      <c r="K117" s="18" t="s">
        <v>5035</v>
      </c>
      <c r="L117" s="41" t="s">
        <v>1932</v>
      </c>
      <c r="M117" s="18" t="s">
        <v>114</v>
      </c>
      <c r="N117" s="18">
        <v>6</v>
      </c>
    </row>
    <row r="118" spans="1:14">
      <c r="A118" s="19" t="s">
        <v>5255</v>
      </c>
      <c r="B118" s="19" t="s">
        <v>141</v>
      </c>
      <c r="C118" s="19" t="s">
        <v>90</v>
      </c>
      <c r="D118" s="19" t="s">
        <v>89</v>
      </c>
      <c r="E118" s="19" t="s">
        <v>5019</v>
      </c>
      <c r="F118" s="19">
        <v>5.5</v>
      </c>
      <c r="G118" s="19">
        <v>9.5</v>
      </c>
      <c r="H118" s="19">
        <v>7.5</v>
      </c>
      <c r="I118" s="19">
        <v>169463</v>
      </c>
      <c r="J118" s="19">
        <v>157274</v>
      </c>
      <c r="K118" s="19" t="s">
        <v>5028</v>
      </c>
      <c r="L118" s="40" t="s">
        <v>5256</v>
      </c>
      <c r="M118" s="19" t="s">
        <v>75</v>
      </c>
      <c r="N118" s="19">
        <v>8.1999999999999993</v>
      </c>
    </row>
    <row r="119" spans="1:14">
      <c r="A119" s="18" t="s">
        <v>5257</v>
      </c>
      <c r="B119" s="18" t="s">
        <v>1496</v>
      </c>
      <c r="C119" s="18" t="s">
        <v>79</v>
      </c>
      <c r="D119" s="18" t="s">
        <v>176</v>
      </c>
      <c r="E119" s="18" t="s">
        <v>5077</v>
      </c>
      <c r="F119" s="18">
        <v>6.1</v>
      </c>
      <c r="G119" s="18"/>
      <c r="H119" s="18">
        <v>6.1</v>
      </c>
      <c r="I119" s="18">
        <v>153319</v>
      </c>
      <c r="J119" s="18">
        <v>169720</v>
      </c>
      <c r="K119" s="18" t="s">
        <v>5035</v>
      </c>
      <c r="L119" s="41" t="s">
        <v>5258</v>
      </c>
      <c r="M119" s="18" t="s">
        <v>75</v>
      </c>
      <c r="N119" s="18">
        <v>4.5999999999999996</v>
      </c>
    </row>
    <row r="120" spans="1:14">
      <c r="A120" s="19" t="s">
        <v>5259</v>
      </c>
      <c r="B120" s="19" t="s">
        <v>814</v>
      </c>
      <c r="C120" s="19" t="s">
        <v>25</v>
      </c>
      <c r="D120" s="19" t="s">
        <v>51</v>
      </c>
      <c r="E120" s="19" t="s">
        <v>5023</v>
      </c>
      <c r="F120" s="19">
        <v>9.6999999999999993</v>
      </c>
      <c r="G120" s="19">
        <v>3.6</v>
      </c>
      <c r="H120" s="19">
        <v>6.6</v>
      </c>
      <c r="I120" s="19">
        <v>50644</v>
      </c>
      <c r="J120" s="19">
        <v>51916</v>
      </c>
      <c r="K120" s="19" t="s">
        <v>5035</v>
      </c>
      <c r="L120" s="40" t="s">
        <v>2226</v>
      </c>
      <c r="M120" s="19" t="s">
        <v>53</v>
      </c>
      <c r="N120" s="19">
        <v>0.6</v>
      </c>
    </row>
    <row r="121" spans="1:14">
      <c r="A121" s="18" t="s">
        <v>5260</v>
      </c>
      <c r="B121" s="18" t="s">
        <v>5261</v>
      </c>
      <c r="C121" s="18" t="s">
        <v>98</v>
      </c>
      <c r="D121" s="18" t="s">
        <v>51</v>
      </c>
      <c r="E121" s="18" t="s">
        <v>5051</v>
      </c>
      <c r="F121" s="18">
        <v>4.4000000000000004</v>
      </c>
      <c r="G121" s="18">
        <v>5.7</v>
      </c>
      <c r="H121" s="18">
        <v>5.0999999999999996</v>
      </c>
      <c r="I121" s="18">
        <v>173222</v>
      </c>
      <c r="J121" s="18">
        <v>147477</v>
      </c>
      <c r="K121" s="18" t="s">
        <v>5028</v>
      </c>
      <c r="L121" s="41" t="s">
        <v>5262</v>
      </c>
      <c r="M121" s="18" t="s">
        <v>70</v>
      </c>
      <c r="N121" s="18">
        <v>6</v>
      </c>
    </row>
    <row r="122" spans="1:14">
      <c r="A122" s="19" t="s">
        <v>5263</v>
      </c>
      <c r="B122" s="19" t="s">
        <v>165</v>
      </c>
      <c r="C122" s="19" t="s">
        <v>90</v>
      </c>
      <c r="D122" s="19" t="s">
        <v>133</v>
      </c>
      <c r="E122" s="19" t="s">
        <v>5025</v>
      </c>
      <c r="F122" s="19">
        <v>6.7</v>
      </c>
      <c r="G122" s="19">
        <v>3.4</v>
      </c>
      <c r="H122" s="19">
        <v>5</v>
      </c>
      <c r="I122" s="19">
        <v>23335</v>
      </c>
      <c r="J122" s="19">
        <v>23409</v>
      </c>
      <c r="K122" s="19" t="s">
        <v>5045</v>
      </c>
      <c r="L122" s="40" t="s">
        <v>5264</v>
      </c>
      <c r="M122" s="19" t="s">
        <v>214</v>
      </c>
      <c r="N122" s="19">
        <v>12.6</v>
      </c>
    </row>
    <row r="123" spans="1:14">
      <c r="A123" s="18" t="s">
        <v>5265</v>
      </c>
      <c r="B123" s="18" t="s">
        <v>966</v>
      </c>
      <c r="C123" s="18" t="s">
        <v>335</v>
      </c>
      <c r="D123" s="18" t="s">
        <v>39</v>
      </c>
      <c r="E123" s="18" t="s">
        <v>5016</v>
      </c>
      <c r="F123" s="18">
        <v>9.9</v>
      </c>
      <c r="G123" s="18">
        <v>6.9</v>
      </c>
      <c r="H123" s="18">
        <v>8.4</v>
      </c>
      <c r="I123" s="18">
        <v>125428</v>
      </c>
      <c r="J123" s="18">
        <v>112637</v>
      </c>
      <c r="K123" s="18" t="s">
        <v>5035</v>
      </c>
      <c r="L123" s="41" t="s">
        <v>5266</v>
      </c>
      <c r="M123" s="18" t="s">
        <v>172</v>
      </c>
      <c r="N123" s="18">
        <v>11.6</v>
      </c>
    </row>
    <row r="124" spans="1:14">
      <c r="A124" s="19" t="s">
        <v>5267</v>
      </c>
      <c r="B124" s="19" t="s">
        <v>724</v>
      </c>
      <c r="C124" s="19" t="s">
        <v>25</v>
      </c>
      <c r="D124" s="19" t="s">
        <v>84</v>
      </c>
      <c r="E124" s="19" t="s">
        <v>5077</v>
      </c>
      <c r="F124" s="19">
        <v>3.8</v>
      </c>
      <c r="G124" s="19">
        <v>9.5</v>
      </c>
      <c r="H124" s="19">
        <v>6.7</v>
      </c>
      <c r="I124" s="19">
        <v>150962</v>
      </c>
      <c r="J124" s="19">
        <v>171826</v>
      </c>
      <c r="K124" s="19" t="s">
        <v>5028</v>
      </c>
      <c r="L124" s="40" t="s">
        <v>5268</v>
      </c>
      <c r="M124" s="19" t="s">
        <v>172</v>
      </c>
      <c r="N124" s="19">
        <v>1.3</v>
      </c>
    </row>
    <row r="125" spans="1:14">
      <c r="A125" s="18" t="s">
        <v>5269</v>
      </c>
      <c r="B125" s="18" t="s">
        <v>263</v>
      </c>
      <c r="C125" s="18" t="s">
        <v>105</v>
      </c>
      <c r="D125" s="18" t="s">
        <v>118</v>
      </c>
      <c r="E125" s="18" t="s">
        <v>5077</v>
      </c>
      <c r="F125" s="18">
        <v>4.9000000000000004</v>
      </c>
      <c r="G125" s="18">
        <v>9.1</v>
      </c>
      <c r="H125" s="18">
        <v>7</v>
      </c>
      <c r="I125" s="18">
        <v>65864</v>
      </c>
      <c r="J125" s="18">
        <v>56525</v>
      </c>
      <c r="K125" s="18" t="s">
        <v>5045</v>
      </c>
      <c r="L125" s="41" t="s">
        <v>5270</v>
      </c>
      <c r="M125" s="18" t="s">
        <v>172</v>
      </c>
      <c r="N125" s="18">
        <v>12.9</v>
      </c>
    </row>
    <row r="126" spans="1:14">
      <c r="A126" s="19" t="s">
        <v>5271</v>
      </c>
      <c r="B126" s="19" t="s">
        <v>277</v>
      </c>
      <c r="C126" s="19" t="s">
        <v>153</v>
      </c>
      <c r="D126" s="19" t="s">
        <v>39</v>
      </c>
      <c r="E126" s="19" t="s">
        <v>5060</v>
      </c>
      <c r="F126" s="19">
        <v>7.9</v>
      </c>
      <c r="G126" s="19">
        <v>6.8</v>
      </c>
      <c r="H126" s="19">
        <v>7.3</v>
      </c>
      <c r="I126" s="19">
        <v>31856</v>
      </c>
      <c r="J126" s="19"/>
      <c r="K126" s="19" t="s">
        <v>5028</v>
      </c>
      <c r="L126" s="40" t="s">
        <v>5272</v>
      </c>
      <c r="M126" s="19" t="s">
        <v>53</v>
      </c>
      <c r="N126" s="19">
        <v>12.2</v>
      </c>
    </row>
    <row r="127" spans="1:14">
      <c r="A127" s="18" t="s">
        <v>5273</v>
      </c>
      <c r="B127" s="18" t="s">
        <v>1134</v>
      </c>
      <c r="C127" s="18" t="s">
        <v>225</v>
      </c>
      <c r="D127" s="18" t="s">
        <v>89</v>
      </c>
      <c r="E127" s="18" t="s">
        <v>5077</v>
      </c>
      <c r="F127" s="18">
        <v>8.6</v>
      </c>
      <c r="G127" s="18">
        <v>4.2</v>
      </c>
      <c r="H127" s="18">
        <v>6.4</v>
      </c>
      <c r="I127" s="18">
        <v>83009</v>
      </c>
      <c r="J127" s="18">
        <v>89979</v>
      </c>
      <c r="K127" s="18" t="s">
        <v>5020</v>
      </c>
      <c r="L127" s="41" t="s">
        <v>5274</v>
      </c>
      <c r="M127" s="18" t="s">
        <v>70</v>
      </c>
      <c r="N127" s="18">
        <v>1.3</v>
      </c>
    </row>
    <row r="128" spans="1:14">
      <c r="A128" s="19" t="s">
        <v>5275</v>
      </c>
      <c r="B128" s="19" t="s">
        <v>5276</v>
      </c>
      <c r="C128" s="19" t="s">
        <v>90</v>
      </c>
      <c r="D128" s="19" t="s">
        <v>84</v>
      </c>
      <c r="E128" s="19" t="s">
        <v>5019</v>
      </c>
      <c r="F128" s="19">
        <v>9.4</v>
      </c>
      <c r="G128" s="19">
        <v>4.5999999999999996</v>
      </c>
      <c r="H128" s="19">
        <v>7</v>
      </c>
      <c r="I128" s="19">
        <v>113288</v>
      </c>
      <c r="J128" s="19">
        <v>125594</v>
      </c>
      <c r="K128" s="19" t="s">
        <v>5035</v>
      </c>
      <c r="L128" s="40" t="s">
        <v>5113</v>
      </c>
      <c r="M128" s="19" t="s">
        <v>70</v>
      </c>
      <c r="N128" s="19">
        <v>13.6</v>
      </c>
    </row>
    <row r="129" spans="1:14">
      <c r="A129" s="18" t="s">
        <v>5277</v>
      </c>
      <c r="B129" s="18" t="s">
        <v>404</v>
      </c>
      <c r="C129" s="18" t="s">
        <v>98</v>
      </c>
      <c r="D129" s="18" t="s">
        <v>39</v>
      </c>
      <c r="E129" s="18" t="s">
        <v>5025</v>
      </c>
      <c r="F129" s="18">
        <v>7</v>
      </c>
      <c r="G129" s="18">
        <v>4.3</v>
      </c>
      <c r="H129" s="18">
        <v>5.7</v>
      </c>
      <c r="I129" s="18">
        <v>106072</v>
      </c>
      <c r="J129" s="18">
        <v>96107</v>
      </c>
      <c r="K129" s="18" t="s">
        <v>5045</v>
      </c>
      <c r="L129" s="41" t="s">
        <v>5278</v>
      </c>
      <c r="M129" s="18" t="s">
        <v>46</v>
      </c>
      <c r="N129" s="18">
        <v>8.8000000000000007</v>
      </c>
    </row>
    <row r="130" spans="1:14">
      <c r="A130" s="19" t="s">
        <v>5279</v>
      </c>
      <c r="B130" s="19" t="s">
        <v>5280</v>
      </c>
      <c r="C130" s="19" t="s">
        <v>25</v>
      </c>
      <c r="D130" s="19" t="s">
        <v>118</v>
      </c>
      <c r="E130" s="19" t="s">
        <v>5051</v>
      </c>
      <c r="F130" s="19">
        <v>9.1999999999999993</v>
      </c>
      <c r="G130" s="19">
        <v>6.1</v>
      </c>
      <c r="H130" s="19">
        <v>7.6</v>
      </c>
      <c r="I130" s="19">
        <v>184551</v>
      </c>
      <c r="J130" s="19">
        <v>169486</v>
      </c>
      <c r="K130" s="19" t="s">
        <v>5020</v>
      </c>
      <c r="L130" s="40" t="s">
        <v>1713</v>
      </c>
      <c r="M130" s="19" t="s">
        <v>46</v>
      </c>
      <c r="N130" s="19">
        <v>6.8</v>
      </c>
    </row>
    <row r="131" spans="1:14">
      <c r="A131" s="18" t="s">
        <v>5281</v>
      </c>
      <c r="B131" s="18" t="s">
        <v>435</v>
      </c>
      <c r="C131" s="18" t="s">
        <v>25</v>
      </c>
      <c r="D131" s="18" t="s">
        <v>84</v>
      </c>
      <c r="E131" s="18" t="s">
        <v>5077</v>
      </c>
      <c r="F131" s="18">
        <v>3.4</v>
      </c>
      <c r="G131" s="18">
        <v>5</v>
      </c>
      <c r="H131" s="18">
        <v>4.2</v>
      </c>
      <c r="I131" s="18"/>
      <c r="J131" s="18"/>
      <c r="K131" s="18" t="s">
        <v>5035</v>
      </c>
      <c r="L131" s="41" t="s">
        <v>5282</v>
      </c>
      <c r="M131" s="18" t="s">
        <v>26</v>
      </c>
      <c r="N131" s="18">
        <v>8.3000000000000007</v>
      </c>
    </row>
    <row r="132" spans="1:14">
      <c r="A132" s="19" t="s">
        <v>5283</v>
      </c>
      <c r="B132" s="19" t="s">
        <v>148</v>
      </c>
      <c r="C132" s="19" t="s">
        <v>79</v>
      </c>
      <c r="D132" s="19" t="s">
        <v>118</v>
      </c>
      <c r="E132" s="19" t="s">
        <v>5051</v>
      </c>
      <c r="F132" s="19">
        <v>4.5999999999999996</v>
      </c>
      <c r="G132" s="19">
        <v>7</v>
      </c>
      <c r="H132" s="19">
        <v>5.8</v>
      </c>
      <c r="I132" s="19">
        <v>116465</v>
      </c>
      <c r="J132" s="19">
        <v>107912</v>
      </c>
      <c r="K132" s="19" t="s">
        <v>5020</v>
      </c>
      <c r="L132" s="40" t="s">
        <v>5284</v>
      </c>
      <c r="M132" s="19" t="s">
        <v>149</v>
      </c>
      <c r="N132" s="19">
        <v>14.8</v>
      </c>
    </row>
    <row r="133" spans="1:14">
      <c r="A133" s="18" t="s">
        <v>5285</v>
      </c>
      <c r="B133" s="18" t="s">
        <v>203</v>
      </c>
      <c r="C133" s="18" t="s">
        <v>105</v>
      </c>
      <c r="D133" s="18" t="s">
        <v>16</v>
      </c>
      <c r="E133" s="18" t="s">
        <v>5025</v>
      </c>
      <c r="F133" s="18">
        <v>8.8000000000000007</v>
      </c>
      <c r="G133" s="18">
        <v>7.1</v>
      </c>
      <c r="H133" s="18">
        <v>8</v>
      </c>
      <c r="I133" s="18">
        <v>45681</v>
      </c>
      <c r="J133" s="18">
        <v>45296</v>
      </c>
      <c r="K133" s="18" t="s">
        <v>5035</v>
      </c>
      <c r="L133" s="41" t="s">
        <v>5286</v>
      </c>
      <c r="M133" s="18" t="s">
        <v>214</v>
      </c>
      <c r="N133" s="18">
        <v>14</v>
      </c>
    </row>
    <row r="134" spans="1:14">
      <c r="A134" s="19" t="s">
        <v>5287</v>
      </c>
      <c r="B134" s="19" t="s">
        <v>1041</v>
      </c>
      <c r="C134" s="19" t="s">
        <v>225</v>
      </c>
      <c r="D134" s="19" t="s">
        <v>16</v>
      </c>
      <c r="E134" s="19" t="s">
        <v>5025</v>
      </c>
      <c r="F134" s="19">
        <v>7.7</v>
      </c>
      <c r="G134" s="19">
        <v>3.2</v>
      </c>
      <c r="H134" s="19">
        <v>5.5</v>
      </c>
      <c r="I134" s="19">
        <v>125751</v>
      </c>
      <c r="J134" s="19"/>
      <c r="K134" s="19" t="s">
        <v>5045</v>
      </c>
      <c r="L134" s="40" t="s">
        <v>2018</v>
      </c>
      <c r="M134" s="19" t="s">
        <v>46</v>
      </c>
      <c r="N134" s="19">
        <v>7.2</v>
      </c>
    </row>
    <row r="135" spans="1:14">
      <c r="A135" s="18" t="s">
        <v>5288</v>
      </c>
      <c r="B135" s="18" t="s">
        <v>1128</v>
      </c>
      <c r="C135" s="18" t="s">
        <v>98</v>
      </c>
      <c r="D135" s="18" t="s">
        <v>39</v>
      </c>
      <c r="E135" s="18" t="s">
        <v>5060</v>
      </c>
      <c r="F135" s="18">
        <v>5.6</v>
      </c>
      <c r="G135" s="18">
        <v>8.9</v>
      </c>
      <c r="H135" s="18">
        <v>7.2</v>
      </c>
      <c r="I135" s="18">
        <v>158305</v>
      </c>
      <c r="J135" s="18">
        <v>137677</v>
      </c>
      <c r="K135" s="18" t="s">
        <v>5028</v>
      </c>
      <c r="L135" s="41" t="s">
        <v>5289</v>
      </c>
      <c r="M135" s="18" t="s">
        <v>75</v>
      </c>
      <c r="N135" s="18">
        <v>14.3</v>
      </c>
    </row>
    <row r="136" spans="1:14">
      <c r="A136" s="19" t="s">
        <v>5290</v>
      </c>
      <c r="B136" s="19" t="s">
        <v>196</v>
      </c>
      <c r="C136" s="19" t="s">
        <v>225</v>
      </c>
      <c r="D136" s="19" t="s">
        <v>63</v>
      </c>
      <c r="E136" s="19" t="s">
        <v>5031</v>
      </c>
      <c r="F136" s="19">
        <v>3.9</v>
      </c>
      <c r="G136" s="19">
        <v>4.8</v>
      </c>
      <c r="H136" s="19">
        <v>4.3</v>
      </c>
      <c r="I136" s="19">
        <v>190181</v>
      </c>
      <c r="J136" s="19">
        <v>173360</v>
      </c>
      <c r="K136" s="19" t="s">
        <v>5017</v>
      </c>
      <c r="L136" s="40" t="s">
        <v>1683</v>
      </c>
      <c r="M136" s="19" t="s">
        <v>70</v>
      </c>
      <c r="N136" s="19">
        <v>5.9</v>
      </c>
    </row>
    <row r="137" spans="1:14">
      <c r="A137" s="18" t="s">
        <v>5291</v>
      </c>
      <c r="B137" s="18" t="s">
        <v>5292</v>
      </c>
      <c r="C137" s="18" t="s">
        <v>138</v>
      </c>
      <c r="D137" s="18" t="s">
        <v>133</v>
      </c>
      <c r="E137" s="18" t="s">
        <v>5019</v>
      </c>
      <c r="F137" s="18">
        <v>7.2</v>
      </c>
      <c r="G137" s="18">
        <v>3.7</v>
      </c>
      <c r="H137" s="18">
        <v>5.5</v>
      </c>
      <c r="I137" s="18">
        <v>37281</v>
      </c>
      <c r="J137" s="18"/>
      <c r="K137" s="18" t="s">
        <v>5028</v>
      </c>
      <c r="L137" s="41" t="s">
        <v>5293</v>
      </c>
      <c r="M137" s="18" t="s">
        <v>214</v>
      </c>
      <c r="N137" s="18">
        <v>4.5</v>
      </c>
    </row>
    <row r="138" spans="1:14">
      <c r="A138" s="19" t="s">
        <v>5294</v>
      </c>
      <c r="B138" s="19" t="s">
        <v>865</v>
      </c>
      <c r="C138" s="19" t="s">
        <v>105</v>
      </c>
      <c r="D138" s="19" t="s">
        <v>118</v>
      </c>
      <c r="E138" s="19" t="s">
        <v>5023</v>
      </c>
      <c r="F138" s="19">
        <v>8.8000000000000007</v>
      </c>
      <c r="G138" s="19">
        <v>6.9</v>
      </c>
      <c r="H138" s="19">
        <v>7.9</v>
      </c>
      <c r="I138" s="19">
        <v>100742</v>
      </c>
      <c r="J138" s="19"/>
      <c r="K138" s="19" t="s">
        <v>5017</v>
      </c>
      <c r="L138" s="40" t="s">
        <v>5295</v>
      </c>
      <c r="M138" s="19" t="s">
        <v>214</v>
      </c>
      <c r="N138" s="19">
        <v>13</v>
      </c>
    </row>
    <row r="139" spans="1:14">
      <c r="A139" s="18" t="s">
        <v>5296</v>
      </c>
      <c r="B139" s="18" t="s">
        <v>739</v>
      </c>
      <c r="C139" s="18" t="s">
        <v>5040</v>
      </c>
      <c r="D139" s="18" t="s">
        <v>176</v>
      </c>
      <c r="E139" s="18" t="s">
        <v>5051</v>
      </c>
      <c r="F139" s="18">
        <v>8.6</v>
      </c>
      <c r="G139" s="18">
        <v>5.6</v>
      </c>
      <c r="H139" s="18">
        <v>7.1</v>
      </c>
      <c r="I139" s="18">
        <v>43288</v>
      </c>
      <c r="J139" s="18">
        <v>37830</v>
      </c>
      <c r="K139" s="18" t="s">
        <v>5020</v>
      </c>
      <c r="L139" s="41" t="s">
        <v>1589</v>
      </c>
      <c r="M139" s="18" t="s">
        <v>32</v>
      </c>
      <c r="N139" s="18">
        <v>14.1</v>
      </c>
    </row>
    <row r="140" spans="1:14">
      <c r="A140" s="19" t="s">
        <v>5297</v>
      </c>
      <c r="B140" s="19" t="s">
        <v>1344</v>
      </c>
      <c r="C140" s="19" t="s">
        <v>105</v>
      </c>
      <c r="D140" s="19" t="s">
        <v>176</v>
      </c>
      <c r="E140" s="19" t="s">
        <v>5060</v>
      </c>
      <c r="F140" s="19">
        <v>10</v>
      </c>
      <c r="G140" s="19">
        <v>8.4</v>
      </c>
      <c r="H140" s="19">
        <v>9.1999999999999993</v>
      </c>
      <c r="I140" s="19">
        <v>56276</v>
      </c>
      <c r="J140" s="19">
        <v>59525</v>
      </c>
      <c r="K140" s="19" t="s">
        <v>5017</v>
      </c>
      <c r="L140" s="40" t="s">
        <v>5174</v>
      </c>
      <c r="M140" s="19" t="s">
        <v>32</v>
      </c>
      <c r="N140" s="19">
        <v>1.6</v>
      </c>
    </row>
    <row r="141" spans="1:14">
      <c r="A141" s="18" t="s">
        <v>5298</v>
      </c>
      <c r="B141" s="18" t="s">
        <v>5299</v>
      </c>
      <c r="C141" s="18" t="s">
        <v>79</v>
      </c>
      <c r="D141" s="18" t="s">
        <v>84</v>
      </c>
      <c r="E141" s="18" t="s">
        <v>5019</v>
      </c>
      <c r="F141" s="18">
        <v>9.3000000000000007</v>
      </c>
      <c r="G141" s="18">
        <v>7.2</v>
      </c>
      <c r="H141" s="18">
        <v>8.1999999999999993</v>
      </c>
      <c r="I141" s="18">
        <v>87811</v>
      </c>
      <c r="J141" s="18">
        <v>97621</v>
      </c>
      <c r="K141" s="18" t="s">
        <v>5035</v>
      </c>
      <c r="L141" s="41" t="s">
        <v>5300</v>
      </c>
      <c r="M141" s="18" t="s">
        <v>18</v>
      </c>
      <c r="N141" s="18">
        <v>10.6</v>
      </c>
    </row>
    <row r="142" spans="1:14">
      <c r="A142" s="19" t="s">
        <v>5301</v>
      </c>
      <c r="B142" s="19" t="s">
        <v>5302</v>
      </c>
      <c r="C142" s="19" t="s">
        <v>79</v>
      </c>
      <c r="D142" s="19" t="s">
        <v>133</v>
      </c>
      <c r="E142" s="19" t="s">
        <v>5060</v>
      </c>
      <c r="F142" s="19">
        <v>8.5</v>
      </c>
      <c r="G142" s="19">
        <v>9.1</v>
      </c>
      <c r="H142" s="19">
        <v>8.8000000000000007</v>
      </c>
      <c r="I142" s="19">
        <v>72810</v>
      </c>
      <c r="J142" s="19">
        <v>65414</v>
      </c>
      <c r="K142" s="19" t="s">
        <v>5045</v>
      </c>
      <c r="L142" s="40" t="s">
        <v>5303</v>
      </c>
      <c r="M142" s="19" t="s">
        <v>172</v>
      </c>
      <c r="N142" s="19">
        <v>9.1999999999999993</v>
      </c>
    </row>
    <row r="143" spans="1:14">
      <c r="A143" s="18" t="s">
        <v>5304</v>
      </c>
      <c r="B143" s="18" t="s">
        <v>5305</v>
      </c>
      <c r="C143" s="18" t="s">
        <v>98</v>
      </c>
      <c r="D143" s="18" t="s">
        <v>89</v>
      </c>
      <c r="E143" s="18" t="s">
        <v>5019</v>
      </c>
      <c r="F143" s="18">
        <v>6.4</v>
      </c>
      <c r="G143" s="18">
        <v>6.7</v>
      </c>
      <c r="H143" s="18">
        <v>6.6</v>
      </c>
      <c r="I143" s="18">
        <v>121538</v>
      </c>
      <c r="J143" s="18"/>
      <c r="K143" s="18" t="s">
        <v>5017</v>
      </c>
      <c r="L143" s="41" t="s">
        <v>2005</v>
      </c>
      <c r="M143" s="18" t="s">
        <v>53</v>
      </c>
      <c r="N143" s="18">
        <v>10.199999999999999</v>
      </c>
    </row>
    <row r="144" spans="1:14">
      <c r="A144" s="19" t="s">
        <v>5306</v>
      </c>
      <c r="B144" s="19" t="s">
        <v>5307</v>
      </c>
      <c r="C144" s="19" t="s">
        <v>90</v>
      </c>
      <c r="D144" s="19" t="s">
        <v>89</v>
      </c>
      <c r="E144" s="19" t="s">
        <v>5025</v>
      </c>
      <c r="F144" s="19">
        <v>9.3000000000000007</v>
      </c>
      <c r="G144" s="19">
        <v>8.1999999999999993</v>
      </c>
      <c r="H144" s="19">
        <v>8.8000000000000007</v>
      </c>
      <c r="I144" s="19">
        <v>87088</v>
      </c>
      <c r="J144" s="19"/>
      <c r="K144" s="19" t="s">
        <v>5035</v>
      </c>
      <c r="L144" s="40" t="s">
        <v>1272</v>
      </c>
      <c r="M144" s="19" t="s">
        <v>70</v>
      </c>
      <c r="N144" s="19">
        <v>4.5</v>
      </c>
    </row>
    <row r="145" spans="1:14">
      <c r="A145" s="18" t="s">
        <v>5308</v>
      </c>
      <c r="B145" s="18" t="s">
        <v>1447</v>
      </c>
      <c r="C145" s="18" t="s">
        <v>90</v>
      </c>
      <c r="D145" s="18" t="s">
        <v>51</v>
      </c>
      <c r="E145" s="18" t="s">
        <v>5060</v>
      </c>
      <c r="F145" s="18">
        <v>8.5</v>
      </c>
      <c r="G145" s="18">
        <v>6.5</v>
      </c>
      <c r="H145" s="18">
        <v>7.5</v>
      </c>
      <c r="I145" s="18">
        <v>168283</v>
      </c>
      <c r="J145" s="18">
        <v>151011</v>
      </c>
      <c r="K145" s="18" t="s">
        <v>5020</v>
      </c>
      <c r="L145" s="41" t="s">
        <v>5309</v>
      </c>
      <c r="M145" s="18" t="s">
        <v>149</v>
      </c>
      <c r="N145" s="18">
        <v>13.9</v>
      </c>
    </row>
    <row r="146" spans="1:14">
      <c r="A146" s="19" t="s">
        <v>5310</v>
      </c>
      <c r="B146" s="19" t="s">
        <v>217</v>
      </c>
      <c r="C146" s="19" t="s">
        <v>5040</v>
      </c>
      <c r="D146" s="19" t="s">
        <v>176</v>
      </c>
      <c r="E146" s="19" t="s">
        <v>5016</v>
      </c>
      <c r="F146" s="19">
        <v>8.9</v>
      </c>
      <c r="G146" s="19">
        <v>8.1</v>
      </c>
      <c r="H146" s="19">
        <v>8.5</v>
      </c>
      <c r="I146" s="19">
        <v>96585</v>
      </c>
      <c r="J146" s="19">
        <v>109021</v>
      </c>
      <c r="K146" s="19" t="s">
        <v>5017</v>
      </c>
      <c r="L146" s="40" t="s">
        <v>5198</v>
      </c>
      <c r="M146" s="19" t="s">
        <v>65</v>
      </c>
      <c r="N146" s="19">
        <v>13</v>
      </c>
    </row>
    <row r="147" spans="1:14">
      <c r="A147" s="18" t="s">
        <v>5311</v>
      </c>
      <c r="B147" s="18" t="s">
        <v>579</v>
      </c>
      <c r="C147" s="18" t="s">
        <v>335</v>
      </c>
      <c r="D147" s="18" t="s">
        <v>63</v>
      </c>
      <c r="E147" s="18" t="s">
        <v>5060</v>
      </c>
      <c r="F147" s="18">
        <v>7.2</v>
      </c>
      <c r="G147" s="18">
        <v>5.6</v>
      </c>
      <c r="H147" s="18">
        <v>6.4</v>
      </c>
      <c r="I147" s="18">
        <v>67947</v>
      </c>
      <c r="J147" s="18">
        <v>57764</v>
      </c>
      <c r="K147" s="18" t="s">
        <v>5045</v>
      </c>
      <c r="L147" s="41" t="s">
        <v>5312</v>
      </c>
      <c r="M147" s="18" t="s">
        <v>65</v>
      </c>
      <c r="N147" s="18">
        <v>9.1</v>
      </c>
    </row>
    <row r="148" spans="1:14">
      <c r="A148" s="19" t="s">
        <v>5313</v>
      </c>
      <c r="B148" s="19" t="s">
        <v>5314</v>
      </c>
      <c r="C148" s="19" t="s">
        <v>153</v>
      </c>
      <c r="D148" s="19" t="s">
        <v>176</v>
      </c>
      <c r="E148" s="19" t="s">
        <v>5025</v>
      </c>
      <c r="F148" s="19">
        <v>4.5999999999999996</v>
      </c>
      <c r="G148" s="19">
        <v>9.6</v>
      </c>
      <c r="H148" s="19">
        <v>7.1</v>
      </c>
      <c r="I148" s="19">
        <v>25417</v>
      </c>
      <c r="J148" s="19"/>
      <c r="K148" s="19" t="s">
        <v>5028</v>
      </c>
      <c r="L148" s="40" t="s">
        <v>5315</v>
      </c>
      <c r="M148" s="19" t="s">
        <v>70</v>
      </c>
      <c r="N148" s="19">
        <v>2.1</v>
      </c>
    </row>
    <row r="149" spans="1:14">
      <c r="A149" s="18" t="s">
        <v>5316</v>
      </c>
      <c r="B149" s="18" t="s">
        <v>5317</v>
      </c>
      <c r="C149" s="18" t="s">
        <v>79</v>
      </c>
      <c r="D149" s="18" t="s">
        <v>16</v>
      </c>
      <c r="E149" s="18" t="s">
        <v>5019</v>
      </c>
      <c r="F149" s="18">
        <v>8.6999999999999993</v>
      </c>
      <c r="G149" s="18">
        <v>7.4</v>
      </c>
      <c r="H149" s="18">
        <v>8.1</v>
      </c>
      <c r="I149" s="18">
        <v>81460</v>
      </c>
      <c r="J149" s="18">
        <v>73258</v>
      </c>
      <c r="K149" s="18" t="s">
        <v>5035</v>
      </c>
      <c r="L149" s="41" t="s">
        <v>5318</v>
      </c>
      <c r="M149" s="18" t="s">
        <v>18</v>
      </c>
      <c r="N149" s="18">
        <v>10.199999999999999</v>
      </c>
    </row>
    <row r="150" spans="1:14">
      <c r="A150" s="19" t="s">
        <v>5319</v>
      </c>
      <c r="B150" s="19" t="s">
        <v>1587</v>
      </c>
      <c r="C150" s="19" t="s">
        <v>5040</v>
      </c>
      <c r="D150" s="19" t="s">
        <v>51</v>
      </c>
      <c r="E150" s="19" t="s">
        <v>5051</v>
      </c>
      <c r="F150" s="19">
        <v>9.1999999999999993</v>
      </c>
      <c r="G150" s="19">
        <v>8.8000000000000007</v>
      </c>
      <c r="H150" s="19">
        <v>9</v>
      </c>
      <c r="I150" s="19">
        <v>151095</v>
      </c>
      <c r="J150" s="19">
        <v>171679</v>
      </c>
      <c r="K150" s="19" t="s">
        <v>5045</v>
      </c>
      <c r="L150" s="40" t="s">
        <v>5320</v>
      </c>
      <c r="M150" s="19" t="s">
        <v>75</v>
      </c>
      <c r="N150" s="19">
        <v>14.7</v>
      </c>
    </row>
    <row r="151" spans="1:14">
      <c r="A151" s="18" t="s">
        <v>5321</v>
      </c>
      <c r="B151" s="18" t="s">
        <v>730</v>
      </c>
      <c r="C151" s="18" t="s">
        <v>5040</v>
      </c>
      <c r="D151" s="18" t="s">
        <v>39</v>
      </c>
      <c r="E151" s="18" t="s">
        <v>5031</v>
      </c>
      <c r="F151" s="18">
        <v>3.5</v>
      </c>
      <c r="G151" s="18">
        <v>3.3</v>
      </c>
      <c r="H151" s="18">
        <v>3.4</v>
      </c>
      <c r="I151" s="18">
        <v>135933</v>
      </c>
      <c r="J151" s="18">
        <v>125384</v>
      </c>
      <c r="K151" s="18" t="s">
        <v>5020</v>
      </c>
      <c r="L151" s="41" t="s">
        <v>5322</v>
      </c>
      <c r="M151" s="18" t="s">
        <v>172</v>
      </c>
      <c r="N151" s="18">
        <v>7.9</v>
      </c>
    </row>
    <row r="152" spans="1:14">
      <c r="A152" s="19" t="s">
        <v>5323</v>
      </c>
      <c r="B152" s="19" t="s">
        <v>440</v>
      </c>
      <c r="C152" s="19" t="s">
        <v>225</v>
      </c>
      <c r="D152" s="19" t="s">
        <v>133</v>
      </c>
      <c r="E152" s="19" t="s">
        <v>5023</v>
      </c>
      <c r="F152" s="19">
        <v>4.2</v>
      </c>
      <c r="G152" s="19">
        <v>5.5</v>
      </c>
      <c r="H152" s="19">
        <v>4.8</v>
      </c>
      <c r="I152" s="19">
        <v>174309</v>
      </c>
      <c r="J152" s="19">
        <v>191122</v>
      </c>
      <c r="K152" s="19" t="s">
        <v>5035</v>
      </c>
      <c r="L152" s="40" t="s">
        <v>5324</v>
      </c>
      <c r="M152" s="19" t="s">
        <v>18</v>
      </c>
      <c r="N152" s="19">
        <v>12.5</v>
      </c>
    </row>
    <row r="153" spans="1:14">
      <c r="A153" s="18" t="s">
        <v>5325</v>
      </c>
      <c r="B153" s="18" t="s">
        <v>1518</v>
      </c>
      <c r="C153" s="18" t="s">
        <v>335</v>
      </c>
      <c r="D153" s="18" t="s">
        <v>24</v>
      </c>
      <c r="E153" s="18" t="s">
        <v>5077</v>
      </c>
      <c r="F153" s="18">
        <v>8.1</v>
      </c>
      <c r="G153" s="18">
        <v>7.4</v>
      </c>
      <c r="H153" s="18">
        <v>7.8</v>
      </c>
      <c r="I153" s="18">
        <v>138371</v>
      </c>
      <c r="J153" s="18">
        <v>122000</v>
      </c>
      <c r="K153" s="18" t="s">
        <v>5028</v>
      </c>
      <c r="L153" s="41" t="s">
        <v>5326</v>
      </c>
      <c r="M153" s="18" t="s">
        <v>114</v>
      </c>
      <c r="N153" s="18">
        <v>8.8000000000000007</v>
      </c>
    </row>
    <row r="154" spans="1:14">
      <c r="A154" s="19" t="s">
        <v>5327</v>
      </c>
      <c r="B154" s="19" t="s">
        <v>1153</v>
      </c>
      <c r="C154" s="19" t="s">
        <v>90</v>
      </c>
      <c r="D154" s="19" t="s">
        <v>39</v>
      </c>
      <c r="E154" s="19" t="s">
        <v>5077</v>
      </c>
      <c r="F154" s="19">
        <v>7.3</v>
      </c>
      <c r="G154" s="19">
        <v>7.5</v>
      </c>
      <c r="H154" s="19">
        <v>7.4</v>
      </c>
      <c r="I154" s="19">
        <v>35759</v>
      </c>
      <c r="J154" s="19">
        <v>39699</v>
      </c>
      <c r="K154" s="19" t="s">
        <v>5028</v>
      </c>
      <c r="L154" s="40" t="s">
        <v>948</v>
      </c>
      <c r="M154" s="19" t="s">
        <v>32</v>
      </c>
      <c r="N154" s="19">
        <v>1.2</v>
      </c>
    </row>
    <row r="155" spans="1:14">
      <c r="A155" s="18" t="s">
        <v>5328</v>
      </c>
      <c r="B155" s="18" t="s">
        <v>1391</v>
      </c>
      <c r="C155" s="18" t="s">
        <v>335</v>
      </c>
      <c r="D155" s="18" t="s">
        <v>39</v>
      </c>
      <c r="E155" s="18" t="s">
        <v>5016</v>
      </c>
      <c r="F155" s="18">
        <v>8.1999999999999993</v>
      </c>
      <c r="G155" s="18">
        <v>6.2</v>
      </c>
      <c r="H155" s="18">
        <v>7.2</v>
      </c>
      <c r="I155" s="18">
        <v>190853</v>
      </c>
      <c r="J155" s="18">
        <v>203800</v>
      </c>
      <c r="K155" s="18" t="s">
        <v>5035</v>
      </c>
      <c r="L155" s="41" t="s">
        <v>5329</v>
      </c>
      <c r="M155" s="18" t="s">
        <v>32</v>
      </c>
      <c r="N155" s="18">
        <v>6.1</v>
      </c>
    </row>
    <row r="156" spans="1:14">
      <c r="A156" s="19" t="s">
        <v>5330</v>
      </c>
      <c r="B156" s="19" t="s">
        <v>334</v>
      </c>
      <c r="C156" s="19" t="s">
        <v>5040</v>
      </c>
      <c r="D156" s="19" t="s">
        <v>16</v>
      </c>
      <c r="E156" s="19" t="s">
        <v>5031</v>
      </c>
      <c r="F156" s="19">
        <v>8.9</v>
      </c>
      <c r="G156" s="19">
        <v>8.9</v>
      </c>
      <c r="H156" s="19">
        <v>8.9</v>
      </c>
      <c r="I156" s="19">
        <v>57397</v>
      </c>
      <c r="J156" s="19"/>
      <c r="K156" s="19" t="s">
        <v>5020</v>
      </c>
      <c r="L156" s="40" t="s">
        <v>1683</v>
      </c>
      <c r="M156" s="19" t="s">
        <v>149</v>
      </c>
      <c r="N156" s="19">
        <v>11.1</v>
      </c>
    </row>
    <row r="157" spans="1:14">
      <c r="A157" s="18" t="s">
        <v>5331</v>
      </c>
      <c r="B157" s="18" t="s">
        <v>5332</v>
      </c>
      <c r="C157" s="18" t="s">
        <v>25</v>
      </c>
      <c r="D157" s="18" t="s">
        <v>16</v>
      </c>
      <c r="E157" s="18" t="s">
        <v>5025</v>
      </c>
      <c r="F157" s="18">
        <v>7.6</v>
      </c>
      <c r="G157" s="18">
        <v>8.1999999999999993</v>
      </c>
      <c r="H157" s="18">
        <v>7.9</v>
      </c>
      <c r="I157" s="18"/>
      <c r="J157" s="18">
        <v>190417</v>
      </c>
      <c r="K157" s="18" t="s">
        <v>5028</v>
      </c>
      <c r="L157" s="41" t="s">
        <v>5333</v>
      </c>
      <c r="M157" s="18" t="s">
        <v>172</v>
      </c>
      <c r="N157" s="18">
        <v>9.1</v>
      </c>
    </row>
    <row r="158" spans="1:14">
      <c r="A158" s="19" t="s">
        <v>5334</v>
      </c>
      <c r="B158" s="19" t="s">
        <v>175</v>
      </c>
      <c r="C158" s="19" t="s">
        <v>90</v>
      </c>
      <c r="D158" s="19" t="s">
        <v>16</v>
      </c>
      <c r="E158" s="19" t="s">
        <v>5031</v>
      </c>
      <c r="F158" s="19">
        <v>6.4</v>
      </c>
      <c r="G158" s="19">
        <v>3.7</v>
      </c>
      <c r="H158" s="19">
        <v>5.0999999999999996</v>
      </c>
      <c r="I158" s="19">
        <v>109108</v>
      </c>
      <c r="J158" s="19">
        <v>95940</v>
      </c>
      <c r="K158" s="19" t="s">
        <v>5045</v>
      </c>
      <c r="L158" s="40" t="s">
        <v>1703</v>
      </c>
      <c r="M158" s="19" t="s">
        <v>18</v>
      </c>
      <c r="N158" s="19">
        <v>12.5</v>
      </c>
    </row>
    <row r="159" spans="1:14">
      <c r="A159" s="18" t="s">
        <v>5335</v>
      </c>
      <c r="B159" s="18" t="s">
        <v>476</v>
      </c>
      <c r="C159" s="18" t="s">
        <v>98</v>
      </c>
      <c r="D159" s="18" t="s">
        <v>39</v>
      </c>
      <c r="E159" s="18" t="s">
        <v>5016</v>
      </c>
      <c r="F159" s="18">
        <v>4.5999999999999996</v>
      </c>
      <c r="G159" s="18">
        <v>4.4000000000000004</v>
      </c>
      <c r="H159" s="18">
        <v>4.5</v>
      </c>
      <c r="I159" s="18">
        <v>186548</v>
      </c>
      <c r="J159" s="18">
        <v>163103</v>
      </c>
      <c r="K159" s="18" t="s">
        <v>5035</v>
      </c>
      <c r="L159" s="41" t="s">
        <v>1889</v>
      </c>
      <c r="M159" s="18" t="s">
        <v>149</v>
      </c>
      <c r="N159" s="18">
        <v>13</v>
      </c>
    </row>
    <row r="160" spans="1:14">
      <c r="A160" s="19" t="s">
        <v>5336</v>
      </c>
      <c r="B160" s="19" t="s">
        <v>300</v>
      </c>
      <c r="C160" s="19" t="s">
        <v>153</v>
      </c>
      <c r="D160" s="19" t="s">
        <v>16</v>
      </c>
      <c r="E160" s="19" t="s">
        <v>5077</v>
      </c>
      <c r="F160" s="19">
        <v>9.1999999999999993</v>
      </c>
      <c r="G160" s="19">
        <v>8.3000000000000007</v>
      </c>
      <c r="H160" s="19">
        <v>8.8000000000000007</v>
      </c>
      <c r="I160" s="19">
        <v>92818</v>
      </c>
      <c r="J160" s="19"/>
      <c r="K160" s="19" t="s">
        <v>5028</v>
      </c>
      <c r="L160" s="40" t="s">
        <v>1970</v>
      </c>
      <c r="M160" s="19" t="s">
        <v>75</v>
      </c>
      <c r="N160" s="19">
        <v>11.8</v>
      </c>
    </row>
    <row r="161" spans="1:14">
      <c r="A161" s="18" t="s">
        <v>5337</v>
      </c>
      <c r="B161" s="18" t="s">
        <v>5338</v>
      </c>
      <c r="C161" s="18" t="s">
        <v>105</v>
      </c>
      <c r="D161" s="18" t="s">
        <v>133</v>
      </c>
      <c r="E161" s="18" t="s">
        <v>5077</v>
      </c>
      <c r="F161" s="18">
        <v>7.2</v>
      </c>
      <c r="G161" s="18">
        <v>3.7</v>
      </c>
      <c r="H161" s="18">
        <v>5.5</v>
      </c>
      <c r="I161" s="18">
        <v>38221</v>
      </c>
      <c r="J161" s="18"/>
      <c r="K161" s="18" t="s">
        <v>5017</v>
      </c>
      <c r="L161" s="41" t="s">
        <v>5339</v>
      </c>
      <c r="M161" s="18" t="s">
        <v>75</v>
      </c>
      <c r="N161" s="18">
        <v>1.3</v>
      </c>
    </row>
    <row r="162" spans="1:14">
      <c r="A162" s="19" t="s">
        <v>5340</v>
      </c>
      <c r="B162" s="19" t="s">
        <v>5341</v>
      </c>
      <c r="C162" s="19" t="s">
        <v>25</v>
      </c>
      <c r="D162" s="19" t="s">
        <v>24</v>
      </c>
      <c r="E162" s="19" t="s">
        <v>5023</v>
      </c>
      <c r="F162" s="19"/>
      <c r="G162" s="19">
        <v>6.9</v>
      </c>
      <c r="H162" s="19"/>
      <c r="I162" s="19">
        <v>68751</v>
      </c>
      <c r="J162" s="19"/>
      <c r="K162" s="19" t="s">
        <v>5017</v>
      </c>
      <c r="L162" s="40" t="s">
        <v>5342</v>
      </c>
      <c r="M162" s="19" t="s">
        <v>46</v>
      </c>
      <c r="N162" s="19">
        <v>10.7</v>
      </c>
    </row>
    <row r="163" spans="1:14">
      <c r="A163" s="18" t="s">
        <v>5343</v>
      </c>
      <c r="B163" s="18" t="s">
        <v>5344</v>
      </c>
      <c r="C163" s="18" t="s">
        <v>138</v>
      </c>
      <c r="D163" s="18" t="s">
        <v>24</v>
      </c>
      <c r="E163" s="18" t="s">
        <v>5023</v>
      </c>
      <c r="F163" s="18">
        <v>8.3000000000000007</v>
      </c>
      <c r="G163" s="18">
        <v>5</v>
      </c>
      <c r="H163" s="18">
        <v>6.7</v>
      </c>
      <c r="I163" s="18">
        <v>28172</v>
      </c>
      <c r="J163" s="18"/>
      <c r="K163" s="18" t="s">
        <v>5017</v>
      </c>
      <c r="L163" s="41" t="s">
        <v>5345</v>
      </c>
      <c r="M163" s="18" t="s">
        <v>70</v>
      </c>
      <c r="N163" s="18">
        <v>9.4</v>
      </c>
    </row>
    <row r="164" spans="1:14">
      <c r="A164" s="19" t="s">
        <v>5346</v>
      </c>
      <c r="B164" s="19" t="s">
        <v>180</v>
      </c>
      <c r="C164" s="19" t="s">
        <v>138</v>
      </c>
      <c r="D164" s="19" t="s">
        <v>39</v>
      </c>
      <c r="E164" s="19" t="s">
        <v>5060</v>
      </c>
      <c r="F164" s="19">
        <v>7.2</v>
      </c>
      <c r="G164" s="19">
        <v>4.2</v>
      </c>
      <c r="H164" s="19">
        <v>5.7</v>
      </c>
      <c r="I164" s="19">
        <v>37684</v>
      </c>
      <c r="J164" s="19">
        <v>37221</v>
      </c>
      <c r="K164" s="19" t="s">
        <v>5035</v>
      </c>
      <c r="L164" s="40" t="s">
        <v>5347</v>
      </c>
      <c r="M164" s="19" t="s">
        <v>65</v>
      </c>
      <c r="N164" s="19">
        <v>4.9000000000000004</v>
      </c>
    </row>
    <row r="165" spans="1:14">
      <c r="A165" s="18" t="s">
        <v>5348</v>
      </c>
      <c r="B165" s="18" t="s">
        <v>5091</v>
      </c>
      <c r="C165" s="18" t="s">
        <v>5040</v>
      </c>
      <c r="D165" s="18" t="s">
        <v>16</v>
      </c>
      <c r="E165" s="18" t="s">
        <v>5016</v>
      </c>
      <c r="F165" s="18">
        <v>10</v>
      </c>
      <c r="G165" s="18">
        <v>6.8</v>
      </c>
      <c r="H165" s="18">
        <v>8.4</v>
      </c>
      <c r="I165" s="18">
        <v>84702</v>
      </c>
      <c r="J165" s="18">
        <v>85009</v>
      </c>
      <c r="K165" s="18" t="s">
        <v>5035</v>
      </c>
      <c r="L165" s="41" t="s">
        <v>5078</v>
      </c>
      <c r="M165" s="18" t="s">
        <v>172</v>
      </c>
      <c r="N165" s="18">
        <v>10.199999999999999</v>
      </c>
    </row>
    <row r="166" spans="1:14">
      <c r="A166" s="19" t="s">
        <v>5349</v>
      </c>
      <c r="B166" s="19" t="s">
        <v>1566</v>
      </c>
      <c r="C166" s="19" t="s">
        <v>335</v>
      </c>
      <c r="D166" s="19" t="s">
        <v>39</v>
      </c>
      <c r="E166" s="19" t="s">
        <v>5060</v>
      </c>
      <c r="F166" s="19">
        <v>6.5</v>
      </c>
      <c r="G166" s="19">
        <v>5.7</v>
      </c>
      <c r="H166" s="19">
        <v>6.1</v>
      </c>
      <c r="I166" s="19">
        <v>32365</v>
      </c>
      <c r="J166" s="19">
        <v>29977</v>
      </c>
      <c r="K166" s="19" t="s">
        <v>5045</v>
      </c>
      <c r="L166" s="40" t="s">
        <v>1731</v>
      </c>
      <c r="M166" s="19" t="s">
        <v>65</v>
      </c>
      <c r="N166" s="19">
        <v>5.7</v>
      </c>
    </row>
    <row r="167" spans="1:14">
      <c r="A167" s="18" t="s">
        <v>5350</v>
      </c>
      <c r="B167" s="18" t="s">
        <v>904</v>
      </c>
      <c r="C167" s="18" t="s">
        <v>153</v>
      </c>
      <c r="D167" s="18" t="s">
        <v>24</v>
      </c>
      <c r="E167" s="18" t="s">
        <v>5031</v>
      </c>
      <c r="F167" s="18">
        <v>8.6999999999999993</v>
      </c>
      <c r="G167" s="18">
        <v>8.1999999999999993</v>
      </c>
      <c r="H167" s="18">
        <v>8.4</v>
      </c>
      <c r="I167" s="18">
        <v>122697</v>
      </c>
      <c r="J167" s="18"/>
      <c r="K167" s="18" t="s">
        <v>5017</v>
      </c>
      <c r="L167" s="41" t="s">
        <v>1577</v>
      </c>
      <c r="M167" s="18" t="s">
        <v>75</v>
      </c>
      <c r="N167" s="18">
        <v>4.0999999999999996</v>
      </c>
    </row>
    <row r="168" spans="1:14">
      <c r="A168" s="19" t="s">
        <v>5351</v>
      </c>
      <c r="B168" s="19" t="s">
        <v>306</v>
      </c>
      <c r="C168" s="19" t="s">
        <v>5040</v>
      </c>
      <c r="D168" s="19" t="s">
        <v>84</v>
      </c>
      <c r="E168" s="19" t="s">
        <v>5077</v>
      </c>
      <c r="F168" s="19">
        <v>4.5999999999999996</v>
      </c>
      <c r="G168" s="19">
        <v>6.6</v>
      </c>
      <c r="H168" s="19">
        <v>5.6</v>
      </c>
      <c r="I168" s="19">
        <v>120512</v>
      </c>
      <c r="J168" s="19">
        <v>103613</v>
      </c>
      <c r="K168" s="19" t="s">
        <v>5017</v>
      </c>
      <c r="L168" s="40" t="s">
        <v>5352</v>
      </c>
      <c r="M168" s="19" t="s">
        <v>172</v>
      </c>
      <c r="N168" s="19">
        <v>14</v>
      </c>
    </row>
    <row r="169" spans="1:14">
      <c r="A169" s="18" t="s">
        <v>5353</v>
      </c>
      <c r="B169" s="18" t="s">
        <v>5354</v>
      </c>
      <c r="C169" s="18" t="s">
        <v>138</v>
      </c>
      <c r="D169" s="18" t="s">
        <v>39</v>
      </c>
      <c r="E169" s="18" t="s">
        <v>5023</v>
      </c>
      <c r="F169" s="18">
        <v>4.7</v>
      </c>
      <c r="G169" s="18">
        <v>7.9</v>
      </c>
      <c r="H169" s="18">
        <v>6.3</v>
      </c>
      <c r="I169" s="18"/>
      <c r="J169" s="18"/>
      <c r="K169" s="18" t="s">
        <v>5017</v>
      </c>
      <c r="L169" s="41" t="s">
        <v>1789</v>
      </c>
      <c r="M169" s="18" t="s">
        <v>26</v>
      </c>
      <c r="N169" s="18">
        <v>8.1999999999999993</v>
      </c>
    </row>
    <row r="170" spans="1:14">
      <c r="A170" s="19" t="s">
        <v>5355</v>
      </c>
      <c r="B170" s="19" t="s">
        <v>31</v>
      </c>
      <c r="C170" s="19" t="s">
        <v>105</v>
      </c>
      <c r="D170" s="19" t="s">
        <v>24</v>
      </c>
      <c r="E170" s="19" t="s">
        <v>5016</v>
      </c>
      <c r="F170" s="19">
        <v>5.4</v>
      </c>
      <c r="G170" s="19">
        <v>9.3000000000000007</v>
      </c>
      <c r="H170" s="19">
        <v>7.4</v>
      </c>
      <c r="I170" s="19">
        <v>138859</v>
      </c>
      <c r="J170" s="19"/>
      <c r="K170" s="19" t="s">
        <v>5028</v>
      </c>
      <c r="L170" s="40" t="s">
        <v>5127</v>
      </c>
      <c r="M170" s="19" t="s">
        <v>53</v>
      </c>
      <c r="N170" s="19">
        <v>4</v>
      </c>
    </row>
    <row r="171" spans="1:14">
      <c r="A171" s="18" t="s">
        <v>5356</v>
      </c>
      <c r="B171" s="18" t="s">
        <v>5357</v>
      </c>
      <c r="C171" s="18" t="s">
        <v>98</v>
      </c>
      <c r="D171" s="18" t="s">
        <v>51</v>
      </c>
      <c r="E171" s="18" t="s">
        <v>5019</v>
      </c>
      <c r="F171" s="18">
        <v>5.5</v>
      </c>
      <c r="G171" s="18">
        <v>6.8</v>
      </c>
      <c r="H171" s="18">
        <v>6.2</v>
      </c>
      <c r="I171" s="18">
        <v>183772</v>
      </c>
      <c r="J171" s="18"/>
      <c r="K171" s="18" t="s">
        <v>5020</v>
      </c>
      <c r="L171" s="41" t="s">
        <v>1435</v>
      </c>
      <c r="M171" s="18" t="s">
        <v>149</v>
      </c>
      <c r="N171" s="18">
        <v>4.5</v>
      </c>
    </row>
    <row r="172" spans="1:14">
      <c r="A172" s="19" t="s">
        <v>5358</v>
      </c>
      <c r="B172" s="19" t="s">
        <v>1128</v>
      </c>
      <c r="C172" s="19" t="s">
        <v>138</v>
      </c>
      <c r="D172" s="19" t="s">
        <v>24</v>
      </c>
      <c r="E172" s="19" t="s">
        <v>5016</v>
      </c>
      <c r="F172" s="19">
        <v>7.7</v>
      </c>
      <c r="G172" s="19">
        <v>4.9000000000000004</v>
      </c>
      <c r="H172" s="19">
        <v>6.3</v>
      </c>
      <c r="I172" s="19">
        <v>179364</v>
      </c>
      <c r="J172" s="19">
        <v>153566</v>
      </c>
      <c r="K172" s="19" t="s">
        <v>5035</v>
      </c>
      <c r="L172" s="40" t="s">
        <v>1764</v>
      </c>
      <c r="M172" s="19" t="s">
        <v>65</v>
      </c>
      <c r="N172" s="19">
        <v>4</v>
      </c>
    </row>
    <row r="173" spans="1:14">
      <c r="A173" s="18" t="s">
        <v>5359</v>
      </c>
      <c r="B173" s="18" t="s">
        <v>5196</v>
      </c>
      <c r="C173" s="18" t="s">
        <v>153</v>
      </c>
      <c r="D173" s="18" t="s">
        <v>133</v>
      </c>
      <c r="E173" s="18" t="s">
        <v>5051</v>
      </c>
      <c r="F173" s="18">
        <v>5.4</v>
      </c>
      <c r="G173" s="18">
        <v>6.6</v>
      </c>
      <c r="H173" s="18">
        <v>6</v>
      </c>
      <c r="I173" s="18">
        <v>133051</v>
      </c>
      <c r="J173" s="18">
        <v>144178</v>
      </c>
      <c r="K173" s="18" t="s">
        <v>5017</v>
      </c>
      <c r="L173" s="41" t="s">
        <v>5127</v>
      </c>
      <c r="M173" s="18" t="s">
        <v>26</v>
      </c>
      <c r="N173" s="18">
        <v>6.2</v>
      </c>
    </row>
    <row r="174" spans="1:14">
      <c r="A174" s="19" t="s">
        <v>5360</v>
      </c>
      <c r="B174" s="19" t="s">
        <v>5361</v>
      </c>
      <c r="C174" s="19" t="s">
        <v>335</v>
      </c>
      <c r="D174" s="19" t="s">
        <v>39</v>
      </c>
      <c r="E174" s="19" t="s">
        <v>5023</v>
      </c>
      <c r="F174" s="19">
        <v>6.1</v>
      </c>
      <c r="G174" s="19">
        <v>5.2</v>
      </c>
      <c r="H174" s="19">
        <v>5.7</v>
      </c>
      <c r="I174" s="19">
        <v>42371</v>
      </c>
      <c r="J174" s="19">
        <v>36700</v>
      </c>
      <c r="K174" s="19" t="s">
        <v>5017</v>
      </c>
      <c r="L174" s="40" t="s">
        <v>1920</v>
      </c>
      <c r="M174" s="19" t="s">
        <v>214</v>
      </c>
      <c r="N174" s="19">
        <v>14.5</v>
      </c>
    </row>
    <row r="175" spans="1:14">
      <c r="A175" s="18" t="s">
        <v>5362</v>
      </c>
      <c r="B175" s="18" t="s">
        <v>1145</v>
      </c>
      <c r="C175" s="18" t="s">
        <v>225</v>
      </c>
      <c r="D175" s="18" t="s">
        <v>24</v>
      </c>
      <c r="E175" s="18" t="s">
        <v>5031</v>
      </c>
      <c r="F175" s="18">
        <v>4.3</v>
      </c>
      <c r="G175" s="18">
        <v>8.6</v>
      </c>
      <c r="H175" s="18">
        <v>6.4</v>
      </c>
      <c r="I175" s="18">
        <v>54730</v>
      </c>
      <c r="J175" s="18">
        <v>56814</v>
      </c>
      <c r="K175" s="18" t="s">
        <v>5035</v>
      </c>
      <c r="L175" s="41" t="s">
        <v>5363</v>
      </c>
      <c r="M175" s="18" t="s">
        <v>46</v>
      </c>
      <c r="N175" s="18">
        <v>2.8</v>
      </c>
    </row>
    <row r="176" spans="1:14">
      <c r="A176" s="19" t="s">
        <v>5364</v>
      </c>
      <c r="B176" s="19" t="s">
        <v>1125</v>
      </c>
      <c r="C176" s="19" t="s">
        <v>90</v>
      </c>
      <c r="D176" s="19" t="s">
        <v>133</v>
      </c>
      <c r="E176" s="19" t="s">
        <v>5019</v>
      </c>
      <c r="F176" s="19">
        <v>6.4</v>
      </c>
      <c r="G176" s="19">
        <v>8.1</v>
      </c>
      <c r="H176" s="19">
        <v>7.2</v>
      </c>
      <c r="I176" s="19">
        <v>194025</v>
      </c>
      <c r="J176" s="19">
        <v>216621</v>
      </c>
      <c r="K176" s="19" t="s">
        <v>5045</v>
      </c>
      <c r="L176" s="40" t="s">
        <v>869</v>
      </c>
      <c r="M176" s="19" t="s">
        <v>114</v>
      </c>
      <c r="N176" s="19">
        <v>9.1999999999999993</v>
      </c>
    </row>
    <row r="177" spans="1:14">
      <c r="A177" s="18" t="s">
        <v>5365</v>
      </c>
      <c r="B177" s="18" t="s">
        <v>132</v>
      </c>
      <c r="C177" s="18" t="s">
        <v>25</v>
      </c>
      <c r="D177" s="18" t="s">
        <v>176</v>
      </c>
      <c r="E177" s="18" t="s">
        <v>5060</v>
      </c>
      <c r="F177" s="18">
        <v>7.9</v>
      </c>
      <c r="G177" s="18">
        <v>5.7</v>
      </c>
      <c r="H177" s="18">
        <v>6.8</v>
      </c>
      <c r="I177" s="18">
        <v>97376</v>
      </c>
      <c r="J177" s="18">
        <v>91485</v>
      </c>
      <c r="K177" s="18" t="s">
        <v>5035</v>
      </c>
      <c r="L177" s="41" t="s">
        <v>1636</v>
      </c>
      <c r="M177" s="18" t="s">
        <v>172</v>
      </c>
      <c r="N177" s="18">
        <v>6.8</v>
      </c>
    </row>
    <row r="178" spans="1:14">
      <c r="A178" s="19" t="s">
        <v>5366</v>
      </c>
      <c r="B178" s="19" t="s">
        <v>5317</v>
      </c>
      <c r="C178" s="19" t="s">
        <v>335</v>
      </c>
      <c r="D178" s="19" t="s">
        <v>176</v>
      </c>
      <c r="E178" s="19" t="s">
        <v>5051</v>
      </c>
      <c r="F178" s="19">
        <v>6.4</v>
      </c>
      <c r="G178" s="19">
        <v>7.2</v>
      </c>
      <c r="H178" s="19">
        <v>6.8</v>
      </c>
      <c r="I178" s="19">
        <v>28026</v>
      </c>
      <c r="J178" s="19">
        <v>26088</v>
      </c>
      <c r="K178" s="19" t="s">
        <v>5017</v>
      </c>
      <c r="L178" s="40" t="s">
        <v>5367</v>
      </c>
      <c r="M178" s="19" t="s">
        <v>149</v>
      </c>
      <c r="N178" s="19">
        <v>14.9</v>
      </c>
    </row>
    <row r="179" spans="1:14">
      <c r="A179" s="18" t="s">
        <v>5368</v>
      </c>
      <c r="B179" s="18" t="s">
        <v>5369</v>
      </c>
      <c r="C179" s="18" t="s">
        <v>5040</v>
      </c>
      <c r="D179" s="18" t="s">
        <v>118</v>
      </c>
      <c r="E179" s="18" t="s">
        <v>5016</v>
      </c>
      <c r="F179" s="18">
        <v>4.7</v>
      </c>
      <c r="G179" s="18">
        <v>4.7</v>
      </c>
      <c r="H179" s="18">
        <v>4.7</v>
      </c>
      <c r="I179" s="18"/>
      <c r="J179" s="18"/>
      <c r="K179" s="18" t="s">
        <v>5045</v>
      </c>
      <c r="L179" s="41" t="s">
        <v>5370</v>
      </c>
      <c r="M179" s="18" t="s">
        <v>53</v>
      </c>
      <c r="N179" s="18">
        <v>11</v>
      </c>
    </row>
    <row r="180" spans="1:14">
      <c r="A180" s="19" t="s">
        <v>5371</v>
      </c>
      <c r="B180" s="19" t="s">
        <v>1153</v>
      </c>
      <c r="C180" s="19" t="s">
        <v>335</v>
      </c>
      <c r="D180" s="19" t="s">
        <v>24</v>
      </c>
      <c r="E180" s="19" t="s">
        <v>5016</v>
      </c>
      <c r="F180" s="19">
        <v>4.0999999999999996</v>
      </c>
      <c r="G180" s="19"/>
      <c r="H180" s="19">
        <v>4.0999999999999996</v>
      </c>
      <c r="I180" s="19">
        <v>56805</v>
      </c>
      <c r="J180" s="19">
        <v>48886</v>
      </c>
      <c r="K180" s="19" t="s">
        <v>5020</v>
      </c>
      <c r="L180" s="40" t="s">
        <v>1922</v>
      </c>
      <c r="M180" s="19" t="s">
        <v>46</v>
      </c>
      <c r="N180" s="19">
        <v>9.3000000000000007</v>
      </c>
    </row>
    <row r="181" spans="1:14">
      <c r="A181" s="18" t="s">
        <v>5372</v>
      </c>
      <c r="B181" s="18" t="s">
        <v>5373</v>
      </c>
      <c r="C181" s="18" t="s">
        <v>79</v>
      </c>
      <c r="D181" s="18" t="s">
        <v>133</v>
      </c>
      <c r="E181" s="18" t="s">
        <v>5060</v>
      </c>
      <c r="F181" s="18">
        <v>5.5</v>
      </c>
      <c r="G181" s="18">
        <v>5.5</v>
      </c>
      <c r="H181" s="18">
        <v>5.5</v>
      </c>
      <c r="I181" s="18">
        <v>28878</v>
      </c>
      <c r="J181" s="18"/>
      <c r="K181" s="18" t="s">
        <v>5028</v>
      </c>
      <c r="L181" s="41" t="s">
        <v>5374</v>
      </c>
      <c r="M181" s="18" t="s">
        <v>46</v>
      </c>
      <c r="N181" s="18">
        <v>14</v>
      </c>
    </row>
    <row r="182" spans="1:14">
      <c r="A182" s="19" t="s">
        <v>5375</v>
      </c>
      <c r="B182" s="19" t="s">
        <v>650</v>
      </c>
      <c r="C182" s="19" t="s">
        <v>90</v>
      </c>
      <c r="D182" s="19" t="s">
        <v>63</v>
      </c>
      <c r="E182" s="19" t="s">
        <v>5077</v>
      </c>
      <c r="F182" s="19">
        <v>5.9</v>
      </c>
      <c r="G182" s="19">
        <v>4.5999999999999996</v>
      </c>
      <c r="H182" s="19">
        <v>5.2</v>
      </c>
      <c r="I182" s="19"/>
      <c r="J182" s="19">
        <v>92756</v>
      </c>
      <c r="K182" s="19" t="s">
        <v>5017</v>
      </c>
      <c r="L182" s="40" t="s">
        <v>5333</v>
      </c>
      <c r="M182" s="19" t="s">
        <v>46</v>
      </c>
      <c r="N182" s="19">
        <v>1.8</v>
      </c>
    </row>
    <row r="183" spans="1:14">
      <c r="A183" s="18" t="s">
        <v>5376</v>
      </c>
      <c r="B183" s="18" t="s">
        <v>1308</v>
      </c>
      <c r="C183" s="18" t="s">
        <v>153</v>
      </c>
      <c r="D183" s="18" t="s">
        <v>51</v>
      </c>
      <c r="E183" s="18" t="s">
        <v>5016</v>
      </c>
      <c r="F183" s="18">
        <v>4.4000000000000004</v>
      </c>
      <c r="G183" s="18">
        <v>7.1</v>
      </c>
      <c r="H183" s="18">
        <v>5.8</v>
      </c>
      <c r="I183" s="18">
        <v>66558</v>
      </c>
      <c r="J183" s="18">
        <v>67079</v>
      </c>
      <c r="K183" s="18" t="s">
        <v>5017</v>
      </c>
      <c r="L183" s="41" t="s">
        <v>2088</v>
      </c>
      <c r="M183" s="18" t="s">
        <v>75</v>
      </c>
      <c r="N183" s="18">
        <v>2.5</v>
      </c>
    </row>
    <row r="184" spans="1:14">
      <c r="A184" s="19" t="s">
        <v>5377</v>
      </c>
      <c r="B184" s="19" t="s">
        <v>5314</v>
      </c>
      <c r="C184" s="19" t="s">
        <v>90</v>
      </c>
      <c r="D184" s="19" t="s">
        <v>84</v>
      </c>
      <c r="E184" s="19" t="s">
        <v>5060</v>
      </c>
      <c r="F184" s="19">
        <v>9.5</v>
      </c>
      <c r="G184" s="19"/>
      <c r="H184" s="19">
        <v>9.5</v>
      </c>
      <c r="I184" s="19">
        <v>159697</v>
      </c>
      <c r="J184" s="19">
        <v>183242</v>
      </c>
      <c r="K184" s="19" t="s">
        <v>5045</v>
      </c>
      <c r="L184" s="40" t="s">
        <v>5378</v>
      </c>
      <c r="M184" s="19" t="s">
        <v>18</v>
      </c>
      <c r="N184" s="19">
        <v>3.7</v>
      </c>
    </row>
    <row r="185" spans="1:14">
      <c r="A185" s="18" t="s">
        <v>5379</v>
      </c>
      <c r="B185" s="18" t="s">
        <v>1460</v>
      </c>
      <c r="C185" s="18" t="s">
        <v>335</v>
      </c>
      <c r="D185" s="18" t="s">
        <v>63</v>
      </c>
      <c r="E185" s="18" t="s">
        <v>5051</v>
      </c>
      <c r="F185" s="18">
        <v>3.2</v>
      </c>
      <c r="G185" s="18">
        <v>8.3000000000000007</v>
      </c>
      <c r="H185" s="18">
        <v>5.8</v>
      </c>
      <c r="I185" s="18">
        <v>186358</v>
      </c>
      <c r="J185" s="18"/>
      <c r="K185" s="18" t="s">
        <v>5035</v>
      </c>
      <c r="L185" s="41" t="s">
        <v>1874</v>
      </c>
      <c r="M185" s="18" t="s">
        <v>172</v>
      </c>
      <c r="N185" s="18">
        <v>12.2</v>
      </c>
    </row>
    <row r="186" spans="1:14">
      <c r="A186" s="19" t="s">
        <v>5380</v>
      </c>
      <c r="B186" s="19" t="s">
        <v>5179</v>
      </c>
      <c r="C186" s="19" t="s">
        <v>25</v>
      </c>
      <c r="D186" s="19" t="s">
        <v>51</v>
      </c>
      <c r="E186" s="19" t="s">
        <v>5077</v>
      </c>
      <c r="F186" s="19">
        <v>7.1</v>
      </c>
      <c r="G186" s="19">
        <v>6.3</v>
      </c>
      <c r="H186" s="19">
        <v>6.7</v>
      </c>
      <c r="I186" s="19">
        <v>105022</v>
      </c>
      <c r="J186" s="19"/>
      <c r="K186" s="19" t="s">
        <v>5020</v>
      </c>
      <c r="L186" s="40" t="s">
        <v>773</v>
      </c>
      <c r="M186" s="19" t="s">
        <v>46</v>
      </c>
      <c r="N186" s="19">
        <v>7.8</v>
      </c>
    </row>
    <row r="187" spans="1:14">
      <c r="A187" s="18" t="s">
        <v>5381</v>
      </c>
      <c r="B187" s="18" t="s">
        <v>5382</v>
      </c>
      <c r="C187" s="18" t="s">
        <v>98</v>
      </c>
      <c r="D187" s="18" t="s">
        <v>16</v>
      </c>
      <c r="E187" s="18" t="s">
        <v>5060</v>
      </c>
      <c r="F187" s="18">
        <v>9.3000000000000007</v>
      </c>
      <c r="G187" s="18">
        <v>3.5</v>
      </c>
      <c r="H187" s="18">
        <v>6.4</v>
      </c>
      <c r="I187" s="18">
        <v>147764</v>
      </c>
      <c r="J187" s="18"/>
      <c r="K187" s="18" t="s">
        <v>5017</v>
      </c>
      <c r="L187" s="41" t="s">
        <v>889</v>
      </c>
      <c r="M187" s="18" t="s">
        <v>114</v>
      </c>
      <c r="N187" s="18">
        <v>11</v>
      </c>
    </row>
    <row r="188" spans="1:14">
      <c r="A188" s="19" t="s">
        <v>5383</v>
      </c>
      <c r="B188" s="19" t="s">
        <v>187</v>
      </c>
      <c r="C188" s="19" t="s">
        <v>335</v>
      </c>
      <c r="D188" s="19" t="s">
        <v>51</v>
      </c>
      <c r="E188" s="19" t="s">
        <v>5060</v>
      </c>
      <c r="F188" s="19">
        <v>3.5</v>
      </c>
      <c r="G188" s="19">
        <v>9.8000000000000007</v>
      </c>
      <c r="H188" s="19">
        <v>6.7</v>
      </c>
      <c r="I188" s="19">
        <v>156702</v>
      </c>
      <c r="J188" s="19">
        <v>156877</v>
      </c>
      <c r="K188" s="19" t="s">
        <v>5028</v>
      </c>
      <c r="L188" s="40" t="s">
        <v>1937</v>
      </c>
      <c r="M188" s="19" t="s">
        <v>32</v>
      </c>
      <c r="N188" s="19">
        <v>1.6</v>
      </c>
    </row>
    <row r="189" spans="1:14">
      <c r="A189" s="18" t="s">
        <v>5384</v>
      </c>
      <c r="B189" s="18" t="s">
        <v>1351</v>
      </c>
      <c r="C189" s="18" t="s">
        <v>5040</v>
      </c>
      <c r="D189" s="18" t="s">
        <v>16</v>
      </c>
      <c r="E189" s="18" t="s">
        <v>5060</v>
      </c>
      <c r="F189" s="18">
        <v>5.2</v>
      </c>
      <c r="G189" s="18">
        <v>7.5</v>
      </c>
      <c r="H189" s="18">
        <v>6.3</v>
      </c>
      <c r="I189" s="18">
        <v>162104</v>
      </c>
      <c r="J189" s="18"/>
      <c r="K189" s="18" t="s">
        <v>5045</v>
      </c>
      <c r="L189" s="41" t="s">
        <v>709</v>
      </c>
      <c r="M189" s="18" t="s">
        <v>149</v>
      </c>
      <c r="N189" s="18">
        <v>3.3</v>
      </c>
    </row>
    <row r="190" spans="1:14">
      <c r="A190" s="19" t="s">
        <v>5385</v>
      </c>
      <c r="B190" s="19" t="s">
        <v>996</v>
      </c>
      <c r="C190" s="19" t="s">
        <v>98</v>
      </c>
      <c r="D190" s="19" t="s">
        <v>39</v>
      </c>
      <c r="E190" s="19" t="s">
        <v>5025</v>
      </c>
      <c r="F190" s="19">
        <v>6.6</v>
      </c>
      <c r="G190" s="19">
        <v>8.9</v>
      </c>
      <c r="H190" s="19">
        <v>7.8</v>
      </c>
      <c r="I190" s="19">
        <v>183875</v>
      </c>
      <c r="J190" s="19">
        <v>197635</v>
      </c>
      <c r="K190" s="19" t="s">
        <v>5045</v>
      </c>
      <c r="L190" s="40" t="s">
        <v>1891</v>
      </c>
      <c r="M190" s="19" t="s">
        <v>75</v>
      </c>
      <c r="N190" s="19">
        <v>9.4</v>
      </c>
    </row>
    <row r="191" spans="1:14">
      <c r="A191" s="18" t="s">
        <v>5386</v>
      </c>
      <c r="B191" s="18" t="s">
        <v>1386</v>
      </c>
      <c r="C191" s="18" t="s">
        <v>225</v>
      </c>
      <c r="D191" s="18" t="s">
        <v>63</v>
      </c>
      <c r="E191" s="18" t="s">
        <v>5023</v>
      </c>
      <c r="F191" s="18">
        <v>8.6</v>
      </c>
      <c r="G191" s="18">
        <v>4.8</v>
      </c>
      <c r="H191" s="18">
        <v>6.7</v>
      </c>
      <c r="I191" s="18">
        <v>66349</v>
      </c>
      <c r="J191" s="18">
        <v>63129</v>
      </c>
      <c r="K191" s="18" t="s">
        <v>5020</v>
      </c>
      <c r="L191" s="41" t="s">
        <v>5387</v>
      </c>
      <c r="M191" s="18" t="s">
        <v>172</v>
      </c>
      <c r="N191" s="18">
        <v>1.7</v>
      </c>
    </row>
    <row r="192" spans="1:14">
      <c r="A192" s="19" t="s">
        <v>5388</v>
      </c>
      <c r="B192" s="19" t="s">
        <v>122</v>
      </c>
      <c r="C192" s="19" t="s">
        <v>153</v>
      </c>
      <c r="D192" s="19" t="s">
        <v>16</v>
      </c>
      <c r="E192" s="19" t="s">
        <v>5051</v>
      </c>
      <c r="F192" s="19">
        <v>7.4</v>
      </c>
      <c r="G192" s="19">
        <v>9.1999999999999993</v>
      </c>
      <c r="H192" s="19">
        <v>8.3000000000000007</v>
      </c>
      <c r="I192" s="19">
        <v>125280</v>
      </c>
      <c r="J192" s="19">
        <v>126503</v>
      </c>
      <c r="K192" s="19" t="s">
        <v>5035</v>
      </c>
      <c r="L192" s="40" t="s">
        <v>1636</v>
      </c>
      <c r="M192" s="19" t="s">
        <v>18</v>
      </c>
      <c r="N192" s="19">
        <v>12.1</v>
      </c>
    </row>
    <row r="193" spans="1:14">
      <c r="A193" s="18" t="s">
        <v>5389</v>
      </c>
      <c r="B193" s="18" t="s">
        <v>662</v>
      </c>
      <c r="C193" s="18" t="s">
        <v>25</v>
      </c>
      <c r="D193" s="18" t="s">
        <v>39</v>
      </c>
      <c r="E193" s="18" t="s">
        <v>5077</v>
      </c>
      <c r="F193" s="18">
        <v>4.7</v>
      </c>
      <c r="G193" s="18">
        <v>3.5</v>
      </c>
      <c r="H193" s="18">
        <v>4.0999999999999996</v>
      </c>
      <c r="I193" s="18">
        <v>138187</v>
      </c>
      <c r="J193" s="18">
        <v>124301</v>
      </c>
      <c r="K193" s="18" t="s">
        <v>5017</v>
      </c>
      <c r="L193" s="41" t="s">
        <v>1197</v>
      </c>
      <c r="M193" s="18" t="s">
        <v>65</v>
      </c>
      <c r="N193" s="18">
        <v>10.4</v>
      </c>
    </row>
    <row r="194" spans="1:14">
      <c r="A194" s="19" t="s">
        <v>5390</v>
      </c>
      <c r="B194" s="19" t="s">
        <v>1347</v>
      </c>
      <c r="C194" s="19" t="s">
        <v>335</v>
      </c>
      <c r="D194" s="19" t="s">
        <v>133</v>
      </c>
      <c r="E194" s="19" t="s">
        <v>5060</v>
      </c>
      <c r="F194" s="19">
        <v>7.6</v>
      </c>
      <c r="G194" s="19">
        <v>8.8000000000000007</v>
      </c>
      <c r="H194" s="19">
        <v>8.1999999999999993</v>
      </c>
      <c r="I194" s="19">
        <v>35593</v>
      </c>
      <c r="J194" s="19">
        <v>32545</v>
      </c>
      <c r="K194" s="19" t="s">
        <v>5035</v>
      </c>
      <c r="L194" s="40" t="s">
        <v>5391</v>
      </c>
      <c r="M194" s="19" t="s">
        <v>214</v>
      </c>
      <c r="N194" s="19">
        <v>1.3</v>
      </c>
    </row>
    <row r="195" spans="1:14">
      <c r="A195" s="18" t="s">
        <v>5392</v>
      </c>
      <c r="B195" s="18" t="s">
        <v>5393</v>
      </c>
      <c r="C195" s="18" t="s">
        <v>90</v>
      </c>
      <c r="D195" s="18" t="s">
        <v>63</v>
      </c>
      <c r="E195" s="18" t="s">
        <v>5051</v>
      </c>
      <c r="F195" s="18">
        <v>9.6</v>
      </c>
      <c r="G195" s="18">
        <v>6.1</v>
      </c>
      <c r="H195" s="18">
        <v>7.8</v>
      </c>
      <c r="I195" s="18">
        <v>69626</v>
      </c>
      <c r="J195" s="18">
        <v>64903</v>
      </c>
      <c r="K195" s="18" t="s">
        <v>5017</v>
      </c>
      <c r="L195" s="41" t="s">
        <v>5352</v>
      </c>
      <c r="M195" s="18" t="s">
        <v>172</v>
      </c>
      <c r="N195" s="18">
        <v>15</v>
      </c>
    </row>
    <row r="196" spans="1:14">
      <c r="A196" s="19" t="s">
        <v>5394</v>
      </c>
      <c r="B196" s="19" t="s">
        <v>5395</v>
      </c>
      <c r="C196" s="19" t="s">
        <v>79</v>
      </c>
      <c r="D196" s="19" t="s">
        <v>133</v>
      </c>
      <c r="E196" s="19" t="s">
        <v>5023</v>
      </c>
      <c r="F196" s="19">
        <v>9.9</v>
      </c>
      <c r="G196" s="19">
        <v>6.2</v>
      </c>
      <c r="H196" s="19">
        <v>8.1</v>
      </c>
      <c r="I196" s="19">
        <v>86397</v>
      </c>
      <c r="J196" s="19">
        <v>98279</v>
      </c>
      <c r="K196" s="19" t="s">
        <v>5017</v>
      </c>
      <c r="L196" s="40" t="s">
        <v>5396</v>
      </c>
      <c r="M196" s="19" t="s">
        <v>172</v>
      </c>
      <c r="N196" s="19">
        <v>6.6</v>
      </c>
    </row>
    <row r="197" spans="1:14">
      <c r="A197" s="18" t="s">
        <v>5397</v>
      </c>
      <c r="B197" s="18" t="s">
        <v>5398</v>
      </c>
      <c r="C197" s="18" t="s">
        <v>138</v>
      </c>
      <c r="D197" s="18" t="s">
        <v>133</v>
      </c>
      <c r="E197" s="18" t="s">
        <v>5060</v>
      </c>
      <c r="F197" s="18">
        <v>6.9</v>
      </c>
      <c r="G197" s="18">
        <v>3.5</v>
      </c>
      <c r="H197" s="18">
        <v>5.2</v>
      </c>
      <c r="I197" s="18">
        <v>59002</v>
      </c>
      <c r="J197" s="18"/>
      <c r="K197" s="18" t="s">
        <v>5020</v>
      </c>
      <c r="L197" s="41" t="s">
        <v>5399</v>
      </c>
      <c r="M197" s="18" t="s">
        <v>172</v>
      </c>
      <c r="N197" s="18">
        <v>4.9000000000000004</v>
      </c>
    </row>
    <row r="198" spans="1:14">
      <c r="A198" s="19" t="s">
        <v>5400</v>
      </c>
      <c r="B198" s="19" t="s">
        <v>5401</v>
      </c>
      <c r="C198" s="19" t="s">
        <v>153</v>
      </c>
      <c r="D198" s="19" t="s">
        <v>16</v>
      </c>
      <c r="E198" s="19" t="s">
        <v>5016</v>
      </c>
      <c r="F198" s="19">
        <v>9.6</v>
      </c>
      <c r="G198" s="19">
        <v>7.9</v>
      </c>
      <c r="H198" s="19">
        <v>8.8000000000000007</v>
      </c>
      <c r="I198" s="19">
        <v>77128</v>
      </c>
      <c r="J198" s="19">
        <v>83897</v>
      </c>
      <c r="K198" s="19" t="s">
        <v>5020</v>
      </c>
      <c r="L198" s="40" t="s">
        <v>5402</v>
      </c>
      <c r="M198" s="19" t="s">
        <v>32</v>
      </c>
      <c r="N198" s="19">
        <v>0.7</v>
      </c>
    </row>
    <row r="199" spans="1:14">
      <c r="A199" s="18" t="s">
        <v>5403</v>
      </c>
      <c r="B199" s="18" t="s">
        <v>5404</v>
      </c>
      <c r="C199" s="18" t="s">
        <v>79</v>
      </c>
      <c r="D199" s="18" t="s">
        <v>176</v>
      </c>
      <c r="E199" s="18" t="s">
        <v>5031</v>
      </c>
      <c r="F199" s="18">
        <v>6.6</v>
      </c>
      <c r="G199" s="18">
        <v>3.1</v>
      </c>
      <c r="H199" s="18">
        <v>4.8</v>
      </c>
      <c r="I199" s="18">
        <v>139359</v>
      </c>
      <c r="J199" s="18"/>
      <c r="K199" s="18" t="s">
        <v>5035</v>
      </c>
      <c r="L199" s="41" t="s">
        <v>5405</v>
      </c>
      <c r="M199" s="18" t="s">
        <v>214</v>
      </c>
      <c r="N199" s="18">
        <v>11.5</v>
      </c>
    </row>
    <row r="200" spans="1:14">
      <c r="A200" s="19" t="s">
        <v>5406</v>
      </c>
      <c r="B200" s="19" t="s">
        <v>5299</v>
      </c>
      <c r="C200" s="19" t="s">
        <v>105</v>
      </c>
      <c r="D200" s="19" t="s">
        <v>39</v>
      </c>
      <c r="E200" s="19" t="s">
        <v>5060</v>
      </c>
      <c r="F200" s="19">
        <v>8.6</v>
      </c>
      <c r="G200" s="19">
        <v>8.1999999999999993</v>
      </c>
      <c r="H200" s="19">
        <v>8.4</v>
      </c>
      <c r="I200" s="19">
        <v>145177</v>
      </c>
      <c r="J200" s="19"/>
      <c r="K200" s="19" t="s">
        <v>5020</v>
      </c>
      <c r="L200" s="40" t="s">
        <v>1660</v>
      </c>
      <c r="M200" s="19" t="s">
        <v>214</v>
      </c>
      <c r="N200" s="19">
        <v>0.8</v>
      </c>
    </row>
    <row r="201" spans="1:14">
      <c r="A201" s="18" t="s">
        <v>5407</v>
      </c>
      <c r="B201" s="18" t="s">
        <v>996</v>
      </c>
      <c r="C201" s="18" t="s">
        <v>98</v>
      </c>
      <c r="D201" s="18" t="s">
        <v>176</v>
      </c>
      <c r="E201" s="18" t="s">
        <v>5051</v>
      </c>
      <c r="F201" s="18">
        <v>9.4</v>
      </c>
      <c r="G201" s="18">
        <v>9.5</v>
      </c>
      <c r="H201" s="18">
        <v>9.4</v>
      </c>
      <c r="I201" s="18">
        <v>41670</v>
      </c>
      <c r="J201" s="18">
        <v>36261</v>
      </c>
      <c r="K201" s="18" t="s">
        <v>5017</v>
      </c>
      <c r="L201" s="41" t="s">
        <v>1995</v>
      </c>
      <c r="M201" s="18" t="s">
        <v>214</v>
      </c>
      <c r="N201" s="18">
        <v>1.2</v>
      </c>
    </row>
    <row r="202" spans="1:14">
      <c r="A202" s="19" t="s">
        <v>5408</v>
      </c>
      <c r="B202" s="19" t="s">
        <v>1396</v>
      </c>
      <c r="C202" s="19" t="s">
        <v>25</v>
      </c>
      <c r="D202" s="19" t="s">
        <v>84</v>
      </c>
      <c r="E202" s="19" t="s">
        <v>5031</v>
      </c>
      <c r="F202" s="19">
        <v>6</v>
      </c>
      <c r="G202" s="19">
        <v>4.4000000000000004</v>
      </c>
      <c r="H202" s="19">
        <v>5.2</v>
      </c>
      <c r="I202" s="19">
        <v>120201</v>
      </c>
      <c r="J202" s="19">
        <v>115429</v>
      </c>
      <c r="K202" s="19" t="s">
        <v>5028</v>
      </c>
      <c r="L202" s="40" t="s">
        <v>1805</v>
      </c>
      <c r="M202" s="19" t="s">
        <v>214</v>
      </c>
      <c r="N202" s="19">
        <v>9.4</v>
      </c>
    </row>
    <row r="203" spans="1:14">
      <c r="A203" s="18" t="s">
        <v>5409</v>
      </c>
      <c r="B203" s="18" t="s">
        <v>865</v>
      </c>
      <c r="C203" s="18" t="s">
        <v>225</v>
      </c>
      <c r="D203" s="18" t="s">
        <v>133</v>
      </c>
      <c r="E203" s="18" t="s">
        <v>5031</v>
      </c>
      <c r="F203" s="18">
        <v>5.8</v>
      </c>
      <c r="G203" s="18">
        <v>6.9</v>
      </c>
      <c r="H203" s="18">
        <v>6.3</v>
      </c>
      <c r="I203" s="18">
        <v>36100</v>
      </c>
      <c r="J203" s="18">
        <v>37627</v>
      </c>
      <c r="K203" s="18" t="s">
        <v>5020</v>
      </c>
      <c r="L203" s="41" t="s">
        <v>5410</v>
      </c>
      <c r="M203" s="18" t="s">
        <v>32</v>
      </c>
      <c r="N203" s="18">
        <v>11.9</v>
      </c>
    </row>
    <row r="204" spans="1:14">
      <c r="A204" s="19" t="s">
        <v>5411</v>
      </c>
      <c r="B204" s="19" t="s">
        <v>702</v>
      </c>
      <c r="C204" s="19" t="s">
        <v>98</v>
      </c>
      <c r="D204" s="19" t="s">
        <v>89</v>
      </c>
      <c r="E204" s="19" t="s">
        <v>5016</v>
      </c>
      <c r="F204" s="19">
        <v>3.4</v>
      </c>
      <c r="G204" s="19">
        <v>3.8</v>
      </c>
      <c r="H204" s="19">
        <v>3.6</v>
      </c>
      <c r="I204" s="19">
        <v>65429</v>
      </c>
      <c r="J204" s="19">
        <v>72581</v>
      </c>
      <c r="K204" s="19" t="s">
        <v>5045</v>
      </c>
      <c r="L204" s="40" t="s">
        <v>1217</v>
      </c>
      <c r="M204" s="19" t="s">
        <v>214</v>
      </c>
      <c r="N204" s="19">
        <v>10.1</v>
      </c>
    </row>
    <row r="205" spans="1:14">
      <c r="A205" s="18" t="s">
        <v>5412</v>
      </c>
      <c r="B205" s="18" t="s">
        <v>5413</v>
      </c>
      <c r="C205" s="18" t="s">
        <v>138</v>
      </c>
      <c r="D205" s="18" t="s">
        <v>63</v>
      </c>
      <c r="E205" s="18" t="s">
        <v>5019</v>
      </c>
      <c r="F205" s="18">
        <v>3.7</v>
      </c>
      <c r="G205" s="18">
        <v>4.4000000000000004</v>
      </c>
      <c r="H205" s="18">
        <v>4.0999999999999996</v>
      </c>
      <c r="I205" s="18">
        <v>151768</v>
      </c>
      <c r="J205" s="18">
        <v>160253</v>
      </c>
      <c r="K205" s="18" t="s">
        <v>5028</v>
      </c>
      <c r="L205" s="41" t="s">
        <v>48</v>
      </c>
      <c r="M205" s="18" t="s">
        <v>65</v>
      </c>
      <c r="N205" s="18">
        <v>10</v>
      </c>
    </row>
    <row r="206" spans="1:14">
      <c r="A206" s="19" t="s">
        <v>5414</v>
      </c>
      <c r="B206" s="19" t="s">
        <v>1086</v>
      </c>
      <c r="C206" s="19" t="s">
        <v>138</v>
      </c>
      <c r="D206" s="19" t="s">
        <v>84</v>
      </c>
      <c r="E206" s="19" t="s">
        <v>5051</v>
      </c>
      <c r="F206" s="19">
        <v>8.6999999999999993</v>
      </c>
      <c r="G206" s="19">
        <v>7.3</v>
      </c>
      <c r="H206" s="19">
        <v>8</v>
      </c>
      <c r="I206" s="19">
        <v>83576</v>
      </c>
      <c r="J206" s="19"/>
      <c r="K206" s="19" t="s">
        <v>5020</v>
      </c>
      <c r="L206" s="40" t="s">
        <v>5324</v>
      </c>
      <c r="M206" s="19" t="s">
        <v>114</v>
      </c>
      <c r="N206" s="19">
        <v>14.7</v>
      </c>
    </row>
    <row r="207" spans="1:14">
      <c r="A207" s="18" t="s">
        <v>5415</v>
      </c>
      <c r="B207" s="18" t="s">
        <v>1267</v>
      </c>
      <c r="C207" s="18" t="s">
        <v>153</v>
      </c>
      <c r="D207" s="18" t="s">
        <v>63</v>
      </c>
      <c r="E207" s="18" t="s">
        <v>5019</v>
      </c>
      <c r="F207" s="18">
        <v>6.6</v>
      </c>
      <c r="G207" s="18">
        <v>9.5</v>
      </c>
      <c r="H207" s="18">
        <v>8.1</v>
      </c>
      <c r="I207" s="18">
        <v>130549</v>
      </c>
      <c r="J207" s="18">
        <v>112699</v>
      </c>
      <c r="K207" s="18" t="s">
        <v>5028</v>
      </c>
      <c r="L207" s="41" t="s">
        <v>5416</v>
      </c>
      <c r="M207" s="18" t="s">
        <v>75</v>
      </c>
      <c r="N207" s="18">
        <v>11.1</v>
      </c>
    </row>
    <row r="208" spans="1:14">
      <c r="A208" s="19" t="s">
        <v>5417</v>
      </c>
      <c r="B208" s="19" t="s">
        <v>5418</v>
      </c>
      <c r="C208" s="19" t="s">
        <v>225</v>
      </c>
      <c r="D208" s="19" t="s">
        <v>39</v>
      </c>
      <c r="E208" s="19" t="s">
        <v>5023</v>
      </c>
      <c r="F208" s="19">
        <v>9.1</v>
      </c>
      <c r="G208" s="19">
        <v>6</v>
      </c>
      <c r="H208" s="19">
        <v>7.5</v>
      </c>
      <c r="I208" s="19">
        <v>182779</v>
      </c>
      <c r="J208" s="19">
        <v>163621</v>
      </c>
      <c r="K208" s="19" t="s">
        <v>5028</v>
      </c>
      <c r="L208" s="40" t="s">
        <v>1938</v>
      </c>
      <c r="M208" s="19" t="s">
        <v>53</v>
      </c>
      <c r="N208" s="19">
        <v>3.4</v>
      </c>
    </row>
    <row r="209" spans="1:14">
      <c r="A209" s="18" t="s">
        <v>5419</v>
      </c>
      <c r="B209" s="18" t="s">
        <v>862</v>
      </c>
      <c r="C209" s="18" t="s">
        <v>105</v>
      </c>
      <c r="D209" s="18" t="s">
        <v>176</v>
      </c>
      <c r="E209" s="18" t="s">
        <v>5031</v>
      </c>
      <c r="F209" s="18">
        <v>8</v>
      </c>
      <c r="G209" s="18">
        <v>8.6</v>
      </c>
      <c r="H209" s="18">
        <v>8.3000000000000007</v>
      </c>
      <c r="I209" s="18">
        <v>163521</v>
      </c>
      <c r="J209" s="18"/>
      <c r="K209" s="18" t="s">
        <v>5045</v>
      </c>
      <c r="L209" s="41" t="s">
        <v>5420</v>
      </c>
      <c r="M209" s="18" t="s">
        <v>53</v>
      </c>
      <c r="N209" s="18">
        <v>14.6</v>
      </c>
    </row>
    <row r="210" spans="1:14">
      <c r="A210" s="19" t="s">
        <v>5421</v>
      </c>
      <c r="B210" s="19" t="s">
        <v>5422</v>
      </c>
      <c r="C210" s="19" t="s">
        <v>138</v>
      </c>
      <c r="D210" s="19" t="s">
        <v>118</v>
      </c>
      <c r="E210" s="19" t="s">
        <v>5060</v>
      </c>
      <c r="F210" s="19">
        <v>3.1</v>
      </c>
      <c r="G210" s="19">
        <v>7.7</v>
      </c>
      <c r="H210" s="19">
        <v>5.4</v>
      </c>
      <c r="I210" s="19"/>
      <c r="J210" s="19"/>
      <c r="K210" s="19" t="s">
        <v>5020</v>
      </c>
      <c r="L210" s="40" t="s">
        <v>5423</v>
      </c>
      <c r="M210" s="19" t="s">
        <v>46</v>
      </c>
      <c r="N210" s="19">
        <v>8</v>
      </c>
    </row>
    <row r="211" spans="1:14">
      <c r="A211" s="18" t="s">
        <v>5424</v>
      </c>
      <c r="B211" s="18" t="s">
        <v>845</v>
      </c>
      <c r="C211" s="18" t="s">
        <v>153</v>
      </c>
      <c r="D211" s="18" t="s">
        <v>118</v>
      </c>
      <c r="E211" s="18" t="s">
        <v>5016</v>
      </c>
      <c r="F211" s="18">
        <v>9</v>
      </c>
      <c r="G211" s="18">
        <v>3.4</v>
      </c>
      <c r="H211" s="18">
        <v>6.2</v>
      </c>
      <c r="I211" s="18">
        <v>189767</v>
      </c>
      <c r="J211" s="18">
        <v>189090</v>
      </c>
      <c r="K211" s="18" t="s">
        <v>5028</v>
      </c>
      <c r="L211" s="41" t="s">
        <v>5145</v>
      </c>
      <c r="M211" s="18" t="s">
        <v>70</v>
      </c>
      <c r="N211" s="18">
        <v>7</v>
      </c>
    </row>
    <row r="212" spans="1:14">
      <c r="A212" s="19" t="s">
        <v>5425</v>
      </c>
      <c r="B212" s="19" t="s">
        <v>5426</v>
      </c>
      <c r="C212" s="19" t="s">
        <v>90</v>
      </c>
      <c r="D212" s="19" t="s">
        <v>51</v>
      </c>
      <c r="E212" s="19" t="s">
        <v>5025</v>
      </c>
      <c r="F212" s="19">
        <v>7.3</v>
      </c>
      <c r="G212" s="19">
        <v>3.2</v>
      </c>
      <c r="H212" s="19">
        <v>5.2</v>
      </c>
      <c r="I212" s="19">
        <v>68492</v>
      </c>
      <c r="J212" s="19">
        <v>61221</v>
      </c>
      <c r="K212" s="19" t="s">
        <v>5035</v>
      </c>
      <c r="L212" s="40" t="s">
        <v>5427</v>
      </c>
      <c r="M212" s="19" t="s">
        <v>46</v>
      </c>
      <c r="N212" s="19">
        <v>8.1999999999999993</v>
      </c>
    </row>
    <row r="213" spans="1:14">
      <c r="A213" s="18" t="s">
        <v>5428</v>
      </c>
      <c r="B213" s="18" t="s">
        <v>5429</v>
      </c>
      <c r="C213" s="18" t="s">
        <v>335</v>
      </c>
      <c r="D213" s="18" t="s">
        <v>118</v>
      </c>
      <c r="E213" s="18" t="s">
        <v>5060</v>
      </c>
      <c r="F213" s="18">
        <v>9.1</v>
      </c>
      <c r="G213" s="18">
        <v>8.4</v>
      </c>
      <c r="H213" s="18">
        <v>8.8000000000000007</v>
      </c>
      <c r="I213" s="18">
        <v>189452</v>
      </c>
      <c r="J213" s="18">
        <v>163252</v>
      </c>
      <c r="K213" s="18" t="s">
        <v>5020</v>
      </c>
      <c r="L213" s="41" t="s">
        <v>5430</v>
      </c>
      <c r="M213" s="18" t="s">
        <v>32</v>
      </c>
      <c r="N213" s="18">
        <v>2.9</v>
      </c>
    </row>
    <row r="214" spans="1:14">
      <c r="A214" s="19" t="s">
        <v>5431</v>
      </c>
      <c r="B214" s="19" t="s">
        <v>947</v>
      </c>
      <c r="C214" s="19" t="s">
        <v>225</v>
      </c>
      <c r="D214" s="19" t="s">
        <v>63</v>
      </c>
      <c r="E214" s="19" t="s">
        <v>5025</v>
      </c>
      <c r="F214" s="19">
        <v>9.5</v>
      </c>
      <c r="G214" s="19">
        <v>7</v>
      </c>
      <c r="H214" s="19">
        <v>8.1999999999999993</v>
      </c>
      <c r="I214" s="19">
        <v>166025</v>
      </c>
      <c r="J214" s="19"/>
      <c r="K214" s="19" t="s">
        <v>5035</v>
      </c>
      <c r="L214" s="40" t="s">
        <v>5432</v>
      </c>
      <c r="M214" s="19" t="s">
        <v>214</v>
      </c>
      <c r="N214" s="19">
        <v>10</v>
      </c>
    </row>
    <row r="215" spans="1:14">
      <c r="A215" s="18" t="s">
        <v>5433</v>
      </c>
      <c r="B215" s="18" t="s">
        <v>1308</v>
      </c>
      <c r="C215" s="18" t="s">
        <v>105</v>
      </c>
      <c r="D215" s="18" t="s">
        <v>16</v>
      </c>
      <c r="E215" s="18" t="s">
        <v>5031</v>
      </c>
      <c r="F215" s="18">
        <v>7.7</v>
      </c>
      <c r="G215" s="18">
        <v>6.5</v>
      </c>
      <c r="H215" s="18">
        <v>7.1</v>
      </c>
      <c r="I215" s="18">
        <v>162815</v>
      </c>
      <c r="J215" s="18">
        <v>143661</v>
      </c>
      <c r="K215" s="18" t="s">
        <v>5028</v>
      </c>
      <c r="L215" s="41" t="s">
        <v>5203</v>
      </c>
      <c r="M215" s="18" t="s">
        <v>114</v>
      </c>
      <c r="N215" s="18">
        <v>1.4</v>
      </c>
    </row>
    <row r="216" spans="1:14">
      <c r="A216" s="19" t="s">
        <v>5434</v>
      </c>
      <c r="B216" s="19" t="s">
        <v>1123</v>
      </c>
      <c r="C216" s="19" t="s">
        <v>98</v>
      </c>
      <c r="D216" s="19" t="s">
        <v>133</v>
      </c>
      <c r="E216" s="19" t="s">
        <v>5016</v>
      </c>
      <c r="F216" s="19">
        <v>8.5</v>
      </c>
      <c r="G216" s="19">
        <v>9.1999999999999993</v>
      </c>
      <c r="H216" s="19">
        <v>8.8000000000000007</v>
      </c>
      <c r="I216" s="19">
        <v>187838</v>
      </c>
      <c r="J216" s="19">
        <v>176973</v>
      </c>
      <c r="K216" s="19" t="s">
        <v>5020</v>
      </c>
      <c r="L216" s="40" t="s">
        <v>5435</v>
      </c>
      <c r="M216" s="19" t="s">
        <v>70</v>
      </c>
      <c r="N216" s="19">
        <v>13.9</v>
      </c>
    </row>
    <row r="217" spans="1:14">
      <c r="A217" s="18" t="s">
        <v>5436</v>
      </c>
      <c r="B217" s="18" t="s">
        <v>5437</v>
      </c>
      <c r="C217" s="18" t="s">
        <v>5040</v>
      </c>
      <c r="D217" s="18" t="s">
        <v>51</v>
      </c>
      <c r="E217" s="18" t="s">
        <v>5031</v>
      </c>
      <c r="F217" s="18">
        <v>3.7</v>
      </c>
      <c r="G217" s="18">
        <v>5</v>
      </c>
      <c r="H217" s="18">
        <v>4.3</v>
      </c>
      <c r="I217" s="18">
        <v>119294</v>
      </c>
      <c r="J217" s="18">
        <v>112096</v>
      </c>
      <c r="K217" s="18" t="s">
        <v>5045</v>
      </c>
      <c r="L217" s="41" t="s">
        <v>1801</v>
      </c>
      <c r="M217" s="18" t="s">
        <v>114</v>
      </c>
      <c r="N217" s="18">
        <v>13.3</v>
      </c>
    </row>
    <row r="218" spans="1:14">
      <c r="A218" s="19" t="s">
        <v>5438</v>
      </c>
      <c r="B218" s="19" t="s">
        <v>253</v>
      </c>
      <c r="C218" s="19" t="s">
        <v>25</v>
      </c>
      <c r="D218" s="19" t="s">
        <v>63</v>
      </c>
      <c r="E218" s="19" t="s">
        <v>5077</v>
      </c>
      <c r="F218" s="19">
        <v>3.1</v>
      </c>
      <c r="G218" s="19">
        <v>9.6999999999999993</v>
      </c>
      <c r="H218" s="19">
        <v>6.4</v>
      </c>
      <c r="I218" s="19">
        <v>36846</v>
      </c>
      <c r="J218" s="19">
        <v>40641</v>
      </c>
      <c r="K218" s="19" t="s">
        <v>5045</v>
      </c>
      <c r="L218" s="40" t="s">
        <v>5439</v>
      </c>
      <c r="M218" s="19" t="s">
        <v>70</v>
      </c>
      <c r="N218" s="19">
        <v>6.1</v>
      </c>
    </row>
    <row r="219" spans="1:14">
      <c r="A219" s="18" t="s">
        <v>5440</v>
      </c>
      <c r="B219" s="18" t="s">
        <v>1482</v>
      </c>
      <c r="C219" s="18" t="s">
        <v>225</v>
      </c>
      <c r="D219" s="18" t="s">
        <v>39</v>
      </c>
      <c r="E219" s="18" t="s">
        <v>5023</v>
      </c>
      <c r="F219" s="18">
        <v>3.6</v>
      </c>
      <c r="G219" s="18">
        <v>5.4</v>
      </c>
      <c r="H219" s="18">
        <v>4.5</v>
      </c>
      <c r="I219" s="18">
        <v>35014</v>
      </c>
      <c r="J219" s="18">
        <v>30159</v>
      </c>
      <c r="K219" s="18" t="s">
        <v>5020</v>
      </c>
      <c r="L219" s="41" t="s">
        <v>5441</v>
      </c>
      <c r="M219" s="18" t="s">
        <v>32</v>
      </c>
      <c r="N219" s="18">
        <v>4.4000000000000004</v>
      </c>
    </row>
    <row r="220" spans="1:14">
      <c r="A220" s="19" t="s">
        <v>5442</v>
      </c>
      <c r="B220" s="19" t="s">
        <v>5443</v>
      </c>
      <c r="C220" s="19" t="s">
        <v>90</v>
      </c>
      <c r="D220" s="19" t="s">
        <v>133</v>
      </c>
      <c r="E220" s="19" t="s">
        <v>5023</v>
      </c>
      <c r="F220" s="19">
        <v>5.8</v>
      </c>
      <c r="G220" s="19">
        <v>3.2</v>
      </c>
      <c r="H220" s="19">
        <v>4.5</v>
      </c>
      <c r="I220" s="19">
        <v>188798</v>
      </c>
      <c r="J220" s="19">
        <v>197255</v>
      </c>
      <c r="K220" s="19" t="s">
        <v>5035</v>
      </c>
      <c r="L220" s="40" t="s">
        <v>796</v>
      </c>
      <c r="M220" s="19" t="s">
        <v>46</v>
      </c>
      <c r="N220" s="19">
        <v>3.1</v>
      </c>
    </row>
    <row r="221" spans="1:14">
      <c r="A221" s="18" t="s">
        <v>5444</v>
      </c>
      <c r="B221" s="18" t="s">
        <v>699</v>
      </c>
      <c r="C221" s="18" t="s">
        <v>153</v>
      </c>
      <c r="D221" s="18" t="s">
        <v>39</v>
      </c>
      <c r="E221" s="18" t="s">
        <v>5077</v>
      </c>
      <c r="F221" s="18">
        <v>4.4000000000000004</v>
      </c>
      <c r="G221" s="18">
        <v>3.5</v>
      </c>
      <c r="H221" s="18">
        <v>4</v>
      </c>
      <c r="I221" s="18">
        <v>26259</v>
      </c>
      <c r="J221" s="18">
        <v>24536</v>
      </c>
      <c r="K221" s="18" t="s">
        <v>5035</v>
      </c>
      <c r="L221" s="41" t="s">
        <v>1746</v>
      </c>
      <c r="M221" s="18" t="s">
        <v>65</v>
      </c>
      <c r="N221" s="18">
        <v>5.7</v>
      </c>
    </row>
    <row r="222" spans="1:14">
      <c r="A222" s="19" t="s">
        <v>5445</v>
      </c>
      <c r="B222" s="19" t="s">
        <v>5446</v>
      </c>
      <c r="C222" s="19" t="s">
        <v>138</v>
      </c>
      <c r="D222" s="19" t="s">
        <v>51</v>
      </c>
      <c r="E222" s="19" t="s">
        <v>5023</v>
      </c>
      <c r="F222" s="19">
        <v>9.6</v>
      </c>
      <c r="G222" s="19">
        <v>8.1999999999999993</v>
      </c>
      <c r="H222" s="19">
        <v>8.9</v>
      </c>
      <c r="I222" s="19">
        <v>147437</v>
      </c>
      <c r="J222" s="19">
        <v>159246</v>
      </c>
      <c r="K222" s="19" t="s">
        <v>5045</v>
      </c>
      <c r="L222" s="40" t="s">
        <v>5092</v>
      </c>
      <c r="M222" s="19" t="s">
        <v>214</v>
      </c>
      <c r="N222" s="19">
        <v>10.3</v>
      </c>
    </row>
    <row r="223" spans="1:14">
      <c r="A223" s="18" t="s">
        <v>5447</v>
      </c>
      <c r="B223" s="18" t="s">
        <v>702</v>
      </c>
      <c r="C223" s="18" t="s">
        <v>105</v>
      </c>
      <c r="D223" s="18" t="s">
        <v>84</v>
      </c>
      <c r="E223" s="18" t="s">
        <v>5019</v>
      </c>
      <c r="F223" s="18">
        <v>3.3</v>
      </c>
      <c r="G223" s="18">
        <v>4</v>
      </c>
      <c r="H223" s="18">
        <v>3.6</v>
      </c>
      <c r="I223" s="18">
        <v>57939</v>
      </c>
      <c r="J223" s="18"/>
      <c r="K223" s="18" t="s">
        <v>5017</v>
      </c>
      <c r="L223" s="41" t="s">
        <v>5448</v>
      </c>
      <c r="M223" s="18" t="s">
        <v>214</v>
      </c>
      <c r="N223" s="18">
        <v>1.6</v>
      </c>
    </row>
    <row r="224" spans="1:14">
      <c r="A224" s="19" t="s">
        <v>5449</v>
      </c>
      <c r="B224" s="19" t="s">
        <v>5450</v>
      </c>
      <c r="C224" s="19" t="s">
        <v>98</v>
      </c>
      <c r="D224" s="19" t="s">
        <v>89</v>
      </c>
      <c r="E224" s="19" t="s">
        <v>5016</v>
      </c>
      <c r="F224" s="19">
        <v>9</v>
      </c>
      <c r="G224" s="19">
        <v>4</v>
      </c>
      <c r="H224" s="19">
        <v>6.5</v>
      </c>
      <c r="I224" s="19">
        <v>36472</v>
      </c>
      <c r="J224" s="19"/>
      <c r="K224" s="19" t="s">
        <v>5045</v>
      </c>
      <c r="L224" s="40" t="s">
        <v>5451</v>
      </c>
      <c r="M224" s="19" t="s">
        <v>114</v>
      </c>
      <c r="N224" s="19">
        <v>11.7</v>
      </c>
    </row>
    <row r="225" spans="1:14">
      <c r="A225" s="18" t="s">
        <v>5452</v>
      </c>
      <c r="B225" s="18" t="s">
        <v>628</v>
      </c>
      <c r="C225" s="18" t="s">
        <v>225</v>
      </c>
      <c r="D225" s="18" t="s">
        <v>118</v>
      </c>
      <c r="E225" s="18" t="s">
        <v>5077</v>
      </c>
      <c r="F225" s="18">
        <v>3.1</v>
      </c>
      <c r="G225" s="18">
        <v>6.6</v>
      </c>
      <c r="H225" s="18">
        <v>4.8</v>
      </c>
      <c r="I225" s="18">
        <v>59904</v>
      </c>
      <c r="J225" s="18">
        <v>54026</v>
      </c>
      <c r="K225" s="18" t="s">
        <v>5020</v>
      </c>
      <c r="L225" s="41" t="s">
        <v>5453</v>
      </c>
      <c r="M225" s="18" t="s">
        <v>46</v>
      </c>
      <c r="N225" s="18">
        <v>4.3</v>
      </c>
    </row>
    <row r="226" spans="1:14">
      <c r="A226" s="19" t="s">
        <v>5454</v>
      </c>
      <c r="B226" s="19" t="s">
        <v>601</v>
      </c>
      <c r="C226" s="19" t="s">
        <v>225</v>
      </c>
      <c r="D226" s="19" t="s">
        <v>118</v>
      </c>
      <c r="E226" s="19" t="s">
        <v>5077</v>
      </c>
      <c r="F226" s="19">
        <v>3.9</v>
      </c>
      <c r="G226" s="19">
        <v>8.6</v>
      </c>
      <c r="H226" s="19">
        <v>6.2</v>
      </c>
      <c r="I226" s="19">
        <v>156756</v>
      </c>
      <c r="J226" s="19">
        <v>174794</v>
      </c>
      <c r="K226" s="19" t="s">
        <v>5020</v>
      </c>
      <c r="L226" s="40" t="s">
        <v>258</v>
      </c>
      <c r="M226" s="19" t="s">
        <v>75</v>
      </c>
      <c r="N226" s="19">
        <v>12.8</v>
      </c>
    </row>
    <row r="227" spans="1:14">
      <c r="A227" s="18" t="s">
        <v>5455</v>
      </c>
      <c r="B227" s="18" t="s">
        <v>772</v>
      </c>
      <c r="C227" s="18" t="s">
        <v>138</v>
      </c>
      <c r="D227" s="18" t="s">
        <v>16</v>
      </c>
      <c r="E227" s="18" t="s">
        <v>5016</v>
      </c>
      <c r="F227" s="18">
        <v>4.5999999999999996</v>
      </c>
      <c r="G227" s="18">
        <v>8.8000000000000007</v>
      </c>
      <c r="H227" s="18">
        <v>6.7</v>
      </c>
      <c r="I227" s="18">
        <v>146574</v>
      </c>
      <c r="J227" s="18">
        <v>143449</v>
      </c>
      <c r="K227" s="18" t="s">
        <v>5045</v>
      </c>
      <c r="L227" s="41" t="s">
        <v>5456</v>
      </c>
      <c r="M227" s="18" t="s">
        <v>149</v>
      </c>
      <c r="N227" s="18">
        <v>9.3000000000000007</v>
      </c>
    </row>
    <row r="228" spans="1:14">
      <c r="A228" s="19" t="s">
        <v>5457</v>
      </c>
      <c r="B228" s="19" t="s">
        <v>1108</v>
      </c>
      <c r="C228" s="19" t="s">
        <v>90</v>
      </c>
      <c r="D228" s="19" t="s">
        <v>16</v>
      </c>
      <c r="E228" s="19" t="s">
        <v>5019</v>
      </c>
      <c r="F228" s="19">
        <v>4.7</v>
      </c>
      <c r="G228" s="19">
        <v>6.5</v>
      </c>
      <c r="H228" s="19">
        <v>5.6</v>
      </c>
      <c r="I228" s="19">
        <v>134598</v>
      </c>
      <c r="J228" s="19">
        <v>133679</v>
      </c>
      <c r="K228" s="19" t="s">
        <v>5017</v>
      </c>
      <c r="L228" s="40" t="s">
        <v>2157</v>
      </c>
      <c r="M228" s="19" t="s">
        <v>214</v>
      </c>
      <c r="N228" s="19">
        <v>5.0999999999999996</v>
      </c>
    </row>
    <row r="229" spans="1:14">
      <c r="A229" s="18" t="s">
        <v>5458</v>
      </c>
      <c r="B229" s="18" t="s">
        <v>5076</v>
      </c>
      <c r="C229" s="18" t="s">
        <v>225</v>
      </c>
      <c r="D229" s="18" t="s">
        <v>51</v>
      </c>
      <c r="E229" s="18" t="s">
        <v>5023</v>
      </c>
      <c r="F229" s="18">
        <v>5.8</v>
      </c>
      <c r="G229" s="18">
        <v>4.8</v>
      </c>
      <c r="H229" s="18">
        <v>5.3</v>
      </c>
      <c r="I229" s="18">
        <v>123503</v>
      </c>
      <c r="J229" s="18"/>
      <c r="K229" s="18" t="s">
        <v>5017</v>
      </c>
      <c r="L229" s="41" t="s">
        <v>5459</v>
      </c>
      <c r="M229" s="18" t="s">
        <v>114</v>
      </c>
      <c r="N229" s="18">
        <v>2</v>
      </c>
    </row>
    <row r="230" spans="1:14">
      <c r="A230" s="19" t="s">
        <v>5460</v>
      </c>
      <c r="B230" s="19" t="s">
        <v>545</v>
      </c>
      <c r="C230" s="19" t="s">
        <v>79</v>
      </c>
      <c r="D230" s="19" t="s">
        <v>89</v>
      </c>
      <c r="E230" s="19" t="s">
        <v>5077</v>
      </c>
      <c r="F230" s="19">
        <v>4</v>
      </c>
      <c r="G230" s="19">
        <v>10</v>
      </c>
      <c r="H230" s="19">
        <v>7</v>
      </c>
      <c r="I230" s="19">
        <v>66053</v>
      </c>
      <c r="J230" s="19">
        <v>70051</v>
      </c>
      <c r="K230" s="19" t="s">
        <v>5017</v>
      </c>
      <c r="L230" s="40" t="s">
        <v>2131</v>
      </c>
      <c r="M230" s="19" t="s">
        <v>46</v>
      </c>
      <c r="N230" s="19">
        <v>9.6999999999999993</v>
      </c>
    </row>
    <row r="231" spans="1:14">
      <c r="A231" s="18" t="s">
        <v>5461</v>
      </c>
      <c r="B231" s="18" t="s">
        <v>5462</v>
      </c>
      <c r="C231" s="18" t="s">
        <v>79</v>
      </c>
      <c r="D231" s="18" t="s">
        <v>39</v>
      </c>
      <c r="E231" s="18" t="s">
        <v>5016</v>
      </c>
      <c r="F231" s="18">
        <v>4.3</v>
      </c>
      <c r="G231" s="18">
        <v>3.3</v>
      </c>
      <c r="H231" s="18">
        <v>3.8</v>
      </c>
      <c r="I231" s="18">
        <v>29500</v>
      </c>
      <c r="J231" s="18">
        <v>25962</v>
      </c>
      <c r="K231" s="18" t="s">
        <v>5028</v>
      </c>
      <c r="L231" s="41" t="s">
        <v>5463</v>
      </c>
      <c r="M231" s="18" t="s">
        <v>149</v>
      </c>
      <c r="N231" s="18">
        <v>6.6</v>
      </c>
    </row>
    <row r="232" spans="1:14">
      <c r="A232" s="19" t="s">
        <v>5464</v>
      </c>
      <c r="B232" s="19" t="s">
        <v>958</v>
      </c>
      <c r="C232" s="19" t="s">
        <v>105</v>
      </c>
      <c r="D232" s="19" t="s">
        <v>39</v>
      </c>
      <c r="E232" s="19" t="s">
        <v>5031</v>
      </c>
      <c r="F232" s="19">
        <v>3.6</v>
      </c>
      <c r="G232" s="19">
        <v>6.4</v>
      </c>
      <c r="H232" s="19">
        <v>5</v>
      </c>
      <c r="I232" s="19">
        <v>83617</v>
      </c>
      <c r="J232" s="19">
        <v>85540</v>
      </c>
      <c r="K232" s="19" t="s">
        <v>5020</v>
      </c>
      <c r="L232" s="40" t="s">
        <v>988</v>
      </c>
      <c r="M232" s="19" t="s">
        <v>53</v>
      </c>
      <c r="N232" s="19">
        <v>7.2</v>
      </c>
    </row>
    <row r="233" spans="1:14">
      <c r="A233" s="18" t="s">
        <v>5465</v>
      </c>
      <c r="B233" s="18" t="s">
        <v>545</v>
      </c>
      <c r="C233" s="18" t="s">
        <v>90</v>
      </c>
      <c r="D233" s="18" t="s">
        <v>39</v>
      </c>
      <c r="E233" s="18" t="s">
        <v>5019</v>
      </c>
      <c r="F233" s="18">
        <v>3.3</v>
      </c>
      <c r="G233" s="18">
        <v>5.3</v>
      </c>
      <c r="H233" s="18">
        <v>4.3</v>
      </c>
      <c r="I233" s="18">
        <v>138417</v>
      </c>
      <c r="J233" s="18">
        <v>159136</v>
      </c>
      <c r="K233" s="18" t="s">
        <v>5017</v>
      </c>
      <c r="L233" s="41" t="s">
        <v>5466</v>
      </c>
      <c r="M233" s="18" t="s">
        <v>172</v>
      </c>
      <c r="N233" s="18">
        <v>3.5</v>
      </c>
    </row>
    <row r="234" spans="1:14">
      <c r="A234" s="19" t="s">
        <v>5467</v>
      </c>
      <c r="B234" s="19" t="s">
        <v>457</v>
      </c>
      <c r="C234" s="19" t="s">
        <v>153</v>
      </c>
      <c r="D234" s="19" t="s">
        <v>118</v>
      </c>
      <c r="E234" s="19" t="s">
        <v>5016</v>
      </c>
      <c r="F234" s="19">
        <v>8.1</v>
      </c>
      <c r="G234" s="19">
        <v>3.3</v>
      </c>
      <c r="H234" s="19">
        <v>5.7</v>
      </c>
      <c r="I234" s="19">
        <v>141978</v>
      </c>
      <c r="J234" s="19">
        <v>134367</v>
      </c>
      <c r="K234" s="19" t="s">
        <v>5035</v>
      </c>
      <c r="L234" s="40" t="s">
        <v>1741</v>
      </c>
      <c r="M234" s="19" t="s">
        <v>70</v>
      </c>
      <c r="N234" s="19">
        <v>12</v>
      </c>
    </row>
    <row r="235" spans="1:14">
      <c r="A235" s="18" t="s">
        <v>5468</v>
      </c>
      <c r="B235" s="18" t="s">
        <v>5219</v>
      </c>
      <c r="C235" s="18" t="s">
        <v>138</v>
      </c>
      <c r="D235" s="18" t="s">
        <v>118</v>
      </c>
      <c r="E235" s="18" t="s">
        <v>5031</v>
      </c>
      <c r="F235" s="18">
        <v>8.9</v>
      </c>
      <c r="G235" s="18">
        <v>7</v>
      </c>
      <c r="H235" s="18">
        <v>8</v>
      </c>
      <c r="I235" s="18">
        <v>51114</v>
      </c>
      <c r="J235" s="18"/>
      <c r="K235" s="18" t="s">
        <v>5028</v>
      </c>
      <c r="L235" s="41" t="s">
        <v>1732</v>
      </c>
      <c r="M235" s="18" t="s">
        <v>214</v>
      </c>
      <c r="N235" s="18">
        <v>2.1</v>
      </c>
    </row>
    <row r="236" spans="1:14">
      <c r="A236" s="19" t="s">
        <v>5469</v>
      </c>
      <c r="B236" s="19" t="s">
        <v>5314</v>
      </c>
      <c r="C236" s="19" t="s">
        <v>25</v>
      </c>
      <c r="D236" s="19" t="s">
        <v>39</v>
      </c>
      <c r="E236" s="19" t="s">
        <v>5051</v>
      </c>
      <c r="F236" s="19">
        <v>3.8</v>
      </c>
      <c r="G236" s="19">
        <v>3</v>
      </c>
      <c r="H236" s="19">
        <v>3.4</v>
      </c>
      <c r="I236" s="19">
        <v>43370</v>
      </c>
      <c r="J236" s="19"/>
      <c r="K236" s="19" t="s">
        <v>5035</v>
      </c>
      <c r="L236" s="40" t="s">
        <v>5184</v>
      </c>
      <c r="M236" s="19" t="s">
        <v>46</v>
      </c>
      <c r="N236" s="19">
        <v>5.6</v>
      </c>
    </row>
    <row r="237" spans="1:14">
      <c r="A237" s="18" t="s">
        <v>5470</v>
      </c>
      <c r="B237" s="18" t="s">
        <v>5471</v>
      </c>
      <c r="C237" s="18" t="s">
        <v>225</v>
      </c>
      <c r="D237" s="18" t="s">
        <v>63</v>
      </c>
      <c r="E237" s="18" t="s">
        <v>5051</v>
      </c>
      <c r="F237" s="18">
        <v>4.0999999999999996</v>
      </c>
      <c r="G237" s="18">
        <v>5.9</v>
      </c>
      <c r="H237" s="18">
        <v>5</v>
      </c>
      <c r="I237" s="18">
        <v>33187</v>
      </c>
      <c r="J237" s="18">
        <v>38037</v>
      </c>
      <c r="K237" s="18" t="s">
        <v>5020</v>
      </c>
      <c r="L237" s="41" t="s">
        <v>5472</v>
      </c>
      <c r="M237" s="18" t="s">
        <v>172</v>
      </c>
      <c r="N237" s="18">
        <v>13</v>
      </c>
    </row>
    <row r="238" spans="1:14">
      <c r="A238" s="19" t="s">
        <v>5473</v>
      </c>
      <c r="B238" s="19" t="s">
        <v>1396</v>
      </c>
      <c r="C238" s="19" t="s">
        <v>5040</v>
      </c>
      <c r="D238" s="19" t="s">
        <v>84</v>
      </c>
      <c r="E238" s="19" t="s">
        <v>5077</v>
      </c>
      <c r="F238" s="19">
        <v>3.8</v>
      </c>
      <c r="G238" s="19">
        <v>3.1</v>
      </c>
      <c r="H238" s="19">
        <v>3.5</v>
      </c>
      <c r="I238" s="19">
        <v>41981</v>
      </c>
      <c r="J238" s="19"/>
      <c r="K238" s="19" t="s">
        <v>5017</v>
      </c>
      <c r="L238" s="40" t="s">
        <v>5474</v>
      </c>
      <c r="M238" s="19" t="s">
        <v>26</v>
      </c>
      <c r="N238" s="19">
        <v>13</v>
      </c>
    </row>
    <row r="239" spans="1:14">
      <c r="A239" s="18" t="s">
        <v>5475</v>
      </c>
      <c r="B239" s="18" t="s">
        <v>5476</v>
      </c>
      <c r="C239" s="18" t="s">
        <v>105</v>
      </c>
      <c r="D239" s="18" t="s">
        <v>51</v>
      </c>
      <c r="E239" s="18" t="s">
        <v>5060</v>
      </c>
      <c r="F239" s="18">
        <v>4.4000000000000004</v>
      </c>
      <c r="G239" s="18">
        <v>3.8</v>
      </c>
      <c r="H239" s="18">
        <v>4.0999999999999996</v>
      </c>
      <c r="I239" s="18">
        <v>164597</v>
      </c>
      <c r="J239" s="18">
        <v>143586</v>
      </c>
      <c r="K239" s="18" t="s">
        <v>5035</v>
      </c>
      <c r="L239" s="41" t="s">
        <v>5477</v>
      </c>
      <c r="M239" s="18" t="s">
        <v>149</v>
      </c>
      <c r="N239" s="18">
        <v>4.2</v>
      </c>
    </row>
    <row r="240" spans="1:14">
      <c r="A240" s="19" t="s">
        <v>5478</v>
      </c>
      <c r="B240" s="19" t="s">
        <v>5479</v>
      </c>
      <c r="C240" s="19" t="s">
        <v>153</v>
      </c>
      <c r="D240" s="19" t="s">
        <v>118</v>
      </c>
      <c r="E240" s="19" t="s">
        <v>5051</v>
      </c>
      <c r="F240" s="19">
        <v>9.5</v>
      </c>
      <c r="G240" s="19">
        <v>9.8000000000000007</v>
      </c>
      <c r="H240" s="19">
        <v>9.6999999999999993</v>
      </c>
      <c r="I240" s="19"/>
      <c r="J240" s="19"/>
      <c r="K240" s="19" t="s">
        <v>5017</v>
      </c>
      <c r="L240" s="40" t="s">
        <v>1801</v>
      </c>
      <c r="M240" s="19" t="s">
        <v>26</v>
      </c>
      <c r="N240" s="19">
        <v>11.6</v>
      </c>
    </row>
    <row r="241" spans="1:14">
      <c r="A241" s="18" t="s">
        <v>5480</v>
      </c>
      <c r="B241" s="18" t="s">
        <v>5481</v>
      </c>
      <c r="C241" s="18" t="s">
        <v>25</v>
      </c>
      <c r="D241" s="18" t="s">
        <v>133</v>
      </c>
      <c r="E241" s="18" t="s">
        <v>5077</v>
      </c>
      <c r="F241" s="18"/>
      <c r="G241" s="18">
        <v>6.9</v>
      </c>
      <c r="H241" s="18"/>
      <c r="I241" s="18">
        <v>127274</v>
      </c>
      <c r="J241" s="18"/>
      <c r="K241" s="18" t="s">
        <v>5045</v>
      </c>
      <c r="L241" s="41" t="s">
        <v>5466</v>
      </c>
      <c r="M241" s="18" t="s">
        <v>149</v>
      </c>
      <c r="N241" s="18">
        <v>9.5</v>
      </c>
    </row>
    <row r="242" spans="1:14">
      <c r="A242" s="19" t="s">
        <v>5482</v>
      </c>
      <c r="B242" s="19" t="s">
        <v>1366</v>
      </c>
      <c r="C242" s="19" t="s">
        <v>98</v>
      </c>
      <c r="D242" s="19" t="s">
        <v>63</v>
      </c>
      <c r="E242" s="19" t="s">
        <v>5051</v>
      </c>
      <c r="F242" s="19">
        <v>9</v>
      </c>
      <c r="G242" s="19">
        <v>4.5999999999999996</v>
      </c>
      <c r="H242" s="19">
        <v>6.8</v>
      </c>
      <c r="I242" s="19">
        <v>192926</v>
      </c>
      <c r="J242" s="19"/>
      <c r="K242" s="19" t="s">
        <v>5045</v>
      </c>
      <c r="L242" s="40" t="s">
        <v>5483</v>
      </c>
      <c r="M242" s="19" t="s">
        <v>75</v>
      </c>
      <c r="N242" s="19">
        <v>1.4</v>
      </c>
    </row>
    <row r="243" spans="1:14">
      <c r="A243" s="18" t="s">
        <v>5484</v>
      </c>
      <c r="B243" s="18" t="s">
        <v>5485</v>
      </c>
      <c r="C243" s="18" t="s">
        <v>79</v>
      </c>
      <c r="D243" s="18" t="s">
        <v>39</v>
      </c>
      <c r="E243" s="18" t="s">
        <v>5060</v>
      </c>
      <c r="F243" s="18">
        <v>5.7</v>
      </c>
      <c r="G243" s="18">
        <v>5.4</v>
      </c>
      <c r="H243" s="18">
        <v>5.6</v>
      </c>
      <c r="I243" s="18">
        <v>79025</v>
      </c>
      <c r="J243" s="18">
        <v>72832</v>
      </c>
      <c r="K243" s="18" t="s">
        <v>5045</v>
      </c>
      <c r="L243" s="41" t="s">
        <v>1971</v>
      </c>
      <c r="M243" s="18" t="s">
        <v>46</v>
      </c>
      <c r="N243" s="18">
        <v>14.6</v>
      </c>
    </row>
    <row r="244" spans="1:14">
      <c r="A244" s="19" t="s">
        <v>5486</v>
      </c>
      <c r="B244" s="19" t="s">
        <v>5487</v>
      </c>
      <c r="C244" s="19" t="s">
        <v>90</v>
      </c>
      <c r="D244" s="19" t="s">
        <v>16</v>
      </c>
      <c r="E244" s="19" t="s">
        <v>5025</v>
      </c>
      <c r="F244" s="19">
        <v>7.8</v>
      </c>
      <c r="G244" s="19">
        <v>6.4</v>
      </c>
      <c r="H244" s="19">
        <v>7.1</v>
      </c>
      <c r="I244" s="19">
        <v>20383</v>
      </c>
      <c r="J244" s="19">
        <v>20256</v>
      </c>
      <c r="K244" s="19" t="s">
        <v>5035</v>
      </c>
      <c r="L244" s="40" t="s">
        <v>1683</v>
      </c>
      <c r="M244" s="19" t="s">
        <v>46</v>
      </c>
      <c r="N244" s="19">
        <v>11.2</v>
      </c>
    </row>
    <row r="245" spans="1:14">
      <c r="A245" s="18" t="s">
        <v>5488</v>
      </c>
      <c r="B245" s="18" t="s">
        <v>1403</v>
      </c>
      <c r="C245" s="18" t="s">
        <v>105</v>
      </c>
      <c r="D245" s="18" t="s">
        <v>63</v>
      </c>
      <c r="E245" s="18" t="s">
        <v>5031</v>
      </c>
      <c r="F245" s="18">
        <v>8.6</v>
      </c>
      <c r="G245" s="18">
        <v>5.8</v>
      </c>
      <c r="H245" s="18">
        <v>7.2</v>
      </c>
      <c r="I245" s="18">
        <v>54880</v>
      </c>
      <c r="J245" s="18">
        <v>50167</v>
      </c>
      <c r="K245" s="18" t="s">
        <v>5028</v>
      </c>
      <c r="L245" s="41" t="s">
        <v>2088</v>
      </c>
      <c r="M245" s="18" t="s">
        <v>46</v>
      </c>
      <c r="N245" s="18">
        <v>3.1</v>
      </c>
    </row>
    <row r="246" spans="1:14">
      <c r="A246" s="19" t="s">
        <v>5489</v>
      </c>
      <c r="B246" s="19" t="s">
        <v>5395</v>
      </c>
      <c r="C246" s="19" t="s">
        <v>5040</v>
      </c>
      <c r="D246" s="19" t="s">
        <v>118</v>
      </c>
      <c r="E246" s="19" t="s">
        <v>5060</v>
      </c>
      <c r="F246" s="19">
        <v>6.4</v>
      </c>
      <c r="G246" s="19">
        <v>3.6</v>
      </c>
      <c r="H246" s="19">
        <v>5</v>
      </c>
      <c r="I246" s="19">
        <v>35031</v>
      </c>
      <c r="J246" s="19"/>
      <c r="K246" s="19" t="s">
        <v>5017</v>
      </c>
      <c r="L246" s="40" t="s">
        <v>5490</v>
      </c>
      <c r="M246" s="19" t="s">
        <v>46</v>
      </c>
      <c r="N246" s="19">
        <v>3.3</v>
      </c>
    </row>
    <row r="247" spans="1:14">
      <c r="A247" s="18" t="s">
        <v>5491</v>
      </c>
      <c r="B247" s="18" t="s">
        <v>5492</v>
      </c>
      <c r="C247" s="18" t="s">
        <v>153</v>
      </c>
      <c r="D247" s="18" t="s">
        <v>84</v>
      </c>
      <c r="E247" s="18" t="s">
        <v>5077</v>
      </c>
      <c r="F247" s="18">
        <v>8.1999999999999993</v>
      </c>
      <c r="G247" s="18">
        <v>8.6</v>
      </c>
      <c r="H247" s="18">
        <v>8.4</v>
      </c>
      <c r="I247" s="18">
        <v>179640</v>
      </c>
      <c r="J247" s="18"/>
      <c r="K247" s="18" t="s">
        <v>5017</v>
      </c>
      <c r="L247" s="41" t="s">
        <v>5493</v>
      </c>
      <c r="M247" s="18" t="s">
        <v>53</v>
      </c>
      <c r="N247" s="18">
        <v>11.3</v>
      </c>
    </row>
    <row r="248" spans="1:14">
      <c r="A248" s="19" t="s">
        <v>5494</v>
      </c>
      <c r="B248" s="19" t="s">
        <v>5179</v>
      </c>
      <c r="C248" s="19" t="s">
        <v>225</v>
      </c>
      <c r="D248" s="19" t="s">
        <v>39</v>
      </c>
      <c r="E248" s="19" t="s">
        <v>5077</v>
      </c>
      <c r="F248" s="19">
        <v>6.3</v>
      </c>
      <c r="G248" s="19">
        <v>6.3</v>
      </c>
      <c r="H248" s="19">
        <v>6.3</v>
      </c>
      <c r="I248" s="19">
        <v>23356</v>
      </c>
      <c r="J248" s="19"/>
      <c r="K248" s="19" t="s">
        <v>5020</v>
      </c>
      <c r="L248" s="40" t="s">
        <v>1092</v>
      </c>
      <c r="M248" s="19" t="s">
        <v>149</v>
      </c>
      <c r="N248" s="19">
        <v>5.4</v>
      </c>
    </row>
    <row r="249" spans="1:14">
      <c r="A249" s="18" t="s">
        <v>5495</v>
      </c>
      <c r="B249" s="18" t="s">
        <v>5496</v>
      </c>
      <c r="C249" s="18" t="s">
        <v>105</v>
      </c>
      <c r="D249" s="18" t="s">
        <v>118</v>
      </c>
      <c r="E249" s="18" t="s">
        <v>5077</v>
      </c>
      <c r="F249" s="18">
        <v>8.1999999999999993</v>
      </c>
      <c r="G249" s="18">
        <v>4.5999999999999996</v>
      </c>
      <c r="H249" s="18">
        <v>6.4</v>
      </c>
      <c r="I249" s="18">
        <v>78520</v>
      </c>
      <c r="J249" s="18"/>
      <c r="K249" s="18" t="s">
        <v>5028</v>
      </c>
      <c r="L249" s="41" t="s">
        <v>5497</v>
      </c>
      <c r="M249" s="18" t="s">
        <v>75</v>
      </c>
      <c r="N249" s="18">
        <v>3.6</v>
      </c>
    </row>
    <row r="250" spans="1:14">
      <c r="A250" s="19" t="s">
        <v>5498</v>
      </c>
      <c r="B250" s="19" t="s">
        <v>5499</v>
      </c>
      <c r="C250" s="19" t="s">
        <v>105</v>
      </c>
      <c r="D250" s="19" t="s">
        <v>51</v>
      </c>
      <c r="E250" s="19" t="s">
        <v>5019</v>
      </c>
      <c r="F250" s="19">
        <v>4</v>
      </c>
      <c r="G250" s="19">
        <v>6.8</v>
      </c>
      <c r="H250" s="19">
        <v>5.4</v>
      </c>
      <c r="I250" s="19">
        <v>46571</v>
      </c>
      <c r="J250" s="19">
        <v>47962</v>
      </c>
      <c r="K250" s="19" t="s">
        <v>5028</v>
      </c>
      <c r="L250" s="40" t="s">
        <v>5500</v>
      </c>
      <c r="M250" s="19" t="s">
        <v>214</v>
      </c>
      <c r="N250" s="19">
        <v>13.9</v>
      </c>
    </row>
    <row r="251" spans="1:14">
      <c r="A251" s="18" t="s">
        <v>5501</v>
      </c>
      <c r="B251" s="18" t="s">
        <v>5502</v>
      </c>
      <c r="C251" s="18" t="s">
        <v>225</v>
      </c>
      <c r="D251" s="18" t="s">
        <v>24</v>
      </c>
      <c r="E251" s="18" t="s">
        <v>5016</v>
      </c>
      <c r="F251" s="18">
        <v>5.9</v>
      </c>
      <c r="G251" s="18">
        <v>8.6</v>
      </c>
      <c r="H251" s="18">
        <v>7.2</v>
      </c>
      <c r="I251" s="18">
        <v>174791</v>
      </c>
      <c r="J251" s="18">
        <v>182606</v>
      </c>
      <c r="K251" s="18" t="s">
        <v>5028</v>
      </c>
      <c r="L251" s="41" t="s">
        <v>5503</v>
      </c>
      <c r="M251" s="18" t="s">
        <v>114</v>
      </c>
      <c r="N251" s="18">
        <v>13.5</v>
      </c>
    </row>
    <row r="252" spans="1:14">
      <c r="A252" s="19" t="s">
        <v>5504</v>
      </c>
      <c r="B252" s="19" t="s">
        <v>848</v>
      </c>
      <c r="C252" s="19" t="s">
        <v>98</v>
      </c>
      <c r="D252" s="19" t="s">
        <v>118</v>
      </c>
      <c r="E252" s="19" t="s">
        <v>5016</v>
      </c>
      <c r="F252" s="19">
        <v>3.8</v>
      </c>
      <c r="G252" s="19">
        <v>7.2</v>
      </c>
      <c r="H252" s="19">
        <v>5.5</v>
      </c>
      <c r="I252" s="19">
        <v>94204</v>
      </c>
      <c r="J252" s="19">
        <v>105775</v>
      </c>
      <c r="K252" s="19" t="s">
        <v>5028</v>
      </c>
      <c r="L252" s="40" t="s">
        <v>1824</v>
      </c>
      <c r="M252" s="19" t="s">
        <v>214</v>
      </c>
      <c r="N252" s="19">
        <v>7.7</v>
      </c>
    </row>
    <row r="253" spans="1:14">
      <c r="A253" s="18" t="s">
        <v>5505</v>
      </c>
      <c r="B253" s="18" t="s">
        <v>5307</v>
      </c>
      <c r="C253" s="18" t="s">
        <v>105</v>
      </c>
      <c r="D253" s="18" t="s">
        <v>133</v>
      </c>
      <c r="E253" s="18" t="s">
        <v>5051</v>
      </c>
      <c r="F253" s="18">
        <v>7.1</v>
      </c>
      <c r="G253" s="18">
        <v>8.1</v>
      </c>
      <c r="H253" s="18">
        <v>7.6</v>
      </c>
      <c r="I253" s="18">
        <v>91867</v>
      </c>
      <c r="J253" s="18">
        <v>90363</v>
      </c>
      <c r="K253" s="18" t="s">
        <v>5035</v>
      </c>
      <c r="L253" s="41" t="s">
        <v>5506</v>
      </c>
      <c r="M253" s="18" t="s">
        <v>172</v>
      </c>
      <c r="N253" s="18">
        <v>2.2000000000000002</v>
      </c>
    </row>
    <row r="254" spans="1:14">
      <c r="A254" s="19" t="s">
        <v>5507</v>
      </c>
      <c r="B254" s="19" t="s">
        <v>1328</v>
      </c>
      <c r="C254" s="19" t="s">
        <v>79</v>
      </c>
      <c r="D254" s="19" t="s">
        <v>133</v>
      </c>
      <c r="E254" s="19" t="s">
        <v>5016</v>
      </c>
      <c r="F254" s="19">
        <v>7.9</v>
      </c>
      <c r="G254" s="19">
        <v>9.8000000000000007</v>
      </c>
      <c r="H254" s="19">
        <v>8.9</v>
      </c>
      <c r="I254" s="19">
        <v>35845</v>
      </c>
      <c r="J254" s="19">
        <v>34522</v>
      </c>
      <c r="K254" s="19" t="s">
        <v>5045</v>
      </c>
      <c r="L254" s="40" t="s">
        <v>1718</v>
      </c>
      <c r="M254" s="19" t="s">
        <v>70</v>
      </c>
      <c r="N254" s="19">
        <v>5.6</v>
      </c>
    </row>
    <row r="255" spans="1:14">
      <c r="A255" s="18" t="s">
        <v>5508</v>
      </c>
      <c r="B255" s="18" t="s">
        <v>5509</v>
      </c>
      <c r="C255" s="18" t="s">
        <v>225</v>
      </c>
      <c r="D255" s="18" t="s">
        <v>63</v>
      </c>
      <c r="E255" s="18" t="s">
        <v>5077</v>
      </c>
      <c r="F255" s="18">
        <v>9.8000000000000007</v>
      </c>
      <c r="G255" s="18">
        <v>6.5</v>
      </c>
      <c r="H255" s="18">
        <v>8.1999999999999993</v>
      </c>
      <c r="I255" s="18">
        <v>25244</v>
      </c>
      <c r="J255" s="18">
        <v>26091</v>
      </c>
      <c r="K255" s="18" t="s">
        <v>5020</v>
      </c>
      <c r="L255" s="41" t="s">
        <v>5510</v>
      </c>
      <c r="M255" s="18" t="s">
        <v>114</v>
      </c>
      <c r="N255" s="18">
        <v>13.1</v>
      </c>
    </row>
    <row r="256" spans="1:14">
      <c r="A256" s="19" t="s">
        <v>5511</v>
      </c>
      <c r="B256" s="19" t="s">
        <v>5512</v>
      </c>
      <c r="C256" s="19" t="s">
        <v>153</v>
      </c>
      <c r="D256" s="19" t="s">
        <v>133</v>
      </c>
      <c r="E256" s="19" t="s">
        <v>5060</v>
      </c>
      <c r="F256" s="19">
        <v>8.3000000000000007</v>
      </c>
      <c r="G256" s="19">
        <v>5.2</v>
      </c>
      <c r="H256" s="19">
        <v>6.8</v>
      </c>
      <c r="I256" s="19">
        <v>99842</v>
      </c>
      <c r="J256" s="19">
        <v>97557</v>
      </c>
      <c r="K256" s="19" t="s">
        <v>5035</v>
      </c>
      <c r="L256" s="40" t="s">
        <v>5149</v>
      </c>
      <c r="M256" s="19" t="s">
        <v>53</v>
      </c>
      <c r="N256" s="19">
        <v>2.2999999999999998</v>
      </c>
    </row>
    <row r="257" spans="1:14">
      <c r="A257" s="18" t="s">
        <v>5513</v>
      </c>
      <c r="B257" s="18" t="s">
        <v>5514</v>
      </c>
      <c r="C257" s="18" t="s">
        <v>79</v>
      </c>
      <c r="D257" s="18" t="s">
        <v>63</v>
      </c>
      <c r="E257" s="18" t="s">
        <v>5060</v>
      </c>
      <c r="F257" s="18">
        <v>4.0999999999999996</v>
      </c>
      <c r="G257" s="18">
        <v>8.3000000000000007</v>
      </c>
      <c r="H257" s="18">
        <v>6.2</v>
      </c>
      <c r="I257" s="18">
        <v>138064</v>
      </c>
      <c r="J257" s="18"/>
      <c r="K257" s="18" t="s">
        <v>5020</v>
      </c>
      <c r="L257" s="41" t="s">
        <v>792</v>
      </c>
      <c r="M257" s="18" t="s">
        <v>114</v>
      </c>
      <c r="N257" s="18">
        <v>3.2</v>
      </c>
    </row>
    <row r="258" spans="1:14">
      <c r="A258" s="19" t="s">
        <v>5515</v>
      </c>
      <c r="B258" s="19" t="s">
        <v>5123</v>
      </c>
      <c r="C258" s="19" t="s">
        <v>335</v>
      </c>
      <c r="D258" s="19" t="s">
        <v>24</v>
      </c>
      <c r="E258" s="19" t="s">
        <v>5051</v>
      </c>
      <c r="F258" s="19">
        <v>9.8000000000000007</v>
      </c>
      <c r="G258" s="19">
        <v>7.4</v>
      </c>
      <c r="H258" s="19">
        <v>8.6</v>
      </c>
      <c r="I258" s="19">
        <v>100014</v>
      </c>
      <c r="J258" s="19">
        <v>104835</v>
      </c>
      <c r="K258" s="19" t="s">
        <v>5020</v>
      </c>
      <c r="L258" s="40" t="s">
        <v>5339</v>
      </c>
      <c r="M258" s="19" t="s">
        <v>32</v>
      </c>
      <c r="N258" s="19">
        <v>14.4</v>
      </c>
    </row>
    <row r="259" spans="1:14">
      <c r="A259" s="18" t="s">
        <v>5516</v>
      </c>
      <c r="B259" s="18" t="s">
        <v>5280</v>
      </c>
      <c r="C259" s="18" t="s">
        <v>138</v>
      </c>
      <c r="D259" s="18" t="s">
        <v>16</v>
      </c>
      <c r="E259" s="18" t="s">
        <v>5016</v>
      </c>
      <c r="F259" s="18">
        <v>5.5</v>
      </c>
      <c r="G259" s="18">
        <v>4.2</v>
      </c>
      <c r="H259" s="18">
        <v>4.8</v>
      </c>
      <c r="I259" s="18">
        <v>167702</v>
      </c>
      <c r="J259" s="18">
        <v>145736</v>
      </c>
      <c r="K259" s="18" t="s">
        <v>5028</v>
      </c>
      <c r="L259" s="41" t="s">
        <v>5517</v>
      </c>
      <c r="M259" s="18" t="s">
        <v>65</v>
      </c>
      <c r="N259" s="18">
        <v>7.9</v>
      </c>
    </row>
    <row r="260" spans="1:14">
      <c r="A260" s="19" t="s">
        <v>5518</v>
      </c>
      <c r="B260" s="19" t="s">
        <v>637</v>
      </c>
      <c r="C260" s="19" t="s">
        <v>153</v>
      </c>
      <c r="D260" s="19" t="s">
        <v>16</v>
      </c>
      <c r="E260" s="19" t="s">
        <v>5077</v>
      </c>
      <c r="F260" s="19">
        <v>6.4</v>
      </c>
      <c r="G260" s="19"/>
      <c r="H260" s="19">
        <v>6.4</v>
      </c>
      <c r="I260" s="19">
        <v>85696</v>
      </c>
      <c r="J260" s="19">
        <v>87016</v>
      </c>
      <c r="K260" s="19" t="s">
        <v>5017</v>
      </c>
      <c r="L260" s="40" t="s">
        <v>5519</v>
      </c>
      <c r="M260" s="19" t="s">
        <v>53</v>
      </c>
      <c r="N260" s="19">
        <v>13.7</v>
      </c>
    </row>
    <row r="261" spans="1:14">
      <c r="A261" s="18" t="s">
        <v>5520</v>
      </c>
      <c r="B261" s="18" t="s">
        <v>5521</v>
      </c>
      <c r="C261" s="18" t="s">
        <v>79</v>
      </c>
      <c r="D261" s="18" t="s">
        <v>24</v>
      </c>
      <c r="E261" s="18" t="s">
        <v>5016</v>
      </c>
      <c r="F261" s="18">
        <v>6.5</v>
      </c>
      <c r="G261" s="18">
        <v>9.5</v>
      </c>
      <c r="H261" s="18">
        <v>8</v>
      </c>
      <c r="I261" s="18">
        <v>171223</v>
      </c>
      <c r="J261" s="18">
        <v>175221</v>
      </c>
      <c r="K261" s="18" t="s">
        <v>5035</v>
      </c>
      <c r="L261" s="41" t="s">
        <v>2168</v>
      </c>
      <c r="M261" s="18" t="s">
        <v>114</v>
      </c>
      <c r="N261" s="18">
        <v>10</v>
      </c>
    </row>
    <row r="262" spans="1:14">
      <c r="A262" s="19" t="s">
        <v>5522</v>
      </c>
      <c r="B262" s="19" t="s">
        <v>5523</v>
      </c>
      <c r="C262" s="19" t="s">
        <v>98</v>
      </c>
      <c r="D262" s="19" t="s">
        <v>89</v>
      </c>
      <c r="E262" s="19" t="s">
        <v>5025</v>
      </c>
      <c r="F262" s="19">
        <v>7.7</v>
      </c>
      <c r="G262" s="19">
        <v>6.2</v>
      </c>
      <c r="H262" s="19">
        <v>7</v>
      </c>
      <c r="I262" s="19">
        <v>171890</v>
      </c>
      <c r="J262" s="19">
        <v>157220</v>
      </c>
      <c r="K262" s="19" t="s">
        <v>5035</v>
      </c>
      <c r="L262" s="40" t="s">
        <v>5524</v>
      </c>
      <c r="M262" s="19" t="s">
        <v>26</v>
      </c>
      <c r="N262" s="19">
        <v>9.6</v>
      </c>
    </row>
    <row r="263" spans="1:14">
      <c r="A263" s="18" t="s">
        <v>5525</v>
      </c>
      <c r="B263" s="18" t="s">
        <v>129</v>
      </c>
      <c r="C263" s="18" t="s">
        <v>138</v>
      </c>
      <c r="D263" s="18" t="s">
        <v>84</v>
      </c>
      <c r="E263" s="18" t="s">
        <v>5023</v>
      </c>
      <c r="F263" s="18">
        <v>7.2</v>
      </c>
      <c r="G263" s="18">
        <v>8.8000000000000007</v>
      </c>
      <c r="H263" s="18">
        <v>8</v>
      </c>
      <c r="I263" s="18">
        <v>90737</v>
      </c>
      <c r="J263" s="18">
        <v>79047</v>
      </c>
      <c r="K263" s="18" t="s">
        <v>5017</v>
      </c>
      <c r="L263" s="41" t="s">
        <v>5526</v>
      </c>
      <c r="M263" s="18" t="s">
        <v>18</v>
      </c>
      <c r="N263" s="18">
        <v>9.6999999999999993</v>
      </c>
    </row>
    <row r="264" spans="1:14">
      <c r="A264" s="19" t="s">
        <v>5527</v>
      </c>
      <c r="B264" s="19" t="s">
        <v>598</v>
      </c>
      <c r="C264" s="19" t="s">
        <v>25</v>
      </c>
      <c r="D264" s="19" t="s">
        <v>89</v>
      </c>
      <c r="E264" s="19" t="s">
        <v>5060</v>
      </c>
      <c r="F264" s="19">
        <v>6.4</v>
      </c>
      <c r="G264" s="19">
        <v>3.1</v>
      </c>
      <c r="H264" s="19">
        <v>4.8</v>
      </c>
      <c r="I264" s="19">
        <v>94487</v>
      </c>
      <c r="J264" s="19"/>
      <c r="K264" s="19" t="s">
        <v>5028</v>
      </c>
      <c r="L264" s="40" t="s">
        <v>5528</v>
      </c>
      <c r="M264" s="19" t="s">
        <v>32</v>
      </c>
      <c r="N264" s="19">
        <v>10.7</v>
      </c>
    </row>
    <row r="265" spans="1:14">
      <c r="A265" s="18" t="s">
        <v>5529</v>
      </c>
      <c r="B265" s="18" t="s">
        <v>5530</v>
      </c>
      <c r="C265" s="18" t="s">
        <v>98</v>
      </c>
      <c r="D265" s="18" t="s">
        <v>133</v>
      </c>
      <c r="E265" s="18" t="s">
        <v>5060</v>
      </c>
      <c r="F265" s="18">
        <v>6.5</v>
      </c>
      <c r="G265" s="18">
        <v>3.1</v>
      </c>
      <c r="H265" s="18">
        <v>4.8</v>
      </c>
      <c r="I265" s="18">
        <v>60748</v>
      </c>
      <c r="J265" s="18">
        <v>61321</v>
      </c>
      <c r="K265" s="18" t="s">
        <v>5028</v>
      </c>
      <c r="L265" s="41" t="s">
        <v>5531</v>
      </c>
      <c r="M265" s="18" t="s">
        <v>53</v>
      </c>
      <c r="N265" s="18">
        <v>8.4</v>
      </c>
    </row>
    <row r="266" spans="1:14">
      <c r="A266" s="19" t="s">
        <v>5532</v>
      </c>
      <c r="B266" s="19" t="s">
        <v>5533</v>
      </c>
      <c r="C266" s="19" t="s">
        <v>98</v>
      </c>
      <c r="D266" s="19" t="s">
        <v>51</v>
      </c>
      <c r="E266" s="19" t="s">
        <v>5051</v>
      </c>
      <c r="F266" s="19">
        <v>6.2</v>
      </c>
      <c r="G266" s="19">
        <v>3.4</v>
      </c>
      <c r="H266" s="19">
        <v>4.8</v>
      </c>
      <c r="I266" s="19">
        <v>64263</v>
      </c>
      <c r="J266" s="19"/>
      <c r="K266" s="19" t="s">
        <v>5020</v>
      </c>
      <c r="L266" s="40" t="s">
        <v>1889</v>
      </c>
      <c r="M266" s="19" t="s">
        <v>114</v>
      </c>
      <c r="N266" s="19">
        <v>14.2</v>
      </c>
    </row>
    <row r="267" spans="1:14">
      <c r="A267" s="18" t="s">
        <v>5534</v>
      </c>
      <c r="B267" s="18" t="s">
        <v>137</v>
      </c>
      <c r="C267" s="18" t="s">
        <v>98</v>
      </c>
      <c r="D267" s="18" t="s">
        <v>39</v>
      </c>
      <c r="E267" s="18" t="s">
        <v>5025</v>
      </c>
      <c r="F267" s="18">
        <v>6.3</v>
      </c>
      <c r="G267" s="18">
        <v>4.9000000000000004</v>
      </c>
      <c r="H267" s="18">
        <v>5.6</v>
      </c>
      <c r="I267" s="18">
        <v>154866</v>
      </c>
      <c r="J267" s="18">
        <v>143623</v>
      </c>
      <c r="K267" s="18" t="s">
        <v>5020</v>
      </c>
      <c r="L267" s="41" t="s">
        <v>577</v>
      </c>
      <c r="M267" s="18" t="s">
        <v>65</v>
      </c>
      <c r="N267" s="18">
        <v>7.4</v>
      </c>
    </row>
    <row r="268" spans="1:14">
      <c r="A268" s="19" t="s">
        <v>5535</v>
      </c>
      <c r="B268" s="19" t="s">
        <v>1376</v>
      </c>
      <c r="C268" s="19" t="s">
        <v>79</v>
      </c>
      <c r="D268" s="19" t="s">
        <v>84</v>
      </c>
      <c r="E268" s="19" t="s">
        <v>5051</v>
      </c>
      <c r="F268" s="19">
        <v>7.8</v>
      </c>
      <c r="G268" s="19">
        <v>5</v>
      </c>
      <c r="H268" s="19">
        <v>6.4</v>
      </c>
      <c r="I268" s="19">
        <v>95243</v>
      </c>
      <c r="J268" s="19"/>
      <c r="K268" s="19" t="s">
        <v>5017</v>
      </c>
      <c r="L268" s="40" t="s">
        <v>2238</v>
      </c>
      <c r="M268" s="19" t="s">
        <v>53</v>
      </c>
      <c r="N268" s="19">
        <v>3.1</v>
      </c>
    </row>
    <row r="269" spans="1:14">
      <c r="A269" s="18" t="s">
        <v>5536</v>
      </c>
      <c r="B269" s="18" t="s">
        <v>5422</v>
      </c>
      <c r="C269" s="18" t="s">
        <v>153</v>
      </c>
      <c r="D269" s="18" t="s">
        <v>84</v>
      </c>
      <c r="E269" s="18" t="s">
        <v>5077</v>
      </c>
      <c r="F269" s="18">
        <v>5.5</v>
      </c>
      <c r="G269" s="18">
        <v>4.5999999999999996</v>
      </c>
      <c r="H269" s="18">
        <v>5</v>
      </c>
      <c r="I269" s="18">
        <v>25414</v>
      </c>
      <c r="J269" s="18">
        <v>26573</v>
      </c>
      <c r="K269" s="18" t="s">
        <v>5035</v>
      </c>
      <c r="L269" s="41" t="s">
        <v>5537</v>
      </c>
      <c r="M269" s="18" t="s">
        <v>53</v>
      </c>
      <c r="N269" s="18">
        <v>3.3</v>
      </c>
    </row>
    <row r="270" spans="1:14">
      <c r="A270" s="19" t="s">
        <v>5538</v>
      </c>
      <c r="B270" s="19" t="s">
        <v>5539</v>
      </c>
      <c r="C270" s="19" t="s">
        <v>138</v>
      </c>
      <c r="D270" s="19" t="s">
        <v>133</v>
      </c>
      <c r="E270" s="19" t="s">
        <v>5031</v>
      </c>
      <c r="F270" s="19">
        <v>4</v>
      </c>
      <c r="G270" s="19">
        <v>9.1</v>
      </c>
      <c r="H270" s="19">
        <v>6.5</v>
      </c>
      <c r="I270" s="19">
        <v>67321</v>
      </c>
      <c r="J270" s="19">
        <v>58329</v>
      </c>
      <c r="K270" s="19" t="s">
        <v>5028</v>
      </c>
      <c r="L270" s="40" t="s">
        <v>5540</v>
      </c>
      <c r="M270" s="19" t="s">
        <v>18</v>
      </c>
      <c r="N270" s="19">
        <v>0.9</v>
      </c>
    </row>
    <row r="271" spans="1:14">
      <c r="A271" s="18" t="s">
        <v>5541</v>
      </c>
      <c r="B271" s="18" t="s">
        <v>435</v>
      </c>
      <c r="C271" s="18" t="s">
        <v>335</v>
      </c>
      <c r="D271" s="18" t="s">
        <v>84</v>
      </c>
      <c r="E271" s="18" t="s">
        <v>5023</v>
      </c>
      <c r="F271" s="18">
        <v>6.3</v>
      </c>
      <c r="G271" s="18">
        <v>6.9</v>
      </c>
      <c r="H271" s="18">
        <v>6.6</v>
      </c>
      <c r="I271" s="18"/>
      <c r="J271" s="18">
        <v>30405</v>
      </c>
      <c r="K271" s="18" t="s">
        <v>5017</v>
      </c>
      <c r="L271" s="41" t="s">
        <v>1837</v>
      </c>
      <c r="M271" s="18" t="s">
        <v>46</v>
      </c>
      <c r="N271" s="18">
        <v>6.6</v>
      </c>
    </row>
    <row r="272" spans="1:14">
      <c r="A272" s="19" t="s">
        <v>5542</v>
      </c>
      <c r="B272" s="19" t="s">
        <v>413</v>
      </c>
      <c r="C272" s="19" t="s">
        <v>5040</v>
      </c>
      <c r="D272" s="19" t="s">
        <v>89</v>
      </c>
      <c r="E272" s="19" t="s">
        <v>5077</v>
      </c>
      <c r="F272" s="19">
        <v>4.9000000000000004</v>
      </c>
      <c r="G272" s="19">
        <v>8.1999999999999993</v>
      </c>
      <c r="H272" s="19">
        <v>6.5</v>
      </c>
      <c r="I272" s="19">
        <v>138695</v>
      </c>
      <c r="J272" s="19">
        <v>119584</v>
      </c>
      <c r="K272" s="19" t="s">
        <v>5028</v>
      </c>
      <c r="L272" s="40" t="s">
        <v>577</v>
      </c>
      <c r="M272" s="19" t="s">
        <v>75</v>
      </c>
      <c r="N272" s="19">
        <v>3.4</v>
      </c>
    </row>
    <row r="273" spans="1:14">
      <c r="A273" s="18" t="s">
        <v>5543</v>
      </c>
      <c r="B273" s="18" t="s">
        <v>485</v>
      </c>
      <c r="C273" s="18" t="s">
        <v>138</v>
      </c>
      <c r="D273" s="18" t="s">
        <v>89</v>
      </c>
      <c r="E273" s="18" t="s">
        <v>5051</v>
      </c>
      <c r="F273" s="18">
        <v>8.1999999999999993</v>
      </c>
      <c r="G273" s="18">
        <v>6</v>
      </c>
      <c r="H273" s="18">
        <v>7.1</v>
      </c>
      <c r="I273" s="18">
        <v>83164</v>
      </c>
      <c r="J273" s="18">
        <v>74589</v>
      </c>
      <c r="K273" s="18" t="s">
        <v>5017</v>
      </c>
      <c r="L273" s="41" t="s">
        <v>2144</v>
      </c>
      <c r="M273" s="18" t="s">
        <v>46</v>
      </c>
      <c r="N273" s="18">
        <v>1.7</v>
      </c>
    </row>
    <row r="274" spans="1:14">
      <c r="A274" s="19" t="s">
        <v>5544</v>
      </c>
      <c r="B274" s="19" t="s">
        <v>5545</v>
      </c>
      <c r="C274" s="19" t="s">
        <v>225</v>
      </c>
      <c r="D274" s="19" t="s">
        <v>176</v>
      </c>
      <c r="E274" s="19" t="s">
        <v>5051</v>
      </c>
      <c r="F274" s="19">
        <v>8.1</v>
      </c>
      <c r="G274" s="19">
        <v>9.1</v>
      </c>
      <c r="H274" s="19">
        <v>8.6</v>
      </c>
      <c r="I274" s="19">
        <v>89241</v>
      </c>
      <c r="J274" s="19">
        <v>81722</v>
      </c>
      <c r="K274" s="19" t="s">
        <v>5035</v>
      </c>
      <c r="L274" s="40" t="s">
        <v>1619</v>
      </c>
      <c r="M274" s="19" t="s">
        <v>149</v>
      </c>
      <c r="N274" s="19">
        <v>8.3000000000000007</v>
      </c>
    </row>
    <row r="275" spans="1:14">
      <c r="A275" s="18" t="s">
        <v>5546</v>
      </c>
      <c r="B275" s="18" t="s">
        <v>341</v>
      </c>
      <c r="C275" s="18" t="s">
        <v>25</v>
      </c>
      <c r="D275" s="18" t="s">
        <v>176</v>
      </c>
      <c r="E275" s="18" t="s">
        <v>5031</v>
      </c>
      <c r="F275" s="18">
        <v>8</v>
      </c>
      <c r="G275" s="18">
        <v>9.3000000000000007</v>
      </c>
      <c r="H275" s="18">
        <v>8.6999999999999993</v>
      </c>
      <c r="I275" s="18">
        <v>129943</v>
      </c>
      <c r="J275" s="18">
        <v>126265</v>
      </c>
      <c r="K275" s="18" t="s">
        <v>5017</v>
      </c>
      <c r="L275" s="41" t="s">
        <v>5547</v>
      </c>
      <c r="M275" s="18" t="s">
        <v>26</v>
      </c>
      <c r="N275" s="18">
        <v>14.4</v>
      </c>
    </row>
    <row r="276" spans="1:14">
      <c r="A276" s="19" t="s">
        <v>5548</v>
      </c>
      <c r="B276" s="19" t="s">
        <v>5549</v>
      </c>
      <c r="C276" s="19" t="s">
        <v>105</v>
      </c>
      <c r="D276" s="19" t="s">
        <v>24</v>
      </c>
      <c r="E276" s="19" t="s">
        <v>5060</v>
      </c>
      <c r="F276" s="19">
        <v>7.1</v>
      </c>
      <c r="G276" s="19">
        <v>3.7</v>
      </c>
      <c r="H276" s="19">
        <v>5.4</v>
      </c>
      <c r="I276" s="19">
        <v>193830</v>
      </c>
      <c r="J276" s="19"/>
      <c r="K276" s="19" t="s">
        <v>5017</v>
      </c>
      <c r="L276" s="40" t="s">
        <v>5140</v>
      </c>
      <c r="M276" s="19" t="s">
        <v>32</v>
      </c>
      <c r="N276" s="19">
        <v>11.7</v>
      </c>
    </row>
    <row r="277" spans="1:14">
      <c r="A277" s="18" t="s">
        <v>5550</v>
      </c>
      <c r="B277" s="18" t="s">
        <v>5551</v>
      </c>
      <c r="C277" s="18" t="s">
        <v>79</v>
      </c>
      <c r="D277" s="18" t="s">
        <v>84</v>
      </c>
      <c r="E277" s="18" t="s">
        <v>5016</v>
      </c>
      <c r="F277" s="18">
        <v>9</v>
      </c>
      <c r="G277" s="18">
        <v>4.8</v>
      </c>
      <c r="H277" s="18">
        <v>6.9</v>
      </c>
      <c r="I277" s="18">
        <v>137183</v>
      </c>
      <c r="J277" s="18"/>
      <c r="K277" s="18" t="s">
        <v>5035</v>
      </c>
      <c r="L277" s="41" t="s">
        <v>5552</v>
      </c>
      <c r="M277" s="18" t="s">
        <v>26</v>
      </c>
      <c r="N277" s="18">
        <v>7.5</v>
      </c>
    </row>
    <row r="278" spans="1:14">
      <c r="A278" s="19" t="s">
        <v>5553</v>
      </c>
      <c r="B278" s="19" t="s">
        <v>1259</v>
      </c>
      <c r="C278" s="19" t="s">
        <v>25</v>
      </c>
      <c r="D278" s="19" t="s">
        <v>24</v>
      </c>
      <c r="E278" s="19" t="s">
        <v>5019</v>
      </c>
      <c r="F278" s="19">
        <v>7.7</v>
      </c>
      <c r="G278" s="19">
        <v>6</v>
      </c>
      <c r="H278" s="19">
        <v>6.8</v>
      </c>
      <c r="I278" s="19">
        <v>171116</v>
      </c>
      <c r="J278" s="19">
        <v>171509</v>
      </c>
      <c r="K278" s="19" t="s">
        <v>5045</v>
      </c>
      <c r="L278" s="40" t="s">
        <v>796</v>
      </c>
      <c r="M278" s="19" t="s">
        <v>65</v>
      </c>
      <c r="N278" s="19">
        <v>15</v>
      </c>
    </row>
    <row r="279" spans="1:14">
      <c r="A279" s="18" t="s">
        <v>5554</v>
      </c>
      <c r="B279" s="18" t="s">
        <v>1175</v>
      </c>
      <c r="C279" s="18" t="s">
        <v>105</v>
      </c>
      <c r="D279" s="18" t="s">
        <v>176</v>
      </c>
      <c r="E279" s="18" t="s">
        <v>5051</v>
      </c>
      <c r="F279" s="18">
        <v>8.3000000000000007</v>
      </c>
      <c r="G279" s="18">
        <v>3.4</v>
      </c>
      <c r="H279" s="18">
        <v>5.9</v>
      </c>
      <c r="I279" s="18">
        <v>39946</v>
      </c>
      <c r="J279" s="18"/>
      <c r="K279" s="18" t="s">
        <v>5020</v>
      </c>
      <c r="L279" s="41" t="s">
        <v>1337</v>
      </c>
      <c r="M279" s="18" t="s">
        <v>32</v>
      </c>
      <c r="N279" s="18">
        <v>9.8000000000000007</v>
      </c>
    </row>
    <row r="280" spans="1:14">
      <c r="A280" s="19" t="s">
        <v>5555</v>
      </c>
      <c r="B280" s="19" t="s">
        <v>1183</v>
      </c>
      <c r="C280" s="19" t="s">
        <v>225</v>
      </c>
      <c r="D280" s="19" t="s">
        <v>24</v>
      </c>
      <c r="E280" s="19" t="s">
        <v>5025</v>
      </c>
      <c r="F280" s="19">
        <v>8.9</v>
      </c>
      <c r="G280" s="19">
        <v>5.8</v>
      </c>
      <c r="H280" s="19">
        <v>7.3</v>
      </c>
      <c r="I280" s="19">
        <v>44097</v>
      </c>
      <c r="J280" s="19">
        <v>49526</v>
      </c>
      <c r="K280" s="19" t="s">
        <v>5020</v>
      </c>
      <c r="L280" s="40" t="s">
        <v>5396</v>
      </c>
      <c r="M280" s="19" t="s">
        <v>32</v>
      </c>
      <c r="N280" s="19">
        <v>11.9</v>
      </c>
    </row>
    <row r="281" spans="1:14">
      <c r="A281" s="18" t="s">
        <v>5556</v>
      </c>
      <c r="B281" s="18" t="s">
        <v>5549</v>
      </c>
      <c r="C281" s="18" t="s">
        <v>79</v>
      </c>
      <c r="D281" s="18" t="s">
        <v>118</v>
      </c>
      <c r="E281" s="18" t="s">
        <v>5016</v>
      </c>
      <c r="F281" s="18">
        <v>7.8</v>
      </c>
      <c r="G281" s="18">
        <v>5.8</v>
      </c>
      <c r="H281" s="18">
        <v>6.8</v>
      </c>
      <c r="I281" s="18">
        <v>181711</v>
      </c>
      <c r="J281" s="18">
        <v>205471</v>
      </c>
      <c r="K281" s="18" t="s">
        <v>5020</v>
      </c>
      <c r="L281" s="41" t="s">
        <v>5531</v>
      </c>
      <c r="M281" s="18" t="s">
        <v>53</v>
      </c>
      <c r="N281" s="18">
        <v>5.7</v>
      </c>
    </row>
    <row r="282" spans="1:14">
      <c r="A282" s="19" t="s">
        <v>5557</v>
      </c>
      <c r="B282" s="19" t="s">
        <v>323</v>
      </c>
      <c r="C282" s="19" t="s">
        <v>79</v>
      </c>
      <c r="D282" s="19" t="s">
        <v>39</v>
      </c>
      <c r="E282" s="19" t="s">
        <v>5019</v>
      </c>
      <c r="F282" s="19">
        <v>6.6</v>
      </c>
      <c r="G282" s="19">
        <v>7.6</v>
      </c>
      <c r="H282" s="19">
        <v>7.1</v>
      </c>
      <c r="I282" s="19">
        <v>185381</v>
      </c>
      <c r="J282" s="19">
        <v>174168</v>
      </c>
      <c r="K282" s="19" t="s">
        <v>5020</v>
      </c>
      <c r="L282" s="40" t="s">
        <v>5309</v>
      </c>
      <c r="M282" s="19" t="s">
        <v>149</v>
      </c>
      <c r="N282" s="19">
        <v>7.1</v>
      </c>
    </row>
    <row r="283" spans="1:14">
      <c r="A283" s="18" t="s">
        <v>5558</v>
      </c>
      <c r="B283" s="18" t="s">
        <v>5559</v>
      </c>
      <c r="C283" s="18" t="s">
        <v>5040</v>
      </c>
      <c r="D283" s="18" t="s">
        <v>24</v>
      </c>
      <c r="E283" s="18" t="s">
        <v>5031</v>
      </c>
      <c r="F283" s="18">
        <v>6</v>
      </c>
      <c r="G283" s="18">
        <v>8.1</v>
      </c>
      <c r="H283" s="18">
        <v>7</v>
      </c>
      <c r="I283" s="18">
        <v>54183</v>
      </c>
      <c r="J283" s="18">
        <v>50590</v>
      </c>
      <c r="K283" s="18" t="s">
        <v>5035</v>
      </c>
      <c r="L283" s="41" t="s">
        <v>5560</v>
      </c>
      <c r="M283" s="18" t="s">
        <v>75</v>
      </c>
      <c r="N283" s="18">
        <v>8.3000000000000007</v>
      </c>
    </row>
    <row r="284" spans="1:14">
      <c r="A284" s="19" t="s">
        <v>5561</v>
      </c>
      <c r="B284" s="19" t="s">
        <v>5562</v>
      </c>
      <c r="C284" s="19" t="s">
        <v>335</v>
      </c>
      <c r="D284" s="19" t="s">
        <v>16</v>
      </c>
      <c r="E284" s="19" t="s">
        <v>5060</v>
      </c>
      <c r="F284" s="19">
        <v>9.5</v>
      </c>
      <c r="G284" s="19">
        <v>3.5</v>
      </c>
      <c r="H284" s="19">
        <v>6.5</v>
      </c>
      <c r="I284" s="19">
        <v>141548</v>
      </c>
      <c r="J284" s="19">
        <v>122047</v>
      </c>
      <c r="K284" s="19" t="s">
        <v>5045</v>
      </c>
      <c r="L284" s="40" t="s">
        <v>676</v>
      </c>
      <c r="M284" s="19" t="s">
        <v>214</v>
      </c>
      <c r="N284" s="19">
        <v>4.0999999999999996</v>
      </c>
    </row>
    <row r="285" spans="1:14">
      <c r="A285" s="18" t="s">
        <v>5563</v>
      </c>
      <c r="B285" s="18" t="s">
        <v>482</v>
      </c>
      <c r="C285" s="18" t="s">
        <v>138</v>
      </c>
      <c r="D285" s="18" t="s">
        <v>89</v>
      </c>
      <c r="E285" s="18" t="s">
        <v>5060</v>
      </c>
      <c r="F285" s="18">
        <v>5.2</v>
      </c>
      <c r="G285" s="18">
        <v>4.5</v>
      </c>
      <c r="H285" s="18">
        <v>4.8</v>
      </c>
      <c r="I285" s="18">
        <v>79436</v>
      </c>
      <c r="J285" s="18">
        <v>70245</v>
      </c>
      <c r="K285" s="18" t="s">
        <v>5017</v>
      </c>
      <c r="L285" s="41" t="s">
        <v>5564</v>
      </c>
      <c r="M285" s="18" t="s">
        <v>172</v>
      </c>
      <c r="N285" s="18">
        <v>9.6</v>
      </c>
    </row>
    <row r="286" spans="1:14">
      <c r="A286" s="19" t="s">
        <v>5565</v>
      </c>
      <c r="B286" s="19" t="s">
        <v>1366</v>
      </c>
      <c r="C286" s="19" t="s">
        <v>98</v>
      </c>
      <c r="D286" s="19" t="s">
        <v>63</v>
      </c>
      <c r="E286" s="19" t="s">
        <v>5023</v>
      </c>
      <c r="F286" s="19">
        <v>6.3</v>
      </c>
      <c r="G286" s="19">
        <v>6.2</v>
      </c>
      <c r="H286" s="19">
        <v>6.2</v>
      </c>
      <c r="I286" s="19">
        <v>132104</v>
      </c>
      <c r="J286" s="19">
        <v>148960</v>
      </c>
      <c r="K286" s="19" t="s">
        <v>5028</v>
      </c>
      <c r="L286" s="40" t="s">
        <v>1894</v>
      </c>
      <c r="M286" s="19" t="s">
        <v>172</v>
      </c>
      <c r="N286" s="19">
        <v>8.1</v>
      </c>
    </row>
    <row r="287" spans="1:14">
      <c r="A287" s="18" t="s">
        <v>5566</v>
      </c>
      <c r="B287" s="18" t="s">
        <v>5567</v>
      </c>
      <c r="C287" s="18" t="s">
        <v>98</v>
      </c>
      <c r="D287" s="18" t="s">
        <v>51</v>
      </c>
      <c r="E287" s="18" t="s">
        <v>5019</v>
      </c>
      <c r="F287" s="18">
        <v>9.9</v>
      </c>
      <c r="G287" s="18">
        <v>5.5</v>
      </c>
      <c r="H287" s="18">
        <v>7.7</v>
      </c>
      <c r="I287" s="18">
        <v>77263</v>
      </c>
      <c r="J287" s="18">
        <v>81595</v>
      </c>
      <c r="K287" s="18" t="s">
        <v>5045</v>
      </c>
      <c r="L287" s="41" t="s">
        <v>1965</v>
      </c>
      <c r="M287" s="18" t="s">
        <v>75</v>
      </c>
      <c r="N287" s="18">
        <v>2.6</v>
      </c>
    </row>
    <row r="288" spans="1:14">
      <c r="A288" s="19" t="s">
        <v>5568</v>
      </c>
      <c r="B288" s="19" t="s">
        <v>5344</v>
      </c>
      <c r="C288" s="19" t="s">
        <v>25</v>
      </c>
      <c r="D288" s="19" t="s">
        <v>118</v>
      </c>
      <c r="E288" s="19" t="s">
        <v>5023</v>
      </c>
      <c r="F288" s="19">
        <v>4.7</v>
      </c>
      <c r="G288" s="19">
        <v>9.1999999999999993</v>
      </c>
      <c r="H288" s="19">
        <v>6.9</v>
      </c>
      <c r="I288" s="19">
        <v>125763</v>
      </c>
      <c r="J288" s="19">
        <v>140837</v>
      </c>
      <c r="K288" s="19" t="s">
        <v>5045</v>
      </c>
      <c r="L288" s="40" t="s">
        <v>1011</v>
      </c>
      <c r="M288" s="19" t="s">
        <v>70</v>
      </c>
      <c r="N288" s="19">
        <v>8.4</v>
      </c>
    </row>
    <row r="289" spans="1:14">
      <c r="A289" s="18" t="s">
        <v>5569</v>
      </c>
      <c r="B289" s="18" t="s">
        <v>1188</v>
      </c>
      <c r="C289" s="18" t="s">
        <v>153</v>
      </c>
      <c r="D289" s="18" t="s">
        <v>89</v>
      </c>
      <c r="E289" s="18" t="s">
        <v>5019</v>
      </c>
      <c r="F289" s="18">
        <v>3.8</v>
      </c>
      <c r="G289" s="18">
        <v>5.8</v>
      </c>
      <c r="H289" s="18">
        <v>4.8</v>
      </c>
      <c r="I289" s="18">
        <v>171503</v>
      </c>
      <c r="J289" s="18">
        <v>192081</v>
      </c>
      <c r="K289" s="18" t="s">
        <v>5045</v>
      </c>
      <c r="L289" s="41" t="s">
        <v>1238</v>
      </c>
      <c r="M289" s="18" t="s">
        <v>65</v>
      </c>
      <c r="N289" s="18">
        <v>6.1</v>
      </c>
    </row>
    <row r="290" spans="1:14">
      <c r="A290" s="19" t="s">
        <v>5570</v>
      </c>
      <c r="B290" s="19" t="s">
        <v>823</v>
      </c>
      <c r="C290" s="19" t="s">
        <v>98</v>
      </c>
      <c r="D290" s="19" t="s">
        <v>89</v>
      </c>
      <c r="E290" s="19" t="s">
        <v>5016</v>
      </c>
      <c r="F290" s="19">
        <v>6.9</v>
      </c>
      <c r="G290" s="19">
        <v>8.6999999999999993</v>
      </c>
      <c r="H290" s="19">
        <v>7.8</v>
      </c>
      <c r="I290" s="19">
        <v>50624</v>
      </c>
      <c r="J290" s="19">
        <v>54243</v>
      </c>
      <c r="K290" s="19" t="s">
        <v>5017</v>
      </c>
      <c r="L290" s="40" t="s">
        <v>5571</v>
      </c>
      <c r="M290" s="19" t="s">
        <v>18</v>
      </c>
      <c r="N290" s="19">
        <v>12.4</v>
      </c>
    </row>
    <row r="291" spans="1:14">
      <c r="A291" s="18" t="s">
        <v>5572</v>
      </c>
      <c r="B291" s="18" t="s">
        <v>5573</v>
      </c>
      <c r="C291" s="18" t="s">
        <v>5040</v>
      </c>
      <c r="D291" s="18" t="s">
        <v>176</v>
      </c>
      <c r="E291" s="18" t="s">
        <v>5031</v>
      </c>
      <c r="F291" s="18">
        <v>9.8000000000000007</v>
      </c>
      <c r="G291" s="18">
        <v>9.1</v>
      </c>
      <c r="H291" s="18">
        <v>9.4</v>
      </c>
      <c r="I291" s="18">
        <v>197122</v>
      </c>
      <c r="J291" s="18"/>
      <c r="K291" s="18" t="s">
        <v>5020</v>
      </c>
      <c r="L291" s="41" t="s">
        <v>5574</v>
      </c>
      <c r="M291" s="18" t="s">
        <v>46</v>
      </c>
      <c r="N291" s="18">
        <v>3.8</v>
      </c>
    </row>
    <row r="292" spans="1:14">
      <c r="A292" s="19" t="s">
        <v>5575</v>
      </c>
      <c r="B292" s="19" t="s">
        <v>5576</v>
      </c>
      <c r="C292" s="19" t="s">
        <v>225</v>
      </c>
      <c r="D292" s="19" t="s">
        <v>16</v>
      </c>
      <c r="E292" s="19" t="s">
        <v>5051</v>
      </c>
      <c r="F292" s="19">
        <v>5.3</v>
      </c>
      <c r="G292" s="19">
        <v>9.6999999999999993</v>
      </c>
      <c r="H292" s="19">
        <v>7.5</v>
      </c>
      <c r="I292" s="19">
        <v>115759</v>
      </c>
      <c r="J292" s="19">
        <v>107138</v>
      </c>
      <c r="K292" s="19" t="s">
        <v>5017</v>
      </c>
      <c r="L292" s="40" t="s">
        <v>5577</v>
      </c>
      <c r="M292" s="19" t="s">
        <v>75</v>
      </c>
      <c r="N292" s="19">
        <v>5</v>
      </c>
    </row>
    <row r="293" spans="1:14">
      <c r="A293" s="18" t="s">
        <v>5578</v>
      </c>
      <c r="B293" s="18" t="s">
        <v>372</v>
      </c>
      <c r="C293" s="18" t="s">
        <v>225</v>
      </c>
      <c r="D293" s="18" t="s">
        <v>133</v>
      </c>
      <c r="E293" s="18" t="s">
        <v>5023</v>
      </c>
      <c r="F293" s="18">
        <v>3.6</v>
      </c>
      <c r="G293" s="18">
        <v>8</v>
      </c>
      <c r="H293" s="18">
        <v>5.8</v>
      </c>
      <c r="I293" s="18">
        <v>155244</v>
      </c>
      <c r="J293" s="18">
        <v>145363</v>
      </c>
      <c r="K293" s="18" t="s">
        <v>5020</v>
      </c>
      <c r="L293" s="41" t="s">
        <v>1970</v>
      </c>
      <c r="M293" s="18" t="s">
        <v>26</v>
      </c>
      <c r="N293" s="18">
        <v>1.3</v>
      </c>
    </row>
    <row r="294" spans="1:14">
      <c r="A294" s="19" t="s">
        <v>5579</v>
      </c>
      <c r="B294" s="19" t="s">
        <v>5233</v>
      </c>
      <c r="C294" s="19" t="s">
        <v>79</v>
      </c>
      <c r="D294" s="19" t="s">
        <v>63</v>
      </c>
      <c r="E294" s="19" t="s">
        <v>5060</v>
      </c>
      <c r="F294" s="19">
        <v>3.9</v>
      </c>
      <c r="G294" s="19">
        <v>9.4</v>
      </c>
      <c r="H294" s="19">
        <v>6.7</v>
      </c>
      <c r="I294" s="19">
        <v>96624</v>
      </c>
      <c r="J294" s="19">
        <v>93570</v>
      </c>
      <c r="K294" s="19" t="s">
        <v>5017</v>
      </c>
      <c r="L294" s="40" t="s">
        <v>2018</v>
      </c>
      <c r="M294" s="19" t="s">
        <v>114</v>
      </c>
      <c r="N294" s="19">
        <v>0.9</v>
      </c>
    </row>
    <row r="295" spans="1:14">
      <c r="A295" s="18" t="s">
        <v>5580</v>
      </c>
      <c r="B295" s="18" t="s">
        <v>798</v>
      </c>
      <c r="C295" s="18" t="s">
        <v>25</v>
      </c>
      <c r="D295" s="18" t="s">
        <v>118</v>
      </c>
      <c r="E295" s="18" t="s">
        <v>5019</v>
      </c>
      <c r="F295" s="18">
        <v>8.1</v>
      </c>
      <c r="G295" s="18">
        <v>3.7</v>
      </c>
      <c r="H295" s="18">
        <v>5.9</v>
      </c>
      <c r="I295" s="18">
        <v>109621</v>
      </c>
      <c r="J295" s="18">
        <v>109848</v>
      </c>
      <c r="K295" s="18" t="s">
        <v>5020</v>
      </c>
      <c r="L295" s="41" t="s">
        <v>5547</v>
      </c>
      <c r="M295" s="18" t="s">
        <v>70</v>
      </c>
      <c r="N295" s="18">
        <v>4.5</v>
      </c>
    </row>
    <row r="296" spans="1:14">
      <c r="A296" s="19" t="s">
        <v>5581</v>
      </c>
      <c r="B296" s="19" t="s">
        <v>1323</v>
      </c>
      <c r="C296" s="19" t="s">
        <v>335</v>
      </c>
      <c r="D296" s="19" t="s">
        <v>39</v>
      </c>
      <c r="E296" s="19" t="s">
        <v>5060</v>
      </c>
      <c r="F296" s="19">
        <v>4</v>
      </c>
      <c r="G296" s="19">
        <v>7.2</v>
      </c>
      <c r="H296" s="19">
        <v>5.6</v>
      </c>
      <c r="I296" s="19">
        <v>159474</v>
      </c>
      <c r="J296" s="19">
        <v>180080</v>
      </c>
      <c r="K296" s="19" t="s">
        <v>5035</v>
      </c>
      <c r="L296" s="40" t="s">
        <v>2037</v>
      </c>
      <c r="M296" s="19" t="s">
        <v>65</v>
      </c>
      <c r="N296" s="19">
        <v>5.0999999999999996</v>
      </c>
    </row>
    <row r="297" spans="1:14">
      <c r="A297" s="18" t="s">
        <v>5582</v>
      </c>
      <c r="B297" s="18" t="s">
        <v>631</v>
      </c>
      <c r="C297" s="18" t="s">
        <v>79</v>
      </c>
      <c r="D297" s="18" t="s">
        <v>133</v>
      </c>
      <c r="E297" s="18" t="s">
        <v>5031</v>
      </c>
      <c r="F297" s="18">
        <v>3.3</v>
      </c>
      <c r="G297" s="18">
        <v>6.9</v>
      </c>
      <c r="H297" s="18">
        <v>5.0999999999999996</v>
      </c>
      <c r="I297" s="18">
        <v>156595</v>
      </c>
      <c r="J297" s="18">
        <v>166550</v>
      </c>
      <c r="K297" s="18" t="s">
        <v>5045</v>
      </c>
      <c r="L297" s="41" t="s">
        <v>5474</v>
      </c>
      <c r="M297" s="18" t="s">
        <v>172</v>
      </c>
      <c r="N297" s="18">
        <v>6.8</v>
      </c>
    </row>
    <row r="298" spans="1:14">
      <c r="A298" s="19" t="s">
        <v>5583</v>
      </c>
      <c r="B298" s="19" t="s">
        <v>5261</v>
      </c>
      <c r="C298" s="19" t="s">
        <v>153</v>
      </c>
      <c r="D298" s="19" t="s">
        <v>133</v>
      </c>
      <c r="E298" s="19" t="s">
        <v>5077</v>
      </c>
      <c r="F298" s="19">
        <v>8</v>
      </c>
      <c r="G298" s="19">
        <v>5.2</v>
      </c>
      <c r="H298" s="19">
        <v>6.6</v>
      </c>
      <c r="I298" s="19">
        <v>93040</v>
      </c>
      <c r="J298" s="19">
        <v>93409</v>
      </c>
      <c r="K298" s="19" t="s">
        <v>5045</v>
      </c>
      <c r="L298" s="40" t="s">
        <v>1837</v>
      </c>
      <c r="M298" s="19" t="s">
        <v>32</v>
      </c>
      <c r="N298" s="19">
        <v>9</v>
      </c>
    </row>
    <row r="299" spans="1:14">
      <c r="A299" s="18" t="s">
        <v>5584</v>
      </c>
      <c r="B299" s="18" t="s">
        <v>1051</v>
      </c>
      <c r="C299" s="18" t="s">
        <v>153</v>
      </c>
      <c r="D299" s="18" t="s">
        <v>39</v>
      </c>
      <c r="E299" s="18" t="s">
        <v>5051</v>
      </c>
      <c r="F299" s="18">
        <v>4.8</v>
      </c>
      <c r="G299" s="18">
        <v>5.2</v>
      </c>
      <c r="H299" s="18">
        <v>5</v>
      </c>
      <c r="I299" s="18">
        <v>66731</v>
      </c>
      <c r="J299" s="18"/>
      <c r="K299" s="18" t="s">
        <v>5035</v>
      </c>
      <c r="L299" s="41" t="s">
        <v>1892</v>
      </c>
      <c r="M299" s="18" t="s">
        <v>32</v>
      </c>
      <c r="N299" s="18">
        <v>5.2</v>
      </c>
    </row>
    <row r="300" spans="1:14">
      <c r="A300" s="19" t="s">
        <v>5585</v>
      </c>
      <c r="B300" s="19" t="s">
        <v>420</v>
      </c>
      <c r="C300" s="19" t="s">
        <v>335</v>
      </c>
      <c r="D300" s="19" t="s">
        <v>63</v>
      </c>
      <c r="E300" s="19" t="s">
        <v>5051</v>
      </c>
      <c r="F300" s="19">
        <v>8.9</v>
      </c>
      <c r="G300" s="19">
        <v>9.8000000000000007</v>
      </c>
      <c r="H300" s="19">
        <v>9.4</v>
      </c>
      <c r="I300" s="19">
        <v>63519</v>
      </c>
      <c r="J300" s="19">
        <v>56728</v>
      </c>
      <c r="K300" s="19" t="s">
        <v>5017</v>
      </c>
      <c r="L300" s="40" t="s">
        <v>5106</v>
      </c>
      <c r="M300" s="19" t="s">
        <v>18</v>
      </c>
      <c r="N300" s="19">
        <v>8.6999999999999993</v>
      </c>
    </row>
    <row r="301" spans="1:14">
      <c r="A301" s="18" t="s">
        <v>5586</v>
      </c>
      <c r="B301" s="18" t="s">
        <v>5587</v>
      </c>
      <c r="C301" s="18" t="s">
        <v>335</v>
      </c>
      <c r="D301" s="18" t="s">
        <v>39</v>
      </c>
      <c r="E301" s="18" t="s">
        <v>5031</v>
      </c>
      <c r="F301" s="18">
        <v>9.6999999999999993</v>
      </c>
      <c r="G301" s="18">
        <v>6.5</v>
      </c>
      <c r="H301" s="18">
        <v>8.1</v>
      </c>
      <c r="I301" s="18">
        <v>88380</v>
      </c>
      <c r="J301" s="18">
        <v>75211</v>
      </c>
      <c r="K301" s="18" t="s">
        <v>5045</v>
      </c>
      <c r="L301" s="41" t="s">
        <v>474</v>
      </c>
      <c r="M301" s="18" t="s">
        <v>172</v>
      </c>
      <c r="N301" s="18">
        <v>0.9</v>
      </c>
    </row>
    <row r="302" spans="1:14">
      <c r="A302" s="19" t="s">
        <v>5588</v>
      </c>
      <c r="B302" s="19" t="s">
        <v>5589</v>
      </c>
      <c r="C302" s="19" t="s">
        <v>105</v>
      </c>
      <c r="D302" s="19" t="s">
        <v>24</v>
      </c>
      <c r="E302" s="19" t="s">
        <v>5051</v>
      </c>
      <c r="F302" s="19">
        <v>3.6</v>
      </c>
      <c r="G302" s="19">
        <v>8</v>
      </c>
      <c r="H302" s="19">
        <v>5.8</v>
      </c>
      <c r="I302" s="19"/>
      <c r="J302" s="19">
        <v>116805</v>
      </c>
      <c r="K302" s="19" t="s">
        <v>5045</v>
      </c>
      <c r="L302" s="40" t="s">
        <v>5590</v>
      </c>
      <c r="M302" s="19" t="s">
        <v>172</v>
      </c>
      <c r="N302" s="19">
        <v>4.8</v>
      </c>
    </row>
    <row r="303" spans="1:14">
      <c r="A303" s="18" t="s">
        <v>5591</v>
      </c>
      <c r="B303" s="18" t="s">
        <v>1175</v>
      </c>
      <c r="C303" s="18" t="s">
        <v>90</v>
      </c>
      <c r="D303" s="18" t="s">
        <v>176</v>
      </c>
      <c r="E303" s="18" t="s">
        <v>5060</v>
      </c>
      <c r="F303" s="18">
        <v>9.1</v>
      </c>
      <c r="G303" s="18">
        <v>8.6999999999999993</v>
      </c>
      <c r="H303" s="18">
        <v>8.9</v>
      </c>
      <c r="I303" s="18">
        <v>74146</v>
      </c>
      <c r="J303" s="18">
        <v>71583</v>
      </c>
      <c r="K303" s="18" t="s">
        <v>5020</v>
      </c>
      <c r="L303" s="41" t="s">
        <v>1192</v>
      </c>
      <c r="M303" s="18" t="s">
        <v>53</v>
      </c>
      <c r="N303" s="18">
        <v>1.5</v>
      </c>
    </row>
    <row r="304" spans="1:14">
      <c r="A304" s="19" t="s">
        <v>5592</v>
      </c>
      <c r="B304" s="19" t="s">
        <v>650</v>
      </c>
      <c r="C304" s="19" t="s">
        <v>90</v>
      </c>
      <c r="D304" s="19" t="s">
        <v>176</v>
      </c>
      <c r="E304" s="19" t="s">
        <v>5051</v>
      </c>
      <c r="F304" s="19">
        <v>3.4</v>
      </c>
      <c r="G304" s="19">
        <v>4.0999999999999996</v>
      </c>
      <c r="H304" s="19">
        <v>3.8</v>
      </c>
      <c r="I304" s="19">
        <v>48001</v>
      </c>
      <c r="J304" s="19">
        <v>52180</v>
      </c>
      <c r="K304" s="19" t="s">
        <v>5028</v>
      </c>
      <c r="L304" s="40" t="s">
        <v>86</v>
      </c>
      <c r="M304" s="19" t="s">
        <v>149</v>
      </c>
      <c r="N304" s="19">
        <v>8.4</v>
      </c>
    </row>
    <row r="305" spans="1:14">
      <c r="A305" s="18" t="s">
        <v>5593</v>
      </c>
      <c r="B305" s="18" t="s">
        <v>5594</v>
      </c>
      <c r="C305" s="18" t="s">
        <v>79</v>
      </c>
      <c r="D305" s="18" t="s">
        <v>89</v>
      </c>
      <c r="E305" s="18" t="s">
        <v>5077</v>
      </c>
      <c r="F305" s="18">
        <v>8.6</v>
      </c>
      <c r="G305" s="18">
        <v>7.2</v>
      </c>
      <c r="H305" s="18">
        <v>7.9</v>
      </c>
      <c r="I305" s="18">
        <v>193574</v>
      </c>
      <c r="J305" s="18">
        <v>191313</v>
      </c>
      <c r="K305" s="18" t="s">
        <v>5045</v>
      </c>
      <c r="L305" s="41" t="s">
        <v>5595</v>
      </c>
      <c r="M305" s="18" t="s">
        <v>53</v>
      </c>
      <c r="N305" s="18">
        <v>6.8</v>
      </c>
    </row>
    <row r="306" spans="1:14">
      <c r="A306" s="19" t="s">
        <v>5596</v>
      </c>
      <c r="B306" s="19" t="s">
        <v>5305</v>
      </c>
      <c r="C306" s="19" t="s">
        <v>90</v>
      </c>
      <c r="D306" s="19" t="s">
        <v>39</v>
      </c>
      <c r="E306" s="19" t="s">
        <v>5016</v>
      </c>
      <c r="F306" s="19">
        <v>3.2</v>
      </c>
      <c r="G306" s="19">
        <v>8.4</v>
      </c>
      <c r="H306" s="19">
        <v>5.8</v>
      </c>
      <c r="I306" s="19">
        <v>129624</v>
      </c>
      <c r="J306" s="19"/>
      <c r="K306" s="19" t="s">
        <v>5020</v>
      </c>
      <c r="L306" s="40" t="s">
        <v>5597</v>
      </c>
      <c r="M306" s="19" t="s">
        <v>214</v>
      </c>
      <c r="N306" s="19">
        <v>6.1</v>
      </c>
    </row>
    <row r="307" spans="1:14">
      <c r="A307" s="18" t="s">
        <v>5598</v>
      </c>
      <c r="B307" s="18" t="s">
        <v>5201</v>
      </c>
      <c r="C307" s="18" t="s">
        <v>335</v>
      </c>
      <c r="D307" s="18" t="s">
        <v>89</v>
      </c>
      <c r="E307" s="18" t="s">
        <v>5019</v>
      </c>
      <c r="F307" s="18">
        <v>6.6</v>
      </c>
      <c r="G307" s="18">
        <v>4.8</v>
      </c>
      <c r="H307" s="18">
        <v>5.7</v>
      </c>
      <c r="I307" s="18">
        <v>77481</v>
      </c>
      <c r="J307" s="18"/>
      <c r="K307" s="18" t="s">
        <v>5035</v>
      </c>
      <c r="L307" s="41" t="s">
        <v>1217</v>
      </c>
      <c r="M307" s="18" t="s">
        <v>53</v>
      </c>
      <c r="N307" s="18">
        <v>4.7</v>
      </c>
    </row>
    <row r="308" spans="1:14">
      <c r="A308" s="19" t="s">
        <v>5599</v>
      </c>
      <c r="B308" s="19" t="s">
        <v>5280</v>
      </c>
      <c r="C308" s="19" t="s">
        <v>153</v>
      </c>
      <c r="D308" s="19" t="s">
        <v>16</v>
      </c>
      <c r="E308" s="19" t="s">
        <v>5031</v>
      </c>
      <c r="F308" s="19">
        <v>9.5</v>
      </c>
      <c r="G308" s="19">
        <v>9.1999999999999993</v>
      </c>
      <c r="H308" s="19">
        <v>9.3000000000000007</v>
      </c>
      <c r="I308" s="19">
        <v>155428</v>
      </c>
      <c r="J308" s="19">
        <v>139010</v>
      </c>
      <c r="K308" s="19" t="s">
        <v>5017</v>
      </c>
      <c r="L308" s="40" t="s">
        <v>438</v>
      </c>
      <c r="M308" s="19" t="s">
        <v>18</v>
      </c>
      <c r="N308" s="19">
        <v>12.9</v>
      </c>
    </row>
    <row r="309" spans="1:14">
      <c r="A309" s="18" t="s">
        <v>5600</v>
      </c>
      <c r="B309" s="18" t="s">
        <v>235</v>
      </c>
      <c r="C309" s="18" t="s">
        <v>335</v>
      </c>
      <c r="D309" s="18" t="s">
        <v>39</v>
      </c>
      <c r="E309" s="18" t="s">
        <v>5031</v>
      </c>
      <c r="F309" s="18">
        <v>8.6</v>
      </c>
      <c r="G309" s="18">
        <v>4.5999999999999996</v>
      </c>
      <c r="H309" s="18">
        <v>6.6</v>
      </c>
      <c r="I309" s="18">
        <v>34022</v>
      </c>
      <c r="J309" s="18">
        <v>36059</v>
      </c>
      <c r="K309" s="18" t="s">
        <v>5045</v>
      </c>
      <c r="L309" s="41" t="s">
        <v>5601</v>
      </c>
      <c r="M309" s="18" t="s">
        <v>149</v>
      </c>
      <c r="N309" s="18">
        <v>10.6</v>
      </c>
    </row>
    <row r="310" spans="1:14">
      <c r="A310" s="19" t="s">
        <v>5602</v>
      </c>
      <c r="B310" s="19" t="s">
        <v>5103</v>
      </c>
      <c r="C310" s="19" t="s">
        <v>105</v>
      </c>
      <c r="D310" s="19" t="s">
        <v>39</v>
      </c>
      <c r="E310" s="19" t="s">
        <v>5077</v>
      </c>
      <c r="F310" s="19">
        <v>3.9</v>
      </c>
      <c r="G310" s="19">
        <v>9.1</v>
      </c>
      <c r="H310" s="19">
        <v>6.5</v>
      </c>
      <c r="I310" s="19">
        <v>150694</v>
      </c>
      <c r="J310" s="19"/>
      <c r="K310" s="19" t="s">
        <v>5035</v>
      </c>
      <c r="L310" s="40" t="s">
        <v>614</v>
      </c>
      <c r="M310" s="19" t="s">
        <v>172</v>
      </c>
      <c r="N310" s="19">
        <v>1.6</v>
      </c>
    </row>
    <row r="311" spans="1:14">
      <c r="A311" s="18" t="s">
        <v>5603</v>
      </c>
      <c r="B311" s="18" t="s">
        <v>5604</v>
      </c>
      <c r="C311" s="18" t="s">
        <v>5040</v>
      </c>
      <c r="D311" s="18" t="s">
        <v>89</v>
      </c>
      <c r="E311" s="18" t="s">
        <v>5019</v>
      </c>
      <c r="F311" s="18">
        <v>7.1</v>
      </c>
      <c r="G311" s="18">
        <v>4.5</v>
      </c>
      <c r="H311" s="18">
        <v>5.8</v>
      </c>
      <c r="I311" s="18">
        <v>28408</v>
      </c>
      <c r="J311" s="18">
        <v>24686</v>
      </c>
      <c r="K311" s="18" t="s">
        <v>5028</v>
      </c>
      <c r="L311" s="41" t="s">
        <v>1718</v>
      </c>
      <c r="M311" s="18" t="s">
        <v>65</v>
      </c>
      <c r="N311" s="18">
        <v>1.7</v>
      </c>
    </row>
    <row r="312" spans="1:14">
      <c r="A312" s="19" t="s">
        <v>5605</v>
      </c>
      <c r="B312" s="19" t="s">
        <v>5276</v>
      </c>
      <c r="C312" s="19" t="s">
        <v>79</v>
      </c>
      <c r="D312" s="19" t="s">
        <v>16</v>
      </c>
      <c r="E312" s="19" t="s">
        <v>5019</v>
      </c>
      <c r="F312" s="19">
        <v>8.8000000000000007</v>
      </c>
      <c r="G312" s="19">
        <v>6.9</v>
      </c>
      <c r="H312" s="19">
        <v>7.9</v>
      </c>
      <c r="I312" s="19">
        <v>93262</v>
      </c>
      <c r="J312" s="19">
        <v>99761</v>
      </c>
      <c r="K312" s="19" t="s">
        <v>5020</v>
      </c>
      <c r="L312" s="40" t="s">
        <v>5606</v>
      </c>
      <c r="M312" s="19" t="s">
        <v>172</v>
      </c>
      <c r="N312" s="19">
        <v>4.4000000000000004</v>
      </c>
    </row>
    <row r="313" spans="1:14">
      <c r="A313" s="18" t="s">
        <v>5607</v>
      </c>
      <c r="B313" s="18" t="s">
        <v>171</v>
      </c>
      <c r="C313" s="18" t="s">
        <v>25</v>
      </c>
      <c r="D313" s="18" t="s">
        <v>16</v>
      </c>
      <c r="E313" s="18" t="s">
        <v>5025</v>
      </c>
      <c r="F313" s="18">
        <v>5.6</v>
      </c>
      <c r="G313" s="18">
        <v>3.1</v>
      </c>
      <c r="H313" s="18">
        <v>4.3</v>
      </c>
      <c r="I313" s="18">
        <v>196162</v>
      </c>
      <c r="J313" s="18">
        <v>212259</v>
      </c>
      <c r="K313" s="18" t="s">
        <v>5045</v>
      </c>
      <c r="L313" s="41" t="s">
        <v>5608</v>
      </c>
      <c r="M313" s="18" t="s">
        <v>65</v>
      </c>
      <c r="N313" s="18">
        <v>6.8</v>
      </c>
    </row>
    <row r="314" spans="1:14">
      <c r="A314" s="19" t="s">
        <v>5609</v>
      </c>
      <c r="B314" s="19" t="s">
        <v>851</v>
      </c>
      <c r="C314" s="19" t="s">
        <v>98</v>
      </c>
      <c r="D314" s="19" t="s">
        <v>118</v>
      </c>
      <c r="E314" s="19" t="s">
        <v>5019</v>
      </c>
      <c r="F314" s="19">
        <v>5</v>
      </c>
      <c r="G314" s="19">
        <v>4.0999999999999996</v>
      </c>
      <c r="H314" s="19">
        <v>4.5</v>
      </c>
      <c r="I314" s="19">
        <v>55934</v>
      </c>
      <c r="J314" s="19">
        <v>57190</v>
      </c>
      <c r="K314" s="19" t="s">
        <v>5045</v>
      </c>
      <c r="L314" s="40" t="s">
        <v>5610</v>
      </c>
      <c r="M314" s="19" t="s">
        <v>114</v>
      </c>
      <c r="N314" s="19">
        <v>4.5</v>
      </c>
    </row>
    <row r="315" spans="1:14">
      <c r="A315" s="18" t="s">
        <v>5611</v>
      </c>
      <c r="B315" s="18" t="s">
        <v>5612</v>
      </c>
      <c r="C315" s="18" t="s">
        <v>153</v>
      </c>
      <c r="D315" s="18" t="s">
        <v>84</v>
      </c>
      <c r="E315" s="18" t="s">
        <v>5019</v>
      </c>
      <c r="F315" s="18">
        <v>7</v>
      </c>
      <c r="G315" s="18">
        <v>9.4</v>
      </c>
      <c r="H315" s="18">
        <v>8.1999999999999993</v>
      </c>
      <c r="I315" s="18">
        <v>66016</v>
      </c>
      <c r="J315" s="18"/>
      <c r="K315" s="18" t="s">
        <v>5035</v>
      </c>
      <c r="L315" s="41" t="s">
        <v>2277</v>
      </c>
      <c r="M315" s="18" t="s">
        <v>75</v>
      </c>
      <c r="N315" s="18">
        <v>8.5</v>
      </c>
    </row>
    <row r="316" spans="1:14">
      <c r="A316" s="19" t="s">
        <v>5613</v>
      </c>
      <c r="B316" s="19" t="s">
        <v>1293</v>
      </c>
      <c r="C316" s="19" t="s">
        <v>98</v>
      </c>
      <c r="D316" s="19" t="s">
        <v>51</v>
      </c>
      <c r="E316" s="19" t="s">
        <v>5025</v>
      </c>
      <c r="F316" s="19">
        <v>4.3</v>
      </c>
      <c r="G316" s="19">
        <v>8.3000000000000007</v>
      </c>
      <c r="H316" s="19">
        <v>6.3</v>
      </c>
      <c r="I316" s="19">
        <v>80456</v>
      </c>
      <c r="J316" s="19">
        <v>77006</v>
      </c>
      <c r="K316" s="19" t="s">
        <v>5028</v>
      </c>
      <c r="L316" s="40" t="s">
        <v>5614</v>
      </c>
      <c r="M316" s="19" t="s">
        <v>18</v>
      </c>
      <c r="N316" s="19">
        <v>10.3</v>
      </c>
    </row>
    <row r="317" spans="1:14">
      <c r="A317" s="18" t="s">
        <v>5615</v>
      </c>
      <c r="B317" s="18" t="s">
        <v>5053</v>
      </c>
      <c r="C317" s="18" t="s">
        <v>79</v>
      </c>
      <c r="D317" s="18" t="s">
        <v>89</v>
      </c>
      <c r="E317" s="18" t="s">
        <v>5016</v>
      </c>
      <c r="F317" s="18">
        <v>4.8</v>
      </c>
      <c r="G317" s="18">
        <v>4.9000000000000004</v>
      </c>
      <c r="H317" s="18">
        <v>4.8</v>
      </c>
      <c r="I317" s="18">
        <v>63501</v>
      </c>
      <c r="J317" s="18">
        <v>69537</v>
      </c>
      <c r="K317" s="18" t="s">
        <v>5035</v>
      </c>
      <c r="L317" s="41" t="s">
        <v>2307</v>
      </c>
      <c r="M317" s="18" t="s">
        <v>70</v>
      </c>
      <c r="N317" s="18">
        <v>13.7</v>
      </c>
    </row>
    <row r="318" spans="1:14">
      <c r="A318" s="19" t="s">
        <v>5616</v>
      </c>
      <c r="B318" s="19" t="s">
        <v>551</v>
      </c>
      <c r="C318" s="19" t="s">
        <v>98</v>
      </c>
      <c r="D318" s="19" t="s">
        <v>39</v>
      </c>
      <c r="E318" s="19" t="s">
        <v>5051</v>
      </c>
      <c r="F318" s="19">
        <v>6.3</v>
      </c>
      <c r="G318" s="19">
        <v>9.1999999999999993</v>
      </c>
      <c r="H318" s="19">
        <v>7.8</v>
      </c>
      <c r="I318" s="19">
        <v>88004</v>
      </c>
      <c r="J318" s="19">
        <v>99946</v>
      </c>
      <c r="K318" s="19" t="s">
        <v>5017</v>
      </c>
      <c r="L318" s="40" t="s">
        <v>5617</v>
      </c>
      <c r="M318" s="19" t="s">
        <v>32</v>
      </c>
      <c r="N318" s="19">
        <v>6.6</v>
      </c>
    </row>
    <row r="319" spans="1:14">
      <c r="A319" s="18" t="s">
        <v>5618</v>
      </c>
      <c r="B319" s="18" t="s">
        <v>1376</v>
      </c>
      <c r="C319" s="18" t="s">
        <v>105</v>
      </c>
      <c r="D319" s="18" t="s">
        <v>39</v>
      </c>
      <c r="E319" s="18" t="s">
        <v>5031</v>
      </c>
      <c r="F319" s="18">
        <v>3.3</v>
      </c>
      <c r="G319" s="18"/>
      <c r="H319" s="18">
        <v>3.3</v>
      </c>
      <c r="I319" s="18">
        <v>40945</v>
      </c>
      <c r="J319" s="18"/>
      <c r="K319" s="18" t="s">
        <v>5020</v>
      </c>
      <c r="L319" s="41" t="s">
        <v>5619</v>
      </c>
      <c r="M319" s="18" t="s">
        <v>70</v>
      </c>
      <c r="N319" s="18">
        <v>10.1</v>
      </c>
    </row>
    <row r="320" spans="1:14">
      <c r="A320" s="19" t="s">
        <v>5620</v>
      </c>
      <c r="B320" s="19" t="s">
        <v>769</v>
      </c>
      <c r="C320" s="19" t="s">
        <v>25</v>
      </c>
      <c r="D320" s="19" t="s">
        <v>39</v>
      </c>
      <c r="E320" s="19" t="s">
        <v>5023</v>
      </c>
      <c r="F320" s="19">
        <v>6.6</v>
      </c>
      <c r="G320" s="19">
        <v>4.2</v>
      </c>
      <c r="H320" s="19">
        <v>5.4</v>
      </c>
      <c r="I320" s="19">
        <v>179888</v>
      </c>
      <c r="J320" s="19">
        <v>196221</v>
      </c>
      <c r="K320" s="19" t="s">
        <v>5017</v>
      </c>
      <c r="L320" s="40" t="s">
        <v>5621</v>
      </c>
      <c r="M320" s="19" t="s">
        <v>65</v>
      </c>
      <c r="N320" s="19">
        <v>10.199999999999999</v>
      </c>
    </row>
    <row r="321" spans="1:14">
      <c r="A321" s="18" t="s">
        <v>5622</v>
      </c>
      <c r="B321" s="18" t="s">
        <v>5155</v>
      </c>
      <c r="C321" s="18" t="s">
        <v>225</v>
      </c>
      <c r="D321" s="18" t="s">
        <v>176</v>
      </c>
      <c r="E321" s="18" t="s">
        <v>5016</v>
      </c>
      <c r="F321" s="18">
        <v>7.9</v>
      </c>
      <c r="G321" s="18">
        <v>8</v>
      </c>
      <c r="H321" s="18">
        <v>8</v>
      </c>
      <c r="I321" s="18">
        <v>31938</v>
      </c>
      <c r="J321" s="18"/>
      <c r="K321" s="18" t="s">
        <v>5017</v>
      </c>
      <c r="L321" s="41" t="s">
        <v>5289</v>
      </c>
      <c r="M321" s="18" t="s">
        <v>214</v>
      </c>
      <c r="N321" s="18">
        <v>11.3</v>
      </c>
    </row>
    <row r="322" spans="1:14">
      <c r="A322" s="19" t="s">
        <v>5623</v>
      </c>
      <c r="B322" s="19" t="s">
        <v>5624</v>
      </c>
      <c r="C322" s="19" t="s">
        <v>25</v>
      </c>
      <c r="D322" s="19" t="s">
        <v>89</v>
      </c>
      <c r="E322" s="19" t="s">
        <v>5023</v>
      </c>
      <c r="F322" s="19">
        <v>7.8</v>
      </c>
      <c r="G322" s="19">
        <v>9.4</v>
      </c>
      <c r="H322" s="19">
        <v>8.6</v>
      </c>
      <c r="I322" s="19">
        <v>124570</v>
      </c>
      <c r="J322" s="19">
        <v>141046</v>
      </c>
      <c r="K322" s="19" t="s">
        <v>5035</v>
      </c>
      <c r="L322" s="40" t="s">
        <v>2300</v>
      </c>
      <c r="M322" s="19" t="s">
        <v>26</v>
      </c>
      <c r="N322" s="19">
        <v>3.7</v>
      </c>
    </row>
    <row r="323" spans="1:14">
      <c r="A323" s="18" t="s">
        <v>5625</v>
      </c>
      <c r="B323" s="18" t="s">
        <v>548</v>
      </c>
      <c r="C323" s="18" t="s">
        <v>98</v>
      </c>
      <c r="D323" s="18" t="s">
        <v>84</v>
      </c>
      <c r="E323" s="18" t="s">
        <v>5016</v>
      </c>
      <c r="F323" s="18">
        <v>8.6999999999999993</v>
      </c>
      <c r="G323" s="18">
        <v>4.4000000000000004</v>
      </c>
      <c r="H323" s="18">
        <v>6.5</v>
      </c>
      <c r="I323" s="18"/>
      <c r="J323" s="18">
        <v>198221</v>
      </c>
      <c r="K323" s="18" t="s">
        <v>5020</v>
      </c>
      <c r="L323" s="41" t="s">
        <v>1961</v>
      </c>
      <c r="M323" s="18" t="s">
        <v>53</v>
      </c>
      <c r="N323" s="18">
        <v>5.4</v>
      </c>
    </row>
    <row r="324" spans="1:14">
      <c r="A324" s="19" t="s">
        <v>5626</v>
      </c>
      <c r="B324" s="19" t="s">
        <v>919</v>
      </c>
      <c r="C324" s="19" t="s">
        <v>335</v>
      </c>
      <c r="D324" s="19" t="s">
        <v>89</v>
      </c>
      <c r="E324" s="19" t="s">
        <v>5016</v>
      </c>
      <c r="F324" s="19">
        <v>10</v>
      </c>
      <c r="G324" s="19">
        <v>9.9</v>
      </c>
      <c r="H324" s="19">
        <v>9.9</v>
      </c>
      <c r="I324" s="19">
        <v>104587</v>
      </c>
      <c r="J324" s="19"/>
      <c r="K324" s="19" t="s">
        <v>5045</v>
      </c>
      <c r="L324" s="40" t="s">
        <v>5153</v>
      </c>
      <c r="M324" s="19" t="s">
        <v>75</v>
      </c>
      <c r="N324" s="19">
        <v>9.5</v>
      </c>
    </row>
    <row r="325" spans="1:14">
      <c r="A325" s="18" t="s">
        <v>5627</v>
      </c>
      <c r="B325" s="18" t="s">
        <v>5628</v>
      </c>
      <c r="C325" s="18" t="s">
        <v>5040</v>
      </c>
      <c r="D325" s="18" t="s">
        <v>176</v>
      </c>
      <c r="E325" s="18" t="s">
        <v>5031</v>
      </c>
      <c r="F325" s="18">
        <v>4.8</v>
      </c>
      <c r="G325" s="18">
        <v>5.7</v>
      </c>
      <c r="H325" s="18">
        <v>5.2</v>
      </c>
      <c r="I325" s="18">
        <v>42359</v>
      </c>
      <c r="J325" s="18">
        <v>37560</v>
      </c>
      <c r="K325" s="18" t="s">
        <v>5028</v>
      </c>
      <c r="L325" s="41" t="s">
        <v>1881</v>
      </c>
      <c r="M325" s="18" t="s">
        <v>70</v>
      </c>
      <c r="N325" s="18">
        <v>6</v>
      </c>
    </row>
    <row r="326" spans="1:14">
      <c r="A326" s="19" t="s">
        <v>5629</v>
      </c>
      <c r="B326" s="19" t="s">
        <v>241</v>
      </c>
      <c r="C326" s="19" t="s">
        <v>79</v>
      </c>
      <c r="D326" s="19" t="s">
        <v>84</v>
      </c>
      <c r="E326" s="19" t="s">
        <v>5031</v>
      </c>
      <c r="F326" s="19">
        <v>6.6</v>
      </c>
      <c r="G326" s="19">
        <v>5.9</v>
      </c>
      <c r="H326" s="19">
        <v>6.2</v>
      </c>
      <c r="I326" s="19">
        <v>193937</v>
      </c>
      <c r="J326" s="19">
        <v>181741</v>
      </c>
      <c r="K326" s="19" t="s">
        <v>5020</v>
      </c>
      <c r="L326" s="40" t="s">
        <v>5239</v>
      </c>
      <c r="M326" s="19" t="s">
        <v>172</v>
      </c>
      <c r="N326" s="19">
        <v>1.8</v>
      </c>
    </row>
    <row r="327" spans="1:14">
      <c r="A327" s="18" t="s">
        <v>5630</v>
      </c>
      <c r="B327" s="18" t="s">
        <v>104</v>
      </c>
      <c r="C327" s="18" t="s">
        <v>153</v>
      </c>
      <c r="D327" s="18" t="s">
        <v>84</v>
      </c>
      <c r="E327" s="18" t="s">
        <v>5077</v>
      </c>
      <c r="F327" s="18">
        <v>8.1999999999999993</v>
      </c>
      <c r="G327" s="18"/>
      <c r="H327" s="18">
        <v>8.1999999999999993</v>
      </c>
      <c r="I327" s="18">
        <v>160484</v>
      </c>
      <c r="J327" s="18">
        <v>150027</v>
      </c>
      <c r="K327" s="18" t="s">
        <v>5045</v>
      </c>
      <c r="L327" s="41" t="s">
        <v>1511</v>
      </c>
      <c r="M327" s="18" t="s">
        <v>46</v>
      </c>
      <c r="N327" s="18">
        <v>4.2</v>
      </c>
    </row>
    <row r="328" spans="1:14">
      <c r="A328" s="19" t="s">
        <v>5631</v>
      </c>
      <c r="B328" s="19" t="s">
        <v>5632</v>
      </c>
      <c r="C328" s="19" t="s">
        <v>153</v>
      </c>
      <c r="D328" s="19" t="s">
        <v>84</v>
      </c>
      <c r="E328" s="19" t="s">
        <v>5051</v>
      </c>
      <c r="F328" s="19">
        <v>9.6999999999999993</v>
      </c>
      <c r="G328" s="19">
        <v>9.1999999999999993</v>
      </c>
      <c r="H328" s="19">
        <v>9.4</v>
      </c>
      <c r="I328" s="19">
        <v>159428</v>
      </c>
      <c r="J328" s="19">
        <v>163730</v>
      </c>
      <c r="K328" s="19" t="s">
        <v>5028</v>
      </c>
      <c r="L328" s="40" t="s">
        <v>5124</v>
      </c>
      <c r="M328" s="19" t="s">
        <v>46</v>
      </c>
      <c r="N328" s="19">
        <v>8.3000000000000007</v>
      </c>
    </row>
    <row r="329" spans="1:14">
      <c r="A329" s="18" t="s">
        <v>5633</v>
      </c>
      <c r="B329" s="18" t="s">
        <v>269</v>
      </c>
      <c r="C329" s="18" t="s">
        <v>335</v>
      </c>
      <c r="D329" s="18" t="s">
        <v>63</v>
      </c>
      <c r="E329" s="18" t="s">
        <v>5025</v>
      </c>
      <c r="F329" s="18">
        <v>4.8</v>
      </c>
      <c r="G329" s="18">
        <v>6.1</v>
      </c>
      <c r="H329" s="18">
        <v>5.4</v>
      </c>
      <c r="I329" s="18">
        <v>38796</v>
      </c>
      <c r="J329" s="18">
        <v>42361</v>
      </c>
      <c r="K329" s="18" t="s">
        <v>5045</v>
      </c>
      <c r="L329" s="41" t="s">
        <v>1948</v>
      </c>
      <c r="M329" s="18" t="s">
        <v>114</v>
      </c>
      <c r="N329" s="18">
        <v>11.5</v>
      </c>
    </row>
    <row r="330" spans="1:14">
      <c r="A330" s="19" t="s">
        <v>5634</v>
      </c>
      <c r="B330" s="19" t="s">
        <v>699</v>
      </c>
      <c r="C330" s="19" t="s">
        <v>335</v>
      </c>
      <c r="D330" s="19" t="s">
        <v>84</v>
      </c>
      <c r="E330" s="19" t="s">
        <v>5016</v>
      </c>
      <c r="F330" s="19">
        <v>3.8</v>
      </c>
      <c r="G330" s="19">
        <v>9.9</v>
      </c>
      <c r="H330" s="19">
        <v>6.8</v>
      </c>
      <c r="I330" s="19">
        <v>100488</v>
      </c>
      <c r="J330" s="19">
        <v>113755</v>
      </c>
      <c r="K330" s="19" t="s">
        <v>5045</v>
      </c>
      <c r="L330" s="40" t="s">
        <v>5635</v>
      </c>
      <c r="M330" s="19" t="s">
        <v>149</v>
      </c>
      <c r="N330" s="19">
        <v>2.2999999999999998</v>
      </c>
    </row>
    <row r="331" spans="1:14">
      <c r="A331" s="18" t="s">
        <v>5636</v>
      </c>
      <c r="B331" s="18" t="s">
        <v>331</v>
      </c>
      <c r="C331" s="18" t="s">
        <v>5040</v>
      </c>
      <c r="D331" s="18" t="s">
        <v>39</v>
      </c>
      <c r="E331" s="18" t="s">
        <v>5060</v>
      </c>
      <c r="F331" s="18">
        <v>4.7</v>
      </c>
      <c r="G331" s="18">
        <v>6.6</v>
      </c>
      <c r="H331" s="18">
        <v>5.7</v>
      </c>
      <c r="I331" s="18">
        <v>143066</v>
      </c>
      <c r="J331" s="18">
        <v>135836</v>
      </c>
      <c r="K331" s="18" t="s">
        <v>5017</v>
      </c>
      <c r="L331" s="41" t="s">
        <v>5181</v>
      </c>
      <c r="M331" s="18" t="s">
        <v>149</v>
      </c>
      <c r="N331" s="18">
        <v>6.9</v>
      </c>
    </row>
    <row r="332" spans="1:14">
      <c r="A332" s="19" t="s">
        <v>5637</v>
      </c>
      <c r="B332" s="19" t="s">
        <v>440</v>
      </c>
      <c r="C332" s="19" t="s">
        <v>98</v>
      </c>
      <c r="D332" s="19" t="s">
        <v>39</v>
      </c>
      <c r="E332" s="19" t="s">
        <v>5016</v>
      </c>
      <c r="F332" s="19">
        <v>4.8</v>
      </c>
      <c r="G332" s="19">
        <v>9.4</v>
      </c>
      <c r="H332" s="19">
        <v>7.1</v>
      </c>
      <c r="I332" s="19">
        <v>117292</v>
      </c>
      <c r="J332" s="19">
        <v>102647</v>
      </c>
      <c r="K332" s="19" t="s">
        <v>5045</v>
      </c>
      <c r="L332" s="40" t="s">
        <v>5194</v>
      </c>
      <c r="M332" s="19" t="s">
        <v>149</v>
      </c>
      <c r="N332" s="19">
        <v>2.7</v>
      </c>
    </row>
    <row r="333" spans="1:14">
      <c r="A333" s="18" t="s">
        <v>5638</v>
      </c>
      <c r="B333" s="18" t="s">
        <v>692</v>
      </c>
      <c r="C333" s="18" t="s">
        <v>25</v>
      </c>
      <c r="D333" s="18" t="s">
        <v>89</v>
      </c>
      <c r="E333" s="18" t="s">
        <v>5077</v>
      </c>
      <c r="F333" s="18">
        <v>6.2</v>
      </c>
      <c r="G333" s="18">
        <v>5.4</v>
      </c>
      <c r="H333" s="18">
        <v>5.8</v>
      </c>
      <c r="I333" s="18"/>
      <c r="J333" s="18">
        <v>62517</v>
      </c>
      <c r="K333" s="18" t="s">
        <v>5020</v>
      </c>
      <c r="L333" s="41" t="s">
        <v>5639</v>
      </c>
      <c r="M333" s="18" t="s">
        <v>70</v>
      </c>
      <c r="N333" s="18">
        <v>1.5</v>
      </c>
    </row>
    <row r="334" spans="1:14">
      <c r="A334" s="19" t="s">
        <v>5640</v>
      </c>
      <c r="B334" s="19" t="s">
        <v>573</v>
      </c>
      <c r="C334" s="19" t="s">
        <v>105</v>
      </c>
      <c r="D334" s="19" t="s">
        <v>84</v>
      </c>
      <c r="E334" s="19" t="s">
        <v>5031</v>
      </c>
      <c r="F334" s="19">
        <v>8</v>
      </c>
      <c r="G334" s="19">
        <v>7</v>
      </c>
      <c r="H334" s="19">
        <v>7.5</v>
      </c>
      <c r="I334" s="19">
        <v>148973</v>
      </c>
      <c r="J334" s="19">
        <v>170060</v>
      </c>
      <c r="K334" s="19" t="s">
        <v>5045</v>
      </c>
      <c r="L334" s="40" t="s">
        <v>5641</v>
      </c>
      <c r="M334" s="19" t="s">
        <v>149</v>
      </c>
      <c r="N334" s="19">
        <v>12.4</v>
      </c>
    </row>
    <row r="335" spans="1:14">
      <c r="A335" s="18" t="s">
        <v>5642</v>
      </c>
      <c r="B335" s="18" t="s">
        <v>1017</v>
      </c>
      <c r="C335" s="18" t="s">
        <v>5040</v>
      </c>
      <c r="D335" s="18" t="s">
        <v>89</v>
      </c>
      <c r="E335" s="18" t="s">
        <v>5023</v>
      </c>
      <c r="F335" s="18">
        <v>3.2</v>
      </c>
      <c r="G335" s="18">
        <v>9</v>
      </c>
      <c r="H335" s="18">
        <v>6.1</v>
      </c>
      <c r="I335" s="18">
        <v>108904</v>
      </c>
      <c r="J335" s="18">
        <v>93925</v>
      </c>
      <c r="K335" s="18" t="s">
        <v>5028</v>
      </c>
      <c r="L335" s="41" t="s">
        <v>1970</v>
      </c>
      <c r="M335" s="18" t="s">
        <v>46</v>
      </c>
      <c r="N335" s="18">
        <v>10.4</v>
      </c>
    </row>
    <row r="336" spans="1:14">
      <c r="A336" s="19" t="s">
        <v>5643</v>
      </c>
      <c r="B336" s="19" t="s">
        <v>5644</v>
      </c>
      <c r="C336" s="19" t="s">
        <v>79</v>
      </c>
      <c r="D336" s="19" t="s">
        <v>84</v>
      </c>
      <c r="E336" s="19" t="s">
        <v>5025</v>
      </c>
      <c r="F336" s="19">
        <v>7.9</v>
      </c>
      <c r="G336" s="19">
        <v>9.1999999999999993</v>
      </c>
      <c r="H336" s="19">
        <v>8.6</v>
      </c>
      <c r="I336" s="19">
        <v>39463</v>
      </c>
      <c r="J336" s="19">
        <v>38324</v>
      </c>
      <c r="K336" s="19" t="s">
        <v>5035</v>
      </c>
      <c r="L336" s="40" t="s">
        <v>852</v>
      </c>
      <c r="M336" s="19" t="s">
        <v>26</v>
      </c>
      <c r="N336" s="19">
        <v>7.9</v>
      </c>
    </row>
    <row r="337" spans="1:14">
      <c r="A337" s="18" t="s">
        <v>5645</v>
      </c>
      <c r="B337" s="18" t="s">
        <v>5646</v>
      </c>
      <c r="C337" s="18" t="s">
        <v>153</v>
      </c>
      <c r="D337" s="18" t="s">
        <v>51</v>
      </c>
      <c r="E337" s="18" t="s">
        <v>5016</v>
      </c>
      <c r="F337" s="18">
        <v>6.4</v>
      </c>
      <c r="G337" s="18">
        <v>9.5</v>
      </c>
      <c r="H337" s="18">
        <v>8</v>
      </c>
      <c r="I337" s="18">
        <v>94010</v>
      </c>
      <c r="J337" s="18">
        <v>100423</v>
      </c>
      <c r="K337" s="18" t="s">
        <v>5035</v>
      </c>
      <c r="L337" s="41" t="s">
        <v>1880</v>
      </c>
      <c r="M337" s="18" t="s">
        <v>32</v>
      </c>
      <c r="N337" s="18">
        <v>13.8</v>
      </c>
    </row>
    <row r="338" spans="1:14">
      <c r="A338" s="19" t="s">
        <v>5647</v>
      </c>
      <c r="B338" s="19" t="s">
        <v>1096</v>
      </c>
      <c r="C338" s="19" t="s">
        <v>25</v>
      </c>
      <c r="D338" s="19" t="s">
        <v>84</v>
      </c>
      <c r="E338" s="19" t="s">
        <v>5016</v>
      </c>
      <c r="F338" s="19">
        <v>6.9</v>
      </c>
      <c r="G338" s="19">
        <v>3.1</v>
      </c>
      <c r="H338" s="19">
        <v>5</v>
      </c>
      <c r="I338" s="19">
        <v>169387</v>
      </c>
      <c r="J338" s="19">
        <v>160811</v>
      </c>
      <c r="K338" s="19" t="s">
        <v>5045</v>
      </c>
      <c r="L338" s="40" t="s">
        <v>2131</v>
      </c>
      <c r="M338" s="19" t="s">
        <v>70</v>
      </c>
      <c r="N338" s="19">
        <v>0.6</v>
      </c>
    </row>
    <row r="339" spans="1:14">
      <c r="A339" s="18" t="s">
        <v>5648</v>
      </c>
      <c r="B339" s="18" t="s">
        <v>5649</v>
      </c>
      <c r="C339" s="18" t="s">
        <v>335</v>
      </c>
      <c r="D339" s="18" t="s">
        <v>63</v>
      </c>
      <c r="E339" s="18" t="s">
        <v>5025</v>
      </c>
      <c r="F339" s="18">
        <v>9.1</v>
      </c>
      <c r="G339" s="18">
        <v>5.0999999999999996</v>
      </c>
      <c r="H339" s="18">
        <v>7.1</v>
      </c>
      <c r="I339" s="18">
        <v>51603</v>
      </c>
      <c r="J339" s="18">
        <v>46843</v>
      </c>
      <c r="K339" s="18" t="s">
        <v>5028</v>
      </c>
      <c r="L339" s="41" t="s">
        <v>5650</v>
      </c>
      <c r="M339" s="18" t="s">
        <v>114</v>
      </c>
      <c r="N339" s="18">
        <v>1.4</v>
      </c>
    </row>
    <row r="340" spans="1:14">
      <c r="A340" s="19" t="s">
        <v>5651</v>
      </c>
      <c r="B340" s="19" t="s">
        <v>1491</v>
      </c>
      <c r="C340" s="19" t="s">
        <v>153</v>
      </c>
      <c r="D340" s="19" t="s">
        <v>63</v>
      </c>
      <c r="E340" s="19" t="s">
        <v>5077</v>
      </c>
      <c r="F340" s="19">
        <v>9.1</v>
      </c>
      <c r="G340" s="19">
        <v>8.5</v>
      </c>
      <c r="H340" s="19">
        <v>8.8000000000000007</v>
      </c>
      <c r="I340" s="19">
        <v>162935</v>
      </c>
      <c r="J340" s="19">
        <v>176131</v>
      </c>
      <c r="K340" s="19" t="s">
        <v>5017</v>
      </c>
      <c r="L340" s="40" t="s">
        <v>1811</v>
      </c>
      <c r="M340" s="19" t="s">
        <v>149</v>
      </c>
      <c r="N340" s="19">
        <v>8.1999999999999993</v>
      </c>
    </row>
    <row r="341" spans="1:14">
      <c r="A341" s="18" t="s">
        <v>5652</v>
      </c>
      <c r="B341" s="18" t="s">
        <v>5653</v>
      </c>
      <c r="C341" s="18" t="s">
        <v>138</v>
      </c>
      <c r="D341" s="18" t="s">
        <v>133</v>
      </c>
      <c r="E341" s="18" t="s">
        <v>5077</v>
      </c>
      <c r="F341" s="18">
        <v>3.1</v>
      </c>
      <c r="G341" s="18">
        <v>8.8000000000000007</v>
      </c>
      <c r="H341" s="18">
        <v>6</v>
      </c>
      <c r="I341" s="18">
        <v>77179</v>
      </c>
      <c r="J341" s="18">
        <v>78185</v>
      </c>
      <c r="K341" s="18" t="s">
        <v>5020</v>
      </c>
      <c r="L341" s="41" t="s">
        <v>5284</v>
      </c>
      <c r="M341" s="18" t="s">
        <v>18</v>
      </c>
      <c r="N341" s="18">
        <v>0.6</v>
      </c>
    </row>
    <row r="342" spans="1:14">
      <c r="A342" s="19" t="s">
        <v>5654</v>
      </c>
      <c r="B342" s="19" t="s">
        <v>389</v>
      </c>
      <c r="C342" s="19" t="s">
        <v>98</v>
      </c>
      <c r="D342" s="19" t="s">
        <v>39</v>
      </c>
      <c r="E342" s="19" t="s">
        <v>5025</v>
      </c>
      <c r="F342" s="19">
        <v>9.5</v>
      </c>
      <c r="G342" s="19">
        <v>4.7</v>
      </c>
      <c r="H342" s="19">
        <v>7.1</v>
      </c>
      <c r="I342" s="19"/>
      <c r="J342" s="19">
        <v>170284</v>
      </c>
      <c r="K342" s="19" t="s">
        <v>5020</v>
      </c>
      <c r="L342" s="40" t="s">
        <v>1891</v>
      </c>
      <c r="M342" s="19" t="s">
        <v>18</v>
      </c>
      <c r="N342" s="19">
        <v>8.3000000000000007</v>
      </c>
    </row>
    <row r="343" spans="1:14">
      <c r="A343" s="18" t="s">
        <v>5655</v>
      </c>
      <c r="B343" s="18" t="s">
        <v>5450</v>
      </c>
      <c r="C343" s="18" t="s">
        <v>225</v>
      </c>
      <c r="D343" s="18" t="s">
        <v>16</v>
      </c>
      <c r="E343" s="18" t="s">
        <v>5025</v>
      </c>
      <c r="F343" s="18">
        <v>9</v>
      </c>
      <c r="G343" s="18">
        <v>3.3</v>
      </c>
      <c r="H343" s="18">
        <v>6.2</v>
      </c>
      <c r="I343" s="18">
        <v>132915</v>
      </c>
      <c r="J343" s="18"/>
      <c r="K343" s="18" t="s">
        <v>5020</v>
      </c>
      <c r="L343" s="41" t="s">
        <v>5656</v>
      </c>
      <c r="M343" s="18" t="s">
        <v>46</v>
      </c>
      <c r="N343" s="18">
        <v>10.8</v>
      </c>
    </row>
    <row r="344" spans="1:14">
      <c r="A344" s="19" t="s">
        <v>5657</v>
      </c>
      <c r="B344" s="19" t="s">
        <v>479</v>
      </c>
      <c r="C344" s="19" t="s">
        <v>225</v>
      </c>
      <c r="D344" s="19" t="s">
        <v>63</v>
      </c>
      <c r="E344" s="19" t="s">
        <v>5051</v>
      </c>
      <c r="F344" s="19">
        <v>7.4</v>
      </c>
      <c r="G344" s="19">
        <v>3</v>
      </c>
      <c r="H344" s="19">
        <v>5.2</v>
      </c>
      <c r="I344" s="19">
        <v>86779</v>
      </c>
      <c r="J344" s="19">
        <v>86412</v>
      </c>
      <c r="K344" s="19" t="s">
        <v>5017</v>
      </c>
      <c r="L344" s="40" t="s">
        <v>5203</v>
      </c>
      <c r="M344" s="19" t="s">
        <v>65</v>
      </c>
      <c r="N344" s="19">
        <v>3.2</v>
      </c>
    </row>
    <row r="345" spans="1:14">
      <c r="A345" s="18" t="s">
        <v>5658</v>
      </c>
      <c r="B345" s="18" t="s">
        <v>5487</v>
      </c>
      <c r="C345" s="18" t="s">
        <v>225</v>
      </c>
      <c r="D345" s="18" t="s">
        <v>133</v>
      </c>
      <c r="E345" s="18" t="s">
        <v>5031</v>
      </c>
      <c r="F345" s="18">
        <v>9.8000000000000007</v>
      </c>
      <c r="G345" s="18">
        <v>4</v>
      </c>
      <c r="H345" s="18">
        <v>6.9</v>
      </c>
      <c r="I345" s="18"/>
      <c r="J345" s="18"/>
      <c r="K345" s="18" t="s">
        <v>5035</v>
      </c>
      <c r="L345" s="41" t="s">
        <v>2012</v>
      </c>
      <c r="M345" s="18" t="s">
        <v>53</v>
      </c>
      <c r="N345" s="18">
        <v>1.4</v>
      </c>
    </row>
    <row r="346" spans="1:14">
      <c r="A346" s="19" t="s">
        <v>5659</v>
      </c>
      <c r="B346" s="19" t="s">
        <v>1546</v>
      </c>
      <c r="C346" s="19" t="s">
        <v>335</v>
      </c>
      <c r="D346" s="19" t="s">
        <v>16</v>
      </c>
      <c r="E346" s="19" t="s">
        <v>5051</v>
      </c>
      <c r="F346" s="19">
        <v>7</v>
      </c>
      <c r="G346" s="19">
        <v>9.5</v>
      </c>
      <c r="H346" s="19">
        <v>8.1999999999999993</v>
      </c>
      <c r="I346" s="19">
        <v>117244</v>
      </c>
      <c r="J346" s="19">
        <v>129110</v>
      </c>
      <c r="K346" s="19" t="s">
        <v>5020</v>
      </c>
      <c r="L346" s="40" t="s">
        <v>5639</v>
      </c>
      <c r="M346" s="19" t="s">
        <v>70</v>
      </c>
      <c r="N346" s="19">
        <v>7.7</v>
      </c>
    </row>
    <row r="347" spans="1:14">
      <c r="A347" s="18" t="s">
        <v>5660</v>
      </c>
      <c r="B347" s="18" t="s">
        <v>277</v>
      </c>
      <c r="C347" s="18" t="s">
        <v>90</v>
      </c>
      <c r="D347" s="18" t="s">
        <v>63</v>
      </c>
      <c r="E347" s="18" t="s">
        <v>5051</v>
      </c>
      <c r="F347" s="18">
        <v>3.7</v>
      </c>
      <c r="G347" s="18">
        <v>3.6</v>
      </c>
      <c r="H347" s="18">
        <v>3.7</v>
      </c>
      <c r="I347" s="18">
        <v>168120</v>
      </c>
      <c r="J347" s="18">
        <v>154183</v>
      </c>
      <c r="K347" s="18" t="s">
        <v>5035</v>
      </c>
      <c r="L347" s="41" t="s">
        <v>5374</v>
      </c>
      <c r="M347" s="18" t="s">
        <v>26</v>
      </c>
      <c r="N347" s="18">
        <v>5.3</v>
      </c>
    </row>
    <row r="348" spans="1:14">
      <c r="A348" s="19" t="s">
        <v>5661</v>
      </c>
      <c r="B348" s="19" t="s">
        <v>1543</v>
      </c>
      <c r="C348" s="19" t="s">
        <v>153</v>
      </c>
      <c r="D348" s="19" t="s">
        <v>176</v>
      </c>
      <c r="E348" s="19" t="s">
        <v>5051</v>
      </c>
      <c r="F348" s="19">
        <v>9.5</v>
      </c>
      <c r="G348" s="19">
        <v>7.5</v>
      </c>
      <c r="H348" s="19">
        <v>8.5</v>
      </c>
      <c r="I348" s="19">
        <v>171320</v>
      </c>
      <c r="J348" s="19">
        <v>177438</v>
      </c>
      <c r="K348" s="19" t="s">
        <v>5017</v>
      </c>
      <c r="L348" s="40" t="s">
        <v>5662</v>
      </c>
      <c r="M348" s="19" t="s">
        <v>46</v>
      </c>
      <c r="N348" s="19">
        <v>2.2999999999999998</v>
      </c>
    </row>
    <row r="349" spans="1:14">
      <c r="A349" s="18" t="s">
        <v>5663</v>
      </c>
      <c r="B349" s="18" t="s">
        <v>5664</v>
      </c>
      <c r="C349" s="18" t="s">
        <v>5040</v>
      </c>
      <c r="D349" s="18" t="s">
        <v>133</v>
      </c>
      <c r="E349" s="18" t="s">
        <v>5060</v>
      </c>
      <c r="F349" s="18">
        <v>3.2</v>
      </c>
      <c r="G349" s="18">
        <v>8.6999999999999993</v>
      </c>
      <c r="H349" s="18">
        <v>5.9</v>
      </c>
      <c r="I349" s="18">
        <v>154513</v>
      </c>
      <c r="J349" s="18">
        <v>136089</v>
      </c>
      <c r="K349" s="18" t="s">
        <v>5017</v>
      </c>
      <c r="L349" s="41" t="s">
        <v>5665</v>
      </c>
      <c r="M349" s="18" t="s">
        <v>149</v>
      </c>
      <c r="N349" s="18">
        <v>11.1</v>
      </c>
    </row>
    <row r="350" spans="1:14">
      <c r="A350" s="19" t="s">
        <v>5666</v>
      </c>
      <c r="B350" s="19" t="s">
        <v>5667</v>
      </c>
      <c r="C350" s="19" t="s">
        <v>79</v>
      </c>
      <c r="D350" s="19" t="s">
        <v>133</v>
      </c>
      <c r="E350" s="19" t="s">
        <v>5016</v>
      </c>
      <c r="F350" s="19">
        <v>9.5</v>
      </c>
      <c r="G350" s="19">
        <v>9.6999999999999993</v>
      </c>
      <c r="H350" s="19">
        <v>9.6</v>
      </c>
      <c r="I350" s="19">
        <v>141368</v>
      </c>
      <c r="J350" s="19">
        <v>143905</v>
      </c>
      <c r="K350" s="19" t="s">
        <v>5035</v>
      </c>
      <c r="L350" s="40" t="s">
        <v>258</v>
      </c>
      <c r="M350" s="19" t="s">
        <v>18</v>
      </c>
      <c r="N350" s="19">
        <v>4.3</v>
      </c>
    </row>
    <row r="351" spans="1:14">
      <c r="A351" s="18" t="s">
        <v>5668</v>
      </c>
      <c r="B351" s="18" t="s">
        <v>5123</v>
      </c>
      <c r="C351" s="18" t="s">
        <v>79</v>
      </c>
      <c r="D351" s="18" t="s">
        <v>118</v>
      </c>
      <c r="E351" s="18" t="s">
        <v>5025</v>
      </c>
      <c r="F351" s="18">
        <v>7.9</v>
      </c>
      <c r="G351" s="18">
        <v>8.4</v>
      </c>
      <c r="H351" s="18">
        <v>8.1999999999999993</v>
      </c>
      <c r="I351" s="18">
        <v>46116</v>
      </c>
      <c r="J351" s="18">
        <v>46989</v>
      </c>
      <c r="K351" s="18" t="s">
        <v>5035</v>
      </c>
      <c r="L351" s="41" t="s">
        <v>2193</v>
      </c>
      <c r="M351" s="18" t="s">
        <v>214</v>
      </c>
      <c r="N351" s="18">
        <v>2.4</v>
      </c>
    </row>
    <row r="352" spans="1:14">
      <c r="A352" s="19" t="s">
        <v>5669</v>
      </c>
      <c r="B352" s="19" t="s">
        <v>5354</v>
      </c>
      <c r="C352" s="19" t="s">
        <v>79</v>
      </c>
      <c r="D352" s="19" t="s">
        <v>24</v>
      </c>
      <c r="E352" s="19" t="s">
        <v>5023</v>
      </c>
      <c r="F352" s="19">
        <v>7.8</v>
      </c>
      <c r="G352" s="19">
        <v>8</v>
      </c>
      <c r="H352" s="19">
        <v>7.9</v>
      </c>
      <c r="I352" s="19">
        <v>178463</v>
      </c>
      <c r="J352" s="19">
        <v>202348</v>
      </c>
      <c r="K352" s="19" t="s">
        <v>5020</v>
      </c>
      <c r="L352" s="40" t="s">
        <v>5136</v>
      </c>
      <c r="M352" s="19" t="s">
        <v>214</v>
      </c>
      <c r="N352" s="19">
        <v>12.4</v>
      </c>
    </row>
    <row r="353" spans="1:14">
      <c r="A353" s="18" t="s">
        <v>5670</v>
      </c>
      <c r="B353" s="18" t="s">
        <v>383</v>
      </c>
      <c r="C353" s="18" t="s">
        <v>225</v>
      </c>
      <c r="D353" s="18" t="s">
        <v>39</v>
      </c>
      <c r="E353" s="18" t="s">
        <v>5051</v>
      </c>
      <c r="F353" s="18">
        <v>5.4</v>
      </c>
      <c r="G353" s="18">
        <v>3.9</v>
      </c>
      <c r="H353" s="18">
        <v>4.7</v>
      </c>
      <c r="I353" s="18">
        <v>163609</v>
      </c>
      <c r="J353" s="18"/>
      <c r="K353" s="18" t="s">
        <v>5035</v>
      </c>
      <c r="L353" s="41" t="s">
        <v>5671</v>
      </c>
      <c r="M353" s="18" t="s">
        <v>32</v>
      </c>
      <c r="N353" s="18">
        <v>9</v>
      </c>
    </row>
    <row r="354" spans="1:14">
      <c r="A354" s="19" t="s">
        <v>5672</v>
      </c>
      <c r="B354" s="19" t="s">
        <v>5673</v>
      </c>
      <c r="C354" s="19" t="s">
        <v>79</v>
      </c>
      <c r="D354" s="19" t="s">
        <v>51</v>
      </c>
      <c r="E354" s="19" t="s">
        <v>5023</v>
      </c>
      <c r="F354" s="19">
        <v>6.6</v>
      </c>
      <c r="G354" s="19">
        <v>8.9</v>
      </c>
      <c r="H354" s="19">
        <v>7.8</v>
      </c>
      <c r="I354" s="19">
        <v>168943</v>
      </c>
      <c r="J354" s="19">
        <v>191341</v>
      </c>
      <c r="K354" s="19" t="s">
        <v>5020</v>
      </c>
      <c r="L354" s="40" t="s">
        <v>1938</v>
      </c>
      <c r="M354" s="19" t="s">
        <v>32</v>
      </c>
      <c r="N354" s="19">
        <v>14.3</v>
      </c>
    </row>
    <row r="355" spans="1:14">
      <c r="A355" s="18" t="s">
        <v>5674</v>
      </c>
      <c r="B355" s="18" t="s">
        <v>932</v>
      </c>
      <c r="C355" s="18" t="s">
        <v>5040</v>
      </c>
      <c r="D355" s="18" t="s">
        <v>24</v>
      </c>
      <c r="E355" s="18" t="s">
        <v>5016</v>
      </c>
      <c r="F355" s="18">
        <v>3.1</v>
      </c>
      <c r="G355" s="18">
        <v>3.6</v>
      </c>
      <c r="H355" s="18">
        <v>3.4</v>
      </c>
      <c r="I355" s="18">
        <v>175520</v>
      </c>
      <c r="J355" s="18">
        <v>176566</v>
      </c>
      <c r="K355" s="18" t="s">
        <v>5017</v>
      </c>
      <c r="L355" s="41" t="s">
        <v>1881</v>
      </c>
      <c r="M355" s="18" t="s">
        <v>32</v>
      </c>
      <c r="N355" s="18">
        <v>1.4</v>
      </c>
    </row>
    <row r="356" spans="1:14">
      <c r="A356" s="19" t="s">
        <v>5675</v>
      </c>
      <c r="B356" s="19" t="s">
        <v>5676</v>
      </c>
      <c r="C356" s="19" t="s">
        <v>153</v>
      </c>
      <c r="D356" s="19" t="s">
        <v>24</v>
      </c>
      <c r="E356" s="19" t="s">
        <v>5016</v>
      </c>
      <c r="F356" s="19">
        <v>7.4</v>
      </c>
      <c r="G356" s="19"/>
      <c r="H356" s="19">
        <v>7.4</v>
      </c>
      <c r="I356" s="19">
        <v>22366</v>
      </c>
      <c r="J356" s="19">
        <v>23338</v>
      </c>
      <c r="K356" s="19" t="s">
        <v>5028</v>
      </c>
      <c r="L356" s="40" t="s">
        <v>5677</v>
      </c>
      <c r="M356" s="19" t="s">
        <v>70</v>
      </c>
      <c r="N356" s="19">
        <v>10.7</v>
      </c>
    </row>
    <row r="357" spans="1:14">
      <c r="A357" s="18" t="s">
        <v>5678</v>
      </c>
      <c r="B357" s="18" t="s">
        <v>5679</v>
      </c>
      <c r="C357" s="18" t="s">
        <v>79</v>
      </c>
      <c r="D357" s="18" t="s">
        <v>24</v>
      </c>
      <c r="E357" s="18" t="s">
        <v>5023</v>
      </c>
      <c r="F357" s="18">
        <v>8.4</v>
      </c>
      <c r="G357" s="18">
        <v>8.9</v>
      </c>
      <c r="H357" s="18">
        <v>8.6999999999999993</v>
      </c>
      <c r="I357" s="18">
        <v>46205</v>
      </c>
      <c r="J357" s="18"/>
      <c r="K357" s="18" t="s">
        <v>5045</v>
      </c>
      <c r="L357" s="41" t="s">
        <v>5396</v>
      </c>
      <c r="M357" s="18" t="s">
        <v>114</v>
      </c>
      <c r="N357" s="18">
        <v>1.9</v>
      </c>
    </row>
    <row r="358" spans="1:14">
      <c r="A358" s="19" t="s">
        <v>5680</v>
      </c>
      <c r="B358" s="19" t="s">
        <v>1386</v>
      </c>
      <c r="C358" s="19" t="s">
        <v>138</v>
      </c>
      <c r="D358" s="19" t="s">
        <v>89</v>
      </c>
      <c r="E358" s="19" t="s">
        <v>5025</v>
      </c>
      <c r="F358" s="19">
        <v>8.6999999999999993</v>
      </c>
      <c r="G358" s="19"/>
      <c r="H358" s="19">
        <v>8.6999999999999993</v>
      </c>
      <c r="I358" s="19">
        <v>134633</v>
      </c>
      <c r="J358" s="19">
        <v>132763</v>
      </c>
      <c r="K358" s="19" t="s">
        <v>5028</v>
      </c>
      <c r="L358" s="40" t="s">
        <v>2307</v>
      </c>
      <c r="M358" s="19" t="s">
        <v>149</v>
      </c>
      <c r="N358" s="19">
        <v>3.5</v>
      </c>
    </row>
    <row r="359" spans="1:14">
      <c r="A359" s="18" t="s">
        <v>5681</v>
      </c>
      <c r="B359" s="18" t="s">
        <v>5429</v>
      </c>
      <c r="C359" s="18" t="s">
        <v>79</v>
      </c>
      <c r="D359" s="18" t="s">
        <v>176</v>
      </c>
      <c r="E359" s="18" t="s">
        <v>5031</v>
      </c>
      <c r="F359" s="18">
        <v>3.3</v>
      </c>
      <c r="G359" s="18">
        <v>4.8</v>
      </c>
      <c r="H359" s="18">
        <v>4</v>
      </c>
      <c r="I359" s="18">
        <v>130585</v>
      </c>
      <c r="J359" s="18"/>
      <c r="K359" s="18" t="s">
        <v>5035</v>
      </c>
      <c r="L359" s="41" t="s">
        <v>1801</v>
      </c>
      <c r="M359" s="18" t="s">
        <v>75</v>
      </c>
      <c r="N359" s="18">
        <v>1.3</v>
      </c>
    </row>
    <row r="360" spans="1:14">
      <c r="A360" s="19" t="s">
        <v>5682</v>
      </c>
      <c r="B360" s="19" t="s">
        <v>5076</v>
      </c>
      <c r="C360" s="19" t="s">
        <v>138</v>
      </c>
      <c r="D360" s="19" t="s">
        <v>118</v>
      </c>
      <c r="E360" s="19" t="s">
        <v>5031</v>
      </c>
      <c r="F360" s="19">
        <v>8.6999999999999993</v>
      </c>
      <c r="G360" s="19">
        <v>7.9</v>
      </c>
      <c r="H360" s="19">
        <v>8.3000000000000007</v>
      </c>
      <c r="I360" s="19">
        <v>159727</v>
      </c>
      <c r="J360" s="19">
        <v>180960</v>
      </c>
      <c r="K360" s="19" t="s">
        <v>5017</v>
      </c>
      <c r="L360" s="40" t="s">
        <v>716</v>
      </c>
      <c r="M360" s="19" t="s">
        <v>46</v>
      </c>
      <c r="N360" s="19">
        <v>15</v>
      </c>
    </row>
    <row r="361" spans="1:14">
      <c r="A361" s="18" t="s">
        <v>5683</v>
      </c>
      <c r="B361" s="18" t="s">
        <v>5361</v>
      </c>
      <c r="C361" s="18" t="s">
        <v>153</v>
      </c>
      <c r="D361" s="18" t="s">
        <v>39</v>
      </c>
      <c r="E361" s="18" t="s">
        <v>5031</v>
      </c>
      <c r="F361" s="18">
        <v>5.6</v>
      </c>
      <c r="G361" s="18">
        <v>3.6</v>
      </c>
      <c r="H361" s="18">
        <v>4.5999999999999996</v>
      </c>
      <c r="I361" s="18">
        <v>155796</v>
      </c>
      <c r="J361" s="18"/>
      <c r="K361" s="18" t="s">
        <v>5020</v>
      </c>
      <c r="L361" s="41" t="s">
        <v>1068</v>
      </c>
      <c r="M361" s="18" t="s">
        <v>46</v>
      </c>
      <c r="N361" s="18">
        <v>8.8000000000000007</v>
      </c>
    </row>
    <row r="362" spans="1:14">
      <c r="A362" s="19" t="s">
        <v>5684</v>
      </c>
      <c r="B362" s="19" t="s">
        <v>935</v>
      </c>
      <c r="C362" s="19" t="s">
        <v>225</v>
      </c>
      <c r="D362" s="19" t="s">
        <v>63</v>
      </c>
      <c r="E362" s="19" t="s">
        <v>5077</v>
      </c>
      <c r="F362" s="19">
        <v>6.6</v>
      </c>
      <c r="G362" s="19">
        <v>7.4</v>
      </c>
      <c r="H362" s="19">
        <v>7</v>
      </c>
      <c r="I362" s="19">
        <v>80310</v>
      </c>
      <c r="J362" s="19">
        <v>79323</v>
      </c>
      <c r="K362" s="19" t="s">
        <v>5017</v>
      </c>
      <c r="L362" s="40" t="s">
        <v>5685</v>
      </c>
      <c r="M362" s="19" t="s">
        <v>214</v>
      </c>
      <c r="N362" s="19">
        <v>14.3</v>
      </c>
    </row>
    <row r="363" spans="1:14">
      <c r="A363" s="18" t="s">
        <v>5686</v>
      </c>
      <c r="B363" s="18" t="s">
        <v>5687</v>
      </c>
      <c r="C363" s="18" t="s">
        <v>25</v>
      </c>
      <c r="D363" s="18" t="s">
        <v>89</v>
      </c>
      <c r="E363" s="18" t="s">
        <v>5019</v>
      </c>
      <c r="F363" s="18">
        <v>7.3</v>
      </c>
      <c r="G363" s="18">
        <v>7.5</v>
      </c>
      <c r="H363" s="18">
        <v>7.4</v>
      </c>
      <c r="I363" s="18">
        <v>24184</v>
      </c>
      <c r="J363" s="18">
        <v>26870</v>
      </c>
      <c r="K363" s="18" t="s">
        <v>5045</v>
      </c>
      <c r="L363" s="41" t="s">
        <v>1753</v>
      </c>
      <c r="M363" s="18" t="s">
        <v>32</v>
      </c>
      <c r="N363" s="18">
        <v>10.3</v>
      </c>
    </row>
    <row r="364" spans="1:14">
      <c r="A364" s="19" t="s">
        <v>5688</v>
      </c>
      <c r="B364" s="19" t="s">
        <v>1320</v>
      </c>
      <c r="C364" s="19" t="s">
        <v>335</v>
      </c>
      <c r="D364" s="19" t="s">
        <v>176</v>
      </c>
      <c r="E364" s="19" t="s">
        <v>5077</v>
      </c>
      <c r="F364" s="19">
        <v>9.4</v>
      </c>
      <c r="G364" s="19"/>
      <c r="H364" s="19">
        <v>9.4</v>
      </c>
      <c r="I364" s="19">
        <v>149799</v>
      </c>
      <c r="J364" s="19">
        <v>164924</v>
      </c>
      <c r="K364" s="19" t="s">
        <v>5035</v>
      </c>
      <c r="L364" s="40" t="s">
        <v>1703</v>
      </c>
      <c r="M364" s="19" t="s">
        <v>172</v>
      </c>
      <c r="N364" s="19">
        <v>2.9</v>
      </c>
    </row>
    <row r="365" spans="1:14">
      <c r="A365" s="18" t="s">
        <v>5689</v>
      </c>
      <c r="B365" s="18" t="s">
        <v>996</v>
      </c>
      <c r="C365" s="18" t="s">
        <v>105</v>
      </c>
      <c r="D365" s="18" t="s">
        <v>63</v>
      </c>
      <c r="E365" s="18" t="s">
        <v>5023</v>
      </c>
      <c r="F365" s="18">
        <v>9.9</v>
      </c>
      <c r="G365" s="18">
        <v>6</v>
      </c>
      <c r="H365" s="18">
        <v>8</v>
      </c>
      <c r="I365" s="18">
        <v>180727</v>
      </c>
      <c r="J365" s="18">
        <v>202301</v>
      </c>
      <c r="K365" s="18" t="s">
        <v>5017</v>
      </c>
      <c r="L365" s="41" t="s">
        <v>5690</v>
      </c>
      <c r="M365" s="18" t="s">
        <v>149</v>
      </c>
      <c r="N365" s="18">
        <v>13.4</v>
      </c>
    </row>
    <row r="366" spans="1:14">
      <c r="A366" s="19" t="s">
        <v>5691</v>
      </c>
      <c r="B366" s="19" t="s">
        <v>658</v>
      </c>
      <c r="C366" s="19" t="s">
        <v>79</v>
      </c>
      <c r="D366" s="19" t="s">
        <v>63</v>
      </c>
      <c r="E366" s="19" t="s">
        <v>5025</v>
      </c>
      <c r="F366" s="19">
        <v>7.1</v>
      </c>
      <c r="G366" s="19">
        <v>3.6</v>
      </c>
      <c r="H366" s="19">
        <v>5.3</v>
      </c>
      <c r="I366" s="19">
        <v>91358</v>
      </c>
      <c r="J366" s="19"/>
      <c r="K366" s="19" t="s">
        <v>5045</v>
      </c>
      <c r="L366" s="40" t="s">
        <v>5517</v>
      </c>
      <c r="M366" s="19" t="s">
        <v>32</v>
      </c>
      <c r="N366" s="19">
        <v>5.8</v>
      </c>
    </row>
    <row r="367" spans="1:14">
      <c r="A367" s="18" t="s">
        <v>5692</v>
      </c>
      <c r="B367" s="18" t="s">
        <v>5693</v>
      </c>
      <c r="C367" s="18" t="s">
        <v>105</v>
      </c>
      <c r="D367" s="18" t="s">
        <v>63</v>
      </c>
      <c r="E367" s="18" t="s">
        <v>5051</v>
      </c>
      <c r="F367" s="18">
        <v>5.7</v>
      </c>
      <c r="G367" s="18">
        <v>6.1</v>
      </c>
      <c r="H367" s="18">
        <v>5.9</v>
      </c>
      <c r="I367" s="18">
        <v>57918</v>
      </c>
      <c r="J367" s="18">
        <v>66244</v>
      </c>
      <c r="K367" s="18" t="s">
        <v>5028</v>
      </c>
      <c r="L367" s="41" t="s">
        <v>1637</v>
      </c>
      <c r="M367" s="18" t="s">
        <v>46</v>
      </c>
      <c r="N367" s="18">
        <v>10.4</v>
      </c>
    </row>
    <row r="368" spans="1:14">
      <c r="A368" s="19" t="s">
        <v>5694</v>
      </c>
      <c r="B368" s="19" t="s">
        <v>1591</v>
      </c>
      <c r="C368" s="19" t="s">
        <v>138</v>
      </c>
      <c r="D368" s="19" t="s">
        <v>84</v>
      </c>
      <c r="E368" s="19" t="s">
        <v>5060</v>
      </c>
      <c r="F368" s="19">
        <v>3.7</v>
      </c>
      <c r="G368" s="19">
        <v>8.6999999999999993</v>
      </c>
      <c r="H368" s="19">
        <v>6.2</v>
      </c>
      <c r="I368" s="19"/>
      <c r="J368" s="19">
        <v>172341</v>
      </c>
      <c r="K368" s="19" t="s">
        <v>5045</v>
      </c>
      <c r="L368" s="40" t="s">
        <v>5430</v>
      </c>
      <c r="M368" s="19" t="s">
        <v>214</v>
      </c>
      <c r="N368" s="19">
        <v>6.3</v>
      </c>
    </row>
    <row r="369" spans="1:14">
      <c r="A369" s="18" t="s">
        <v>5695</v>
      </c>
      <c r="B369" s="18" t="s">
        <v>317</v>
      </c>
      <c r="C369" s="18" t="s">
        <v>25</v>
      </c>
      <c r="D369" s="18" t="s">
        <v>24</v>
      </c>
      <c r="E369" s="18" t="s">
        <v>5031</v>
      </c>
      <c r="F369" s="18">
        <v>3.8</v>
      </c>
      <c r="G369" s="18">
        <v>3.4</v>
      </c>
      <c r="H369" s="18">
        <v>3.6</v>
      </c>
      <c r="I369" s="18">
        <v>122664</v>
      </c>
      <c r="J369" s="18">
        <v>125269</v>
      </c>
      <c r="K369" s="18" t="s">
        <v>5028</v>
      </c>
      <c r="L369" s="41" t="s">
        <v>5696</v>
      </c>
      <c r="M369" s="18" t="s">
        <v>65</v>
      </c>
      <c r="N369" s="18">
        <v>13.3</v>
      </c>
    </row>
    <row r="370" spans="1:14">
      <c r="A370" s="19" t="s">
        <v>5697</v>
      </c>
      <c r="B370" s="19" t="s">
        <v>935</v>
      </c>
      <c r="C370" s="19" t="s">
        <v>25</v>
      </c>
      <c r="D370" s="19" t="s">
        <v>16</v>
      </c>
      <c r="E370" s="19" t="s">
        <v>5025</v>
      </c>
      <c r="F370" s="19">
        <v>4.4000000000000004</v>
      </c>
      <c r="G370" s="19">
        <v>4.2</v>
      </c>
      <c r="H370" s="19">
        <v>4.3</v>
      </c>
      <c r="I370" s="19">
        <v>183537</v>
      </c>
      <c r="J370" s="19"/>
      <c r="K370" s="19" t="s">
        <v>5045</v>
      </c>
      <c r="L370" s="40" t="s">
        <v>2000</v>
      </c>
      <c r="M370" s="19" t="s">
        <v>46</v>
      </c>
      <c r="N370" s="19">
        <v>8.1</v>
      </c>
    </row>
    <row r="371" spans="1:14">
      <c r="A371" s="18" t="s">
        <v>5698</v>
      </c>
      <c r="B371" s="18" t="s">
        <v>383</v>
      </c>
      <c r="C371" s="18" t="s">
        <v>98</v>
      </c>
      <c r="D371" s="18" t="s">
        <v>84</v>
      </c>
      <c r="E371" s="18" t="s">
        <v>5016</v>
      </c>
      <c r="F371" s="18">
        <v>8.1999999999999993</v>
      </c>
      <c r="G371" s="18">
        <v>4.7</v>
      </c>
      <c r="H371" s="18">
        <v>6.4</v>
      </c>
      <c r="I371" s="18">
        <v>153098</v>
      </c>
      <c r="J371" s="18"/>
      <c r="K371" s="18" t="s">
        <v>5020</v>
      </c>
      <c r="L371" s="41" t="s">
        <v>5699</v>
      </c>
      <c r="M371" s="18" t="s">
        <v>114</v>
      </c>
      <c r="N371" s="18">
        <v>14.2</v>
      </c>
    </row>
    <row r="372" spans="1:14">
      <c r="A372" s="19" t="s">
        <v>5700</v>
      </c>
      <c r="B372" s="19" t="s">
        <v>692</v>
      </c>
      <c r="C372" s="19" t="s">
        <v>138</v>
      </c>
      <c r="D372" s="19" t="s">
        <v>89</v>
      </c>
      <c r="E372" s="19" t="s">
        <v>5016</v>
      </c>
      <c r="F372" s="19">
        <v>5.3</v>
      </c>
      <c r="G372" s="19">
        <v>9.5</v>
      </c>
      <c r="H372" s="19">
        <v>7.4</v>
      </c>
      <c r="I372" s="19">
        <v>171128</v>
      </c>
      <c r="J372" s="19">
        <v>150583</v>
      </c>
      <c r="K372" s="19" t="s">
        <v>5017</v>
      </c>
      <c r="L372" s="40" t="s">
        <v>5671</v>
      </c>
      <c r="M372" s="19" t="s">
        <v>65</v>
      </c>
      <c r="N372" s="19">
        <v>11</v>
      </c>
    </row>
    <row r="373" spans="1:14">
      <c r="A373" s="18" t="s">
        <v>5701</v>
      </c>
      <c r="B373" s="18" t="s">
        <v>1041</v>
      </c>
      <c r="C373" s="18" t="s">
        <v>25</v>
      </c>
      <c r="D373" s="18" t="s">
        <v>133</v>
      </c>
      <c r="E373" s="18" t="s">
        <v>5016</v>
      </c>
      <c r="F373" s="18">
        <v>6.9</v>
      </c>
      <c r="G373" s="18">
        <v>5.6</v>
      </c>
      <c r="H373" s="18">
        <v>6.2</v>
      </c>
      <c r="I373" s="18">
        <v>193797</v>
      </c>
      <c r="J373" s="18">
        <v>186294</v>
      </c>
      <c r="K373" s="18" t="s">
        <v>5045</v>
      </c>
      <c r="L373" s="41" t="s">
        <v>5149</v>
      </c>
      <c r="M373" s="18" t="s">
        <v>75</v>
      </c>
      <c r="N373" s="18">
        <v>6.7</v>
      </c>
    </row>
    <row r="374" spans="1:14">
      <c r="A374" s="19" t="s">
        <v>5702</v>
      </c>
      <c r="B374" s="19" t="s">
        <v>5703</v>
      </c>
      <c r="C374" s="19" t="s">
        <v>335</v>
      </c>
      <c r="D374" s="19" t="s">
        <v>16</v>
      </c>
      <c r="E374" s="19" t="s">
        <v>5016</v>
      </c>
      <c r="F374" s="19">
        <v>8.5</v>
      </c>
      <c r="G374" s="19">
        <v>4</v>
      </c>
      <c r="H374" s="19">
        <v>6.2</v>
      </c>
      <c r="I374" s="19">
        <v>37728</v>
      </c>
      <c r="J374" s="19">
        <v>39170</v>
      </c>
      <c r="K374" s="19" t="s">
        <v>5020</v>
      </c>
      <c r="L374" s="40" t="s">
        <v>669</v>
      </c>
      <c r="M374" s="19" t="s">
        <v>149</v>
      </c>
      <c r="N374" s="19">
        <v>6.4</v>
      </c>
    </row>
    <row r="375" spans="1:14">
      <c r="A375" s="18" t="s">
        <v>5704</v>
      </c>
      <c r="B375" s="18" t="s">
        <v>854</v>
      </c>
      <c r="C375" s="18" t="s">
        <v>25</v>
      </c>
      <c r="D375" s="18" t="s">
        <v>84</v>
      </c>
      <c r="E375" s="18" t="s">
        <v>5025</v>
      </c>
      <c r="F375" s="18">
        <v>3.4</v>
      </c>
      <c r="G375" s="18">
        <v>8.4</v>
      </c>
      <c r="H375" s="18">
        <v>5.9</v>
      </c>
      <c r="I375" s="18">
        <v>27970</v>
      </c>
      <c r="J375" s="18">
        <v>25107</v>
      </c>
      <c r="K375" s="18" t="s">
        <v>5045</v>
      </c>
      <c r="L375" s="41" t="s">
        <v>5087</v>
      </c>
      <c r="M375" s="18" t="s">
        <v>32</v>
      </c>
      <c r="N375" s="18">
        <v>3.3</v>
      </c>
    </row>
    <row r="376" spans="1:14">
      <c r="A376" s="19" t="s">
        <v>5705</v>
      </c>
      <c r="B376" s="19" t="s">
        <v>269</v>
      </c>
      <c r="C376" s="19" t="s">
        <v>90</v>
      </c>
      <c r="D376" s="19" t="s">
        <v>63</v>
      </c>
      <c r="E376" s="19" t="s">
        <v>5060</v>
      </c>
      <c r="F376" s="19">
        <v>5.9</v>
      </c>
      <c r="G376" s="19">
        <v>8.1999999999999993</v>
      </c>
      <c r="H376" s="19">
        <v>7</v>
      </c>
      <c r="I376" s="19">
        <v>192224</v>
      </c>
      <c r="J376" s="19">
        <v>187419</v>
      </c>
      <c r="K376" s="19" t="s">
        <v>5020</v>
      </c>
      <c r="L376" s="40" t="s">
        <v>5441</v>
      </c>
      <c r="M376" s="19" t="s">
        <v>70</v>
      </c>
      <c r="N376" s="19">
        <v>6.2</v>
      </c>
    </row>
    <row r="377" spans="1:14">
      <c r="A377" s="18" t="s">
        <v>5706</v>
      </c>
      <c r="B377" s="18" t="s">
        <v>479</v>
      </c>
      <c r="C377" s="18" t="s">
        <v>335</v>
      </c>
      <c r="D377" s="18" t="s">
        <v>63</v>
      </c>
      <c r="E377" s="18" t="s">
        <v>5016</v>
      </c>
      <c r="F377" s="18">
        <v>5.4</v>
      </c>
      <c r="G377" s="18">
        <v>4.9000000000000004</v>
      </c>
      <c r="H377" s="18">
        <v>5.2</v>
      </c>
      <c r="I377" s="18">
        <v>67260</v>
      </c>
      <c r="J377" s="18">
        <v>66360</v>
      </c>
      <c r="K377" s="18" t="s">
        <v>5017</v>
      </c>
      <c r="L377" s="41" t="s">
        <v>5707</v>
      </c>
      <c r="M377" s="18" t="s">
        <v>46</v>
      </c>
      <c r="N377" s="18">
        <v>13.7</v>
      </c>
    </row>
    <row r="378" spans="1:14">
      <c r="A378" s="19" t="s">
        <v>5708</v>
      </c>
      <c r="B378" s="19" t="s">
        <v>5709</v>
      </c>
      <c r="C378" s="19" t="s">
        <v>90</v>
      </c>
      <c r="D378" s="19" t="s">
        <v>39</v>
      </c>
      <c r="E378" s="19" t="s">
        <v>5031</v>
      </c>
      <c r="F378" s="19">
        <v>6.3</v>
      </c>
      <c r="G378" s="19">
        <v>9.6999999999999993</v>
      </c>
      <c r="H378" s="19">
        <v>8</v>
      </c>
      <c r="I378" s="19">
        <v>63966</v>
      </c>
      <c r="J378" s="19">
        <v>68976</v>
      </c>
      <c r="K378" s="19" t="s">
        <v>5045</v>
      </c>
      <c r="L378" s="40" t="s">
        <v>1207</v>
      </c>
      <c r="M378" s="19" t="s">
        <v>149</v>
      </c>
      <c r="N378" s="19">
        <v>9.6999999999999993</v>
      </c>
    </row>
    <row r="379" spans="1:14">
      <c r="A379" s="18" t="s">
        <v>5710</v>
      </c>
      <c r="B379" s="18" t="s">
        <v>613</v>
      </c>
      <c r="C379" s="18" t="s">
        <v>25</v>
      </c>
      <c r="D379" s="18" t="s">
        <v>84</v>
      </c>
      <c r="E379" s="18" t="s">
        <v>5019</v>
      </c>
      <c r="F379" s="18">
        <v>8.8000000000000007</v>
      </c>
      <c r="G379" s="18">
        <v>8.8000000000000007</v>
      </c>
      <c r="H379" s="18">
        <v>8.8000000000000007</v>
      </c>
      <c r="I379" s="18">
        <v>27250</v>
      </c>
      <c r="J379" s="18">
        <v>23871</v>
      </c>
      <c r="K379" s="18" t="s">
        <v>5028</v>
      </c>
      <c r="L379" s="41" t="s">
        <v>2042</v>
      </c>
      <c r="M379" s="18" t="s">
        <v>114</v>
      </c>
      <c r="N379" s="18">
        <v>10.3</v>
      </c>
    </row>
    <row r="380" spans="1:14">
      <c r="A380" s="19" t="s">
        <v>5711</v>
      </c>
      <c r="B380" s="19" t="s">
        <v>5523</v>
      </c>
      <c r="C380" s="19" t="s">
        <v>153</v>
      </c>
      <c r="D380" s="19" t="s">
        <v>63</v>
      </c>
      <c r="E380" s="19" t="s">
        <v>5031</v>
      </c>
      <c r="F380" s="19">
        <v>7</v>
      </c>
      <c r="G380" s="19">
        <v>8.9</v>
      </c>
      <c r="H380" s="19">
        <v>8</v>
      </c>
      <c r="I380" s="19">
        <v>22422</v>
      </c>
      <c r="J380" s="19">
        <v>25181</v>
      </c>
      <c r="K380" s="19" t="s">
        <v>5045</v>
      </c>
      <c r="L380" s="40" t="s">
        <v>270</v>
      </c>
      <c r="M380" s="19" t="s">
        <v>114</v>
      </c>
      <c r="N380" s="19">
        <v>6.1</v>
      </c>
    </row>
    <row r="381" spans="1:14">
      <c r="A381" s="18" t="s">
        <v>5712</v>
      </c>
      <c r="B381" s="18" t="s">
        <v>5422</v>
      </c>
      <c r="C381" s="18" t="s">
        <v>225</v>
      </c>
      <c r="D381" s="18" t="s">
        <v>39</v>
      </c>
      <c r="E381" s="18" t="s">
        <v>5016</v>
      </c>
      <c r="F381" s="18">
        <v>3.7</v>
      </c>
      <c r="G381" s="18">
        <v>5.8</v>
      </c>
      <c r="H381" s="18">
        <v>4.8</v>
      </c>
      <c r="I381" s="18">
        <v>134467</v>
      </c>
      <c r="J381" s="18">
        <v>118238</v>
      </c>
      <c r="K381" s="18" t="s">
        <v>5020</v>
      </c>
      <c r="L381" s="41" t="s">
        <v>5713</v>
      </c>
      <c r="M381" s="18" t="s">
        <v>149</v>
      </c>
      <c r="N381" s="18">
        <v>5.3</v>
      </c>
    </row>
    <row r="382" spans="1:14">
      <c r="A382" s="19" t="s">
        <v>5714</v>
      </c>
      <c r="B382" s="19" t="s">
        <v>561</v>
      </c>
      <c r="C382" s="19" t="s">
        <v>25</v>
      </c>
      <c r="D382" s="19" t="s">
        <v>133</v>
      </c>
      <c r="E382" s="19" t="s">
        <v>5019</v>
      </c>
      <c r="F382" s="19">
        <v>6.6</v>
      </c>
      <c r="G382" s="19"/>
      <c r="H382" s="19">
        <v>6.6</v>
      </c>
      <c r="I382" s="19">
        <v>121143</v>
      </c>
      <c r="J382" s="19"/>
      <c r="K382" s="19" t="s">
        <v>5045</v>
      </c>
      <c r="L382" s="40" t="s">
        <v>480</v>
      </c>
      <c r="M382" s="19" t="s">
        <v>32</v>
      </c>
      <c r="N382" s="19">
        <v>8.9</v>
      </c>
    </row>
    <row r="383" spans="1:14">
      <c r="A383" s="18" t="s">
        <v>5715</v>
      </c>
      <c r="B383" s="18" t="s">
        <v>1057</v>
      </c>
      <c r="C383" s="18" t="s">
        <v>5040</v>
      </c>
      <c r="D383" s="18" t="s">
        <v>63</v>
      </c>
      <c r="E383" s="18" t="s">
        <v>5019</v>
      </c>
      <c r="F383" s="18">
        <v>8.3000000000000007</v>
      </c>
      <c r="G383" s="18">
        <v>6.2</v>
      </c>
      <c r="H383" s="18">
        <v>7.2</v>
      </c>
      <c r="I383" s="18">
        <v>168827</v>
      </c>
      <c r="J383" s="18">
        <v>173809</v>
      </c>
      <c r="K383" s="18" t="s">
        <v>5035</v>
      </c>
      <c r="L383" s="41" t="s">
        <v>5716</v>
      </c>
      <c r="M383" s="18" t="s">
        <v>65</v>
      </c>
      <c r="N383" s="18">
        <v>10.5</v>
      </c>
    </row>
    <row r="384" spans="1:14">
      <c r="A384" s="19" t="s">
        <v>5717</v>
      </c>
      <c r="B384" s="19" t="s">
        <v>5718</v>
      </c>
      <c r="C384" s="19" t="s">
        <v>225</v>
      </c>
      <c r="D384" s="19" t="s">
        <v>24</v>
      </c>
      <c r="E384" s="19" t="s">
        <v>5019</v>
      </c>
      <c r="F384" s="19">
        <v>8.1</v>
      </c>
      <c r="G384" s="19">
        <v>4.4000000000000004</v>
      </c>
      <c r="H384" s="19">
        <v>6.2</v>
      </c>
      <c r="I384" s="19">
        <v>31193</v>
      </c>
      <c r="J384" s="19"/>
      <c r="K384" s="19" t="s">
        <v>5028</v>
      </c>
      <c r="L384" s="40" t="s">
        <v>5289</v>
      </c>
      <c r="M384" s="19" t="s">
        <v>70</v>
      </c>
      <c r="N384" s="19">
        <v>6.2</v>
      </c>
    </row>
    <row r="385" spans="1:14">
      <c r="A385" s="18" t="s">
        <v>5719</v>
      </c>
      <c r="B385" s="18" t="s">
        <v>404</v>
      </c>
      <c r="C385" s="18" t="s">
        <v>98</v>
      </c>
      <c r="D385" s="18" t="s">
        <v>176</v>
      </c>
      <c r="E385" s="18" t="s">
        <v>5077</v>
      </c>
      <c r="F385" s="18">
        <v>5.6</v>
      </c>
      <c r="G385" s="18">
        <v>6</v>
      </c>
      <c r="H385" s="18">
        <v>5.8</v>
      </c>
      <c r="I385" s="18">
        <v>98220</v>
      </c>
      <c r="J385" s="18"/>
      <c r="K385" s="18" t="s">
        <v>5020</v>
      </c>
      <c r="L385" s="41" t="s">
        <v>5210</v>
      </c>
      <c r="M385" s="18" t="s">
        <v>114</v>
      </c>
      <c r="N385" s="18">
        <v>13.8</v>
      </c>
    </row>
    <row r="386" spans="1:14">
      <c r="A386" s="19" t="s">
        <v>5720</v>
      </c>
      <c r="B386" s="19" t="s">
        <v>5721</v>
      </c>
      <c r="C386" s="19" t="s">
        <v>105</v>
      </c>
      <c r="D386" s="19" t="s">
        <v>118</v>
      </c>
      <c r="E386" s="19" t="s">
        <v>5023</v>
      </c>
      <c r="F386" s="19">
        <v>3.6</v>
      </c>
      <c r="G386" s="19">
        <v>4.4000000000000004</v>
      </c>
      <c r="H386" s="19">
        <v>4</v>
      </c>
      <c r="I386" s="19">
        <v>186678</v>
      </c>
      <c r="J386" s="19">
        <v>190032</v>
      </c>
      <c r="K386" s="19" t="s">
        <v>5017</v>
      </c>
      <c r="L386" s="40" t="s">
        <v>5222</v>
      </c>
      <c r="M386" s="19" t="s">
        <v>114</v>
      </c>
      <c r="N386" s="19">
        <v>9.6</v>
      </c>
    </row>
    <row r="387" spans="1:14">
      <c r="A387" s="18" t="s">
        <v>5722</v>
      </c>
      <c r="B387" s="18" t="s">
        <v>798</v>
      </c>
      <c r="C387" s="18" t="s">
        <v>98</v>
      </c>
      <c r="D387" s="18" t="s">
        <v>39</v>
      </c>
      <c r="E387" s="18" t="s">
        <v>5019</v>
      </c>
      <c r="F387" s="18">
        <v>5.3</v>
      </c>
      <c r="G387" s="18"/>
      <c r="H387" s="18">
        <v>5.3</v>
      </c>
      <c r="I387" s="18">
        <v>146992</v>
      </c>
      <c r="J387" s="18"/>
      <c r="K387" s="18" t="s">
        <v>5020</v>
      </c>
      <c r="L387" s="41" t="s">
        <v>1764</v>
      </c>
      <c r="M387" s="18" t="s">
        <v>70</v>
      </c>
      <c r="N387" s="18">
        <v>9.3000000000000007</v>
      </c>
    </row>
    <row r="388" spans="1:14">
      <c r="A388" s="19" t="s">
        <v>5723</v>
      </c>
      <c r="B388" s="19" t="s">
        <v>5693</v>
      </c>
      <c r="C388" s="19" t="s">
        <v>153</v>
      </c>
      <c r="D388" s="19" t="s">
        <v>133</v>
      </c>
      <c r="E388" s="19" t="s">
        <v>5025</v>
      </c>
      <c r="F388" s="19">
        <v>4.4000000000000004</v>
      </c>
      <c r="G388" s="19">
        <v>6.1</v>
      </c>
      <c r="H388" s="19">
        <v>5.2</v>
      </c>
      <c r="I388" s="19">
        <v>159394</v>
      </c>
      <c r="J388" s="19"/>
      <c r="K388" s="19" t="s">
        <v>5017</v>
      </c>
      <c r="L388" s="40" t="s">
        <v>1737</v>
      </c>
      <c r="M388" s="19" t="s">
        <v>75</v>
      </c>
      <c r="N388" s="19">
        <v>9.4</v>
      </c>
    </row>
    <row r="389" spans="1:14">
      <c r="A389" s="18" t="s">
        <v>5724</v>
      </c>
      <c r="B389" s="18" t="s">
        <v>5725</v>
      </c>
      <c r="C389" s="18" t="s">
        <v>25</v>
      </c>
      <c r="D389" s="18" t="s">
        <v>39</v>
      </c>
      <c r="E389" s="18" t="s">
        <v>5023</v>
      </c>
      <c r="F389" s="18">
        <v>6.7</v>
      </c>
      <c r="G389" s="18">
        <v>3.9</v>
      </c>
      <c r="H389" s="18">
        <v>5.3</v>
      </c>
      <c r="I389" s="18">
        <v>140048</v>
      </c>
      <c r="J389" s="18">
        <v>120437</v>
      </c>
      <c r="K389" s="18" t="s">
        <v>5017</v>
      </c>
      <c r="L389" s="41" t="s">
        <v>5156</v>
      </c>
      <c r="M389" s="18" t="s">
        <v>18</v>
      </c>
      <c r="N389" s="18">
        <v>5</v>
      </c>
    </row>
    <row r="390" spans="1:14">
      <c r="A390" s="19" t="s">
        <v>5726</v>
      </c>
      <c r="B390" s="19" t="s">
        <v>468</v>
      </c>
      <c r="C390" s="19" t="s">
        <v>90</v>
      </c>
      <c r="D390" s="19" t="s">
        <v>39</v>
      </c>
      <c r="E390" s="19" t="s">
        <v>5060</v>
      </c>
      <c r="F390" s="19">
        <v>7.1</v>
      </c>
      <c r="G390" s="19">
        <v>3.2</v>
      </c>
      <c r="H390" s="19">
        <v>5.2</v>
      </c>
      <c r="I390" s="19">
        <v>157818</v>
      </c>
      <c r="J390" s="19">
        <v>152403</v>
      </c>
      <c r="K390" s="19" t="s">
        <v>5028</v>
      </c>
      <c r="L390" s="40" t="s">
        <v>1988</v>
      </c>
      <c r="M390" s="19" t="s">
        <v>18</v>
      </c>
      <c r="N390" s="19">
        <v>7.2</v>
      </c>
    </row>
    <row r="391" spans="1:14">
      <c r="A391" s="18" t="s">
        <v>5727</v>
      </c>
      <c r="B391" s="18" t="s">
        <v>5728</v>
      </c>
      <c r="C391" s="18" t="s">
        <v>105</v>
      </c>
      <c r="D391" s="18" t="s">
        <v>89</v>
      </c>
      <c r="E391" s="18" t="s">
        <v>5016</v>
      </c>
      <c r="F391" s="18">
        <v>7.6</v>
      </c>
      <c r="G391" s="18">
        <v>3.5</v>
      </c>
      <c r="H391" s="18">
        <v>5.5</v>
      </c>
      <c r="I391" s="18">
        <v>146183</v>
      </c>
      <c r="J391" s="18"/>
      <c r="K391" s="18" t="s">
        <v>5017</v>
      </c>
      <c r="L391" s="41" t="s">
        <v>5352</v>
      </c>
      <c r="M391" s="18" t="s">
        <v>32</v>
      </c>
      <c r="N391" s="18">
        <v>12.7</v>
      </c>
    </row>
    <row r="392" spans="1:14">
      <c r="A392" s="19" t="s">
        <v>5729</v>
      </c>
      <c r="B392" s="19" t="s">
        <v>5179</v>
      </c>
      <c r="C392" s="19" t="s">
        <v>25</v>
      </c>
      <c r="D392" s="19" t="s">
        <v>133</v>
      </c>
      <c r="E392" s="19" t="s">
        <v>5019</v>
      </c>
      <c r="F392" s="19">
        <v>7.7</v>
      </c>
      <c r="G392" s="19">
        <v>7.8</v>
      </c>
      <c r="H392" s="19">
        <v>7.8</v>
      </c>
      <c r="I392" s="19">
        <v>58349</v>
      </c>
      <c r="J392" s="19"/>
      <c r="K392" s="19" t="s">
        <v>5020</v>
      </c>
      <c r="L392" s="40" t="s">
        <v>5730</v>
      </c>
      <c r="M392" s="19" t="s">
        <v>18</v>
      </c>
      <c r="N392" s="19">
        <v>7.7</v>
      </c>
    </row>
    <row r="393" spans="1:14">
      <c r="A393" s="18" t="s">
        <v>5731</v>
      </c>
      <c r="B393" s="18" t="s">
        <v>37</v>
      </c>
      <c r="C393" s="18" t="s">
        <v>335</v>
      </c>
      <c r="D393" s="18" t="s">
        <v>39</v>
      </c>
      <c r="E393" s="18" t="s">
        <v>5051</v>
      </c>
      <c r="F393" s="18">
        <v>9.9</v>
      </c>
      <c r="G393" s="18">
        <v>3.2</v>
      </c>
      <c r="H393" s="18">
        <v>6.6</v>
      </c>
      <c r="I393" s="18">
        <v>150420</v>
      </c>
      <c r="J393" s="18"/>
      <c r="K393" s="18" t="s">
        <v>5035</v>
      </c>
      <c r="L393" s="41" t="s">
        <v>5732</v>
      </c>
      <c r="M393" s="18" t="s">
        <v>18</v>
      </c>
      <c r="N393" s="18">
        <v>2.6</v>
      </c>
    </row>
    <row r="394" spans="1:14">
      <c r="A394" s="19" t="s">
        <v>5733</v>
      </c>
      <c r="B394" s="19" t="s">
        <v>171</v>
      </c>
      <c r="C394" s="19" t="s">
        <v>79</v>
      </c>
      <c r="D394" s="19" t="s">
        <v>63</v>
      </c>
      <c r="E394" s="19" t="s">
        <v>5077</v>
      </c>
      <c r="F394" s="19">
        <v>9.6</v>
      </c>
      <c r="G394" s="19">
        <v>9.8000000000000007</v>
      </c>
      <c r="H394" s="19">
        <v>9.6999999999999993</v>
      </c>
      <c r="I394" s="19">
        <v>37946</v>
      </c>
      <c r="J394" s="19"/>
      <c r="K394" s="19" t="s">
        <v>5045</v>
      </c>
      <c r="L394" s="40" t="s">
        <v>1435</v>
      </c>
      <c r="M394" s="19" t="s">
        <v>46</v>
      </c>
      <c r="N394" s="19">
        <v>8.6</v>
      </c>
    </row>
    <row r="395" spans="1:14">
      <c r="A395" s="18" t="s">
        <v>5734</v>
      </c>
      <c r="B395" s="18" t="s">
        <v>5382</v>
      </c>
      <c r="C395" s="18" t="s">
        <v>90</v>
      </c>
      <c r="D395" s="18" t="s">
        <v>63</v>
      </c>
      <c r="E395" s="18" t="s">
        <v>5025</v>
      </c>
      <c r="F395" s="18">
        <v>6.5</v>
      </c>
      <c r="G395" s="18">
        <v>6.2</v>
      </c>
      <c r="H395" s="18">
        <v>6.3</v>
      </c>
      <c r="I395" s="18">
        <v>54932</v>
      </c>
      <c r="J395" s="18">
        <v>57921</v>
      </c>
      <c r="K395" s="18" t="s">
        <v>5017</v>
      </c>
      <c r="L395" s="41" t="s">
        <v>5735</v>
      </c>
      <c r="M395" s="18" t="s">
        <v>18</v>
      </c>
      <c r="N395" s="18">
        <v>14.1</v>
      </c>
    </row>
    <row r="396" spans="1:14">
      <c r="A396" s="19" t="s">
        <v>5736</v>
      </c>
      <c r="B396" s="19" t="s">
        <v>628</v>
      </c>
      <c r="C396" s="19" t="s">
        <v>5040</v>
      </c>
      <c r="D396" s="19" t="s">
        <v>16</v>
      </c>
      <c r="E396" s="19" t="s">
        <v>5025</v>
      </c>
      <c r="F396" s="19">
        <v>3.2</v>
      </c>
      <c r="G396" s="19">
        <v>6.3</v>
      </c>
      <c r="H396" s="19">
        <v>4.8</v>
      </c>
      <c r="I396" s="19">
        <v>63211</v>
      </c>
      <c r="J396" s="19">
        <v>62319</v>
      </c>
      <c r="K396" s="19" t="s">
        <v>5045</v>
      </c>
      <c r="L396" s="40" t="s">
        <v>5571</v>
      </c>
      <c r="M396" s="19" t="s">
        <v>18</v>
      </c>
      <c r="N396" s="19">
        <v>12.8</v>
      </c>
    </row>
    <row r="397" spans="1:14">
      <c r="A397" s="18" t="s">
        <v>5737</v>
      </c>
      <c r="B397" s="18" t="s">
        <v>93</v>
      </c>
      <c r="C397" s="18" t="s">
        <v>79</v>
      </c>
      <c r="D397" s="18" t="s">
        <v>176</v>
      </c>
      <c r="E397" s="18" t="s">
        <v>5077</v>
      </c>
      <c r="F397" s="18">
        <v>6.2</v>
      </c>
      <c r="G397" s="18">
        <v>9.3000000000000007</v>
      </c>
      <c r="H397" s="18">
        <v>7.8</v>
      </c>
      <c r="I397" s="18">
        <v>156175</v>
      </c>
      <c r="J397" s="18">
        <v>144636</v>
      </c>
      <c r="K397" s="18" t="s">
        <v>5028</v>
      </c>
      <c r="L397" s="41" t="s">
        <v>5738</v>
      </c>
      <c r="M397" s="18" t="s">
        <v>53</v>
      </c>
      <c r="N397" s="18">
        <v>9.6999999999999993</v>
      </c>
    </row>
    <row r="398" spans="1:14">
      <c r="A398" s="19" t="s">
        <v>5739</v>
      </c>
      <c r="B398" s="19" t="s">
        <v>681</v>
      </c>
      <c r="C398" s="19" t="s">
        <v>153</v>
      </c>
      <c r="D398" s="19" t="s">
        <v>133</v>
      </c>
      <c r="E398" s="19" t="s">
        <v>5019</v>
      </c>
      <c r="F398" s="19">
        <v>4.5999999999999996</v>
      </c>
      <c r="G398" s="19">
        <v>5.4</v>
      </c>
      <c r="H398" s="19">
        <v>5</v>
      </c>
      <c r="I398" s="19">
        <v>70670</v>
      </c>
      <c r="J398" s="19">
        <v>77920</v>
      </c>
      <c r="K398" s="19" t="s">
        <v>5028</v>
      </c>
      <c r="L398" s="40" t="s">
        <v>1718</v>
      </c>
      <c r="M398" s="19" t="s">
        <v>46</v>
      </c>
      <c r="N398" s="19">
        <v>4.3</v>
      </c>
    </row>
    <row r="399" spans="1:14">
      <c r="A399" s="18" t="s">
        <v>5740</v>
      </c>
      <c r="B399" s="18" t="s">
        <v>684</v>
      </c>
      <c r="C399" s="18" t="s">
        <v>79</v>
      </c>
      <c r="D399" s="18" t="s">
        <v>133</v>
      </c>
      <c r="E399" s="18" t="s">
        <v>5023</v>
      </c>
      <c r="F399" s="18">
        <v>9.4</v>
      </c>
      <c r="G399" s="18"/>
      <c r="H399" s="18">
        <v>9.4</v>
      </c>
      <c r="I399" s="18">
        <v>148789</v>
      </c>
      <c r="J399" s="18">
        <v>158377</v>
      </c>
      <c r="K399" s="18" t="s">
        <v>5035</v>
      </c>
      <c r="L399" s="41" t="s">
        <v>1988</v>
      </c>
      <c r="M399" s="18" t="s">
        <v>149</v>
      </c>
      <c r="N399" s="18">
        <v>10.1</v>
      </c>
    </row>
    <row r="400" spans="1:14">
      <c r="A400" s="19" t="s">
        <v>5741</v>
      </c>
      <c r="B400" s="19" t="s">
        <v>5742</v>
      </c>
      <c r="C400" s="19" t="s">
        <v>25</v>
      </c>
      <c r="D400" s="19" t="s">
        <v>84</v>
      </c>
      <c r="E400" s="19" t="s">
        <v>5023</v>
      </c>
      <c r="F400" s="19">
        <v>9.6999999999999993</v>
      </c>
      <c r="G400" s="19">
        <v>7.9</v>
      </c>
      <c r="H400" s="19">
        <v>8.8000000000000007</v>
      </c>
      <c r="I400" s="19">
        <v>52648</v>
      </c>
      <c r="J400" s="19"/>
      <c r="K400" s="19" t="s">
        <v>5028</v>
      </c>
      <c r="L400" s="40" t="s">
        <v>86</v>
      </c>
      <c r="M400" s="19" t="s">
        <v>65</v>
      </c>
      <c r="N400" s="19">
        <v>14.7</v>
      </c>
    </row>
    <row r="401" spans="1:14">
      <c r="A401" s="18" t="s">
        <v>5743</v>
      </c>
      <c r="B401" s="18" t="s">
        <v>5744</v>
      </c>
      <c r="C401" s="18" t="s">
        <v>5040</v>
      </c>
      <c r="D401" s="18" t="s">
        <v>118</v>
      </c>
      <c r="E401" s="18" t="s">
        <v>5016</v>
      </c>
      <c r="F401" s="18">
        <v>7.8</v>
      </c>
      <c r="G401" s="18">
        <v>8.3000000000000007</v>
      </c>
      <c r="H401" s="18">
        <v>8.1</v>
      </c>
      <c r="I401" s="18">
        <v>136163</v>
      </c>
      <c r="J401" s="18"/>
      <c r="K401" s="18" t="s">
        <v>5017</v>
      </c>
      <c r="L401" s="41" t="s">
        <v>927</v>
      </c>
      <c r="M401" s="18" t="s">
        <v>18</v>
      </c>
      <c r="N401" s="18">
        <v>3.9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1C3C-D2E2-41CC-9565-103B40DDA869}">
  <sheetPr>
    <tabColor rgb="FFFF0000"/>
  </sheetPr>
  <dimension ref="A1:B10"/>
  <sheetViews>
    <sheetView workbookViewId="0">
      <selection activeCell="E17" sqref="E17"/>
    </sheetView>
  </sheetViews>
  <sheetFormatPr defaultRowHeight="15"/>
  <cols>
    <col min="1" max="1" width="11.85546875" bestFit="1" customWidth="1"/>
    <col min="2" max="3" width="20.28515625" bestFit="1" customWidth="1"/>
  </cols>
  <sheetData>
    <row r="1" spans="1:2">
      <c r="A1" s="60" t="s">
        <v>5011</v>
      </c>
      <c r="B1" t="s">
        <v>5020</v>
      </c>
    </row>
    <row r="3" spans="1:2">
      <c r="A3" s="60" t="s">
        <v>5005</v>
      </c>
      <c r="B3" t="s">
        <v>5885</v>
      </c>
    </row>
    <row r="4" spans="1:2">
      <c r="A4" t="s">
        <v>5025</v>
      </c>
      <c r="B4" s="61">
        <v>8</v>
      </c>
    </row>
    <row r="5" spans="1:2">
      <c r="A5" t="s">
        <v>5016</v>
      </c>
      <c r="B5" s="61">
        <v>16</v>
      </c>
    </row>
    <row r="6" spans="1:2">
      <c r="A6" t="s">
        <v>5019</v>
      </c>
      <c r="B6" s="61">
        <v>23</v>
      </c>
    </row>
    <row r="7" spans="1:2">
      <c r="A7" t="s">
        <v>5051</v>
      </c>
      <c r="B7" s="61">
        <v>29</v>
      </c>
    </row>
    <row r="8" spans="1:2">
      <c r="A8" t="s">
        <v>5077</v>
      </c>
      <c r="B8" s="61">
        <v>9</v>
      </c>
    </row>
    <row r="9" spans="1:2">
      <c r="A9" t="s">
        <v>5031</v>
      </c>
      <c r="B9" s="61">
        <v>11</v>
      </c>
    </row>
    <row r="10" spans="1:2">
      <c r="A10" t="s">
        <v>5884</v>
      </c>
      <c r="B10" s="61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86BF-9205-4BDF-AFB1-DA750477D32B}">
  <sheetPr>
    <tabColor rgb="FF00B050"/>
  </sheetPr>
  <dimension ref="A3:E17"/>
  <sheetViews>
    <sheetView workbookViewId="0">
      <selection activeCell="K19" sqref="K19"/>
    </sheetView>
  </sheetViews>
  <sheetFormatPr defaultRowHeight="15"/>
  <cols>
    <col min="1" max="1" width="20.85546875" bestFit="1" customWidth="1"/>
    <col min="2" max="2" width="8" bestFit="1" customWidth="1"/>
    <col min="3" max="4" width="6.85546875" bestFit="1" customWidth="1"/>
    <col min="5" max="5" width="11.42578125" bestFit="1" customWidth="1"/>
    <col min="6" max="6" width="18.85546875" bestFit="1" customWidth="1"/>
    <col min="7" max="7" width="5.85546875" bestFit="1" customWidth="1"/>
    <col min="8" max="8" width="5.140625" bestFit="1" customWidth="1"/>
    <col min="9" max="9" width="22" bestFit="1" customWidth="1"/>
    <col min="10" max="10" width="22.42578125" bestFit="1" customWidth="1"/>
    <col min="11" max="12" width="5.85546875" bestFit="1" customWidth="1"/>
    <col min="13" max="13" width="25.5703125" bestFit="1" customWidth="1"/>
    <col min="14" max="14" width="20.140625" bestFit="1" customWidth="1"/>
    <col min="15" max="15" width="23.28515625" bestFit="1" customWidth="1"/>
    <col min="16" max="16" width="15.42578125" bestFit="1" customWidth="1"/>
    <col min="17" max="17" width="5.85546875" bestFit="1" customWidth="1"/>
    <col min="18" max="18" width="5.140625" bestFit="1" customWidth="1"/>
    <col min="19" max="19" width="18.5703125" bestFit="1" customWidth="1"/>
    <col min="20" max="20" width="17.85546875" bestFit="1" customWidth="1"/>
    <col min="21" max="22" width="5.140625" bestFit="1" customWidth="1"/>
    <col min="23" max="23" width="21" bestFit="1" customWidth="1"/>
    <col min="24" max="24" width="15.5703125" bestFit="1" customWidth="1"/>
    <col min="25" max="26" width="5.85546875" bestFit="1" customWidth="1"/>
    <col min="27" max="27" width="18.7109375" bestFit="1" customWidth="1"/>
    <col min="28" max="28" width="19.42578125" bestFit="1" customWidth="1"/>
    <col min="29" max="30" width="5.140625" bestFit="1" customWidth="1"/>
    <col min="31" max="31" width="22.5703125" bestFit="1" customWidth="1"/>
    <col min="32" max="32" width="20.28515625" bestFit="1" customWidth="1"/>
    <col min="33" max="34" width="5.140625" bestFit="1" customWidth="1"/>
    <col min="35" max="35" width="23.42578125" bestFit="1" customWidth="1"/>
    <col min="36" max="36" width="11" bestFit="1" customWidth="1"/>
    <col min="37" max="38" width="5.85546875" bestFit="1" customWidth="1"/>
    <col min="39" max="39" width="14.28515625" bestFit="1" customWidth="1"/>
    <col min="40" max="40" width="23.140625" bestFit="1" customWidth="1"/>
    <col min="41" max="41" width="5.85546875" bestFit="1" customWidth="1"/>
    <col min="42" max="42" width="5.140625" bestFit="1" customWidth="1"/>
    <col min="43" max="43" width="26.28515625" bestFit="1" customWidth="1"/>
    <col min="44" max="44" width="17.7109375" bestFit="1" customWidth="1"/>
    <col min="45" max="46" width="5.85546875" bestFit="1" customWidth="1"/>
    <col min="47" max="47" width="20.85546875" bestFit="1" customWidth="1"/>
    <col min="48" max="48" width="11.42578125" bestFit="1" customWidth="1"/>
  </cols>
  <sheetData>
    <row r="3" spans="1:5">
      <c r="A3" s="60" t="s">
        <v>5886</v>
      </c>
      <c r="B3" s="60" t="s">
        <v>5747</v>
      </c>
    </row>
    <row r="4" spans="1:5">
      <c r="A4" s="60" t="s">
        <v>5</v>
      </c>
      <c r="B4">
        <v>2022</v>
      </c>
      <c r="C4">
        <v>2023</v>
      </c>
      <c r="D4">
        <v>2024</v>
      </c>
      <c r="E4" t="s">
        <v>5884</v>
      </c>
    </row>
    <row r="5" spans="1:5">
      <c r="A5" t="s">
        <v>53</v>
      </c>
      <c r="B5" s="61">
        <v>6.76</v>
      </c>
      <c r="C5" s="61">
        <v>2.6</v>
      </c>
      <c r="D5" s="61">
        <v>24.68</v>
      </c>
      <c r="E5" s="61">
        <v>34.04</v>
      </c>
    </row>
    <row r="6" spans="1:5">
      <c r="A6" t="s">
        <v>18</v>
      </c>
      <c r="B6" s="61">
        <v>22.599999999999998</v>
      </c>
      <c r="C6" s="61">
        <v>24.76</v>
      </c>
      <c r="D6" s="61">
        <v>2.2200000000000002</v>
      </c>
      <c r="E6" s="61">
        <v>49.58</v>
      </c>
    </row>
    <row r="7" spans="1:5">
      <c r="A7" t="s">
        <v>26</v>
      </c>
      <c r="B7" s="61">
        <v>33.29</v>
      </c>
      <c r="C7" s="61">
        <v>35.58</v>
      </c>
      <c r="D7" s="61">
        <v>12.45</v>
      </c>
      <c r="E7" s="61">
        <v>81.320000000000007</v>
      </c>
    </row>
    <row r="8" spans="1:5">
      <c r="A8" t="s">
        <v>75</v>
      </c>
      <c r="B8" s="61"/>
      <c r="C8" s="61"/>
      <c r="D8" s="61">
        <v>31.919999999999998</v>
      </c>
      <c r="E8" s="61">
        <v>31.919999999999998</v>
      </c>
    </row>
    <row r="9" spans="1:5">
      <c r="A9" t="s">
        <v>32</v>
      </c>
      <c r="B9" s="61">
        <v>6.43</v>
      </c>
      <c r="C9" s="61">
        <v>67.509999999999991</v>
      </c>
      <c r="D9" s="61">
        <v>12.5</v>
      </c>
      <c r="E9" s="61">
        <v>86.44</v>
      </c>
    </row>
    <row r="10" spans="1:5">
      <c r="A10" t="s">
        <v>70</v>
      </c>
      <c r="B10" s="61">
        <v>14.379999999999999</v>
      </c>
      <c r="C10" s="61">
        <v>40</v>
      </c>
      <c r="D10" s="61">
        <v>9.3000000000000007</v>
      </c>
      <c r="E10" s="61">
        <v>63.679999999999993</v>
      </c>
    </row>
    <row r="11" spans="1:5">
      <c r="A11" t="s">
        <v>46</v>
      </c>
      <c r="B11" s="61">
        <v>15.87</v>
      </c>
      <c r="C11" s="61">
        <v>12.16</v>
      </c>
      <c r="D11" s="61">
        <v>26.98</v>
      </c>
      <c r="E11" s="61">
        <v>55.010000000000005</v>
      </c>
    </row>
    <row r="12" spans="1:5">
      <c r="A12" t="s">
        <v>149</v>
      </c>
      <c r="B12" s="61">
        <v>7.43</v>
      </c>
      <c r="C12" s="61">
        <v>5.6</v>
      </c>
      <c r="D12" s="61">
        <v>7.81</v>
      </c>
      <c r="E12" s="61">
        <v>20.84</v>
      </c>
    </row>
    <row r="13" spans="1:5">
      <c r="A13" t="s">
        <v>172</v>
      </c>
      <c r="B13" s="61">
        <v>31.200000000000003</v>
      </c>
      <c r="C13" s="61">
        <v>7.92</v>
      </c>
      <c r="D13" s="61">
        <v>0.71</v>
      </c>
      <c r="E13" s="61">
        <v>39.830000000000005</v>
      </c>
    </row>
    <row r="14" spans="1:5">
      <c r="A14" t="s">
        <v>65</v>
      </c>
      <c r="B14" s="61">
        <v>4.49</v>
      </c>
      <c r="C14" s="61">
        <v>10.06</v>
      </c>
      <c r="D14" s="61">
        <v>47.32</v>
      </c>
      <c r="E14" s="61">
        <v>61.870000000000005</v>
      </c>
    </row>
    <row r="15" spans="1:5">
      <c r="A15" t="s">
        <v>114</v>
      </c>
      <c r="B15" s="61">
        <v>6.63</v>
      </c>
      <c r="C15" s="61">
        <v>16.39</v>
      </c>
      <c r="D15" s="61">
        <v>8.4700000000000006</v>
      </c>
      <c r="E15" s="61">
        <v>31.490000000000002</v>
      </c>
    </row>
    <row r="16" spans="1:5">
      <c r="A16" t="s">
        <v>214</v>
      </c>
      <c r="B16" s="61">
        <v>4.49</v>
      </c>
      <c r="C16" s="61">
        <v>16.53</v>
      </c>
      <c r="D16" s="61">
        <v>21.18</v>
      </c>
      <c r="E16" s="61">
        <v>42.2</v>
      </c>
    </row>
    <row r="17" spans="1:5">
      <c r="A17" t="s">
        <v>5884</v>
      </c>
      <c r="B17" s="61">
        <v>153.57</v>
      </c>
      <c r="C17" s="61">
        <v>239.10999999999999</v>
      </c>
      <c r="D17" s="61">
        <v>205.54</v>
      </c>
      <c r="E17" s="61">
        <v>598.22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CCF9-6075-473E-90A4-883A9D729550}">
  <sheetPr>
    <tabColor rgb="FFFFFF00"/>
  </sheetPr>
  <dimension ref="A3:J20"/>
  <sheetViews>
    <sheetView topLeftCell="A2" workbookViewId="0">
      <selection activeCell="J11" sqref="J11"/>
    </sheetView>
  </sheetViews>
  <sheetFormatPr defaultRowHeight="15"/>
  <cols>
    <col min="1" max="1" width="20" bestFit="1" customWidth="1"/>
    <col min="2" max="2" width="9.5703125" bestFit="1" customWidth="1"/>
    <col min="3" max="3" width="10.5703125" bestFit="1" customWidth="1"/>
    <col min="4" max="4" width="10.7109375" bestFit="1" customWidth="1"/>
    <col min="5" max="5" width="8.140625" bestFit="1" customWidth="1"/>
    <col min="6" max="6" width="13.42578125" bestFit="1" customWidth="1"/>
    <col min="7" max="8" width="11.42578125" bestFit="1" customWidth="1"/>
    <col min="10" max="10" width="32.5703125" customWidth="1"/>
  </cols>
  <sheetData>
    <row r="3" spans="1:10">
      <c r="A3" s="60" t="s">
        <v>5887</v>
      </c>
      <c r="B3" s="60" t="s">
        <v>1604</v>
      </c>
    </row>
    <row r="4" spans="1:10" ht="44.25" customHeight="1">
      <c r="A4" s="60" t="s">
        <v>1598</v>
      </c>
      <c r="B4" t="s">
        <v>1614</v>
      </c>
      <c r="C4" t="s">
        <v>1638</v>
      </c>
      <c r="D4" t="s">
        <v>1632</v>
      </c>
      <c r="E4" t="s">
        <v>1656</v>
      </c>
      <c r="F4" t="s">
        <v>1625</v>
      </c>
      <c r="G4" t="s">
        <v>5884</v>
      </c>
      <c r="J4" s="62" t="s">
        <v>5888</v>
      </c>
    </row>
    <row r="5" spans="1:10">
      <c r="A5" t="s">
        <v>1659</v>
      </c>
      <c r="B5" s="61">
        <v>2</v>
      </c>
      <c r="C5" s="61"/>
      <c r="D5" s="61"/>
      <c r="E5" s="61">
        <v>3</v>
      </c>
      <c r="F5" s="61">
        <v>4</v>
      </c>
      <c r="G5" s="61">
        <v>9</v>
      </c>
      <c r="J5" s="57" t="str">
        <f>INDEX(A5:A19,MATCH(MAX(B5:B19),B5:B19,0))</f>
        <v>Data Engineering</v>
      </c>
    </row>
    <row r="6" spans="1:10">
      <c r="A6" t="s">
        <v>1611</v>
      </c>
      <c r="B6" s="61">
        <v>6</v>
      </c>
      <c r="C6" s="61">
        <v>5</v>
      </c>
      <c r="D6" s="61"/>
      <c r="E6" s="61">
        <v>1</v>
      </c>
      <c r="F6" s="61">
        <v>3</v>
      </c>
      <c r="G6" s="61">
        <v>15</v>
      </c>
    </row>
    <row r="7" spans="1:10">
      <c r="A7" t="s">
        <v>1623</v>
      </c>
      <c r="B7" s="61">
        <v>2</v>
      </c>
      <c r="C7" s="61">
        <v>2</v>
      </c>
      <c r="D7" s="61">
        <v>2</v>
      </c>
      <c r="E7" s="61">
        <v>2</v>
      </c>
      <c r="F7" s="61">
        <v>3</v>
      </c>
      <c r="G7" s="61">
        <v>11</v>
      </c>
    </row>
    <row r="8" spans="1:10">
      <c r="A8" t="s">
        <v>1629</v>
      </c>
      <c r="B8" s="61"/>
      <c r="C8" s="61">
        <v>1</v>
      </c>
      <c r="D8" s="61">
        <v>5</v>
      </c>
      <c r="E8" s="61">
        <v>4</v>
      </c>
      <c r="F8" s="61">
        <v>5</v>
      </c>
      <c r="G8" s="61">
        <v>15</v>
      </c>
    </row>
    <row r="9" spans="1:10">
      <c r="A9" t="s">
        <v>1664</v>
      </c>
      <c r="B9" s="61">
        <v>5</v>
      </c>
      <c r="C9" s="61"/>
      <c r="D9" s="61">
        <v>4</v>
      </c>
      <c r="E9" s="61">
        <v>4</v>
      </c>
      <c r="F9" s="61">
        <v>2</v>
      </c>
      <c r="G9" s="61">
        <v>15</v>
      </c>
    </row>
    <row r="10" spans="1:10">
      <c r="A10" t="s">
        <v>1654</v>
      </c>
      <c r="B10" s="61">
        <v>7</v>
      </c>
      <c r="C10" s="61">
        <v>2</v>
      </c>
      <c r="D10" s="61">
        <v>5</v>
      </c>
      <c r="E10" s="61">
        <v>3</v>
      </c>
      <c r="F10" s="61">
        <v>4</v>
      </c>
      <c r="G10" s="61">
        <v>21</v>
      </c>
    </row>
    <row r="11" spans="1:10">
      <c r="A11" t="s">
        <v>1668</v>
      </c>
      <c r="B11" s="61">
        <v>6</v>
      </c>
      <c r="C11" s="61">
        <v>2</v>
      </c>
      <c r="D11" s="61">
        <v>2</v>
      </c>
      <c r="E11" s="61">
        <v>4</v>
      </c>
      <c r="F11" s="61">
        <v>2</v>
      </c>
      <c r="G11" s="61">
        <v>16</v>
      </c>
    </row>
    <row r="12" spans="1:10">
      <c r="A12" t="s">
        <v>1635</v>
      </c>
      <c r="B12" s="61"/>
      <c r="C12" s="61">
        <v>1</v>
      </c>
      <c r="D12" s="61"/>
      <c r="E12" s="61">
        <v>2</v>
      </c>
      <c r="F12" s="61">
        <v>4</v>
      </c>
      <c r="G12" s="61">
        <v>7</v>
      </c>
    </row>
    <row r="13" spans="1:10">
      <c r="A13" t="s">
        <v>1650</v>
      </c>
      <c r="B13" s="61">
        <v>1</v>
      </c>
      <c r="C13" s="61">
        <v>3</v>
      </c>
      <c r="D13" s="61">
        <v>4</v>
      </c>
      <c r="E13" s="61">
        <v>5</v>
      </c>
      <c r="F13" s="61">
        <v>5</v>
      </c>
      <c r="G13" s="61">
        <v>18</v>
      </c>
    </row>
    <row r="14" spans="1:10">
      <c r="A14" t="s">
        <v>1734</v>
      </c>
      <c r="B14" s="61"/>
      <c r="C14" s="61">
        <v>2</v>
      </c>
      <c r="D14" s="61">
        <v>1</v>
      </c>
      <c r="E14" s="61">
        <v>2</v>
      </c>
      <c r="F14" s="61">
        <v>3</v>
      </c>
      <c r="G14" s="61">
        <v>8</v>
      </c>
    </row>
    <row r="15" spans="1:10">
      <c r="A15" t="s">
        <v>1617</v>
      </c>
      <c r="B15" s="61">
        <v>3</v>
      </c>
      <c r="C15" s="61">
        <v>1</v>
      </c>
      <c r="D15" s="61">
        <v>2</v>
      </c>
      <c r="E15" s="61"/>
      <c r="F15" s="61">
        <v>4</v>
      </c>
      <c r="G15" s="61">
        <v>10</v>
      </c>
    </row>
    <row r="16" spans="1:10">
      <c r="A16" t="s">
        <v>1642</v>
      </c>
      <c r="B16" s="61"/>
      <c r="C16" s="61">
        <v>1</v>
      </c>
      <c r="D16" s="61">
        <v>3</v>
      </c>
      <c r="E16" s="61">
        <v>3</v>
      </c>
      <c r="F16" s="61">
        <v>2</v>
      </c>
      <c r="G16" s="61">
        <v>9</v>
      </c>
    </row>
    <row r="17" spans="1:7">
      <c r="A17" t="s">
        <v>1740</v>
      </c>
      <c r="B17" s="61">
        <v>3</v>
      </c>
      <c r="C17" s="61">
        <v>1</v>
      </c>
      <c r="D17" s="61">
        <v>2</v>
      </c>
      <c r="E17" s="61">
        <v>2</v>
      </c>
      <c r="F17" s="61">
        <v>2</v>
      </c>
      <c r="G17" s="61">
        <v>10</v>
      </c>
    </row>
    <row r="18" spans="1:7">
      <c r="A18" t="s">
        <v>1687</v>
      </c>
      <c r="B18" s="61">
        <v>6</v>
      </c>
      <c r="C18" s="61">
        <v>1</v>
      </c>
      <c r="D18" s="61">
        <v>3</v>
      </c>
      <c r="E18" s="61">
        <v>3</v>
      </c>
      <c r="F18" s="61">
        <v>3</v>
      </c>
      <c r="G18" s="61">
        <v>16</v>
      </c>
    </row>
    <row r="19" spans="1:7">
      <c r="A19" t="s">
        <v>1682</v>
      </c>
      <c r="B19" s="61">
        <v>2</v>
      </c>
      <c r="C19" s="61">
        <v>1</v>
      </c>
      <c r="D19" s="61">
        <v>6</v>
      </c>
      <c r="E19" s="61">
        <v>5</v>
      </c>
      <c r="F19" s="61">
        <v>6</v>
      </c>
      <c r="G19" s="61">
        <v>20</v>
      </c>
    </row>
    <row r="20" spans="1:7">
      <c r="A20" t="s">
        <v>5884</v>
      </c>
      <c r="B20" s="61">
        <v>43</v>
      </c>
      <c r="C20" s="61">
        <v>23</v>
      </c>
      <c r="D20" s="61">
        <v>39</v>
      </c>
      <c r="E20" s="61">
        <v>43</v>
      </c>
      <c r="F20" s="61">
        <v>52</v>
      </c>
      <c r="G20" s="61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17AC-8AC0-4A46-B787-ACBF9076885A}">
  <sheetPr>
    <tabColor rgb="FF00B0F0"/>
  </sheetPr>
  <dimension ref="A1:E201"/>
  <sheetViews>
    <sheetView workbookViewId="0">
      <selection activeCell="H14" sqref="H14"/>
    </sheetView>
  </sheetViews>
  <sheetFormatPr defaultRowHeight="15"/>
  <cols>
    <col min="1" max="1" width="20.85546875" bestFit="1" customWidth="1"/>
    <col min="2" max="2" width="10.85546875" bestFit="1" customWidth="1"/>
    <col min="3" max="3" width="17.85546875" customWidth="1"/>
    <col min="4" max="4" width="10.85546875" customWidth="1"/>
  </cols>
  <sheetData>
    <row r="1" spans="1:5" ht="24">
      <c r="A1" s="10" t="s">
        <v>5</v>
      </c>
      <c r="B1" s="11" t="s">
        <v>1601</v>
      </c>
      <c r="C1" s="11" t="s">
        <v>5889</v>
      </c>
      <c r="D1" s="11" t="s">
        <v>5890</v>
      </c>
      <c r="E1" s="10" t="s">
        <v>1606</v>
      </c>
    </row>
    <row r="2" spans="1:5">
      <c r="A2" s="19" t="s">
        <v>172</v>
      </c>
      <c r="B2" s="13" t="s">
        <v>1612</v>
      </c>
      <c r="C2" s="81">
        <f>DATE(RIGHT(B2,4),MID(B2,4,2),LEFT(B2,2))</f>
        <v>44650</v>
      </c>
      <c r="D2" s="80" t="str">
        <f>TEXT(C2,"mmmm")</f>
        <v>March</v>
      </c>
      <c r="E2" s="12">
        <v>7765.2</v>
      </c>
    </row>
    <row r="3" spans="1:5">
      <c r="A3" s="18" t="s">
        <v>70</v>
      </c>
      <c r="B3" s="15" t="s">
        <v>1618</v>
      </c>
      <c r="C3" s="81">
        <f t="shared" ref="C3:C66" si="0">DATE(RIGHT(B3,4),MID(B3,4,2),LEFT(B3,2))</f>
        <v>45231</v>
      </c>
      <c r="D3" s="80" t="str">
        <f t="shared" ref="D3:D66" si="1">TEXT(C3,"mmmm")</f>
        <v>November</v>
      </c>
      <c r="E3" s="14">
        <v>2114.3000000000002</v>
      </c>
    </row>
    <row r="4" spans="1:5">
      <c r="A4" s="19" t="s">
        <v>75</v>
      </c>
      <c r="B4" s="13" t="s">
        <v>817</v>
      </c>
      <c r="C4" s="81">
        <f t="shared" si="0"/>
        <v>44537</v>
      </c>
      <c r="D4" s="80" t="str">
        <f t="shared" si="1"/>
        <v>December</v>
      </c>
      <c r="E4" s="12">
        <v>1820.4</v>
      </c>
    </row>
    <row r="5" spans="1:5">
      <c r="A5" s="18" t="s">
        <v>70</v>
      </c>
      <c r="B5" s="15" t="s">
        <v>1630</v>
      </c>
      <c r="C5" s="81">
        <f t="shared" si="0"/>
        <v>45508</v>
      </c>
      <c r="D5" s="80" t="str">
        <f t="shared" si="1"/>
        <v>August</v>
      </c>
      <c r="E5" s="14">
        <v>4444.3999999999996</v>
      </c>
    </row>
    <row r="6" spans="1:5">
      <c r="A6" s="19" t="s">
        <v>65</v>
      </c>
      <c r="B6" s="13" t="s">
        <v>1424</v>
      </c>
      <c r="C6" s="81">
        <f t="shared" si="0"/>
        <v>45012</v>
      </c>
      <c r="D6" s="80" t="str">
        <f t="shared" si="1"/>
        <v>March</v>
      </c>
      <c r="E6" s="12">
        <v>10825.8</v>
      </c>
    </row>
    <row r="7" spans="1:5">
      <c r="A7" s="18" t="s">
        <v>26</v>
      </c>
      <c r="B7" s="15" t="s">
        <v>1643</v>
      </c>
      <c r="C7" s="81">
        <f t="shared" si="0"/>
        <v>44260</v>
      </c>
      <c r="D7" s="80" t="str">
        <f t="shared" si="1"/>
        <v>March</v>
      </c>
      <c r="E7" s="14">
        <v>5174.3</v>
      </c>
    </row>
    <row r="8" spans="1:5">
      <c r="A8" s="19" t="s">
        <v>114</v>
      </c>
      <c r="B8" s="13" t="s">
        <v>1647</v>
      </c>
      <c r="C8" s="81">
        <f t="shared" si="0"/>
        <v>44443</v>
      </c>
      <c r="D8" s="80" t="str">
        <f t="shared" si="1"/>
        <v>September</v>
      </c>
      <c r="E8" s="12">
        <v>10820.4</v>
      </c>
    </row>
    <row r="9" spans="1:5">
      <c r="A9" s="18" t="s">
        <v>26</v>
      </c>
      <c r="B9" s="15" t="s">
        <v>1651</v>
      </c>
      <c r="C9" s="81">
        <f t="shared" si="0"/>
        <v>45225</v>
      </c>
      <c r="D9" s="80" t="str">
        <f t="shared" si="1"/>
        <v>October</v>
      </c>
      <c r="E9" s="14">
        <v>5141.8999999999996</v>
      </c>
    </row>
    <row r="10" spans="1:5">
      <c r="A10" s="19" t="s">
        <v>70</v>
      </c>
      <c r="B10" s="13" t="s">
        <v>379</v>
      </c>
      <c r="C10" s="81">
        <f t="shared" si="0"/>
        <v>44792</v>
      </c>
      <c r="D10" s="80" t="str">
        <f t="shared" si="1"/>
        <v>August</v>
      </c>
      <c r="E10" s="12">
        <v>458.3</v>
      </c>
    </row>
    <row r="11" spans="1:5">
      <c r="A11" s="18" t="s">
        <v>53</v>
      </c>
      <c r="B11" s="15" t="s">
        <v>1660</v>
      </c>
      <c r="C11" s="81">
        <f t="shared" si="0"/>
        <v>45496</v>
      </c>
      <c r="D11" s="80" t="str">
        <f t="shared" si="1"/>
        <v>July</v>
      </c>
      <c r="E11" s="14">
        <v>3512.1</v>
      </c>
    </row>
    <row r="12" spans="1:5">
      <c r="A12" s="19" t="s">
        <v>53</v>
      </c>
      <c r="B12" s="13" t="s">
        <v>1665</v>
      </c>
      <c r="C12" s="81">
        <f t="shared" si="0"/>
        <v>44841</v>
      </c>
      <c r="D12" s="80" t="str">
        <f t="shared" si="1"/>
        <v>October</v>
      </c>
      <c r="E12" s="12">
        <v>12125.9</v>
      </c>
    </row>
    <row r="13" spans="1:5">
      <c r="A13" s="18" t="s">
        <v>26</v>
      </c>
      <c r="B13" s="15" t="s">
        <v>1669</v>
      </c>
      <c r="C13" s="81">
        <f t="shared" si="0"/>
        <v>44974</v>
      </c>
      <c r="D13" s="80" t="str">
        <f t="shared" si="1"/>
        <v>February</v>
      </c>
      <c r="E13" s="14">
        <v>18151.5</v>
      </c>
    </row>
    <row r="14" spans="1:5">
      <c r="A14" s="19" t="s">
        <v>18</v>
      </c>
      <c r="B14" s="13" t="s">
        <v>1232</v>
      </c>
      <c r="C14" s="81">
        <f t="shared" si="0"/>
        <v>44797</v>
      </c>
      <c r="D14" s="80" t="str">
        <f t="shared" si="1"/>
        <v>August</v>
      </c>
      <c r="E14" s="12">
        <v>8129.3</v>
      </c>
    </row>
    <row r="15" spans="1:5">
      <c r="A15" s="18" t="s">
        <v>149</v>
      </c>
      <c r="B15" s="15" t="s">
        <v>1676</v>
      </c>
      <c r="C15" s="81">
        <f t="shared" si="0"/>
        <v>44989</v>
      </c>
      <c r="D15" s="80" t="str">
        <f t="shared" si="1"/>
        <v>March</v>
      </c>
      <c r="E15" s="14">
        <v>5854.7</v>
      </c>
    </row>
    <row r="16" spans="1:5">
      <c r="A16" s="19" t="s">
        <v>114</v>
      </c>
      <c r="B16" s="13" t="s">
        <v>1679</v>
      </c>
      <c r="C16" s="81">
        <f t="shared" si="0"/>
        <v>45052</v>
      </c>
      <c r="D16" s="80" t="str">
        <f t="shared" si="1"/>
        <v>May</v>
      </c>
      <c r="E16" s="12">
        <v>2307</v>
      </c>
    </row>
    <row r="17" spans="1:5">
      <c r="A17" s="18" t="s">
        <v>46</v>
      </c>
      <c r="B17" s="15" t="s">
        <v>1683</v>
      </c>
      <c r="C17" s="81">
        <f t="shared" si="0"/>
        <v>44969</v>
      </c>
      <c r="D17" s="80" t="str">
        <f t="shared" si="1"/>
        <v>February</v>
      </c>
      <c r="E17" s="14">
        <v>17402.8</v>
      </c>
    </row>
    <row r="18" spans="1:5">
      <c r="A18" s="19" t="s">
        <v>114</v>
      </c>
      <c r="B18" s="13" t="s">
        <v>1688</v>
      </c>
      <c r="C18" s="81">
        <f t="shared" si="0"/>
        <v>44237</v>
      </c>
      <c r="D18" s="80" t="str">
        <f t="shared" si="1"/>
        <v>February</v>
      </c>
      <c r="E18" s="12">
        <v>7651.3</v>
      </c>
    </row>
    <row r="19" spans="1:5">
      <c r="A19" s="18" t="s">
        <v>70</v>
      </c>
      <c r="B19" s="15" t="s">
        <v>1321</v>
      </c>
      <c r="C19" s="81">
        <f t="shared" si="0"/>
        <v>45351</v>
      </c>
      <c r="D19" s="80" t="str">
        <f t="shared" si="1"/>
        <v>February</v>
      </c>
      <c r="E19" s="14">
        <v>3049.6</v>
      </c>
    </row>
    <row r="20" spans="1:5">
      <c r="A20" s="19" t="s">
        <v>26</v>
      </c>
      <c r="B20" s="13" t="s">
        <v>1506</v>
      </c>
      <c r="C20" s="81">
        <f t="shared" si="0"/>
        <v>44638</v>
      </c>
      <c r="D20" s="80" t="str">
        <f t="shared" si="1"/>
        <v>March</v>
      </c>
      <c r="E20" s="12">
        <v>2931.5</v>
      </c>
    </row>
    <row r="21" spans="1:5">
      <c r="A21" s="18" t="s">
        <v>214</v>
      </c>
      <c r="B21" s="15" t="s">
        <v>1696</v>
      </c>
      <c r="C21" s="81">
        <f t="shared" si="0"/>
        <v>44280</v>
      </c>
      <c r="D21" s="80" t="str">
        <f t="shared" si="1"/>
        <v>March</v>
      </c>
      <c r="E21" s="14">
        <v>5050.3</v>
      </c>
    </row>
    <row r="22" spans="1:5">
      <c r="A22" s="19" t="s">
        <v>18</v>
      </c>
      <c r="B22" s="13" t="s">
        <v>1238</v>
      </c>
      <c r="C22" s="81">
        <f t="shared" si="0"/>
        <v>45111</v>
      </c>
      <c r="D22" s="80" t="str">
        <f t="shared" si="1"/>
        <v>July</v>
      </c>
      <c r="E22" s="12">
        <v>10531.7</v>
      </c>
    </row>
    <row r="23" spans="1:5">
      <c r="A23" s="18" t="s">
        <v>172</v>
      </c>
      <c r="B23" s="15" t="s">
        <v>1669</v>
      </c>
      <c r="C23" s="81">
        <f t="shared" si="0"/>
        <v>44974</v>
      </c>
      <c r="D23" s="80" t="str">
        <f t="shared" si="1"/>
        <v>February</v>
      </c>
      <c r="E23" s="14">
        <v>9667.2000000000007</v>
      </c>
    </row>
    <row r="24" spans="1:5">
      <c r="A24" s="19" t="s">
        <v>65</v>
      </c>
      <c r="B24" s="13" t="s">
        <v>1706</v>
      </c>
      <c r="C24" s="81">
        <f t="shared" si="0"/>
        <v>45403</v>
      </c>
      <c r="D24" s="80" t="str">
        <f t="shared" si="1"/>
        <v>April</v>
      </c>
      <c r="E24" s="12">
        <v>4353</v>
      </c>
    </row>
    <row r="25" spans="1:5">
      <c r="A25" s="18" t="s">
        <v>70</v>
      </c>
      <c r="B25" s="15" t="s">
        <v>1710</v>
      </c>
      <c r="C25" s="81">
        <f t="shared" si="0"/>
        <v>44737</v>
      </c>
      <c r="D25" s="80" t="str">
        <f t="shared" si="1"/>
        <v>June</v>
      </c>
      <c r="E25" s="14">
        <v>12613.9</v>
      </c>
    </row>
    <row r="26" spans="1:5">
      <c r="A26" s="19" t="s">
        <v>46</v>
      </c>
      <c r="B26" s="13" t="s">
        <v>1713</v>
      </c>
      <c r="C26" s="81">
        <f t="shared" si="0"/>
        <v>45112</v>
      </c>
      <c r="D26" s="80" t="str">
        <f t="shared" si="1"/>
        <v>July</v>
      </c>
      <c r="E26" s="12">
        <v>8647.7000000000007</v>
      </c>
    </row>
    <row r="27" spans="1:5">
      <c r="A27" s="18" t="s">
        <v>75</v>
      </c>
      <c r="B27" s="15" t="s">
        <v>1717</v>
      </c>
      <c r="C27" s="81">
        <f t="shared" si="0"/>
        <v>45233</v>
      </c>
      <c r="D27" s="80" t="str">
        <f t="shared" si="1"/>
        <v>November</v>
      </c>
      <c r="E27" s="14">
        <v>16743.099999999999</v>
      </c>
    </row>
    <row r="28" spans="1:5">
      <c r="A28" s="19" t="s">
        <v>149</v>
      </c>
      <c r="B28" s="13" t="s">
        <v>728</v>
      </c>
      <c r="C28" s="81">
        <f t="shared" si="0"/>
        <v>44805</v>
      </c>
      <c r="D28" s="80" t="str">
        <f t="shared" si="1"/>
        <v>September</v>
      </c>
      <c r="E28" s="12">
        <v>6995.5</v>
      </c>
    </row>
    <row r="29" spans="1:5">
      <c r="A29" s="18" t="s">
        <v>65</v>
      </c>
      <c r="B29" s="15" t="s">
        <v>1723</v>
      </c>
      <c r="C29" s="81">
        <f t="shared" si="0"/>
        <v>44730</v>
      </c>
      <c r="D29" s="80" t="str">
        <f t="shared" si="1"/>
        <v>June</v>
      </c>
      <c r="E29" s="14">
        <v>3265</v>
      </c>
    </row>
    <row r="30" spans="1:5">
      <c r="A30" s="19" t="s">
        <v>53</v>
      </c>
      <c r="B30" s="13" t="s">
        <v>1726</v>
      </c>
      <c r="C30" s="81">
        <f t="shared" si="0"/>
        <v>44327</v>
      </c>
      <c r="D30" s="80" t="str">
        <f t="shared" si="1"/>
        <v>May</v>
      </c>
      <c r="E30" s="12">
        <v>3624.4</v>
      </c>
    </row>
    <row r="31" spans="1:5">
      <c r="A31" s="18" t="s">
        <v>26</v>
      </c>
      <c r="B31" s="15" t="s">
        <v>1731</v>
      </c>
      <c r="C31" s="81">
        <f t="shared" si="0"/>
        <v>45453</v>
      </c>
      <c r="D31" s="80" t="str">
        <f t="shared" si="1"/>
        <v>June</v>
      </c>
      <c r="E31" s="14">
        <v>4226.3</v>
      </c>
    </row>
    <row r="32" spans="1:5">
      <c r="A32" s="19" t="s">
        <v>114</v>
      </c>
      <c r="B32" s="13" t="s">
        <v>1643</v>
      </c>
      <c r="C32" s="81">
        <f t="shared" si="0"/>
        <v>44260</v>
      </c>
      <c r="D32" s="80" t="str">
        <f t="shared" si="1"/>
        <v>March</v>
      </c>
      <c r="E32" s="12">
        <v>7778.3</v>
      </c>
    </row>
    <row r="33" spans="1:5">
      <c r="A33" s="18" t="s">
        <v>32</v>
      </c>
      <c r="B33" s="15" t="s">
        <v>1092</v>
      </c>
      <c r="C33" s="81">
        <f t="shared" si="0"/>
        <v>45137</v>
      </c>
      <c r="D33" s="80" t="str">
        <f t="shared" si="1"/>
        <v>July</v>
      </c>
      <c r="E33" s="14">
        <v>1605.8</v>
      </c>
    </row>
    <row r="34" spans="1:5">
      <c r="A34" s="19" t="s">
        <v>65</v>
      </c>
      <c r="B34" s="13" t="s">
        <v>1680</v>
      </c>
      <c r="C34" s="81">
        <f t="shared" si="0"/>
        <v>45122</v>
      </c>
      <c r="D34" s="80" t="str">
        <f t="shared" si="1"/>
        <v>July</v>
      </c>
      <c r="E34" s="12">
        <v>17202.3</v>
      </c>
    </row>
    <row r="35" spans="1:5">
      <c r="A35" s="18" t="s">
        <v>214</v>
      </c>
      <c r="B35" s="15" t="s">
        <v>1741</v>
      </c>
      <c r="C35" s="81">
        <f t="shared" si="0"/>
        <v>45029</v>
      </c>
      <c r="D35" s="80" t="str">
        <f t="shared" si="1"/>
        <v>April</v>
      </c>
      <c r="E35" s="14">
        <v>2340</v>
      </c>
    </row>
    <row r="36" spans="1:5">
      <c r="A36" s="19" t="s">
        <v>149</v>
      </c>
      <c r="B36" s="13" t="s">
        <v>1743</v>
      </c>
      <c r="C36" s="81">
        <f t="shared" si="0"/>
        <v>44602</v>
      </c>
      <c r="D36" s="80" t="str">
        <f t="shared" si="1"/>
        <v>February</v>
      </c>
      <c r="E36" s="12">
        <v>2054.6</v>
      </c>
    </row>
    <row r="37" spans="1:5">
      <c r="A37" s="18" t="s">
        <v>75</v>
      </c>
      <c r="B37" s="15" t="s">
        <v>1745</v>
      </c>
      <c r="C37" s="81">
        <f t="shared" si="0"/>
        <v>44763</v>
      </c>
      <c r="D37" s="80" t="str">
        <f t="shared" si="1"/>
        <v>July</v>
      </c>
      <c r="E37" s="14">
        <v>1988</v>
      </c>
    </row>
    <row r="38" spans="1:5">
      <c r="A38" s="19" t="s">
        <v>149</v>
      </c>
      <c r="B38" s="13" t="s">
        <v>1748</v>
      </c>
      <c r="C38" s="81">
        <f t="shared" si="0"/>
        <v>44886</v>
      </c>
      <c r="D38" s="80" t="str">
        <f t="shared" si="1"/>
        <v>November</v>
      </c>
      <c r="E38" s="12">
        <v>3111</v>
      </c>
    </row>
    <row r="39" spans="1:5">
      <c r="A39" s="18" t="s">
        <v>26</v>
      </c>
      <c r="B39" s="15" t="s">
        <v>1752</v>
      </c>
      <c r="C39" s="81">
        <f t="shared" si="0"/>
        <v>45284</v>
      </c>
      <c r="D39" s="80" t="str">
        <f t="shared" si="1"/>
        <v>December</v>
      </c>
      <c r="E39" s="14">
        <v>4154.7</v>
      </c>
    </row>
    <row r="40" spans="1:5">
      <c r="A40" s="19" t="s">
        <v>26</v>
      </c>
      <c r="B40" s="13" t="s">
        <v>1077</v>
      </c>
      <c r="C40" s="81">
        <f t="shared" si="0"/>
        <v>44250</v>
      </c>
      <c r="D40" s="80" t="str">
        <f t="shared" si="1"/>
        <v>February</v>
      </c>
      <c r="E40" s="12">
        <v>7275.9</v>
      </c>
    </row>
    <row r="41" spans="1:5">
      <c r="A41" s="18" t="s">
        <v>172</v>
      </c>
      <c r="B41" s="15" t="s">
        <v>1758</v>
      </c>
      <c r="C41" s="81">
        <f t="shared" si="0"/>
        <v>44380</v>
      </c>
      <c r="D41" s="80" t="str">
        <f t="shared" si="1"/>
        <v>July</v>
      </c>
      <c r="E41" s="14">
        <v>1228.3</v>
      </c>
    </row>
    <row r="42" spans="1:5">
      <c r="A42" s="19" t="s">
        <v>53</v>
      </c>
      <c r="B42" s="13" t="s">
        <v>1760</v>
      </c>
      <c r="C42" s="81">
        <f t="shared" si="0"/>
        <v>44743</v>
      </c>
      <c r="D42" s="80" t="str">
        <f t="shared" si="1"/>
        <v>July</v>
      </c>
      <c r="E42" s="12">
        <v>7707.2</v>
      </c>
    </row>
    <row r="43" spans="1:5">
      <c r="A43" s="18" t="s">
        <v>214</v>
      </c>
      <c r="B43" s="15" t="s">
        <v>1764</v>
      </c>
      <c r="C43" s="81">
        <f t="shared" si="0"/>
        <v>45365</v>
      </c>
      <c r="D43" s="80" t="str">
        <f t="shared" si="1"/>
        <v>March</v>
      </c>
      <c r="E43" s="14">
        <v>2621</v>
      </c>
    </row>
    <row r="44" spans="1:5">
      <c r="A44" s="19" t="s">
        <v>70</v>
      </c>
      <c r="B44" s="13" t="s">
        <v>1210</v>
      </c>
      <c r="C44" s="81">
        <f t="shared" si="0"/>
        <v>44853</v>
      </c>
      <c r="D44" s="80" t="str">
        <f t="shared" si="1"/>
        <v>October</v>
      </c>
      <c r="E44" s="12">
        <v>2340.5</v>
      </c>
    </row>
    <row r="45" spans="1:5">
      <c r="A45" s="18" t="s">
        <v>46</v>
      </c>
      <c r="B45" s="15" t="s">
        <v>1769</v>
      </c>
      <c r="C45" s="81">
        <f t="shared" si="0"/>
        <v>44356</v>
      </c>
      <c r="D45" s="80" t="str">
        <f t="shared" si="1"/>
        <v>June</v>
      </c>
      <c r="E45" s="14">
        <v>2436.1999999999998</v>
      </c>
    </row>
    <row r="46" spans="1:5">
      <c r="A46" s="19" t="s">
        <v>18</v>
      </c>
      <c r="B46" s="13" t="s">
        <v>1660</v>
      </c>
      <c r="C46" s="81">
        <f t="shared" si="0"/>
        <v>45496</v>
      </c>
      <c r="D46" s="80" t="str">
        <f t="shared" si="1"/>
        <v>July</v>
      </c>
      <c r="E46" s="12">
        <v>19549.7</v>
      </c>
    </row>
    <row r="47" spans="1:5">
      <c r="A47" s="18" t="s">
        <v>32</v>
      </c>
      <c r="B47" s="15" t="s">
        <v>1774</v>
      </c>
      <c r="C47" s="81">
        <f t="shared" si="0"/>
        <v>45306</v>
      </c>
      <c r="D47" s="80" t="str">
        <f t="shared" si="1"/>
        <v>January</v>
      </c>
      <c r="E47" s="14">
        <v>10245.299999999999</v>
      </c>
    </row>
    <row r="48" spans="1:5">
      <c r="A48" s="19" t="s">
        <v>65</v>
      </c>
      <c r="B48" s="13" t="s">
        <v>1777</v>
      </c>
      <c r="C48" s="81">
        <f t="shared" si="0"/>
        <v>45641</v>
      </c>
      <c r="D48" s="80" t="str">
        <f t="shared" si="1"/>
        <v>December</v>
      </c>
      <c r="E48" s="12">
        <v>4070.4</v>
      </c>
    </row>
    <row r="49" spans="1:5">
      <c r="A49" s="18" t="s">
        <v>32</v>
      </c>
      <c r="B49" s="15" t="s">
        <v>1780</v>
      </c>
      <c r="C49" s="81">
        <f t="shared" si="0"/>
        <v>45077</v>
      </c>
      <c r="D49" s="80" t="str">
        <f t="shared" si="1"/>
        <v>May</v>
      </c>
      <c r="E49" s="14">
        <v>18188.400000000001</v>
      </c>
    </row>
    <row r="50" spans="1:5">
      <c r="A50" s="19" t="s">
        <v>149</v>
      </c>
      <c r="B50" s="13" t="s">
        <v>1783</v>
      </c>
      <c r="C50" s="81">
        <f t="shared" si="0"/>
        <v>45654</v>
      </c>
      <c r="D50" s="80" t="str">
        <f t="shared" si="1"/>
        <v>December</v>
      </c>
      <c r="E50" s="12">
        <v>1183.5999999999999</v>
      </c>
    </row>
    <row r="51" spans="1:5">
      <c r="A51" s="18" t="s">
        <v>75</v>
      </c>
      <c r="B51" s="15" t="s">
        <v>849</v>
      </c>
      <c r="C51" s="81">
        <f t="shared" si="0"/>
        <v>44846</v>
      </c>
      <c r="D51" s="80" t="str">
        <f t="shared" si="1"/>
        <v>October</v>
      </c>
      <c r="E51" s="14">
        <v>19237.2</v>
      </c>
    </row>
    <row r="52" spans="1:5">
      <c r="A52" s="19" t="s">
        <v>53</v>
      </c>
      <c r="B52" s="13" t="s">
        <v>1679</v>
      </c>
      <c r="C52" s="81">
        <f t="shared" si="0"/>
        <v>45052</v>
      </c>
      <c r="D52" s="80" t="str">
        <f t="shared" si="1"/>
        <v>May</v>
      </c>
      <c r="E52" s="12">
        <v>1263.5999999999999</v>
      </c>
    </row>
    <row r="53" spans="1:5">
      <c r="A53" s="18" t="s">
        <v>172</v>
      </c>
      <c r="B53" s="15" t="s">
        <v>676</v>
      </c>
      <c r="C53" s="81">
        <f t="shared" si="0"/>
        <v>45409</v>
      </c>
      <c r="D53" s="80" t="str">
        <f t="shared" si="1"/>
        <v>April</v>
      </c>
      <c r="E53" s="14">
        <v>9937.5</v>
      </c>
    </row>
    <row r="54" spans="1:5">
      <c r="A54" s="19" t="s">
        <v>172</v>
      </c>
      <c r="B54" s="13" t="s">
        <v>1795</v>
      </c>
      <c r="C54" s="81">
        <f t="shared" si="0"/>
        <v>44663</v>
      </c>
      <c r="D54" s="80" t="str">
        <f t="shared" si="1"/>
        <v>April</v>
      </c>
      <c r="E54" s="12">
        <v>8136.3</v>
      </c>
    </row>
    <row r="55" spans="1:5">
      <c r="A55" s="18" t="s">
        <v>32</v>
      </c>
      <c r="B55" s="15" t="s">
        <v>1090</v>
      </c>
      <c r="C55" s="81">
        <f t="shared" si="0"/>
        <v>44628</v>
      </c>
      <c r="D55" s="80" t="str">
        <f t="shared" si="1"/>
        <v>March</v>
      </c>
      <c r="E55" s="14">
        <v>11014.5</v>
      </c>
    </row>
    <row r="56" spans="1:5">
      <c r="A56" s="19" t="s">
        <v>149</v>
      </c>
      <c r="B56" s="13" t="s">
        <v>1697</v>
      </c>
      <c r="C56" s="81">
        <f t="shared" si="0"/>
        <v>44583</v>
      </c>
      <c r="D56" s="80" t="str">
        <f t="shared" si="1"/>
        <v>January</v>
      </c>
      <c r="E56" s="12">
        <v>6364.8</v>
      </c>
    </row>
    <row r="57" spans="1:5">
      <c r="A57" s="18" t="s">
        <v>18</v>
      </c>
      <c r="B57" s="15" t="s">
        <v>1800</v>
      </c>
      <c r="C57" s="81">
        <f t="shared" si="0"/>
        <v>44943</v>
      </c>
      <c r="D57" s="80" t="str">
        <f t="shared" si="1"/>
        <v>January</v>
      </c>
      <c r="E57" s="14">
        <v>22353.9</v>
      </c>
    </row>
    <row r="58" spans="1:5">
      <c r="A58" s="19" t="s">
        <v>214</v>
      </c>
      <c r="B58" s="13" t="s">
        <v>915</v>
      </c>
      <c r="C58" s="81">
        <f t="shared" si="0"/>
        <v>45103</v>
      </c>
      <c r="D58" s="80" t="str">
        <f t="shared" si="1"/>
        <v>June</v>
      </c>
      <c r="E58" s="12">
        <v>5178.8999999999996</v>
      </c>
    </row>
    <row r="59" spans="1:5">
      <c r="A59" s="18" t="s">
        <v>26</v>
      </c>
      <c r="B59" s="15" t="s">
        <v>1805</v>
      </c>
      <c r="C59" s="81">
        <f t="shared" si="0"/>
        <v>45301</v>
      </c>
      <c r="D59" s="80" t="str">
        <f t="shared" si="1"/>
        <v>January</v>
      </c>
      <c r="E59" s="14">
        <v>9223.2999999999993</v>
      </c>
    </row>
    <row r="60" spans="1:5">
      <c r="A60" s="19" t="s">
        <v>114</v>
      </c>
      <c r="B60" s="13" t="s">
        <v>1808</v>
      </c>
      <c r="C60" s="81">
        <f t="shared" si="0"/>
        <v>44893</v>
      </c>
      <c r="D60" s="80" t="str">
        <f t="shared" si="1"/>
        <v>November</v>
      </c>
      <c r="E60" s="12">
        <v>19881.3</v>
      </c>
    </row>
    <row r="61" spans="1:5">
      <c r="A61" s="18" t="s">
        <v>149</v>
      </c>
      <c r="B61" s="15" t="s">
        <v>1811</v>
      </c>
      <c r="C61" s="81">
        <f t="shared" si="0"/>
        <v>45430</v>
      </c>
      <c r="D61" s="80" t="str">
        <f t="shared" si="1"/>
        <v>May</v>
      </c>
      <c r="E61" s="14">
        <v>7864.1</v>
      </c>
    </row>
    <row r="62" spans="1:5">
      <c r="A62" s="19" t="s">
        <v>214</v>
      </c>
      <c r="B62" s="13" t="s">
        <v>1815</v>
      </c>
      <c r="C62" s="81">
        <f t="shared" si="0"/>
        <v>44519</v>
      </c>
      <c r="D62" s="80" t="str">
        <f t="shared" si="1"/>
        <v>November</v>
      </c>
      <c r="E62" s="12">
        <v>10432.5</v>
      </c>
    </row>
    <row r="63" spans="1:5">
      <c r="A63" s="18" t="s">
        <v>114</v>
      </c>
      <c r="B63" s="15" t="s">
        <v>1818</v>
      </c>
      <c r="C63" s="81">
        <f t="shared" si="0"/>
        <v>45262</v>
      </c>
      <c r="D63" s="80" t="str">
        <f t="shared" si="1"/>
        <v>December</v>
      </c>
      <c r="E63" s="14">
        <v>2207.1999999999998</v>
      </c>
    </row>
    <row r="64" spans="1:5">
      <c r="A64" s="19" t="s">
        <v>214</v>
      </c>
      <c r="B64" s="13" t="s">
        <v>1821</v>
      </c>
      <c r="C64" s="81">
        <f t="shared" si="0"/>
        <v>44456</v>
      </c>
      <c r="D64" s="80" t="str">
        <f t="shared" si="1"/>
        <v>September</v>
      </c>
      <c r="E64" s="12">
        <v>10283.299999999999</v>
      </c>
    </row>
    <row r="65" spans="1:5">
      <c r="A65" s="18" t="s">
        <v>149</v>
      </c>
      <c r="B65" s="15" t="s">
        <v>290</v>
      </c>
      <c r="C65" s="81">
        <f t="shared" si="0"/>
        <v>44728</v>
      </c>
      <c r="D65" s="80" t="str">
        <f t="shared" si="1"/>
        <v>June</v>
      </c>
      <c r="E65" s="14">
        <v>15240.3</v>
      </c>
    </row>
    <row r="66" spans="1:5">
      <c r="A66" s="19" t="s">
        <v>75</v>
      </c>
      <c r="B66" s="13" t="s">
        <v>1826</v>
      </c>
      <c r="C66" s="81">
        <f t="shared" si="0"/>
        <v>44747</v>
      </c>
      <c r="D66" s="80" t="str">
        <f t="shared" si="1"/>
        <v>July</v>
      </c>
      <c r="E66" s="12">
        <v>5475.2</v>
      </c>
    </row>
    <row r="67" spans="1:5">
      <c r="A67" s="18" t="s">
        <v>65</v>
      </c>
      <c r="B67" s="15" t="s">
        <v>1828</v>
      </c>
      <c r="C67" s="81">
        <f t="shared" ref="C67:C130" si="2">DATE(RIGHT(B67,4),MID(B67,4,2),LEFT(B67,2))</f>
        <v>44567</v>
      </c>
      <c r="D67" s="80" t="str">
        <f t="shared" ref="D67:D130" si="3">TEXT(C67,"mmmm")</f>
        <v>January</v>
      </c>
      <c r="E67" s="14">
        <v>6868.9</v>
      </c>
    </row>
    <row r="68" spans="1:5">
      <c r="A68" s="19" t="s">
        <v>18</v>
      </c>
      <c r="B68" s="13" t="s">
        <v>945</v>
      </c>
      <c r="C68" s="81">
        <f t="shared" si="2"/>
        <v>44453</v>
      </c>
      <c r="D68" s="80" t="str">
        <f t="shared" si="3"/>
        <v>September</v>
      </c>
      <c r="E68" s="12">
        <v>6049.2</v>
      </c>
    </row>
    <row r="69" spans="1:5">
      <c r="A69" s="18" t="s">
        <v>214</v>
      </c>
      <c r="B69" s="15" t="s">
        <v>1834</v>
      </c>
      <c r="C69" s="81">
        <f t="shared" si="2"/>
        <v>45104</v>
      </c>
      <c r="D69" s="80" t="str">
        <f t="shared" si="3"/>
        <v>June</v>
      </c>
      <c r="E69" s="14">
        <v>2705.9</v>
      </c>
    </row>
    <row r="70" spans="1:5">
      <c r="A70" s="19" t="s">
        <v>149</v>
      </c>
      <c r="B70" s="13" t="s">
        <v>1837</v>
      </c>
      <c r="C70" s="81">
        <f t="shared" si="2"/>
        <v>44988</v>
      </c>
      <c r="D70" s="80" t="str">
        <f t="shared" si="3"/>
        <v>March</v>
      </c>
      <c r="E70" s="12">
        <v>2185</v>
      </c>
    </row>
    <row r="71" spans="1:5">
      <c r="A71" s="18" t="s">
        <v>26</v>
      </c>
      <c r="B71" s="15" t="s">
        <v>1840</v>
      </c>
      <c r="C71" s="81">
        <f t="shared" si="2"/>
        <v>44339</v>
      </c>
      <c r="D71" s="80" t="str">
        <f t="shared" si="3"/>
        <v>May</v>
      </c>
      <c r="E71" s="14">
        <v>15758.1</v>
      </c>
    </row>
    <row r="72" spans="1:5">
      <c r="A72" s="19" t="s">
        <v>26</v>
      </c>
      <c r="B72" s="13" t="s">
        <v>1843</v>
      </c>
      <c r="C72" s="81">
        <f t="shared" si="2"/>
        <v>45555</v>
      </c>
      <c r="D72" s="80" t="str">
        <f t="shared" si="3"/>
        <v>September</v>
      </c>
      <c r="E72" s="12">
        <v>3608</v>
      </c>
    </row>
    <row r="73" spans="1:5">
      <c r="A73" s="18" t="s">
        <v>46</v>
      </c>
      <c r="B73" s="15" t="s">
        <v>1847</v>
      </c>
      <c r="C73" s="81">
        <f t="shared" si="2"/>
        <v>44275</v>
      </c>
      <c r="D73" s="80" t="str">
        <f t="shared" si="3"/>
        <v>March</v>
      </c>
      <c r="E73" s="14">
        <v>1332.1</v>
      </c>
    </row>
    <row r="74" spans="1:5">
      <c r="A74" s="19" t="s">
        <v>114</v>
      </c>
      <c r="B74" s="13" t="s">
        <v>1851</v>
      </c>
      <c r="C74" s="81">
        <f t="shared" si="2"/>
        <v>44447</v>
      </c>
      <c r="D74" s="80" t="str">
        <f t="shared" si="3"/>
        <v>September</v>
      </c>
      <c r="E74" s="12">
        <v>1401.9</v>
      </c>
    </row>
    <row r="75" spans="1:5">
      <c r="A75" s="18" t="s">
        <v>65</v>
      </c>
      <c r="B75" s="15" t="s">
        <v>1853</v>
      </c>
      <c r="C75" s="81">
        <f t="shared" si="2"/>
        <v>44292</v>
      </c>
      <c r="D75" s="80" t="str">
        <f t="shared" si="3"/>
        <v>April</v>
      </c>
      <c r="E75" s="14">
        <v>2063.6</v>
      </c>
    </row>
    <row r="76" spans="1:5">
      <c r="A76" s="19" t="s">
        <v>53</v>
      </c>
      <c r="B76" s="13" t="s">
        <v>1800</v>
      </c>
      <c r="C76" s="81">
        <f t="shared" si="2"/>
        <v>44943</v>
      </c>
      <c r="D76" s="80" t="str">
        <f t="shared" si="3"/>
        <v>January</v>
      </c>
      <c r="E76" s="12">
        <v>1618.2</v>
      </c>
    </row>
    <row r="77" spans="1:5">
      <c r="A77" s="18" t="s">
        <v>46</v>
      </c>
      <c r="B77" s="15" t="s">
        <v>1857</v>
      </c>
      <c r="C77" s="81">
        <f t="shared" si="2"/>
        <v>44769</v>
      </c>
      <c r="D77" s="80" t="str">
        <f t="shared" si="3"/>
        <v>July</v>
      </c>
      <c r="E77" s="14">
        <v>3067.1</v>
      </c>
    </row>
    <row r="78" spans="1:5">
      <c r="A78" s="19" t="s">
        <v>65</v>
      </c>
      <c r="B78" s="13" t="s">
        <v>1859</v>
      </c>
      <c r="C78" s="81">
        <f t="shared" si="2"/>
        <v>45186</v>
      </c>
      <c r="D78" s="80" t="str">
        <f t="shared" si="3"/>
        <v>September</v>
      </c>
      <c r="E78" s="12">
        <v>12786.7</v>
      </c>
    </row>
    <row r="79" spans="1:5">
      <c r="A79" s="18" t="s">
        <v>26</v>
      </c>
      <c r="B79" s="15" t="s">
        <v>1862</v>
      </c>
      <c r="C79" s="81">
        <f t="shared" si="2"/>
        <v>44635</v>
      </c>
      <c r="D79" s="80" t="str">
        <f t="shared" si="3"/>
        <v>March</v>
      </c>
      <c r="E79" s="14">
        <v>958.7</v>
      </c>
    </row>
    <row r="80" spans="1:5">
      <c r="A80" s="19" t="s">
        <v>26</v>
      </c>
      <c r="B80" s="13" t="s">
        <v>1865</v>
      </c>
      <c r="C80" s="81">
        <f t="shared" si="2"/>
        <v>45156</v>
      </c>
      <c r="D80" s="80" t="str">
        <f t="shared" si="3"/>
        <v>August</v>
      </c>
      <c r="E80" s="12">
        <v>4573.3999999999996</v>
      </c>
    </row>
    <row r="81" spans="1:5">
      <c r="A81" s="18" t="s">
        <v>75</v>
      </c>
      <c r="B81" s="15" t="s">
        <v>1090</v>
      </c>
      <c r="C81" s="81">
        <f t="shared" si="2"/>
        <v>44628</v>
      </c>
      <c r="D81" s="80" t="str">
        <f t="shared" si="3"/>
        <v>March</v>
      </c>
      <c r="E81" s="14">
        <v>1974.4</v>
      </c>
    </row>
    <row r="82" spans="1:5">
      <c r="A82" s="19" t="s">
        <v>32</v>
      </c>
      <c r="B82" s="13" t="s">
        <v>1869</v>
      </c>
      <c r="C82" s="81">
        <f t="shared" si="2"/>
        <v>44911</v>
      </c>
      <c r="D82" s="80" t="str">
        <f t="shared" si="3"/>
        <v>December</v>
      </c>
      <c r="E82" s="12">
        <v>1919</v>
      </c>
    </row>
    <row r="83" spans="1:5">
      <c r="A83" s="18" t="s">
        <v>149</v>
      </c>
      <c r="B83" s="15" t="s">
        <v>1871</v>
      </c>
      <c r="C83" s="81">
        <f t="shared" si="2"/>
        <v>44305</v>
      </c>
      <c r="D83" s="80" t="str">
        <f t="shared" si="3"/>
        <v>April</v>
      </c>
      <c r="E83" s="14">
        <v>19607.099999999999</v>
      </c>
    </row>
    <row r="84" spans="1:5">
      <c r="A84" s="19" t="s">
        <v>18</v>
      </c>
      <c r="B84" s="13" t="s">
        <v>1874</v>
      </c>
      <c r="C84" s="81">
        <f t="shared" si="2"/>
        <v>44949</v>
      </c>
      <c r="D84" s="80" t="str">
        <f t="shared" si="3"/>
        <v>January</v>
      </c>
      <c r="E84" s="12">
        <v>7278.4</v>
      </c>
    </row>
    <row r="85" spans="1:5">
      <c r="A85" s="18" t="s">
        <v>214</v>
      </c>
      <c r="B85" s="15" t="s">
        <v>1289</v>
      </c>
      <c r="C85" s="81">
        <f t="shared" si="2"/>
        <v>44470</v>
      </c>
      <c r="D85" s="80" t="str">
        <f t="shared" si="3"/>
        <v>October</v>
      </c>
      <c r="E85" s="14">
        <v>7185.2</v>
      </c>
    </row>
    <row r="86" spans="1:5">
      <c r="A86" s="19" t="s">
        <v>32</v>
      </c>
      <c r="B86" s="13" t="s">
        <v>1880</v>
      </c>
      <c r="C86" s="81">
        <f t="shared" si="2"/>
        <v>45075</v>
      </c>
      <c r="D86" s="80" t="str">
        <f t="shared" si="3"/>
        <v>May</v>
      </c>
      <c r="E86" s="12">
        <v>1009.2</v>
      </c>
    </row>
    <row r="87" spans="1:5">
      <c r="A87" s="18" t="s">
        <v>32</v>
      </c>
      <c r="B87" s="15" t="s">
        <v>1883</v>
      </c>
      <c r="C87" s="81">
        <f t="shared" si="2"/>
        <v>44210</v>
      </c>
      <c r="D87" s="80" t="str">
        <f t="shared" si="3"/>
        <v>January</v>
      </c>
      <c r="E87" s="14">
        <v>7811.8</v>
      </c>
    </row>
    <row r="88" spans="1:5">
      <c r="A88" s="19" t="s">
        <v>75</v>
      </c>
      <c r="B88" s="13" t="s">
        <v>1886</v>
      </c>
      <c r="C88" s="81">
        <f t="shared" si="2"/>
        <v>45439</v>
      </c>
      <c r="D88" s="80" t="str">
        <f t="shared" si="3"/>
        <v>May</v>
      </c>
      <c r="E88" s="12">
        <v>10552.9</v>
      </c>
    </row>
    <row r="89" spans="1:5">
      <c r="A89" s="18" t="s">
        <v>53</v>
      </c>
      <c r="B89" s="15" t="s">
        <v>1669</v>
      </c>
      <c r="C89" s="81">
        <f t="shared" si="2"/>
        <v>44974</v>
      </c>
      <c r="D89" s="80" t="str">
        <f t="shared" si="3"/>
        <v>February</v>
      </c>
      <c r="E89" s="14">
        <v>12241.3</v>
      </c>
    </row>
    <row r="90" spans="1:5">
      <c r="A90" s="19" t="s">
        <v>65</v>
      </c>
      <c r="B90" s="13" t="s">
        <v>1891</v>
      </c>
      <c r="C90" s="81">
        <f t="shared" si="2"/>
        <v>44987</v>
      </c>
      <c r="D90" s="80" t="str">
        <f t="shared" si="3"/>
        <v>March</v>
      </c>
      <c r="E90" s="12">
        <v>5721.7</v>
      </c>
    </row>
    <row r="91" spans="1:5">
      <c r="A91" s="18" t="s">
        <v>75</v>
      </c>
      <c r="B91" s="15" t="s">
        <v>1099</v>
      </c>
      <c r="C91" s="81">
        <f t="shared" si="2"/>
        <v>44919</v>
      </c>
      <c r="D91" s="80" t="str">
        <f t="shared" si="3"/>
        <v>December</v>
      </c>
      <c r="E91" s="14">
        <v>16468.599999999999</v>
      </c>
    </row>
    <row r="92" spans="1:5">
      <c r="A92" s="19" t="s">
        <v>65</v>
      </c>
      <c r="B92" s="13" t="s">
        <v>757</v>
      </c>
      <c r="C92" s="81">
        <f t="shared" si="2"/>
        <v>44652</v>
      </c>
      <c r="D92" s="80" t="str">
        <f t="shared" si="3"/>
        <v>April</v>
      </c>
      <c r="E92" s="12">
        <v>1861.2</v>
      </c>
    </row>
    <row r="93" spans="1:5">
      <c r="A93" s="18" t="s">
        <v>46</v>
      </c>
      <c r="B93" s="15" t="s">
        <v>1897</v>
      </c>
      <c r="C93" s="81">
        <f t="shared" si="2"/>
        <v>44937</v>
      </c>
      <c r="D93" s="80" t="str">
        <f t="shared" si="3"/>
        <v>January</v>
      </c>
      <c r="E93" s="14">
        <v>6691.3</v>
      </c>
    </row>
    <row r="94" spans="1:5">
      <c r="A94" s="19" t="s">
        <v>70</v>
      </c>
      <c r="B94" s="13" t="s">
        <v>1900</v>
      </c>
      <c r="C94" s="81">
        <f t="shared" si="2"/>
        <v>45384</v>
      </c>
      <c r="D94" s="80" t="str">
        <f t="shared" si="3"/>
        <v>April</v>
      </c>
      <c r="E94" s="12">
        <v>3766.2</v>
      </c>
    </row>
    <row r="95" spans="1:5">
      <c r="A95" s="18" t="s">
        <v>26</v>
      </c>
      <c r="B95" s="15" t="s">
        <v>1902</v>
      </c>
      <c r="C95" s="81">
        <f t="shared" si="2"/>
        <v>44251</v>
      </c>
      <c r="D95" s="80" t="str">
        <f t="shared" si="3"/>
        <v>February</v>
      </c>
      <c r="E95" s="14">
        <v>1143.3</v>
      </c>
    </row>
    <row r="96" spans="1:5">
      <c r="A96" s="19" t="s">
        <v>149</v>
      </c>
      <c r="B96" s="13" t="s">
        <v>532</v>
      </c>
      <c r="C96" s="81">
        <f t="shared" si="2"/>
        <v>44708</v>
      </c>
      <c r="D96" s="80" t="str">
        <f t="shared" si="3"/>
        <v>May</v>
      </c>
      <c r="E96" s="12">
        <v>2681.8</v>
      </c>
    </row>
    <row r="97" spans="1:5">
      <c r="A97" s="18" t="s">
        <v>149</v>
      </c>
      <c r="B97" s="15" t="s">
        <v>1906</v>
      </c>
      <c r="C97" s="81">
        <f t="shared" si="2"/>
        <v>45633</v>
      </c>
      <c r="D97" s="80" t="str">
        <f t="shared" si="3"/>
        <v>December</v>
      </c>
      <c r="E97" s="14">
        <v>7065.2</v>
      </c>
    </row>
    <row r="98" spans="1:5">
      <c r="A98" s="19" t="s">
        <v>46</v>
      </c>
      <c r="B98" s="13" t="s">
        <v>1910</v>
      </c>
      <c r="C98" s="81">
        <f t="shared" si="2"/>
        <v>44782</v>
      </c>
      <c r="D98" s="80" t="str">
        <f t="shared" si="3"/>
        <v>August</v>
      </c>
      <c r="E98" s="12">
        <v>3493</v>
      </c>
    </row>
    <row r="99" spans="1:5">
      <c r="A99" s="18" t="s">
        <v>46</v>
      </c>
      <c r="B99" s="15" t="s">
        <v>1912</v>
      </c>
      <c r="C99" s="81">
        <f t="shared" si="2"/>
        <v>45504</v>
      </c>
      <c r="D99" s="80" t="str">
        <f t="shared" si="3"/>
        <v>July</v>
      </c>
      <c r="E99" s="14">
        <v>2200.8000000000002</v>
      </c>
    </row>
    <row r="100" spans="1:5">
      <c r="A100" s="19" t="s">
        <v>114</v>
      </c>
      <c r="B100" s="13" t="s">
        <v>1915</v>
      </c>
      <c r="C100" s="81">
        <f t="shared" si="2"/>
        <v>44513</v>
      </c>
      <c r="D100" s="80" t="str">
        <f t="shared" si="3"/>
        <v>November</v>
      </c>
      <c r="E100" s="12">
        <v>7702.7</v>
      </c>
    </row>
    <row r="101" spans="1:5">
      <c r="A101" s="18" t="s">
        <v>114</v>
      </c>
      <c r="B101" s="15" t="s">
        <v>166</v>
      </c>
      <c r="C101" s="81">
        <f t="shared" si="2"/>
        <v>45344</v>
      </c>
      <c r="D101" s="80" t="str">
        <f t="shared" si="3"/>
        <v>February</v>
      </c>
      <c r="E101" s="14">
        <v>3896.9</v>
      </c>
    </row>
    <row r="102" spans="1:5">
      <c r="A102" s="19" t="s">
        <v>214</v>
      </c>
      <c r="B102" s="13" t="s">
        <v>917</v>
      </c>
      <c r="C102" s="81">
        <f t="shared" si="2"/>
        <v>45154</v>
      </c>
      <c r="D102" s="80" t="str">
        <f t="shared" si="3"/>
        <v>August</v>
      </c>
      <c r="E102" s="12">
        <v>5896.4</v>
      </c>
    </row>
    <row r="103" spans="1:5">
      <c r="A103" s="18" t="s">
        <v>114</v>
      </c>
      <c r="B103" s="15" t="s">
        <v>1922</v>
      </c>
      <c r="C103" s="81">
        <f t="shared" si="2"/>
        <v>45041</v>
      </c>
      <c r="D103" s="80" t="str">
        <f t="shared" si="3"/>
        <v>April</v>
      </c>
      <c r="E103" s="14">
        <v>1925.3</v>
      </c>
    </row>
    <row r="104" spans="1:5">
      <c r="A104" s="19" t="s">
        <v>46</v>
      </c>
      <c r="B104" s="13" t="s">
        <v>1925</v>
      </c>
      <c r="C104" s="81">
        <f t="shared" si="2"/>
        <v>44868</v>
      </c>
      <c r="D104" s="80" t="str">
        <f t="shared" si="3"/>
        <v>November</v>
      </c>
      <c r="E104" s="12">
        <v>1338.7</v>
      </c>
    </row>
    <row r="105" spans="1:5">
      <c r="A105" s="18" t="s">
        <v>214</v>
      </c>
      <c r="B105" s="15" t="s">
        <v>500</v>
      </c>
      <c r="C105" s="81">
        <f t="shared" si="2"/>
        <v>44286</v>
      </c>
      <c r="D105" s="80" t="str">
        <f t="shared" si="3"/>
        <v>March</v>
      </c>
      <c r="E105" s="14">
        <v>5248.8</v>
      </c>
    </row>
    <row r="106" spans="1:5">
      <c r="A106" s="19" t="s">
        <v>114</v>
      </c>
      <c r="B106" s="13" t="s">
        <v>605</v>
      </c>
      <c r="C106" s="81">
        <f t="shared" si="2"/>
        <v>45089</v>
      </c>
      <c r="D106" s="80" t="str">
        <f t="shared" si="3"/>
        <v>June</v>
      </c>
      <c r="E106" s="12">
        <v>13650</v>
      </c>
    </row>
    <row r="107" spans="1:5">
      <c r="A107" s="18" t="s">
        <v>70</v>
      </c>
      <c r="B107" s="15" t="s">
        <v>1931</v>
      </c>
      <c r="C107" s="81">
        <f t="shared" si="2"/>
        <v>44721</v>
      </c>
      <c r="D107" s="80" t="str">
        <f t="shared" si="3"/>
        <v>June</v>
      </c>
      <c r="E107" s="14">
        <v>8369.7999999999993</v>
      </c>
    </row>
    <row r="108" spans="1:5">
      <c r="A108" s="19" t="s">
        <v>26</v>
      </c>
      <c r="B108" s="13" t="s">
        <v>1934</v>
      </c>
      <c r="C108" s="81">
        <f t="shared" si="2"/>
        <v>44705</v>
      </c>
      <c r="D108" s="80" t="str">
        <f t="shared" si="3"/>
        <v>May</v>
      </c>
      <c r="E108" s="12">
        <v>9902</v>
      </c>
    </row>
    <row r="109" spans="1:5">
      <c r="A109" s="18" t="s">
        <v>75</v>
      </c>
      <c r="B109" s="15" t="s">
        <v>1937</v>
      </c>
      <c r="C109" s="81">
        <f t="shared" si="2"/>
        <v>45540</v>
      </c>
      <c r="D109" s="80" t="str">
        <f t="shared" si="3"/>
        <v>September</v>
      </c>
      <c r="E109" s="14">
        <v>1671.6</v>
      </c>
    </row>
    <row r="110" spans="1:5">
      <c r="A110" s="19" t="s">
        <v>32</v>
      </c>
      <c r="B110" s="13" t="s">
        <v>1714</v>
      </c>
      <c r="C110" s="81">
        <f t="shared" si="2"/>
        <v>45378</v>
      </c>
      <c r="D110" s="80" t="str">
        <f t="shared" si="3"/>
        <v>March</v>
      </c>
      <c r="E110" s="12">
        <v>6189.9</v>
      </c>
    </row>
    <row r="111" spans="1:5">
      <c r="A111" s="18" t="s">
        <v>172</v>
      </c>
      <c r="B111" s="15" t="s">
        <v>915</v>
      </c>
      <c r="C111" s="81">
        <f t="shared" si="2"/>
        <v>45103</v>
      </c>
      <c r="D111" s="80" t="str">
        <f t="shared" si="3"/>
        <v>June</v>
      </c>
      <c r="E111" s="14">
        <v>8648.4</v>
      </c>
    </row>
    <row r="112" spans="1:5">
      <c r="A112" s="19" t="s">
        <v>65</v>
      </c>
      <c r="B112" s="13" t="s">
        <v>480</v>
      </c>
      <c r="C112" s="81">
        <f t="shared" si="2"/>
        <v>45195</v>
      </c>
      <c r="D112" s="80" t="str">
        <f t="shared" si="3"/>
        <v>September</v>
      </c>
      <c r="E112" s="12">
        <v>1659.4</v>
      </c>
    </row>
    <row r="113" spans="1:5">
      <c r="A113" s="18" t="s">
        <v>114</v>
      </c>
      <c r="B113" s="15" t="s">
        <v>1947</v>
      </c>
      <c r="C113" s="81">
        <f t="shared" si="2"/>
        <v>45497</v>
      </c>
      <c r="D113" s="80" t="str">
        <f t="shared" si="3"/>
        <v>July</v>
      </c>
      <c r="E113" s="14">
        <v>7624.9</v>
      </c>
    </row>
    <row r="114" spans="1:5">
      <c r="A114" s="19" t="s">
        <v>70</v>
      </c>
      <c r="B114" s="13" t="s">
        <v>1331</v>
      </c>
      <c r="C114" s="81">
        <f t="shared" si="2"/>
        <v>44712</v>
      </c>
      <c r="D114" s="80" t="str">
        <f t="shared" si="3"/>
        <v>May</v>
      </c>
      <c r="E114" s="12">
        <v>9179.5</v>
      </c>
    </row>
    <row r="115" spans="1:5">
      <c r="A115" s="18" t="s">
        <v>26</v>
      </c>
      <c r="B115" s="15" t="s">
        <v>1951</v>
      </c>
      <c r="C115" s="81">
        <f t="shared" si="2"/>
        <v>44985</v>
      </c>
      <c r="D115" s="80" t="str">
        <f t="shared" si="3"/>
        <v>February</v>
      </c>
      <c r="E115" s="14">
        <v>6247.9</v>
      </c>
    </row>
    <row r="116" spans="1:5">
      <c r="A116" s="19" t="s">
        <v>53</v>
      </c>
      <c r="B116" s="13" t="s">
        <v>1647</v>
      </c>
      <c r="C116" s="81">
        <f t="shared" si="2"/>
        <v>44443</v>
      </c>
      <c r="D116" s="80" t="str">
        <f t="shared" si="3"/>
        <v>September</v>
      </c>
      <c r="E116" s="12">
        <v>1994.5</v>
      </c>
    </row>
    <row r="117" spans="1:5">
      <c r="A117" s="18" t="s">
        <v>149</v>
      </c>
      <c r="B117" s="15" t="s">
        <v>1894</v>
      </c>
      <c r="C117" s="81">
        <f t="shared" si="2"/>
        <v>45010</v>
      </c>
      <c r="D117" s="80" t="str">
        <f t="shared" si="3"/>
        <v>March</v>
      </c>
      <c r="E117" s="14">
        <v>5020.3999999999996</v>
      </c>
    </row>
    <row r="118" spans="1:5">
      <c r="A118" s="19" t="s">
        <v>214</v>
      </c>
      <c r="B118" s="13" t="s">
        <v>1957</v>
      </c>
      <c r="C118" s="81">
        <f t="shared" si="2"/>
        <v>44325</v>
      </c>
      <c r="D118" s="80" t="str">
        <f t="shared" si="3"/>
        <v>May</v>
      </c>
      <c r="E118" s="12">
        <v>5901.1</v>
      </c>
    </row>
    <row r="119" spans="1:5">
      <c r="A119" s="18" t="s">
        <v>18</v>
      </c>
      <c r="B119" s="15" t="s">
        <v>1959</v>
      </c>
      <c r="C119" s="81">
        <f t="shared" si="2"/>
        <v>44748</v>
      </c>
      <c r="D119" s="80" t="str">
        <f t="shared" si="3"/>
        <v>July</v>
      </c>
      <c r="E119" s="14">
        <v>3701</v>
      </c>
    </row>
    <row r="120" spans="1:5">
      <c r="A120" s="19" t="s">
        <v>26</v>
      </c>
      <c r="B120" s="13" t="s">
        <v>1636</v>
      </c>
      <c r="C120" s="81">
        <f t="shared" si="2"/>
        <v>45127</v>
      </c>
      <c r="D120" s="80" t="str">
        <f t="shared" si="3"/>
        <v>July</v>
      </c>
      <c r="E120" s="12">
        <v>5366.6</v>
      </c>
    </row>
    <row r="121" spans="1:5">
      <c r="A121" s="18" t="s">
        <v>114</v>
      </c>
      <c r="B121" s="15" t="s">
        <v>1526</v>
      </c>
      <c r="C121" s="81">
        <f t="shared" si="2"/>
        <v>44683</v>
      </c>
      <c r="D121" s="80" t="str">
        <f t="shared" si="3"/>
        <v>May</v>
      </c>
      <c r="E121" s="14">
        <v>4639.5</v>
      </c>
    </row>
    <row r="122" spans="1:5">
      <c r="A122" s="19" t="s">
        <v>32</v>
      </c>
      <c r="B122" s="13" t="s">
        <v>1959</v>
      </c>
      <c r="C122" s="81">
        <f t="shared" si="2"/>
        <v>44748</v>
      </c>
      <c r="D122" s="80" t="str">
        <f t="shared" si="3"/>
        <v>July</v>
      </c>
      <c r="E122" s="12">
        <v>3585.9</v>
      </c>
    </row>
    <row r="123" spans="1:5">
      <c r="A123" s="18" t="s">
        <v>53</v>
      </c>
      <c r="B123" s="15" t="s">
        <v>1967</v>
      </c>
      <c r="C123" s="81">
        <f t="shared" si="2"/>
        <v>45129</v>
      </c>
      <c r="D123" s="80" t="str">
        <f t="shared" si="3"/>
        <v>July</v>
      </c>
      <c r="E123" s="14">
        <v>6090.8</v>
      </c>
    </row>
    <row r="124" spans="1:5">
      <c r="A124" s="19" t="s">
        <v>65</v>
      </c>
      <c r="B124" s="13" t="s">
        <v>1970</v>
      </c>
      <c r="C124" s="81">
        <f t="shared" si="2"/>
        <v>45425</v>
      </c>
      <c r="D124" s="80" t="str">
        <f t="shared" si="3"/>
        <v>May</v>
      </c>
      <c r="E124" s="12">
        <v>10416.200000000001</v>
      </c>
    </row>
    <row r="125" spans="1:5">
      <c r="A125" s="18" t="s">
        <v>46</v>
      </c>
      <c r="B125" s="15" t="s">
        <v>596</v>
      </c>
      <c r="C125" s="81">
        <f t="shared" si="2"/>
        <v>44753</v>
      </c>
      <c r="D125" s="80" t="str">
        <f t="shared" si="3"/>
        <v>July</v>
      </c>
      <c r="E125" s="14">
        <v>16247.1</v>
      </c>
    </row>
    <row r="126" spans="1:5">
      <c r="A126" s="19" t="s">
        <v>53</v>
      </c>
      <c r="B126" s="13" t="s">
        <v>1974</v>
      </c>
      <c r="C126" s="81">
        <f t="shared" si="2"/>
        <v>44580</v>
      </c>
      <c r="D126" s="80" t="str">
        <f t="shared" si="3"/>
        <v>January</v>
      </c>
      <c r="E126" s="12">
        <v>10658</v>
      </c>
    </row>
    <row r="127" spans="1:5">
      <c r="A127" s="18" t="s">
        <v>114</v>
      </c>
      <c r="B127" s="15" t="s">
        <v>1976</v>
      </c>
      <c r="C127" s="81">
        <f t="shared" si="2"/>
        <v>45458</v>
      </c>
      <c r="D127" s="80" t="str">
        <f t="shared" si="3"/>
        <v>June</v>
      </c>
      <c r="E127" s="14">
        <v>5046.6000000000004</v>
      </c>
    </row>
    <row r="128" spans="1:5">
      <c r="A128" s="19" t="s">
        <v>114</v>
      </c>
      <c r="B128" s="13" t="s">
        <v>1978</v>
      </c>
      <c r="C128" s="81">
        <f t="shared" si="2"/>
        <v>44284</v>
      </c>
      <c r="D128" s="80" t="str">
        <f t="shared" si="3"/>
        <v>March</v>
      </c>
      <c r="E128" s="12">
        <v>3057</v>
      </c>
    </row>
    <row r="129" spans="1:5">
      <c r="A129" s="18" t="s">
        <v>53</v>
      </c>
      <c r="B129" s="15" t="s">
        <v>1981</v>
      </c>
      <c r="C129" s="81">
        <f t="shared" si="2"/>
        <v>45207</v>
      </c>
      <c r="D129" s="80" t="str">
        <f t="shared" si="3"/>
        <v>October</v>
      </c>
      <c r="E129" s="14">
        <v>11593.6</v>
      </c>
    </row>
    <row r="130" spans="1:5">
      <c r="A130" s="19" t="s">
        <v>65</v>
      </c>
      <c r="B130" s="13" t="s">
        <v>1984</v>
      </c>
      <c r="C130" s="81">
        <f t="shared" si="2"/>
        <v>45543</v>
      </c>
      <c r="D130" s="80" t="str">
        <f t="shared" si="3"/>
        <v>September</v>
      </c>
      <c r="E130" s="12">
        <v>7781.9</v>
      </c>
    </row>
    <row r="131" spans="1:5">
      <c r="A131" s="18" t="s">
        <v>32</v>
      </c>
      <c r="B131" s="15" t="s">
        <v>1987</v>
      </c>
      <c r="C131" s="81">
        <f t="shared" ref="C131:C194" si="4">DATE(RIGHT(B131,4),MID(B131,4,2),LEFT(B131,2))</f>
        <v>45317</v>
      </c>
      <c r="D131" s="80" t="str">
        <f t="shared" ref="D131:D194" si="5">TEXT(C131,"mmmm")</f>
        <v>January</v>
      </c>
      <c r="E131" s="14">
        <v>14345.8</v>
      </c>
    </row>
    <row r="132" spans="1:5">
      <c r="A132" s="19" t="s">
        <v>70</v>
      </c>
      <c r="B132" s="13" t="s">
        <v>357</v>
      </c>
      <c r="C132" s="81">
        <f t="shared" si="4"/>
        <v>44756</v>
      </c>
      <c r="D132" s="80" t="str">
        <f t="shared" si="5"/>
        <v>July</v>
      </c>
      <c r="E132" s="12">
        <v>12944.8</v>
      </c>
    </row>
    <row r="133" spans="1:5">
      <c r="A133" s="18" t="s">
        <v>70</v>
      </c>
      <c r="B133" s="15" t="s">
        <v>1991</v>
      </c>
      <c r="C133" s="81">
        <f t="shared" si="4"/>
        <v>44278</v>
      </c>
      <c r="D133" s="80" t="str">
        <f t="shared" si="5"/>
        <v>March</v>
      </c>
      <c r="E133" s="14">
        <v>2079.6999999999998</v>
      </c>
    </row>
    <row r="134" spans="1:5">
      <c r="A134" s="19" t="s">
        <v>53</v>
      </c>
      <c r="B134" s="13" t="s">
        <v>1225</v>
      </c>
      <c r="C134" s="81">
        <f t="shared" si="4"/>
        <v>44523</v>
      </c>
      <c r="D134" s="80" t="str">
        <f t="shared" si="5"/>
        <v>November</v>
      </c>
      <c r="E134" s="12">
        <v>8287.7999999999993</v>
      </c>
    </row>
    <row r="135" spans="1:5">
      <c r="A135" s="18" t="s">
        <v>114</v>
      </c>
      <c r="B135" s="15" t="s">
        <v>1994</v>
      </c>
      <c r="C135" s="81">
        <f t="shared" si="4"/>
        <v>45295</v>
      </c>
      <c r="D135" s="80" t="str">
        <f t="shared" si="5"/>
        <v>January</v>
      </c>
      <c r="E135" s="14">
        <v>3934.6</v>
      </c>
    </row>
    <row r="136" spans="1:5">
      <c r="A136" s="19" t="s">
        <v>75</v>
      </c>
      <c r="B136" s="13" t="s">
        <v>1948</v>
      </c>
      <c r="C136" s="81">
        <f t="shared" si="4"/>
        <v>45579</v>
      </c>
      <c r="D136" s="80" t="str">
        <f t="shared" si="5"/>
        <v>October</v>
      </c>
      <c r="E136" s="12">
        <v>1512</v>
      </c>
    </row>
    <row r="137" spans="1:5">
      <c r="A137" s="18" t="s">
        <v>149</v>
      </c>
      <c r="B137" s="15" t="s">
        <v>1898</v>
      </c>
      <c r="C137" s="81">
        <f t="shared" si="4"/>
        <v>45173</v>
      </c>
      <c r="D137" s="80" t="str">
        <f t="shared" si="5"/>
        <v>September</v>
      </c>
      <c r="E137" s="14">
        <v>2446.5</v>
      </c>
    </row>
    <row r="138" spans="1:5">
      <c r="A138" s="19" t="s">
        <v>114</v>
      </c>
      <c r="B138" s="13" t="s">
        <v>2000</v>
      </c>
      <c r="C138" s="81">
        <f t="shared" si="4"/>
        <v>45117</v>
      </c>
      <c r="D138" s="80" t="str">
        <f t="shared" si="5"/>
        <v>July</v>
      </c>
      <c r="E138" s="12">
        <v>2743.3</v>
      </c>
    </row>
    <row r="139" spans="1:5">
      <c r="A139" s="18" t="s">
        <v>114</v>
      </c>
      <c r="B139" s="15" t="s">
        <v>565</v>
      </c>
      <c r="C139" s="81">
        <f t="shared" si="4"/>
        <v>44984</v>
      </c>
      <c r="D139" s="80" t="str">
        <f t="shared" si="5"/>
        <v>February</v>
      </c>
      <c r="E139" s="14">
        <v>8841.9</v>
      </c>
    </row>
    <row r="140" spans="1:5">
      <c r="A140" s="19" t="s">
        <v>172</v>
      </c>
      <c r="B140" s="13" t="s">
        <v>2004</v>
      </c>
      <c r="C140" s="81">
        <f t="shared" si="4"/>
        <v>44900</v>
      </c>
      <c r="D140" s="80" t="str">
        <f t="shared" si="5"/>
        <v>December</v>
      </c>
      <c r="E140" s="12">
        <v>8580</v>
      </c>
    </row>
    <row r="141" spans="1:5">
      <c r="A141" s="18" t="s">
        <v>214</v>
      </c>
      <c r="B141" s="15" t="s">
        <v>2007</v>
      </c>
      <c r="C141" s="81">
        <f t="shared" si="4"/>
        <v>44740</v>
      </c>
      <c r="D141" s="80" t="str">
        <f t="shared" si="5"/>
        <v>June</v>
      </c>
      <c r="E141" s="14">
        <v>5105.1000000000004</v>
      </c>
    </row>
    <row r="142" spans="1:5">
      <c r="A142" s="19" t="s">
        <v>26</v>
      </c>
      <c r="B142" s="13" t="s">
        <v>952</v>
      </c>
      <c r="C142" s="81">
        <f t="shared" si="4"/>
        <v>44598</v>
      </c>
      <c r="D142" s="80" t="str">
        <f t="shared" si="5"/>
        <v>February</v>
      </c>
      <c r="E142" s="12">
        <v>17379.8</v>
      </c>
    </row>
    <row r="143" spans="1:5">
      <c r="A143" s="18" t="s">
        <v>65</v>
      </c>
      <c r="B143" s="15" t="s">
        <v>2012</v>
      </c>
      <c r="C143" s="81">
        <f t="shared" si="4"/>
        <v>45517</v>
      </c>
      <c r="D143" s="80" t="str">
        <f t="shared" si="5"/>
        <v>August</v>
      </c>
      <c r="E143" s="14">
        <v>13056.4</v>
      </c>
    </row>
    <row r="144" spans="1:5">
      <c r="A144" s="19" t="s">
        <v>65</v>
      </c>
      <c r="B144" s="13" t="s">
        <v>2015</v>
      </c>
      <c r="C144" s="81">
        <f t="shared" si="4"/>
        <v>44701</v>
      </c>
      <c r="D144" s="80" t="str">
        <f t="shared" si="5"/>
        <v>May</v>
      </c>
      <c r="E144" s="12">
        <v>2371.1999999999998</v>
      </c>
    </row>
    <row r="145" spans="1:5">
      <c r="A145" s="18" t="s">
        <v>172</v>
      </c>
      <c r="B145" s="15" t="s">
        <v>2018</v>
      </c>
      <c r="C145" s="81">
        <f t="shared" si="4"/>
        <v>45617</v>
      </c>
      <c r="D145" s="80" t="str">
        <f t="shared" si="5"/>
        <v>November</v>
      </c>
      <c r="E145" s="14">
        <v>17448.5</v>
      </c>
    </row>
    <row r="146" spans="1:5">
      <c r="A146" s="19" t="s">
        <v>26</v>
      </c>
      <c r="B146" s="13" t="s">
        <v>2021</v>
      </c>
      <c r="C146" s="81">
        <f t="shared" si="4"/>
        <v>44202</v>
      </c>
      <c r="D146" s="80" t="str">
        <f t="shared" si="5"/>
        <v>January</v>
      </c>
      <c r="E146" s="12">
        <v>6994.7</v>
      </c>
    </row>
    <row r="147" spans="1:5">
      <c r="A147" s="18" t="s">
        <v>32</v>
      </c>
      <c r="B147" s="15" t="s">
        <v>762</v>
      </c>
      <c r="C147" s="81">
        <f t="shared" si="4"/>
        <v>44714</v>
      </c>
      <c r="D147" s="80" t="str">
        <f t="shared" si="5"/>
        <v>June</v>
      </c>
      <c r="E147" s="14">
        <v>7009.9</v>
      </c>
    </row>
    <row r="148" spans="1:5">
      <c r="A148" s="19" t="s">
        <v>114</v>
      </c>
      <c r="B148" s="13" t="s">
        <v>2026</v>
      </c>
      <c r="C148" s="81">
        <f t="shared" si="4"/>
        <v>44382</v>
      </c>
      <c r="D148" s="80" t="str">
        <f t="shared" si="5"/>
        <v>July</v>
      </c>
      <c r="E148" s="12">
        <v>6503.7</v>
      </c>
    </row>
    <row r="149" spans="1:5">
      <c r="A149" s="18" t="s">
        <v>75</v>
      </c>
      <c r="B149" s="15" t="s">
        <v>1660</v>
      </c>
      <c r="C149" s="81">
        <f t="shared" si="4"/>
        <v>45496</v>
      </c>
      <c r="D149" s="80" t="str">
        <f t="shared" si="5"/>
        <v>July</v>
      </c>
      <c r="E149" s="14">
        <v>3846.9</v>
      </c>
    </row>
    <row r="150" spans="1:5">
      <c r="A150" s="19" t="s">
        <v>26</v>
      </c>
      <c r="B150" s="13" t="s">
        <v>2031</v>
      </c>
      <c r="C150" s="81">
        <f t="shared" si="4"/>
        <v>44471</v>
      </c>
      <c r="D150" s="80" t="str">
        <f t="shared" si="5"/>
        <v>October</v>
      </c>
      <c r="E150" s="12">
        <v>7890.4</v>
      </c>
    </row>
    <row r="151" spans="1:5">
      <c r="A151" s="18" t="s">
        <v>32</v>
      </c>
      <c r="B151" s="15" t="s">
        <v>1613</v>
      </c>
      <c r="C151" s="81">
        <f t="shared" si="4"/>
        <v>44885</v>
      </c>
      <c r="D151" s="80" t="str">
        <f t="shared" si="5"/>
        <v>November</v>
      </c>
      <c r="E151" s="14">
        <v>7020.3</v>
      </c>
    </row>
    <row r="152" spans="1:5">
      <c r="A152" s="19" t="s">
        <v>70</v>
      </c>
      <c r="B152" s="13" t="s">
        <v>2037</v>
      </c>
      <c r="C152" s="81">
        <f t="shared" si="4"/>
        <v>45212</v>
      </c>
      <c r="D152" s="80" t="str">
        <f t="shared" si="5"/>
        <v>October</v>
      </c>
      <c r="E152" s="12">
        <v>12695.3</v>
      </c>
    </row>
    <row r="153" spans="1:5">
      <c r="A153" s="18" t="s">
        <v>65</v>
      </c>
      <c r="B153" s="15" t="s">
        <v>2040</v>
      </c>
      <c r="C153" s="81">
        <f t="shared" si="4"/>
        <v>44680</v>
      </c>
      <c r="D153" s="80" t="str">
        <f t="shared" si="5"/>
        <v>April</v>
      </c>
      <c r="E153" s="14">
        <v>13468.8</v>
      </c>
    </row>
    <row r="154" spans="1:5">
      <c r="A154" s="19" t="s">
        <v>114</v>
      </c>
      <c r="B154" s="13" t="s">
        <v>807</v>
      </c>
      <c r="C154" s="81">
        <f t="shared" si="4"/>
        <v>44908</v>
      </c>
      <c r="D154" s="80" t="str">
        <f t="shared" si="5"/>
        <v>December</v>
      </c>
      <c r="E154" s="12">
        <v>3334.6</v>
      </c>
    </row>
    <row r="155" spans="1:5">
      <c r="A155" s="18" t="s">
        <v>149</v>
      </c>
      <c r="B155" s="15" t="s">
        <v>2044</v>
      </c>
      <c r="C155" s="81">
        <f t="shared" si="4"/>
        <v>45419</v>
      </c>
      <c r="D155" s="80" t="str">
        <f t="shared" si="5"/>
        <v>May</v>
      </c>
      <c r="E155" s="14">
        <v>3913.9</v>
      </c>
    </row>
    <row r="156" spans="1:5">
      <c r="A156" s="19" t="s">
        <v>172</v>
      </c>
      <c r="B156" s="13" t="s">
        <v>2046</v>
      </c>
      <c r="C156" s="81">
        <f t="shared" si="4"/>
        <v>44265</v>
      </c>
      <c r="D156" s="80" t="str">
        <f t="shared" si="5"/>
        <v>March</v>
      </c>
      <c r="E156" s="12">
        <v>3985.3</v>
      </c>
    </row>
    <row r="157" spans="1:5">
      <c r="A157" s="18" t="s">
        <v>149</v>
      </c>
      <c r="B157" s="15" t="s">
        <v>2049</v>
      </c>
      <c r="C157" s="81">
        <f t="shared" si="4"/>
        <v>44770</v>
      </c>
      <c r="D157" s="80" t="str">
        <f t="shared" si="5"/>
        <v>July</v>
      </c>
      <c r="E157" s="14">
        <v>19795.8</v>
      </c>
    </row>
    <row r="158" spans="1:5">
      <c r="A158" s="19" t="s">
        <v>46</v>
      </c>
      <c r="B158" s="13" t="s">
        <v>819</v>
      </c>
      <c r="C158" s="81">
        <f t="shared" si="4"/>
        <v>45023</v>
      </c>
      <c r="D158" s="80" t="str">
        <f t="shared" si="5"/>
        <v>April</v>
      </c>
      <c r="E158" s="12">
        <v>11992.3</v>
      </c>
    </row>
    <row r="159" spans="1:5">
      <c r="A159" s="18" t="s">
        <v>70</v>
      </c>
      <c r="B159" s="15" t="s">
        <v>981</v>
      </c>
      <c r="C159" s="81">
        <f t="shared" si="4"/>
        <v>44377</v>
      </c>
      <c r="D159" s="80" t="str">
        <f t="shared" si="5"/>
        <v>June</v>
      </c>
      <c r="E159" s="14">
        <v>10186.4</v>
      </c>
    </row>
    <row r="160" spans="1:5">
      <c r="A160" s="19" t="s">
        <v>18</v>
      </c>
      <c r="B160" s="13" t="s">
        <v>1945</v>
      </c>
      <c r="C160" s="81">
        <f t="shared" si="4"/>
        <v>45546</v>
      </c>
      <c r="D160" s="80" t="str">
        <f t="shared" si="5"/>
        <v>September</v>
      </c>
      <c r="E160" s="12">
        <v>3062.5</v>
      </c>
    </row>
    <row r="161" spans="1:5">
      <c r="A161" s="18" t="s">
        <v>46</v>
      </c>
      <c r="B161" s="15" t="s">
        <v>690</v>
      </c>
      <c r="C161" s="81">
        <f t="shared" si="4"/>
        <v>44511</v>
      </c>
      <c r="D161" s="80" t="str">
        <f t="shared" si="5"/>
        <v>November</v>
      </c>
      <c r="E161" s="14">
        <v>2439.8000000000002</v>
      </c>
    </row>
    <row r="162" spans="1:5">
      <c r="A162" s="19" t="s">
        <v>18</v>
      </c>
      <c r="B162" s="13" t="s">
        <v>2059</v>
      </c>
      <c r="C162" s="81">
        <f t="shared" si="4"/>
        <v>44659</v>
      </c>
      <c r="D162" s="80" t="str">
        <f t="shared" si="5"/>
        <v>April</v>
      </c>
      <c r="E162" s="12">
        <v>8122.6</v>
      </c>
    </row>
    <row r="163" spans="1:5">
      <c r="A163" s="18" t="s">
        <v>75</v>
      </c>
      <c r="B163" s="15" t="s">
        <v>2063</v>
      </c>
      <c r="C163" s="81">
        <f t="shared" si="4"/>
        <v>44963</v>
      </c>
      <c r="D163" s="80" t="str">
        <f t="shared" si="5"/>
        <v>February</v>
      </c>
      <c r="E163" s="14">
        <v>6448.6</v>
      </c>
    </row>
    <row r="164" spans="1:5">
      <c r="A164" s="19" t="s">
        <v>149</v>
      </c>
      <c r="B164" s="13" t="s">
        <v>2066</v>
      </c>
      <c r="C164" s="81">
        <f t="shared" si="4"/>
        <v>45273</v>
      </c>
      <c r="D164" s="80" t="str">
        <f t="shared" si="5"/>
        <v>December</v>
      </c>
      <c r="E164" s="12">
        <v>8063.7</v>
      </c>
    </row>
    <row r="165" spans="1:5">
      <c r="A165" s="18" t="s">
        <v>18</v>
      </c>
      <c r="B165" s="15" t="s">
        <v>2009</v>
      </c>
      <c r="C165" s="81">
        <f t="shared" si="4"/>
        <v>44904</v>
      </c>
      <c r="D165" s="80" t="str">
        <f t="shared" si="5"/>
        <v>December</v>
      </c>
      <c r="E165" s="14">
        <v>20812.900000000001</v>
      </c>
    </row>
    <row r="166" spans="1:5">
      <c r="A166" s="19" t="s">
        <v>65</v>
      </c>
      <c r="B166" s="13" t="s">
        <v>2069</v>
      </c>
      <c r="C166" s="81">
        <f t="shared" si="4"/>
        <v>44992</v>
      </c>
      <c r="D166" s="80" t="str">
        <f t="shared" si="5"/>
        <v>March</v>
      </c>
      <c r="E166" s="12">
        <v>7616.5</v>
      </c>
    </row>
    <row r="167" spans="1:5">
      <c r="A167" s="18" t="s">
        <v>172</v>
      </c>
      <c r="B167" s="15" t="s">
        <v>1922</v>
      </c>
      <c r="C167" s="81">
        <f t="shared" si="4"/>
        <v>45041</v>
      </c>
      <c r="D167" s="80" t="str">
        <f t="shared" si="5"/>
        <v>April</v>
      </c>
      <c r="E167" s="14">
        <v>6151.9</v>
      </c>
    </row>
    <row r="168" spans="1:5">
      <c r="A168" s="19" t="s">
        <v>18</v>
      </c>
      <c r="B168" s="13" t="s">
        <v>1783</v>
      </c>
      <c r="C168" s="81">
        <f t="shared" si="4"/>
        <v>45654</v>
      </c>
      <c r="D168" s="80" t="str">
        <f t="shared" si="5"/>
        <v>December</v>
      </c>
      <c r="E168" s="12">
        <v>1883.1</v>
      </c>
    </row>
    <row r="169" spans="1:5">
      <c r="A169" s="18" t="s">
        <v>26</v>
      </c>
      <c r="B169" s="15" t="s">
        <v>444</v>
      </c>
      <c r="C169" s="81">
        <f t="shared" si="4"/>
        <v>44412</v>
      </c>
      <c r="D169" s="80" t="str">
        <f t="shared" si="5"/>
        <v>August</v>
      </c>
      <c r="E169" s="14">
        <v>9509.2999999999993</v>
      </c>
    </row>
    <row r="170" spans="1:5">
      <c r="A170" s="19" t="s">
        <v>149</v>
      </c>
      <c r="B170" s="13" t="s">
        <v>2076</v>
      </c>
      <c r="C170" s="81">
        <f t="shared" si="4"/>
        <v>44383</v>
      </c>
      <c r="D170" s="80" t="str">
        <f t="shared" si="5"/>
        <v>July</v>
      </c>
      <c r="E170" s="12">
        <v>2642.2</v>
      </c>
    </row>
    <row r="171" spans="1:5">
      <c r="A171" s="18" t="s">
        <v>70</v>
      </c>
      <c r="B171" s="15" t="s">
        <v>2079</v>
      </c>
      <c r="C171" s="81">
        <f t="shared" si="4"/>
        <v>44444</v>
      </c>
      <c r="D171" s="80" t="str">
        <f t="shared" si="5"/>
        <v>September</v>
      </c>
      <c r="E171" s="14">
        <v>7261.1</v>
      </c>
    </row>
    <row r="172" spans="1:5">
      <c r="A172" s="19" t="s">
        <v>46</v>
      </c>
      <c r="B172" s="13" t="s">
        <v>2081</v>
      </c>
      <c r="C172" s="81">
        <f t="shared" si="4"/>
        <v>44242</v>
      </c>
      <c r="D172" s="80" t="str">
        <f t="shared" si="5"/>
        <v>February</v>
      </c>
      <c r="E172" s="12">
        <v>4924.8</v>
      </c>
    </row>
    <row r="173" spans="1:5">
      <c r="A173" s="18" t="s">
        <v>70</v>
      </c>
      <c r="B173" s="15" t="s">
        <v>792</v>
      </c>
      <c r="C173" s="81">
        <f t="shared" si="4"/>
        <v>45312</v>
      </c>
      <c r="D173" s="80" t="str">
        <f t="shared" si="5"/>
        <v>January</v>
      </c>
      <c r="E173" s="14">
        <v>6638.6</v>
      </c>
    </row>
    <row r="174" spans="1:5">
      <c r="A174" s="19" t="s">
        <v>172</v>
      </c>
      <c r="B174" s="13" t="s">
        <v>2085</v>
      </c>
      <c r="C174" s="81">
        <f t="shared" si="4"/>
        <v>44528</v>
      </c>
      <c r="D174" s="80" t="str">
        <f t="shared" si="5"/>
        <v>November</v>
      </c>
      <c r="E174" s="12">
        <v>3044.9</v>
      </c>
    </row>
    <row r="175" spans="1:5">
      <c r="A175" s="18" t="s">
        <v>75</v>
      </c>
      <c r="B175" s="15" t="s">
        <v>2087</v>
      </c>
      <c r="C175" s="81">
        <f t="shared" si="4"/>
        <v>45032</v>
      </c>
      <c r="D175" s="80" t="str">
        <f t="shared" si="5"/>
        <v>April</v>
      </c>
      <c r="E175" s="14">
        <v>1592.8</v>
      </c>
    </row>
    <row r="176" spans="1:5">
      <c r="A176" s="19" t="s">
        <v>214</v>
      </c>
      <c r="B176" s="13" t="s">
        <v>1932</v>
      </c>
      <c r="C176" s="81">
        <f t="shared" si="4"/>
        <v>44966</v>
      </c>
      <c r="D176" s="80" t="str">
        <f t="shared" si="5"/>
        <v>February</v>
      </c>
      <c r="E176" s="12">
        <v>1082.9000000000001</v>
      </c>
    </row>
    <row r="177" spans="1:5">
      <c r="A177" s="18" t="s">
        <v>26</v>
      </c>
      <c r="B177" s="15" t="s">
        <v>2091</v>
      </c>
      <c r="C177" s="81">
        <f t="shared" si="4"/>
        <v>44968</v>
      </c>
      <c r="D177" s="80" t="str">
        <f t="shared" si="5"/>
        <v>February</v>
      </c>
      <c r="E177" s="14">
        <v>14598.4</v>
      </c>
    </row>
    <row r="178" spans="1:5">
      <c r="A178" s="19" t="s">
        <v>214</v>
      </c>
      <c r="B178" s="13" t="s">
        <v>2093</v>
      </c>
      <c r="C178" s="81">
        <f t="shared" si="4"/>
        <v>45200</v>
      </c>
      <c r="D178" s="80" t="str">
        <f t="shared" si="5"/>
        <v>October</v>
      </c>
      <c r="E178" s="12">
        <v>3991.1</v>
      </c>
    </row>
    <row r="179" spans="1:5">
      <c r="A179" s="18" t="s">
        <v>114</v>
      </c>
      <c r="B179" s="15" t="s">
        <v>48</v>
      </c>
      <c r="C179" s="81">
        <f t="shared" si="4"/>
        <v>45128</v>
      </c>
      <c r="D179" s="80" t="str">
        <f t="shared" si="5"/>
        <v>July</v>
      </c>
      <c r="E179" s="14">
        <v>17324.900000000001</v>
      </c>
    </row>
    <row r="180" spans="1:5">
      <c r="A180" s="19" t="s">
        <v>172</v>
      </c>
      <c r="B180" s="13" t="s">
        <v>2096</v>
      </c>
      <c r="C180" s="81">
        <f t="shared" si="4"/>
        <v>44536</v>
      </c>
      <c r="D180" s="80" t="str">
        <f t="shared" si="5"/>
        <v>December</v>
      </c>
      <c r="E180" s="12">
        <v>14099.7</v>
      </c>
    </row>
    <row r="181" spans="1:5">
      <c r="A181" s="18" t="s">
        <v>114</v>
      </c>
      <c r="B181" s="15" t="s">
        <v>1384</v>
      </c>
      <c r="C181" s="81">
        <f t="shared" si="4"/>
        <v>44642</v>
      </c>
      <c r="D181" s="80" t="str">
        <f t="shared" si="5"/>
        <v>March</v>
      </c>
      <c r="E181" s="14">
        <v>815.7</v>
      </c>
    </row>
    <row r="182" spans="1:5">
      <c r="A182" s="19" t="s">
        <v>46</v>
      </c>
      <c r="B182" s="13" t="s">
        <v>347</v>
      </c>
      <c r="C182" s="81">
        <f t="shared" si="4"/>
        <v>44283</v>
      </c>
      <c r="D182" s="80" t="str">
        <f t="shared" si="5"/>
        <v>March</v>
      </c>
      <c r="E182" s="12">
        <v>1754.8</v>
      </c>
    </row>
    <row r="183" spans="1:5">
      <c r="A183" s="18" t="s">
        <v>65</v>
      </c>
      <c r="B183" s="15" t="s">
        <v>915</v>
      </c>
      <c r="C183" s="81">
        <f t="shared" si="4"/>
        <v>45103</v>
      </c>
      <c r="D183" s="80" t="str">
        <f t="shared" si="5"/>
        <v>June</v>
      </c>
      <c r="E183" s="14">
        <v>17464.3</v>
      </c>
    </row>
    <row r="184" spans="1:5">
      <c r="A184" s="19" t="s">
        <v>46</v>
      </c>
      <c r="B184" s="13" t="s">
        <v>368</v>
      </c>
      <c r="C184" s="81">
        <f t="shared" si="4"/>
        <v>44517</v>
      </c>
      <c r="D184" s="80" t="str">
        <f t="shared" si="5"/>
        <v>November</v>
      </c>
      <c r="E184" s="12">
        <v>18998.400000000001</v>
      </c>
    </row>
    <row r="185" spans="1:5">
      <c r="A185" s="18" t="s">
        <v>53</v>
      </c>
      <c r="B185" s="15" t="s">
        <v>2106</v>
      </c>
      <c r="C185" s="81">
        <f t="shared" si="4"/>
        <v>44676</v>
      </c>
      <c r="D185" s="80" t="str">
        <f t="shared" si="5"/>
        <v>April</v>
      </c>
      <c r="E185" s="14">
        <v>8108.3</v>
      </c>
    </row>
    <row r="186" spans="1:5">
      <c r="A186" s="19" t="s">
        <v>46</v>
      </c>
      <c r="B186" s="13" t="s">
        <v>2109</v>
      </c>
      <c r="C186" s="81">
        <f t="shared" si="4"/>
        <v>44894</v>
      </c>
      <c r="D186" s="80" t="str">
        <f t="shared" si="5"/>
        <v>November</v>
      </c>
      <c r="E186" s="12">
        <v>15304.6</v>
      </c>
    </row>
    <row r="187" spans="1:5">
      <c r="A187" s="18" t="s">
        <v>53</v>
      </c>
      <c r="B187" s="15" t="s">
        <v>2009</v>
      </c>
      <c r="C187" s="81">
        <f t="shared" si="4"/>
        <v>44904</v>
      </c>
      <c r="D187" s="80" t="str">
        <f t="shared" si="5"/>
        <v>December</v>
      </c>
      <c r="E187" s="14">
        <v>2209.6999999999998</v>
      </c>
    </row>
    <row r="188" spans="1:5">
      <c r="A188" s="19" t="s">
        <v>114</v>
      </c>
      <c r="B188" s="13" t="s">
        <v>605</v>
      </c>
      <c r="C188" s="81">
        <f t="shared" si="4"/>
        <v>45089</v>
      </c>
      <c r="D188" s="80" t="str">
        <f t="shared" si="5"/>
        <v>June</v>
      </c>
      <c r="E188" s="12">
        <v>4565.6000000000004</v>
      </c>
    </row>
    <row r="189" spans="1:5">
      <c r="A189" s="18" t="s">
        <v>46</v>
      </c>
      <c r="B189" s="15" t="s">
        <v>2115</v>
      </c>
      <c r="C189" s="81">
        <f t="shared" si="4"/>
        <v>44948</v>
      </c>
      <c r="D189" s="80" t="str">
        <f t="shared" si="5"/>
        <v>January</v>
      </c>
      <c r="E189" s="14">
        <v>1634.4</v>
      </c>
    </row>
    <row r="190" spans="1:5">
      <c r="A190" s="19" t="s">
        <v>32</v>
      </c>
      <c r="B190" s="13" t="s">
        <v>2118</v>
      </c>
      <c r="C190" s="81">
        <f t="shared" si="4"/>
        <v>44463</v>
      </c>
      <c r="D190" s="80" t="str">
        <f t="shared" si="5"/>
        <v>September</v>
      </c>
      <c r="E190" s="12">
        <v>4018.1</v>
      </c>
    </row>
    <row r="191" spans="1:5">
      <c r="A191" s="18" t="s">
        <v>53</v>
      </c>
      <c r="B191" s="15" t="s">
        <v>2120</v>
      </c>
      <c r="C191" s="81">
        <f t="shared" si="4"/>
        <v>44818</v>
      </c>
      <c r="D191" s="80" t="str">
        <f t="shared" si="5"/>
        <v>September</v>
      </c>
      <c r="E191" s="14">
        <v>9416.6</v>
      </c>
    </row>
    <row r="192" spans="1:5">
      <c r="A192" s="19" t="s">
        <v>32</v>
      </c>
      <c r="B192" s="13" t="s">
        <v>830</v>
      </c>
      <c r="C192" s="81">
        <f t="shared" si="4"/>
        <v>44298</v>
      </c>
      <c r="D192" s="80" t="str">
        <f t="shared" si="5"/>
        <v>April</v>
      </c>
      <c r="E192" s="12">
        <v>4784.8</v>
      </c>
    </row>
    <row r="193" spans="1:5">
      <c r="A193" s="18" t="s">
        <v>75</v>
      </c>
      <c r="B193" s="15" t="s">
        <v>2124</v>
      </c>
      <c r="C193" s="81">
        <f t="shared" si="4"/>
        <v>44862</v>
      </c>
      <c r="D193" s="80" t="str">
        <f t="shared" si="5"/>
        <v>October</v>
      </c>
      <c r="E193" s="14">
        <v>888.3</v>
      </c>
    </row>
    <row r="194" spans="1:5">
      <c r="A194" s="19" t="s">
        <v>18</v>
      </c>
      <c r="B194" s="13" t="s">
        <v>2126</v>
      </c>
      <c r="C194" s="81">
        <f t="shared" si="4"/>
        <v>44808</v>
      </c>
      <c r="D194" s="80" t="str">
        <f t="shared" si="5"/>
        <v>September</v>
      </c>
      <c r="E194" s="12">
        <v>2668.3</v>
      </c>
    </row>
    <row r="195" spans="1:5">
      <c r="A195" s="18" t="s">
        <v>172</v>
      </c>
      <c r="B195" s="15" t="s">
        <v>803</v>
      </c>
      <c r="C195" s="81">
        <f t="shared" ref="C195:C201" si="6">DATE(RIGHT(B195,4),MID(B195,4,2),LEFT(B195,2))</f>
        <v>45039</v>
      </c>
      <c r="D195" s="80" t="str">
        <f t="shared" ref="D195:D201" si="7">TEXT(C195,"mmmm")</f>
        <v>April</v>
      </c>
      <c r="E195" s="14">
        <v>18222.2</v>
      </c>
    </row>
    <row r="196" spans="1:5">
      <c r="A196" s="19" t="s">
        <v>70</v>
      </c>
      <c r="B196" s="13" t="s">
        <v>2130</v>
      </c>
      <c r="C196" s="81">
        <f t="shared" si="6"/>
        <v>45019</v>
      </c>
      <c r="D196" s="80" t="str">
        <f t="shared" si="7"/>
        <v>April</v>
      </c>
      <c r="E196" s="12">
        <v>5206.1000000000004</v>
      </c>
    </row>
    <row r="197" spans="1:5">
      <c r="A197" s="18" t="s">
        <v>32</v>
      </c>
      <c r="B197" s="15" t="s">
        <v>2133</v>
      </c>
      <c r="C197" s="81">
        <f t="shared" si="6"/>
        <v>44531</v>
      </c>
      <c r="D197" s="80" t="str">
        <f t="shared" si="7"/>
        <v>December</v>
      </c>
      <c r="E197" s="14">
        <v>18681.8</v>
      </c>
    </row>
    <row r="198" spans="1:5">
      <c r="A198" s="19" t="s">
        <v>114</v>
      </c>
      <c r="B198" s="13" t="s">
        <v>2136</v>
      </c>
      <c r="C198" s="81">
        <f t="shared" si="6"/>
        <v>44272</v>
      </c>
      <c r="D198" s="80" t="str">
        <f t="shared" si="7"/>
        <v>March</v>
      </c>
      <c r="E198" s="12">
        <v>9896</v>
      </c>
    </row>
    <row r="199" spans="1:5">
      <c r="A199" s="18" t="s">
        <v>18</v>
      </c>
      <c r="B199" s="15" t="s">
        <v>321</v>
      </c>
      <c r="C199" s="81">
        <f t="shared" si="6"/>
        <v>44411</v>
      </c>
      <c r="D199" s="80" t="str">
        <f t="shared" si="7"/>
        <v>August</v>
      </c>
      <c r="E199" s="14">
        <v>5880.5</v>
      </c>
    </row>
    <row r="200" spans="1:5">
      <c r="A200" s="19" t="s">
        <v>172</v>
      </c>
      <c r="B200" s="13" t="s">
        <v>2140</v>
      </c>
      <c r="C200" s="81">
        <f t="shared" si="6"/>
        <v>44323</v>
      </c>
      <c r="D200" s="80" t="str">
        <f t="shared" si="7"/>
        <v>May</v>
      </c>
      <c r="E200" s="12">
        <v>6093</v>
      </c>
    </row>
    <row r="201" spans="1:5">
      <c r="A201" s="18" t="s">
        <v>65</v>
      </c>
      <c r="B201" s="15" t="s">
        <v>2143</v>
      </c>
      <c r="C201" s="81">
        <f t="shared" si="6"/>
        <v>45427</v>
      </c>
      <c r="D201" s="80" t="str">
        <f t="shared" si="7"/>
        <v>May</v>
      </c>
      <c r="E201" s="14">
        <v>1598.1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A277-EE66-4E85-B905-8853749178FE}">
  <sheetPr>
    <tabColor rgb="FF92D050"/>
  </sheetPr>
  <dimension ref="A1:E601"/>
  <sheetViews>
    <sheetView workbookViewId="0">
      <selection activeCell="J11" sqref="J11"/>
    </sheetView>
  </sheetViews>
  <sheetFormatPr defaultRowHeight="15"/>
  <cols>
    <col min="1" max="1" width="20.85546875" bestFit="1" customWidth="1"/>
    <col min="3" max="3" width="20.85546875" bestFit="1" customWidth="1"/>
    <col min="4" max="4" width="12" bestFit="1" customWidth="1"/>
    <col min="5" max="5" width="15.28515625" customWidth="1"/>
  </cols>
  <sheetData>
    <row r="1" spans="1:5" ht="30.75">
      <c r="A1" s="10" t="s">
        <v>5</v>
      </c>
      <c r="B1" s="10" t="s">
        <v>1606</v>
      </c>
      <c r="C1" s="1" t="s">
        <v>5</v>
      </c>
      <c r="D1" s="1" t="s">
        <v>3</v>
      </c>
      <c r="E1" s="70" t="s">
        <v>5891</v>
      </c>
    </row>
    <row r="2" spans="1:5">
      <c r="A2" s="12" t="s">
        <v>172</v>
      </c>
      <c r="B2" s="12">
        <v>7765.2</v>
      </c>
      <c r="C2" s="3" t="s">
        <v>18</v>
      </c>
      <c r="D2" s="3" t="s">
        <v>16</v>
      </c>
      <c r="E2">
        <f>VLOOKUP(C2,$A$2:$B$201,2,FALSE)</f>
        <v>8129.3</v>
      </c>
    </row>
    <row r="3" spans="1:5">
      <c r="A3" s="14" t="s">
        <v>70</v>
      </c>
      <c r="B3" s="14">
        <v>2114.3000000000002</v>
      </c>
      <c r="C3" s="4" t="s">
        <v>26</v>
      </c>
      <c r="D3" s="4" t="s">
        <v>24</v>
      </c>
      <c r="E3">
        <f t="shared" ref="E3:E66" si="0">VLOOKUP(C3,$A$2:$B$201,2,FALSE)</f>
        <v>5174.3</v>
      </c>
    </row>
    <row r="4" spans="1:5">
      <c r="A4" s="12" t="s">
        <v>75</v>
      </c>
      <c r="B4" s="12">
        <v>1820.4</v>
      </c>
      <c r="C4" s="3" t="s">
        <v>32</v>
      </c>
      <c r="D4" s="3" t="s">
        <v>16</v>
      </c>
      <c r="E4">
        <f t="shared" si="0"/>
        <v>1605.8</v>
      </c>
    </row>
    <row r="5" spans="1:5">
      <c r="A5" s="14" t="s">
        <v>70</v>
      </c>
      <c r="B5" s="14">
        <v>4444.3999999999996</v>
      </c>
      <c r="C5" s="4" t="s">
        <v>18</v>
      </c>
      <c r="D5" s="4" t="s">
        <v>39</v>
      </c>
      <c r="E5">
        <f t="shared" si="0"/>
        <v>8129.3</v>
      </c>
    </row>
    <row r="6" spans="1:5">
      <c r="A6" s="12" t="s">
        <v>65</v>
      </c>
      <c r="B6" s="12">
        <v>10825.8</v>
      </c>
      <c r="C6" s="3" t="s">
        <v>46</v>
      </c>
      <c r="D6" s="3" t="s">
        <v>24</v>
      </c>
      <c r="E6">
        <f t="shared" si="0"/>
        <v>17402.8</v>
      </c>
    </row>
    <row r="7" spans="1:5">
      <c r="A7" s="14" t="s">
        <v>26</v>
      </c>
      <c r="B7" s="14">
        <v>5174.3</v>
      </c>
      <c r="C7" s="4" t="s">
        <v>53</v>
      </c>
      <c r="D7" s="4" t="s">
        <v>51</v>
      </c>
      <c r="E7">
        <f t="shared" si="0"/>
        <v>3512.1</v>
      </c>
    </row>
    <row r="8" spans="1:5">
      <c r="A8" s="12" t="s">
        <v>114</v>
      </c>
      <c r="B8" s="12">
        <v>10820.4</v>
      </c>
      <c r="C8" s="3" t="s">
        <v>46</v>
      </c>
      <c r="D8" s="3" t="s">
        <v>16</v>
      </c>
      <c r="E8">
        <f t="shared" si="0"/>
        <v>17402.8</v>
      </c>
    </row>
    <row r="9" spans="1:5">
      <c r="A9" s="14" t="s">
        <v>26</v>
      </c>
      <c r="B9" s="14">
        <v>5141.8999999999996</v>
      </c>
      <c r="C9" s="4" t="s">
        <v>65</v>
      </c>
      <c r="D9" s="4" t="s">
        <v>63</v>
      </c>
      <c r="E9">
        <f t="shared" si="0"/>
        <v>10825.8</v>
      </c>
    </row>
    <row r="10" spans="1:5">
      <c r="A10" s="12" t="s">
        <v>70</v>
      </c>
      <c r="B10" s="12">
        <v>458.3</v>
      </c>
      <c r="C10" s="3" t="s">
        <v>70</v>
      </c>
      <c r="D10" s="3" t="s">
        <v>51</v>
      </c>
      <c r="E10">
        <f t="shared" si="0"/>
        <v>2114.3000000000002</v>
      </c>
    </row>
    <row r="11" spans="1:5">
      <c r="A11" s="14" t="s">
        <v>53</v>
      </c>
      <c r="B11" s="14">
        <v>3512.1</v>
      </c>
      <c r="C11" s="4" t="s">
        <v>75</v>
      </c>
      <c r="D11" s="4" t="s">
        <v>24</v>
      </c>
      <c r="E11">
        <f t="shared" si="0"/>
        <v>1820.4</v>
      </c>
    </row>
    <row r="12" spans="1:5">
      <c r="A12" s="12" t="s">
        <v>53</v>
      </c>
      <c r="B12" s="12">
        <v>12125.9</v>
      </c>
      <c r="C12" s="3" t="s">
        <v>32</v>
      </c>
      <c r="D12" s="3" t="s">
        <v>39</v>
      </c>
      <c r="E12">
        <f t="shared" si="0"/>
        <v>1605.8</v>
      </c>
    </row>
    <row r="13" spans="1:5">
      <c r="A13" s="14" t="s">
        <v>26</v>
      </c>
      <c r="B13" s="14">
        <v>18151.5</v>
      </c>
      <c r="C13" s="4" t="s">
        <v>65</v>
      </c>
      <c r="D13" s="4" t="s">
        <v>84</v>
      </c>
      <c r="E13">
        <f t="shared" si="0"/>
        <v>10825.8</v>
      </c>
    </row>
    <row r="14" spans="1:5">
      <c r="A14" s="12" t="s">
        <v>18</v>
      </c>
      <c r="B14" s="12">
        <v>8129.3</v>
      </c>
      <c r="C14" s="3" t="s">
        <v>32</v>
      </c>
      <c r="D14" s="3" t="s">
        <v>89</v>
      </c>
      <c r="E14">
        <f t="shared" si="0"/>
        <v>1605.8</v>
      </c>
    </row>
    <row r="15" spans="1:5">
      <c r="A15" s="14" t="s">
        <v>149</v>
      </c>
      <c r="B15" s="14">
        <v>5854.7</v>
      </c>
      <c r="C15" s="4" t="s">
        <v>32</v>
      </c>
      <c r="D15" s="4" t="s">
        <v>24</v>
      </c>
      <c r="E15">
        <f t="shared" si="0"/>
        <v>1605.8</v>
      </c>
    </row>
    <row r="16" spans="1:5">
      <c r="A16" s="12" t="s">
        <v>114</v>
      </c>
      <c r="B16" s="12">
        <v>2307</v>
      </c>
      <c r="C16" s="3" t="s">
        <v>46</v>
      </c>
      <c r="D16" s="3" t="s">
        <v>16</v>
      </c>
      <c r="E16">
        <f t="shared" si="0"/>
        <v>17402.8</v>
      </c>
    </row>
    <row r="17" spans="1:5">
      <c r="A17" s="14" t="s">
        <v>46</v>
      </c>
      <c r="B17" s="14">
        <v>17402.8</v>
      </c>
      <c r="C17" s="4" t="s">
        <v>18</v>
      </c>
      <c r="D17" s="4" t="s">
        <v>63</v>
      </c>
      <c r="E17">
        <f t="shared" si="0"/>
        <v>8129.3</v>
      </c>
    </row>
    <row r="18" spans="1:5">
      <c r="A18" s="12" t="s">
        <v>114</v>
      </c>
      <c r="B18" s="12">
        <v>7651.3</v>
      </c>
      <c r="C18" s="3" t="s">
        <v>18</v>
      </c>
      <c r="D18" s="3" t="s">
        <v>51</v>
      </c>
      <c r="E18">
        <f t="shared" si="0"/>
        <v>8129.3</v>
      </c>
    </row>
    <row r="19" spans="1:5">
      <c r="A19" s="14" t="s">
        <v>70</v>
      </c>
      <c r="B19" s="14">
        <v>3049.6</v>
      </c>
      <c r="C19" s="4" t="s">
        <v>53</v>
      </c>
      <c r="D19" s="4" t="s">
        <v>39</v>
      </c>
      <c r="E19">
        <f t="shared" si="0"/>
        <v>3512.1</v>
      </c>
    </row>
    <row r="20" spans="1:5">
      <c r="A20" s="12" t="s">
        <v>26</v>
      </c>
      <c r="B20" s="12">
        <v>2931.5</v>
      </c>
      <c r="C20" s="3" t="s">
        <v>114</v>
      </c>
      <c r="D20" s="3" t="s">
        <v>89</v>
      </c>
      <c r="E20">
        <f t="shared" si="0"/>
        <v>10820.4</v>
      </c>
    </row>
    <row r="21" spans="1:5">
      <c r="A21" s="14" t="s">
        <v>214</v>
      </c>
      <c r="B21" s="14">
        <v>5050.3</v>
      </c>
      <c r="C21" s="4" t="s">
        <v>32</v>
      </c>
      <c r="D21" s="4" t="s">
        <v>118</v>
      </c>
      <c r="E21">
        <f t="shared" si="0"/>
        <v>1605.8</v>
      </c>
    </row>
    <row r="22" spans="1:5">
      <c r="A22" s="12" t="s">
        <v>18</v>
      </c>
      <c r="B22" s="12">
        <v>10531.7</v>
      </c>
      <c r="C22" s="3" t="s">
        <v>65</v>
      </c>
      <c r="D22" s="3" t="s">
        <v>16</v>
      </c>
      <c r="E22">
        <f t="shared" si="0"/>
        <v>10825.8</v>
      </c>
    </row>
    <row r="23" spans="1:5">
      <c r="A23" s="14" t="s">
        <v>172</v>
      </c>
      <c r="B23" s="14">
        <v>9667.2000000000007</v>
      </c>
      <c r="C23" s="4" t="s">
        <v>70</v>
      </c>
      <c r="D23" s="4" t="s">
        <v>118</v>
      </c>
      <c r="E23">
        <f t="shared" si="0"/>
        <v>2114.3000000000002</v>
      </c>
    </row>
    <row r="24" spans="1:5">
      <c r="A24" s="12" t="s">
        <v>65</v>
      </c>
      <c r="B24" s="12">
        <v>4353</v>
      </c>
      <c r="C24" s="3" t="s">
        <v>32</v>
      </c>
      <c r="D24" s="3" t="s">
        <v>118</v>
      </c>
      <c r="E24">
        <f t="shared" si="0"/>
        <v>1605.8</v>
      </c>
    </row>
    <row r="25" spans="1:5">
      <c r="A25" s="14" t="s">
        <v>70</v>
      </c>
      <c r="B25" s="14">
        <v>12613.9</v>
      </c>
      <c r="C25" s="4" t="s">
        <v>53</v>
      </c>
      <c r="D25" s="4" t="s">
        <v>133</v>
      </c>
      <c r="E25">
        <f t="shared" si="0"/>
        <v>3512.1</v>
      </c>
    </row>
    <row r="26" spans="1:5">
      <c r="A26" s="12" t="s">
        <v>46</v>
      </c>
      <c r="B26" s="12">
        <v>8647.7000000000007</v>
      </c>
      <c r="C26" s="3" t="s">
        <v>53</v>
      </c>
      <c r="D26" s="3" t="s">
        <v>84</v>
      </c>
      <c r="E26">
        <f t="shared" si="0"/>
        <v>3512.1</v>
      </c>
    </row>
    <row r="27" spans="1:5">
      <c r="A27" s="14" t="s">
        <v>75</v>
      </c>
      <c r="B27" s="14">
        <v>16743.099999999999</v>
      </c>
      <c r="C27" s="4" t="s">
        <v>26</v>
      </c>
      <c r="D27" s="4" t="s">
        <v>84</v>
      </c>
      <c r="E27">
        <f t="shared" si="0"/>
        <v>5174.3</v>
      </c>
    </row>
    <row r="28" spans="1:5">
      <c r="A28" s="12" t="s">
        <v>149</v>
      </c>
      <c r="B28" s="12">
        <v>6995.5</v>
      </c>
      <c r="C28" s="3" t="s">
        <v>32</v>
      </c>
      <c r="D28" s="3" t="s">
        <v>63</v>
      </c>
      <c r="E28">
        <f t="shared" si="0"/>
        <v>1605.8</v>
      </c>
    </row>
    <row r="29" spans="1:5">
      <c r="A29" s="14" t="s">
        <v>65</v>
      </c>
      <c r="B29" s="14">
        <v>3265</v>
      </c>
      <c r="C29" s="4" t="s">
        <v>149</v>
      </c>
      <c r="D29" s="4" t="s">
        <v>63</v>
      </c>
      <c r="E29">
        <f t="shared" si="0"/>
        <v>5854.7</v>
      </c>
    </row>
    <row r="30" spans="1:5">
      <c r="A30" s="12" t="s">
        <v>53</v>
      </c>
      <c r="B30" s="12">
        <v>3624.4</v>
      </c>
      <c r="C30" s="3" t="s">
        <v>18</v>
      </c>
      <c r="D30" s="3" t="s">
        <v>133</v>
      </c>
      <c r="E30">
        <f t="shared" si="0"/>
        <v>8129.3</v>
      </c>
    </row>
    <row r="31" spans="1:5">
      <c r="A31" s="14" t="s">
        <v>26</v>
      </c>
      <c r="B31" s="14">
        <v>4226.3</v>
      </c>
      <c r="C31" s="4" t="s">
        <v>18</v>
      </c>
      <c r="D31" s="4" t="s">
        <v>133</v>
      </c>
      <c r="E31">
        <f t="shared" si="0"/>
        <v>8129.3</v>
      </c>
    </row>
    <row r="32" spans="1:5">
      <c r="A32" s="12" t="s">
        <v>114</v>
      </c>
      <c r="B32" s="12">
        <v>7778.3</v>
      </c>
      <c r="C32" s="3" t="s">
        <v>149</v>
      </c>
      <c r="D32" s="3" t="s">
        <v>16</v>
      </c>
      <c r="E32">
        <f t="shared" si="0"/>
        <v>5854.7</v>
      </c>
    </row>
    <row r="33" spans="1:5">
      <c r="A33" s="14" t="s">
        <v>32</v>
      </c>
      <c r="B33" s="14">
        <v>1605.8</v>
      </c>
      <c r="C33" s="4" t="s">
        <v>149</v>
      </c>
      <c r="D33" s="4" t="s">
        <v>133</v>
      </c>
      <c r="E33">
        <f t="shared" si="0"/>
        <v>5854.7</v>
      </c>
    </row>
    <row r="34" spans="1:5">
      <c r="A34" s="12" t="s">
        <v>65</v>
      </c>
      <c r="B34" s="12">
        <v>17202.3</v>
      </c>
      <c r="C34" s="3" t="s">
        <v>26</v>
      </c>
      <c r="D34" s="3" t="s">
        <v>39</v>
      </c>
      <c r="E34">
        <f t="shared" si="0"/>
        <v>5174.3</v>
      </c>
    </row>
    <row r="35" spans="1:5">
      <c r="A35" s="14" t="s">
        <v>214</v>
      </c>
      <c r="B35" s="14">
        <v>2340</v>
      </c>
      <c r="C35" s="4" t="s">
        <v>26</v>
      </c>
      <c r="D35" s="4" t="s">
        <v>51</v>
      </c>
      <c r="E35">
        <f t="shared" si="0"/>
        <v>5174.3</v>
      </c>
    </row>
    <row r="36" spans="1:5">
      <c r="A36" s="12" t="s">
        <v>149</v>
      </c>
      <c r="B36" s="12">
        <v>2054.6</v>
      </c>
      <c r="C36" s="3" t="s">
        <v>172</v>
      </c>
      <c r="D36" s="3" t="s">
        <v>89</v>
      </c>
      <c r="E36">
        <f t="shared" si="0"/>
        <v>7765.2</v>
      </c>
    </row>
    <row r="37" spans="1:5">
      <c r="A37" s="14" t="s">
        <v>75</v>
      </c>
      <c r="B37" s="14">
        <v>1988</v>
      </c>
      <c r="C37" s="4" t="s">
        <v>26</v>
      </c>
      <c r="D37" s="4" t="s">
        <v>176</v>
      </c>
      <c r="E37">
        <f t="shared" si="0"/>
        <v>5174.3</v>
      </c>
    </row>
    <row r="38" spans="1:5">
      <c r="A38" s="12" t="s">
        <v>149</v>
      </c>
      <c r="B38" s="12">
        <v>3111</v>
      </c>
      <c r="C38" s="3" t="s">
        <v>26</v>
      </c>
      <c r="D38" s="3" t="s">
        <v>118</v>
      </c>
      <c r="E38">
        <f t="shared" si="0"/>
        <v>5174.3</v>
      </c>
    </row>
    <row r="39" spans="1:5">
      <c r="A39" s="14" t="s">
        <v>26</v>
      </c>
      <c r="B39" s="14">
        <v>4154.7</v>
      </c>
      <c r="C39" s="4" t="s">
        <v>75</v>
      </c>
      <c r="D39" s="4" t="s">
        <v>133</v>
      </c>
      <c r="E39">
        <f t="shared" si="0"/>
        <v>1820.4</v>
      </c>
    </row>
    <row r="40" spans="1:5">
      <c r="A40" s="12" t="s">
        <v>26</v>
      </c>
      <c r="B40" s="12">
        <v>7275.9</v>
      </c>
      <c r="C40" s="3" t="s">
        <v>26</v>
      </c>
      <c r="D40" s="3" t="s">
        <v>16</v>
      </c>
      <c r="E40">
        <f t="shared" si="0"/>
        <v>5174.3</v>
      </c>
    </row>
    <row r="41" spans="1:5">
      <c r="A41" s="14" t="s">
        <v>172</v>
      </c>
      <c r="B41" s="14">
        <v>1228.3</v>
      </c>
      <c r="C41" s="4" t="s">
        <v>75</v>
      </c>
      <c r="D41" s="4" t="s">
        <v>118</v>
      </c>
      <c r="E41">
        <f t="shared" si="0"/>
        <v>1820.4</v>
      </c>
    </row>
    <row r="42" spans="1:5">
      <c r="A42" s="12" t="s">
        <v>53</v>
      </c>
      <c r="B42" s="12">
        <v>7707.2</v>
      </c>
      <c r="C42" s="3" t="s">
        <v>46</v>
      </c>
      <c r="D42" s="3" t="s">
        <v>16</v>
      </c>
      <c r="E42">
        <f t="shared" si="0"/>
        <v>17402.8</v>
      </c>
    </row>
    <row r="43" spans="1:5">
      <c r="A43" s="14" t="s">
        <v>214</v>
      </c>
      <c r="B43" s="14">
        <v>2621</v>
      </c>
      <c r="C43" s="4" t="s">
        <v>32</v>
      </c>
      <c r="D43" s="4" t="s">
        <v>39</v>
      </c>
      <c r="E43">
        <f t="shared" si="0"/>
        <v>1605.8</v>
      </c>
    </row>
    <row r="44" spans="1:5">
      <c r="A44" s="12" t="s">
        <v>70</v>
      </c>
      <c r="B44" s="12">
        <v>2340.5</v>
      </c>
      <c r="C44" s="3" t="s">
        <v>65</v>
      </c>
      <c r="D44" s="3" t="s">
        <v>89</v>
      </c>
      <c r="E44">
        <f t="shared" si="0"/>
        <v>10825.8</v>
      </c>
    </row>
    <row r="45" spans="1:5">
      <c r="A45" s="14" t="s">
        <v>46</v>
      </c>
      <c r="B45" s="14">
        <v>2436.1999999999998</v>
      </c>
      <c r="C45" s="4" t="s">
        <v>70</v>
      </c>
      <c r="D45" s="4" t="s">
        <v>84</v>
      </c>
      <c r="E45">
        <f t="shared" si="0"/>
        <v>2114.3000000000002</v>
      </c>
    </row>
    <row r="46" spans="1:5">
      <c r="A46" s="12" t="s">
        <v>18</v>
      </c>
      <c r="B46" s="12">
        <v>19549.7</v>
      </c>
      <c r="C46" s="3" t="s">
        <v>149</v>
      </c>
      <c r="D46" s="3" t="s">
        <v>39</v>
      </c>
      <c r="E46">
        <f t="shared" si="0"/>
        <v>5854.7</v>
      </c>
    </row>
    <row r="47" spans="1:5">
      <c r="A47" s="14" t="s">
        <v>32</v>
      </c>
      <c r="B47" s="14">
        <v>10245.299999999999</v>
      </c>
      <c r="C47" s="4" t="s">
        <v>149</v>
      </c>
      <c r="D47" s="4" t="s">
        <v>84</v>
      </c>
      <c r="E47">
        <f t="shared" si="0"/>
        <v>5854.7</v>
      </c>
    </row>
    <row r="48" spans="1:5">
      <c r="A48" s="12" t="s">
        <v>65</v>
      </c>
      <c r="B48" s="12">
        <v>4070.4</v>
      </c>
      <c r="C48" s="3" t="s">
        <v>214</v>
      </c>
      <c r="D48" s="3" t="s">
        <v>51</v>
      </c>
      <c r="E48">
        <f t="shared" si="0"/>
        <v>5050.3</v>
      </c>
    </row>
    <row r="49" spans="1:5">
      <c r="A49" s="14" t="s">
        <v>32</v>
      </c>
      <c r="B49" s="14">
        <v>18188.400000000001</v>
      </c>
      <c r="C49" s="4" t="s">
        <v>75</v>
      </c>
      <c r="D49" s="4" t="s">
        <v>51</v>
      </c>
      <c r="E49">
        <f t="shared" si="0"/>
        <v>1820.4</v>
      </c>
    </row>
    <row r="50" spans="1:5">
      <c r="A50" s="12" t="s">
        <v>149</v>
      </c>
      <c r="B50" s="12">
        <v>1183.5999999999999</v>
      </c>
      <c r="C50" s="3" t="s">
        <v>70</v>
      </c>
      <c r="D50" s="3" t="s">
        <v>89</v>
      </c>
      <c r="E50">
        <f t="shared" si="0"/>
        <v>2114.3000000000002</v>
      </c>
    </row>
    <row r="51" spans="1:5">
      <c r="A51" s="14" t="s">
        <v>75</v>
      </c>
      <c r="B51" s="14">
        <v>19237.2</v>
      </c>
      <c r="C51" s="4" t="s">
        <v>172</v>
      </c>
      <c r="D51" s="4" t="s">
        <v>63</v>
      </c>
      <c r="E51">
        <f t="shared" si="0"/>
        <v>7765.2</v>
      </c>
    </row>
    <row r="52" spans="1:5">
      <c r="A52" s="12" t="s">
        <v>53</v>
      </c>
      <c r="B52" s="12">
        <v>1263.5999999999999</v>
      </c>
      <c r="C52" s="3" t="s">
        <v>70</v>
      </c>
      <c r="D52" s="3" t="s">
        <v>176</v>
      </c>
      <c r="E52">
        <f t="shared" si="0"/>
        <v>2114.3000000000002</v>
      </c>
    </row>
    <row r="53" spans="1:5">
      <c r="A53" s="14" t="s">
        <v>172</v>
      </c>
      <c r="B53" s="14">
        <v>9937.5</v>
      </c>
      <c r="C53" s="4" t="s">
        <v>65</v>
      </c>
      <c r="D53" s="4" t="s">
        <v>63</v>
      </c>
      <c r="E53">
        <f t="shared" si="0"/>
        <v>10825.8</v>
      </c>
    </row>
    <row r="54" spans="1:5">
      <c r="A54" s="12" t="s">
        <v>172</v>
      </c>
      <c r="B54" s="12">
        <v>8136.3</v>
      </c>
      <c r="C54" s="3" t="s">
        <v>53</v>
      </c>
      <c r="D54" s="3" t="s">
        <v>24</v>
      </c>
      <c r="E54">
        <f t="shared" si="0"/>
        <v>3512.1</v>
      </c>
    </row>
    <row r="55" spans="1:5">
      <c r="A55" s="14" t="s">
        <v>32</v>
      </c>
      <c r="B55" s="14">
        <v>11014.5</v>
      </c>
      <c r="C55" s="4" t="s">
        <v>214</v>
      </c>
      <c r="D55" s="4" t="s">
        <v>176</v>
      </c>
      <c r="E55">
        <f t="shared" si="0"/>
        <v>5050.3</v>
      </c>
    </row>
    <row r="56" spans="1:5">
      <c r="A56" s="12" t="s">
        <v>149</v>
      </c>
      <c r="B56" s="12">
        <v>6364.8</v>
      </c>
      <c r="C56" s="3" t="s">
        <v>70</v>
      </c>
      <c r="D56" s="3" t="s">
        <v>39</v>
      </c>
      <c r="E56">
        <f t="shared" si="0"/>
        <v>2114.3000000000002</v>
      </c>
    </row>
    <row r="57" spans="1:5">
      <c r="A57" s="14" t="s">
        <v>18</v>
      </c>
      <c r="B57" s="14">
        <v>22353.9</v>
      </c>
      <c r="C57" s="4" t="s">
        <v>75</v>
      </c>
      <c r="D57" s="4" t="s">
        <v>39</v>
      </c>
      <c r="E57">
        <f t="shared" si="0"/>
        <v>1820.4</v>
      </c>
    </row>
    <row r="58" spans="1:5">
      <c r="A58" s="12" t="s">
        <v>214</v>
      </c>
      <c r="B58" s="12">
        <v>5178.8999999999996</v>
      </c>
      <c r="C58" s="3" t="s">
        <v>172</v>
      </c>
      <c r="D58" s="3" t="s">
        <v>118</v>
      </c>
      <c r="E58">
        <f t="shared" si="0"/>
        <v>7765.2</v>
      </c>
    </row>
    <row r="59" spans="1:5">
      <c r="A59" s="14" t="s">
        <v>26</v>
      </c>
      <c r="B59" s="14">
        <v>9223.2999999999993</v>
      </c>
      <c r="C59" s="4" t="s">
        <v>53</v>
      </c>
      <c r="D59" s="4" t="s">
        <v>118</v>
      </c>
      <c r="E59">
        <f t="shared" si="0"/>
        <v>3512.1</v>
      </c>
    </row>
    <row r="60" spans="1:5">
      <c r="A60" s="12" t="s">
        <v>114</v>
      </c>
      <c r="B60" s="12">
        <v>19881.3</v>
      </c>
      <c r="C60" s="3" t="s">
        <v>149</v>
      </c>
      <c r="D60" s="3" t="s">
        <v>118</v>
      </c>
      <c r="E60">
        <f t="shared" si="0"/>
        <v>5854.7</v>
      </c>
    </row>
    <row r="61" spans="1:5">
      <c r="A61" s="14" t="s">
        <v>149</v>
      </c>
      <c r="B61" s="14">
        <v>7864.1</v>
      </c>
      <c r="C61" s="4" t="s">
        <v>18</v>
      </c>
      <c r="D61" s="4" t="s">
        <v>257</v>
      </c>
      <c r="E61">
        <f t="shared" si="0"/>
        <v>8129.3</v>
      </c>
    </row>
    <row r="62" spans="1:5">
      <c r="A62" s="12" t="s">
        <v>214</v>
      </c>
      <c r="B62" s="12">
        <v>10432.5</v>
      </c>
      <c r="C62" s="3" t="s">
        <v>26</v>
      </c>
      <c r="D62" s="3" t="s">
        <v>63</v>
      </c>
      <c r="E62">
        <f t="shared" si="0"/>
        <v>5174.3</v>
      </c>
    </row>
    <row r="63" spans="1:5">
      <c r="A63" s="14" t="s">
        <v>114</v>
      </c>
      <c r="B63" s="14">
        <v>2207.1999999999998</v>
      </c>
      <c r="C63" s="4" t="s">
        <v>46</v>
      </c>
      <c r="D63" s="4" t="s">
        <v>16</v>
      </c>
      <c r="E63">
        <f t="shared" si="0"/>
        <v>17402.8</v>
      </c>
    </row>
    <row r="64" spans="1:5">
      <c r="A64" s="12" t="s">
        <v>214</v>
      </c>
      <c r="B64" s="12">
        <v>10283.299999999999</v>
      </c>
      <c r="C64" s="3" t="s">
        <v>26</v>
      </c>
      <c r="D64" s="3" t="s">
        <v>176</v>
      </c>
      <c r="E64">
        <f t="shared" si="0"/>
        <v>5174.3</v>
      </c>
    </row>
    <row r="65" spans="1:5">
      <c r="A65" s="14" t="s">
        <v>149</v>
      </c>
      <c r="B65" s="14">
        <v>15240.3</v>
      </c>
      <c r="C65" s="4" t="s">
        <v>26</v>
      </c>
      <c r="D65" s="4" t="s">
        <v>39</v>
      </c>
      <c r="E65">
        <f t="shared" si="0"/>
        <v>5174.3</v>
      </c>
    </row>
    <row r="66" spans="1:5">
      <c r="A66" s="12" t="s">
        <v>75</v>
      </c>
      <c r="B66" s="12">
        <v>5475.2</v>
      </c>
      <c r="C66" s="3" t="s">
        <v>46</v>
      </c>
      <c r="D66" s="3" t="s">
        <v>24</v>
      </c>
      <c r="E66">
        <f t="shared" si="0"/>
        <v>17402.8</v>
      </c>
    </row>
    <row r="67" spans="1:5">
      <c r="A67" s="14" t="s">
        <v>65</v>
      </c>
      <c r="B67" s="14">
        <v>6868.9</v>
      </c>
      <c r="C67" s="4" t="s">
        <v>18</v>
      </c>
      <c r="D67" s="4" t="s">
        <v>24</v>
      </c>
      <c r="E67">
        <f t="shared" ref="E67:E130" si="1">VLOOKUP(C67,$A$2:$B$201,2,FALSE)</f>
        <v>8129.3</v>
      </c>
    </row>
    <row r="68" spans="1:5">
      <c r="A68" s="12" t="s">
        <v>18</v>
      </c>
      <c r="B68" s="12">
        <v>6049.2</v>
      </c>
      <c r="C68" s="3" t="s">
        <v>75</v>
      </c>
      <c r="D68" s="3" t="s">
        <v>51</v>
      </c>
      <c r="E68">
        <f t="shared" si="1"/>
        <v>1820.4</v>
      </c>
    </row>
    <row r="69" spans="1:5">
      <c r="A69" s="14" t="s">
        <v>214</v>
      </c>
      <c r="B69" s="14">
        <v>2705.9</v>
      </c>
      <c r="C69" s="4" t="s">
        <v>53</v>
      </c>
      <c r="D69" s="4" t="s">
        <v>24</v>
      </c>
      <c r="E69">
        <f t="shared" si="1"/>
        <v>3512.1</v>
      </c>
    </row>
    <row r="70" spans="1:5">
      <c r="A70" s="12" t="s">
        <v>149</v>
      </c>
      <c r="B70" s="12">
        <v>2185</v>
      </c>
      <c r="C70" s="3" t="s">
        <v>214</v>
      </c>
      <c r="D70" s="3" t="s">
        <v>24</v>
      </c>
      <c r="E70">
        <f t="shared" si="1"/>
        <v>5050.3</v>
      </c>
    </row>
    <row r="71" spans="1:5">
      <c r="A71" s="14" t="s">
        <v>26</v>
      </c>
      <c r="B71" s="14">
        <v>15758.1</v>
      </c>
      <c r="C71" s="4" t="s">
        <v>214</v>
      </c>
      <c r="D71" s="4" t="s">
        <v>176</v>
      </c>
      <c r="E71">
        <f t="shared" si="1"/>
        <v>5050.3</v>
      </c>
    </row>
    <row r="72" spans="1:5">
      <c r="A72" s="12" t="s">
        <v>26</v>
      </c>
      <c r="B72" s="12">
        <v>3608</v>
      </c>
      <c r="C72" s="3" t="s">
        <v>18</v>
      </c>
      <c r="D72" s="3" t="s">
        <v>118</v>
      </c>
      <c r="E72">
        <f t="shared" si="1"/>
        <v>8129.3</v>
      </c>
    </row>
    <row r="73" spans="1:5">
      <c r="A73" s="14" t="s">
        <v>46</v>
      </c>
      <c r="B73" s="14">
        <v>1332.1</v>
      </c>
      <c r="C73" s="4" t="s">
        <v>26</v>
      </c>
      <c r="D73" s="4" t="s">
        <v>24</v>
      </c>
      <c r="E73">
        <f t="shared" si="1"/>
        <v>5174.3</v>
      </c>
    </row>
    <row r="74" spans="1:5">
      <c r="A74" s="12" t="s">
        <v>114</v>
      </c>
      <c r="B74" s="12">
        <v>1401.9</v>
      </c>
      <c r="C74" s="3" t="s">
        <v>46</v>
      </c>
      <c r="D74" s="3" t="s">
        <v>84</v>
      </c>
      <c r="E74">
        <f t="shared" si="1"/>
        <v>17402.8</v>
      </c>
    </row>
    <row r="75" spans="1:5">
      <c r="A75" s="14" t="s">
        <v>65</v>
      </c>
      <c r="B75" s="14">
        <v>2063.6</v>
      </c>
      <c r="C75" s="4" t="s">
        <v>70</v>
      </c>
      <c r="D75" s="4" t="s">
        <v>63</v>
      </c>
      <c r="E75">
        <f t="shared" si="1"/>
        <v>2114.3000000000002</v>
      </c>
    </row>
    <row r="76" spans="1:5">
      <c r="A76" s="12" t="s">
        <v>53</v>
      </c>
      <c r="B76" s="12">
        <v>1618.2</v>
      </c>
      <c r="C76" s="3" t="s">
        <v>149</v>
      </c>
      <c r="D76" s="3" t="s">
        <v>301</v>
      </c>
      <c r="E76">
        <f t="shared" si="1"/>
        <v>5854.7</v>
      </c>
    </row>
    <row r="77" spans="1:5">
      <c r="A77" s="14" t="s">
        <v>46</v>
      </c>
      <c r="B77" s="14">
        <v>3067.1</v>
      </c>
      <c r="C77" s="4" t="s">
        <v>26</v>
      </c>
      <c r="D77" s="4" t="s">
        <v>118</v>
      </c>
      <c r="E77">
        <f t="shared" si="1"/>
        <v>5174.3</v>
      </c>
    </row>
    <row r="78" spans="1:5">
      <c r="A78" s="12" t="s">
        <v>65</v>
      </c>
      <c r="B78" s="12">
        <v>12786.7</v>
      </c>
      <c r="C78" s="3" t="s">
        <v>26</v>
      </c>
      <c r="D78" s="3" t="s">
        <v>51</v>
      </c>
      <c r="E78">
        <f t="shared" si="1"/>
        <v>5174.3</v>
      </c>
    </row>
    <row r="79" spans="1:5">
      <c r="A79" s="14" t="s">
        <v>26</v>
      </c>
      <c r="B79" s="14">
        <v>958.7</v>
      </c>
      <c r="C79" s="4" t="s">
        <v>214</v>
      </c>
      <c r="D79" s="4" t="s">
        <v>39</v>
      </c>
      <c r="E79">
        <f t="shared" si="1"/>
        <v>5050.3</v>
      </c>
    </row>
    <row r="80" spans="1:5">
      <c r="A80" s="12" t="s">
        <v>26</v>
      </c>
      <c r="B80" s="12">
        <v>4573.3999999999996</v>
      </c>
      <c r="C80" s="3" t="s">
        <v>75</v>
      </c>
      <c r="D80" s="3" t="s">
        <v>51</v>
      </c>
      <c r="E80">
        <f t="shared" si="1"/>
        <v>1820.4</v>
      </c>
    </row>
    <row r="81" spans="1:5">
      <c r="A81" s="14" t="s">
        <v>75</v>
      </c>
      <c r="B81" s="14">
        <v>1974.4</v>
      </c>
      <c r="C81" s="4" t="s">
        <v>172</v>
      </c>
      <c r="D81" s="4" t="s">
        <v>24</v>
      </c>
      <c r="E81">
        <f t="shared" si="1"/>
        <v>7765.2</v>
      </c>
    </row>
    <row r="82" spans="1:5">
      <c r="A82" s="12" t="s">
        <v>32</v>
      </c>
      <c r="B82" s="12">
        <v>1919</v>
      </c>
      <c r="C82" s="3" t="s">
        <v>149</v>
      </c>
      <c r="D82" s="3" t="s">
        <v>89</v>
      </c>
      <c r="E82">
        <f t="shared" si="1"/>
        <v>5854.7</v>
      </c>
    </row>
    <row r="83" spans="1:5">
      <c r="A83" s="14" t="s">
        <v>149</v>
      </c>
      <c r="B83" s="14">
        <v>19607.099999999999</v>
      </c>
      <c r="C83" s="4" t="s">
        <v>26</v>
      </c>
      <c r="D83" s="4" t="s">
        <v>39</v>
      </c>
      <c r="E83">
        <f t="shared" si="1"/>
        <v>5174.3</v>
      </c>
    </row>
    <row r="84" spans="1:5">
      <c r="A84" s="12" t="s">
        <v>18</v>
      </c>
      <c r="B84" s="12">
        <v>7278.4</v>
      </c>
      <c r="C84" s="3" t="s">
        <v>75</v>
      </c>
      <c r="D84" s="3" t="s">
        <v>133</v>
      </c>
      <c r="E84">
        <f t="shared" si="1"/>
        <v>1820.4</v>
      </c>
    </row>
    <row r="85" spans="1:5">
      <c r="A85" s="14" t="s">
        <v>214</v>
      </c>
      <c r="B85" s="14">
        <v>7185.2</v>
      </c>
      <c r="C85" s="4" t="s">
        <v>214</v>
      </c>
      <c r="D85" s="4" t="s">
        <v>39</v>
      </c>
      <c r="E85">
        <f t="shared" si="1"/>
        <v>5050.3</v>
      </c>
    </row>
    <row r="86" spans="1:5">
      <c r="A86" s="12" t="s">
        <v>32</v>
      </c>
      <c r="B86" s="12">
        <v>1009.2</v>
      </c>
      <c r="C86" s="3" t="s">
        <v>114</v>
      </c>
      <c r="D86" s="3" t="s">
        <v>16</v>
      </c>
      <c r="E86">
        <f t="shared" si="1"/>
        <v>10820.4</v>
      </c>
    </row>
    <row r="87" spans="1:5">
      <c r="A87" s="14" t="s">
        <v>32</v>
      </c>
      <c r="B87" s="14">
        <v>7811.8</v>
      </c>
      <c r="C87" s="4" t="s">
        <v>32</v>
      </c>
      <c r="D87" s="4" t="s">
        <v>24</v>
      </c>
      <c r="E87">
        <f t="shared" si="1"/>
        <v>1605.8</v>
      </c>
    </row>
    <row r="88" spans="1:5">
      <c r="A88" s="12" t="s">
        <v>75</v>
      </c>
      <c r="B88" s="12">
        <v>10552.9</v>
      </c>
      <c r="C88" s="3" t="s">
        <v>26</v>
      </c>
      <c r="D88" s="3" t="s">
        <v>16</v>
      </c>
      <c r="E88">
        <f t="shared" si="1"/>
        <v>5174.3</v>
      </c>
    </row>
    <row r="89" spans="1:5">
      <c r="A89" s="14" t="s">
        <v>53</v>
      </c>
      <c r="B89" s="14">
        <v>12241.3</v>
      </c>
      <c r="C89" s="4" t="s">
        <v>172</v>
      </c>
      <c r="D89" s="4" t="s">
        <v>63</v>
      </c>
      <c r="E89">
        <f t="shared" si="1"/>
        <v>7765.2</v>
      </c>
    </row>
    <row r="90" spans="1:5">
      <c r="A90" s="12" t="s">
        <v>65</v>
      </c>
      <c r="B90" s="12">
        <v>5721.7</v>
      </c>
      <c r="C90" s="3" t="s">
        <v>32</v>
      </c>
      <c r="D90" s="3" t="s">
        <v>89</v>
      </c>
      <c r="E90">
        <f t="shared" si="1"/>
        <v>1605.8</v>
      </c>
    </row>
    <row r="91" spans="1:5">
      <c r="A91" s="14" t="s">
        <v>75</v>
      </c>
      <c r="B91" s="14">
        <v>16468.599999999999</v>
      </c>
      <c r="C91" s="4" t="s">
        <v>18</v>
      </c>
      <c r="D91" s="4" t="s">
        <v>84</v>
      </c>
      <c r="E91">
        <f t="shared" si="1"/>
        <v>8129.3</v>
      </c>
    </row>
    <row r="92" spans="1:5">
      <c r="A92" s="12" t="s">
        <v>65</v>
      </c>
      <c r="B92" s="12">
        <v>1861.2</v>
      </c>
      <c r="C92" s="3" t="s">
        <v>214</v>
      </c>
      <c r="D92" s="3" t="s">
        <v>51</v>
      </c>
      <c r="E92">
        <f t="shared" si="1"/>
        <v>5050.3</v>
      </c>
    </row>
    <row r="93" spans="1:5">
      <c r="A93" s="14" t="s">
        <v>46</v>
      </c>
      <c r="B93" s="14">
        <v>6691.3</v>
      </c>
      <c r="C93" s="4" t="s">
        <v>53</v>
      </c>
      <c r="D93" s="4" t="s">
        <v>51</v>
      </c>
      <c r="E93">
        <f t="shared" si="1"/>
        <v>3512.1</v>
      </c>
    </row>
    <row r="94" spans="1:5">
      <c r="A94" s="12" t="s">
        <v>70</v>
      </c>
      <c r="B94" s="12">
        <v>3766.2</v>
      </c>
      <c r="C94" s="3" t="s">
        <v>32</v>
      </c>
      <c r="D94" s="3" t="s">
        <v>24</v>
      </c>
      <c r="E94">
        <f t="shared" si="1"/>
        <v>1605.8</v>
      </c>
    </row>
    <row r="95" spans="1:5">
      <c r="A95" s="14" t="s">
        <v>26</v>
      </c>
      <c r="B95" s="14">
        <v>1143.3</v>
      </c>
      <c r="C95" s="4" t="s">
        <v>53</v>
      </c>
      <c r="D95" s="4" t="s">
        <v>63</v>
      </c>
      <c r="E95">
        <f t="shared" si="1"/>
        <v>3512.1</v>
      </c>
    </row>
    <row r="96" spans="1:5">
      <c r="A96" s="12" t="s">
        <v>149</v>
      </c>
      <c r="B96" s="12">
        <v>2681.8</v>
      </c>
      <c r="C96" s="3" t="s">
        <v>172</v>
      </c>
      <c r="D96" s="3" t="s">
        <v>16</v>
      </c>
      <c r="E96">
        <f t="shared" si="1"/>
        <v>7765.2</v>
      </c>
    </row>
    <row r="97" spans="1:5">
      <c r="A97" s="14" t="s">
        <v>149</v>
      </c>
      <c r="B97" s="14">
        <v>7065.2</v>
      </c>
      <c r="C97" s="4" t="s">
        <v>18</v>
      </c>
      <c r="D97" s="4" t="s">
        <v>176</v>
      </c>
      <c r="E97">
        <f t="shared" si="1"/>
        <v>8129.3</v>
      </c>
    </row>
    <row r="98" spans="1:5">
      <c r="A98" s="12" t="s">
        <v>46</v>
      </c>
      <c r="B98" s="12">
        <v>3493</v>
      </c>
      <c r="C98" s="3" t="s">
        <v>26</v>
      </c>
      <c r="D98" s="3" t="s">
        <v>118</v>
      </c>
      <c r="E98">
        <f t="shared" si="1"/>
        <v>5174.3</v>
      </c>
    </row>
    <row r="99" spans="1:5">
      <c r="A99" s="14" t="s">
        <v>46</v>
      </c>
      <c r="B99" s="14">
        <v>2200.8000000000002</v>
      </c>
      <c r="C99" s="4" t="s">
        <v>26</v>
      </c>
      <c r="D99" s="4" t="s">
        <v>51</v>
      </c>
      <c r="E99">
        <f t="shared" si="1"/>
        <v>5174.3</v>
      </c>
    </row>
    <row r="100" spans="1:5">
      <c r="A100" s="12" t="s">
        <v>114</v>
      </c>
      <c r="B100" s="12">
        <v>7702.7</v>
      </c>
      <c r="C100" s="3" t="s">
        <v>32</v>
      </c>
      <c r="D100" s="3" t="s">
        <v>51</v>
      </c>
      <c r="E100">
        <f t="shared" si="1"/>
        <v>1605.8</v>
      </c>
    </row>
    <row r="101" spans="1:5">
      <c r="A101" s="14" t="s">
        <v>114</v>
      </c>
      <c r="B101" s="14">
        <v>3896.9</v>
      </c>
      <c r="C101" s="4" t="s">
        <v>32</v>
      </c>
      <c r="D101" s="4" t="s">
        <v>24</v>
      </c>
      <c r="E101">
        <f t="shared" si="1"/>
        <v>1605.8</v>
      </c>
    </row>
    <row r="102" spans="1:5">
      <c r="A102" s="12" t="s">
        <v>214</v>
      </c>
      <c r="B102" s="12">
        <v>5896.4</v>
      </c>
      <c r="C102" s="3" t="s">
        <v>149</v>
      </c>
      <c r="D102" s="3" t="s">
        <v>39</v>
      </c>
      <c r="E102">
        <f t="shared" si="1"/>
        <v>5854.7</v>
      </c>
    </row>
    <row r="103" spans="1:5">
      <c r="A103" s="14" t="s">
        <v>114</v>
      </c>
      <c r="B103" s="14">
        <v>1925.3</v>
      </c>
      <c r="C103" s="4" t="s">
        <v>70</v>
      </c>
      <c r="D103" s="4" t="s">
        <v>89</v>
      </c>
      <c r="E103">
        <f t="shared" si="1"/>
        <v>2114.3000000000002</v>
      </c>
    </row>
    <row r="104" spans="1:5">
      <c r="A104" s="12" t="s">
        <v>46</v>
      </c>
      <c r="B104" s="12">
        <v>1338.7</v>
      </c>
      <c r="C104" s="3" t="s">
        <v>32</v>
      </c>
      <c r="D104" s="3" t="s">
        <v>39</v>
      </c>
      <c r="E104">
        <f t="shared" si="1"/>
        <v>1605.8</v>
      </c>
    </row>
    <row r="105" spans="1:5">
      <c r="A105" s="14" t="s">
        <v>214</v>
      </c>
      <c r="B105" s="14">
        <v>5248.8</v>
      </c>
      <c r="C105" s="4" t="s">
        <v>214</v>
      </c>
      <c r="D105" s="4" t="s">
        <v>133</v>
      </c>
      <c r="E105">
        <f t="shared" si="1"/>
        <v>5050.3</v>
      </c>
    </row>
    <row r="106" spans="1:5">
      <c r="A106" s="12" t="s">
        <v>114</v>
      </c>
      <c r="B106" s="12">
        <v>13650</v>
      </c>
      <c r="C106" s="3" t="s">
        <v>32</v>
      </c>
      <c r="D106" s="3" t="s">
        <v>84</v>
      </c>
      <c r="E106">
        <f t="shared" si="1"/>
        <v>1605.8</v>
      </c>
    </row>
    <row r="107" spans="1:5">
      <c r="A107" s="14" t="s">
        <v>70</v>
      </c>
      <c r="B107" s="14">
        <v>8369.7999999999993</v>
      </c>
      <c r="C107" s="4" t="s">
        <v>75</v>
      </c>
      <c r="D107" s="4" t="s">
        <v>39</v>
      </c>
      <c r="E107">
        <f t="shared" si="1"/>
        <v>1820.4</v>
      </c>
    </row>
    <row r="108" spans="1:5">
      <c r="A108" s="12" t="s">
        <v>26</v>
      </c>
      <c r="B108" s="12">
        <v>9902</v>
      </c>
      <c r="C108" s="3" t="s">
        <v>46</v>
      </c>
      <c r="D108" s="3" t="s">
        <v>24</v>
      </c>
      <c r="E108">
        <f t="shared" si="1"/>
        <v>17402.8</v>
      </c>
    </row>
    <row r="109" spans="1:5">
      <c r="A109" s="14" t="s">
        <v>75</v>
      </c>
      <c r="B109" s="14">
        <v>1671.6</v>
      </c>
      <c r="C109" s="4" t="s">
        <v>46</v>
      </c>
      <c r="D109" s="4" t="s">
        <v>176</v>
      </c>
      <c r="E109">
        <f t="shared" si="1"/>
        <v>17402.8</v>
      </c>
    </row>
    <row r="110" spans="1:5">
      <c r="A110" s="12" t="s">
        <v>32</v>
      </c>
      <c r="B110" s="12">
        <v>6189.9</v>
      </c>
      <c r="C110" s="3" t="s">
        <v>70</v>
      </c>
      <c r="D110" s="3" t="s">
        <v>176</v>
      </c>
      <c r="E110">
        <f t="shared" si="1"/>
        <v>2114.3000000000002</v>
      </c>
    </row>
    <row r="111" spans="1:5">
      <c r="A111" s="14" t="s">
        <v>172</v>
      </c>
      <c r="B111" s="14">
        <v>8648.4</v>
      </c>
      <c r="C111" s="4" t="s">
        <v>214</v>
      </c>
      <c r="D111" s="4" t="s">
        <v>133</v>
      </c>
      <c r="E111">
        <f t="shared" si="1"/>
        <v>5050.3</v>
      </c>
    </row>
    <row r="112" spans="1:5">
      <c r="A112" s="12" t="s">
        <v>65</v>
      </c>
      <c r="B112" s="12">
        <v>1659.4</v>
      </c>
      <c r="C112" s="3" t="s">
        <v>70</v>
      </c>
      <c r="D112" s="3" t="s">
        <v>118</v>
      </c>
      <c r="E112">
        <f t="shared" si="1"/>
        <v>2114.3000000000002</v>
      </c>
    </row>
    <row r="113" spans="1:5">
      <c r="A113" s="14" t="s">
        <v>114</v>
      </c>
      <c r="B113" s="14">
        <v>7624.9</v>
      </c>
      <c r="C113" s="4" t="s">
        <v>114</v>
      </c>
      <c r="D113" s="4" t="s">
        <v>51</v>
      </c>
      <c r="E113">
        <f t="shared" si="1"/>
        <v>10820.4</v>
      </c>
    </row>
    <row r="114" spans="1:5">
      <c r="A114" s="12" t="s">
        <v>70</v>
      </c>
      <c r="B114" s="12">
        <v>9179.5</v>
      </c>
      <c r="C114" s="3" t="s">
        <v>46</v>
      </c>
      <c r="D114" s="3" t="s">
        <v>118</v>
      </c>
      <c r="E114">
        <f t="shared" si="1"/>
        <v>17402.8</v>
      </c>
    </row>
    <row r="115" spans="1:5">
      <c r="A115" s="14" t="s">
        <v>26</v>
      </c>
      <c r="B115" s="14">
        <v>6247.9</v>
      </c>
      <c r="C115" s="4" t="s">
        <v>65</v>
      </c>
      <c r="D115" s="4" t="s">
        <v>51</v>
      </c>
      <c r="E115">
        <f t="shared" si="1"/>
        <v>10825.8</v>
      </c>
    </row>
    <row r="116" spans="1:5">
      <c r="A116" s="12" t="s">
        <v>53</v>
      </c>
      <c r="B116" s="12">
        <v>1994.5</v>
      </c>
      <c r="C116" s="3" t="s">
        <v>26</v>
      </c>
      <c r="D116" s="3" t="s">
        <v>410</v>
      </c>
      <c r="E116">
        <f t="shared" si="1"/>
        <v>5174.3</v>
      </c>
    </row>
    <row r="117" spans="1:5">
      <c r="A117" s="14" t="s">
        <v>149</v>
      </c>
      <c r="B117" s="14">
        <v>5020.3999999999996</v>
      </c>
      <c r="C117" s="4" t="s">
        <v>214</v>
      </c>
      <c r="D117" s="4" t="s">
        <v>414</v>
      </c>
      <c r="E117">
        <f t="shared" si="1"/>
        <v>5050.3</v>
      </c>
    </row>
    <row r="118" spans="1:5">
      <c r="A118" s="12" t="s">
        <v>214</v>
      </c>
      <c r="B118" s="12">
        <v>5901.1</v>
      </c>
      <c r="C118" s="3" t="s">
        <v>214</v>
      </c>
      <c r="D118" s="3" t="s">
        <v>24</v>
      </c>
      <c r="E118">
        <f t="shared" si="1"/>
        <v>5050.3</v>
      </c>
    </row>
    <row r="119" spans="1:5">
      <c r="A119" s="14" t="s">
        <v>18</v>
      </c>
      <c r="B119" s="14">
        <v>3701</v>
      </c>
      <c r="C119" s="4" t="s">
        <v>75</v>
      </c>
      <c r="D119" s="4" t="s">
        <v>84</v>
      </c>
      <c r="E119">
        <f t="shared" si="1"/>
        <v>1820.4</v>
      </c>
    </row>
    <row r="120" spans="1:5">
      <c r="A120" s="12" t="s">
        <v>26</v>
      </c>
      <c r="B120" s="12">
        <v>5366.6</v>
      </c>
      <c r="C120" s="3" t="s">
        <v>114</v>
      </c>
      <c r="D120" s="3" t="s">
        <v>51</v>
      </c>
      <c r="E120">
        <f t="shared" si="1"/>
        <v>10820.4</v>
      </c>
    </row>
    <row r="121" spans="1:5">
      <c r="A121" s="14" t="s">
        <v>114</v>
      </c>
      <c r="B121" s="14">
        <v>4639.5</v>
      </c>
      <c r="C121" s="4" t="s">
        <v>70</v>
      </c>
      <c r="D121" s="4" t="s">
        <v>24</v>
      </c>
      <c r="E121">
        <f t="shared" si="1"/>
        <v>2114.3000000000002</v>
      </c>
    </row>
    <row r="122" spans="1:5">
      <c r="A122" s="12" t="s">
        <v>32</v>
      </c>
      <c r="B122" s="12">
        <v>3585.9</v>
      </c>
      <c r="C122" s="3" t="s">
        <v>75</v>
      </c>
      <c r="D122" s="3" t="s">
        <v>118</v>
      </c>
      <c r="E122">
        <f t="shared" si="1"/>
        <v>1820.4</v>
      </c>
    </row>
    <row r="123" spans="1:5">
      <c r="A123" s="14" t="s">
        <v>53</v>
      </c>
      <c r="B123" s="14">
        <v>6090.8</v>
      </c>
      <c r="C123" s="4" t="s">
        <v>214</v>
      </c>
      <c r="D123" s="4" t="s">
        <v>118</v>
      </c>
      <c r="E123">
        <f t="shared" si="1"/>
        <v>5050.3</v>
      </c>
    </row>
    <row r="124" spans="1:5">
      <c r="A124" s="12" t="s">
        <v>65</v>
      </c>
      <c r="B124" s="12">
        <v>10416.200000000001</v>
      </c>
      <c r="C124" s="3" t="s">
        <v>65</v>
      </c>
      <c r="D124" s="3" t="s">
        <v>89</v>
      </c>
      <c r="E124">
        <f t="shared" si="1"/>
        <v>10825.8</v>
      </c>
    </row>
    <row r="125" spans="1:5">
      <c r="A125" s="14" t="s">
        <v>46</v>
      </c>
      <c r="B125" s="14">
        <v>16247.1</v>
      </c>
      <c r="C125" s="4" t="s">
        <v>149</v>
      </c>
      <c r="D125" s="4" t="s">
        <v>176</v>
      </c>
      <c r="E125">
        <f t="shared" si="1"/>
        <v>5854.7</v>
      </c>
    </row>
    <row r="126" spans="1:5">
      <c r="A126" s="12" t="s">
        <v>53</v>
      </c>
      <c r="B126" s="12">
        <v>10658</v>
      </c>
      <c r="C126" s="3" t="s">
        <v>53</v>
      </c>
      <c r="D126" s="3" t="s">
        <v>118</v>
      </c>
      <c r="E126">
        <f t="shared" si="1"/>
        <v>3512.1</v>
      </c>
    </row>
    <row r="127" spans="1:5">
      <c r="A127" s="14" t="s">
        <v>114</v>
      </c>
      <c r="B127" s="14">
        <v>5046.6000000000004</v>
      </c>
      <c r="C127" s="4" t="s">
        <v>26</v>
      </c>
      <c r="D127" s="4" t="s">
        <v>118</v>
      </c>
      <c r="E127">
        <f t="shared" si="1"/>
        <v>5174.3</v>
      </c>
    </row>
    <row r="128" spans="1:5">
      <c r="A128" s="12" t="s">
        <v>114</v>
      </c>
      <c r="B128" s="12">
        <v>3057</v>
      </c>
      <c r="C128" s="3" t="s">
        <v>70</v>
      </c>
      <c r="D128" s="3" t="s">
        <v>39</v>
      </c>
      <c r="E128">
        <f t="shared" si="1"/>
        <v>2114.3000000000002</v>
      </c>
    </row>
    <row r="129" spans="1:5">
      <c r="A129" s="14" t="s">
        <v>53</v>
      </c>
      <c r="B129" s="14">
        <v>11593.6</v>
      </c>
      <c r="C129" s="4" t="s">
        <v>114</v>
      </c>
      <c r="D129" s="4" t="s">
        <v>118</v>
      </c>
      <c r="E129">
        <f t="shared" si="1"/>
        <v>10820.4</v>
      </c>
    </row>
    <row r="130" spans="1:5">
      <c r="A130" s="12" t="s">
        <v>65</v>
      </c>
      <c r="B130" s="12">
        <v>7781.9</v>
      </c>
      <c r="C130" s="3" t="s">
        <v>46</v>
      </c>
      <c r="D130" s="3" t="s">
        <v>89</v>
      </c>
      <c r="E130">
        <f t="shared" si="1"/>
        <v>17402.8</v>
      </c>
    </row>
    <row r="131" spans="1:5">
      <c r="A131" s="14" t="s">
        <v>32</v>
      </c>
      <c r="B131" s="14">
        <v>14345.8</v>
      </c>
      <c r="C131" s="4" t="s">
        <v>149</v>
      </c>
      <c r="D131" s="4" t="s">
        <v>176</v>
      </c>
      <c r="E131">
        <f t="shared" ref="E131:E194" si="2">VLOOKUP(C131,$A$2:$B$201,2,FALSE)</f>
        <v>5854.7</v>
      </c>
    </row>
    <row r="132" spans="1:5">
      <c r="A132" s="12" t="s">
        <v>70</v>
      </c>
      <c r="B132" s="12">
        <v>12944.8</v>
      </c>
      <c r="C132" s="3" t="s">
        <v>32</v>
      </c>
      <c r="D132" s="3" t="s">
        <v>118</v>
      </c>
      <c r="E132">
        <f t="shared" si="2"/>
        <v>1605.8</v>
      </c>
    </row>
    <row r="133" spans="1:5">
      <c r="A133" s="14" t="s">
        <v>70</v>
      </c>
      <c r="B133" s="14">
        <v>2079.6999999999998</v>
      </c>
      <c r="C133" s="4" t="s">
        <v>149</v>
      </c>
      <c r="D133" s="4" t="s">
        <v>24</v>
      </c>
      <c r="E133">
        <f t="shared" si="2"/>
        <v>5854.7</v>
      </c>
    </row>
    <row r="134" spans="1:5">
      <c r="A134" s="12" t="s">
        <v>53</v>
      </c>
      <c r="B134" s="12">
        <v>8287.7999999999993</v>
      </c>
      <c r="C134" s="3" t="s">
        <v>18</v>
      </c>
      <c r="D134" s="3" t="s">
        <v>118</v>
      </c>
      <c r="E134">
        <f t="shared" si="2"/>
        <v>8129.3</v>
      </c>
    </row>
    <row r="135" spans="1:5">
      <c r="A135" s="14" t="s">
        <v>114</v>
      </c>
      <c r="B135" s="14">
        <v>3934.6</v>
      </c>
      <c r="C135" s="4" t="s">
        <v>53</v>
      </c>
      <c r="D135" s="4" t="s">
        <v>133</v>
      </c>
      <c r="E135">
        <f t="shared" si="2"/>
        <v>3512.1</v>
      </c>
    </row>
    <row r="136" spans="1:5">
      <c r="A136" s="12" t="s">
        <v>75</v>
      </c>
      <c r="B136" s="12">
        <v>1512</v>
      </c>
      <c r="C136" s="3" t="s">
        <v>46</v>
      </c>
      <c r="D136" s="3" t="s">
        <v>118</v>
      </c>
      <c r="E136">
        <f t="shared" si="2"/>
        <v>17402.8</v>
      </c>
    </row>
    <row r="137" spans="1:5">
      <c r="A137" s="14" t="s">
        <v>149</v>
      </c>
      <c r="B137" s="14">
        <v>2446.5</v>
      </c>
      <c r="C137" s="4" t="s">
        <v>172</v>
      </c>
      <c r="D137" s="4" t="s">
        <v>89</v>
      </c>
      <c r="E137">
        <f t="shared" si="2"/>
        <v>7765.2</v>
      </c>
    </row>
    <row r="138" spans="1:5">
      <c r="A138" s="12" t="s">
        <v>114</v>
      </c>
      <c r="B138" s="12">
        <v>2743.3</v>
      </c>
      <c r="C138" s="3" t="s">
        <v>149</v>
      </c>
      <c r="D138" s="3" t="s">
        <v>176</v>
      </c>
      <c r="E138">
        <f t="shared" si="2"/>
        <v>5854.7</v>
      </c>
    </row>
    <row r="139" spans="1:5">
      <c r="A139" s="14" t="s">
        <v>114</v>
      </c>
      <c r="B139" s="14">
        <v>8841.9</v>
      </c>
      <c r="C139" s="4" t="s">
        <v>18</v>
      </c>
      <c r="D139" s="4" t="s">
        <v>63</v>
      </c>
      <c r="E139">
        <f t="shared" si="2"/>
        <v>8129.3</v>
      </c>
    </row>
    <row r="140" spans="1:5">
      <c r="A140" s="12" t="s">
        <v>172</v>
      </c>
      <c r="B140" s="12">
        <v>8580</v>
      </c>
      <c r="C140" s="3" t="s">
        <v>114</v>
      </c>
      <c r="D140" s="3" t="s">
        <v>257</v>
      </c>
      <c r="E140">
        <f t="shared" si="2"/>
        <v>10820.4</v>
      </c>
    </row>
    <row r="141" spans="1:5">
      <c r="A141" s="14" t="s">
        <v>214</v>
      </c>
      <c r="B141" s="14">
        <v>5105.1000000000004</v>
      </c>
      <c r="C141" s="4" t="s">
        <v>114</v>
      </c>
      <c r="D141" s="4" t="s">
        <v>84</v>
      </c>
      <c r="E141">
        <f t="shared" si="2"/>
        <v>10820.4</v>
      </c>
    </row>
    <row r="142" spans="1:5">
      <c r="A142" s="12" t="s">
        <v>26</v>
      </c>
      <c r="B142" s="12">
        <v>17379.8</v>
      </c>
      <c r="C142" s="3" t="s">
        <v>149</v>
      </c>
      <c r="D142" s="3" t="s">
        <v>89</v>
      </c>
      <c r="E142">
        <f t="shared" si="2"/>
        <v>5854.7</v>
      </c>
    </row>
    <row r="143" spans="1:5">
      <c r="A143" s="14" t="s">
        <v>65</v>
      </c>
      <c r="B143" s="14">
        <v>13056.4</v>
      </c>
      <c r="C143" s="4" t="s">
        <v>70</v>
      </c>
      <c r="D143" s="4" t="s">
        <v>133</v>
      </c>
      <c r="E143">
        <f t="shared" si="2"/>
        <v>2114.3000000000002</v>
      </c>
    </row>
    <row r="144" spans="1:5">
      <c r="A144" s="12" t="s">
        <v>65</v>
      </c>
      <c r="B144" s="12">
        <v>2371.1999999999998</v>
      </c>
      <c r="C144" s="3" t="s">
        <v>46</v>
      </c>
      <c r="D144" s="3" t="s">
        <v>16</v>
      </c>
      <c r="E144">
        <f t="shared" si="2"/>
        <v>17402.8</v>
      </c>
    </row>
    <row r="145" spans="1:5">
      <c r="A145" s="14" t="s">
        <v>172</v>
      </c>
      <c r="B145" s="14">
        <v>17448.5</v>
      </c>
      <c r="C145" s="4" t="s">
        <v>26</v>
      </c>
      <c r="D145" s="4" t="s">
        <v>133</v>
      </c>
      <c r="E145">
        <f t="shared" si="2"/>
        <v>5174.3</v>
      </c>
    </row>
    <row r="146" spans="1:5">
      <c r="A146" s="12" t="s">
        <v>26</v>
      </c>
      <c r="B146" s="12">
        <v>6994.7</v>
      </c>
      <c r="C146" s="3" t="s">
        <v>114</v>
      </c>
      <c r="D146" s="3" t="s">
        <v>493</v>
      </c>
      <c r="E146">
        <f t="shared" si="2"/>
        <v>10820.4</v>
      </c>
    </row>
    <row r="147" spans="1:5">
      <c r="A147" s="14" t="s">
        <v>32</v>
      </c>
      <c r="B147" s="14">
        <v>7009.9</v>
      </c>
      <c r="C147" s="4" t="s">
        <v>114</v>
      </c>
      <c r="D147" s="4" t="s">
        <v>39</v>
      </c>
      <c r="E147">
        <f t="shared" si="2"/>
        <v>10820.4</v>
      </c>
    </row>
    <row r="148" spans="1:5">
      <c r="A148" s="12" t="s">
        <v>114</v>
      </c>
      <c r="B148" s="12">
        <v>6503.7</v>
      </c>
      <c r="C148" s="3" t="s">
        <v>53</v>
      </c>
      <c r="D148" s="3" t="s">
        <v>16</v>
      </c>
      <c r="E148">
        <f t="shared" si="2"/>
        <v>3512.1</v>
      </c>
    </row>
    <row r="149" spans="1:5">
      <c r="A149" s="14" t="s">
        <v>75</v>
      </c>
      <c r="B149" s="14">
        <v>3846.9</v>
      </c>
      <c r="C149" s="4" t="s">
        <v>26</v>
      </c>
      <c r="D149" s="4" t="s">
        <v>503</v>
      </c>
      <c r="E149">
        <f t="shared" si="2"/>
        <v>5174.3</v>
      </c>
    </row>
    <row r="150" spans="1:5">
      <c r="A150" s="12" t="s">
        <v>26</v>
      </c>
      <c r="B150" s="12">
        <v>7890.4</v>
      </c>
      <c r="C150" s="3" t="s">
        <v>32</v>
      </c>
      <c r="D150" s="3" t="s">
        <v>84</v>
      </c>
      <c r="E150">
        <f t="shared" si="2"/>
        <v>1605.8</v>
      </c>
    </row>
    <row r="151" spans="1:5">
      <c r="A151" s="14" t="s">
        <v>32</v>
      </c>
      <c r="B151" s="14">
        <v>7020.3</v>
      </c>
      <c r="C151" s="4" t="s">
        <v>18</v>
      </c>
      <c r="D151" s="4" t="s">
        <v>51</v>
      </c>
      <c r="E151">
        <f t="shared" si="2"/>
        <v>8129.3</v>
      </c>
    </row>
    <row r="152" spans="1:5">
      <c r="A152" s="12" t="s">
        <v>70</v>
      </c>
      <c r="B152" s="12">
        <v>12695.3</v>
      </c>
      <c r="C152" s="3" t="s">
        <v>70</v>
      </c>
      <c r="D152" s="3" t="s">
        <v>84</v>
      </c>
      <c r="E152">
        <f t="shared" si="2"/>
        <v>2114.3000000000002</v>
      </c>
    </row>
    <row r="153" spans="1:5">
      <c r="A153" s="14" t="s">
        <v>65</v>
      </c>
      <c r="B153" s="14">
        <v>13468.8</v>
      </c>
      <c r="C153" s="4" t="s">
        <v>70</v>
      </c>
      <c r="D153" s="4" t="s">
        <v>39</v>
      </c>
      <c r="E153">
        <f t="shared" si="2"/>
        <v>2114.3000000000002</v>
      </c>
    </row>
    <row r="154" spans="1:5">
      <c r="A154" s="12" t="s">
        <v>114</v>
      </c>
      <c r="B154" s="12">
        <v>3334.6</v>
      </c>
      <c r="C154" s="3" t="s">
        <v>18</v>
      </c>
      <c r="D154" s="3" t="s">
        <v>118</v>
      </c>
      <c r="E154">
        <f t="shared" si="2"/>
        <v>8129.3</v>
      </c>
    </row>
    <row r="155" spans="1:5">
      <c r="A155" s="14" t="s">
        <v>149</v>
      </c>
      <c r="B155" s="14">
        <v>3913.9</v>
      </c>
      <c r="C155" s="4" t="s">
        <v>172</v>
      </c>
      <c r="D155" s="4" t="s">
        <v>89</v>
      </c>
      <c r="E155">
        <f t="shared" si="2"/>
        <v>7765.2</v>
      </c>
    </row>
    <row r="156" spans="1:5">
      <c r="A156" s="12" t="s">
        <v>172</v>
      </c>
      <c r="B156" s="12">
        <v>3985.3</v>
      </c>
      <c r="C156" s="3" t="s">
        <v>32</v>
      </c>
      <c r="D156" s="3" t="s">
        <v>39</v>
      </c>
      <c r="E156">
        <f t="shared" si="2"/>
        <v>1605.8</v>
      </c>
    </row>
    <row r="157" spans="1:5">
      <c r="A157" s="14" t="s">
        <v>149</v>
      </c>
      <c r="B157" s="14">
        <v>19795.8</v>
      </c>
      <c r="C157" s="4" t="s">
        <v>75</v>
      </c>
      <c r="D157" s="4" t="s">
        <v>51</v>
      </c>
      <c r="E157">
        <f t="shared" si="2"/>
        <v>1820.4</v>
      </c>
    </row>
    <row r="158" spans="1:5">
      <c r="A158" s="12" t="s">
        <v>46</v>
      </c>
      <c r="B158" s="12">
        <v>11992.3</v>
      </c>
      <c r="C158" s="3" t="s">
        <v>75</v>
      </c>
      <c r="D158" s="3" t="s">
        <v>133</v>
      </c>
      <c r="E158">
        <f t="shared" si="2"/>
        <v>1820.4</v>
      </c>
    </row>
    <row r="159" spans="1:5">
      <c r="A159" s="14" t="s">
        <v>70</v>
      </c>
      <c r="B159" s="14">
        <v>10186.4</v>
      </c>
      <c r="C159" s="4" t="s">
        <v>53</v>
      </c>
      <c r="D159" s="4" t="s">
        <v>176</v>
      </c>
      <c r="E159">
        <f t="shared" si="2"/>
        <v>3512.1</v>
      </c>
    </row>
    <row r="160" spans="1:5">
      <c r="A160" s="12" t="s">
        <v>18</v>
      </c>
      <c r="B160" s="12">
        <v>3062.5</v>
      </c>
      <c r="C160" s="3" t="s">
        <v>46</v>
      </c>
      <c r="D160" s="3" t="s">
        <v>24</v>
      </c>
      <c r="E160">
        <f t="shared" si="2"/>
        <v>17402.8</v>
      </c>
    </row>
    <row r="161" spans="1:5">
      <c r="A161" s="14" t="s">
        <v>46</v>
      </c>
      <c r="B161" s="14">
        <v>2439.8000000000002</v>
      </c>
      <c r="C161" s="4" t="s">
        <v>75</v>
      </c>
      <c r="D161" s="4" t="s">
        <v>24</v>
      </c>
      <c r="E161">
        <f t="shared" si="2"/>
        <v>1820.4</v>
      </c>
    </row>
    <row r="162" spans="1:5">
      <c r="A162" s="12" t="s">
        <v>18</v>
      </c>
      <c r="B162" s="12">
        <v>8122.6</v>
      </c>
      <c r="C162" s="3" t="s">
        <v>75</v>
      </c>
      <c r="D162" s="3" t="s">
        <v>84</v>
      </c>
      <c r="E162">
        <f t="shared" si="2"/>
        <v>1820.4</v>
      </c>
    </row>
    <row r="163" spans="1:5">
      <c r="A163" s="14" t="s">
        <v>75</v>
      </c>
      <c r="B163" s="14">
        <v>6448.6</v>
      </c>
      <c r="C163" s="4" t="s">
        <v>75</v>
      </c>
      <c r="D163" s="4" t="s">
        <v>51</v>
      </c>
      <c r="E163">
        <f t="shared" si="2"/>
        <v>1820.4</v>
      </c>
    </row>
    <row r="164" spans="1:5">
      <c r="A164" s="12" t="s">
        <v>149</v>
      </c>
      <c r="B164" s="12">
        <v>8063.7</v>
      </c>
      <c r="C164" s="3" t="s">
        <v>172</v>
      </c>
      <c r="D164" s="3" t="s">
        <v>176</v>
      </c>
      <c r="E164">
        <f t="shared" si="2"/>
        <v>7765.2</v>
      </c>
    </row>
    <row r="165" spans="1:5">
      <c r="A165" s="14" t="s">
        <v>18</v>
      </c>
      <c r="B165" s="14">
        <v>20812.900000000001</v>
      </c>
      <c r="C165" s="4" t="s">
        <v>214</v>
      </c>
      <c r="D165" s="4" t="s">
        <v>84</v>
      </c>
      <c r="E165">
        <f t="shared" si="2"/>
        <v>5050.3</v>
      </c>
    </row>
    <row r="166" spans="1:5">
      <c r="A166" s="12" t="s">
        <v>65</v>
      </c>
      <c r="B166" s="12">
        <v>7616.5</v>
      </c>
      <c r="C166" s="3" t="s">
        <v>46</v>
      </c>
      <c r="D166" s="3" t="s">
        <v>51</v>
      </c>
      <c r="E166">
        <f t="shared" si="2"/>
        <v>17402.8</v>
      </c>
    </row>
    <row r="167" spans="1:5">
      <c r="A167" s="14" t="s">
        <v>172</v>
      </c>
      <c r="B167" s="14">
        <v>6151.9</v>
      </c>
      <c r="C167" s="4" t="s">
        <v>214</v>
      </c>
      <c r="D167" s="4" t="s">
        <v>51</v>
      </c>
      <c r="E167">
        <f t="shared" si="2"/>
        <v>5050.3</v>
      </c>
    </row>
    <row r="168" spans="1:5">
      <c r="A168" s="12" t="s">
        <v>18</v>
      </c>
      <c r="B168" s="12">
        <v>1883.1</v>
      </c>
      <c r="C168" s="3" t="s">
        <v>65</v>
      </c>
      <c r="D168" s="3" t="s">
        <v>558</v>
      </c>
      <c r="E168">
        <f t="shared" si="2"/>
        <v>10825.8</v>
      </c>
    </row>
    <row r="169" spans="1:5">
      <c r="A169" s="14" t="s">
        <v>26</v>
      </c>
      <c r="B169" s="14">
        <v>9509.2999999999993</v>
      </c>
      <c r="C169" s="4" t="s">
        <v>18</v>
      </c>
      <c r="D169" s="4" t="s">
        <v>89</v>
      </c>
      <c r="E169">
        <f t="shared" si="2"/>
        <v>8129.3</v>
      </c>
    </row>
    <row r="170" spans="1:5">
      <c r="A170" s="12" t="s">
        <v>149</v>
      </c>
      <c r="B170" s="12">
        <v>2642.2</v>
      </c>
      <c r="C170" s="3" t="s">
        <v>18</v>
      </c>
      <c r="D170" s="3" t="s">
        <v>89</v>
      </c>
      <c r="E170">
        <f t="shared" si="2"/>
        <v>8129.3</v>
      </c>
    </row>
    <row r="171" spans="1:5">
      <c r="A171" s="14" t="s">
        <v>70</v>
      </c>
      <c r="B171" s="14">
        <v>7261.1</v>
      </c>
      <c r="C171" s="4" t="s">
        <v>65</v>
      </c>
      <c r="D171" s="4" t="s">
        <v>51</v>
      </c>
      <c r="E171">
        <f t="shared" si="2"/>
        <v>10825.8</v>
      </c>
    </row>
    <row r="172" spans="1:5">
      <c r="A172" s="12" t="s">
        <v>46</v>
      </c>
      <c r="B172" s="12">
        <v>4924.8</v>
      </c>
      <c r="C172" s="3" t="s">
        <v>53</v>
      </c>
      <c r="D172" s="3" t="s">
        <v>39</v>
      </c>
      <c r="E172">
        <f t="shared" si="2"/>
        <v>3512.1</v>
      </c>
    </row>
    <row r="173" spans="1:5">
      <c r="A173" s="14" t="s">
        <v>70</v>
      </c>
      <c r="B173" s="14">
        <v>6638.6</v>
      </c>
      <c r="C173" s="4" t="s">
        <v>214</v>
      </c>
      <c r="D173" s="4" t="s">
        <v>84</v>
      </c>
      <c r="E173">
        <f t="shared" si="2"/>
        <v>5050.3</v>
      </c>
    </row>
    <row r="174" spans="1:5">
      <c r="A174" s="12" t="s">
        <v>172</v>
      </c>
      <c r="B174" s="12">
        <v>3044.9</v>
      </c>
      <c r="C174" s="3" t="s">
        <v>18</v>
      </c>
      <c r="D174" s="3" t="s">
        <v>133</v>
      </c>
      <c r="E174">
        <f t="shared" si="2"/>
        <v>8129.3</v>
      </c>
    </row>
    <row r="175" spans="1:5">
      <c r="A175" s="14" t="s">
        <v>75</v>
      </c>
      <c r="B175" s="14">
        <v>1592.8</v>
      </c>
      <c r="C175" s="4" t="s">
        <v>114</v>
      </c>
      <c r="D175" s="4" t="s">
        <v>24</v>
      </c>
      <c r="E175">
        <f t="shared" si="2"/>
        <v>10820.4</v>
      </c>
    </row>
    <row r="176" spans="1:5">
      <c r="A176" s="12" t="s">
        <v>214</v>
      </c>
      <c r="B176" s="12">
        <v>1082.9000000000001</v>
      </c>
      <c r="C176" s="3" t="s">
        <v>149</v>
      </c>
      <c r="D176" s="3" t="s">
        <v>51</v>
      </c>
      <c r="E176">
        <f t="shared" si="2"/>
        <v>5854.7</v>
      </c>
    </row>
    <row r="177" spans="1:5">
      <c r="A177" s="14" t="s">
        <v>26</v>
      </c>
      <c r="B177" s="14">
        <v>14598.4</v>
      </c>
      <c r="C177" s="4" t="s">
        <v>65</v>
      </c>
      <c r="D177" s="4" t="s">
        <v>133</v>
      </c>
      <c r="E177">
        <f t="shared" si="2"/>
        <v>10825.8</v>
      </c>
    </row>
    <row r="178" spans="1:5">
      <c r="A178" s="12" t="s">
        <v>214</v>
      </c>
      <c r="B178" s="12">
        <v>3991.1</v>
      </c>
      <c r="C178" s="3" t="s">
        <v>18</v>
      </c>
      <c r="D178" s="3" t="s">
        <v>84</v>
      </c>
      <c r="E178">
        <f t="shared" si="2"/>
        <v>8129.3</v>
      </c>
    </row>
    <row r="179" spans="1:5">
      <c r="A179" s="14" t="s">
        <v>114</v>
      </c>
      <c r="B179" s="14">
        <v>17324.900000000001</v>
      </c>
      <c r="C179" s="4" t="s">
        <v>214</v>
      </c>
      <c r="D179" s="4" t="s">
        <v>118</v>
      </c>
      <c r="E179">
        <f t="shared" si="2"/>
        <v>5050.3</v>
      </c>
    </row>
    <row r="180" spans="1:5">
      <c r="A180" s="12" t="s">
        <v>172</v>
      </c>
      <c r="B180" s="12">
        <v>14099.7</v>
      </c>
      <c r="C180" s="3" t="s">
        <v>32</v>
      </c>
      <c r="D180" s="3" t="s">
        <v>118</v>
      </c>
      <c r="E180">
        <f t="shared" si="2"/>
        <v>1605.8</v>
      </c>
    </row>
    <row r="181" spans="1:5">
      <c r="A181" s="14" t="s">
        <v>114</v>
      </c>
      <c r="B181" s="14">
        <v>815.7</v>
      </c>
      <c r="C181" s="4" t="s">
        <v>149</v>
      </c>
      <c r="D181" s="4" t="s">
        <v>63</v>
      </c>
      <c r="E181">
        <f t="shared" si="2"/>
        <v>5854.7</v>
      </c>
    </row>
    <row r="182" spans="1:5">
      <c r="A182" s="12" t="s">
        <v>46</v>
      </c>
      <c r="B182" s="12">
        <v>1754.8</v>
      </c>
      <c r="C182" s="3" t="s">
        <v>26</v>
      </c>
      <c r="D182" s="3" t="s">
        <v>133</v>
      </c>
      <c r="E182">
        <f t="shared" si="2"/>
        <v>5174.3</v>
      </c>
    </row>
    <row r="183" spans="1:5">
      <c r="A183" s="14" t="s">
        <v>65</v>
      </c>
      <c r="B183" s="14">
        <v>17464.3</v>
      </c>
      <c r="C183" s="4" t="s">
        <v>214</v>
      </c>
      <c r="D183" s="4" t="s">
        <v>63</v>
      </c>
      <c r="E183">
        <f t="shared" si="2"/>
        <v>5050.3</v>
      </c>
    </row>
    <row r="184" spans="1:5">
      <c r="A184" s="12" t="s">
        <v>46</v>
      </c>
      <c r="B184" s="12">
        <v>18998.400000000001</v>
      </c>
      <c r="C184" s="3" t="s">
        <v>46</v>
      </c>
      <c r="D184" s="3" t="s">
        <v>16</v>
      </c>
      <c r="E184">
        <f t="shared" si="2"/>
        <v>17402.8</v>
      </c>
    </row>
    <row r="185" spans="1:5">
      <c r="A185" s="14" t="s">
        <v>53</v>
      </c>
      <c r="B185" s="14">
        <v>8108.3</v>
      </c>
      <c r="C185" s="4" t="s">
        <v>18</v>
      </c>
      <c r="D185" s="4" t="s">
        <v>84</v>
      </c>
      <c r="E185">
        <f t="shared" si="2"/>
        <v>8129.3</v>
      </c>
    </row>
    <row r="186" spans="1:5">
      <c r="A186" s="12" t="s">
        <v>46</v>
      </c>
      <c r="B186" s="12">
        <v>15304.6</v>
      </c>
      <c r="C186" s="3" t="s">
        <v>46</v>
      </c>
      <c r="D186" s="3" t="s">
        <v>84</v>
      </c>
      <c r="E186">
        <f t="shared" si="2"/>
        <v>17402.8</v>
      </c>
    </row>
    <row r="187" spans="1:5">
      <c r="A187" s="14" t="s">
        <v>53</v>
      </c>
      <c r="B187" s="14">
        <v>2209.6999999999998</v>
      </c>
      <c r="C187" s="4" t="s">
        <v>18</v>
      </c>
      <c r="D187" s="4" t="s">
        <v>176</v>
      </c>
      <c r="E187">
        <f t="shared" si="2"/>
        <v>8129.3</v>
      </c>
    </row>
    <row r="188" spans="1:5">
      <c r="A188" s="12" t="s">
        <v>114</v>
      </c>
      <c r="B188" s="12">
        <v>4565.6000000000004</v>
      </c>
      <c r="C188" s="3" t="s">
        <v>172</v>
      </c>
      <c r="D188" s="3" t="s">
        <v>39</v>
      </c>
      <c r="E188">
        <f t="shared" si="2"/>
        <v>7765.2</v>
      </c>
    </row>
    <row r="189" spans="1:5">
      <c r="A189" s="14" t="s">
        <v>46</v>
      </c>
      <c r="B189" s="14">
        <v>1634.4</v>
      </c>
      <c r="C189" s="4" t="s">
        <v>46</v>
      </c>
      <c r="D189" s="4" t="s">
        <v>118</v>
      </c>
      <c r="E189">
        <f t="shared" si="2"/>
        <v>17402.8</v>
      </c>
    </row>
    <row r="190" spans="1:5">
      <c r="A190" s="12" t="s">
        <v>32</v>
      </c>
      <c r="B190" s="12">
        <v>4018.1</v>
      </c>
      <c r="C190" s="3" t="s">
        <v>75</v>
      </c>
      <c r="D190" s="3" t="s">
        <v>118</v>
      </c>
      <c r="E190">
        <f t="shared" si="2"/>
        <v>1820.4</v>
      </c>
    </row>
    <row r="191" spans="1:5">
      <c r="A191" s="14" t="s">
        <v>53</v>
      </c>
      <c r="B191" s="14">
        <v>9416.6</v>
      </c>
      <c r="C191" s="4" t="s">
        <v>75</v>
      </c>
      <c r="D191" s="4" t="s">
        <v>39</v>
      </c>
      <c r="E191">
        <f t="shared" si="2"/>
        <v>1820.4</v>
      </c>
    </row>
    <row r="192" spans="1:5">
      <c r="A192" s="12" t="s">
        <v>32</v>
      </c>
      <c r="B192" s="12">
        <v>4784.8</v>
      </c>
      <c r="C192" s="3" t="s">
        <v>214</v>
      </c>
      <c r="D192" s="3" t="s">
        <v>410</v>
      </c>
      <c r="E192">
        <f t="shared" si="2"/>
        <v>5050.3</v>
      </c>
    </row>
    <row r="193" spans="1:5">
      <c r="A193" s="14" t="s">
        <v>75</v>
      </c>
      <c r="B193" s="14">
        <v>888.3</v>
      </c>
      <c r="C193" s="4" t="s">
        <v>149</v>
      </c>
      <c r="D193" s="4" t="s">
        <v>16</v>
      </c>
      <c r="E193">
        <f t="shared" si="2"/>
        <v>5854.7</v>
      </c>
    </row>
    <row r="194" spans="1:5">
      <c r="A194" s="12" t="s">
        <v>18</v>
      </c>
      <c r="B194" s="12">
        <v>2668.3</v>
      </c>
      <c r="C194" s="3" t="s">
        <v>75</v>
      </c>
      <c r="D194" s="3" t="s">
        <v>84</v>
      </c>
      <c r="E194">
        <f t="shared" si="2"/>
        <v>1820.4</v>
      </c>
    </row>
    <row r="195" spans="1:5">
      <c r="A195" s="14" t="s">
        <v>172</v>
      </c>
      <c r="B195" s="14">
        <v>18222.2</v>
      </c>
      <c r="C195" s="4" t="s">
        <v>149</v>
      </c>
      <c r="D195" s="4" t="s">
        <v>118</v>
      </c>
      <c r="E195">
        <f t="shared" ref="E195:E258" si="3">VLOOKUP(C195,$A$2:$B$201,2,FALSE)</f>
        <v>5854.7</v>
      </c>
    </row>
    <row r="196" spans="1:5">
      <c r="A196" s="12" t="s">
        <v>70</v>
      </c>
      <c r="B196" s="12">
        <v>5206.1000000000004</v>
      </c>
      <c r="C196" s="3" t="s">
        <v>149</v>
      </c>
      <c r="D196" s="3" t="s">
        <v>39</v>
      </c>
      <c r="E196">
        <f t="shared" si="3"/>
        <v>5854.7</v>
      </c>
    </row>
    <row r="197" spans="1:5">
      <c r="A197" s="14" t="s">
        <v>32</v>
      </c>
      <c r="B197" s="14">
        <v>18681.8</v>
      </c>
      <c r="C197" s="4" t="s">
        <v>172</v>
      </c>
      <c r="D197" s="4" t="s">
        <v>16</v>
      </c>
      <c r="E197">
        <f t="shared" si="3"/>
        <v>7765.2</v>
      </c>
    </row>
    <row r="198" spans="1:5">
      <c r="A198" s="12" t="s">
        <v>114</v>
      </c>
      <c r="B198" s="12">
        <v>9896</v>
      </c>
      <c r="C198" s="3" t="s">
        <v>214</v>
      </c>
      <c r="D198" s="3" t="s">
        <v>39</v>
      </c>
      <c r="E198">
        <f t="shared" si="3"/>
        <v>5050.3</v>
      </c>
    </row>
    <row r="199" spans="1:5">
      <c r="A199" s="14" t="s">
        <v>18</v>
      </c>
      <c r="B199" s="14">
        <v>5880.5</v>
      </c>
      <c r="C199" s="4" t="s">
        <v>18</v>
      </c>
      <c r="D199" s="4" t="s">
        <v>24</v>
      </c>
      <c r="E199">
        <f t="shared" si="3"/>
        <v>8129.3</v>
      </c>
    </row>
    <row r="200" spans="1:5">
      <c r="A200" s="12" t="s">
        <v>172</v>
      </c>
      <c r="B200" s="12">
        <v>6093</v>
      </c>
      <c r="C200" s="3" t="s">
        <v>172</v>
      </c>
      <c r="D200" s="3" t="s">
        <v>84</v>
      </c>
      <c r="E200">
        <f t="shared" si="3"/>
        <v>7765.2</v>
      </c>
    </row>
    <row r="201" spans="1:5">
      <c r="A201" s="14" t="s">
        <v>65</v>
      </c>
      <c r="B201" s="14">
        <v>1598.1</v>
      </c>
      <c r="C201" s="4" t="s">
        <v>32</v>
      </c>
      <c r="D201" s="4" t="s">
        <v>24</v>
      </c>
      <c r="E201">
        <f t="shared" si="3"/>
        <v>1605.8</v>
      </c>
    </row>
    <row r="202" spans="1:5">
      <c r="C202" s="3" t="s">
        <v>53</v>
      </c>
      <c r="D202" s="3" t="s">
        <v>133</v>
      </c>
      <c r="E202">
        <f t="shared" si="3"/>
        <v>3512.1</v>
      </c>
    </row>
    <row r="203" spans="1:5">
      <c r="C203" s="4" t="s">
        <v>70</v>
      </c>
      <c r="D203" s="4" t="s">
        <v>63</v>
      </c>
      <c r="E203">
        <f t="shared" si="3"/>
        <v>2114.3000000000002</v>
      </c>
    </row>
    <row r="204" spans="1:5">
      <c r="C204" s="3" t="s">
        <v>114</v>
      </c>
      <c r="D204" s="3" t="s">
        <v>84</v>
      </c>
      <c r="E204">
        <f t="shared" si="3"/>
        <v>10820.4</v>
      </c>
    </row>
    <row r="205" spans="1:5">
      <c r="C205" s="4" t="s">
        <v>53</v>
      </c>
      <c r="D205" s="4" t="s">
        <v>39</v>
      </c>
      <c r="E205">
        <f t="shared" si="3"/>
        <v>3512.1</v>
      </c>
    </row>
    <row r="206" spans="1:5">
      <c r="C206" s="3" t="s">
        <v>53</v>
      </c>
      <c r="D206" s="3" t="s">
        <v>89</v>
      </c>
      <c r="E206">
        <f t="shared" si="3"/>
        <v>3512.1</v>
      </c>
    </row>
    <row r="207" spans="1:5">
      <c r="C207" s="4" t="s">
        <v>70</v>
      </c>
      <c r="D207" s="4" t="s">
        <v>118</v>
      </c>
      <c r="E207">
        <f t="shared" si="3"/>
        <v>2114.3000000000002</v>
      </c>
    </row>
    <row r="208" spans="1:5">
      <c r="C208" s="3" t="s">
        <v>18</v>
      </c>
      <c r="D208" s="3" t="s">
        <v>16</v>
      </c>
      <c r="E208">
        <f t="shared" si="3"/>
        <v>8129.3</v>
      </c>
    </row>
    <row r="209" spans="3:5">
      <c r="C209" s="4" t="s">
        <v>214</v>
      </c>
      <c r="D209" s="4" t="s">
        <v>51</v>
      </c>
      <c r="E209">
        <f t="shared" si="3"/>
        <v>5050.3</v>
      </c>
    </row>
    <row r="210" spans="3:5">
      <c r="C210" s="3" t="s">
        <v>149</v>
      </c>
      <c r="D210" s="3" t="s">
        <v>51</v>
      </c>
      <c r="E210">
        <f t="shared" si="3"/>
        <v>5854.7</v>
      </c>
    </row>
    <row r="211" spans="3:5">
      <c r="C211" s="4" t="s">
        <v>32</v>
      </c>
      <c r="D211" s="4" t="s">
        <v>51</v>
      </c>
      <c r="E211">
        <f t="shared" si="3"/>
        <v>1605.8</v>
      </c>
    </row>
    <row r="212" spans="3:5">
      <c r="C212" s="3" t="s">
        <v>75</v>
      </c>
      <c r="D212" s="3" t="s">
        <v>63</v>
      </c>
      <c r="E212">
        <f t="shared" si="3"/>
        <v>1820.4</v>
      </c>
    </row>
    <row r="213" spans="3:5">
      <c r="C213" s="4" t="s">
        <v>18</v>
      </c>
      <c r="D213" s="4" t="s">
        <v>16</v>
      </c>
      <c r="E213">
        <f t="shared" si="3"/>
        <v>8129.3</v>
      </c>
    </row>
    <row r="214" spans="3:5">
      <c r="C214" s="3" t="s">
        <v>114</v>
      </c>
      <c r="D214" s="3" t="s">
        <v>24</v>
      </c>
      <c r="E214">
        <f t="shared" si="3"/>
        <v>10820.4</v>
      </c>
    </row>
    <row r="215" spans="3:5">
      <c r="C215" s="4" t="s">
        <v>70</v>
      </c>
      <c r="D215" s="4" t="s">
        <v>24</v>
      </c>
      <c r="E215">
        <f t="shared" si="3"/>
        <v>2114.3000000000002</v>
      </c>
    </row>
    <row r="216" spans="3:5">
      <c r="C216" s="3" t="s">
        <v>70</v>
      </c>
      <c r="D216" s="3" t="s">
        <v>24</v>
      </c>
      <c r="E216">
        <f t="shared" si="3"/>
        <v>2114.3000000000002</v>
      </c>
    </row>
    <row r="217" spans="3:5">
      <c r="C217" s="4" t="s">
        <v>75</v>
      </c>
      <c r="D217" s="4" t="s">
        <v>16</v>
      </c>
      <c r="E217">
        <f t="shared" si="3"/>
        <v>1820.4</v>
      </c>
    </row>
    <row r="218" spans="3:5">
      <c r="C218" s="3" t="s">
        <v>114</v>
      </c>
      <c r="D218" s="3" t="s">
        <v>16</v>
      </c>
      <c r="E218">
        <f t="shared" si="3"/>
        <v>10820.4</v>
      </c>
    </row>
    <row r="219" spans="3:5">
      <c r="C219" s="4" t="s">
        <v>149</v>
      </c>
      <c r="D219" s="4" t="s">
        <v>118</v>
      </c>
      <c r="E219">
        <f t="shared" si="3"/>
        <v>5854.7</v>
      </c>
    </row>
    <row r="220" spans="3:5">
      <c r="C220" s="3" t="s">
        <v>114</v>
      </c>
      <c r="D220" s="3" t="s">
        <v>16</v>
      </c>
      <c r="E220">
        <f t="shared" si="3"/>
        <v>10820.4</v>
      </c>
    </row>
    <row r="221" spans="3:5">
      <c r="C221" s="4" t="s">
        <v>26</v>
      </c>
      <c r="D221" s="4" t="s">
        <v>84</v>
      </c>
      <c r="E221">
        <f t="shared" si="3"/>
        <v>5174.3</v>
      </c>
    </row>
    <row r="222" spans="3:5">
      <c r="C222" s="3" t="s">
        <v>32</v>
      </c>
      <c r="D222" s="3" t="s">
        <v>16</v>
      </c>
      <c r="E222">
        <f t="shared" si="3"/>
        <v>1605.8</v>
      </c>
    </row>
    <row r="223" spans="3:5">
      <c r="C223" s="4" t="s">
        <v>70</v>
      </c>
      <c r="D223" s="4" t="s">
        <v>89</v>
      </c>
      <c r="E223">
        <f t="shared" si="3"/>
        <v>2114.3000000000002</v>
      </c>
    </row>
    <row r="224" spans="3:5">
      <c r="C224" s="3" t="s">
        <v>32</v>
      </c>
      <c r="D224" s="3" t="s">
        <v>39</v>
      </c>
      <c r="E224">
        <f t="shared" si="3"/>
        <v>1605.8</v>
      </c>
    </row>
    <row r="225" spans="3:5">
      <c r="C225" s="4" t="s">
        <v>46</v>
      </c>
      <c r="D225" s="4" t="s">
        <v>89</v>
      </c>
      <c r="E225">
        <f t="shared" si="3"/>
        <v>17402.8</v>
      </c>
    </row>
    <row r="226" spans="3:5">
      <c r="C226" s="3" t="s">
        <v>53</v>
      </c>
      <c r="D226" s="3" t="s">
        <v>24</v>
      </c>
      <c r="E226">
        <f t="shared" si="3"/>
        <v>3512.1</v>
      </c>
    </row>
    <row r="227" spans="3:5">
      <c r="C227" s="4" t="s">
        <v>149</v>
      </c>
      <c r="D227" s="4" t="s">
        <v>118</v>
      </c>
      <c r="E227">
        <f t="shared" si="3"/>
        <v>5854.7</v>
      </c>
    </row>
    <row r="228" spans="3:5">
      <c r="C228" s="3" t="s">
        <v>32</v>
      </c>
      <c r="D228" s="3" t="s">
        <v>63</v>
      </c>
      <c r="E228">
        <f t="shared" si="3"/>
        <v>1605.8</v>
      </c>
    </row>
    <row r="229" spans="3:5">
      <c r="C229" s="4" t="s">
        <v>65</v>
      </c>
      <c r="D229" s="4" t="s">
        <v>89</v>
      </c>
      <c r="E229">
        <f t="shared" si="3"/>
        <v>10825.8</v>
      </c>
    </row>
    <row r="230" spans="3:5">
      <c r="C230" s="3" t="s">
        <v>172</v>
      </c>
      <c r="D230" s="3" t="s">
        <v>24</v>
      </c>
      <c r="E230">
        <f t="shared" si="3"/>
        <v>7765.2</v>
      </c>
    </row>
    <row r="231" spans="3:5">
      <c r="C231" s="4" t="s">
        <v>65</v>
      </c>
      <c r="D231" s="4" t="s">
        <v>63</v>
      </c>
      <c r="E231">
        <f t="shared" si="3"/>
        <v>10825.8</v>
      </c>
    </row>
    <row r="232" spans="3:5">
      <c r="C232" s="3" t="s">
        <v>46</v>
      </c>
      <c r="D232" s="3" t="s">
        <v>39</v>
      </c>
      <c r="E232">
        <f t="shared" si="3"/>
        <v>17402.8</v>
      </c>
    </row>
    <row r="233" spans="3:5">
      <c r="C233" s="4" t="s">
        <v>65</v>
      </c>
      <c r="D233" s="4" t="s">
        <v>133</v>
      </c>
      <c r="E233">
        <f t="shared" si="3"/>
        <v>10825.8</v>
      </c>
    </row>
    <row r="234" spans="3:5">
      <c r="C234" s="3" t="s">
        <v>214</v>
      </c>
      <c r="D234" s="3" t="s">
        <v>16</v>
      </c>
      <c r="E234">
        <f t="shared" si="3"/>
        <v>5050.3</v>
      </c>
    </row>
    <row r="235" spans="3:5">
      <c r="C235" s="4" t="s">
        <v>65</v>
      </c>
      <c r="D235" s="4" t="s">
        <v>24</v>
      </c>
      <c r="E235">
        <f t="shared" si="3"/>
        <v>10825.8</v>
      </c>
    </row>
    <row r="236" spans="3:5">
      <c r="C236" s="3" t="s">
        <v>214</v>
      </c>
      <c r="D236" s="3" t="s">
        <v>51</v>
      </c>
      <c r="E236">
        <f t="shared" si="3"/>
        <v>5050.3</v>
      </c>
    </row>
    <row r="237" spans="3:5">
      <c r="C237" s="4" t="s">
        <v>75</v>
      </c>
      <c r="D237" s="4" t="s">
        <v>24</v>
      </c>
      <c r="E237">
        <f t="shared" si="3"/>
        <v>1820.4</v>
      </c>
    </row>
    <row r="238" spans="3:5">
      <c r="C238" s="3" t="s">
        <v>32</v>
      </c>
      <c r="D238" s="3" t="s">
        <v>558</v>
      </c>
      <c r="E238">
        <f t="shared" si="3"/>
        <v>1605.8</v>
      </c>
    </row>
    <row r="239" spans="3:5">
      <c r="C239" s="4" t="s">
        <v>172</v>
      </c>
      <c r="D239" s="4" t="s">
        <v>84</v>
      </c>
      <c r="E239">
        <f t="shared" si="3"/>
        <v>7765.2</v>
      </c>
    </row>
    <row r="240" spans="3:5">
      <c r="C240" s="3" t="s">
        <v>18</v>
      </c>
      <c r="D240" s="3" t="s">
        <v>89</v>
      </c>
      <c r="E240">
        <f t="shared" si="3"/>
        <v>8129.3</v>
      </c>
    </row>
    <row r="241" spans="3:5">
      <c r="C241" s="4" t="s">
        <v>114</v>
      </c>
      <c r="D241" s="4" t="s">
        <v>24</v>
      </c>
      <c r="E241">
        <f t="shared" si="3"/>
        <v>10820.4</v>
      </c>
    </row>
    <row r="242" spans="3:5">
      <c r="C242" s="3" t="s">
        <v>46</v>
      </c>
      <c r="D242" s="3" t="s">
        <v>63</v>
      </c>
      <c r="E242">
        <f t="shared" si="3"/>
        <v>17402.8</v>
      </c>
    </row>
    <row r="243" spans="3:5">
      <c r="C243" s="4" t="s">
        <v>70</v>
      </c>
      <c r="D243" s="4" t="s">
        <v>133</v>
      </c>
      <c r="E243">
        <f t="shared" si="3"/>
        <v>2114.3000000000002</v>
      </c>
    </row>
    <row r="244" spans="3:5">
      <c r="C244" s="3" t="s">
        <v>18</v>
      </c>
      <c r="D244" s="3" t="s">
        <v>118</v>
      </c>
      <c r="E244">
        <f t="shared" si="3"/>
        <v>8129.3</v>
      </c>
    </row>
    <row r="245" spans="3:5">
      <c r="C245" s="4" t="s">
        <v>114</v>
      </c>
      <c r="D245" s="4" t="s">
        <v>51</v>
      </c>
      <c r="E245">
        <f t="shared" si="3"/>
        <v>10820.4</v>
      </c>
    </row>
    <row r="246" spans="3:5">
      <c r="C246" s="3" t="s">
        <v>46</v>
      </c>
      <c r="D246" s="3" t="s">
        <v>89</v>
      </c>
      <c r="E246">
        <f t="shared" si="3"/>
        <v>17402.8</v>
      </c>
    </row>
    <row r="247" spans="3:5">
      <c r="C247" s="4" t="s">
        <v>214</v>
      </c>
      <c r="D247" s="4" t="s">
        <v>176</v>
      </c>
      <c r="E247">
        <f t="shared" si="3"/>
        <v>5050.3</v>
      </c>
    </row>
    <row r="248" spans="3:5">
      <c r="C248" s="3" t="s">
        <v>172</v>
      </c>
      <c r="D248" s="3" t="s">
        <v>118</v>
      </c>
      <c r="E248">
        <f t="shared" si="3"/>
        <v>7765.2</v>
      </c>
    </row>
    <row r="249" spans="3:5">
      <c r="C249" s="4" t="s">
        <v>114</v>
      </c>
      <c r="D249" s="4" t="s">
        <v>89</v>
      </c>
      <c r="E249">
        <f t="shared" si="3"/>
        <v>10820.4</v>
      </c>
    </row>
    <row r="250" spans="3:5">
      <c r="C250" s="3" t="s">
        <v>172</v>
      </c>
      <c r="D250" s="3" t="s">
        <v>778</v>
      </c>
      <c r="E250">
        <f t="shared" si="3"/>
        <v>7765.2</v>
      </c>
    </row>
    <row r="251" spans="3:5">
      <c r="C251" s="4" t="s">
        <v>18</v>
      </c>
      <c r="D251" s="4" t="s">
        <v>51</v>
      </c>
      <c r="E251">
        <f t="shared" si="3"/>
        <v>8129.3</v>
      </c>
    </row>
    <row r="252" spans="3:5">
      <c r="C252" s="3" t="s">
        <v>18</v>
      </c>
      <c r="D252" s="3" t="s">
        <v>24</v>
      </c>
      <c r="E252">
        <f t="shared" si="3"/>
        <v>8129.3</v>
      </c>
    </row>
    <row r="253" spans="3:5">
      <c r="C253" s="4" t="s">
        <v>114</v>
      </c>
      <c r="D253" s="4" t="s">
        <v>24</v>
      </c>
      <c r="E253">
        <f t="shared" si="3"/>
        <v>10820.4</v>
      </c>
    </row>
    <row r="254" spans="3:5">
      <c r="C254" s="3" t="s">
        <v>75</v>
      </c>
      <c r="D254" s="3" t="s">
        <v>63</v>
      </c>
      <c r="E254">
        <f t="shared" si="3"/>
        <v>1820.4</v>
      </c>
    </row>
    <row r="255" spans="3:5">
      <c r="C255" s="4" t="s">
        <v>32</v>
      </c>
      <c r="D255" s="4" t="s">
        <v>176</v>
      </c>
      <c r="E255">
        <f t="shared" si="3"/>
        <v>1605.8</v>
      </c>
    </row>
    <row r="256" spans="3:5">
      <c r="C256" s="3" t="s">
        <v>53</v>
      </c>
      <c r="D256" s="3" t="s">
        <v>24</v>
      </c>
      <c r="E256">
        <f t="shared" si="3"/>
        <v>3512.1</v>
      </c>
    </row>
    <row r="257" spans="3:5">
      <c r="C257" s="4" t="s">
        <v>65</v>
      </c>
      <c r="D257" s="4" t="s">
        <v>63</v>
      </c>
      <c r="E257">
        <f t="shared" si="3"/>
        <v>10825.8</v>
      </c>
    </row>
    <row r="258" spans="3:5">
      <c r="C258" s="3" t="s">
        <v>75</v>
      </c>
      <c r="D258" s="3" t="s">
        <v>89</v>
      </c>
      <c r="E258">
        <f t="shared" si="3"/>
        <v>1820.4</v>
      </c>
    </row>
    <row r="259" spans="3:5">
      <c r="C259" s="4" t="s">
        <v>53</v>
      </c>
      <c r="D259" s="4" t="s">
        <v>176</v>
      </c>
      <c r="E259">
        <f t="shared" ref="E259:E322" si="4">VLOOKUP(C259,$A$2:$B$201,2,FALSE)</f>
        <v>3512.1</v>
      </c>
    </row>
    <row r="260" spans="3:5">
      <c r="C260" s="3" t="s">
        <v>53</v>
      </c>
      <c r="D260" s="3" t="s">
        <v>133</v>
      </c>
      <c r="E260">
        <f t="shared" si="4"/>
        <v>3512.1</v>
      </c>
    </row>
    <row r="261" spans="3:5">
      <c r="C261" s="4" t="s">
        <v>53</v>
      </c>
      <c r="D261" s="4" t="s">
        <v>16</v>
      </c>
      <c r="E261">
        <f t="shared" si="4"/>
        <v>3512.1</v>
      </c>
    </row>
    <row r="262" spans="3:5">
      <c r="C262" s="3" t="s">
        <v>46</v>
      </c>
      <c r="D262" s="3" t="s">
        <v>84</v>
      </c>
      <c r="E262">
        <f t="shared" si="4"/>
        <v>17402.8</v>
      </c>
    </row>
    <row r="263" spans="3:5">
      <c r="C263" s="4" t="s">
        <v>214</v>
      </c>
      <c r="D263" s="4" t="s">
        <v>24</v>
      </c>
      <c r="E263">
        <f t="shared" si="4"/>
        <v>5050.3</v>
      </c>
    </row>
    <row r="264" spans="3:5">
      <c r="C264" s="3" t="s">
        <v>75</v>
      </c>
      <c r="D264" s="3" t="s">
        <v>24</v>
      </c>
      <c r="E264">
        <f t="shared" si="4"/>
        <v>1820.4</v>
      </c>
    </row>
    <row r="265" spans="3:5">
      <c r="C265" s="4" t="s">
        <v>65</v>
      </c>
      <c r="D265" s="4" t="s">
        <v>51</v>
      </c>
      <c r="E265">
        <f t="shared" si="4"/>
        <v>10825.8</v>
      </c>
    </row>
    <row r="266" spans="3:5">
      <c r="C266" s="3" t="s">
        <v>26</v>
      </c>
      <c r="D266" s="3" t="s">
        <v>39</v>
      </c>
      <c r="E266">
        <f t="shared" si="4"/>
        <v>5174.3</v>
      </c>
    </row>
    <row r="267" spans="3:5">
      <c r="C267" s="4" t="s">
        <v>75</v>
      </c>
      <c r="D267" s="4" t="s">
        <v>118</v>
      </c>
      <c r="E267">
        <f t="shared" si="4"/>
        <v>1820.4</v>
      </c>
    </row>
    <row r="268" spans="3:5">
      <c r="C268" s="3" t="s">
        <v>149</v>
      </c>
      <c r="D268" s="3" t="s">
        <v>24</v>
      </c>
      <c r="E268">
        <f t="shared" si="4"/>
        <v>5854.7</v>
      </c>
    </row>
    <row r="269" spans="3:5">
      <c r="C269" s="4" t="s">
        <v>114</v>
      </c>
      <c r="D269" s="4" t="s">
        <v>133</v>
      </c>
      <c r="E269">
        <f t="shared" si="4"/>
        <v>10820.4</v>
      </c>
    </row>
    <row r="270" spans="3:5">
      <c r="C270" s="3" t="s">
        <v>214</v>
      </c>
      <c r="D270" s="3" t="s">
        <v>51</v>
      </c>
      <c r="E270">
        <f t="shared" si="4"/>
        <v>5050.3</v>
      </c>
    </row>
    <row r="271" spans="3:5">
      <c r="C271" s="4" t="s">
        <v>53</v>
      </c>
      <c r="D271" s="4" t="s">
        <v>84</v>
      </c>
      <c r="E271">
        <f t="shared" si="4"/>
        <v>3512.1</v>
      </c>
    </row>
    <row r="272" spans="3:5">
      <c r="C272" s="3" t="s">
        <v>46</v>
      </c>
      <c r="D272" s="3" t="s">
        <v>118</v>
      </c>
      <c r="E272">
        <f t="shared" si="4"/>
        <v>17402.8</v>
      </c>
    </row>
    <row r="273" spans="3:5">
      <c r="C273" s="4" t="s">
        <v>149</v>
      </c>
      <c r="D273" s="4" t="s">
        <v>16</v>
      </c>
      <c r="E273">
        <f t="shared" si="4"/>
        <v>5854.7</v>
      </c>
    </row>
    <row r="274" spans="3:5">
      <c r="C274" s="3" t="s">
        <v>214</v>
      </c>
      <c r="D274" s="3" t="s">
        <v>176</v>
      </c>
      <c r="E274">
        <f t="shared" si="4"/>
        <v>5050.3</v>
      </c>
    </row>
    <row r="275" spans="3:5">
      <c r="C275" s="4" t="s">
        <v>53</v>
      </c>
      <c r="D275" s="4" t="s">
        <v>778</v>
      </c>
      <c r="E275">
        <f t="shared" si="4"/>
        <v>3512.1</v>
      </c>
    </row>
    <row r="276" spans="3:5">
      <c r="C276" s="3" t="s">
        <v>53</v>
      </c>
      <c r="D276" s="3" t="s">
        <v>257</v>
      </c>
      <c r="E276">
        <f t="shared" si="4"/>
        <v>3512.1</v>
      </c>
    </row>
    <row r="277" spans="3:5">
      <c r="C277" s="4" t="s">
        <v>70</v>
      </c>
      <c r="D277" s="4" t="s">
        <v>89</v>
      </c>
      <c r="E277">
        <f t="shared" si="4"/>
        <v>2114.3000000000002</v>
      </c>
    </row>
    <row r="278" spans="3:5">
      <c r="C278" s="3" t="s">
        <v>214</v>
      </c>
      <c r="D278" s="3" t="s">
        <v>778</v>
      </c>
      <c r="E278">
        <f t="shared" si="4"/>
        <v>5050.3</v>
      </c>
    </row>
    <row r="279" spans="3:5">
      <c r="C279" s="4" t="s">
        <v>149</v>
      </c>
      <c r="D279" s="4" t="s">
        <v>63</v>
      </c>
      <c r="E279">
        <f t="shared" si="4"/>
        <v>5854.7</v>
      </c>
    </row>
    <row r="280" spans="3:5">
      <c r="C280" s="3" t="s">
        <v>214</v>
      </c>
      <c r="D280" s="3" t="s">
        <v>39</v>
      </c>
      <c r="E280">
        <f t="shared" si="4"/>
        <v>5050.3</v>
      </c>
    </row>
    <row r="281" spans="3:5">
      <c r="C281" s="4" t="s">
        <v>53</v>
      </c>
      <c r="D281" s="4" t="s">
        <v>84</v>
      </c>
      <c r="E281">
        <f t="shared" si="4"/>
        <v>3512.1</v>
      </c>
    </row>
    <row r="282" spans="3:5">
      <c r="C282" s="3" t="s">
        <v>149</v>
      </c>
      <c r="D282" s="3" t="s">
        <v>24</v>
      </c>
      <c r="E282">
        <f t="shared" si="4"/>
        <v>5854.7</v>
      </c>
    </row>
    <row r="283" spans="3:5">
      <c r="C283" s="4" t="s">
        <v>46</v>
      </c>
      <c r="D283" s="4" t="s">
        <v>63</v>
      </c>
      <c r="E283">
        <f t="shared" si="4"/>
        <v>17402.8</v>
      </c>
    </row>
    <row r="284" spans="3:5">
      <c r="C284" s="3" t="s">
        <v>172</v>
      </c>
      <c r="D284" s="3" t="s">
        <v>24</v>
      </c>
      <c r="E284">
        <f t="shared" si="4"/>
        <v>7765.2</v>
      </c>
    </row>
    <row r="285" spans="3:5">
      <c r="C285" s="4" t="s">
        <v>32</v>
      </c>
      <c r="D285" s="4" t="s">
        <v>63</v>
      </c>
      <c r="E285">
        <f t="shared" si="4"/>
        <v>1605.8</v>
      </c>
    </row>
    <row r="286" spans="3:5">
      <c r="C286" s="3" t="s">
        <v>46</v>
      </c>
      <c r="D286" s="3" t="s">
        <v>24</v>
      </c>
      <c r="E286">
        <f t="shared" si="4"/>
        <v>17402.8</v>
      </c>
    </row>
    <row r="287" spans="3:5">
      <c r="C287" s="4" t="s">
        <v>75</v>
      </c>
      <c r="D287" s="4" t="s">
        <v>84</v>
      </c>
      <c r="E287">
        <f t="shared" si="4"/>
        <v>1820.4</v>
      </c>
    </row>
    <row r="288" spans="3:5">
      <c r="C288" s="3" t="s">
        <v>65</v>
      </c>
      <c r="D288" s="3" t="s">
        <v>63</v>
      </c>
      <c r="E288">
        <f t="shared" si="4"/>
        <v>10825.8</v>
      </c>
    </row>
    <row r="289" spans="3:5">
      <c r="C289" s="4" t="s">
        <v>114</v>
      </c>
      <c r="D289" s="4" t="s">
        <v>39</v>
      </c>
      <c r="E289">
        <f t="shared" si="4"/>
        <v>10820.4</v>
      </c>
    </row>
    <row r="290" spans="3:5">
      <c r="C290" s="3" t="s">
        <v>149</v>
      </c>
      <c r="D290" s="3" t="s">
        <v>118</v>
      </c>
      <c r="E290">
        <f t="shared" si="4"/>
        <v>5854.7</v>
      </c>
    </row>
    <row r="291" spans="3:5">
      <c r="C291" s="4" t="s">
        <v>18</v>
      </c>
      <c r="D291" s="4" t="s">
        <v>89</v>
      </c>
      <c r="E291">
        <f t="shared" si="4"/>
        <v>8129.3</v>
      </c>
    </row>
    <row r="292" spans="3:5">
      <c r="C292" s="3" t="s">
        <v>70</v>
      </c>
      <c r="D292" s="3" t="s">
        <v>24</v>
      </c>
      <c r="E292">
        <f t="shared" si="4"/>
        <v>2114.3000000000002</v>
      </c>
    </row>
    <row r="293" spans="3:5">
      <c r="C293" s="4" t="s">
        <v>214</v>
      </c>
      <c r="D293" s="4" t="s">
        <v>24</v>
      </c>
      <c r="E293">
        <f t="shared" si="4"/>
        <v>5050.3</v>
      </c>
    </row>
    <row r="294" spans="3:5">
      <c r="C294" s="3" t="s">
        <v>172</v>
      </c>
      <c r="D294" s="3" t="s">
        <v>133</v>
      </c>
      <c r="E294">
        <f t="shared" si="4"/>
        <v>7765.2</v>
      </c>
    </row>
    <row r="295" spans="3:5">
      <c r="C295" s="4" t="s">
        <v>53</v>
      </c>
      <c r="D295" s="4" t="s">
        <v>63</v>
      </c>
      <c r="E295">
        <f t="shared" si="4"/>
        <v>3512.1</v>
      </c>
    </row>
    <row r="296" spans="3:5">
      <c r="C296" s="3" t="s">
        <v>75</v>
      </c>
      <c r="D296" s="3" t="s">
        <v>63</v>
      </c>
      <c r="E296">
        <f t="shared" si="4"/>
        <v>1820.4</v>
      </c>
    </row>
    <row r="297" spans="3:5">
      <c r="C297" s="4" t="s">
        <v>149</v>
      </c>
      <c r="D297" s="4" t="s">
        <v>51</v>
      </c>
      <c r="E297">
        <f t="shared" si="4"/>
        <v>5854.7</v>
      </c>
    </row>
    <row r="298" spans="3:5">
      <c r="C298" s="3" t="s">
        <v>32</v>
      </c>
      <c r="D298" s="3" t="s">
        <v>410</v>
      </c>
      <c r="E298">
        <f t="shared" si="4"/>
        <v>1605.8</v>
      </c>
    </row>
    <row r="299" spans="3:5">
      <c r="C299" s="4" t="s">
        <v>53</v>
      </c>
      <c r="D299" s="4" t="s">
        <v>63</v>
      </c>
      <c r="E299">
        <f t="shared" si="4"/>
        <v>3512.1</v>
      </c>
    </row>
    <row r="300" spans="3:5">
      <c r="C300" s="3" t="s">
        <v>75</v>
      </c>
      <c r="D300" s="3" t="s">
        <v>24</v>
      </c>
      <c r="E300">
        <f t="shared" si="4"/>
        <v>1820.4</v>
      </c>
    </row>
    <row r="301" spans="3:5">
      <c r="C301" s="4" t="s">
        <v>114</v>
      </c>
      <c r="D301" s="4" t="s">
        <v>176</v>
      </c>
      <c r="E301">
        <f t="shared" si="4"/>
        <v>10820.4</v>
      </c>
    </row>
    <row r="302" spans="3:5">
      <c r="C302" s="3" t="s">
        <v>46</v>
      </c>
      <c r="D302" s="3" t="s">
        <v>89</v>
      </c>
      <c r="E302">
        <f t="shared" si="4"/>
        <v>17402.8</v>
      </c>
    </row>
    <row r="303" spans="3:5">
      <c r="C303" s="4" t="s">
        <v>53</v>
      </c>
      <c r="D303" s="4" t="s">
        <v>63</v>
      </c>
      <c r="E303">
        <f t="shared" si="4"/>
        <v>3512.1</v>
      </c>
    </row>
    <row r="304" spans="3:5">
      <c r="C304" s="3" t="s">
        <v>65</v>
      </c>
      <c r="D304" s="3" t="s">
        <v>118</v>
      </c>
      <c r="E304">
        <f t="shared" si="4"/>
        <v>10825.8</v>
      </c>
    </row>
    <row r="305" spans="3:5">
      <c r="C305" s="4" t="s">
        <v>149</v>
      </c>
      <c r="D305" s="4" t="s">
        <v>39</v>
      </c>
      <c r="E305">
        <f t="shared" si="4"/>
        <v>5854.7</v>
      </c>
    </row>
    <row r="306" spans="3:5">
      <c r="C306" s="3" t="s">
        <v>53</v>
      </c>
      <c r="D306" s="3" t="s">
        <v>133</v>
      </c>
      <c r="E306">
        <f t="shared" si="4"/>
        <v>3512.1</v>
      </c>
    </row>
    <row r="307" spans="3:5">
      <c r="C307" s="4" t="s">
        <v>75</v>
      </c>
      <c r="D307" s="4" t="s">
        <v>558</v>
      </c>
      <c r="E307">
        <f t="shared" si="4"/>
        <v>1820.4</v>
      </c>
    </row>
    <row r="308" spans="3:5">
      <c r="C308" s="3" t="s">
        <v>172</v>
      </c>
      <c r="D308" s="3" t="s">
        <v>24</v>
      </c>
      <c r="E308">
        <f t="shared" si="4"/>
        <v>7765.2</v>
      </c>
    </row>
    <row r="309" spans="3:5">
      <c r="C309" s="4" t="s">
        <v>26</v>
      </c>
      <c r="D309" s="4" t="s">
        <v>24</v>
      </c>
      <c r="E309">
        <f t="shared" si="4"/>
        <v>5174.3</v>
      </c>
    </row>
    <row r="310" spans="3:5">
      <c r="C310" s="3" t="s">
        <v>70</v>
      </c>
      <c r="D310" s="3" t="s">
        <v>16</v>
      </c>
      <c r="E310">
        <f t="shared" si="4"/>
        <v>2114.3000000000002</v>
      </c>
    </row>
    <row r="311" spans="3:5">
      <c r="C311" s="4" t="s">
        <v>149</v>
      </c>
      <c r="D311" s="4" t="s">
        <v>51</v>
      </c>
      <c r="E311">
        <f t="shared" si="4"/>
        <v>5854.7</v>
      </c>
    </row>
    <row r="312" spans="3:5">
      <c r="C312" s="3" t="s">
        <v>18</v>
      </c>
      <c r="D312" s="3" t="s">
        <v>84</v>
      </c>
      <c r="E312">
        <f t="shared" si="4"/>
        <v>8129.3</v>
      </c>
    </row>
    <row r="313" spans="3:5">
      <c r="C313" s="4" t="s">
        <v>26</v>
      </c>
      <c r="D313" s="4" t="s">
        <v>176</v>
      </c>
      <c r="E313">
        <f t="shared" si="4"/>
        <v>5174.3</v>
      </c>
    </row>
    <row r="314" spans="3:5">
      <c r="C314" s="3" t="s">
        <v>75</v>
      </c>
      <c r="D314" s="3" t="s">
        <v>503</v>
      </c>
      <c r="E314">
        <f t="shared" si="4"/>
        <v>1820.4</v>
      </c>
    </row>
    <row r="315" spans="3:5">
      <c r="C315" s="4" t="s">
        <v>214</v>
      </c>
      <c r="D315" s="4" t="s">
        <v>16</v>
      </c>
      <c r="E315">
        <f t="shared" si="4"/>
        <v>5050.3</v>
      </c>
    </row>
    <row r="316" spans="3:5">
      <c r="C316" s="3" t="s">
        <v>70</v>
      </c>
      <c r="D316" s="3" t="s">
        <v>118</v>
      </c>
      <c r="E316">
        <f t="shared" si="4"/>
        <v>2114.3000000000002</v>
      </c>
    </row>
    <row r="317" spans="3:5">
      <c r="C317" s="4" t="s">
        <v>75</v>
      </c>
      <c r="D317" s="4" t="s">
        <v>24</v>
      </c>
      <c r="E317">
        <f t="shared" si="4"/>
        <v>1820.4</v>
      </c>
    </row>
    <row r="318" spans="3:5">
      <c r="C318" s="3" t="s">
        <v>75</v>
      </c>
      <c r="D318" s="3" t="s">
        <v>133</v>
      </c>
      <c r="E318">
        <f t="shared" si="4"/>
        <v>1820.4</v>
      </c>
    </row>
    <row r="319" spans="3:5">
      <c r="C319" s="4" t="s">
        <v>214</v>
      </c>
      <c r="D319" s="4" t="s">
        <v>89</v>
      </c>
      <c r="E319">
        <f t="shared" si="4"/>
        <v>5050.3</v>
      </c>
    </row>
    <row r="320" spans="3:5">
      <c r="C320" s="3" t="s">
        <v>46</v>
      </c>
      <c r="D320" s="3" t="s">
        <v>39</v>
      </c>
      <c r="E320">
        <f t="shared" si="4"/>
        <v>17402.8</v>
      </c>
    </row>
    <row r="321" spans="3:5">
      <c r="C321" s="4" t="s">
        <v>75</v>
      </c>
      <c r="D321" s="4" t="s">
        <v>24</v>
      </c>
      <c r="E321">
        <f t="shared" si="4"/>
        <v>1820.4</v>
      </c>
    </row>
    <row r="322" spans="3:5">
      <c r="C322" s="3" t="s">
        <v>53</v>
      </c>
      <c r="D322" s="3" t="s">
        <v>39</v>
      </c>
      <c r="E322">
        <f t="shared" si="4"/>
        <v>3512.1</v>
      </c>
    </row>
    <row r="323" spans="3:5">
      <c r="C323" s="4" t="s">
        <v>18</v>
      </c>
      <c r="D323" s="4" t="s">
        <v>63</v>
      </c>
      <c r="E323">
        <f t="shared" ref="E323:E386" si="5">VLOOKUP(C323,$A$2:$B$201,2,FALSE)</f>
        <v>8129.3</v>
      </c>
    </row>
    <row r="324" spans="3:5">
      <c r="C324" s="3" t="s">
        <v>65</v>
      </c>
      <c r="D324" s="3" t="s">
        <v>133</v>
      </c>
      <c r="E324">
        <f t="shared" si="5"/>
        <v>10825.8</v>
      </c>
    </row>
    <row r="325" spans="3:5">
      <c r="C325" s="4" t="s">
        <v>214</v>
      </c>
      <c r="D325" s="4" t="s">
        <v>967</v>
      </c>
      <c r="E325">
        <f t="shared" si="5"/>
        <v>5050.3</v>
      </c>
    </row>
    <row r="326" spans="3:5">
      <c r="C326" s="3" t="s">
        <v>172</v>
      </c>
      <c r="D326" s="3" t="s">
        <v>89</v>
      </c>
      <c r="E326">
        <f t="shared" si="5"/>
        <v>7765.2</v>
      </c>
    </row>
    <row r="327" spans="3:5">
      <c r="C327" s="4" t="s">
        <v>70</v>
      </c>
      <c r="D327" s="4" t="s">
        <v>24</v>
      </c>
      <c r="E327">
        <f t="shared" si="5"/>
        <v>2114.3000000000002</v>
      </c>
    </row>
    <row r="328" spans="3:5">
      <c r="C328" s="3" t="s">
        <v>70</v>
      </c>
      <c r="D328" s="3" t="s">
        <v>976</v>
      </c>
      <c r="E328">
        <f t="shared" si="5"/>
        <v>2114.3000000000002</v>
      </c>
    </row>
    <row r="329" spans="3:5">
      <c r="C329" s="4" t="s">
        <v>65</v>
      </c>
      <c r="D329" s="4" t="s">
        <v>84</v>
      </c>
      <c r="E329">
        <f t="shared" si="5"/>
        <v>10825.8</v>
      </c>
    </row>
    <row r="330" spans="3:5">
      <c r="C330" s="3" t="s">
        <v>172</v>
      </c>
      <c r="D330" s="3" t="s">
        <v>133</v>
      </c>
      <c r="E330">
        <f t="shared" si="5"/>
        <v>7765.2</v>
      </c>
    </row>
    <row r="331" spans="3:5">
      <c r="C331" s="4" t="s">
        <v>75</v>
      </c>
      <c r="D331" s="4" t="s">
        <v>976</v>
      </c>
      <c r="E331">
        <f t="shared" si="5"/>
        <v>1820.4</v>
      </c>
    </row>
    <row r="332" spans="3:5">
      <c r="C332" s="3" t="s">
        <v>32</v>
      </c>
      <c r="D332" s="3" t="s">
        <v>89</v>
      </c>
      <c r="E332">
        <f t="shared" si="5"/>
        <v>1605.8</v>
      </c>
    </row>
    <row r="333" spans="3:5">
      <c r="C333" s="4" t="s">
        <v>32</v>
      </c>
      <c r="D333" s="4" t="s">
        <v>89</v>
      </c>
      <c r="E333">
        <f t="shared" si="5"/>
        <v>1605.8</v>
      </c>
    </row>
    <row r="334" spans="3:5">
      <c r="C334" s="3" t="s">
        <v>172</v>
      </c>
      <c r="D334" s="3" t="s">
        <v>63</v>
      </c>
      <c r="E334">
        <f t="shared" si="5"/>
        <v>7765.2</v>
      </c>
    </row>
    <row r="335" spans="3:5">
      <c r="C335" s="4" t="s">
        <v>149</v>
      </c>
      <c r="D335" s="4" t="s">
        <v>778</v>
      </c>
      <c r="E335">
        <f t="shared" si="5"/>
        <v>5854.7</v>
      </c>
    </row>
    <row r="336" spans="3:5">
      <c r="C336" s="3" t="s">
        <v>70</v>
      </c>
      <c r="D336" s="3" t="s">
        <v>16</v>
      </c>
      <c r="E336">
        <f t="shared" si="5"/>
        <v>2114.3000000000002</v>
      </c>
    </row>
    <row r="337" spans="3:5">
      <c r="C337" s="4" t="s">
        <v>114</v>
      </c>
      <c r="D337" s="4" t="s">
        <v>63</v>
      </c>
      <c r="E337">
        <f t="shared" si="5"/>
        <v>10820.4</v>
      </c>
    </row>
    <row r="338" spans="3:5">
      <c r="C338" s="3" t="s">
        <v>75</v>
      </c>
      <c r="D338" s="3" t="s">
        <v>24</v>
      </c>
      <c r="E338">
        <f t="shared" si="5"/>
        <v>1820.4</v>
      </c>
    </row>
    <row r="339" spans="3:5">
      <c r="C339" s="4" t="s">
        <v>172</v>
      </c>
      <c r="D339" s="4" t="s">
        <v>24</v>
      </c>
      <c r="E339">
        <f t="shared" si="5"/>
        <v>7765.2</v>
      </c>
    </row>
    <row r="340" spans="3:5">
      <c r="C340" s="3" t="s">
        <v>65</v>
      </c>
      <c r="D340" s="3" t="s">
        <v>39</v>
      </c>
      <c r="E340">
        <f t="shared" si="5"/>
        <v>10825.8</v>
      </c>
    </row>
    <row r="341" spans="3:5">
      <c r="C341" s="4" t="s">
        <v>149</v>
      </c>
      <c r="D341" s="4" t="s">
        <v>176</v>
      </c>
      <c r="E341">
        <f t="shared" si="5"/>
        <v>5854.7</v>
      </c>
    </row>
    <row r="342" spans="3:5">
      <c r="C342" s="3" t="s">
        <v>32</v>
      </c>
      <c r="D342" s="3" t="s">
        <v>63</v>
      </c>
      <c r="E342">
        <f t="shared" si="5"/>
        <v>1605.8</v>
      </c>
    </row>
    <row r="343" spans="3:5">
      <c r="C343" s="4" t="s">
        <v>149</v>
      </c>
      <c r="D343" s="4" t="s">
        <v>16</v>
      </c>
      <c r="E343">
        <f t="shared" si="5"/>
        <v>5854.7</v>
      </c>
    </row>
    <row r="344" spans="3:5">
      <c r="C344" s="3" t="s">
        <v>114</v>
      </c>
      <c r="D344" s="3" t="s">
        <v>133</v>
      </c>
      <c r="E344">
        <f t="shared" si="5"/>
        <v>10820.4</v>
      </c>
    </row>
    <row r="345" spans="3:5">
      <c r="C345" s="4" t="s">
        <v>65</v>
      </c>
      <c r="D345" s="4" t="s">
        <v>39</v>
      </c>
      <c r="E345">
        <f t="shared" si="5"/>
        <v>10825.8</v>
      </c>
    </row>
    <row r="346" spans="3:5">
      <c r="C346" s="3" t="s">
        <v>75</v>
      </c>
      <c r="D346" s="3" t="s">
        <v>118</v>
      </c>
      <c r="E346">
        <f t="shared" si="5"/>
        <v>1820.4</v>
      </c>
    </row>
    <row r="347" spans="3:5">
      <c r="C347" s="4" t="s">
        <v>26</v>
      </c>
      <c r="D347" s="4" t="s">
        <v>176</v>
      </c>
      <c r="E347">
        <f t="shared" si="5"/>
        <v>5174.3</v>
      </c>
    </row>
    <row r="348" spans="3:5">
      <c r="C348" s="3" t="s">
        <v>65</v>
      </c>
      <c r="D348" s="3" t="s">
        <v>84</v>
      </c>
      <c r="E348">
        <f t="shared" si="5"/>
        <v>10825.8</v>
      </c>
    </row>
    <row r="349" spans="3:5">
      <c r="C349" s="4" t="s">
        <v>114</v>
      </c>
      <c r="D349" s="4" t="s">
        <v>39</v>
      </c>
      <c r="E349">
        <f t="shared" si="5"/>
        <v>10820.4</v>
      </c>
    </row>
    <row r="350" spans="3:5">
      <c r="C350" s="3" t="s">
        <v>32</v>
      </c>
      <c r="D350" s="3" t="s">
        <v>63</v>
      </c>
      <c r="E350">
        <f t="shared" si="5"/>
        <v>1605.8</v>
      </c>
    </row>
    <row r="351" spans="3:5">
      <c r="C351" s="4" t="s">
        <v>26</v>
      </c>
      <c r="D351" s="4" t="s">
        <v>414</v>
      </c>
      <c r="E351">
        <f t="shared" si="5"/>
        <v>5174.3</v>
      </c>
    </row>
    <row r="352" spans="3:5">
      <c r="C352" s="3" t="s">
        <v>32</v>
      </c>
      <c r="D352" s="3" t="s">
        <v>257</v>
      </c>
      <c r="E352">
        <f t="shared" si="5"/>
        <v>1605.8</v>
      </c>
    </row>
    <row r="353" spans="3:5">
      <c r="C353" s="4" t="s">
        <v>214</v>
      </c>
      <c r="D353" s="4" t="s">
        <v>89</v>
      </c>
      <c r="E353">
        <f t="shared" si="5"/>
        <v>5050.3</v>
      </c>
    </row>
    <row r="354" spans="3:5">
      <c r="C354" s="3" t="s">
        <v>172</v>
      </c>
      <c r="D354" s="3" t="s">
        <v>414</v>
      </c>
      <c r="E354">
        <f t="shared" si="5"/>
        <v>7765.2</v>
      </c>
    </row>
    <row r="355" spans="3:5">
      <c r="C355" s="4" t="s">
        <v>75</v>
      </c>
      <c r="D355" s="4" t="s">
        <v>63</v>
      </c>
      <c r="E355">
        <f t="shared" si="5"/>
        <v>1820.4</v>
      </c>
    </row>
    <row r="356" spans="3:5">
      <c r="C356" s="3" t="s">
        <v>114</v>
      </c>
      <c r="D356" s="3" t="s">
        <v>176</v>
      </c>
      <c r="E356">
        <f t="shared" si="5"/>
        <v>10820.4</v>
      </c>
    </row>
    <row r="357" spans="3:5">
      <c r="C357" s="4" t="s">
        <v>114</v>
      </c>
      <c r="D357" s="4" t="s">
        <v>89</v>
      </c>
      <c r="E357">
        <f t="shared" si="5"/>
        <v>10820.4</v>
      </c>
    </row>
    <row r="358" spans="3:5">
      <c r="C358" s="3" t="s">
        <v>114</v>
      </c>
      <c r="D358" s="3" t="s">
        <v>16</v>
      </c>
      <c r="E358">
        <f t="shared" si="5"/>
        <v>10820.4</v>
      </c>
    </row>
    <row r="359" spans="3:5">
      <c r="C359" s="4" t="s">
        <v>114</v>
      </c>
      <c r="D359" s="4" t="s">
        <v>63</v>
      </c>
      <c r="E359">
        <f t="shared" si="5"/>
        <v>10820.4</v>
      </c>
    </row>
    <row r="360" spans="3:5">
      <c r="C360" s="3" t="s">
        <v>149</v>
      </c>
      <c r="D360" s="3" t="s">
        <v>176</v>
      </c>
      <c r="E360">
        <f t="shared" si="5"/>
        <v>5854.7</v>
      </c>
    </row>
    <row r="361" spans="3:5">
      <c r="C361" s="4" t="s">
        <v>53</v>
      </c>
      <c r="D361" s="4" t="s">
        <v>39</v>
      </c>
      <c r="E361">
        <f t="shared" si="5"/>
        <v>3512.1</v>
      </c>
    </row>
    <row r="362" spans="3:5">
      <c r="C362" s="3" t="s">
        <v>114</v>
      </c>
      <c r="D362" s="3" t="s">
        <v>16</v>
      </c>
      <c r="E362">
        <f t="shared" si="5"/>
        <v>10820.4</v>
      </c>
    </row>
    <row r="363" spans="3:5">
      <c r="C363" s="4" t="s">
        <v>18</v>
      </c>
      <c r="D363" s="4" t="s">
        <v>89</v>
      </c>
      <c r="E363">
        <f t="shared" si="5"/>
        <v>8129.3</v>
      </c>
    </row>
    <row r="364" spans="3:5">
      <c r="C364" s="3" t="s">
        <v>149</v>
      </c>
      <c r="D364" s="3" t="s">
        <v>39</v>
      </c>
      <c r="E364">
        <f t="shared" si="5"/>
        <v>5854.7</v>
      </c>
    </row>
    <row r="365" spans="3:5">
      <c r="C365" s="4" t="s">
        <v>65</v>
      </c>
      <c r="D365" s="4" t="s">
        <v>24</v>
      </c>
      <c r="E365">
        <f t="shared" si="5"/>
        <v>10825.8</v>
      </c>
    </row>
    <row r="366" spans="3:5">
      <c r="C366" s="3" t="s">
        <v>149</v>
      </c>
      <c r="D366" s="3" t="s">
        <v>84</v>
      </c>
      <c r="E366">
        <f t="shared" si="5"/>
        <v>5854.7</v>
      </c>
    </row>
    <row r="367" spans="3:5">
      <c r="C367" s="4" t="s">
        <v>214</v>
      </c>
      <c r="D367" s="4" t="s">
        <v>133</v>
      </c>
      <c r="E367">
        <f t="shared" si="5"/>
        <v>5050.3</v>
      </c>
    </row>
    <row r="368" spans="3:5">
      <c r="C368" s="3" t="s">
        <v>53</v>
      </c>
      <c r="D368" s="3" t="s">
        <v>24</v>
      </c>
      <c r="E368">
        <f t="shared" si="5"/>
        <v>3512.1</v>
      </c>
    </row>
    <row r="369" spans="3:5">
      <c r="C369" s="4" t="s">
        <v>32</v>
      </c>
      <c r="D369" s="4" t="s">
        <v>118</v>
      </c>
      <c r="E369">
        <f t="shared" si="5"/>
        <v>1605.8</v>
      </c>
    </row>
    <row r="370" spans="3:5">
      <c r="C370" s="3" t="s">
        <v>46</v>
      </c>
      <c r="D370" s="3" t="s">
        <v>63</v>
      </c>
      <c r="E370">
        <f t="shared" si="5"/>
        <v>17402.8</v>
      </c>
    </row>
    <row r="371" spans="3:5">
      <c r="C371" s="4" t="s">
        <v>53</v>
      </c>
      <c r="D371" s="4" t="s">
        <v>778</v>
      </c>
      <c r="E371">
        <f t="shared" si="5"/>
        <v>3512.1</v>
      </c>
    </row>
    <row r="372" spans="3:5">
      <c r="C372" s="3" t="s">
        <v>26</v>
      </c>
      <c r="D372" s="3" t="s">
        <v>24</v>
      </c>
      <c r="E372">
        <f t="shared" si="5"/>
        <v>5174.3</v>
      </c>
    </row>
    <row r="373" spans="3:5">
      <c r="C373" s="4" t="s">
        <v>75</v>
      </c>
      <c r="D373" s="4" t="s">
        <v>39</v>
      </c>
      <c r="E373">
        <f t="shared" si="5"/>
        <v>1820.4</v>
      </c>
    </row>
    <row r="374" spans="3:5">
      <c r="C374" s="3" t="s">
        <v>18</v>
      </c>
      <c r="D374" s="3" t="s">
        <v>24</v>
      </c>
      <c r="E374">
        <f t="shared" si="5"/>
        <v>8129.3</v>
      </c>
    </row>
    <row r="375" spans="3:5">
      <c r="C375" s="4" t="s">
        <v>18</v>
      </c>
      <c r="D375" s="4" t="s">
        <v>16</v>
      </c>
      <c r="E375">
        <f t="shared" si="5"/>
        <v>8129.3</v>
      </c>
    </row>
    <row r="376" spans="3:5">
      <c r="C376" s="3" t="s">
        <v>172</v>
      </c>
      <c r="D376" s="3" t="s">
        <v>176</v>
      </c>
      <c r="E376">
        <f t="shared" si="5"/>
        <v>7765.2</v>
      </c>
    </row>
    <row r="377" spans="3:5">
      <c r="C377" s="4" t="s">
        <v>214</v>
      </c>
      <c r="D377" s="4" t="s">
        <v>133</v>
      </c>
      <c r="E377">
        <f t="shared" si="5"/>
        <v>5050.3</v>
      </c>
    </row>
    <row r="378" spans="3:5">
      <c r="C378" s="3" t="s">
        <v>32</v>
      </c>
      <c r="D378" s="3" t="s">
        <v>89</v>
      </c>
      <c r="E378">
        <f t="shared" si="5"/>
        <v>1605.8</v>
      </c>
    </row>
    <row r="379" spans="3:5">
      <c r="C379" s="4" t="s">
        <v>75</v>
      </c>
      <c r="D379" s="4" t="s">
        <v>410</v>
      </c>
      <c r="E379">
        <f t="shared" si="5"/>
        <v>1820.4</v>
      </c>
    </row>
    <row r="380" spans="3:5">
      <c r="C380" s="3" t="s">
        <v>172</v>
      </c>
      <c r="D380" s="3" t="s">
        <v>16</v>
      </c>
      <c r="E380">
        <f t="shared" si="5"/>
        <v>7765.2</v>
      </c>
    </row>
    <row r="381" spans="3:5">
      <c r="C381" s="4" t="s">
        <v>46</v>
      </c>
      <c r="D381" s="4" t="s">
        <v>16</v>
      </c>
      <c r="E381">
        <f t="shared" si="5"/>
        <v>17402.8</v>
      </c>
    </row>
    <row r="382" spans="3:5">
      <c r="C382" s="3" t="s">
        <v>53</v>
      </c>
      <c r="D382" s="3" t="s">
        <v>118</v>
      </c>
      <c r="E382">
        <f t="shared" si="5"/>
        <v>3512.1</v>
      </c>
    </row>
    <row r="383" spans="3:5">
      <c r="C383" s="4" t="s">
        <v>214</v>
      </c>
      <c r="D383" s="4" t="s">
        <v>84</v>
      </c>
      <c r="E383">
        <f t="shared" si="5"/>
        <v>5050.3</v>
      </c>
    </row>
    <row r="384" spans="3:5">
      <c r="C384" s="3" t="s">
        <v>53</v>
      </c>
      <c r="D384" s="3" t="s">
        <v>24</v>
      </c>
      <c r="E384">
        <f t="shared" si="5"/>
        <v>3512.1</v>
      </c>
    </row>
    <row r="385" spans="3:5">
      <c r="C385" s="4" t="s">
        <v>26</v>
      </c>
      <c r="D385" s="4" t="s">
        <v>51</v>
      </c>
      <c r="E385">
        <f t="shared" si="5"/>
        <v>5174.3</v>
      </c>
    </row>
    <row r="386" spans="3:5">
      <c r="C386" s="3" t="s">
        <v>65</v>
      </c>
      <c r="D386" s="3" t="s">
        <v>89</v>
      </c>
      <c r="E386">
        <f t="shared" si="5"/>
        <v>10825.8</v>
      </c>
    </row>
    <row r="387" spans="3:5">
      <c r="C387" s="4" t="s">
        <v>46</v>
      </c>
      <c r="D387" s="4" t="s">
        <v>51</v>
      </c>
      <c r="E387">
        <f t="shared" ref="E387:E450" si="6">VLOOKUP(C387,$A$2:$B$201,2,FALSE)</f>
        <v>17402.8</v>
      </c>
    </row>
    <row r="388" spans="3:5">
      <c r="C388" s="3" t="s">
        <v>26</v>
      </c>
      <c r="D388" s="3" t="s">
        <v>778</v>
      </c>
      <c r="E388">
        <f t="shared" si="6"/>
        <v>5174.3</v>
      </c>
    </row>
    <row r="389" spans="3:5">
      <c r="C389" s="4" t="s">
        <v>214</v>
      </c>
      <c r="D389" s="4" t="s">
        <v>118</v>
      </c>
      <c r="E389">
        <f t="shared" si="6"/>
        <v>5050.3</v>
      </c>
    </row>
    <row r="390" spans="3:5">
      <c r="C390" s="3" t="s">
        <v>18</v>
      </c>
      <c r="D390" s="3" t="s">
        <v>84</v>
      </c>
      <c r="E390">
        <f t="shared" si="6"/>
        <v>8129.3</v>
      </c>
    </row>
    <row r="391" spans="3:5">
      <c r="C391" s="4" t="s">
        <v>214</v>
      </c>
      <c r="D391" s="4" t="s">
        <v>84</v>
      </c>
      <c r="E391">
        <f t="shared" si="6"/>
        <v>5050.3</v>
      </c>
    </row>
    <row r="392" spans="3:5">
      <c r="C392" s="3" t="s">
        <v>46</v>
      </c>
      <c r="D392" s="3" t="s">
        <v>118</v>
      </c>
      <c r="E392">
        <f t="shared" si="6"/>
        <v>17402.8</v>
      </c>
    </row>
    <row r="393" spans="3:5">
      <c r="C393" s="4" t="s">
        <v>75</v>
      </c>
      <c r="D393" s="4" t="s">
        <v>51</v>
      </c>
      <c r="E393">
        <f t="shared" si="6"/>
        <v>1820.4</v>
      </c>
    </row>
    <row r="394" spans="3:5">
      <c r="C394" s="3" t="s">
        <v>214</v>
      </c>
      <c r="D394" s="3" t="s">
        <v>51</v>
      </c>
      <c r="E394">
        <f t="shared" si="6"/>
        <v>5050.3</v>
      </c>
    </row>
    <row r="395" spans="3:5">
      <c r="C395" s="4" t="s">
        <v>18</v>
      </c>
      <c r="D395" s="4" t="s">
        <v>51</v>
      </c>
      <c r="E395">
        <f t="shared" si="6"/>
        <v>8129.3</v>
      </c>
    </row>
    <row r="396" spans="3:5">
      <c r="C396" s="3" t="s">
        <v>114</v>
      </c>
      <c r="D396" s="3" t="s">
        <v>24</v>
      </c>
      <c r="E396">
        <f t="shared" si="6"/>
        <v>10820.4</v>
      </c>
    </row>
    <row r="397" spans="3:5">
      <c r="C397" s="4" t="s">
        <v>75</v>
      </c>
      <c r="D397" s="4" t="s">
        <v>118</v>
      </c>
      <c r="E397">
        <f t="shared" si="6"/>
        <v>1820.4</v>
      </c>
    </row>
    <row r="398" spans="3:5">
      <c r="C398" s="3" t="s">
        <v>53</v>
      </c>
      <c r="D398" s="3" t="s">
        <v>51</v>
      </c>
      <c r="E398">
        <f t="shared" si="6"/>
        <v>3512.1</v>
      </c>
    </row>
    <row r="399" spans="3:5">
      <c r="C399" s="4" t="s">
        <v>172</v>
      </c>
      <c r="D399" s="4" t="s">
        <v>176</v>
      </c>
      <c r="E399">
        <f t="shared" si="6"/>
        <v>7765.2</v>
      </c>
    </row>
    <row r="400" spans="3:5">
      <c r="C400" s="3" t="s">
        <v>18</v>
      </c>
      <c r="D400" s="3" t="s">
        <v>24</v>
      </c>
      <c r="E400">
        <f t="shared" si="6"/>
        <v>8129.3</v>
      </c>
    </row>
    <row r="401" spans="3:5">
      <c r="C401" s="4" t="s">
        <v>70</v>
      </c>
      <c r="D401" s="4" t="s">
        <v>24</v>
      </c>
      <c r="E401">
        <f t="shared" si="6"/>
        <v>2114.3000000000002</v>
      </c>
    </row>
    <row r="402" spans="3:5">
      <c r="C402" s="3" t="s">
        <v>214</v>
      </c>
      <c r="D402" s="3" t="s">
        <v>39</v>
      </c>
      <c r="E402">
        <f t="shared" si="6"/>
        <v>5050.3</v>
      </c>
    </row>
    <row r="403" spans="3:5">
      <c r="C403" s="4" t="s">
        <v>214</v>
      </c>
      <c r="D403" s="4" t="s">
        <v>24</v>
      </c>
      <c r="E403">
        <f t="shared" si="6"/>
        <v>5050.3</v>
      </c>
    </row>
    <row r="404" spans="3:5">
      <c r="C404" s="3" t="s">
        <v>46</v>
      </c>
      <c r="D404" s="3" t="s">
        <v>84</v>
      </c>
      <c r="E404">
        <f t="shared" si="6"/>
        <v>17402.8</v>
      </c>
    </row>
    <row r="405" spans="3:5">
      <c r="C405" s="4" t="s">
        <v>114</v>
      </c>
      <c r="D405" s="4" t="s">
        <v>84</v>
      </c>
      <c r="E405">
        <f t="shared" si="6"/>
        <v>10820.4</v>
      </c>
    </row>
    <row r="406" spans="3:5">
      <c r="C406" s="3" t="s">
        <v>53</v>
      </c>
      <c r="D406" s="3" t="s">
        <v>118</v>
      </c>
      <c r="E406">
        <f t="shared" si="6"/>
        <v>3512.1</v>
      </c>
    </row>
    <row r="407" spans="3:5">
      <c r="C407" s="4" t="s">
        <v>214</v>
      </c>
      <c r="D407" s="4" t="s">
        <v>133</v>
      </c>
      <c r="E407">
        <f t="shared" si="6"/>
        <v>5050.3</v>
      </c>
    </row>
    <row r="408" spans="3:5">
      <c r="C408" s="3" t="s">
        <v>75</v>
      </c>
      <c r="D408" s="3" t="s">
        <v>84</v>
      </c>
      <c r="E408">
        <f t="shared" si="6"/>
        <v>1820.4</v>
      </c>
    </row>
    <row r="409" spans="3:5">
      <c r="C409" s="4" t="s">
        <v>114</v>
      </c>
      <c r="D409" s="4" t="s">
        <v>39</v>
      </c>
      <c r="E409">
        <f t="shared" si="6"/>
        <v>10820.4</v>
      </c>
    </row>
    <row r="410" spans="3:5">
      <c r="C410" s="3" t="s">
        <v>172</v>
      </c>
      <c r="D410" s="3" t="s">
        <v>84</v>
      </c>
      <c r="E410">
        <f t="shared" si="6"/>
        <v>7765.2</v>
      </c>
    </row>
    <row r="411" spans="3:5">
      <c r="C411" s="4" t="s">
        <v>32</v>
      </c>
      <c r="D411" s="4" t="s">
        <v>89</v>
      </c>
      <c r="E411">
        <f t="shared" si="6"/>
        <v>1605.8</v>
      </c>
    </row>
    <row r="412" spans="3:5">
      <c r="C412" s="3" t="s">
        <v>46</v>
      </c>
      <c r="D412" s="3" t="s">
        <v>118</v>
      </c>
      <c r="E412">
        <f t="shared" si="6"/>
        <v>17402.8</v>
      </c>
    </row>
    <row r="413" spans="3:5">
      <c r="C413" s="4" t="s">
        <v>75</v>
      </c>
      <c r="D413" s="4" t="s">
        <v>410</v>
      </c>
      <c r="E413">
        <f t="shared" si="6"/>
        <v>1820.4</v>
      </c>
    </row>
    <row r="414" spans="3:5">
      <c r="C414" s="3" t="s">
        <v>172</v>
      </c>
      <c r="D414" s="3" t="s">
        <v>967</v>
      </c>
      <c r="E414">
        <f t="shared" si="6"/>
        <v>7765.2</v>
      </c>
    </row>
    <row r="415" spans="3:5">
      <c r="C415" s="4" t="s">
        <v>18</v>
      </c>
      <c r="D415" s="4" t="s">
        <v>84</v>
      </c>
      <c r="E415">
        <f t="shared" si="6"/>
        <v>8129.3</v>
      </c>
    </row>
    <row r="416" spans="3:5">
      <c r="C416" s="3" t="s">
        <v>75</v>
      </c>
      <c r="D416" s="3" t="s">
        <v>16</v>
      </c>
      <c r="E416">
        <f t="shared" si="6"/>
        <v>1820.4</v>
      </c>
    </row>
    <row r="417" spans="3:5">
      <c r="C417" s="4" t="s">
        <v>46</v>
      </c>
      <c r="D417" s="4" t="s">
        <v>24</v>
      </c>
      <c r="E417">
        <f t="shared" si="6"/>
        <v>17402.8</v>
      </c>
    </row>
    <row r="418" spans="3:5">
      <c r="C418" s="3" t="s">
        <v>214</v>
      </c>
      <c r="D418" s="3" t="s">
        <v>39</v>
      </c>
      <c r="E418">
        <f t="shared" si="6"/>
        <v>5050.3</v>
      </c>
    </row>
    <row r="419" spans="3:5">
      <c r="C419" s="4" t="s">
        <v>172</v>
      </c>
      <c r="D419" s="4" t="s">
        <v>63</v>
      </c>
      <c r="E419">
        <f t="shared" si="6"/>
        <v>7765.2</v>
      </c>
    </row>
    <row r="420" spans="3:5">
      <c r="C420" s="3" t="s">
        <v>172</v>
      </c>
      <c r="D420" s="3" t="s">
        <v>558</v>
      </c>
      <c r="E420">
        <f t="shared" si="6"/>
        <v>7765.2</v>
      </c>
    </row>
    <row r="421" spans="3:5">
      <c r="C421" s="4" t="s">
        <v>18</v>
      </c>
      <c r="D421" s="4" t="s">
        <v>63</v>
      </c>
      <c r="E421">
        <f t="shared" si="6"/>
        <v>8129.3</v>
      </c>
    </row>
    <row r="422" spans="3:5">
      <c r="C422" s="3" t="s">
        <v>18</v>
      </c>
      <c r="D422" s="3" t="s">
        <v>84</v>
      </c>
      <c r="E422">
        <f t="shared" si="6"/>
        <v>8129.3</v>
      </c>
    </row>
    <row r="423" spans="3:5">
      <c r="C423" s="4" t="s">
        <v>32</v>
      </c>
      <c r="D423" s="4" t="s">
        <v>51</v>
      </c>
      <c r="E423">
        <f t="shared" si="6"/>
        <v>1605.8</v>
      </c>
    </row>
    <row r="424" spans="3:5">
      <c r="C424" s="3" t="s">
        <v>46</v>
      </c>
      <c r="D424" s="3" t="s">
        <v>24</v>
      </c>
      <c r="E424">
        <f t="shared" si="6"/>
        <v>17402.8</v>
      </c>
    </row>
    <row r="425" spans="3:5">
      <c r="C425" s="4" t="s">
        <v>18</v>
      </c>
      <c r="D425" s="4" t="s">
        <v>51</v>
      </c>
      <c r="E425">
        <f t="shared" si="6"/>
        <v>8129.3</v>
      </c>
    </row>
    <row r="426" spans="3:5">
      <c r="C426" s="3" t="s">
        <v>75</v>
      </c>
      <c r="D426" s="3" t="s">
        <v>63</v>
      </c>
      <c r="E426">
        <f t="shared" si="6"/>
        <v>1820.4</v>
      </c>
    </row>
    <row r="427" spans="3:5">
      <c r="C427" s="4" t="s">
        <v>75</v>
      </c>
      <c r="D427" s="4" t="s">
        <v>89</v>
      </c>
      <c r="E427">
        <f t="shared" si="6"/>
        <v>1820.4</v>
      </c>
    </row>
    <row r="428" spans="3:5">
      <c r="C428" s="3" t="s">
        <v>65</v>
      </c>
      <c r="D428" s="3" t="s">
        <v>84</v>
      </c>
      <c r="E428">
        <f t="shared" si="6"/>
        <v>10825.8</v>
      </c>
    </row>
    <row r="429" spans="3:5">
      <c r="C429" s="4" t="s">
        <v>172</v>
      </c>
      <c r="D429" s="4" t="s">
        <v>16</v>
      </c>
      <c r="E429">
        <f t="shared" si="6"/>
        <v>7765.2</v>
      </c>
    </row>
    <row r="430" spans="3:5">
      <c r="C430" s="3" t="s">
        <v>46</v>
      </c>
      <c r="D430" s="3" t="s">
        <v>16</v>
      </c>
      <c r="E430">
        <f t="shared" si="6"/>
        <v>17402.8</v>
      </c>
    </row>
    <row r="431" spans="3:5">
      <c r="C431" s="4" t="s">
        <v>70</v>
      </c>
      <c r="D431" s="4" t="s">
        <v>133</v>
      </c>
      <c r="E431">
        <f t="shared" si="6"/>
        <v>2114.3000000000002</v>
      </c>
    </row>
    <row r="432" spans="3:5">
      <c r="C432" s="3" t="s">
        <v>114</v>
      </c>
      <c r="D432" s="3" t="s">
        <v>89</v>
      </c>
      <c r="E432">
        <f t="shared" si="6"/>
        <v>10820.4</v>
      </c>
    </row>
    <row r="433" spans="3:5">
      <c r="C433" s="4" t="s">
        <v>65</v>
      </c>
      <c r="D433" s="4" t="s">
        <v>51</v>
      </c>
      <c r="E433">
        <f t="shared" si="6"/>
        <v>10825.8</v>
      </c>
    </row>
    <row r="434" spans="3:5">
      <c r="C434" s="3" t="s">
        <v>26</v>
      </c>
      <c r="D434" s="3" t="s">
        <v>63</v>
      </c>
      <c r="E434">
        <f t="shared" si="6"/>
        <v>5174.3</v>
      </c>
    </row>
    <row r="435" spans="3:5">
      <c r="C435" s="4" t="s">
        <v>149</v>
      </c>
      <c r="D435" s="4" t="s">
        <v>39</v>
      </c>
      <c r="E435">
        <f t="shared" si="6"/>
        <v>5854.7</v>
      </c>
    </row>
    <row r="436" spans="3:5">
      <c r="C436" s="3" t="s">
        <v>149</v>
      </c>
      <c r="D436" s="3" t="s">
        <v>51</v>
      </c>
      <c r="E436">
        <f t="shared" si="6"/>
        <v>5854.7</v>
      </c>
    </row>
    <row r="437" spans="3:5">
      <c r="C437" s="4" t="s">
        <v>70</v>
      </c>
      <c r="D437" s="4" t="s">
        <v>503</v>
      </c>
      <c r="E437">
        <f t="shared" si="6"/>
        <v>2114.3000000000002</v>
      </c>
    </row>
    <row r="438" spans="3:5">
      <c r="C438" s="3" t="s">
        <v>172</v>
      </c>
      <c r="D438" s="3" t="s">
        <v>24</v>
      </c>
      <c r="E438">
        <f t="shared" si="6"/>
        <v>7765.2</v>
      </c>
    </row>
    <row r="439" spans="3:5">
      <c r="C439" s="4" t="s">
        <v>70</v>
      </c>
      <c r="D439" s="4" t="s">
        <v>84</v>
      </c>
      <c r="E439">
        <f t="shared" si="6"/>
        <v>2114.3000000000002</v>
      </c>
    </row>
    <row r="440" spans="3:5">
      <c r="C440" s="3" t="s">
        <v>172</v>
      </c>
      <c r="D440" s="3" t="s">
        <v>257</v>
      </c>
      <c r="E440">
        <f t="shared" si="6"/>
        <v>7765.2</v>
      </c>
    </row>
    <row r="441" spans="3:5">
      <c r="C441" s="4" t="s">
        <v>114</v>
      </c>
      <c r="D441" s="4" t="s">
        <v>133</v>
      </c>
      <c r="E441">
        <f t="shared" si="6"/>
        <v>10820.4</v>
      </c>
    </row>
    <row r="442" spans="3:5">
      <c r="C442" s="3" t="s">
        <v>75</v>
      </c>
      <c r="D442" s="3" t="s">
        <v>84</v>
      </c>
      <c r="E442">
        <f t="shared" si="6"/>
        <v>1820.4</v>
      </c>
    </row>
    <row r="443" spans="3:5">
      <c r="C443" s="4" t="s">
        <v>114</v>
      </c>
      <c r="D443" s="4" t="s">
        <v>118</v>
      </c>
      <c r="E443">
        <f t="shared" si="6"/>
        <v>10820.4</v>
      </c>
    </row>
    <row r="444" spans="3:5">
      <c r="C444" s="3" t="s">
        <v>18</v>
      </c>
      <c r="D444" s="3" t="s">
        <v>16</v>
      </c>
      <c r="E444">
        <f t="shared" si="6"/>
        <v>8129.3</v>
      </c>
    </row>
    <row r="445" spans="3:5">
      <c r="C445" s="4" t="s">
        <v>172</v>
      </c>
      <c r="D445" s="4" t="s">
        <v>493</v>
      </c>
      <c r="E445">
        <f t="shared" si="6"/>
        <v>7765.2</v>
      </c>
    </row>
    <row r="446" spans="3:5">
      <c r="C446" s="3" t="s">
        <v>46</v>
      </c>
      <c r="D446" s="3" t="s">
        <v>133</v>
      </c>
      <c r="E446">
        <f t="shared" si="6"/>
        <v>17402.8</v>
      </c>
    </row>
    <row r="447" spans="3:5">
      <c r="C447" s="4" t="s">
        <v>172</v>
      </c>
      <c r="D447" s="4" t="s">
        <v>51</v>
      </c>
      <c r="E447">
        <f t="shared" si="6"/>
        <v>7765.2</v>
      </c>
    </row>
    <row r="448" spans="3:5">
      <c r="C448" s="3" t="s">
        <v>149</v>
      </c>
      <c r="D448" s="3" t="s">
        <v>63</v>
      </c>
      <c r="E448">
        <f t="shared" si="6"/>
        <v>5854.7</v>
      </c>
    </row>
    <row r="449" spans="3:5">
      <c r="C449" s="4" t="s">
        <v>75</v>
      </c>
      <c r="D449" s="4" t="s">
        <v>84</v>
      </c>
      <c r="E449">
        <f t="shared" si="6"/>
        <v>1820.4</v>
      </c>
    </row>
    <row r="450" spans="3:5">
      <c r="C450" s="3" t="s">
        <v>53</v>
      </c>
      <c r="D450" s="3" t="s">
        <v>51</v>
      </c>
      <c r="E450">
        <f t="shared" si="6"/>
        <v>3512.1</v>
      </c>
    </row>
    <row r="451" spans="3:5">
      <c r="C451" s="4" t="s">
        <v>70</v>
      </c>
      <c r="D451" s="4" t="s">
        <v>39</v>
      </c>
      <c r="E451">
        <f t="shared" ref="E451:E514" si="7">VLOOKUP(C451,$A$2:$B$201,2,FALSE)</f>
        <v>2114.3000000000002</v>
      </c>
    </row>
    <row r="452" spans="3:5">
      <c r="C452" s="3" t="s">
        <v>46</v>
      </c>
      <c r="D452" s="3" t="s">
        <v>84</v>
      </c>
      <c r="E452">
        <f t="shared" si="7"/>
        <v>17402.8</v>
      </c>
    </row>
    <row r="453" spans="3:5">
      <c r="C453" s="4" t="s">
        <v>70</v>
      </c>
      <c r="D453" s="4" t="s">
        <v>176</v>
      </c>
      <c r="E453">
        <f t="shared" si="7"/>
        <v>2114.3000000000002</v>
      </c>
    </row>
    <row r="454" spans="3:5">
      <c r="C454" s="3" t="s">
        <v>65</v>
      </c>
      <c r="D454" s="3" t="s">
        <v>176</v>
      </c>
      <c r="E454">
        <f t="shared" si="7"/>
        <v>10825.8</v>
      </c>
    </row>
    <row r="455" spans="3:5">
      <c r="C455" s="4" t="s">
        <v>70</v>
      </c>
      <c r="D455" s="4" t="s">
        <v>133</v>
      </c>
      <c r="E455">
        <f t="shared" si="7"/>
        <v>2114.3000000000002</v>
      </c>
    </row>
    <row r="456" spans="3:5">
      <c r="C456" s="3" t="s">
        <v>65</v>
      </c>
      <c r="D456" s="3" t="s">
        <v>63</v>
      </c>
      <c r="E456">
        <f t="shared" si="7"/>
        <v>10825.8</v>
      </c>
    </row>
    <row r="457" spans="3:5">
      <c r="C457" s="4" t="s">
        <v>53</v>
      </c>
      <c r="D457" s="4" t="s">
        <v>89</v>
      </c>
      <c r="E457">
        <f t="shared" si="7"/>
        <v>3512.1</v>
      </c>
    </row>
    <row r="458" spans="3:5">
      <c r="C458" s="3" t="s">
        <v>46</v>
      </c>
      <c r="D458" s="3" t="s">
        <v>51</v>
      </c>
      <c r="E458">
        <f t="shared" si="7"/>
        <v>17402.8</v>
      </c>
    </row>
    <row r="459" spans="3:5">
      <c r="C459" s="4" t="s">
        <v>214</v>
      </c>
      <c r="D459" s="4" t="s">
        <v>39</v>
      </c>
      <c r="E459">
        <f t="shared" si="7"/>
        <v>5050.3</v>
      </c>
    </row>
    <row r="460" spans="3:5">
      <c r="C460" s="3" t="s">
        <v>172</v>
      </c>
      <c r="D460" s="3" t="s">
        <v>176</v>
      </c>
      <c r="E460">
        <f t="shared" si="7"/>
        <v>7765.2</v>
      </c>
    </row>
    <row r="461" spans="3:5">
      <c r="C461" s="4" t="s">
        <v>214</v>
      </c>
      <c r="D461" s="4" t="s">
        <v>16</v>
      </c>
      <c r="E461">
        <f t="shared" si="7"/>
        <v>5050.3</v>
      </c>
    </row>
    <row r="462" spans="3:5">
      <c r="C462" s="3" t="s">
        <v>53</v>
      </c>
      <c r="D462" s="3" t="s">
        <v>16</v>
      </c>
      <c r="E462">
        <f t="shared" si="7"/>
        <v>3512.1</v>
      </c>
    </row>
    <row r="463" spans="3:5">
      <c r="C463" s="4" t="s">
        <v>53</v>
      </c>
      <c r="D463" s="4" t="s">
        <v>63</v>
      </c>
      <c r="E463">
        <f t="shared" si="7"/>
        <v>3512.1</v>
      </c>
    </row>
    <row r="464" spans="3:5">
      <c r="C464" s="3" t="s">
        <v>53</v>
      </c>
      <c r="D464" s="3" t="s">
        <v>24</v>
      </c>
      <c r="E464">
        <f t="shared" si="7"/>
        <v>3512.1</v>
      </c>
    </row>
    <row r="465" spans="3:5">
      <c r="C465" s="4" t="s">
        <v>18</v>
      </c>
      <c r="D465" s="4" t="s">
        <v>84</v>
      </c>
      <c r="E465">
        <f t="shared" si="7"/>
        <v>8129.3</v>
      </c>
    </row>
    <row r="466" spans="3:5">
      <c r="C466" s="3" t="s">
        <v>114</v>
      </c>
      <c r="D466" s="3" t="s">
        <v>176</v>
      </c>
      <c r="E466">
        <f t="shared" si="7"/>
        <v>10820.4</v>
      </c>
    </row>
    <row r="467" spans="3:5">
      <c r="C467" s="4" t="s">
        <v>18</v>
      </c>
      <c r="D467" s="4" t="s">
        <v>51</v>
      </c>
      <c r="E467">
        <f t="shared" si="7"/>
        <v>8129.3</v>
      </c>
    </row>
    <row r="468" spans="3:5">
      <c r="C468" s="3" t="s">
        <v>172</v>
      </c>
      <c r="D468" s="3" t="s">
        <v>63</v>
      </c>
      <c r="E468">
        <f t="shared" si="7"/>
        <v>7765.2</v>
      </c>
    </row>
    <row r="469" spans="3:5">
      <c r="C469" s="4" t="s">
        <v>18</v>
      </c>
      <c r="D469" s="4" t="s">
        <v>133</v>
      </c>
      <c r="E469">
        <f t="shared" si="7"/>
        <v>8129.3</v>
      </c>
    </row>
    <row r="470" spans="3:5">
      <c r="C470" s="3" t="s">
        <v>18</v>
      </c>
      <c r="D470" s="3" t="s">
        <v>39</v>
      </c>
      <c r="E470">
        <f t="shared" si="7"/>
        <v>8129.3</v>
      </c>
    </row>
    <row r="471" spans="3:5">
      <c r="C471" s="4" t="s">
        <v>32</v>
      </c>
      <c r="D471" s="4" t="s">
        <v>63</v>
      </c>
      <c r="E471">
        <f t="shared" si="7"/>
        <v>1605.8</v>
      </c>
    </row>
    <row r="472" spans="3:5">
      <c r="C472" s="3" t="s">
        <v>32</v>
      </c>
      <c r="D472" s="3" t="s">
        <v>176</v>
      </c>
      <c r="E472">
        <f t="shared" si="7"/>
        <v>1605.8</v>
      </c>
    </row>
    <row r="473" spans="3:5">
      <c r="C473" s="4" t="s">
        <v>32</v>
      </c>
      <c r="D473" s="4" t="s">
        <v>39</v>
      </c>
      <c r="E473">
        <f t="shared" si="7"/>
        <v>1605.8</v>
      </c>
    </row>
    <row r="474" spans="3:5">
      <c r="C474" s="3" t="s">
        <v>75</v>
      </c>
      <c r="D474" s="3" t="s">
        <v>24</v>
      </c>
      <c r="E474">
        <f t="shared" si="7"/>
        <v>1820.4</v>
      </c>
    </row>
    <row r="475" spans="3:5">
      <c r="C475" s="4" t="s">
        <v>32</v>
      </c>
      <c r="D475" s="4" t="s">
        <v>24</v>
      </c>
      <c r="E475">
        <f t="shared" si="7"/>
        <v>1605.8</v>
      </c>
    </row>
    <row r="476" spans="3:5">
      <c r="C476" s="3" t="s">
        <v>46</v>
      </c>
      <c r="D476" s="3" t="s">
        <v>39</v>
      </c>
      <c r="E476">
        <f t="shared" si="7"/>
        <v>17402.8</v>
      </c>
    </row>
    <row r="477" spans="3:5">
      <c r="C477" s="4" t="s">
        <v>26</v>
      </c>
      <c r="D477" s="4" t="s">
        <v>118</v>
      </c>
      <c r="E477">
        <f t="shared" si="7"/>
        <v>5174.3</v>
      </c>
    </row>
    <row r="478" spans="3:5">
      <c r="C478" s="3" t="s">
        <v>18</v>
      </c>
      <c r="D478" s="3" t="s">
        <v>39</v>
      </c>
      <c r="E478">
        <f t="shared" si="7"/>
        <v>8129.3</v>
      </c>
    </row>
    <row r="479" spans="3:5">
      <c r="C479" s="4" t="s">
        <v>65</v>
      </c>
      <c r="D479" s="4" t="s">
        <v>89</v>
      </c>
      <c r="E479">
        <f t="shared" si="7"/>
        <v>10825.8</v>
      </c>
    </row>
    <row r="480" spans="3:5">
      <c r="C480" s="3" t="s">
        <v>214</v>
      </c>
      <c r="D480" s="3" t="s">
        <v>63</v>
      </c>
      <c r="E480">
        <f t="shared" si="7"/>
        <v>5050.3</v>
      </c>
    </row>
    <row r="481" spans="3:5">
      <c r="C481" s="4" t="s">
        <v>172</v>
      </c>
      <c r="D481" s="4" t="s">
        <v>89</v>
      </c>
      <c r="E481">
        <f t="shared" si="7"/>
        <v>7765.2</v>
      </c>
    </row>
    <row r="482" spans="3:5">
      <c r="C482" s="3" t="s">
        <v>65</v>
      </c>
      <c r="D482" s="3" t="s">
        <v>118</v>
      </c>
      <c r="E482">
        <f t="shared" si="7"/>
        <v>10825.8</v>
      </c>
    </row>
    <row r="483" spans="3:5">
      <c r="C483" s="4" t="s">
        <v>26</v>
      </c>
      <c r="D483" s="4" t="s">
        <v>16</v>
      </c>
      <c r="E483">
        <f t="shared" si="7"/>
        <v>5174.3</v>
      </c>
    </row>
    <row r="484" spans="3:5">
      <c r="C484" s="3" t="s">
        <v>32</v>
      </c>
      <c r="D484" s="3" t="s">
        <v>51</v>
      </c>
      <c r="E484">
        <f t="shared" si="7"/>
        <v>1605.8</v>
      </c>
    </row>
    <row r="485" spans="3:5">
      <c r="C485" s="4" t="s">
        <v>172</v>
      </c>
      <c r="D485" s="4" t="s">
        <v>51</v>
      </c>
      <c r="E485">
        <f t="shared" si="7"/>
        <v>7765.2</v>
      </c>
    </row>
    <row r="486" spans="3:5">
      <c r="C486" s="3" t="s">
        <v>46</v>
      </c>
      <c r="D486" s="3" t="s">
        <v>493</v>
      </c>
      <c r="E486">
        <f t="shared" si="7"/>
        <v>17402.8</v>
      </c>
    </row>
    <row r="487" spans="3:5">
      <c r="C487" s="4" t="s">
        <v>214</v>
      </c>
      <c r="D487" s="4" t="s">
        <v>558</v>
      </c>
      <c r="E487">
        <f t="shared" si="7"/>
        <v>5050.3</v>
      </c>
    </row>
    <row r="488" spans="3:5">
      <c r="C488" s="3" t="s">
        <v>46</v>
      </c>
      <c r="D488" s="3" t="s">
        <v>118</v>
      </c>
      <c r="E488">
        <f t="shared" si="7"/>
        <v>17402.8</v>
      </c>
    </row>
    <row r="489" spans="3:5">
      <c r="C489" s="4" t="s">
        <v>70</v>
      </c>
      <c r="D489" s="4" t="s">
        <v>16</v>
      </c>
      <c r="E489">
        <f t="shared" si="7"/>
        <v>2114.3000000000002</v>
      </c>
    </row>
    <row r="490" spans="3:5">
      <c r="C490" s="3" t="s">
        <v>214</v>
      </c>
      <c r="D490" s="3" t="s">
        <v>84</v>
      </c>
      <c r="E490">
        <f t="shared" si="7"/>
        <v>5050.3</v>
      </c>
    </row>
    <row r="491" spans="3:5">
      <c r="C491" s="4" t="s">
        <v>172</v>
      </c>
      <c r="D491" s="4" t="s">
        <v>63</v>
      </c>
      <c r="E491">
        <f t="shared" si="7"/>
        <v>7765.2</v>
      </c>
    </row>
    <row r="492" spans="3:5">
      <c r="C492" s="3" t="s">
        <v>65</v>
      </c>
      <c r="D492" s="3" t="s">
        <v>51</v>
      </c>
      <c r="E492">
        <f t="shared" si="7"/>
        <v>10825.8</v>
      </c>
    </row>
    <row r="493" spans="3:5">
      <c r="C493" s="4" t="s">
        <v>32</v>
      </c>
      <c r="D493" s="4" t="s">
        <v>84</v>
      </c>
      <c r="E493">
        <f t="shared" si="7"/>
        <v>1605.8</v>
      </c>
    </row>
    <row r="494" spans="3:5">
      <c r="C494" s="3" t="s">
        <v>18</v>
      </c>
      <c r="D494" s="3" t="s">
        <v>63</v>
      </c>
      <c r="E494">
        <f t="shared" si="7"/>
        <v>8129.3</v>
      </c>
    </row>
    <row r="495" spans="3:5">
      <c r="C495" s="4" t="s">
        <v>18</v>
      </c>
      <c r="D495" s="4" t="s">
        <v>39</v>
      </c>
      <c r="E495">
        <f t="shared" si="7"/>
        <v>8129.3</v>
      </c>
    </row>
    <row r="496" spans="3:5">
      <c r="C496" s="3" t="s">
        <v>53</v>
      </c>
      <c r="D496" s="3" t="s">
        <v>24</v>
      </c>
      <c r="E496">
        <f t="shared" si="7"/>
        <v>3512.1</v>
      </c>
    </row>
    <row r="497" spans="3:5">
      <c r="C497" s="4" t="s">
        <v>114</v>
      </c>
      <c r="D497" s="4" t="s">
        <v>118</v>
      </c>
      <c r="E497">
        <f t="shared" si="7"/>
        <v>10820.4</v>
      </c>
    </row>
    <row r="498" spans="3:5">
      <c r="C498" s="3" t="s">
        <v>53</v>
      </c>
      <c r="D498" s="3" t="s">
        <v>16</v>
      </c>
      <c r="E498">
        <f t="shared" si="7"/>
        <v>3512.1</v>
      </c>
    </row>
    <row r="499" spans="3:5">
      <c r="C499" s="4" t="s">
        <v>46</v>
      </c>
      <c r="D499" s="4" t="s">
        <v>24</v>
      </c>
      <c r="E499">
        <f t="shared" si="7"/>
        <v>17402.8</v>
      </c>
    </row>
    <row r="500" spans="3:5">
      <c r="C500" s="3" t="s">
        <v>70</v>
      </c>
      <c r="D500" s="3" t="s">
        <v>24</v>
      </c>
      <c r="E500">
        <f t="shared" si="7"/>
        <v>2114.3000000000002</v>
      </c>
    </row>
    <row r="501" spans="3:5">
      <c r="C501" s="4" t="s">
        <v>53</v>
      </c>
      <c r="D501" s="4" t="s">
        <v>84</v>
      </c>
      <c r="E501">
        <f t="shared" si="7"/>
        <v>3512.1</v>
      </c>
    </row>
    <row r="502" spans="3:5">
      <c r="C502" s="3" t="s">
        <v>26</v>
      </c>
      <c r="D502" s="3" t="s">
        <v>16</v>
      </c>
      <c r="E502">
        <f t="shared" si="7"/>
        <v>5174.3</v>
      </c>
    </row>
    <row r="503" spans="3:5">
      <c r="C503" s="4" t="s">
        <v>65</v>
      </c>
      <c r="D503" s="4" t="s">
        <v>51</v>
      </c>
      <c r="E503">
        <f t="shared" si="7"/>
        <v>10825.8</v>
      </c>
    </row>
    <row r="504" spans="3:5">
      <c r="C504" s="3" t="s">
        <v>70</v>
      </c>
      <c r="D504" s="3" t="s">
        <v>39</v>
      </c>
      <c r="E504">
        <f t="shared" si="7"/>
        <v>2114.3000000000002</v>
      </c>
    </row>
    <row r="505" spans="3:5">
      <c r="C505" s="4" t="s">
        <v>214</v>
      </c>
      <c r="D505" s="4" t="s">
        <v>89</v>
      </c>
      <c r="E505">
        <f t="shared" si="7"/>
        <v>5050.3</v>
      </c>
    </row>
    <row r="506" spans="3:5">
      <c r="C506" s="3" t="s">
        <v>46</v>
      </c>
      <c r="D506" s="3" t="s">
        <v>503</v>
      </c>
      <c r="E506">
        <f t="shared" si="7"/>
        <v>17402.8</v>
      </c>
    </row>
    <row r="507" spans="3:5">
      <c r="C507" s="4" t="s">
        <v>53</v>
      </c>
      <c r="D507" s="4" t="s">
        <v>89</v>
      </c>
      <c r="E507">
        <f t="shared" si="7"/>
        <v>3512.1</v>
      </c>
    </row>
    <row r="508" spans="3:5">
      <c r="C508" s="3" t="s">
        <v>65</v>
      </c>
      <c r="D508" s="3" t="s">
        <v>16</v>
      </c>
      <c r="E508">
        <f t="shared" si="7"/>
        <v>10825.8</v>
      </c>
    </row>
    <row r="509" spans="3:5">
      <c r="C509" s="4" t="s">
        <v>26</v>
      </c>
      <c r="D509" s="4" t="s">
        <v>89</v>
      </c>
      <c r="E509">
        <f t="shared" si="7"/>
        <v>5174.3</v>
      </c>
    </row>
    <row r="510" spans="3:5">
      <c r="C510" s="3" t="s">
        <v>18</v>
      </c>
      <c r="D510" s="3" t="s">
        <v>89</v>
      </c>
      <c r="E510">
        <f t="shared" si="7"/>
        <v>8129.3</v>
      </c>
    </row>
    <row r="511" spans="3:5">
      <c r="C511" s="4" t="s">
        <v>26</v>
      </c>
      <c r="D511" s="4" t="s">
        <v>16</v>
      </c>
      <c r="E511">
        <f t="shared" si="7"/>
        <v>5174.3</v>
      </c>
    </row>
    <row r="512" spans="3:5">
      <c r="C512" s="3" t="s">
        <v>114</v>
      </c>
      <c r="D512" s="3" t="s">
        <v>89</v>
      </c>
      <c r="E512">
        <f t="shared" si="7"/>
        <v>10820.4</v>
      </c>
    </row>
    <row r="513" spans="3:5">
      <c r="C513" s="4" t="s">
        <v>53</v>
      </c>
      <c r="D513" s="4" t="s">
        <v>118</v>
      </c>
      <c r="E513">
        <f t="shared" si="7"/>
        <v>3512.1</v>
      </c>
    </row>
    <row r="514" spans="3:5">
      <c r="C514" s="3" t="s">
        <v>172</v>
      </c>
      <c r="D514" s="3" t="s">
        <v>16</v>
      </c>
      <c r="E514">
        <f t="shared" si="7"/>
        <v>7765.2</v>
      </c>
    </row>
    <row r="515" spans="3:5">
      <c r="C515" s="4" t="s">
        <v>172</v>
      </c>
      <c r="D515" s="4" t="s">
        <v>63</v>
      </c>
      <c r="E515">
        <f t="shared" ref="E515:E578" si="8">VLOOKUP(C515,$A$2:$B$201,2,FALSE)</f>
        <v>7765.2</v>
      </c>
    </row>
    <row r="516" spans="3:5">
      <c r="C516" s="3" t="s">
        <v>32</v>
      </c>
      <c r="D516" s="3" t="s">
        <v>24</v>
      </c>
      <c r="E516">
        <f t="shared" si="8"/>
        <v>1605.8</v>
      </c>
    </row>
    <row r="517" spans="3:5">
      <c r="C517" s="4" t="s">
        <v>26</v>
      </c>
      <c r="D517" s="4" t="s">
        <v>89</v>
      </c>
      <c r="E517">
        <f t="shared" si="8"/>
        <v>5174.3</v>
      </c>
    </row>
    <row r="518" spans="3:5">
      <c r="C518" s="3" t="s">
        <v>65</v>
      </c>
      <c r="D518" s="3" t="s">
        <v>133</v>
      </c>
      <c r="E518">
        <f t="shared" si="8"/>
        <v>10825.8</v>
      </c>
    </row>
    <row r="519" spans="3:5">
      <c r="C519" s="4" t="s">
        <v>65</v>
      </c>
      <c r="D519" s="4" t="s">
        <v>176</v>
      </c>
      <c r="E519">
        <f t="shared" si="8"/>
        <v>10825.8</v>
      </c>
    </row>
    <row r="520" spans="3:5">
      <c r="C520" s="3" t="s">
        <v>46</v>
      </c>
      <c r="D520" s="3" t="s">
        <v>51</v>
      </c>
      <c r="E520">
        <f t="shared" si="8"/>
        <v>17402.8</v>
      </c>
    </row>
    <row r="521" spans="3:5">
      <c r="C521" s="4" t="s">
        <v>53</v>
      </c>
      <c r="D521" s="4" t="s">
        <v>39</v>
      </c>
      <c r="E521">
        <f t="shared" si="8"/>
        <v>3512.1</v>
      </c>
    </row>
    <row r="522" spans="3:5">
      <c r="C522" s="3" t="s">
        <v>75</v>
      </c>
      <c r="D522" s="3" t="s">
        <v>24</v>
      </c>
      <c r="E522">
        <f t="shared" si="8"/>
        <v>1820.4</v>
      </c>
    </row>
    <row r="523" spans="3:5">
      <c r="C523" s="4" t="s">
        <v>32</v>
      </c>
      <c r="D523" s="4" t="s">
        <v>118</v>
      </c>
      <c r="E523">
        <f t="shared" si="8"/>
        <v>1605.8</v>
      </c>
    </row>
    <row r="524" spans="3:5">
      <c r="C524" s="3" t="s">
        <v>172</v>
      </c>
      <c r="D524" s="3" t="s">
        <v>89</v>
      </c>
      <c r="E524">
        <f t="shared" si="8"/>
        <v>7765.2</v>
      </c>
    </row>
    <row r="525" spans="3:5">
      <c r="C525" s="4" t="s">
        <v>46</v>
      </c>
      <c r="D525" s="4" t="s">
        <v>16</v>
      </c>
      <c r="E525">
        <f t="shared" si="8"/>
        <v>17402.8</v>
      </c>
    </row>
    <row r="526" spans="3:5">
      <c r="C526" s="3" t="s">
        <v>75</v>
      </c>
      <c r="D526" s="3" t="s">
        <v>24</v>
      </c>
      <c r="E526">
        <f t="shared" si="8"/>
        <v>1820.4</v>
      </c>
    </row>
    <row r="527" spans="3:5">
      <c r="C527" s="4" t="s">
        <v>149</v>
      </c>
      <c r="D527" s="4" t="s">
        <v>24</v>
      </c>
      <c r="E527">
        <f t="shared" si="8"/>
        <v>5854.7</v>
      </c>
    </row>
    <row r="528" spans="3:5">
      <c r="C528" s="3" t="s">
        <v>214</v>
      </c>
      <c r="D528" s="3" t="s">
        <v>118</v>
      </c>
      <c r="E528">
        <f t="shared" si="8"/>
        <v>5050.3</v>
      </c>
    </row>
    <row r="529" spans="3:5">
      <c r="C529" s="4" t="s">
        <v>65</v>
      </c>
      <c r="D529" s="4" t="s">
        <v>89</v>
      </c>
      <c r="E529">
        <f t="shared" si="8"/>
        <v>10825.8</v>
      </c>
    </row>
    <row r="530" spans="3:5">
      <c r="C530" s="3" t="s">
        <v>75</v>
      </c>
      <c r="D530" s="3" t="s">
        <v>24</v>
      </c>
      <c r="E530">
        <f t="shared" si="8"/>
        <v>1820.4</v>
      </c>
    </row>
    <row r="531" spans="3:5">
      <c r="C531" s="4" t="s">
        <v>65</v>
      </c>
      <c r="D531" s="4" t="s">
        <v>176</v>
      </c>
      <c r="E531">
        <f t="shared" si="8"/>
        <v>10825.8</v>
      </c>
    </row>
    <row r="532" spans="3:5">
      <c r="C532" s="3" t="s">
        <v>53</v>
      </c>
      <c r="D532" s="3" t="s">
        <v>51</v>
      </c>
      <c r="E532">
        <f t="shared" si="8"/>
        <v>3512.1</v>
      </c>
    </row>
    <row r="533" spans="3:5">
      <c r="C533" s="4" t="s">
        <v>32</v>
      </c>
      <c r="D533" s="4" t="s">
        <v>133</v>
      </c>
      <c r="E533">
        <f t="shared" si="8"/>
        <v>1605.8</v>
      </c>
    </row>
    <row r="534" spans="3:5">
      <c r="C534" s="3" t="s">
        <v>18</v>
      </c>
      <c r="D534" s="3" t="s">
        <v>176</v>
      </c>
      <c r="E534">
        <f t="shared" si="8"/>
        <v>8129.3</v>
      </c>
    </row>
    <row r="535" spans="3:5">
      <c r="C535" s="4" t="s">
        <v>70</v>
      </c>
      <c r="D535" s="4" t="s">
        <v>89</v>
      </c>
      <c r="E535">
        <f t="shared" si="8"/>
        <v>2114.3000000000002</v>
      </c>
    </row>
    <row r="536" spans="3:5">
      <c r="C536" s="3" t="s">
        <v>75</v>
      </c>
      <c r="D536" s="3" t="s">
        <v>84</v>
      </c>
      <c r="E536">
        <f t="shared" si="8"/>
        <v>1820.4</v>
      </c>
    </row>
    <row r="537" spans="3:5">
      <c r="C537" s="4" t="s">
        <v>75</v>
      </c>
      <c r="D537" s="4" t="s">
        <v>51</v>
      </c>
      <c r="E537">
        <f t="shared" si="8"/>
        <v>1820.4</v>
      </c>
    </row>
    <row r="538" spans="3:5">
      <c r="C538" s="3" t="s">
        <v>149</v>
      </c>
      <c r="D538" s="3" t="s">
        <v>118</v>
      </c>
      <c r="E538">
        <f t="shared" si="8"/>
        <v>5854.7</v>
      </c>
    </row>
    <row r="539" spans="3:5">
      <c r="C539" s="4" t="s">
        <v>26</v>
      </c>
      <c r="D539" s="4" t="s">
        <v>133</v>
      </c>
      <c r="E539">
        <f t="shared" si="8"/>
        <v>5174.3</v>
      </c>
    </row>
    <row r="540" spans="3:5">
      <c r="C540" s="3" t="s">
        <v>32</v>
      </c>
      <c r="D540" s="3" t="s">
        <v>24</v>
      </c>
      <c r="E540">
        <f t="shared" si="8"/>
        <v>1605.8</v>
      </c>
    </row>
    <row r="541" spans="3:5">
      <c r="C541" s="4" t="s">
        <v>65</v>
      </c>
      <c r="D541" s="4" t="s">
        <v>176</v>
      </c>
      <c r="E541">
        <f t="shared" si="8"/>
        <v>10825.8</v>
      </c>
    </row>
    <row r="542" spans="3:5">
      <c r="C542" s="3" t="s">
        <v>65</v>
      </c>
      <c r="D542" s="3" t="s">
        <v>39</v>
      </c>
      <c r="E542">
        <f t="shared" si="8"/>
        <v>10825.8</v>
      </c>
    </row>
    <row r="543" spans="3:5">
      <c r="C543" s="4" t="s">
        <v>149</v>
      </c>
      <c r="D543" s="4" t="s">
        <v>176</v>
      </c>
      <c r="E543">
        <f t="shared" si="8"/>
        <v>5854.7</v>
      </c>
    </row>
    <row r="544" spans="3:5">
      <c r="C544" s="3" t="s">
        <v>46</v>
      </c>
      <c r="D544" s="3" t="s">
        <v>89</v>
      </c>
      <c r="E544">
        <f t="shared" si="8"/>
        <v>17402.8</v>
      </c>
    </row>
    <row r="545" spans="3:5">
      <c r="C545" s="4" t="s">
        <v>114</v>
      </c>
      <c r="D545" s="4" t="s">
        <v>84</v>
      </c>
      <c r="E545">
        <f t="shared" si="8"/>
        <v>10820.4</v>
      </c>
    </row>
    <row r="546" spans="3:5">
      <c r="C546" s="3" t="s">
        <v>46</v>
      </c>
      <c r="D546" s="3" t="s">
        <v>84</v>
      </c>
      <c r="E546">
        <f t="shared" si="8"/>
        <v>17402.8</v>
      </c>
    </row>
    <row r="547" spans="3:5">
      <c r="C547" s="4" t="s">
        <v>70</v>
      </c>
      <c r="D547" s="4" t="s">
        <v>16</v>
      </c>
      <c r="E547">
        <f t="shared" si="8"/>
        <v>2114.3000000000002</v>
      </c>
    </row>
    <row r="548" spans="3:5">
      <c r="C548" s="3" t="s">
        <v>65</v>
      </c>
      <c r="D548" s="3" t="s">
        <v>133</v>
      </c>
      <c r="E548">
        <f t="shared" si="8"/>
        <v>10825.8</v>
      </c>
    </row>
    <row r="549" spans="3:5">
      <c r="C549" s="4" t="s">
        <v>26</v>
      </c>
      <c r="D549" s="4" t="s">
        <v>133</v>
      </c>
      <c r="E549">
        <f t="shared" si="8"/>
        <v>5174.3</v>
      </c>
    </row>
    <row r="550" spans="3:5">
      <c r="C550" s="3" t="s">
        <v>70</v>
      </c>
      <c r="D550" s="3" t="s">
        <v>133</v>
      </c>
      <c r="E550">
        <f t="shared" si="8"/>
        <v>2114.3000000000002</v>
      </c>
    </row>
    <row r="551" spans="3:5">
      <c r="C551" s="4" t="s">
        <v>26</v>
      </c>
      <c r="D551" s="4" t="s">
        <v>133</v>
      </c>
      <c r="E551">
        <f t="shared" si="8"/>
        <v>5174.3</v>
      </c>
    </row>
    <row r="552" spans="3:5">
      <c r="C552" s="3" t="s">
        <v>70</v>
      </c>
      <c r="D552" s="3" t="s">
        <v>84</v>
      </c>
      <c r="E552">
        <f t="shared" si="8"/>
        <v>2114.3000000000002</v>
      </c>
    </row>
    <row r="553" spans="3:5">
      <c r="C553" s="4" t="s">
        <v>53</v>
      </c>
      <c r="D553" s="4" t="s">
        <v>89</v>
      </c>
      <c r="E553">
        <f t="shared" si="8"/>
        <v>3512.1</v>
      </c>
    </row>
    <row r="554" spans="3:5">
      <c r="C554" s="3" t="s">
        <v>53</v>
      </c>
      <c r="D554" s="3" t="s">
        <v>133</v>
      </c>
      <c r="E554">
        <f t="shared" si="8"/>
        <v>3512.1</v>
      </c>
    </row>
    <row r="555" spans="3:5">
      <c r="C555" s="4" t="s">
        <v>75</v>
      </c>
      <c r="D555" s="4" t="s">
        <v>118</v>
      </c>
      <c r="E555">
        <f t="shared" si="8"/>
        <v>1820.4</v>
      </c>
    </row>
    <row r="556" spans="3:5">
      <c r="C556" s="3" t="s">
        <v>32</v>
      </c>
      <c r="D556" s="3" t="s">
        <v>89</v>
      </c>
      <c r="E556">
        <f t="shared" si="8"/>
        <v>1605.8</v>
      </c>
    </row>
    <row r="557" spans="3:5">
      <c r="C557" s="4" t="s">
        <v>172</v>
      </c>
      <c r="D557" s="4" t="s">
        <v>39</v>
      </c>
      <c r="E557">
        <f t="shared" si="8"/>
        <v>7765.2</v>
      </c>
    </row>
    <row r="558" spans="3:5">
      <c r="C558" s="3" t="s">
        <v>65</v>
      </c>
      <c r="D558" s="3" t="s">
        <v>24</v>
      </c>
      <c r="E558">
        <f t="shared" si="8"/>
        <v>10825.8</v>
      </c>
    </row>
    <row r="559" spans="3:5">
      <c r="C559" s="4" t="s">
        <v>26</v>
      </c>
      <c r="D559" s="4" t="s">
        <v>39</v>
      </c>
      <c r="E559">
        <f t="shared" si="8"/>
        <v>5174.3</v>
      </c>
    </row>
    <row r="560" spans="3:5">
      <c r="C560" s="3" t="s">
        <v>26</v>
      </c>
      <c r="D560" s="3" t="s">
        <v>133</v>
      </c>
      <c r="E560">
        <f t="shared" si="8"/>
        <v>5174.3</v>
      </c>
    </row>
    <row r="561" spans="3:5">
      <c r="C561" s="4" t="s">
        <v>32</v>
      </c>
      <c r="D561" s="4" t="s">
        <v>133</v>
      </c>
      <c r="E561">
        <f t="shared" si="8"/>
        <v>1605.8</v>
      </c>
    </row>
    <row r="562" spans="3:5">
      <c r="C562" s="3" t="s">
        <v>26</v>
      </c>
      <c r="D562" s="3" t="s">
        <v>84</v>
      </c>
      <c r="E562">
        <f t="shared" si="8"/>
        <v>5174.3</v>
      </c>
    </row>
    <row r="563" spans="3:5">
      <c r="C563" s="4" t="s">
        <v>172</v>
      </c>
      <c r="D563" s="4" t="s">
        <v>63</v>
      </c>
      <c r="E563">
        <f t="shared" si="8"/>
        <v>7765.2</v>
      </c>
    </row>
    <row r="564" spans="3:5">
      <c r="C564" s="3" t="s">
        <v>26</v>
      </c>
      <c r="D564" s="3" t="s">
        <v>24</v>
      </c>
      <c r="E564">
        <f t="shared" si="8"/>
        <v>5174.3</v>
      </c>
    </row>
    <row r="565" spans="3:5">
      <c r="C565" s="4" t="s">
        <v>65</v>
      </c>
      <c r="D565" s="4" t="s">
        <v>16</v>
      </c>
      <c r="E565">
        <f t="shared" si="8"/>
        <v>10825.8</v>
      </c>
    </row>
    <row r="566" spans="3:5">
      <c r="C566" s="3" t="s">
        <v>18</v>
      </c>
      <c r="D566" s="3" t="s">
        <v>176</v>
      </c>
      <c r="E566">
        <f t="shared" si="8"/>
        <v>8129.3</v>
      </c>
    </row>
    <row r="567" spans="3:5">
      <c r="C567" s="4" t="s">
        <v>53</v>
      </c>
      <c r="D567" s="4" t="s">
        <v>16</v>
      </c>
      <c r="E567">
        <f t="shared" si="8"/>
        <v>3512.1</v>
      </c>
    </row>
    <row r="568" spans="3:5">
      <c r="C568" s="3" t="s">
        <v>32</v>
      </c>
      <c r="D568" s="3" t="s">
        <v>133</v>
      </c>
      <c r="E568">
        <f t="shared" si="8"/>
        <v>1605.8</v>
      </c>
    </row>
    <row r="569" spans="3:5">
      <c r="C569" s="4" t="s">
        <v>65</v>
      </c>
      <c r="D569" s="4" t="s">
        <v>89</v>
      </c>
      <c r="E569">
        <f t="shared" si="8"/>
        <v>10825.8</v>
      </c>
    </row>
    <row r="570" spans="3:5">
      <c r="C570" s="3" t="s">
        <v>26</v>
      </c>
      <c r="D570" s="3" t="s">
        <v>51</v>
      </c>
      <c r="E570">
        <f t="shared" si="8"/>
        <v>5174.3</v>
      </c>
    </row>
    <row r="571" spans="3:5">
      <c r="C571" s="4" t="s">
        <v>114</v>
      </c>
      <c r="D571" s="4" t="s">
        <v>51</v>
      </c>
      <c r="E571">
        <f t="shared" si="8"/>
        <v>10820.4</v>
      </c>
    </row>
    <row r="572" spans="3:5">
      <c r="C572" s="3" t="s">
        <v>65</v>
      </c>
      <c r="D572" s="3" t="s">
        <v>16</v>
      </c>
      <c r="E572">
        <f t="shared" si="8"/>
        <v>10825.8</v>
      </c>
    </row>
    <row r="573" spans="3:5">
      <c r="C573" s="4" t="s">
        <v>53</v>
      </c>
      <c r="D573" s="4" t="s">
        <v>176</v>
      </c>
      <c r="E573">
        <f t="shared" si="8"/>
        <v>3512.1</v>
      </c>
    </row>
    <row r="574" spans="3:5">
      <c r="C574" s="3" t="s">
        <v>65</v>
      </c>
      <c r="D574" s="3" t="s">
        <v>133</v>
      </c>
      <c r="E574">
        <f t="shared" si="8"/>
        <v>10825.8</v>
      </c>
    </row>
    <row r="575" spans="3:5">
      <c r="C575" s="4" t="s">
        <v>46</v>
      </c>
      <c r="D575" s="4" t="s">
        <v>51</v>
      </c>
      <c r="E575">
        <f t="shared" si="8"/>
        <v>17402.8</v>
      </c>
    </row>
    <row r="576" spans="3:5">
      <c r="C576" s="3" t="s">
        <v>46</v>
      </c>
      <c r="D576" s="3" t="s">
        <v>51</v>
      </c>
      <c r="E576">
        <f t="shared" si="8"/>
        <v>17402.8</v>
      </c>
    </row>
    <row r="577" spans="3:5">
      <c r="C577" s="4" t="s">
        <v>53</v>
      </c>
      <c r="D577" s="4" t="s">
        <v>84</v>
      </c>
      <c r="E577">
        <f t="shared" si="8"/>
        <v>3512.1</v>
      </c>
    </row>
    <row r="578" spans="3:5">
      <c r="C578" s="3" t="s">
        <v>46</v>
      </c>
      <c r="D578" s="3" t="s">
        <v>89</v>
      </c>
      <c r="E578">
        <f t="shared" si="8"/>
        <v>17402.8</v>
      </c>
    </row>
    <row r="579" spans="3:5">
      <c r="C579" s="4" t="s">
        <v>149</v>
      </c>
      <c r="D579" s="4" t="s">
        <v>84</v>
      </c>
      <c r="E579">
        <f t="shared" ref="E579:E601" si="9">VLOOKUP(C579,$A$2:$B$201,2,FALSE)</f>
        <v>5854.7</v>
      </c>
    </row>
    <row r="580" spans="3:5">
      <c r="C580" s="3" t="s">
        <v>149</v>
      </c>
      <c r="D580" s="3" t="s">
        <v>63</v>
      </c>
      <c r="E580">
        <f t="shared" si="9"/>
        <v>5854.7</v>
      </c>
    </row>
    <row r="581" spans="3:5">
      <c r="C581" s="4" t="s">
        <v>32</v>
      </c>
      <c r="D581" s="4" t="s">
        <v>410</v>
      </c>
      <c r="E581">
        <f t="shared" si="9"/>
        <v>1605.8</v>
      </c>
    </row>
    <row r="582" spans="3:5">
      <c r="C582" s="3" t="s">
        <v>172</v>
      </c>
      <c r="D582" s="3" t="s">
        <v>84</v>
      </c>
      <c r="E582">
        <f t="shared" si="9"/>
        <v>7765.2</v>
      </c>
    </row>
    <row r="583" spans="3:5">
      <c r="C583" s="4" t="s">
        <v>172</v>
      </c>
      <c r="D583" s="4" t="s">
        <v>16</v>
      </c>
      <c r="E583">
        <f t="shared" si="9"/>
        <v>7765.2</v>
      </c>
    </row>
    <row r="584" spans="3:5">
      <c r="C584" s="3" t="s">
        <v>53</v>
      </c>
      <c r="D584" s="3" t="s">
        <v>24</v>
      </c>
      <c r="E584">
        <f t="shared" si="9"/>
        <v>3512.1</v>
      </c>
    </row>
    <row r="585" spans="3:5">
      <c r="C585" s="4" t="s">
        <v>18</v>
      </c>
      <c r="D585" s="4" t="s">
        <v>24</v>
      </c>
      <c r="E585">
        <f t="shared" si="9"/>
        <v>8129.3</v>
      </c>
    </row>
    <row r="586" spans="3:5">
      <c r="C586" s="3" t="s">
        <v>214</v>
      </c>
      <c r="D586" s="3" t="s">
        <v>63</v>
      </c>
      <c r="E586">
        <f t="shared" si="9"/>
        <v>5050.3</v>
      </c>
    </row>
    <row r="587" spans="3:5">
      <c r="C587" s="4" t="s">
        <v>32</v>
      </c>
      <c r="D587" s="4" t="s">
        <v>133</v>
      </c>
      <c r="E587">
        <f t="shared" si="9"/>
        <v>1605.8</v>
      </c>
    </row>
    <row r="588" spans="3:5">
      <c r="C588" s="3" t="s">
        <v>214</v>
      </c>
      <c r="D588" s="3" t="s">
        <v>39</v>
      </c>
      <c r="E588">
        <f t="shared" si="9"/>
        <v>5050.3</v>
      </c>
    </row>
    <row r="589" spans="3:5">
      <c r="C589" s="4" t="s">
        <v>114</v>
      </c>
      <c r="D589" s="4" t="s">
        <v>16</v>
      </c>
      <c r="E589">
        <f t="shared" si="9"/>
        <v>10820.4</v>
      </c>
    </row>
    <row r="590" spans="3:5">
      <c r="C590" s="3" t="s">
        <v>75</v>
      </c>
      <c r="D590" s="3" t="s">
        <v>133</v>
      </c>
      <c r="E590">
        <f t="shared" si="9"/>
        <v>1820.4</v>
      </c>
    </row>
    <row r="591" spans="3:5">
      <c r="C591" s="4" t="s">
        <v>70</v>
      </c>
      <c r="D591" s="4" t="s">
        <v>84</v>
      </c>
      <c r="E591">
        <f t="shared" si="9"/>
        <v>2114.3000000000002</v>
      </c>
    </row>
    <row r="592" spans="3:5">
      <c r="C592" s="3" t="s">
        <v>172</v>
      </c>
      <c r="D592" s="3" t="s">
        <v>176</v>
      </c>
      <c r="E592">
        <f t="shared" si="9"/>
        <v>7765.2</v>
      </c>
    </row>
    <row r="593" spans="3:5">
      <c r="C593" s="4" t="s">
        <v>114</v>
      </c>
      <c r="D593" s="4" t="s">
        <v>84</v>
      </c>
      <c r="E593">
        <f t="shared" si="9"/>
        <v>10820.4</v>
      </c>
    </row>
    <row r="594" spans="3:5">
      <c r="C594" s="3" t="s">
        <v>18</v>
      </c>
      <c r="D594" s="3" t="s">
        <v>39</v>
      </c>
      <c r="E594">
        <f t="shared" si="9"/>
        <v>8129.3</v>
      </c>
    </row>
    <row r="595" spans="3:5">
      <c r="C595" s="4" t="s">
        <v>114</v>
      </c>
      <c r="D595" s="4" t="s">
        <v>89</v>
      </c>
      <c r="E595">
        <f t="shared" si="9"/>
        <v>10820.4</v>
      </c>
    </row>
    <row r="596" spans="3:5">
      <c r="C596" s="3" t="s">
        <v>65</v>
      </c>
      <c r="D596" s="3" t="s">
        <v>89</v>
      </c>
      <c r="E596">
        <f t="shared" si="9"/>
        <v>10825.8</v>
      </c>
    </row>
    <row r="597" spans="3:5">
      <c r="C597" s="4" t="s">
        <v>70</v>
      </c>
      <c r="D597" s="4" t="s">
        <v>51</v>
      </c>
      <c r="E597">
        <f t="shared" si="9"/>
        <v>2114.3000000000002</v>
      </c>
    </row>
    <row r="598" spans="3:5">
      <c r="C598" s="3" t="s">
        <v>70</v>
      </c>
      <c r="D598" s="3" t="s">
        <v>63</v>
      </c>
      <c r="E598">
        <f t="shared" si="9"/>
        <v>2114.3000000000002</v>
      </c>
    </row>
    <row r="599" spans="3:5">
      <c r="C599" s="4" t="s">
        <v>75</v>
      </c>
      <c r="D599" s="4" t="s">
        <v>16</v>
      </c>
      <c r="E599">
        <f t="shared" si="9"/>
        <v>1820.4</v>
      </c>
    </row>
    <row r="600" spans="3:5">
      <c r="C600" s="3" t="s">
        <v>26</v>
      </c>
      <c r="D600" s="3" t="s">
        <v>84</v>
      </c>
      <c r="E600">
        <f t="shared" si="9"/>
        <v>5174.3</v>
      </c>
    </row>
    <row r="601" spans="3:5">
      <c r="C601" s="5" t="s">
        <v>172</v>
      </c>
      <c r="D601" s="5" t="s">
        <v>24</v>
      </c>
      <c r="E601">
        <f t="shared" si="9"/>
        <v>7765.2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B890-0197-4CF0-B9CD-6CB74408EA59}">
  <sheetPr>
    <tabColor rgb="FF92D050"/>
  </sheetPr>
  <dimension ref="A3:B14"/>
  <sheetViews>
    <sheetView workbookViewId="0">
      <selection activeCell="J11" sqref="J11"/>
    </sheetView>
  </sheetViews>
  <sheetFormatPr defaultRowHeight="15"/>
  <cols>
    <col min="1" max="1" width="14.85546875" bestFit="1" customWidth="1"/>
    <col min="2" max="2" width="36.85546875" bestFit="1" customWidth="1"/>
  </cols>
  <sheetData>
    <row r="3" spans="1:2">
      <c r="A3" s="60" t="s">
        <v>3</v>
      </c>
      <c r="B3" t="s">
        <v>5892</v>
      </c>
    </row>
    <row r="4" spans="1:2">
      <c r="A4" t="s">
        <v>89</v>
      </c>
      <c r="B4" s="61">
        <v>7451.3868852458972</v>
      </c>
    </row>
    <row r="5" spans="1:2">
      <c r="A5" t="s">
        <v>24</v>
      </c>
      <c r="B5" s="61">
        <v>6147.7238095238081</v>
      </c>
    </row>
    <row r="6" spans="1:2">
      <c r="A6" t="s">
        <v>16</v>
      </c>
      <c r="B6" s="61">
        <v>7952.7118644067777</v>
      </c>
    </row>
    <row r="7" spans="1:2">
      <c r="A7" t="s">
        <v>39</v>
      </c>
      <c r="B7" s="61">
        <v>5880.0406779660989</v>
      </c>
    </row>
    <row r="8" spans="1:2">
      <c r="A8" t="s">
        <v>176</v>
      </c>
      <c r="B8" s="61">
        <v>6538.5295454545449</v>
      </c>
    </row>
    <row r="9" spans="1:2">
      <c r="A9" t="s">
        <v>84</v>
      </c>
      <c r="B9" s="61">
        <v>6659.3112903225792</v>
      </c>
    </row>
    <row r="10" spans="1:2">
      <c r="A10" t="s">
        <v>118</v>
      </c>
      <c r="B10" s="61">
        <v>6716.6310344827571</v>
      </c>
    </row>
    <row r="11" spans="1:2">
      <c r="A11" t="s">
        <v>63</v>
      </c>
      <c r="B11" s="61">
        <v>6268.7118644067777</v>
      </c>
    </row>
    <row r="12" spans="1:2">
      <c r="A12" t="s">
        <v>133</v>
      </c>
      <c r="B12" s="61">
        <v>5674.3346938775476</v>
      </c>
    </row>
    <row r="13" spans="1:2">
      <c r="A13" t="s">
        <v>51</v>
      </c>
      <c r="B13" s="61">
        <v>6545.9784615384588</v>
      </c>
    </row>
    <row r="14" spans="1:2">
      <c r="A14" t="s">
        <v>5884</v>
      </c>
      <c r="B14" s="61">
        <v>6584.3299999999626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B12B-ADF4-48DA-A0DC-5DD79B49EF91}">
  <sheetPr>
    <tabColor rgb="FF002060"/>
  </sheetPr>
  <dimension ref="A1:M604"/>
  <sheetViews>
    <sheetView topLeftCell="T14" workbookViewId="0">
      <selection activeCell="T21" sqref="T21"/>
    </sheetView>
  </sheetViews>
  <sheetFormatPr defaultRowHeight="15"/>
  <cols>
    <col min="1" max="1" width="20.7109375" customWidth="1"/>
    <col min="2" max="2" width="19.28515625" customWidth="1"/>
    <col min="3" max="3" width="27" bestFit="1" customWidth="1"/>
    <col min="4" max="4" width="9.42578125" bestFit="1" customWidth="1"/>
    <col min="6" max="6" width="20.7109375" bestFit="1" customWidth="1"/>
    <col min="7" max="7" width="11.85546875" bestFit="1" customWidth="1"/>
    <col min="9" max="9" width="15.7109375" bestFit="1" customWidth="1"/>
    <col min="10" max="10" width="29.28515625" bestFit="1" customWidth="1"/>
    <col min="12" max="12" width="15.7109375" bestFit="1" customWidth="1"/>
    <col min="13" max="14" width="25" bestFit="1" customWidth="1"/>
  </cols>
  <sheetData>
    <row r="1" spans="1:13">
      <c r="C1" s="60" t="s">
        <v>11</v>
      </c>
      <c r="D1" t="s">
        <v>35</v>
      </c>
      <c r="F1" s="60" t="s">
        <v>11</v>
      </c>
      <c r="G1" t="s">
        <v>29</v>
      </c>
      <c r="L1" s="60" t="s">
        <v>0</v>
      </c>
      <c r="M1" t="s">
        <v>5882</v>
      </c>
    </row>
    <row r="2" spans="1:13">
      <c r="L2" t="s">
        <v>13</v>
      </c>
      <c r="M2" s="82">
        <v>82466</v>
      </c>
    </row>
    <row r="3" spans="1:13">
      <c r="A3" t="s">
        <v>5893</v>
      </c>
      <c r="C3" t="s">
        <v>5894</v>
      </c>
      <c r="F3" t="s">
        <v>5893</v>
      </c>
      <c r="I3" s="60" t="s">
        <v>0</v>
      </c>
      <c r="J3" t="s">
        <v>5895</v>
      </c>
      <c r="L3" t="s">
        <v>21</v>
      </c>
      <c r="M3" s="82">
        <v>56048</v>
      </c>
    </row>
    <row r="4" spans="1:13">
      <c r="A4" s="61">
        <v>600</v>
      </c>
      <c r="C4" s="61">
        <v>386</v>
      </c>
      <c r="F4" s="61">
        <v>110</v>
      </c>
      <c r="I4" t="s">
        <v>13</v>
      </c>
      <c r="J4" s="82">
        <v>4.5</v>
      </c>
      <c r="L4" t="s">
        <v>30</v>
      </c>
      <c r="M4" s="82">
        <v>196711</v>
      </c>
    </row>
    <row r="5" spans="1:13">
      <c r="I5" t="s">
        <v>21</v>
      </c>
      <c r="J5" s="82">
        <v>1.5</v>
      </c>
      <c r="L5" t="s">
        <v>36</v>
      </c>
      <c r="M5" s="82">
        <v>55130</v>
      </c>
    </row>
    <row r="6" spans="1:13">
      <c r="I6" t="s">
        <v>30</v>
      </c>
      <c r="J6" s="82">
        <v>3.4</v>
      </c>
      <c r="L6" t="s">
        <v>43</v>
      </c>
      <c r="M6" s="82">
        <v>112039</v>
      </c>
    </row>
    <row r="7" spans="1:13">
      <c r="I7" t="s">
        <v>36</v>
      </c>
      <c r="J7" s="82">
        <v>2.7</v>
      </c>
      <c r="L7" t="s">
        <v>49</v>
      </c>
      <c r="M7" s="82">
        <v>90908</v>
      </c>
    </row>
    <row r="8" spans="1:13">
      <c r="I8" t="s">
        <v>43</v>
      </c>
      <c r="J8" s="82">
        <v>4.9000000000000004</v>
      </c>
      <c r="L8" t="s">
        <v>55</v>
      </c>
      <c r="M8" s="82">
        <v>146760</v>
      </c>
    </row>
    <row r="9" spans="1:13">
      <c r="I9" t="s">
        <v>49</v>
      </c>
      <c r="J9" s="82">
        <v>2.9</v>
      </c>
      <c r="L9" t="s">
        <v>60</v>
      </c>
      <c r="M9" s="82">
        <v>163509</v>
      </c>
    </row>
    <row r="10" spans="1:13">
      <c r="I10" t="s">
        <v>55</v>
      </c>
      <c r="J10" s="82"/>
      <c r="L10" t="s">
        <v>67</v>
      </c>
      <c r="M10" s="82">
        <v>27340</v>
      </c>
    </row>
    <row r="11" spans="1:13">
      <c r="I11" t="s">
        <v>60</v>
      </c>
      <c r="J11" s="82">
        <v>2.2999999999999998</v>
      </c>
      <c r="L11" t="s">
        <v>72</v>
      </c>
      <c r="M11" s="82">
        <v>48871</v>
      </c>
    </row>
    <row r="12" spans="1:13">
      <c r="I12" t="s">
        <v>67</v>
      </c>
      <c r="J12" s="82">
        <v>3.2</v>
      </c>
      <c r="L12" t="s">
        <v>77</v>
      </c>
      <c r="M12" s="82">
        <v>181618</v>
      </c>
    </row>
    <row r="13" spans="1:13">
      <c r="I13" t="s">
        <v>72</v>
      </c>
      <c r="J13" s="82"/>
      <c r="L13" t="s">
        <v>81</v>
      </c>
      <c r="M13" s="82">
        <v>215352</v>
      </c>
    </row>
    <row r="14" spans="1:13">
      <c r="I14" t="s">
        <v>77</v>
      </c>
      <c r="J14" s="82">
        <v>4.7</v>
      </c>
      <c r="L14" t="s">
        <v>87</v>
      </c>
      <c r="M14" s="82">
        <v>60493</v>
      </c>
    </row>
    <row r="15" spans="1:13">
      <c r="I15" t="s">
        <v>81</v>
      </c>
      <c r="J15" s="82">
        <v>2.6</v>
      </c>
      <c r="L15" t="s">
        <v>92</v>
      </c>
      <c r="M15" s="82">
        <v>114298</v>
      </c>
    </row>
    <row r="16" spans="1:13">
      <c r="I16" t="s">
        <v>87</v>
      </c>
      <c r="J16" s="82">
        <v>4.5999999999999996</v>
      </c>
      <c r="L16" t="s">
        <v>96</v>
      </c>
      <c r="M16" s="82">
        <v>204206</v>
      </c>
    </row>
    <row r="17" spans="9:13">
      <c r="I17" t="s">
        <v>92</v>
      </c>
      <c r="J17" s="82">
        <v>3.5</v>
      </c>
      <c r="L17" t="s">
        <v>100</v>
      </c>
      <c r="M17" s="82">
        <v>89394</v>
      </c>
    </row>
    <row r="18" spans="9:13">
      <c r="I18" t="s">
        <v>96</v>
      </c>
      <c r="J18" s="82">
        <v>1.7</v>
      </c>
      <c r="L18" t="s">
        <v>103</v>
      </c>
      <c r="M18" s="82">
        <v>123031</v>
      </c>
    </row>
    <row r="19" spans="9:13">
      <c r="I19" t="s">
        <v>100</v>
      </c>
      <c r="J19" s="82">
        <v>4.0999999999999996</v>
      </c>
      <c r="L19" t="s">
        <v>107</v>
      </c>
      <c r="M19" s="82">
        <v>104303</v>
      </c>
    </row>
    <row r="20" spans="9:13">
      <c r="I20" t="s">
        <v>103</v>
      </c>
      <c r="J20" s="82">
        <v>4.8</v>
      </c>
      <c r="L20" t="s">
        <v>111</v>
      </c>
      <c r="M20" s="82">
        <v>135019</v>
      </c>
    </row>
    <row r="21" spans="9:13">
      <c r="I21" t="s">
        <v>107</v>
      </c>
      <c r="J21" s="82">
        <v>1.8</v>
      </c>
      <c r="L21" t="s">
        <v>116</v>
      </c>
      <c r="M21" s="82">
        <v>18476</v>
      </c>
    </row>
    <row r="22" spans="9:13">
      <c r="I22" t="s">
        <v>111</v>
      </c>
      <c r="J22" s="82">
        <v>3</v>
      </c>
      <c r="L22" t="s">
        <v>121</v>
      </c>
      <c r="M22" s="82">
        <v>61682</v>
      </c>
    </row>
    <row r="23" spans="9:13">
      <c r="I23" t="s">
        <v>116</v>
      </c>
      <c r="J23" s="82">
        <v>4.3</v>
      </c>
      <c r="L23" t="s">
        <v>125</v>
      </c>
      <c r="M23" s="82">
        <v>67370</v>
      </c>
    </row>
    <row r="24" spans="9:13">
      <c r="I24" t="s">
        <v>121</v>
      </c>
      <c r="J24" s="82">
        <v>4.4000000000000004</v>
      </c>
      <c r="L24" t="s">
        <v>128</v>
      </c>
      <c r="M24" s="82">
        <v>146392</v>
      </c>
    </row>
    <row r="25" spans="9:13">
      <c r="I25" t="s">
        <v>125</v>
      </c>
      <c r="J25" s="82">
        <v>3</v>
      </c>
      <c r="L25" t="s">
        <v>131</v>
      </c>
      <c r="M25" s="82">
        <v>60938</v>
      </c>
    </row>
    <row r="26" spans="9:13">
      <c r="I26" t="s">
        <v>128</v>
      </c>
      <c r="J26" s="82">
        <v>3.9</v>
      </c>
      <c r="L26" t="s">
        <v>136</v>
      </c>
      <c r="M26" s="82">
        <v>79498</v>
      </c>
    </row>
    <row r="27" spans="9:13">
      <c r="I27" t="s">
        <v>131</v>
      </c>
      <c r="J27" s="82">
        <v>4.5</v>
      </c>
      <c r="L27" t="s">
        <v>140</v>
      </c>
      <c r="M27" s="82">
        <v>27411</v>
      </c>
    </row>
    <row r="28" spans="9:13">
      <c r="I28" t="s">
        <v>136</v>
      </c>
      <c r="J28" s="82">
        <v>4.9000000000000004</v>
      </c>
      <c r="L28" t="s">
        <v>143</v>
      </c>
      <c r="M28" s="82">
        <v>59389</v>
      </c>
    </row>
    <row r="29" spans="9:13">
      <c r="I29" t="s">
        <v>140</v>
      </c>
      <c r="J29" s="82">
        <v>4.0999999999999996</v>
      </c>
      <c r="L29" t="s">
        <v>147</v>
      </c>
      <c r="M29" s="82">
        <v>170334</v>
      </c>
    </row>
    <row r="30" spans="9:13">
      <c r="I30" t="s">
        <v>143</v>
      </c>
      <c r="J30" s="82">
        <v>3.9</v>
      </c>
      <c r="L30" t="s">
        <v>151</v>
      </c>
      <c r="M30" s="82">
        <v>164560</v>
      </c>
    </row>
    <row r="31" spans="9:13">
      <c r="I31" t="s">
        <v>147</v>
      </c>
      <c r="J31" s="82">
        <v>2.8</v>
      </c>
      <c r="L31" t="s">
        <v>154</v>
      </c>
      <c r="M31" s="82">
        <v>40814</v>
      </c>
    </row>
    <row r="32" spans="9:13">
      <c r="I32" t="s">
        <v>151</v>
      </c>
      <c r="J32" s="82">
        <v>4.7</v>
      </c>
      <c r="L32" t="s">
        <v>157</v>
      </c>
      <c r="M32" s="82">
        <v>69831</v>
      </c>
    </row>
    <row r="33" spans="9:13">
      <c r="I33" t="s">
        <v>154</v>
      </c>
      <c r="J33" s="82">
        <v>3.1</v>
      </c>
      <c r="L33" t="s">
        <v>160</v>
      </c>
      <c r="M33" s="82">
        <v>75148</v>
      </c>
    </row>
    <row r="34" spans="9:13">
      <c r="I34" t="s">
        <v>157</v>
      </c>
      <c r="J34" s="82">
        <v>2.2999999999999998</v>
      </c>
      <c r="L34" t="s">
        <v>164</v>
      </c>
      <c r="M34" s="82">
        <v>82622</v>
      </c>
    </row>
    <row r="35" spans="9:13">
      <c r="I35" t="s">
        <v>160</v>
      </c>
      <c r="J35" s="82">
        <v>2.2000000000000002</v>
      </c>
      <c r="L35" t="s">
        <v>167</v>
      </c>
      <c r="M35" s="82"/>
    </row>
    <row r="36" spans="9:13">
      <c r="I36" t="s">
        <v>164</v>
      </c>
      <c r="J36" s="82">
        <v>4.8</v>
      </c>
      <c r="L36" t="s">
        <v>170</v>
      </c>
      <c r="M36" s="82">
        <v>107257</v>
      </c>
    </row>
    <row r="37" spans="9:13">
      <c r="I37" t="s">
        <v>167</v>
      </c>
      <c r="J37" s="82">
        <v>3.8</v>
      </c>
      <c r="L37" t="s">
        <v>174</v>
      </c>
      <c r="M37" s="82">
        <v>169784</v>
      </c>
    </row>
    <row r="38" spans="9:13">
      <c r="I38" t="s">
        <v>170</v>
      </c>
      <c r="J38" s="82">
        <v>4.9000000000000004</v>
      </c>
      <c r="L38" t="s">
        <v>179</v>
      </c>
      <c r="M38" s="82">
        <v>99048</v>
      </c>
    </row>
    <row r="39" spans="9:13">
      <c r="I39" t="s">
        <v>174</v>
      </c>
      <c r="J39" s="82">
        <v>2.4</v>
      </c>
      <c r="L39" t="s">
        <v>183</v>
      </c>
      <c r="M39" s="82">
        <v>182023</v>
      </c>
    </row>
    <row r="40" spans="9:13">
      <c r="I40" t="s">
        <v>179</v>
      </c>
      <c r="J40" s="82">
        <v>3.1</v>
      </c>
      <c r="L40" t="s">
        <v>186</v>
      </c>
      <c r="M40" s="82">
        <v>140041</v>
      </c>
    </row>
    <row r="41" spans="9:13">
      <c r="I41" t="s">
        <v>183</v>
      </c>
      <c r="J41" s="82">
        <v>4.7</v>
      </c>
      <c r="L41" t="s">
        <v>189</v>
      </c>
      <c r="M41" s="82">
        <v>159138</v>
      </c>
    </row>
    <row r="42" spans="9:13">
      <c r="I42" t="s">
        <v>186</v>
      </c>
      <c r="J42" s="82">
        <v>3.4</v>
      </c>
      <c r="L42" t="s">
        <v>192</v>
      </c>
      <c r="M42" s="82">
        <v>25880</v>
      </c>
    </row>
    <row r="43" spans="9:13">
      <c r="I43" t="s">
        <v>189</v>
      </c>
      <c r="J43" s="82">
        <v>2.9</v>
      </c>
      <c r="L43" t="s">
        <v>195</v>
      </c>
      <c r="M43" s="82">
        <v>68820</v>
      </c>
    </row>
    <row r="44" spans="9:13">
      <c r="I44" t="s">
        <v>192</v>
      </c>
      <c r="J44" s="82">
        <v>3.1</v>
      </c>
      <c r="L44" t="s">
        <v>199</v>
      </c>
      <c r="M44" s="82">
        <v>148155</v>
      </c>
    </row>
    <row r="45" spans="9:13">
      <c r="I45" t="s">
        <v>195</v>
      </c>
      <c r="J45" s="82">
        <v>2.6</v>
      </c>
      <c r="L45" t="s">
        <v>202</v>
      </c>
      <c r="M45" s="82">
        <v>209821</v>
      </c>
    </row>
    <row r="46" spans="9:13">
      <c r="I46" t="s">
        <v>199</v>
      </c>
      <c r="J46" s="82">
        <v>3.3</v>
      </c>
      <c r="L46" t="s">
        <v>206</v>
      </c>
      <c r="M46" s="82">
        <v>152528</v>
      </c>
    </row>
    <row r="47" spans="9:13">
      <c r="I47" t="s">
        <v>202</v>
      </c>
      <c r="J47" s="82">
        <v>2.7</v>
      </c>
      <c r="L47" t="s">
        <v>209</v>
      </c>
      <c r="M47" s="82">
        <v>97366</v>
      </c>
    </row>
    <row r="48" spans="9:13">
      <c r="I48" t="s">
        <v>206</v>
      </c>
      <c r="J48" s="82">
        <v>4.3</v>
      </c>
      <c r="L48" t="s">
        <v>212</v>
      </c>
      <c r="M48" s="82">
        <v>216086</v>
      </c>
    </row>
    <row r="49" spans="9:13">
      <c r="I49" t="s">
        <v>209</v>
      </c>
      <c r="J49" s="82">
        <v>2.2999999999999998</v>
      </c>
      <c r="L49" t="s">
        <v>216</v>
      </c>
      <c r="M49" s="82">
        <v>70884</v>
      </c>
    </row>
    <row r="50" spans="9:13">
      <c r="I50" t="s">
        <v>212</v>
      </c>
      <c r="J50" s="82">
        <v>4.5</v>
      </c>
      <c r="L50" t="s">
        <v>219</v>
      </c>
      <c r="M50" s="82">
        <v>110793</v>
      </c>
    </row>
    <row r="51" spans="9:13">
      <c r="I51" t="s">
        <v>216</v>
      </c>
      <c r="J51" s="82">
        <v>2.9</v>
      </c>
      <c r="L51" t="s">
        <v>223</v>
      </c>
      <c r="M51" s="82">
        <v>86586</v>
      </c>
    </row>
    <row r="52" spans="9:13">
      <c r="I52" t="s">
        <v>219</v>
      </c>
      <c r="J52" s="82">
        <v>2.8</v>
      </c>
      <c r="L52" t="s">
        <v>227</v>
      </c>
      <c r="M52" s="82">
        <v>78651</v>
      </c>
    </row>
    <row r="53" spans="9:13">
      <c r="I53" t="s">
        <v>223</v>
      </c>
      <c r="J53" s="82">
        <v>5</v>
      </c>
      <c r="L53" t="s">
        <v>231</v>
      </c>
      <c r="M53" s="82">
        <v>151447</v>
      </c>
    </row>
    <row r="54" spans="9:13">
      <c r="I54" t="s">
        <v>227</v>
      </c>
      <c r="J54" s="82">
        <v>4.5999999999999996</v>
      </c>
      <c r="L54" t="s">
        <v>234</v>
      </c>
      <c r="M54" s="82">
        <v>182020</v>
      </c>
    </row>
    <row r="55" spans="9:13">
      <c r="I55" t="s">
        <v>231</v>
      </c>
      <c r="J55" s="82">
        <v>3.6</v>
      </c>
      <c r="L55" t="s">
        <v>237</v>
      </c>
      <c r="M55" s="82">
        <v>156848</v>
      </c>
    </row>
    <row r="56" spans="9:13">
      <c r="I56" t="s">
        <v>234</v>
      </c>
      <c r="J56" s="82">
        <v>1.5</v>
      </c>
      <c r="L56" t="s">
        <v>240</v>
      </c>
      <c r="M56" s="82">
        <v>78572</v>
      </c>
    </row>
    <row r="57" spans="9:13">
      <c r="I57" t="s">
        <v>237</v>
      </c>
      <c r="J57" s="82">
        <v>4.9000000000000004</v>
      </c>
      <c r="L57" t="s">
        <v>244</v>
      </c>
      <c r="M57" s="82">
        <v>104006</v>
      </c>
    </row>
    <row r="58" spans="9:13">
      <c r="I58" t="s">
        <v>240</v>
      </c>
      <c r="J58" s="82">
        <v>3.4</v>
      </c>
      <c r="L58" t="s">
        <v>246</v>
      </c>
      <c r="M58" s="82">
        <v>138740</v>
      </c>
    </row>
    <row r="59" spans="9:13">
      <c r="I59" t="s">
        <v>244</v>
      </c>
      <c r="J59" s="82">
        <v>1.6</v>
      </c>
      <c r="L59" t="s">
        <v>249</v>
      </c>
      <c r="M59" s="82">
        <v>218169</v>
      </c>
    </row>
    <row r="60" spans="9:13">
      <c r="I60" t="s">
        <v>246</v>
      </c>
      <c r="J60" s="82">
        <v>1.5</v>
      </c>
      <c r="L60" t="s">
        <v>252</v>
      </c>
      <c r="M60" s="82">
        <v>204952</v>
      </c>
    </row>
    <row r="61" spans="9:13">
      <c r="I61" t="s">
        <v>249</v>
      </c>
      <c r="J61" s="82">
        <v>1.5</v>
      </c>
      <c r="L61" t="s">
        <v>256</v>
      </c>
      <c r="M61" s="82">
        <v>146603</v>
      </c>
    </row>
    <row r="62" spans="9:13">
      <c r="I62" t="s">
        <v>252</v>
      </c>
      <c r="J62" s="82">
        <v>4.5999999999999996</v>
      </c>
      <c r="L62" t="s">
        <v>259</v>
      </c>
      <c r="M62" s="82">
        <v>188122</v>
      </c>
    </row>
    <row r="63" spans="9:13">
      <c r="I63" t="s">
        <v>256</v>
      </c>
      <c r="J63" s="82">
        <v>2.4</v>
      </c>
      <c r="L63" t="s">
        <v>262</v>
      </c>
      <c r="M63" s="82">
        <v>139124</v>
      </c>
    </row>
    <row r="64" spans="9:13">
      <c r="I64" t="s">
        <v>259</v>
      </c>
      <c r="J64" s="82">
        <v>4.5</v>
      </c>
      <c r="L64" t="s">
        <v>265</v>
      </c>
      <c r="M64" s="82">
        <v>114528</v>
      </c>
    </row>
    <row r="65" spans="9:13">
      <c r="I65" t="s">
        <v>262</v>
      </c>
      <c r="J65" s="82">
        <v>3.8</v>
      </c>
      <c r="L65" t="s">
        <v>268</v>
      </c>
      <c r="M65" s="82">
        <v>140259</v>
      </c>
    </row>
    <row r="66" spans="9:13">
      <c r="I66" t="s">
        <v>265</v>
      </c>
      <c r="J66" s="82">
        <v>3.6</v>
      </c>
      <c r="L66" t="s">
        <v>271</v>
      </c>
      <c r="M66" s="82">
        <v>125209</v>
      </c>
    </row>
    <row r="67" spans="9:13">
      <c r="I67" t="s">
        <v>268</v>
      </c>
      <c r="J67" s="82">
        <v>1.5</v>
      </c>
      <c r="L67" t="s">
        <v>274</v>
      </c>
      <c r="M67" s="82">
        <v>83984</v>
      </c>
    </row>
    <row r="68" spans="9:13">
      <c r="I68" t="s">
        <v>271</v>
      </c>
      <c r="J68" s="82">
        <v>3.7</v>
      </c>
      <c r="L68" t="s">
        <v>276</v>
      </c>
      <c r="M68" s="82">
        <v>195043</v>
      </c>
    </row>
    <row r="69" spans="9:13">
      <c r="I69" t="s">
        <v>274</v>
      </c>
      <c r="J69" s="82">
        <v>1.8</v>
      </c>
      <c r="L69" t="s">
        <v>279</v>
      </c>
      <c r="M69" s="82">
        <v>147464</v>
      </c>
    </row>
    <row r="70" spans="9:13">
      <c r="I70" t="s">
        <v>276</v>
      </c>
      <c r="J70" s="82">
        <v>2.7</v>
      </c>
      <c r="L70" t="s">
        <v>282</v>
      </c>
      <c r="M70" s="82">
        <v>191662</v>
      </c>
    </row>
    <row r="71" spans="9:13">
      <c r="I71" t="s">
        <v>279</v>
      </c>
      <c r="J71" s="82">
        <v>4.2</v>
      </c>
      <c r="L71" t="s">
        <v>285</v>
      </c>
      <c r="M71" s="82">
        <v>147325</v>
      </c>
    </row>
    <row r="72" spans="9:13">
      <c r="I72" t="s">
        <v>282</v>
      </c>
      <c r="J72" s="82">
        <v>4.3</v>
      </c>
      <c r="L72" t="s">
        <v>288</v>
      </c>
      <c r="M72" s="82">
        <v>60223</v>
      </c>
    </row>
    <row r="73" spans="9:13">
      <c r="I73" t="s">
        <v>285</v>
      </c>
      <c r="J73" s="82">
        <v>4.3</v>
      </c>
      <c r="L73" t="s">
        <v>291</v>
      </c>
      <c r="M73" s="82">
        <v>171441</v>
      </c>
    </row>
    <row r="74" spans="9:13">
      <c r="I74" t="s">
        <v>288</v>
      </c>
      <c r="J74" s="82">
        <v>3.9</v>
      </c>
      <c r="L74" t="s">
        <v>294</v>
      </c>
      <c r="M74" s="82">
        <v>160848</v>
      </c>
    </row>
    <row r="75" spans="9:13">
      <c r="I75" t="s">
        <v>291</v>
      </c>
      <c r="J75" s="82">
        <v>1.8</v>
      </c>
      <c r="L75" t="s">
        <v>296</v>
      </c>
      <c r="M75" s="82">
        <v>51851</v>
      </c>
    </row>
    <row r="76" spans="9:13">
      <c r="I76" t="s">
        <v>294</v>
      </c>
      <c r="J76" s="82">
        <v>3.6</v>
      </c>
      <c r="L76" t="s">
        <v>299</v>
      </c>
      <c r="M76" s="82">
        <v>54271</v>
      </c>
    </row>
    <row r="77" spans="9:13">
      <c r="I77" t="s">
        <v>296</v>
      </c>
      <c r="J77" s="82">
        <v>2.7</v>
      </c>
      <c r="L77" t="s">
        <v>303</v>
      </c>
      <c r="M77" s="82">
        <v>185311</v>
      </c>
    </row>
    <row r="78" spans="9:13">
      <c r="I78" t="s">
        <v>299</v>
      </c>
      <c r="J78" s="82">
        <v>5</v>
      </c>
      <c r="L78" t="s">
        <v>305</v>
      </c>
      <c r="M78" s="82">
        <v>21210</v>
      </c>
    </row>
    <row r="79" spans="9:13">
      <c r="I79" t="s">
        <v>303</v>
      </c>
      <c r="J79" s="82">
        <v>4.4000000000000004</v>
      </c>
      <c r="L79" t="s">
        <v>308</v>
      </c>
      <c r="M79" s="82">
        <v>206224</v>
      </c>
    </row>
    <row r="80" spans="9:13">
      <c r="I80" t="s">
        <v>305</v>
      </c>
      <c r="J80" s="82">
        <v>3.1</v>
      </c>
      <c r="L80" t="s">
        <v>310</v>
      </c>
      <c r="M80" s="82">
        <v>29751</v>
      </c>
    </row>
    <row r="81" spans="9:13">
      <c r="I81" t="s">
        <v>308</v>
      </c>
      <c r="J81" s="82">
        <v>4.2</v>
      </c>
      <c r="L81" t="s">
        <v>313</v>
      </c>
      <c r="M81" s="82">
        <v>144101</v>
      </c>
    </row>
    <row r="82" spans="9:13">
      <c r="I82" t="s">
        <v>310</v>
      </c>
      <c r="J82" s="82">
        <v>3.3</v>
      </c>
      <c r="L82" t="s">
        <v>316</v>
      </c>
      <c r="M82" s="82">
        <v>216646</v>
      </c>
    </row>
    <row r="83" spans="9:13">
      <c r="I83" t="s">
        <v>313</v>
      </c>
      <c r="J83" s="82">
        <v>2.2000000000000002</v>
      </c>
      <c r="L83" t="s">
        <v>319</v>
      </c>
      <c r="M83" s="82">
        <v>162895</v>
      </c>
    </row>
    <row r="84" spans="9:13">
      <c r="I84" t="s">
        <v>316</v>
      </c>
      <c r="J84" s="82">
        <v>3.3</v>
      </c>
      <c r="L84" t="s">
        <v>322</v>
      </c>
      <c r="M84" s="82">
        <v>166422</v>
      </c>
    </row>
    <row r="85" spans="9:13">
      <c r="I85" t="s">
        <v>319</v>
      </c>
      <c r="J85" s="82">
        <v>1.9</v>
      </c>
      <c r="L85" t="s">
        <v>325</v>
      </c>
      <c r="M85" s="82">
        <v>152673</v>
      </c>
    </row>
    <row r="86" spans="9:13">
      <c r="I86" t="s">
        <v>322</v>
      </c>
      <c r="J86" s="82">
        <v>3.1</v>
      </c>
      <c r="L86" t="s">
        <v>327</v>
      </c>
      <c r="M86" s="82">
        <v>172835</v>
      </c>
    </row>
    <row r="87" spans="9:13">
      <c r="I87" t="s">
        <v>325</v>
      </c>
      <c r="J87" s="82">
        <v>4.3</v>
      </c>
      <c r="L87" t="s">
        <v>330</v>
      </c>
      <c r="M87" s="82">
        <v>135640</v>
      </c>
    </row>
    <row r="88" spans="9:13">
      <c r="I88" t="s">
        <v>327</v>
      </c>
      <c r="J88" s="82">
        <v>4.5999999999999996</v>
      </c>
      <c r="L88" t="s">
        <v>333</v>
      </c>
      <c r="M88" s="82">
        <v>92821</v>
      </c>
    </row>
    <row r="89" spans="9:13">
      <c r="I89" t="s">
        <v>330</v>
      </c>
      <c r="J89" s="82">
        <v>4.4000000000000004</v>
      </c>
      <c r="L89" t="s">
        <v>337</v>
      </c>
      <c r="M89" s="82">
        <v>171943</v>
      </c>
    </row>
    <row r="90" spans="9:13">
      <c r="I90" t="s">
        <v>333</v>
      </c>
      <c r="J90" s="82">
        <v>4.9000000000000004</v>
      </c>
      <c r="L90" t="s">
        <v>340</v>
      </c>
      <c r="M90" s="82">
        <v>168067</v>
      </c>
    </row>
    <row r="91" spans="9:13">
      <c r="I91" t="s">
        <v>337</v>
      </c>
      <c r="J91" s="82">
        <v>1.9</v>
      </c>
      <c r="L91" t="s">
        <v>343</v>
      </c>
      <c r="M91" s="82">
        <v>39381</v>
      </c>
    </row>
    <row r="92" spans="9:13">
      <c r="I92" t="s">
        <v>340</v>
      </c>
      <c r="J92" s="82">
        <v>1.7</v>
      </c>
      <c r="L92" t="s">
        <v>346</v>
      </c>
      <c r="M92" s="82">
        <v>116535</v>
      </c>
    </row>
    <row r="93" spans="9:13">
      <c r="I93" t="s">
        <v>343</v>
      </c>
      <c r="J93" s="82">
        <v>2.5</v>
      </c>
      <c r="L93" t="s">
        <v>348</v>
      </c>
      <c r="M93" s="82">
        <v>155371</v>
      </c>
    </row>
    <row r="94" spans="9:13">
      <c r="I94" t="s">
        <v>346</v>
      </c>
      <c r="J94" s="82">
        <v>4</v>
      </c>
      <c r="L94" t="s">
        <v>351</v>
      </c>
      <c r="M94" s="82">
        <v>103116</v>
      </c>
    </row>
    <row r="95" spans="9:13">
      <c r="I95" t="s">
        <v>348</v>
      </c>
      <c r="J95" s="82">
        <v>2.9</v>
      </c>
      <c r="L95" t="s">
        <v>353</v>
      </c>
      <c r="M95" s="82">
        <v>81344</v>
      </c>
    </row>
    <row r="96" spans="9:13">
      <c r="I96" t="s">
        <v>351</v>
      </c>
      <c r="J96" s="82">
        <v>4.5999999999999996</v>
      </c>
      <c r="L96" t="s">
        <v>356</v>
      </c>
      <c r="M96" s="82">
        <v>97775</v>
      </c>
    </row>
    <row r="97" spans="9:13">
      <c r="I97" t="s">
        <v>353</v>
      </c>
      <c r="J97" s="82">
        <v>4.7</v>
      </c>
      <c r="L97" t="s">
        <v>358</v>
      </c>
      <c r="M97" s="82">
        <v>79443</v>
      </c>
    </row>
    <row r="98" spans="9:13">
      <c r="I98" t="s">
        <v>356</v>
      </c>
      <c r="J98" s="82">
        <v>2</v>
      </c>
      <c r="L98" t="s">
        <v>361</v>
      </c>
      <c r="M98" s="82">
        <v>144649</v>
      </c>
    </row>
    <row r="99" spans="9:13">
      <c r="I99" t="s">
        <v>358</v>
      </c>
      <c r="J99" s="82">
        <v>4.4000000000000004</v>
      </c>
      <c r="L99" t="s">
        <v>363</v>
      </c>
      <c r="M99" s="82">
        <v>74877</v>
      </c>
    </row>
    <row r="100" spans="9:13">
      <c r="I100" t="s">
        <v>361</v>
      </c>
      <c r="J100" s="82">
        <v>2.9</v>
      </c>
      <c r="L100" t="s">
        <v>366</v>
      </c>
      <c r="M100" s="82">
        <v>91290</v>
      </c>
    </row>
    <row r="101" spans="9:13">
      <c r="I101" t="s">
        <v>363</v>
      </c>
      <c r="J101" s="82">
        <v>2.9</v>
      </c>
      <c r="L101" t="s">
        <v>369</v>
      </c>
      <c r="M101" s="82">
        <v>109864</v>
      </c>
    </row>
    <row r="102" spans="9:13">
      <c r="I102" t="s">
        <v>366</v>
      </c>
      <c r="J102" s="82">
        <v>2.9</v>
      </c>
      <c r="L102" t="s">
        <v>371</v>
      </c>
      <c r="M102" s="82">
        <v>112692</v>
      </c>
    </row>
    <row r="103" spans="9:13">
      <c r="I103" t="s">
        <v>369</v>
      </c>
      <c r="J103" s="82">
        <v>2.5</v>
      </c>
      <c r="L103" t="s">
        <v>374</v>
      </c>
      <c r="M103" s="82">
        <v>176983</v>
      </c>
    </row>
    <row r="104" spans="9:13">
      <c r="I104" t="s">
        <v>371</v>
      </c>
      <c r="J104" s="82">
        <v>1.9</v>
      </c>
      <c r="L104" t="s">
        <v>377</v>
      </c>
      <c r="M104" s="82">
        <v>84562</v>
      </c>
    </row>
    <row r="105" spans="9:13">
      <c r="I105" t="s">
        <v>374</v>
      </c>
      <c r="J105" s="82">
        <v>3.4</v>
      </c>
      <c r="L105" t="s">
        <v>380</v>
      </c>
      <c r="M105" s="82">
        <v>24064</v>
      </c>
    </row>
    <row r="106" spans="9:13">
      <c r="I106" t="s">
        <v>377</v>
      </c>
      <c r="J106" s="82">
        <v>3.8</v>
      </c>
      <c r="L106" t="s">
        <v>382</v>
      </c>
      <c r="M106" s="82">
        <v>210235</v>
      </c>
    </row>
    <row r="107" spans="9:13">
      <c r="I107" t="s">
        <v>380</v>
      </c>
      <c r="J107" s="82">
        <v>3</v>
      </c>
      <c r="L107" t="s">
        <v>385</v>
      </c>
      <c r="M107" s="82">
        <v>117095</v>
      </c>
    </row>
    <row r="108" spans="9:13">
      <c r="I108" t="s">
        <v>382</v>
      </c>
      <c r="J108" s="82">
        <v>2.5</v>
      </c>
      <c r="L108" t="s">
        <v>388</v>
      </c>
      <c r="M108" s="82">
        <v>185754</v>
      </c>
    </row>
    <row r="109" spans="9:13">
      <c r="I109" t="s">
        <v>385</v>
      </c>
      <c r="J109" s="82">
        <v>3.9</v>
      </c>
      <c r="L109" t="s">
        <v>390</v>
      </c>
      <c r="M109" s="82">
        <v>84612</v>
      </c>
    </row>
    <row r="110" spans="9:13">
      <c r="I110" t="s">
        <v>388</v>
      </c>
      <c r="J110" s="82">
        <v>4.3</v>
      </c>
      <c r="L110" t="s">
        <v>393</v>
      </c>
      <c r="M110" s="82">
        <v>32915</v>
      </c>
    </row>
    <row r="111" spans="9:13">
      <c r="I111" t="s">
        <v>390</v>
      </c>
      <c r="J111" s="82">
        <v>3.7</v>
      </c>
      <c r="L111" t="s">
        <v>395</v>
      </c>
      <c r="M111" s="82">
        <v>45809</v>
      </c>
    </row>
    <row r="112" spans="9:13">
      <c r="I112" t="s">
        <v>393</v>
      </c>
      <c r="J112" s="82">
        <v>3.1</v>
      </c>
      <c r="L112" t="s">
        <v>397</v>
      </c>
      <c r="M112" s="82">
        <v>190882</v>
      </c>
    </row>
    <row r="113" spans="9:13">
      <c r="I113" t="s">
        <v>395</v>
      </c>
      <c r="J113" s="82">
        <v>4</v>
      </c>
      <c r="L113" t="s">
        <v>400</v>
      </c>
      <c r="M113" s="82">
        <v>144317</v>
      </c>
    </row>
    <row r="114" spans="9:13">
      <c r="I114" t="s">
        <v>397</v>
      </c>
      <c r="J114" s="82">
        <v>4.5</v>
      </c>
      <c r="L114" t="s">
        <v>403</v>
      </c>
      <c r="M114" s="82">
        <v>46613</v>
      </c>
    </row>
    <row r="115" spans="9:13">
      <c r="I115" t="s">
        <v>400</v>
      </c>
      <c r="J115" s="82">
        <v>4.8</v>
      </c>
      <c r="L115" t="s">
        <v>406</v>
      </c>
      <c r="M115" s="82">
        <v>49155</v>
      </c>
    </row>
    <row r="116" spans="9:13">
      <c r="I116" t="s">
        <v>403</v>
      </c>
      <c r="J116" s="82">
        <v>3.8</v>
      </c>
      <c r="L116" t="s">
        <v>408</v>
      </c>
      <c r="M116" s="82">
        <v>153126</v>
      </c>
    </row>
    <row r="117" spans="9:13">
      <c r="I117" t="s">
        <v>406</v>
      </c>
      <c r="J117" s="82"/>
      <c r="L117" t="s">
        <v>412</v>
      </c>
      <c r="M117" s="82">
        <v>107461</v>
      </c>
    </row>
    <row r="118" spans="9:13">
      <c r="I118" t="s">
        <v>408</v>
      </c>
      <c r="J118" s="82">
        <v>4.7</v>
      </c>
      <c r="L118" t="s">
        <v>416</v>
      </c>
      <c r="M118" s="82">
        <v>145043</v>
      </c>
    </row>
    <row r="119" spans="9:13">
      <c r="I119" t="s">
        <v>412</v>
      </c>
      <c r="J119" s="82">
        <v>3.1</v>
      </c>
      <c r="L119" t="s">
        <v>419</v>
      </c>
      <c r="M119" s="82">
        <v>58648</v>
      </c>
    </row>
    <row r="120" spans="9:13">
      <c r="I120" t="s">
        <v>416</v>
      </c>
      <c r="J120" s="82">
        <v>3.8</v>
      </c>
      <c r="L120" t="s">
        <v>422</v>
      </c>
      <c r="M120" s="82">
        <v>66700</v>
      </c>
    </row>
    <row r="121" spans="9:13">
      <c r="I121" t="s">
        <v>419</v>
      </c>
      <c r="J121" s="82">
        <v>2.4</v>
      </c>
      <c r="L121" t="s">
        <v>424</v>
      </c>
      <c r="M121" s="82">
        <v>103329</v>
      </c>
    </row>
    <row r="122" spans="9:13">
      <c r="I122" t="s">
        <v>422</v>
      </c>
      <c r="J122" s="82">
        <v>3.3</v>
      </c>
      <c r="L122" t="s">
        <v>427</v>
      </c>
      <c r="M122" s="82">
        <v>175475</v>
      </c>
    </row>
    <row r="123" spans="9:13">
      <c r="I123" t="s">
        <v>424</v>
      </c>
      <c r="J123" s="82">
        <v>2.5</v>
      </c>
      <c r="L123" t="s">
        <v>430</v>
      </c>
      <c r="M123" s="82">
        <v>207513</v>
      </c>
    </row>
    <row r="124" spans="9:13">
      <c r="I124" t="s">
        <v>427</v>
      </c>
      <c r="J124" s="82">
        <v>2.6</v>
      </c>
      <c r="L124" t="s">
        <v>432</v>
      </c>
      <c r="M124" s="82">
        <v>130003</v>
      </c>
    </row>
    <row r="125" spans="9:13">
      <c r="I125" t="s">
        <v>430</v>
      </c>
      <c r="J125" s="82">
        <v>4.7</v>
      </c>
      <c r="L125" t="s">
        <v>434</v>
      </c>
      <c r="M125" s="82">
        <v>43422</v>
      </c>
    </row>
    <row r="126" spans="9:13">
      <c r="I126" t="s">
        <v>432</v>
      </c>
      <c r="J126" s="82">
        <v>1.9</v>
      </c>
      <c r="L126" t="s">
        <v>437</v>
      </c>
      <c r="M126" s="82">
        <v>169094</v>
      </c>
    </row>
    <row r="127" spans="9:13">
      <c r="I127" t="s">
        <v>434</v>
      </c>
      <c r="J127" s="82">
        <v>3.8</v>
      </c>
      <c r="L127" t="s">
        <v>439</v>
      </c>
      <c r="M127" s="82">
        <v>171587</v>
      </c>
    </row>
    <row r="128" spans="9:13">
      <c r="I128" t="s">
        <v>437</v>
      </c>
      <c r="J128" s="82">
        <v>3.8</v>
      </c>
      <c r="L128" t="s">
        <v>442</v>
      </c>
      <c r="M128" s="82">
        <v>134602</v>
      </c>
    </row>
    <row r="129" spans="9:13">
      <c r="I129" t="s">
        <v>439</v>
      </c>
      <c r="J129" s="82">
        <v>3.4</v>
      </c>
      <c r="L129" t="s">
        <v>445</v>
      </c>
      <c r="M129" s="82">
        <v>75928</v>
      </c>
    </row>
    <row r="130" spans="9:13">
      <c r="I130" t="s">
        <v>442</v>
      </c>
      <c r="J130" s="82">
        <v>4.4000000000000004</v>
      </c>
      <c r="L130" t="s">
        <v>448</v>
      </c>
      <c r="M130" s="82">
        <v>169926</v>
      </c>
    </row>
    <row r="131" spans="9:13">
      <c r="I131" t="s">
        <v>445</v>
      </c>
      <c r="J131" s="82"/>
      <c r="L131" t="s">
        <v>451</v>
      </c>
      <c r="M131" s="82">
        <v>33691</v>
      </c>
    </row>
    <row r="132" spans="9:13">
      <c r="I132" t="s">
        <v>448</v>
      </c>
      <c r="J132" s="82">
        <v>4.5999999999999996</v>
      </c>
      <c r="L132" t="s">
        <v>454</v>
      </c>
      <c r="M132" s="82">
        <v>45224</v>
      </c>
    </row>
    <row r="133" spans="9:13">
      <c r="I133" t="s">
        <v>451</v>
      </c>
      <c r="J133" s="82">
        <v>1.7</v>
      </c>
      <c r="L133" t="s">
        <v>456</v>
      </c>
      <c r="M133" s="82">
        <v>60261</v>
      </c>
    </row>
    <row r="134" spans="9:13">
      <c r="I134" t="s">
        <v>454</v>
      </c>
      <c r="J134" s="82">
        <v>1.7</v>
      </c>
      <c r="L134" t="s">
        <v>459</v>
      </c>
      <c r="M134" s="82">
        <v>195850</v>
      </c>
    </row>
    <row r="135" spans="9:13">
      <c r="I135" t="s">
        <v>456</v>
      </c>
      <c r="J135" s="82">
        <v>3.2</v>
      </c>
      <c r="L135" t="s">
        <v>462</v>
      </c>
      <c r="M135" s="82">
        <v>172635</v>
      </c>
    </row>
    <row r="136" spans="9:13">
      <c r="I136" t="s">
        <v>459</v>
      </c>
      <c r="J136" s="82">
        <v>2.9</v>
      </c>
      <c r="L136" t="s">
        <v>464</v>
      </c>
      <c r="M136" s="82">
        <v>91791</v>
      </c>
    </row>
    <row r="137" spans="9:13">
      <c r="I137" t="s">
        <v>462</v>
      </c>
      <c r="J137" s="82">
        <v>2.6</v>
      </c>
      <c r="L137" t="s">
        <v>467</v>
      </c>
      <c r="M137" s="82">
        <v>75944</v>
      </c>
    </row>
    <row r="138" spans="9:13">
      <c r="I138" t="s">
        <v>464</v>
      </c>
      <c r="J138" s="82">
        <v>1.9</v>
      </c>
      <c r="L138" t="s">
        <v>470</v>
      </c>
      <c r="M138" s="82">
        <v>63115</v>
      </c>
    </row>
    <row r="139" spans="9:13">
      <c r="I139" t="s">
        <v>467</v>
      </c>
      <c r="J139" s="82">
        <v>1.6</v>
      </c>
      <c r="L139" t="s">
        <v>473</v>
      </c>
      <c r="M139" s="82">
        <v>190530</v>
      </c>
    </row>
    <row r="140" spans="9:13">
      <c r="I140" t="s">
        <v>470</v>
      </c>
      <c r="J140" s="82">
        <v>1.7</v>
      </c>
      <c r="L140" t="s">
        <v>475</v>
      </c>
      <c r="M140" s="82">
        <v>56860</v>
      </c>
    </row>
    <row r="141" spans="9:13">
      <c r="I141" t="s">
        <v>473</v>
      </c>
      <c r="J141" s="82">
        <v>2.4</v>
      </c>
      <c r="L141" t="s">
        <v>478</v>
      </c>
      <c r="M141" s="82">
        <v>174126</v>
      </c>
    </row>
    <row r="142" spans="9:13">
      <c r="I142" t="s">
        <v>475</v>
      </c>
      <c r="J142" s="82"/>
      <c r="L142" t="s">
        <v>481</v>
      </c>
      <c r="M142" s="82">
        <v>149593</v>
      </c>
    </row>
    <row r="143" spans="9:13">
      <c r="I143" t="s">
        <v>478</v>
      </c>
      <c r="J143" s="82">
        <v>2.8</v>
      </c>
      <c r="L143" t="s">
        <v>484</v>
      </c>
      <c r="M143" s="82">
        <v>74665</v>
      </c>
    </row>
    <row r="144" spans="9:13">
      <c r="I144" t="s">
        <v>481</v>
      </c>
      <c r="J144" s="82">
        <v>4.2</v>
      </c>
      <c r="L144" t="s">
        <v>488</v>
      </c>
      <c r="M144" s="82">
        <v>90827</v>
      </c>
    </row>
    <row r="145" spans="9:13">
      <c r="I145" t="s">
        <v>484</v>
      </c>
      <c r="J145" s="82">
        <v>4</v>
      </c>
      <c r="L145" t="s">
        <v>490</v>
      </c>
      <c r="M145" s="82">
        <v>63381</v>
      </c>
    </row>
    <row r="146" spans="9:13">
      <c r="I146" t="s">
        <v>488</v>
      </c>
      <c r="J146" s="82">
        <v>1.7</v>
      </c>
      <c r="L146" t="s">
        <v>492</v>
      </c>
      <c r="M146" s="82">
        <v>38253</v>
      </c>
    </row>
    <row r="147" spans="9:13">
      <c r="I147" t="s">
        <v>490</v>
      </c>
      <c r="J147" s="82">
        <v>2.1</v>
      </c>
      <c r="L147" t="s">
        <v>495</v>
      </c>
      <c r="M147" s="82">
        <v>81373</v>
      </c>
    </row>
    <row r="148" spans="9:13">
      <c r="I148" t="s">
        <v>492</v>
      </c>
      <c r="J148" s="82">
        <v>3</v>
      </c>
      <c r="L148" t="s">
        <v>498</v>
      </c>
      <c r="M148" s="82">
        <v>123174</v>
      </c>
    </row>
    <row r="149" spans="9:13">
      <c r="I149" t="s">
        <v>495</v>
      </c>
      <c r="J149" s="82">
        <v>2.2000000000000002</v>
      </c>
      <c r="L149" t="s">
        <v>501</v>
      </c>
      <c r="M149" s="82">
        <v>168332</v>
      </c>
    </row>
    <row r="150" spans="9:13">
      <c r="I150" t="s">
        <v>498</v>
      </c>
      <c r="J150" s="82">
        <v>4.8</v>
      </c>
      <c r="L150" t="s">
        <v>505</v>
      </c>
      <c r="M150" s="82">
        <v>219745</v>
      </c>
    </row>
    <row r="151" spans="9:13">
      <c r="I151" t="s">
        <v>501</v>
      </c>
      <c r="J151" s="82">
        <v>1.5</v>
      </c>
      <c r="L151" t="s">
        <v>508</v>
      </c>
      <c r="M151" s="82">
        <v>214161</v>
      </c>
    </row>
    <row r="152" spans="9:13">
      <c r="I152" t="s">
        <v>505</v>
      </c>
      <c r="J152" s="82">
        <v>4</v>
      </c>
      <c r="L152" t="s">
        <v>511</v>
      </c>
      <c r="M152" s="82">
        <v>89103</v>
      </c>
    </row>
    <row r="153" spans="9:13">
      <c r="I153" t="s">
        <v>508</v>
      </c>
      <c r="J153" s="82">
        <v>4.4000000000000004</v>
      </c>
      <c r="L153" t="s">
        <v>513</v>
      </c>
      <c r="M153" s="82">
        <v>19238</v>
      </c>
    </row>
    <row r="154" spans="9:13">
      <c r="I154" t="s">
        <v>511</v>
      </c>
      <c r="J154" s="82">
        <v>3.3</v>
      </c>
      <c r="L154" t="s">
        <v>515</v>
      </c>
      <c r="M154" s="82">
        <v>81077</v>
      </c>
    </row>
    <row r="155" spans="9:13">
      <c r="I155" t="s">
        <v>513</v>
      </c>
      <c r="J155" s="82">
        <v>3.7</v>
      </c>
      <c r="L155" t="s">
        <v>518</v>
      </c>
      <c r="M155" s="82">
        <v>194720</v>
      </c>
    </row>
    <row r="156" spans="9:13">
      <c r="I156" t="s">
        <v>515</v>
      </c>
      <c r="J156" s="82">
        <v>3</v>
      </c>
      <c r="L156" t="s">
        <v>521</v>
      </c>
      <c r="M156" s="82">
        <v>170702</v>
      </c>
    </row>
    <row r="157" spans="9:13">
      <c r="I157" t="s">
        <v>518</v>
      </c>
      <c r="J157" s="82">
        <v>2.2000000000000002</v>
      </c>
      <c r="L157" t="s">
        <v>524</v>
      </c>
      <c r="M157" s="82">
        <v>205879</v>
      </c>
    </row>
    <row r="158" spans="9:13">
      <c r="I158" t="s">
        <v>521</v>
      </c>
      <c r="J158" s="82">
        <v>2.1</v>
      </c>
      <c r="L158" t="s">
        <v>527</v>
      </c>
      <c r="M158" s="82">
        <v>53910</v>
      </c>
    </row>
    <row r="159" spans="9:13">
      <c r="I159" t="s">
        <v>524</v>
      </c>
      <c r="J159" s="82">
        <v>3.2</v>
      </c>
      <c r="L159" t="s">
        <v>530</v>
      </c>
      <c r="M159" s="82">
        <v>106978</v>
      </c>
    </row>
    <row r="160" spans="9:13">
      <c r="I160" t="s">
        <v>527</v>
      </c>
      <c r="J160" s="82">
        <v>2.1</v>
      </c>
      <c r="L160" t="s">
        <v>533</v>
      </c>
      <c r="M160" s="82">
        <v>45446</v>
      </c>
    </row>
    <row r="161" spans="9:13">
      <c r="I161" t="s">
        <v>530</v>
      </c>
      <c r="J161" s="82">
        <v>1.9</v>
      </c>
      <c r="L161" t="s">
        <v>536</v>
      </c>
      <c r="M161" s="82">
        <v>48696</v>
      </c>
    </row>
    <row r="162" spans="9:13">
      <c r="I162" t="s">
        <v>533</v>
      </c>
      <c r="J162" s="82">
        <v>3.6</v>
      </c>
      <c r="L162" t="s">
        <v>538</v>
      </c>
      <c r="M162" s="82">
        <v>137558</v>
      </c>
    </row>
    <row r="163" spans="9:13">
      <c r="I163" t="s">
        <v>536</v>
      </c>
      <c r="J163" s="82">
        <v>3.3</v>
      </c>
      <c r="L163" t="s">
        <v>541</v>
      </c>
      <c r="M163" s="82">
        <v>67650</v>
      </c>
    </row>
    <row r="164" spans="9:13">
      <c r="I164" t="s">
        <v>538</v>
      </c>
      <c r="J164" s="82">
        <v>3.5</v>
      </c>
      <c r="L164" t="s">
        <v>544</v>
      </c>
      <c r="M164" s="82">
        <v>186926</v>
      </c>
    </row>
    <row r="165" spans="9:13">
      <c r="I165" t="s">
        <v>541</v>
      </c>
      <c r="J165" s="82">
        <v>1.7</v>
      </c>
      <c r="L165" t="s">
        <v>547</v>
      </c>
      <c r="M165" s="82">
        <v>132736</v>
      </c>
    </row>
    <row r="166" spans="9:13">
      <c r="I166" t="s">
        <v>544</v>
      </c>
      <c r="J166" s="82">
        <v>4.7</v>
      </c>
      <c r="L166" t="s">
        <v>550</v>
      </c>
      <c r="M166" s="82">
        <v>125051</v>
      </c>
    </row>
    <row r="167" spans="9:13">
      <c r="I167" t="s">
        <v>547</v>
      </c>
      <c r="J167" s="82">
        <v>3.2</v>
      </c>
      <c r="L167" t="s">
        <v>553</v>
      </c>
      <c r="M167" s="82">
        <v>94446</v>
      </c>
    </row>
    <row r="168" spans="9:13">
      <c r="I168" t="s">
        <v>550</v>
      </c>
      <c r="J168" s="82">
        <v>3.2</v>
      </c>
      <c r="L168" t="s">
        <v>556</v>
      </c>
      <c r="M168" s="82">
        <v>49078</v>
      </c>
    </row>
    <row r="169" spans="9:13">
      <c r="I169" t="s">
        <v>553</v>
      </c>
      <c r="J169" s="82">
        <v>4.5</v>
      </c>
      <c r="L169" t="s">
        <v>560</v>
      </c>
      <c r="M169" s="82">
        <v>140755</v>
      </c>
    </row>
    <row r="170" spans="9:13">
      <c r="I170" t="s">
        <v>556</v>
      </c>
      <c r="J170" s="82">
        <v>3.9</v>
      </c>
      <c r="L170" t="s">
        <v>563</v>
      </c>
      <c r="M170" s="82">
        <v>123694</v>
      </c>
    </row>
    <row r="171" spans="9:13">
      <c r="I171" t="s">
        <v>560</v>
      </c>
      <c r="J171" s="82">
        <v>3</v>
      </c>
      <c r="L171" t="s">
        <v>566</v>
      </c>
      <c r="M171" s="82">
        <v>122059</v>
      </c>
    </row>
    <row r="172" spans="9:13">
      <c r="I172" t="s">
        <v>563</v>
      </c>
      <c r="J172" s="82">
        <v>2.4</v>
      </c>
      <c r="L172" t="s">
        <v>569</v>
      </c>
      <c r="M172" s="82">
        <v>180770</v>
      </c>
    </row>
    <row r="173" spans="9:13">
      <c r="I173" t="s">
        <v>566</v>
      </c>
      <c r="J173" s="82"/>
      <c r="L173" t="s">
        <v>572</v>
      </c>
      <c r="M173" s="82">
        <v>116868</v>
      </c>
    </row>
    <row r="174" spans="9:13">
      <c r="I174" t="s">
        <v>569</v>
      </c>
      <c r="J174" s="82">
        <v>2.5</v>
      </c>
      <c r="L174" t="s">
        <v>575</v>
      </c>
      <c r="M174" s="82">
        <v>114814</v>
      </c>
    </row>
    <row r="175" spans="9:13">
      <c r="I175" t="s">
        <v>572</v>
      </c>
      <c r="J175" s="82">
        <v>1.6</v>
      </c>
      <c r="L175" t="s">
        <v>578</v>
      </c>
      <c r="M175" s="82">
        <v>37507</v>
      </c>
    </row>
    <row r="176" spans="9:13">
      <c r="I176" t="s">
        <v>575</v>
      </c>
      <c r="J176" s="82">
        <v>2.8</v>
      </c>
      <c r="L176" t="s">
        <v>581</v>
      </c>
      <c r="M176" s="82">
        <v>162109</v>
      </c>
    </row>
    <row r="177" spans="9:13">
      <c r="I177" t="s">
        <v>578</v>
      </c>
      <c r="J177" s="82">
        <v>4.0999999999999996</v>
      </c>
      <c r="L177" t="s">
        <v>584</v>
      </c>
      <c r="M177" s="82">
        <v>82695</v>
      </c>
    </row>
    <row r="178" spans="9:13">
      <c r="I178" t="s">
        <v>581</v>
      </c>
      <c r="J178" s="82">
        <v>4.5999999999999996</v>
      </c>
      <c r="L178" t="s">
        <v>586</v>
      </c>
      <c r="M178" s="82">
        <v>40296</v>
      </c>
    </row>
    <row r="179" spans="9:13">
      <c r="I179" t="s">
        <v>584</v>
      </c>
      <c r="J179" s="82">
        <v>2.9</v>
      </c>
      <c r="L179" t="s">
        <v>588</v>
      </c>
      <c r="M179" s="82">
        <v>147550</v>
      </c>
    </row>
    <row r="180" spans="9:13">
      <c r="I180" t="s">
        <v>586</v>
      </c>
      <c r="J180" s="82">
        <v>4.3</v>
      </c>
      <c r="L180" t="s">
        <v>591</v>
      </c>
      <c r="M180" s="82">
        <v>163247</v>
      </c>
    </row>
    <row r="181" spans="9:13">
      <c r="I181" t="s">
        <v>588</v>
      </c>
      <c r="J181" s="82">
        <v>4.7</v>
      </c>
      <c r="L181" t="s">
        <v>594</v>
      </c>
      <c r="M181" s="82">
        <v>92419</v>
      </c>
    </row>
    <row r="182" spans="9:13">
      <c r="I182" t="s">
        <v>591</v>
      </c>
      <c r="J182" s="82">
        <v>3.5</v>
      </c>
      <c r="L182" t="s">
        <v>597</v>
      </c>
      <c r="M182" s="82">
        <v>166315</v>
      </c>
    </row>
    <row r="183" spans="9:13">
      <c r="I183" t="s">
        <v>594</v>
      </c>
      <c r="J183" s="82">
        <v>1.6</v>
      </c>
      <c r="L183" t="s">
        <v>600</v>
      </c>
      <c r="M183" s="82">
        <v>116226</v>
      </c>
    </row>
    <row r="184" spans="9:13">
      <c r="I184" t="s">
        <v>597</v>
      </c>
      <c r="J184" s="82">
        <v>2.8</v>
      </c>
      <c r="L184" t="s">
        <v>603</v>
      </c>
      <c r="M184" s="82">
        <v>136915</v>
      </c>
    </row>
    <row r="185" spans="9:13">
      <c r="I185" t="s">
        <v>600</v>
      </c>
      <c r="J185" s="82">
        <v>2.1</v>
      </c>
      <c r="L185" t="s">
        <v>606</v>
      </c>
      <c r="M185" s="82">
        <v>82984</v>
      </c>
    </row>
    <row r="186" spans="9:13">
      <c r="I186" t="s">
        <v>603</v>
      </c>
      <c r="J186" s="82">
        <v>4.0999999999999996</v>
      </c>
      <c r="L186" t="s">
        <v>609</v>
      </c>
      <c r="M186" s="82">
        <v>136568</v>
      </c>
    </row>
    <row r="187" spans="9:13">
      <c r="I187" t="s">
        <v>606</v>
      </c>
      <c r="J187" s="82">
        <v>4.8</v>
      </c>
      <c r="L187" t="s">
        <v>611</v>
      </c>
      <c r="M187" s="82">
        <v>39577</v>
      </c>
    </row>
    <row r="188" spans="9:13">
      <c r="I188" t="s">
        <v>609</v>
      </c>
      <c r="J188" s="82">
        <v>4</v>
      </c>
      <c r="L188" t="s">
        <v>612</v>
      </c>
      <c r="M188" s="82">
        <v>189038</v>
      </c>
    </row>
    <row r="189" spans="9:13">
      <c r="I189" t="s">
        <v>611</v>
      </c>
      <c r="J189" s="82">
        <v>4</v>
      </c>
      <c r="L189" t="s">
        <v>615</v>
      </c>
      <c r="M189" s="82">
        <v>104855</v>
      </c>
    </row>
    <row r="190" spans="9:13">
      <c r="I190" t="s">
        <v>612</v>
      </c>
      <c r="J190" s="82">
        <v>3.2</v>
      </c>
      <c r="L190" t="s">
        <v>618</v>
      </c>
      <c r="M190" s="82">
        <v>145073</v>
      </c>
    </row>
    <row r="191" spans="9:13">
      <c r="I191" t="s">
        <v>615</v>
      </c>
      <c r="J191" s="82"/>
      <c r="L191" t="s">
        <v>620</v>
      </c>
      <c r="M191" s="82">
        <v>98046</v>
      </c>
    </row>
    <row r="192" spans="9:13">
      <c r="I192" t="s">
        <v>618</v>
      </c>
      <c r="J192" s="82">
        <v>2.9</v>
      </c>
      <c r="L192" t="s">
        <v>622</v>
      </c>
      <c r="M192" s="82">
        <v>149981</v>
      </c>
    </row>
    <row r="193" spans="9:13">
      <c r="I193" t="s">
        <v>620</v>
      </c>
      <c r="J193" s="82">
        <v>2.6</v>
      </c>
      <c r="L193" t="s">
        <v>624</v>
      </c>
      <c r="M193" s="82">
        <v>144014</v>
      </c>
    </row>
    <row r="194" spans="9:13">
      <c r="I194" t="s">
        <v>622</v>
      </c>
      <c r="J194" s="82">
        <v>1.6</v>
      </c>
      <c r="L194" t="s">
        <v>627</v>
      </c>
      <c r="M194" s="82"/>
    </row>
    <row r="195" spans="9:13">
      <c r="I195" t="s">
        <v>624</v>
      </c>
      <c r="J195" s="82">
        <v>4.5</v>
      </c>
      <c r="L195" t="s">
        <v>630</v>
      </c>
      <c r="M195" s="82">
        <v>213196</v>
      </c>
    </row>
    <row r="196" spans="9:13">
      <c r="I196" t="s">
        <v>627</v>
      </c>
      <c r="J196" s="82">
        <v>2.1</v>
      </c>
      <c r="L196" t="s">
        <v>633</v>
      </c>
      <c r="M196" s="82">
        <v>94389</v>
      </c>
    </row>
    <row r="197" spans="9:13">
      <c r="I197" t="s">
        <v>630</v>
      </c>
      <c r="J197" s="82">
        <v>3.1</v>
      </c>
      <c r="L197" t="s">
        <v>636</v>
      </c>
      <c r="M197" s="82">
        <v>218566</v>
      </c>
    </row>
    <row r="198" spans="9:13">
      <c r="I198" t="s">
        <v>633</v>
      </c>
      <c r="J198" s="82">
        <v>4.2</v>
      </c>
      <c r="L198" t="s">
        <v>638</v>
      </c>
      <c r="M198" s="82">
        <v>36707</v>
      </c>
    </row>
    <row r="199" spans="9:13">
      <c r="I199" t="s">
        <v>636</v>
      </c>
      <c r="J199" s="82">
        <v>4.9000000000000004</v>
      </c>
      <c r="L199" t="s">
        <v>640</v>
      </c>
      <c r="M199" s="82">
        <v>23041</v>
      </c>
    </row>
    <row r="200" spans="9:13">
      <c r="I200" t="s">
        <v>638</v>
      </c>
      <c r="J200" s="82">
        <v>3.9</v>
      </c>
      <c r="L200" t="s">
        <v>643</v>
      </c>
      <c r="M200" s="82">
        <v>113874</v>
      </c>
    </row>
    <row r="201" spans="9:13">
      <c r="I201" t="s">
        <v>640</v>
      </c>
      <c r="J201" s="82">
        <v>2.7</v>
      </c>
      <c r="L201" t="s">
        <v>646</v>
      </c>
      <c r="M201" s="82">
        <v>117488</v>
      </c>
    </row>
    <row r="202" spans="9:13">
      <c r="I202" t="s">
        <v>643</v>
      </c>
      <c r="J202" s="82">
        <v>2.7</v>
      </c>
      <c r="L202" t="s">
        <v>649</v>
      </c>
      <c r="M202" s="82">
        <v>46510</v>
      </c>
    </row>
    <row r="203" spans="9:13">
      <c r="I203" t="s">
        <v>646</v>
      </c>
      <c r="J203" s="82">
        <v>4.8</v>
      </c>
      <c r="L203" t="s">
        <v>652</v>
      </c>
      <c r="M203" s="82">
        <v>32605</v>
      </c>
    </row>
    <row r="204" spans="9:13">
      <c r="I204" t="s">
        <v>649</v>
      </c>
      <c r="J204" s="82">
        <v>4.2</v>
      </c>
      <c r="L204" t="s">
        <v>654</v>
      </c>
      <c r="M204" s="82">
        <v>192636</v>
      </c>
    </row>
    <row r="205" spans="9:13">
      <c r="I205" t="s">
        <v>652</v>
      </c>
      <c r="J205" s="82">
        <v>1.7</v>
      </c>
      <c r="L205" t="s">
        <v>657</v>
      </c>
      <c r="M205" s="82">
        <v>137740</v>
      </c>
    </row>
    <row r="206" spans="9:13">
      <c r="I206" t="s">
        <v>654</v>
      </c>
      <c r="J206" s="82">
        <v>4.5999999999999996</v>
      </c>
      <c r="L206" t="s">
        <v>659</v>
      </c>
      <c r="M206" s="82">
        <v>167697</v>
      </c>
    </row>
    <row r="207" spans="9:13">
      <c r="I207" t="s">
        <v>657</v>
      </c>
      <c r="J207" s="82">
        <v>3.8</v>
      </c>
      <c r="L207" t="s">
        <v>661</v>
      </c>
      <c r="M207" s="82">
        <v>219929</v>
      </c>
    </row>
    <row r="208" spans="9:13">
      <c r="I208" t="s">
        <v>659</v>
      </c>
      <c r="J208" s="82">
        <v>4.9000000000000004</v>
      </c>
      <c r="L208" t="s">
        <v>664</v>
      </c>
      <c r="M208" s="82">
        <v>174708</v>
      </c>
    </row>
    <row r="209" spans="9:13">
      <c r="I209" t="s">
        <v>661</v>
      </c>
      <c r="J209" s="82">
        <v>3</v>
      </c>
      <c r="L209" t="s">
        <v>667</v>
      </c>
      <c r="M209" s="82">
        <v>143623</v>
      </c>
    </row>
    <row r="210" spans="9:13">
      <c r="I210" t="s">
        <v>664</v>
      </c>
      <c r="J210" s="82">
        <v>2</v>
      </c>
      <c r="L210" t="s">
        <v>670</v>
      </c>
      <c r="M210" s="82">
        <v>188373</v>
      </c>
    </row>
    <row r="211" spans="9:13">
      <c r="I211" t="s">
        <v>667</v>
      </c>
      <c r="J211" s="82">
        <v>2.4</v>
      </c>
      <c r="L211" t="s">
        <v>672</v>
      </c>
      <c r="M211" s="82">
        <v>75653</v>
      </c>
    </row>
    <row r="212" spans="9:13">
      <c r="I212" t="s">
        <v>670</v>
      </c>
      <c r="J212" s="82">
        <v>4.9000000000000004</v>
      </c>
      <c r="L212" t="s">
        <v>675</v>
      </c>
      <c r="M212" s="82">
        <v>95895</v>
      </c>
    </row>
    <row r="213" spans="9:13">
      <c r="I213" t="s">
        <v>672</v>
      </c>
      <c r="J213" s="82">
        <v>4.5</v>
      </c>
      <c r="L213" t="s">
        <v>677</v>
      </c>
      <c r="M213" s="82">
        <v>55643</v>
      </c>
    </row>
    <row r="214" spans="9:13">
      <c r="I214" t="s">
        <v>675</v>
      </c>
      <c r="J214" s="82">
        <v>2.2000000000000002</v>
      </c>
      <c r="L214" t="s">
        <v>680</v>
      </c>
      <c r="M214" s="82"/>
    </row>
    <row r="215" spans="9:13">
      <c r="I215" t="s">
        <v>677</v>
      </c>
      <c r="J215" s="82">
        <v>3.8</v>
      </c>
      <c r="L215" t="s">
        <v>683</v>
      </c>
      <c r="M215" s="82">
        <v>122022</v>
      </c>
    </row>
    <row r="216" spans="9:13">
      <c r="I216" t="s">
        <v>680</v>
      </c>
      <c r="J216" s="82">
        <v>2.2000000000000002</v>
      </c>
      <c r="L216" t="s">
        <v>686</v>
      </c>
      <c r="M216" s="82">
        <v>138776</v>
      </c>
    </row>
    <row r="217" spans="9:13">
      <c r="I217" t="s">
        <v>683</v>
      </c>
      <c r="J217" s="82">
        <v>4.7</v>
      </c>
      <c r="L217" t="s">
        <v>688</v>
      </c>
      <c r="M217" s="82">
        <v>141830</v>
      </c>
    </row>
    <row r="218" spans="9:13">
      <c r="I218" t="s">
        <v>686</v>
      </c>
      <c r="J218" s="82">
        <v>3</v>
      </c>
      <c r="L218" t="s">
        <v>691</v>
      </c>
      <c r="M218" s="82">
        <v>109779</v>
      </c>
    </row>
    <row r="219" spans="9:13">
      <c r="I219" t="s">
        <v>688</v>
      </c>
      <c r="J219" s="82">
        <v>3.7</v>
      </c>
      <c r="L219" t="s">
        <v>694</v>
      </c>
      <c r="M219" s="82">
        <v>61137</v>
      </c>
    </row>
    <row r="220" spans="9:13">
      <c r="I220" t="s">
        <v>691</v>
      </c>
      <c r="J220" s="82">
        <v>1.6</v>
      </c>
      <c r="L220" t="s">
        <v>696</v>
      </c>
      <c r="M220" s="82">
        <v>169180</v>
      </c>
    </row>
    <row r="221" spans="9:13">
      <c r="I221" t="s">
        <v>694</v>
      </c>
      <c r="J221" s="82">
        <v>4.4000000000000004</v>
      </c>
      <c r="L221" t="s">
        <v>698</v>
      </c>
      <c r="M221" s="82">
        <v>34054</v>
      </c>
    </row>
    <row r="222" spans="9:13">
      <c r="I222" t="s">
        <v>696</v>
      </c>
      <c r="J222" s="82">
        <v>3.7</v>
      </c>
      <c r="L222" t="s">
        <v>701</v>
      </c>
      <c r="M222" s="82">
        <v>161737</v>
      </c>
    </row>
    <row r="223" spans="9:13">
      <c r="I223" t="s">
        <v>698</v>
      </c>
      <c r="J223" s="82">
        <v>3.4</v>
      </c>
      <c r="L223" t="s">
        <v>703</v>
      </c>
      <c r="M223" s="82">
        <v>196785</v>
      </c>
    </row>
    <row r="224" spans="9:13">
      <c r="I224" t="s">
        <v>701</v>
      </c>
      <c r="J224" s="82">
        <v>2.2000000000000002</v>
      </c>
      <c r="L224" t="s">
        <v>705</v>
      </c>
      <c r="M224" s="82">
        <v>195207</v>
      </c>
    </row>
    <row r="225" spans="9:13">
      <c r="I225" t="s">
        <v>703</v>
      </c>
      <c r="J225" s="82">
        <v>4.2</v>
      </c>
      <c r="L225" t="s">
        <v>708</v>
      </c>
      <c r="M225" s="82">
        <v>127488</v>
      </c>
    </row>
    <row r="226" spans="9:13">
      <c r="I226" t="s">
        <v>705</v>
      </c>
      <c r="J226" s="82">
        <v>4.8</v>
      </c>
      <c r="L226" t="s">
        <v>710</v>
      </c>
      <c r="M226" s="82">
        <v>138000</v>
      </c>
    </row>
    <row r="227" spans="9:13">
      <c r="I227" t="s">
        <v>708</v>
      </c>
      <c r="J227" s="82">
        <v>2.1</v>
      </c>
      <c r="L227" t="s">
        <v>712</v>
      </c>
      <c r="M227" s="82">
        <v>29023</v>
      </c>
    </row>
    <row r="228" spans="9:13">
      <c r="I228" t="s">
        <v>710</v>
      </c>
      <c r="J228" s="82">
        <v>1.7</v>
      </c>
      <c r="L228" t="s">
        <v>714</v>
      </c>
      <c r="M228" s="82">
        <v>178207</v>
      </c>
    </row>
    <row r="229" spans="9:13">
      <c r="I229" t="s">
        <v>712</v>
      </c>
      <c r="J229" s="82">
        <v>1.8</v>
      </c>
      <c r="L229" t="s">
        <v>717</v>
      </c>
      <c r="M229" s="82">
        <v>146717</v>
      </c>
    </row>
    <row r="230" spans="9:13">
      <c r="I230" t="s">
        <v>714</v>
      </c>
      <c r="J230" s="82">
        <v>3.5</v>
      </c>
      <c r="L230" t="s">
        <v>720</v>
      </c>
      <c r="M230" s="82">
        <v>61180</v>
      </c>
    </row>
    <row r="231" spans="9:13">
      <c r="I231" t="s">
        <v>717</v>
      </c>
      <c r="J231" s="82">
        <v>1.7</v>
      </c>
      <c r="L231" t="s">
        <v>723</v>
      </c>
      <c r="M231" s="82">
        <v>133179</v>
      </c>
    </row>
    <row r="232" spans="9:13">
      <c r="I232" t="s">
        <v>720</v>
      </c>
      <c r="J232" s="82">
        <v>2</v>
      </c>
      <c r="L232" t="s">
        <v>726</v>
      </c>
      <c r="M232" s="82">
        <v>183033</v>
      </c>
    </row>
    <row r="233" spans="9:13">
      <c r="I233" t="s">
        <v>723</v>
      </c>
      <c r="J233" s="82">
        <v>3.7</v>
      </c>
      <c r="L233" t="s">
        <v>729</v>
      </c>
      <c r="M233" s="82">
        <v>37827</v>
      </c>
    </row>
    <row r="234" spans="9:13">
      <c r="I234" t="s">
        <v>726</v>
      </c>
      <c r="J234" s="82">
        <v>2.9</v>
      </c>
      <c r="L234" t="s">
        <v>732</v>
      </c>
      <c r="M234" s="82">
        <v>147504</v>
      </c>
    </row>
    <row r="235" spans="9:13">
      <c r="I235" t="s">
        <v>729</v>
      </c>
      <c r="J235" s="82">
        <v>1.5</v>
      </c>
      <c r="L235" t="s">
        <v>735</v>
      </c>
      <c r="M235" s="82">
        <v>85041</v>
      </c>
    </row>
    <row r="236" spans="9:13">
      <c r="I236" t="s">
        <v>732</v>
      </c>
      <c r="J236" s="82">
        <v>4</v>
      </c>
      <c r="L236" t="s">
        <v>738</v>
      </c>
      <c r="M236" s="82">
        <v>107744</v>
      </c>
    </row>
    <row r="237" spans="9:13">
      <c r="I237" t="s">
        <v>735</v>
      </c>
      <c r="J237" s="82">
        <v>4.5</v>
      </c>
      <c r="L237" t="s">
        <v>741</v>
      </c>
      <c r="M237" s="82">
        <v>106396</v>
      </c>
    </row>
    <row r="238" spans="9:13">
      <c r="I238" t="s">
        <v>738</v>
      </c>
      <c r="J238" s="82">
        <v>4.3</v>
      </c>
      <c r="L238" t="s">
        <v>744</v>
      </c>
      <c r="M238" s="82">
        <v>115237</v>
      </c>
    </row>
    <row r="239" spans="9:13">
      <c r="I239" t="s">
        <v>741</v>
      </c>
      <c r="J239" s="82">
        <v>3.1</v>
      </c>
      <c r="L239" t="s">
        <v>746</v>
      </c>
      <c r="M239" s="82">
        <v>207018</v>
      </c>
    </row>
    <row r="240" spans="9:13">
      <c r="I240" t="s">
        <v>744</v>
      </c>
      <c r="J240" s="82">
        <v>2.9</v>
      </c>
      <c r="L240" t="s">
        <v>749</v>
      </c>
      <c r="M240" s="82">
        <v>93086</v>
      </c>
    </row>
    <row r="241" spans="9:13">
      <c r="I241" t="s">
        <v>746</v>
      </c>
      <c r="J241" s="82">
        <v>2.8</v>
      </c>
      <c r="L241" t="s">
        <v>752</v>
      </c>
      <c r="M241" s="82">
        <v>29188</v>
      </c>
    </row>
    <row r="242" spans="9:13">
      <c r="I242" t="s">
        <v>749</v>
      </c>
      <c r="J242" s="82">
        <v>2.6</v>
      </c>
      <c r="L242" t="s">
        <v>755</v>
      </c>
      <c r="M242" s="82">
        <v>32539</v>
      </c>
    </row>
    <row r="243" spans="9:13">
      <c r="I243" t="s">
        <v>752</v>
      </c>
      <c r="J243" s="82">
        <v>3.9</v>
      </c>
      <c r="L243" t="s">
        <v>758</v>
      </c>
      <c r="M243" s="82">
        <v>107162</v>
      </c>
    </row>
    <row r="244" spans="9:13">
      <c r="I244" t="s">
        <v>755</v>
      </c>
      <c r="J244" s="82">
        <v>3.6</v>
      </c>
      <c r="L244" t="s">
        <v>761</v>
      </c>
      <c r="M244" s="82">
        <v>30456</v>
      </c>
    </row>
    <row r="245" spans="9:13">
      <c r="I245" t="s">
        <v>758</v>
      </c>
      <c r="J245" s="82">
        <v>2.4</v>
      </c>
      <c r="L245" t="s">
        <v>763</v>
      </c>
      <c r="M245" s="82">
        <v>212941</v>
      </c>
    </row>
    <row r="246" spans="9:13">
      <c r="I246" t="s">
        <v>761</v>
      </c>
      <c r="J246" s="82">
        <v>2</v>
      </c>
      <c r="L246" t="s">
        <v>765</v>
      </c>
      <c r="M246" s="82">
        <v>145462</v>
      </c>
    </row>
    <row r="247" spans="9:13">
      <c r="I247" t="s">
        <v>763</v>
      </c>
      <c r="J247" s="82">
        <v>4.4000000000000004</v>
      </c>
      <c r="L247" t="s">
        <v>768</v>
      </c>
      <c r="M247" s="82">
        <v>90829</v>
      </c>
    </row>
    <row r="248" spans="9:13">
      <c r="I248" t="s">
        <v>765</v>
      </c>
      <c r="J248" s="82">
        <v>2.1</v>
      </c>
      <c r="L248" t="s">
        <v>771</v>
      </c>
      <c r="M248" s="82">
        <v>128917</v>
      </c>
    </row>
    <row r="249" spans="9:13">
      <c r="I249" t="s">
        <v>768</v>
      </c>
      <c r="J249" s="82">
        <v>4</v>
      </c>
      <c r="L249" t="s">
        <v>774</v>
      </c>
      <c r="M249" s="82">
        <v>182705</v>
      </c>
    </row>
    <row r="250" spans="9:13">
      <c r="I250" t="s">
        <v>771</v>
      </c>
      <c r="J250" s="82"/>
      <c r="L250" t="s">
        <v>777</v>
      </c>
      <c r="M250" s="82">
        <v>140721</v>
      </c>
    </row>
    <row r="251" spans="9:13">
      <c r="I251" t="s">
        <v>774</v>
      </c>
      <c r="J251" s="82"/>
      <c r="L251" t="s">
        <v>780</v>
      </c>
      <c r="M251" s="82">
        <v>91647</v>
      </c>
    </row>
    <row r="252" spans="9:13">
      <c r="I252" t="s">
        <v>777</v>
      </c>
      <c r="J252" s="82">
        <v>2.1</v>
      </c>
      <c r="L252" t="s">
        <v>782</v>
      </c>
      <c r="M252" s="82"/>
    </row>
    <row r="253" spans="9:13">
      <c r="I253" t="s">
        <v>780</v>
      </c>
      <c r="J253" s="82">
        <v>2</v>
      </c>
      <c r="L253" t="s">
        <v>784</v>
      </c>
      <c r="M253" s="82">
        <v>93662</v>
      </c>
    </row>
    <row r="254" spans="9:13">
      <c r="I254" t="s">
        <v>782</v>
      </c>
      <c r="J254" s="82">
        <v>3.4</v>
      </c>
      <c r="L254" t="s">
        <v>787</v>
      </c>
      <c r="M254" s="82">
        <v>90707</v>
      </c>
    </row>
    <row r="255" spans="9:13">
      <c r="I255" t="s">
        <v>784</v>
      </c>
      <c r="J255" s="82">
        <v>4.7</v>
      </c>
      <c r="L255" t="s">
        <v>790</v>
      </c>
      <c r="M255" s="82">
        <v>27922</v>
      </c>
    </row>
    <row r="256" spans="9:13">
      <c r="I256" t="s">
        <v>787</v>
      </c>
      <c r="J256" s="82">
        <v>2</v>
      </c>
      <c r="L256" t="s">
        <v>793</v>
      </c>
      <c r="M256" s="82"/>
    </row>
    <row r="257" spans="9:13">
      <c r="I257" t="s">
        <v>790</v>
      </c>
      <c r="J257" s="82">
        <v>2.9</v>
      </c>
      <c r="L257" t="s">
        <v>795</v>
      </c>
      <c r="M257" s="82">
        <v>181886</v>
      </c>
    </row>
    <row r="258" spans="9:13">
      <c r="I258" t="s">
        <v>793</v>
      </c>
      <c r="J258" s="82">
        <v>3.7</v>
      </c>
      <c r="L258" t="s">
        <v>797</v>
      </c>
      <c r="M258" s="82">
        <v>73853</v>
      </c>
    </row>
    <row r="259" spans="9:13">
      <c r="I259" t="s">
        <v>795</v>
      </c>
      <c r="J259" s="82">
        <v>2.8</v>
      </c>
      <c r="L259" t="s">
        <v>799</v>
      </c>
      <c r="M259" s="82">
        <v>115955</v>
      </c>
    </row>
    <row r="260" spans="9:13">
      <c r="I260" t="s">
        <v>797</v>
      </c>
      <c r="J260" s="82">
        <v>2.2999999999999998</v>
      </c>
      <c r="L260" t="s">
        <v>801</v>
      </c>
      <c r="M260" s="82"/>
    </row>
    <row r="261" spans="9:13">
      <c r="I261" t="s">
        <v>799</v>
      </c>
      <c r="J261" s="82">
        <v>3.7</v>
      </c>
      <c r="L261" t="s">
        <v>804</v>
      </c>
      <c r="M261" s="82">
        <v>65721</v>
      </c>
    </row>
    <row r="262" spans="9:13">
      <c r="I262" t="s">
        <v>801</v>
      </c>
      <c r="J262" s="82">
        <v>3</v>
      </c>
      <c r="L262" t="s">
        <v>806</v>
      </c>
      <c r="M262" s="82">
        <v>91697</v>
      </c>
    </row>
    <row r="263" spans="9:13">
      <c r="I263" t="s">
        <v>804</v>
      </c>
      <c r="J263" s="82">
        <v>3.5</v>
      </c>
      <c r="L263" t="s">
        <v>808</v>
      </c>
      <c r="M263" s="82">
        <v>179557</v>
      </c>
    </row>
    <row r="264" spans="9:13">
      <c r="I264" t="s">
        <v>806</v>
      </c>
      <c r="J264" s="82">
        <v>3.3</v>
      </c>
      <c r="L264" t="s">
        <v>810</v>
      </c>
      <c r="M264" s="82">
        <v>74089</v>
      </c>
    </row>
    <row r="265" spans="9:13">
      <c r="I265" t="s">
        <v>808</v>
      </c>
      <c r="J265" s="82">
        <v>2.4</v>
      </c>
      <c r="L265" t="s">
        <v>813</v>
      </c>
      <c r="M265" s="82">
        <v>170703</v>
      </c>
    </row>
    <row r="266" spans="9:13">
      <c r="I266" t="s">
        <v>810</v>
      </c>
      <c r="J266" s="82">
        <v>1.8</v>
      </c>
      <c r="L266" t="s">
        <v>816</v>
      </c>
      <c r="M266" s="82">
        <v>82577</v>
      </c>
    </row>
    <row r="267" spans="9:13">
      <c r="I267" t="s">
        <v>813</v>
      </c>
      <c r="J267" s="82">
        <v>2.8</v>
      </c>
      <c r="L267" t="s">
        <v>818</v>
      </c>
      <c r="M267" s="82">
        <v>43388</v>
      </c>
    </row>
    <row r="268" spans="9:13">
      <c r="I268" t="s">
        <v>816</v>
      </c>
      <c r="J268" s="82">
        <v>3</v>
      </c>
      <c r="L268" t="s">
        <v>820</v>
      </c>
      <c r="M268" s="82">
        <v>208868</v>
      </c>
    </row>
    <row r="269" spans="9:13">
      <c r="I269" t="s">
        <v>818</v>
      </c>
      <c r="J269" s="82">
        <v>2</v>
      </c>
      <c r="L269" t="s">
        <v>822</v>
      </c>
      <c r="M269" s="82">
        <v>172309</v>
      </c>
    </row>
    <row r="270" spans="9:13">
      <c r="I270" t="s">
        <v>820</v>
      </c>
      <c r="J270" s="82">
        <v>4.4000000000000004</v>
      </c>
      <c r="L270" t="s">
        <v>825</v>
      </c>
      <c r="M270" s="82">
        <v>147528</v>
      </c>
    </row>
    <row r="271" spans="9:13">
      <c r="I271" t="s">
        <v>822</v>
      </c>
      <c r="J271" s="82">
        <v>3.3</v>
      </c>
      <c r="L271" t="s">
        <v>828</v>
      </c>
      <c r="M271" s="82">
        <v>170324</v>
      </c>
    </row>
    <row r="272" spans="9:13">
      <c r="I272" t="s">
        <v>825</v>
      </c>
      <c r="J272" s="82">
        <v>4.5</v>
      </c>
      <c r="L272" t="s">
        <v>831</v>
      </c>
      <c r="M272" s="82">
        <v>21478</v>
      </c>
    </row>
    <row r="273" spans="9:13">
      <c r="I273" t="s">
        <v>828</v>
      </c>
      <c r="J273" s="82">
        <v>2.8</v>
      </c>
      <c r="L273" t="s">
        <v>834</v>
      </c>
      <c r="M273" s="82">
        <v>79466</v>
      </c>
    </row>
    <row r="274" spans="9:13">
      <c r="I274" t="s">
        <v>831</v>
      </c>
      <c r="J274" s="82">
        <v>4</v>
      </c>
      <c r="L274" t="s">
        <v>837</v>
      </c>
      <c r="M274" s="82">
        <v>146777</v>
      </c>
    </row>
    <row r="275" spans="9:13">
      <c r="I275" t="s">
        <v>834</v>
      </c>
      <c r="J275" s="82">
        <v>3</v>
      </c>
      <c r="L275" t="s">
        <v>839</v>
      </c>
      <c r="M275" s="82">
        <v>129225</v>
      </c>
    </row>
    <row r="276" spans="9:13">
      <c r="I276" t="s">
        <v>837</v>
      </c>
      <c r="J276" s="82">
        <v>4.5999999999999996</v>
      </c>
      <c r="L276" t="s">
        <v>841</v>
      </c>
      <c r="M276" s="82">
        <v>190115</v>
      </c>
    </row>
    <row r="277" spans="9:13">
      <c r="I277" t="s">
        <v>839</v>
      </c>
      <c r="J277" s="82">
        <v>4.0999999999999996</v>
      </c>
      <c r="L277" t="s">
        <v>844</v>
      </c>
      <c r="M277" s="82">
        <v>123180</v>
      </c>
    </row>
    <row r="278" spans="9:13">
      <c r="I278" t="s">
        <v>841</v>
      </c>
      <c r="J278" s="82">
        <v>3.1</v>
      </c>
      <c r="L278" t="s">
        <v>847</v>
      </c>
      <c r="M278" s="82"/>
    </row>
    <row r="279" spans="9:13">
      <c r="I279" t="s">
        <v>844</v>
      </c>
      <c r="J279" s="82">
        <v>3.5</v>
      </c>
      <c r="L279" t="s">
        <v>850</v>
      </c>
      <c r="M279" s="82">
        <v>206549</v>
      </c>
    </row>
    <row r="280" spans="9:13">
      <c r="I280" t="s">
        <v>847</v>
      </c>
      <c r="J280" s="82">
        <v>3.5</v>
      </c>
      <c r="L280" t="s">
        <v>853</v>
      </c>
      <c r="M280" s="82">
        <v>88679</v>
      </c>
    </row>
    <row r="281" spans="9:13">
      <c r="I281" t="s">
        <v>850</v>
      </c>
      <c r="J281" s="82">
        <v>3</v>
      </c>
      <c r="L281" t="s">
        <v>856</v>
      </c>
      <c r="M281" s="82">
        <v>54125</v>
      </c>
    </row>
    <row r="282" spans="9:13">
      <c r="I282" t="s">
        <v>853</v>
      </c>
      <c r="J282" s="82">
        <v>2.4</v>
      </c>
      <c r="L282" t="s">
        <v>858</v>
      </c>
      <c r="M282" s="82">
        <v>76976</v>
      </c>
    </row>
    <row r="283" spans="9:13">
      <c r="I283" t="s">
        <v>856</v>
      </c>
      <c r="J283" s="82">
        <v>4.0999999999999996</v>
      </c>
      <c r="L283" t="s">
        <v>861</v>
      </c>
      <c r="M283" s="82">
        <v>67428</v>
      </c>
    </row>
    <row r="284" spans="9:13">
      <c r="I284" t="s">
        <v>858</v>
      </c>
      <c r="J284" s="82">
        <v>3.7</v>
      </c>
      <c r="L284" t="s">
        <v>864</v>
      </c>
      <c r="M284" s="82">
        <v>21362</v>
      </c>
    </row>
    <row r="285" spans="9:13">
      <c r="I285" t="s">
        <v>861</v>
      </c>
      <c r="J285" s="82">
        <v>3.3</v>
      </c>
      <c r="L285" t="s">
        <v>867</v>
      </c>
      <c r="M285" s="82">
        <v>194576</v>
      </c>
    </row>
    <row r="286" spans="9:13">
      <c r="I286" t="s">
        <v>864</v>
      </c>
      <c r="J286" s="82">
        <v>3.8</v>
      </c>
      <c r="L286" t="s">
        <v>870</v>
      </c>
      <c r="M286" s="82">
        <v>149194</v>
      </c>
    </row>
    <row r="287" spans="9:13">
      <c r="I287" t="s">
        <v>867</v>
      </c>
      <c r="J287" s="82">
        <v>1.6</v>
      </c>
      <c r="L287" t="s">
        <v>873</v>
      </c>
      <c r="M287" s="82">
        <v>121017</v>
      </c>
    </row>
    <row r="288" spans="9:13">
      <c r="I288" t="s">
        <v>870</v>
      </c>
      <c r="J288" s="82">
        <v>4.7</v>
      </c>
      <c r="L288" t="s">
        <v>876</v>
      </c>
      <c r="M288" s="82">
        <v>100208</v>
      </c>
    </row>
    <row r="289" spans="9:13">
      <c r="I289" t="s">
        <v>873</v>
      </c>
      <c r="J289" s="82">
        <v>3.3</v>
      </c>
      <c r="L289" t="s">
        <v>878</v>
      </c>
      <c r="M289" s="82">
        <v>118155</v>
      </c>
    </row>
    <row r="290" spans="9:13">
      <c r="I290" t="s">
        <v>876</v>
      </c>
      <c r="J290" s="82">
        <v>1.6</v>
      </c>
      <c r="L290" t="s">
        <v>880</v>
      </c>
      <c r="M290" s="82">
        <v>20810</v>
      </c>
    </row>
    <row r="291" spans="9:13">
      <c r="I291" t="s">
        <v>878</v>
      </c>
      <c r="J291" s="82">
        <v>1.9</v>
      </c>
      <c r="L291" t="s">
        <v>883</v>
      </c>
      <c r="M291" s="82">
        <v>54488</v>
      </c>
    </row>
    <row r="292" spans="9:13">
      <c r="I292" t="s">
        <v>880</v>
      </c>
      <c r="J292" s="82">
        <v>4.5999999999999996</v>
      </c>
      <c r="L292" t="s">
        <v>885</v>
      </c>
      <c r="M292" s="82">
        <v>103184</v>
      </c>
    </row>
    <row r="293" spans="9:13">
      <c r="I293" t="s">
        <v>883</v>
      </c>
      <c r="J293" s="82">
        <v>1.9</v>
      </c>
      <c r="L293" t="s">
        <v>888</v>
      </c>
      <c r="M293" s="82">
        <v>130185</v>
      </c>
    </row>
    <row r="294" spans="9:13">
      <c r="I294" t="s">
        <v>885</v>
      </c>
      <c r="J294" s="82">
        <v>3.6</v>
      </c>
      <c r="L294" t="s">
        <v>890</v>
      </c>
      <c r="M294" s="82">
        <v>74105</v>
      </c>
    </row>
    <row r="295" spans="9:13">
      <c r="I295" t="s">
        <v>888</v>
      </c>
      <c r="J295" s="82">
        <v>3.7</v>
      </c>
      <c r="L295" t="s">
        <v>892</v>
      </c>
      <c r="M295" s="82">
        <v>75354</v>
      </c>
    </row>
    <row r="296" spans="9:13">
      <c r="I296" t="s">
        <v>890</v>
      </c>
      <c r="J296" s="82">
        <v>4.4000000000000004</v>
      </c>
      <c r="L296" t="s">
        <v>894</v>
      </c>
      <c r="M296" s="82">
        <v>187534</v>
      </c>
    </row>
    <row r="297" spans="9:13">
      <c r="I297" t="s">
        <v>892</v>
      </c>
      <c r="J297" s="82">
        <v>3.3</v>
      </c>
      <c r="L297" t="s">
        <v>896</v>
      </c>
      <c r="M297" s="82">
        <v>56851</v>
      </c>
    </row>
    <row r="298" spans="9:13">
      <c r="I298" t="s">
        <v>894</v>
      </c>
      <c r="J298" s="82">
        <v>4.8</v>
      </c>
      <c r="L298" t="s">
        <v>898</v>
      </c>
      <c r="M298" s="82">
        <v>106185</v>
      </c>
    </row>
    <row r="299" spans="9:13">
      <c r="I299" t="s">
        <v>896</v>
      </c>
      <c r="J299" s="82">
        <v>4.8</v>
      </c>
      <c r="L299" t="s">
        <v>900</v>
      </c>
      <c r="M299" s="82">
        <v>57886</v>
      </c>
    </row>
    <row r="300" spans="9:13">
      <c r="I300" t="s">
        <v>898</v>
      </c>
      <c r="J300" s="82"/>
      <c r="L300" t="s">
        <v>903</v>
      </c>
      <c r="M300" s="82">
        <v>144943</v>
      </c>
    </row>
    <row r="301" spans="9:13">
      <c r="I301" t="s">
        <v>900</v>
      </c>
      <c r="J301" s="82">
        <v>4.4000000000000004</v>
      </c>
      <c r="L301" t="s">
        <v>906</v>
      </c>
      <c r="M301" s="82">
        <v>106598</v>
      </c>
    </row>
    <row r="302" spans="9:13">
      <c r="I302" t="s">
        <v>903</v>
      </c>
      <c r="J302" s="82">
        <v>2.7</v>
      </c>
      <c r="L302" t="s">
        <v>909</v>
      </c>
      <c r="M302" s="82">
        <v>100155</v>
      </c>
    </row>
    <row r="303" spans="9:13">
      <c r="I303" t="s">
        <v>906</v>
      </c>
      <c r="J303" s="82">
        <v>2.9</v>
      </c>
      <c r="L303" t="s">
        <v>911</v>
      </c>
      <c r="M303" s="82">
        <v>191704</v>
      </c>
    </row>
    <row r="304" spans="9:13">
      <c r="I304" t="s">
        <v>909</v>
      </c>
      <c r="J304" s="82">
        <v>2.4</v>
      </c>
      <c r="L304" t="s">
        <v>914</v>
      </c>
      <c r="M304" s="82">
        <v>58653</v>
      </c>
    </row>
    <row r="305" spans="9:13">
      <c r="I305" t="s">
        <v>911</v>
      </c>
      <c r="J305" s="82">
        <v>3.4</v>
      </c>
      <c r="L305" t="s">
        <v>916</v>
      </c>
      <c r="M305" s="82">
        <v>199308</v>
      </c>
    </row>
    <row r="306" spans="9:13">
      <c r="I306" t="s">
        <v>914</v>
      </c>
      <c r="J306" s="82">
        <v>4.5999999999999996</v>
      </c>
      <c r="L306" t="s">
        <v>918</v>
      </c>
      <c r="M306" s="82">
        <v>202858</v>
      </c>
    </row>
    <row r="307" spans="9:13">
      <c r="I307" t="s">
        <v>916</v>
      </c>
      <c r="J307" s="82">
        <v>2.2000000000000002</v>
      </c>
      <c r="L307" t="s">
        <v>921</v>
      </c>
      <c r="M307" s="82">
        <v>49819</v>
      </c>
    </row>
    <row r="308" spans="9:13">
      <c r="I308" t="s">
        <v>918</v>
      </c>
      <c r="J308" s="82">
        <v>2.2999999999999998</v>
      </c>
      <c r="L308" t="s">
        <v>924</v>
      </c>
      <c r="M308" s="82">
        <v>196830</v>
      </c>
    </row>
    <row r="309" spans="9:13">
      <c r="I309" t="s">
        <v>921</v>
      </c>
      <c r="J309" s="82">
        <v>1.7</v>
      </c>
      <c r="L309" t="s">
        <v>926</v>
      </c>
      <c r="M309" s="82">
        <v>104114</v>
      </c>
    </row>
    <row r="310" spans="9:13">
      <c r="I310" t="s">
        <v>924</v>
      </c>
      <c r="J310" s="82">
        <v>3.4</v>
      </c>
      <c r="L310" t="s">
        <v>928</v>
      </c>
      <c r="M310" s="82">
        <v>117880</v>
      </c>
    </row>
    <row r="311" spans="9:13">
      <c r="I311" t="s">
        <v>926</v>
      </c>
      <c r="J311" s="82">
        <v>2.1</v>
      </c>
      <c r="L311" t="s">
        <v>931</v>
      </c>
      <c r="M311" s="82">
        <v>101994</v>
      </c>
    </row>
    <row r="312" spans="9:13">
      <c r="I312" t="s">
        <v>928</v>
      </c>
      <c r="J312" s="82">
        <v>4.7</v>
      </c>
      <c r="L312" t="s">
        <v>934</v>
      </c>
      <c r="M312" s="82">
        <v>196624</v>
      </c>
    </row>
    <row r="313" spans="9:13">
      <c r="I313" t="s">
        <v>931</v>
      </c>
      <c r="J313" s="82">
        <v>2.5</v>
      </c>
      <c r="L313" t="s">
        <v>936</v>
      </c>
      <c r="M313" s="82">
        <v>129574</v>
      </c>
    </row>
    <row r="314" spans="9:13">
      <c r="I314" t="s">
        <v>934</v>
      </c>
      <c r="J314" s="82"/>
      <c r="L314" t="s">
        <v>939</v>
      </c>
      <c r="M314" s="82">
        <v>21614</v>
      </c>
    </row>
    <row r="315" spans="9:13">
      <c r="I315" t="s">
        <v>936</v>
      </c>
      <c r="J315" s="82">
        <v>4.3</v>
      </c>
      <c r="L315" t="s">
        <v>941</v>
      </c>
      <c r="M315" s="82">
        <v>216959</v>
      </c>
    </row>
    <row r="316" spans="9:13">
      <c r="I316" t="s">
        <v>939</v>
      </c>
      <c r="J316" s="82">
        <v>4.8</v>
      </c>
      <c r="L316" t="s">
        <v>943</v>
      </c>
      <c r="M316" s="82">
        <v>41675</v>
      </c>
    </row>
    <row r="317" spans="9:13">
      <c r="I317" t="s">
        <v>941</v>
      </c>
      <c r="J317" s="82">
        <v>3.3</v>
      </c>
      <c r="L317" t="s">
        <v>946</v>
      </c>
      <c r="M317" s="82">
        <v>154546</v>
      </c>
    </row>
    <row r="318" spans="9:13">
      <c r="I318" t="s">
        <v>943</v>
      </c>
      <c r="J318" s="82">
        <v>2</v>
      </c>
      <c r="L318" t="s">
        <v>949</v>
      </c>
      <c r="M318" s="82">
        <v>109813</v>
      </c>
    </row>
    <row r="319" spans="9:13">
      <c r="I319" t="s">
        <v>946</v>
      </c>
      <c r="J319" s="82">
        <v>4.5</v>
      </c>
      <c r="L319" t="s">
        <v>951</v>
      </c>
      <c r="M319" s="82">
        <v>215570</v>
      </c>
    </row>
    <row r="320" spans="9:13">
      <c r="I320" t="s">
        <v>949</v>
      </c>
      <c r="J320" s="82">
        <v>4.3</v>
      </c>
      <c r="L320" t="s">
        <v>953</v>
      </c>
      <c r="M320" s="82">
        <v>142649</v>
      </c>
    </row>
    <row r="321" spans="9:13">
      <c r="I321" t="s">
        <v>951</v>
      </c>
      <c r="J321" s="82">
        <v>2.5</v>
      </c>
      <c r="L321" t="s">
        <v>955</v>
      </c>
      <c r="M321" s="82">
        <v>40218</v>
      </c>
    </row>
    <row r="322" spans="9:13">
      <c r="I322" t="s">
        <v>953</v>
      </c>
      <c r="J322" s="82">
        <v>1.9</v>
      </c>
      <c r="L322" t="s">
        <v>957</v>
      </c>
      <c r="M322" s="82"/>
    </row>
    <row r="323" spans="9:13">
      <c r="I323" t="s">
        <v>955</v>
      </c>
      <c r="J323" s="82">
        <v>3.5</v>
      </c>
      <c r="L323" t="s">
        <v>960</v>
      </c>
      <c r="M323" s="82">
        <v>64683</v>
      </c>
    </row>
    <row r="324" spans="9:13">
      <c r="I324" t="s">
        <v>957</v>
      </c>
      <c r="J324" s="82">
        <v>2.1</v>
      </c>
      <c r="L324" t="s">
        <v>963</v>
      </c>
      <c r="M324" s="82">
        <v>81920</v>
      </c>
    </row>
    <row r="325" spans="9:13">
      <c r="I325" t="s">
        <v>960</v>
      </c>
      <c r="J325" s="82">
        <v>1.7</v>
      </c>
      <c r="L325" t="s">
        <v>965</v>
      </c>
      <c r="M325" s="82">
        <v>146813</v>
      </c>
    </row>
    <row r="326" spans="9:13">
      <c r="I326" t="s">
        <v>963</v>
      </c>
      <c r="J326" s="82">
        <v>4.2</v>
      </c>
      <c r="L326" t="s">
        <v>969</v>
      </c>
      <c r="M326" s="82">
        <v>23682</v>
      </c>
    </row>
    <row r="327" spans="9:13">
      <c r="I327" t="s">
        <v>965</v>
      </c>
      <c r="J327" s="82">
        <v>5</v>
      </c>
      <c r="L327" t="s">
        <v>972</v>
      </c>
      <c r="M327" s="82">
        <v>213306</v>
      </c>
    </row>
    <row r="328" spans="9:13">
      <c r="I328" t="s">
        <v>969</v>
      </c>
      <c r="J328" s="82">
        <v>4.9000000000000004</v>
      </c>
      <c r="L328" t="s">
        <v>974</v>
      </c>
      <c r="M328" s="82">
        <v>192476</v>
      </c>
    </row>
    <row r="329" spans="9:13">
      <c r="I329" t="s">
        <v>972</v>
      </c>
      <c r="J329" s="82">
        <v>3</v>
      </c>
      <c r="L329" t="s">
        <v>978</v>
      </c>
      <c r="M329" s="82">
        <v>204754</v>
      </c>
    </row>
    <row r="330" spans="9:13">
      <c r="I330" t="s">
        <v>974</v>
      </c>
      <c r="J330" s="82">
        <v>3.9</v>
      </c>
      <c r="L330" t="s">
        <v>979</v>
      </c>
      <c r="M330" s="82">
        <v>180805</v>
      </c>
    </row>
    <row r="331" spans="9:13">
      <c r="I331" t="s">
        <v>978</v>
      </c>
      <c r="J331" s="82">
        <v>4.0999999999999996</v>
      </c>
      <c r="L331" t="s">
        <v>982</v>
      </c>
      <c r="M331" s="82">
        <v>204255</v>
      </c>
    </row>
    <row r="332" spans="9:13">
      <c r="I332" t="s">
        <v>979</v>
      </c>
      <c r="J332" s="82">
        <v>4.5999999999999996</v>
      </c>
      <c r="L332" t="s">
        <v>983</v>
      </c>
      <c r="M332" s="82">
        <v>117570</v>
      </c>
    </row>
    <row r="333" spans="9:13">
      <c r="I333" t="s">
        <v>982</v>
      </c>
      <c r="J333" s="82">
        <v>2.6</v>
      </c>
      <c r="L333" t="s">
        <v>986</v>
      </c>
      <c r="M333" s="82">
        <v>149295</v>
      </c>
    </row>
    <row r="334" spans="9:13">
      <c r="I334" t="s">
        <v>983</v>
      </c>
      <c r="J334" s="82">
        <v>2.9</v>
      </c>
      <c r="L334" t="s">
        <v>989</v>
      </c>
      <c r="M334" s="82">
        <v>149292</v>
      </c>
    </row>
    <row r="335" spans="9:13">
      <c r="I335" t="s">
        <v>986</v>
      </c>
      <c r="J335" s="82">
        <v>4.8</v>
      </c>
      <c r="L335" t="s">
        <v>991</v>
      </c>
      <c r="M335" s="82">
        <v>52851</v>
      </c>
    </row>
    <row r="336" spans="9:13">
      <c r="I336" t="s">
        <v>989</v>
      </c>
      <c r="J336" s="82">
        <v>2</v>
      </c>
      <c r="L336" t="s">
        <v>993</v>
      </c>
      <c r="M336" s="82">
        <v>30614</v>
      </c>
    </row>
    <row r="337" spans="9:13">
      <c r="I337" t="s">
        <v>991</v>
      </c>
      <c r="J337" s="82">
        <v>2.4</v>
      </c>
      <c r="L337" t="s">
        <v>995</v>
      </c>
      <c r="M337" s="82">
        <v>138715</v>
      </c>
    </row>
    <row r="338" spans="9:13">
      <c r="I338" t="s">
        <v>993</v>
      </c>
      <c r="J338" s="82">
        <v>4.5999999999999996</v>
      </c>
      <c r="L338" t="s">
        <v>997</v>
      </c>
      <c r="M338" s="82">
        <v>56042</v>
      </c>
    </row>
    <row r="339" spans="9:13">
      <c r="I339" t="s">
        <v>995</v>
      </c>
      <c r="J339" s="82">
        <v>4</v>
      </c>
      <c r="L339" t="s">
        <v>999</v>
      </c>
      <c r="M339" s="82">
        <v>61065</v>
      </c>
    </row>
    <row r="340" spans="9:13">
      <c r="I340" t="s">
        <v>997</v>
      </c>
      <c r="J340" s="82">
        <v>3</v>
      </c>
      <c r="L340" t="s">
        <v>1001</v>
      </c>
      <c r="M340" s="82">
        <v>147073</v>
      </c>
    </row>
    <row r="341" spans="9:13">
      <c r="I341" t="s">
        <v>999</v>
      </c>
      <c r="J341" s="82">
        <v>3.7</v>
      </c>
      <c r="L341" t="s">
        <v>1002</v>
      </c>
      <c r="M341" s="82">
        <v>158491</v>
      </c>
    </row>
    <row r="342" spans="9:13">
      <c r="I342" t="s">
        <v>1001</v>
      </c>
      <c r="J342" s="82">
        <v>4.4000000000000004</v>
      </c>
      <c r="L342" t="s">
        <v>1004</v>
      </c>
      <c r="M342" s="82">
        <v>140959</v>
      </c>
    </row>
    <row r="343" spans="9:13">
      <c r="I343" t="s">
        <v>1002</v>
      </c>
      <c r="J343" s="82">
        <v>4.9000000000000004</v>
      </c>
      <c r="L343" t="s">
        <v>1007</v>
      </c>
      <c r="M343" s="82">
        <v>188030</v>
      </c>
    </row>
    <row r="344" spans="9:13">
      <c r="I344" t="s">
        <v>1004</v>
      </c>
      <c r="J344" s="82">
        <v>3.6</v>
      </c>
      <c r="L344" t="s">
        <v>1009</v>
      </c>
      <c r="M344" s="82">
        <v>130516</v>
      </c>
    </row>
    <row r="345" spans="9:13">
      <c r="I345" t="s">
        <v>1007</v>
      </c>
      <c r="J345" s="82">
        <v>2.6</v>
      </c>
      <c r="L345" t="s">
        <v>1012</v>
      </c>
      <c r="M345" s="82">
        <v>125189</v>
      </c>
    </row>
    <row r="346" spans="9:13">
      <c r="I346" t="s">
        <v>1009</v>
      </c>
      <c r="J346" s="82">
        <v>1.6</v>
      </c>
      <c r="L346" t="s">
        <v>1014</v>
      </c>
      <c r="M346" s="82">
        <v>146360</v>
      </c>
    </row>
    <row r="347" spans="9:13">
      <c r="I347" t="s">
        <v>1012</v>
      </c>
      <c r="J347" s="82">
        <v>2.9</v>
      </c>
      <c r="L347" t="s">
        <v>1016</v>
      </c>
      <c r="M347" s="82">
        <v>219373</v>
      </c>
    </row>
    <row r="348" spans="9:13">
      <c r="I348" t="s">
        <v>1014</v>
      </c>
      <c r="J348" s="82">
        <v>4.5</v>
      </c>
      <c r="L348" t="s">
        <v>1019</v>
      </c>
      <c r="M348" s="82">
        <v>48001</v>
      </c>
    </row>
    <row r="349" spans="9:13">
      <c r="I349" t="s">
        <v>1016</v>
      </c>
      <c r="J349" s="82">
        <v>4.3</v>
      </c>
      <c r="L349" t="s">
        <v>1022</v>
      </c>
      <c r="M349" s="82">
        <v>170847</v>
      </c>
    </row>
    <row r="350" spans="9:13">
      <c r="I350" t="s">
        <v>1019</v>
      </c>
      <c r="J350" s="82">
        <v>4.8</v>
      </c>
      <c r="L350" t="s">
        <v>1025</v>
      </c>
      <c r="M350" s="82">
        <v>47083</v>
      </c>
    </row>
    <row r="351" spans="9:13">
      <c r="I351" t="s">
        <v>1022</v>
      </c>
      <c r="J351" s="82">
        <v>2.1</v>
      </c>
      <c r="L351" t="s">
        <v>1028</v>
      </c>
      <c r="M351" s="82">
        <v>199069</v>
      </c>
    </row>
    <row r="352" spans="9:13">
      <c r="I352" t="s">
        <v>1025</v>
      </c>
      <c r="J352" s="82">
        <v>2.2999999999999998</v>
      </c>
      <c r="L352" t="s">
        <v>1030</v>
      </c>
      <c r="M352" s="82">
        <v>63697</v>
      </c>
    </row>
    <row r="353" spans="9:13">
      <c r="I353" t="s">
        <v>1028</v>
      </c>
      <c r="J353" s="82">
        <v>3.8</v>
      </c>
      <c r="L353" t="s">
        <v>1032</v>
      </c>
      <c r="M353" s="82">
        <v>88344</v>
      </c>
    </row>
    <row r="354" spans="9:13">
      <c r="I354" t="s">
        <v>1030</v>
      </c>
      <c r="J354" s="82">
        <v>3.5</v>
      </c>
      <c r="L354" t="s">
        <v>1034</v>
      </c>
      <c r="M354" s="82">
        <v>32878</v>
      </c>
    </row>
    <row r="355" spans="9:13">
      <c r="I355" t="s">
        <v>1032</v>
      </c>
      <c r="J355" s="82">
        <v>4</v>
      </c>
      <c r="L355" t="s">
        <v>1037</v>
      </c>
      <c r="M355" s="82">
        <v>182126</v>
      </c>
    </row>
    <row r="356" spans="9:13">
      <c r="I356" t="s">
        <v>1034</v>
      </c>
      <c r="J356" s="82">
        <v>1.6</v>
      </c>
      <c r="L356" t="s">
        <v>1040</v>
      </c>
      <c r="M356" s="82">
        <v>160182</v>
      </c>
    </row>
    <row r="357" spans="9:13">
      <c r="I357" t="s">
        <v>1037</v>
      </c>
      <c r="J357" s="82">
        <v>2</v>
      </c>
      <c r="L357" t="s">
        <v>1043</v>
      </c>
      <c r="M357" s="82">
        <v>59431</v>
      </c>
    </row>
    <row r="358" spans="9:13">
      <c r="I358" t="s">
        <v>1040</v>
      </c>
      <c r="J358" s="82">
        <v>4.2</v>
      </c>
      <c r="L358" t="s">
        <v>1044</v>
      </c>
      <c r="M358" s="82">
        <v>181561</v>
      </c>
    </row>
    <row r="359" spans="9:13">
      <c r="I359" t="s">
        <v>1043</v>
      </c>
      <c r="J359" s="82">
        <v>4.8</v>
      </c>
      <c r="L359" t="s">
        <v>1046</v>
      </c>
      <c r="M359" s="82">
        <v>180425</v>
      </c>
    </row>
    <row r="360" spans="9:13">
      <c r="I360" t="s">
        <v>1044</v>
      </c>
      <c r="J360" s="82">
        <v>2.8</v>
      </c>
      <c r="L360" t="s">
        <v>1047</v>
      </c>
      <c r="M360" s="82">
        <v>68542</v>
      </c>
    </row>
    <row r="361" spans="9:13">
      <c r="I361" t="s">
        <v>1046</v>
      </c>
      <c r="J361" s="82"/>
      <c r="L361" t="s">
        <v>1050</v>
      </c>
      <c r="M361" s="82">
        <v>122794</v>
      </c>
    </row>
    <row r="362" spans="9:13">
      <c r="I362" t="s">
        <v>1047</v>
      </c>
      <c r="J362" s="82">
        <v>2.6</v>
      </c>
      <c r="L362" t="s">
        <v>1053</v>
      </c>
      <c r="M362" s="82">
        <v>205957</v>
      </c>
    </row>
    <row r="363" spans="9:13">
      <c r="I363" t="s">
        <v>1050</v>
      </c>
      <c r="J363" s="82">
        <v>3.4</v>
      </c>
      <c r="L363" t="s">
        <v>1056</v>
      </c>
      <c r="M363" s="82">
        <v>82868</v>
      </c>
    </row>
    <row r="364" spans="9:13">
      <c r="I364" t="s">
        <v>1053</v>
      </c>
      <c r="J364" s="82">
        <v>3.2</v>
      </c>
      <c r="L364" t="s">
        <v>1059</v>
      </c>
      <c r="M364" s="82">
        <v>36303</v>
      </c>
    </row>
    <row r="365" spans="9:13">
      <c r="I365" t="s">
        <v>1056</v>
      </c>
      <c r="J365" s="82">
        <v>1.6</v>
      </c>
      <c r="L365" t="s">
        <v>1062</v>
      </c>
      <c r="M365" s="82">
        <v>164732</v>
      </c>
    </row>
    <row r="366" spans="9:13">
      <c r="I366" t="s">
        <v>1059</v>
      </c>
      <c r="J366" s="82">
        <v>1.7</v>
      </c>
      <c r="L366" t="s">
        <v>1064</v>
      </c>
      <c r="M366" s="82">
        <v>181772</v>
      </c>
    </row>
    <row r="367" spans="9:13">
      <c r="I367" t="s">
        <v>1062</v>
      </c>
      <c r="J367" s="82">
        <v>1.7</v>
      </c>
      <c r="L367" t="s">
        <v>1066</v>
      </c>
      <c r="M367" s="82">
        <v>78308</v>
      </c>
    </row>
    <row r="368" spans="9:13">
      <c r="I368" t="s">
        <v>1064</v>
      </c>
      <c r="J368" s="82">
        <v>4.5999999999999996</v>
      </c>
      <c r="L368" t="s">
        <v>1069</v>
      </c>
      <c r="M368" s="82">
        <v>95687</v>
      </c>
    </row>
    <row r="369" spans="9:13">
      <c r="I369" t="s">
        <v>1066</v>
      </c>
      <c r="J369" s="82">
        <v>3.2</v>
      </c>
      <c r="L369" t="s">
        <v>1071</v>
      </c>
      <c r="M369" s="82">
        <v>65299</v>
      </c>
    </row>
    <row r="370" spans="9:13">
      <c r="I370" t="s">
        <v>1069</v>
      </c>
      <c r="J370" s="82">
        <v>1.9</v>
      </c>
      <c r="L370" t="s">
        <v>1074</v>
      </c>
      <c r="M370" s="82">
        <v>168312</v>
      </c>
    </row>
    <row r="371" spans="9:13">
      <c r="I371" t="s">
        <v>1071</v>
      </c>
      <c r="J371" s="82"/>
      <c r="L371" t="s">
        <v>1076</v>
      </c>
      <c r="M371" s="82">
        <v>102805</v>
      </c>
    </row>
    <row r="372" spans="9:13">
      <c r="I372" t="s">
        <v>1074</v>
      </c>
      <c r="J372" s="82">
        <v>4.4000000000000004</v>
      </c>
      <c r="L372" t="s">
        <v>1078</v>
      </c>
      <c r="M372" s="82">
        <v>196621</v>
      </c>
    </row>
    <row r="373" spans="9:13">
      <c r="I373" t="s">
        <v>1076</v>
      </c>
      <c r="J373" s="82"/>
      <c r="L373" t="s">
        <v>1080</v>
      </c>
      <c r="M373" s="82">
        <v>122868</v>
      </c>
    </row>
    <row r="374" spans="9:13">
      <c r="I374" t="s">
        <v>1078</v>
      </c>
      <c r="J374" s="82">
        <v>1.6</v>
      </c>
      <c r="L374" t="s">
        <v>1082</v>
      </c>
      <c r="M374" s="82">
        <v>77730</v>
      </c>
    </row>
    <row r="375" spans="9:13">
      <c r="I375" t="s">
        <v>1080</v>
      </c>
      <c r="J375" s="82">
        <v>1.5</v>
      </c>
      <c r="L375" t="s">
        <v>1085</v>
      </c>
      <c r="M375" s="82">
        <v>103254</v>
      </c>
    </row>
    <row r="376" spans="9:13">
      <c r="I376" t="s">
        <v>1082</v>
      </c>
      <c r="J376" s="82">
        <v>2.7</v>
      </c>
      <c r="L376" t="s">
        <v>1088</v>
      </c>
      <c r="M376" s="82">
        <v>89287</v>
      </c>
    </row>
    <row r="377" spans="9:13">
      <c r="I377" t="s">
        <v>1085</v>
      </c>
      <c r="J377" s="82">
        <v>3.4</v>
      </c>
      <c r="L377" t="s">
        <v>1091</v>
      </c>
      <c r="M377" s="82">
        <v>189763</v>
      </c>
    </row>
    <row r="378" spans="9:13">
      <c r="I378" t="s">
        <v>1088</v>
      </c>
      <c r="J378" s="82">
        <v>3.9</v>
      </c>
      <c r="L378" t="s">
        <v>1093</v>
      </c>
      <c r="M378" s="82">
        <v>198328</v>
      </c>
    </row>
    <row r="379" spans="9:13">
      <c r="I379" t="s">
        <v>1091</v>
      </c>
      <c r="J379" s="82">
        <v>3.7</v>
      </c>
      <c r="L379" t="s">
        <v>1095</v>
      </c>
      <c r="M379" s="82">
        <v>75137</v>
      </c>
    </row>
    <row r="380" spans="9:13">
      <c r="I380" t="s">
        <v>1093</v>
      </c>
      <c r="J380" s="82">
        <v>1.9</v>
      </c>
      <c r="L380" t="s">
        <v>1098</v>
      </c>
      <c r="M380" s="82">
        <v>66900</v>
      </c>
    </row>
    <row r="381" spans="9:13">
      <c r="I381" t="s">
        <v>1095</v>
      </c>
      <c r="J381" s="82">
        <v>4.2</v>
      </c>
      <c r="L381" t="s">
        <v>1100</v>
      </c>
      <c r="M381" s="82">
        <v>134088</v>
      </c>
    </row>
    <row r="382" spans="9:13">
      <c r="I382" t="s">
        <v>1098</v>
      </c>
      <c r="J382" s="82">
        <v>2.5</v>
      </c>
      <c r="L382" t="s">
        <v>1102</v>
      </c>
      <c r="M382" s="82">
        <v>127972</v>
      </c>
    </row>
    <row r="383" spans="9:13">
      <c r="I383" t="s">
        <v>1100</v>
      </c>
      <c r="J383" s="82">
        <v>2.5</v>
      </c>
      <c r="L383" t="s">
        <v>1105</v>
      </c>
      <c r="M383" s="82">
        <v>98254</v>
      </c>
    </row>
    <row r="384" spans="9:13">
      <c r="I384" t="s">
        <v>1102</v>
      </c>
      <c r="J384" s="82">
        <v>4.9000000000000004</v>
      </c>
      <c r="L384" t="s">
        <v>1107</v>
      </c>
      <c r="M384" s="82">
        <v>190711</v>
      </c>
    </row>
    <row r="385" spans="9:13">
      <c r="I385" t="s">
        <v>1105</v>
      </c>
      <c r="J385" s="82">
        <v>2.4</v>
      </c>
      <c r="L385" t="s">
        <v>1109</v>
      </c>
      <c r="M385" s="82">
        <v>136842</v>
      </c>
    </row>
    <row r="386" spans="9:13">
      <c r="I386" t="s">
        <v>1107</v>
      </c>
      <c r="J386" s="82">
        <v>1.9</v>
      </c>
      <c r="L386" t="s">
        <v>1111</v>
      </c>
      <c r="M386" s="82">
        <v>189060</v>
      </c>
    </row>
    <row r="387" spans="9:13">
      <c r="I387" t="s">
        <v>1109</v>
      </c>
      <c r="J387" s="82">
        <v>2.1</v>
      </c>
      <c r="L387" t="s">
        <v>1114</v>
      </c>
      <c r="M387" s="82">
        <v>184497</v>
      </c>
    </row>
    <row r="388" spans="9:13">
      <c r="I388" t="s">
        <v>1111</v>
      </c>
      <c r="J388" s="82">
        <v>3</v>
      </c>
      <c r="L388" t="s">
        <v>1115</v>
      </c>
      <c r="M388" s="82">
        <v>219196</v>
      </c>
    </row>
    <row r="389" spans="9:13">
      <c r="I389" t="s">
        <v>1114</v>
      </c>
      <c r="J389" s="82">
        <v>3.8</v>
      </c>
      <c r="L389" t="s">
        <v>1117</v>
      </c>
      <c r="M389" s="82">
        <v>92781</v>
      </c>
    </row>
    <row r="390" spans="9:13">
      <c r="I390" t="s">
        <v>1115</v>
      </c>
      <c r="J390" s="82">
        <v>2.8</v>
      </c>
      <c r="L390" t="s">
        <v>1119</v>
      </c>
      <c r="M390" s="82">
        <v>86329</v>
      </c>
    </row>
    <row r="391" spans="9:13">
      <c r="I391" t="s">
        <v>1117</v>
      </c>
      <c r="J391" s="82">
        <v>4.8</v>
      </c>
      <c r="L391" t="s">
        <v>1122</v>
      </c>
      <c r="M391" s="82">
        <v>160769</v>
      </c>
    </row>
    <row r="392" spans="9:13">
      <c r="I392" t="s">
        <v>1119</v>
      </c>
      <c r="J392" s="82">
        <v>1.5</v>
      </c>
      <c r="L392" t="s">
        <v>1124</v>
      </c>
      <c r="M392" s="82">
        <v>183015</v>
      </c>
    </row>
    <row r="393" spans="9:13">
      <c r="I393" t="s">
        <v>1122</v>
      </c>
      <c r="J393" s="82">
        <v>3.5</v>
      </c>
      <c r="L393" t="s">
        <v>1127</v>
      </c>
      <c r="M393" s="82">
        <v>200703</v>
      </c>
    </row>
    <row r="394" spans="9:13">
      <c r="I394" t="s">
        <v>1124</v>
      </c>
      <c r="J394" s="82">
        <v>4.7</v>
      </c>
      <c r="L394" t="s">
        <v>1130</v>
      </c>
      <c r="M394" s="82">
        <v>155514</v>
      </c>
    </row>
    <row r="395" spans="9:13">
      <c r="I395" t="s">
        <v>1127</v>
      </c>
      <c r="J395" s="82">
        <v>2.8</v>
      </c>
      <c r="L395" t="s">
        <v>1133</v>
      </c>
      <c r="M395" s="82">
        <v>190615</v>
      </c>
    </row>
    <row r="396" spans="9:13">
      <c r="I396" t="s">
        <v>1130</v>
      </c>
      <c r="J396" s="82">
        <v>3.2</v>
      </c>
      <c r="L396" t="s">
        <v>1135</v>
      </c>
      <c r="M396" s="82">
        <v>120944</v>
      </c>
    </row>
    <row r="397" spans="9:13">
      <c r="I397" t="s">
        <v>1133</v>
      </c>
      <c r="J397" s="82">
        <v>2.7</v>
      </c>
      <c r="L397" t="s">
        <v>1138</v>
      </c>
      <c r="M397" s="82">
        <v>217420</v>
      </c>
    </row>
    <row r="398" spans="9:13">
      <c r="I398" t="s">
        <v>1135</v>
      </c>
      <c r="J398" s="82">
        <v>3.8</v>
      </c>
      <c r="L398" t="s">
        <v>1140</v>
      </c>
      <c r="M398" s="82">
        <v>41833</v>
      </c>
    </row>
    <row r="399" spans="9:13">
      <c r="I399" t="s">
        <v>1138</v>
      </c>
      <c r="J399" s="82">
        <v>2.1</v>
      </c>
      <c r="L399" t="s">
        <v>1142</v>
      </c>
      <c r="M399" s="82">
        <v>90160</v>
      </c>
    </row>
    <row r="400" spans="9:13">
      <c r="I400" t="s">
        <v>1140</v>
      </c>
      <c r="J400" s="82">
        <v>2.6</v>
      </c>
      <c r="L400" t="s">
        <v>1144</v>
      </c>
      <c r="M400" s="82">
        <v>135092</v>
      </c>
    </row>
    <row r="401" spans="9:13">
      <c r="I401" t="s">
        <v>1142</v>
      </c>
      <c r="J401" s="82">
        <v>1.8</v>
      </c>
      <c r="L401" t="s">
        <v>1147</v>
      </c>
      <c r="M401" s="82">
        <v>95751</v>
      </c>
    </row>
    <row r="402" spans="9:13">
      <c r="I402" t="s">
        <v>1144</v>
      </c>
      <c r="J402" s="82">
        <v>4.8</v>
      </c>
      <c r="L402" t="s">
        <v>1150</v>
      </c>
      <c r="M402" s="82">
        <v>156124</v>
      </c>
    </row>
    <row r="403" spans="9:13">
      <c r="I403" t="s">
        <v>1147</v>
      </c>
      <c r="J403" s="82">
        <v>2.2999999999999998</v>
      </c>
      <c r="L403" t="s">
        <v>1152</v>
      </c>
      <c r="M403" s="82">
        <v>74140</v>
      </c>
    </row>
    <row r="404" spans="9:13">
      <c r="I404" t="s">
        <v>1150</v>
      </c>
      <c r="J404" s="82">
        <v>3.5</v>
      </c>
      <c r="L404" t="s">
        <v>1155</v>
      </c>
      <c r="M404" s="82">
        <v>124353</v>
      </c>
    </row>
    <row r="405" spans="9:13">
      <c r="I405" t="s">
        <v>1152</v>
      </c>
      <c r="J405" s="82">
        <v>4</v>
      </c>
      <c r="L405" t="s">
        <v>1158</v>
      </c>
      <c r="M405" s="82">
        <v>34860</v>
      </c>
    </row>
    <row r="406" spans="9:13">
      <c r="I406" t="s">
        <v>1155</v>
      </c>
      <c r="J406" s="82">
        <v>1.8</v>
      </c>
      <c r="L406" t="s">
        <v>1161</v>
      </c>
      <c r="M406" s="82">
        <v>74903</v>
      </c>
    </row>
    <row r="407" spans="9:13">
      <c r="I407" t="s">
        <v>1158</v>
      </c>
      <c r="J407" s="82"/>
      <c r="L407" t="s">
        <v>1163</v>
      </c>
      <c r="M407" s="82">
        <v>31950</v>
      </c>
    </row>
    <row r="408" spans="9:13">
      <c r="I408" t="s">
        <v>1161</v>
      </c>
      <c r="J408" s="82">
        <v>1.8</v>
      </c>
      <c r="L408" t="s">
        <v>1166</v>
      </c>
      <c r="M408" s="82">
        <v>179674</v>
      </c>
    </row>
    <row r="409" spans="9:13">
      <c r="I409" t="s">
        <v>1163</v>
      </c>
      <c r="J409" s="82">
        <v>3.9</v>
      </c>
      <c r="L409" t="s">
        <v>1169</v>
      </c>
      <c r="M409" s="82">
        <v>107470</v>
      </c>
    </row>
    <row r="410" spans="9:13">
      <c r="I410" t="s">
        <v>1166</v>
      </c>
      <c r="J410" s="82"/>
      <c r="L410" t="s">
        <v>1171</v>
      </c>
      <c r="M410" s="82">
        <v>210218</v>
      </c>
    </row>
    <row r="411" spans="9:13">
      <c r="I411" t="s">
        <v>1169</v>
      </c>
      <c r="J411" s="82">
        <v>1.8</v>
      </c>
      <c r="L411" t="s">
        <v>1173</v>
      </c>
      <c r="M411" s="82">
        <v>187975</v>
      </c>
    </row>
    <row r="412" spans="9:13">
      <c r="I412" t="s">
        <v>1171</v>
      </c>
      <c r="J412" s="82">
        <v>1.5</v>
      </c>
      <c r="L412" t="s">
        <v>1174</v>
      </c>
      <c r="M412" s="82">
        <v>21141</v>
      </c>
    </row>
    <row r="413" spans="9:13">
      <c r="I413" t="s">
        <v>1173</v>
      </c>
      <c r="J413" s="82">
        <v>4.5999999999999996</v>
      </c>
      <c r="L413" t="s">
        <v>1177</v>
      </c>
      <c r="M413" s="82">
        <v>163817</v>
      </c>
    </row>
    <row r="414" spans="9:13">
      <c r="I414" t="s">
        <v>1174</v>
      </c>
      <c r="J414" s="82">
        <v>2.2000000000000002</v>
      </c>
      <c r="L414" t="s">
        <v>1179</v>
      </c>
      <c r="M414" s="82">
        <v>208633</v>
      </c>
    </row>
    <row r="415" spans="9:13">
      <c r="I415" t="s">
        <v>1177</v>
      </c>
      <c r="J415" s="82">
        <v>1.8</v>
      </c>
      <c r="L415" t="s">
        <v>1182</v>
      </c>
      <c r="M415" s="82">
        <v>84122</v>
      </c>
    </row>
    <row r="416" spans="9:13">
      <c r="I416" t="s">
        <v>1179</v>
      </c>
      <c r="J416" s="82">
        <v>4.9000000000000004</v>
      </c>
      <c r="L416" t="s">
        <v>1185</v>
      </c>
      <c r="M416" s="82">
        <v>137314</v>
      </c>
    </row>
    <row r="417" spans="9:13">
      <c r="I417" t="s">
        <v>1182</v>
      </c>
      <c r="J417" s="82">
        <v>2.7</v>
      </c>
      <c r="L417" t="s">
        <v>1187</v>
      </c>
      <c r="M417" s="82">
        <v>174989</v>
      </c>
    </row>
    <row r="418" spans="9:13">
      <c r="I418" t="s">
        <v>1185</v>
      </c>
      <c r="J418" s="82">
        <v>3.9</v>
      </c>
      <c r="L418" t="s">
        <v>1190</v>
      </c>
      <c r="M418" s="82">
        <v>84724</v>
      </c>
    </row>
    <row r="419" spans="9:13">
      <c r="I419" t="s">
        <v>1187</v>
      </c>
      <c r="J419" s="82">
        <v>2.6</v>
      </c>
      <c r="L419" t="s">
        <v>1193</v>
      </c>
      <c r="M419" s="82">
        <v>74357</v>
      </c>
    </row>
    <row r="420" spans="9:13">
      <c r="I420" t="s">
        <v>1190</v>
      </c>
      <c r="J420" s="82">
        <v>2.1</v>
      </c>
      <c r="L420" t="s">
        <v>1196</v>
      </c>
      <c r="M420" s="82">
        <v>63921</v>
      </c>
    </row>
    <row r="421" spans="9:13">
      <c r="I421" t="s">
        <v>1193</v>
      </c>
      <c r="J421" s="82">
        <v>4.7</v>
      </c>
      <c r="L421" t="s">
        <v>1198</v>
      </c>
      <c r="M421" s="82">
        <v>119992</v>
      </c>
    </row>
    <row r="422" spans="9:13">
      <c r="I422" t="s">
        <v>1196</v>
      </c>
      <c r="J422" s="82">
        <v>4.9000000000000004</v>
      </c>
      <c r="L422" t="s">
        <v>1200</v>
      </c>
      <c r="M422" s="82">
        <v>71465</v>
      </c>
    </row>
    <row r="423" spans="9:13">
      <c r="I423" t="s">
        <v>1198</v>
      </c>
      <c r="J423" s="82">
        <v>4.7</v>
      </c>
      <c r="L423" t="s">
        <v>1202</v>
      </c>
      <c r="M423" s="82">
        <v>42543</v>
      </c>
    </row>
    <row r="424" spans="9:13">
      <c r="I424" t="s">
        <v>1200</v>
      </c>
      <c r="J424" s="82">
        <v>3.2</v>
      </c>
      <c r="L424" t="s">
        <v>1205</v>
      </c>
      <c r="M424" s="82">
        <v>19205</v>
      </c>
    </row>
    <row r="425" spans="9:13">
      <c r="I425" t="s">
        <v>1202</v>
      </c>
      <c r="J425" s="82">
        <v>2.6</v>
      </c>
      <c r="L425" t="s">
        <v>1208</v>
      </c>
      <c r="M425" s="82">
        <v>27240</v>
      </c>
    </row>
    <row r="426" spans="9:13">
      <c r="I426" t="s">
        <v>1205</v>
      </c>
      <c r="J426" s="82">
        <v>3.4</v>
      </c>
      <c r="L426" t="s">
        <v>1211</v>
      </c>
      <c r="M426" s="82"/>
    </row>
    <row r="427" spans="9:13">
      <c r="I427" t="s">
        <v>1208</v>
      </c>
      <c r="J427" s="82">
        <v>3.9</v>
      </c>
      <c r="L427" t="s">
        <v>1213</v>
      </c>
      <c r="M427" s="82">
        <v>198852</v>
      </c>
    </row>
    <row r="428" spans="9:13">
      <c r="I428" t="s">
        <v>1211</v>
      </c>
      <c r="J428" s="82">
        <v>2.1</v>
      </c>
      <c r="L428" t="s">
        <v>1215</v>
      </c>
      <c r="M428" s="82">
        <v>217771</v>
      </c>
    </row>
    <row r="429" spans="9:13">
      <c r="I429" t="s">
        <v>1213</v>
      </c>
      <c r="J429" s="82">
        <v>3.9</v>
      </c>
      <c r="L429" t="s">
        <v>1218</v>
      </c>
      <c r="M429" s="82"/>
    </row>
    <row r="430" spans="9:13">
      <c r="I430" t="s">
        <v>1215</v>
      </c>
      <c r="J430" s="82"/>
      <c r="L430" t="s">
        <v>1221</v>
      </c>
      <c r="M430" s="82">
        <v>63750</v>
      </c>
    </row>
    <row r="431" spans="9:13">
      <c r="I431" t="s">
        <v>1218</v>
      </c>
      <c r="J431" s="82">
        <v>2</v>
      </c>
      <c r="L431" t="s">
        <v>1223</v>
      </c>
      <c r="M431" s="82">
        <v>180650</v>
      </c>
    </row>
    <row r="432" spans="9:13">
      <c r="I432" t="s">
        <v>1221</v>
      </c>
      <c r="J432" s="82">
        <v>3.7</v>
      </c>
      <c r="L432" t="s">
        <v>1226</v>
      </c>
      <c r="M432" s="82">
        <v>47147</v>
      </c>
    </row>
    <row r="433" spans="9:13">
      <c r="I433" t="s">
        <v>1223</v>
      </c>
      <c r="J433" s="82">
        <v>2.9</v>
      </c>
      <c r="L433" t="s">
        <v>1228</v>
      </c>
      <c r="M433" s="82">
        <v>206153</v>
      </c>
    </row>
    <row r="434" spans="9:13">
      <c r="I434" t="s">
        <v>1226</v>
      </c>
      <c r="J434" s="82">
        <v>2.1</v>
      </c>
      <c r="L434" t="s">
        <v>1229</v>
      </c>
      <c r="M434" s="82"/>
    </row>
    <row r="435" spans="9:13">
      <c r="I435" t="s">
        <v>1228</v>
      </c>
      <c r="J435" s="82">
        <v>4.7</v>
      </c>
      <c r="L435" t="s">
        <v>1231</v>
      </c>
      <c r="M435" s="82">
        <v>186981</v>
      </c>
    </row>
    <row r="436" spans="9:13">
      <c r="I436" t="s">
        <v>1229</v>
      </c>
      <c r="J436" s="82">
        <v>2.5</v>
      </c>
      <c r="L436" t="s">
        <v>1233</v>
      </c>
      <c r="M436" s="82">
        <v>178954</v>
      </c>
    </row>
    <row r="437" spans="9:13">
      <c r="I437" t="s">
        <v>1231</v>
      </c>
      <c r="J437" s="82"/>
      <c r="L437" t="s">
        <v>1234</v>
      </c>
      <c r="M437" s="82">
        <v>134544</v>
      </c>
    </row>
    <row r="438" spans="9:13">
      <c r="I438" t="s">
        <v>1233</v>
      </c>
      <c r="J438" s="82">
        <v>4.5999999999999996</v>
      </c>
      <c r="L438" t="s">
        <v>1237</v>
      </c>
      <c r="M438" s="82">
        <v>210082</v>
      </c>
    </row>
    <row r="439" spans="9:13">
      <c r="I439" t="s">
        <v>1234</v>
      </c>
      <c r="J439" s="82">
        <v>3</v>
      </c>
      <c r="L439" t="s">
        <v>1239</v>
      </c>
      <c r="M439" s="82">
        <v>83752</v>
      </c>
    </row>
    <row r="440" spans="9:13">
      <c r="I440" t="s">
        <v>1237</v>
      </c>
      <c r="J440" s="82">
        <v>3.2</v>
      </c>
      <c r="L440" t="s">
        <v>1242</v>
      </c>
      <c r="M440" s="82">
        <v>69084</v>
      </c>
    </row>
    <row r="441" spans="9:13">
      <c r="I441" t="s">
        <v>1239</v>
      </c>
      <c r="J441" s="82">
        <v>2.7</v>
      </c>
      <c r="L441" t="s">
        <v>1244</v>
      </c>
      <c r="M441" s="82">
        <v>121602</v>
      </c>
    </row>
    <row r="442" spans="9:13">
      <c r="I442" t="s">
        <v>1242</v>
      </c>
      <c r="J442" s="82">
        <v>3</v>
      </c>
      <c r="L442" t="s">
        <v>1247</v>
      </c>
      <c r="M442" s="82">
        <v>31685</v>
      </c>
    </row>
    <row r="443" spans="9:13">
      <c r="I443" t="s">
        <v>1244</v>
      </c>
      <c r="J443" s="82">
        <v>4.4000000000000004</v>
      </c>
      <c r="L443" t="s">
        <v>1248</v>
      </c>
      <c r="M443" s="82">
        <v>135951</v>
      </c>
    </row>
    <row r="444" spans="9:13">
      <c r="I444" t="s">
        <v>1247</v>
      </c>
      <c r="J444" s="82">
        <v>4.7</v>
      </c>
      <c r="L444" t="s">
        <v>1250</v>
      </c>
      <c r="M444" s="82">
        <v>58136</v>
      </c>
    </row>
    <row r="445" spans="9:13">
      <c r="I445" t="s">
        <v>1248</v>
      </c>
      <c r="J445" s="82">
        <v>3.1</v>
      </c>
      <c r="L445" t="s">
        <v>1253</v>
      </c>
      <c r="M445" s="82">
        <v>104911</v>
      </c>
    </row>
    <row r="446" spans="9:13">
      <c r="I446" t="s">
        <v>1250</v>
      </c>
      <c r="J446" s="82">
        <v>2</v>
      </c>
      <c r="L446" t="s">
        <v>1256</v>
      </c>
      <c r="M446" s="82">
        <v>74550</v>
      </c>
    </row>
    <row r="447" spans="9:13">
      <c r="I447" t="s">
        <v>1253</v>
      </c>
      <c r="J447" s="82">
        <v>2.2000000000000002</v>
      </c>
      <c r="L447" t="s">
        <v>1258</v>
      </c>
      <c r="M447" s="82">
        <v>129219</v>
      </c>
    </row>
    <row r="448" spans="9:13">
      <c r="I448" t="s">
        <v>1256</v>
      </c>
      <c r="J448" s="82">
        <v>1.9</v>
      </c>
      <c r="L448" t="s">
        <v>1261</v>
      </c>
      <c r="M448" s="82">
        <v>122666</v>
      </c>
    </row>
    <row r="449" spans="9:13">
      <c r="I449" t="s">
        <v>1258</v>
      </c>
      <c r="J449" s="82">
        <v>4.2</v>
      </c>
      <c r="L449" t="s">
        <v>1263</v>
      </c>
      <c r="M449" s="82">
        <v>128346</v>
      </c>
    </row>
    <row r="450" spans="9:13">
      <c r="I450" t="s">
        <v>1261</v>
      </c>
      <c r="J450" s="82">
        <v>3.5</v>
      </c>
      <c r="L450" t="s">
        <v>1266</v>
      </c>
      <c r="M450" s="82">
        <v>140407</v>
      </c>
    </row>
    <row r="451" spans="9:13">
      <c r="I451" t="s">
        <v>1263</v>
      </c>
      <c r="J451" s="82">
        <v>3</v>
      </c>
      <c r="L451" t="s">
        <v>1269</v>
      </c>
      <c r="M451" s="82">
        <v>190598</v>
      </c>
    </row>
    <row r="452" spans="9:13">
      <c r="I452" t="s">
        <v>1266</v>
      </c>
      <c r="J452" s="82">
        <v>3.3</v>
      </c>
      <c r="L452" t="s">
        <v>1271</v>
      </c>
      <c r="M452" s="82">
        <v>18643</v>
      </c>
    </row>
    <row r="453" spans="9:13">
      <c r="I453" t="s">
        <v>1269</v>
      </c>
      <c r="J453" s="82">
        <v>1.8</v>
      </c>
      <c r="L453" t="s">
        <v>1273</v>
      </c>
      <c r="M453" s="82">
        <v>31740</v>
      </c>
    </row>
    <row r="454" spans="9:13">
      <c r="I454" t="s">
        <v>1271</v>
      </c>
      <c r="J454" s="82">
        <v>4.5999999999999996</v>
      </c>
      <c r="L454" t="s">
        <v>1276</v>
      </c>
      <c r="M454" s="82">
        <v>192849</v>
      </c>
    </row>
    <row r="455" spans="9:13">
      <c r="I455" t="s">
        <v>1273</v>
      </c>
      <c r="J455" s="82">
        <v>3.5</v>
      </c>
      <c r="L455" t="s">
        <v>1278</v>
      </c>
      <c r="M455" s="82">
        <v>152497</v>
      </c>
    </row>
    <row r="456" spans="9:13">
      <c r="I456" t="s">
        <v>1276</v>
      </c>
      <c r="J456" s="82">
        <v>3.9</v>
      </c>
      <c r="L456" t="s">
        <v>1280</v>
      </c>
      <c r="M456" s="82">
        <v>87841</v>
      </c>
    </row>
    <row r="457" spans="9:13">
      <c r="I457" t="s">
        <v>1278</v>
      </c>
      <c r="J457" s="82">
        <v>3.1</v>
      </c>
      <c r="L457" t="s">
        <v>1282</v>
      </c>
      <c r="M457" s="82">
        <v>157794</v>
      </c>
    </row>
    <row r="458" spans="9:13">
      <c r="I458" t="s">
        <v>1280</v>
      </c>
      <c r="J458" s="82">
        <v>3.4</v>
      </c>
      <c r="L458" t="s">
        <v>1285</v>
      </c>
      <c r="M458" s="82">
        <v>82676</v>
      </c>
    </row>
    <row r="459" spans="9:13">
      <c r="I459" t="s">
        <v>1282</v>
      </c>
      <c r="J459" s="82">
        <v>2.1</v>
      </c>
      <c r="L459" t="s">
        <v>1288</v>
      </c>
      <c r="M459" s="82">
        <v>215077</v>
      </c>
    </row>
    <row r="460" spans="9:13">
      <c r="I460" t="s">
        <v>1285</v>
      </c>
      <c r="J460" s="82">
        <v>3.9</v>
      </c>
      <c r="L460" t="s">
        <v>1290</v>
      </c>
      <c r="M460" s="82">
        <v>82647</v>
      </c>
    </row>
    <row r="461" spans="9:13">
      <c r="I461" t="s">
        <v>1288</v>
      </c>
      <c r="J461" s="82">
        <v>4.4000000000000004</v>
      </c>
      <c r="L461" t="s">
        <v>1292</v>
      </c>
      <c r="M461" s="82">
        <v>216401</v>
      </c>
    </row>
    <row r="462" spans="9:13">
      <c r="I462" t="s">
        <v>1290</v>
      </c>
      <c r="J462" s="82">
        <v>1.8</v>
      </c>
      <c r="L462" t="s">
        <v>1294</v>
      </c>
      <c r="M462" s="82">
        <v>114474</v>
      </c>
    </row>
    <row r="463" spans="9:13">
      <c r="I463" t="s">
        <v>1292</v>
      </c>
      <c r="J463" s="82">
        <v>3.6</v>
      </c>
      <c r="L463" t="s">
        <v>1296</v>
      </c>
      <c r="M463" s="82">
        <v>100069</v>
      </c>
    </row>
    <row r="464" spans="9:13">
      <c r="I464" t="s">
        <v>1294</v>
      </c>
      <c r="J464" s="82">
        <v>3.3</v>
      </c>
      <c r="L464" t="s">
        <v>1298</v>
      </c>
      <c r="M464" s="82">
        <v>48237</v>
      </c>
    </row>
    <row r="465" spans="9:13">
      <c r="I465" t="s">
        <v>1296</v>
      </c>
      <c r="J465" s="82">
        <v>3.6</v>
      </c>
      <c r="L465" t="s">
        <v>1300</v>
      </c>
      <c r="M465" s="82">
        <v>26822</v>
      </c>
    </row>
    <row r="466" spans="9:13">
      <c r="I466" t="s">
        <v>1298</v>
      </c>
      <c r="J466" s="82">
        <v>3</v>
      </c>
      <c r="L466" t="s">
        <v>1302</v>
      </c>
      <c r="M466" s="82">
        <v>142462</v>
      </c>
    </row>
    <row r="467" spans="9:13">
      <c r="I467" t="s">
        <v>1300</v>
      </c>
      <c r="J467" s="82">
        <v>5</v>
      </c>
      <c r="L467" t="s">
        <v>1303</v>
      </c>
      <c r="M467" s="82">
        <v>198475</v>
      </c>
    </row>
    <row r="468" spans="9:13">
      <c r="I468" t="s">
        <v>1302</v>
      </c>
      <c r="J468" s="82">
        <v>3.8</v>
      </c>
      <c r="L468" t="s">
        <v>1305</v>
      </c>
      <c r="M468" s="82">
        <v>173949</v>
      </c>
    </row>
    <row r="469" spans="9:13">
      <c r="I469" t="s">
        <v>1303</v>
      </c>
      <c r="J469" s="82">
        <v>2.8</v>
      </c>
      <c r="L469" t="s">
        <v>1307</v>
      </c>
      <c r="M469" s="82">
        <v>96853</v>
      </c>
    </row>
    <row r="470" spans="9:13">
      <c r="I470" t="s">
        <v>1305</v>
      </c>
      <c r="J470" s="82">
        <v>3.2</v>
      </c>
      <c r="L470" t="s">
        <v>1309</v>
      </c>
      <c r="M470" s="82">
        <v>137761</v>
      </c>
    </row>
    <row r="471" spans="9:13">
      <c r="I471" t="s">
        <v>1307</v>
      </c>
      <c r="J471" s="82">
        <v>3</v>
      </c>
      <c r="L471" t="s">
        <v>1311</v>
      </c>
      <c r="M471" s="82">
        <v>164890</v>
      </c>
    </row>
    <row r="472" spans="9:13">
      <c r="I472" t="s">
        <v>1309</v>
      </c>
      <c r="J472" s="82">
        <v>4.8</v>
      </c>
      <c r="L472" t="s">
        <v>1313</v>
      </c>
      <c r="M472" s="82">
        <v>118813</v>
      </c>
    </row>
    <row r="473" spans="9:13">
      <c r="I473" t="s">
        <v>1311</v>
      </c>
      <c r="J473" s="82">
        <v>1.5</v>
      </c>
      <c r="L473" t="s">
        <v>1315</v>
      </c>
      <c r="M473" s="82">
        <v>99611</v>
      </c>
    </row>
    <row r="474" spans="9:13">
      <c r="I474" t="s">
        <v>1313</v>
      </c>
      <c r="J474" s="82">
        <v>2.9</v>
      </c>
      <c r="L474" t="s">
        <v>1317</v>
      </c>
      <c r="M474" s="82">
        <v>110593</v>
      </c>
    </row>
    <row r="475" spans="9:13">
      <c r="I475" t="s">
        <v>1315</v>
      </c>
      <c r="J475" s="82">
        <v>4.3</v>
      </c>
      <c r="L475" t="s">
        <v>1318</v>
      </c>
      <c r="M475" s="82">
        <v>30296</v>
      </c>
    </row>
    <row r="476" spans="9:13">
      <c r="I476" t="s">
        <v>1317</v>
      </c>
      <c r="J476" s="82">
        <v>2.4</v>
      </c>
      <c r="L476" t="s">
        <v>1319</v>
      </c>
      <c r="M476" s="82">
        <v>56834</v>
      </c>
    </row>
    <row r="477" spans="9:13">
      <c r="I477" t="s">
        <v>1318</v>
      </c>
      <c r="J477" s="82">
        <v>2.5</v>
      </c>
      <c r="L477" t="s">
        <v>1322</v>
      </c>
      <c r="M477" s="82">
        <v>153967</v>
      </c>
    </row>
    <row r="478" spans="9:13">
      <c r="I478" t="s">
        <v>1319</v>
      </c>
      <c r="J478" s="82">
        <v>3.2</v>
      </c>
      <c r="L478" t="s">
        <v>1325</v>
      </c>
      <c r="M478" s="82">
        <v>22135</v>
      </c>
    </row>
    <row r="479" spans="9:13">
      <c r="I479" t="s">
        <v>1322</v>
      </c>
      <c r="J479" s="82">
        <v>4.3</v>
      </c>
      <c r="L479" t="s">
        <v>1327</v>
      </c>
      <c r="M479" s="82">
        <v>155179</v>
      </c>
    </row>
    <row r="480" spans="9:13">
      <c r="I480" t="s">
        <v>1325</v>
      </c>
      <c r="J480" s="82">
        <v>5</v>
      </c>
      <c r="L480" t="s">
        <v>1330</v>
      </c>
      <c r="M480" s="82">
        <v>146564</v>
      </c>
    </row>
    <row r="481" spans="9:13">
      <c r="I481" t="s">
        <v>1327</v>
      </c>
      <c r="J481" s="82">
        <v>4.7</v>
      </c>
      <c r="L481" t="s">
        <v>1332</v>
      </c>
      <c r="M481" s="82">
        <v>100835</v>
      </c>
    </row>
    <row r="482" spans="9:13">
      <c r="I482" t="s">
        <v>1330</v>
      </c>
      <c r="J482" s="82">
        <v>4.7</v>
      </c>
      <c r="L482" t="s">
        <v>1334</v>
      </c>
      <c r="M482" s="82">
        <v>146483</v>
      </c>
    </row>
    <row r="483" spans="9:13">
      <c r="I483" t="s">
        <v>1332</v>
      </c>
      <c r="J483" s="82"/>
      <c r="L483" t="s">
        <v>1336</v>
      </c>
      <c r="M483" s="82">
        <v>112854</v>
      </c>
    </row>
    <row r="484" spans="9:13">
      <c r="I484" t="s">
        <v>1334</v>
      </c>
      <c r="J484" s="82">
        <v>3.3</v>
      </c>
      <c r="L484" t="s">
        <v>1338</v>
      </c>
      <c r="M484" s="82">
        <v>63037</v>
      </c>
    </row>
    <row r="485" spans="9:13">
      <c r="I485" t="s">
        <v>1336</v>
      </c>
      <c r="J485" s="82">
        <v>2.8</v>
      </c>
      <c r="L485" t="s">
        <v>1339</v>
      </c>
      <c r="M485" s="82">
        <v>84413</v>
      </c>
    </row>
    <row r="486" spans="9:13">
      <c r="I486" t="s">
        <v>1338</v>
      </c>
      <c r="J486" s="82">
        <v>2.5</v>
      </c>
      <c r="L486" t="s">
        <v>1341</v>
      </c>
      <c r="M486" s="82">
        <v>49521</v>
      </c>
    </row>
    <row r="487" spans="9:13">
      <c r="I487" t="s">
        <v>1339</v>
      </c>
      <c r="J487" s="82">
        <v>4.8</v>
      </c>
      <c r="L487" t="s">
        <v>1343</v>
      </c>
      <c r="M487" s="82">
        <v>61917</v>
      </c>
    </row>
    <row r="488" spans="9:13">
      <c r="I488" t="s">
        <v>1341</v>
      </c>
      <c r="J488" s="82">
        <v>1.9</v>
      </c>
      <c r="L488" t="s">
        <v>1346</v>
      </c>
      <c r="M488" s="82">
        <v>206394</v>
      </c>
    </row>
    <row r="489" spans="9:13">
      <c r="I489" t="s">
        <v>1343</v>
      </c>
      <c r="J489" s="82">
        <v>3.1</v>
      </c>
      <c r="L489" t="s">
        <v>1349</v>
      </c>
      <c r="M489" s="82">
        <v>118199</v>
      </c>
    </row>
    <row r="490" spans="9:13">
      <c r="I490" t="s">
        <v>1346</v>
      </c>
      <c r="J490" s="82">
        <v>2.1</v>
      </c>
      <c r="L490" t="s">
        <v>1350</v>
      </c>
      <c r="M490" s="82">
        <v>50943</v>
      </c>
    </row>
    <row r="491" spans="9:13">
      <c r="I491" t="s">
        <v>1349</v>
      </c>
      <c r="J491" s="82">
        <v>4.0999999999999996</v>
      </c>
      <c r="L491" t="s">
        <v>1353</v>
      </c>
      <c r="M491" s="82">
        <v>136418</v>
      </c>
    </row>
    <row r="492" spans="9:13">
      <c r="I492" t="s">
        <v>1350</v>
      </c>
      <c r="J492" s="82">
        <v>3.7</v>
      </c>
      <c r="L492" t="s">
        <v>1355</v>
      </c>
      <c r="M492" s="82">
        <v>180261</v>
      </c>
    </row>
    <row r="493" spans="9:13">
      <c r="I493" t="s">
        <v>1353</v>
      </c>
      <c r="J493" s="82">
        <v>4.7</v>
      </c>
      <c r="L493" t="s">
        <v>1357</v>
      </c>
      <c r="M493" s="82">
        <v>57000</v>
      </c>
    </row>
    <row r="494" spans="9:13">
      <c r="I494" t="s">
        <v>1355</v>
      </c>
      <c r="J494" s="82">
        <v>3.6</v>
      </c>
      <c r="L494" t="s">
        <v>1359</v>
      </c>
      <c r="M494" s="82">
        <v>103450</v>
      </c>
    </row>
    <row r="495" spans="9:13">
      <c r="I495" t="s">
        <v>1357</v>
      </c>
      <c r="J495" s="82">
        <v>3.8</v>
      </c>
      <c r="L495" t="s">
        <v>1362</v>
      </c>
      <c r="M495" s="82">
        <v>173765</v>
      </c>
    </row>
    <row r="496" spans="9:13">
      <c r="I496" t="s">
        <v>1359</v>
      </c>
      <c r="J496" s="82">
        <v>2.8</v>
      </c>
      <c r="L496" t="s">
        <v>1365</v>
      </c>
      <c r="M496" s="82">
        <v>149673</v>
      </c>
    </row>
    <row r="497" spans="9:13">
      <c r="I497" t="s">
        <v>1362</v>
      </c>
      <c r="J497" s="82">
        <v>4.4000000000000004</v>
      </c>
      <c r="L497" t="s">
        <v>1368</v>
      </c>
      <c r="M497" s="82">
        <v>201186</v>
      </c>
    </row>
    <row r="498" spans="9:13">
      <c r="I498" t="s">
        <v>1365</v>
      </c>
      <c r="J498" s="82">
        <v>3.6</v>
      </c>
      <c r="L498" t="s">
        <v>1370</v>
      </c>
      <c r="M498" s="82">
        <v>168866</v>
      </c>
    </row>
    <row r="499" spans="9:13">
      <c r="I499" t="s">
        <v>1368</v>
      </c>
      <c r="J499" s="82">
        <v>4.7</v>
      </c>
      <c r="L499" t="s">
        <v>1372</v>
      </c>
      <c r="M499" s="82">
        <v>149503</v>
      </c>
    </row>
    <row r="500" spans="9:13">
      <c r="I500" t="s">
        <v>1370</v>
      </c>
      <c r="J500" s="82">
        <v>2.4</v>
      </c>
      <c r="L500" t="s">
        <v>1375</v>
      </c>
      <c r="M500" s="82">
        <v>58907</v>
      </c>
    </row>
    <row r="501" spans="9:13">
      <c r="I501" t="s">
        <v>1372</v>
      </c>
      <c r="J501" s="82">
        <v>2.4</v>
      </c>
      <c r="L501" t="s">
        <v>1378</v>
      </c>
      <c r="M501" s="82">
        <v>64161</v>
      </c>
    </row>
    <row r="502" spans="9:13">
      <c r="I502" t="s">
        <v>1375</v>
      </c>
      <c r="J502" s="82"/>
      <c r="L502" t="s">
        <v>1380</v>
      </c>
      <c r="M502" s="82">
        <v>125313</v>
      </c>
    </row>
    <row r="503" spans="9:13">
      <c r="I503" t="s">
        <v>1378</v>
      </c>
      <c r="J503" s="82">
        <v>1.5</v>
      </c>
      <c r="L503" t="s">
        <v>1382</v>
      </c>
      <c r="M503" s="82">
        <v>165096</v>
      </c>
    </row>
    <row r="504" spans="9:13">
      <c r="I504" t="s">
        <v>1380</v>
      </c>
      <c r="J504" s="82">
        <v>1.6</v>
      </c>
      <c r="L504" t="s">
        <v>1385</v>
      </c>
      <c r="M504" s="82">
        <v>87117</v>
      </c>
    </row>
    <row r="505" spans="9:13">
      <c r="I505" t="s">
        <v>1382</v>
      </c>
      <c r="J505" s="82">
        <v>4.9000000000000004</v>
      </c>
      <c r="L505" t="s">
        <v>1388</v>
      </c>
      <c r="M505" s="82">
        <v>29849</v>
      </c>
    </row>
    <row r="506" spans="9:13">
      <c r="I506" t="s">
        <v>1385</v>
      </c>
      <c r="J506" s="82">
        <v>3.1</v>
      </c>
      <c r="L506" t="s">
        <v>1390</v>
      </c>
      <c r="M506" s="82">
        <v>160001</v>
      </c>
    </row>
    <row r="507" spans="9:13">
      <c r="I507" t="s">
        <v>1388</v>
      </c>
      <c r="J507" s="82">
        <v>2.6</v>
      </c>
      <c r="L507" t="s">
        <v>1393</v>
      </c>
      <c r="M507" s="82">
        <v>194497</v>
      </c>
    </row>
    <row r="508" spans="9:13">
      <c r="I508" t="s">
        <v>1390</v>
      </c>
      <c r="J508" s="82">
        <v>4.4000000000000004</v>
      </c>
      <c r="L508" t="s">
        <v>1395</v>
      </c>
      <c r="M508" s="82">
        <v>40509</v>
      </c>
    </row>
    <row r="509" spans="9:13">
      <c r="I509" t="s">
        <v>1393</v>
      </c>
      <c r="J509" s="82">
        <v>1.5</v>
      </c>
      <c r="L509" t="s">
        <v>1398</v>
      </c>
      <c r="M509" s="82">
        <v>72377</v>
      </c>
    </row>
    <row r="510" spans="9:13">
      <c r="I510" t="s">
        <v>1395</v>
      </c>
      <c r="J510" s="82">
        <v>4.5</v>
      </c>
      <c r="L510" t="s">
        <v>1399</v>
      </c>
      <c r="M510" s="82">
        <v>205877</v>
      </c>
    </row>
    <row r="511" spans="9:13">
      <c r="I511" t="s">
        <v>1398</v>
      </c>
      <c r="J511" s="82">
        <v>4.4000000000000004</v>
      </c>
      <c r="L511" t="s">
        <v>1402</v>
      </c>
      <c r="M511" s="82">
        <v>116998</v>
      </c>
    </row>
    <row r="512" spans="9:13">
      <c r="I512" t="s">
        <v>1399</v>
      </c>
      <c r="J512" s="82">
        <v>3.4</v>
      </c>
      <c r="L512" t="s">
        <v>1405</v>
      </c>
      <c r="M512" s="82">
        <v>156685</v>
      </c>
    </row>
    <row r="513" spans="9:13">
      <c r="I513" t="s">
        <v>1402</v>
      </c>
      <c r="J513" s="82">
        <v>3.1</v>
      </c>
      <c r="L513" t="s">
        <v>1407</v>
      </c>
      <c r="M513" s="82">
        <v>85256</v>
      </c>
    </row>
    <row r="514" spans="9:13">
      <c r="I514" t="s">
        <v>1405</v>
      </c>
      <c r="J514" s="82">
        <v>2.4</v>
      </c>
      <c r="L514" t="s">
        <v>1410</v>
      </c>
      <c r="M514" s="82">
        <v>108108</v>
      </c>
    </row>
    <row r="515" spans="9:13">
      <c r="I515" t="s">
        <v>1407</v>
      </c>
      <c r="J515" s="82"/>
      <c r="L515" t="s">
        <v>1411</v>
      </c>
      <c r="M515" s="82">
        <v>34105</v>
      </c>
    </row>
    <row r="516" spans="9:13">
      <c r="I516" t="s">
        <v>1410</v>
      </c>
      <c r="J516" s="82">
        <v>2.5</v>
      </c>
      <c r="L516" t="s">
        <v>1413</v>
      </c>
      <c r="M516" s="82">
        <v>126814</v>
      </c>
    </row>
    <row r="517" spans="9:13">
      <c r="I517" t="s">
        <v>1411</v>
      </c>
      <c r="J517" s="82">
        <v>2.5</v>
      </c>
      <c r="L517" t="s">
        <v>1416</v>
      </c>
      <c r="M517" s="82">
        <v>138017</v>
      </c>
    </row>
    <row r="518" spans="9:13">
      <c r="I518" t="s">
        <v>1413</v>
      </c>
      <c r="J518" s="82">
        <v>3.8</v>
      </c>
      <c r="L518" t="s">
        <v>1418</v>
      </c>
      <c r="M518" s="82">
        <v>117892</v>
      </c>
    </row>
    <row r="519" spans="9:13">
      <c r="I519" t="s">
        <v>1416</v>
      </c>
      <c r="J519" s="82">
        <v>2.6</v>
      </c>
      <c r="L519" t="s">
        <v>1421</v>
      </c>
      <c r="M519" s="82">
        <v>104042</v>
      </c>
    </row>
    <row r="520" spans="9:13">
      <c r="I520" t="s">
        <v>1418</v>
      </c>
      <c r="J520" s="82">
        <v>5</v>
      </c>
      <c r="L520" t="s">
        <v>1423</v>
      </c>
      <c r="M520" s="82">
        <v>114335</v>
      </c>
    </row>
    <row r="521" spans="9:13">
      <c r="I521" t="s">
        <v>1421</v>
      </c>
      <c r="J521" s="82">
        <v>4.4000000000000004</v>
      </c>
      <c r="L521" t="s">
        <v>1425</v>
      </c>
      <c r="M521" s="82">
        <v>215689</v>
      </c>
    </row>
    <row r="522" spans="9:13">
      <c r="I522" t="s">
        <v>1423</v>
      </c>
      <c r="J522" s="82">
        <v>4.4000000000000004</v>
      </c>
      <c r="L522" t="s">
        <v>1427</v>
      </c>
      <c r="M522" s="82">
        <v>29861</v>
      </c>
    </row>
    <row r="523" spans="9:13">
      <c r="I523" t="s">
        <v>1425</v>
      </c>
      <c r="J523" s="82">
        <v>5</v>
      </c>
      <c r="L523" t="s">
        <v>1429</v>
      </c>
      <c r="M523" s="82">
        <v>146001</v>
      </c>
    </row>
    <row r="524" spans="9:13">
      <c r="I524" t="s">
        <v>1427</v>
      </c>
      <c r="J524" s="82">
        <v>4.0999999999999996</v>
      </c>
      <c r="L524" t="s">
        <v>1431</v>
      </c>
      <c r="M524" s="82">
        <v>34716</v>
      </c>
    </row>
    <row r="525" spans="9:13">
      <c r="I525" t="s">
        <v>1429</v>
      </c>
      <c r="J525" s="82">
        <v>3.8</v>
      </c>
      <c r="L525" t="s">
        <v>1433</v>
      </c>
      <c r="M525" s="82">
        <v>125364</v>
      </c>
    </row>
    <row r="526" spans="9:13">
      <c r="I526" t="s">
        <v>1431</v>
      </c>
      <c r="J526" s="82">
        <v>4.3</v>
      </c>
      <c r="L526" t="s">
        <v>1436</v>
      </c>
      <c r="M526" s="82">
        <v>36463</v>
      </c>
    </row>
    <row r="527" spans="9:13">
      <c r="I527" t="s">
        <v>1433</v>
      </c>
      <c r="J527" s="82">
        <v>3.9</v>
      </c>
      <c r="L527" t="s">
        <v>1438</v>
      </c>
      <c r="M527" s="82">
        <v>198369</v>
      </c>
    </row>
    <row r="528" spans="9:13">
      <c r="I528" t="s">
        <v>1436</v>
      </c>
      <c r="J528" s="82">
        <v>1.9</v>
      </c>
      <c r="L528" t="s">
        <v>1441</v>
      </c>
      <c r="M528" s="82">
        <v>182794</v>
      </c>
    </row>
    <row r="529" spans="9:13">
      <c r="I529" t="s">
        <v>1438</v>
      </c>
      <c r="J529" s="82">
        <v>2.4</v>
      </c>
      <c r="L529" t="s">
        <v>1443</v>
      </c>
      <c r="M529" s="82">
        <v>106309</v>
      </c>
    </row>
    <row r="530" spans="9:13">
      <c r="I530" t="s">
        <v>1441</v>
      </c>
      <c r="J530" s="82">
        <v>4</v>
      </c>
      <c r="L530" t="s">
        <v>1444</v>
      </c>
      <c r="M530" s="82">
        <v>141846</v>
      </c>
    </row>
    <row r="531" spans="9:13">
      <c r="I531" t="s">
        <v>1443</v>
      </c>
      <c r="J531" s="82"/>
      <c r="L531" t="s">
        <v>1446</v>
      </c>
      <c r="M531" s="82">
        <v>169329</v>
      </c>
    </row>
    <row r="532" spans="9:13">
      <c r="I532" t="s">
        <v>1444</v>
      </c>
      <c r="J532" s="82">
        <v>4.5</v>
      </c>
      <c r="L532" t="s">
        <v>1448</v>
      </c>
      <c r="M532" s="82">
        <v>154641</v>
      </c>
    </row>
    <row r="533" spans="9:13">
      <c r="I533" t="s">
        <v>1446</v>
      </c>
      <c r="J533" s="82">
        <v>4.5999999999999996</v>
      </c>
      <c r="L533" t="s">
        <v>1450</v>
      </c>
      <c r="M533" s="82">
        <v>217617</v>
      </c>
    </row>
    <row r="534" spans="9:13">
      <c r="I534" t="s">
        <v>1448</v>
      </c>
      <c r="J534" s="82">
        <v>2.2000000000000002</v>
      </c>
      <c r="L534" t="s">
        <v>1453</v>
      </c>
      <c r="M534" s="82">
        <v>36129</v>
      </c>
    </row>
    <row r="535" spans="9:13">
      <c r="I535" t="s">
        <v>1450</v>
      </c>
      <c r="J535" s="82">
        <v>4.2</v>
      </c>
      <c r="L535" t="s">
        <v>1455</v>
      </c>
      <c r="M535" s="82">
        <v>176130</v>
      </c>
    </row>
    <row r="536" spans="9:13">
      <c r="I536" t="s">
        <v>1453</v>
      </c>
      <c r="J536" s="82">
        <v>3.6</v>
      </c>
      <c r="L536" t="s">
        <v>1457</v>
      </c>
      <c r="M536" s="82">
        <v>40982</v>
      </c>
    </row>
    <row r="537" spans="9:13">
      <c r="I537" t="s">
        <v>1455</v>
      </c>
      <c r="J537" s="82">
        <v>4.5</v>
      </c>
      <c r="L537" t="s">
        <v>1459</v>
      </c>
      <c r="M537" s="82">
        <v>136793</v>
      </c>
    </row>
    <row r="538" spans="9:13">
      <c r="I538" t="s">
        <v>1457</v>
      </c>
      <c r="J538" s="82">
        <v>2</v>
      </c>
      <c r="L538" t="s">
        <v>1462</v>
      </c>
      <c r="M538" s="82">
        <v>86654</v>
      </c>
    </row>
    <row r="539" spans="9:13">
      <c r="I539" t="s">
        <v>1459</v>
      </c>
      <c r="J539" s="82">
        <v>3.3</v>
      </c>
      <c r="L539" t="s">
        <v>1463</v>
      </c>
      <c r="M539" s="82">
        <v>115918</v>
      </c>
    </row>
    <row r="540" spans="9:13">
      <c r="I540" t="s">
        <v>1462</v>
      </c>
      <c r="J540" s="82">
        <v>3.8</v>
      </c>
      <c r="L540" t="s">
        <v>1465</v>
      </c>
      <c r="M540" s="82">
        <v>202409</v>
      </c>
    </row>
    <row r="541" spans="9:13">
      <c r="I541" t="s">
        <v>1463</v>
      </c>
      <c r="J541" s="82">
        <v>4.3</v>
      </c>
      <c r="L541" t="s">
        <v>1467</v>
      </c>
      <c r="M541" s="82">
        <v>18338</v>
      </c>
    </row>
    <row r="542" spans="9:13">
      <c r="I542" t="s">
        <v>1465</v>
      </c>
      <c r="J542" s="82">
        <v>3.9</v>
      </c>
      <c r="L542" t="s">
        <v>1469</v>
      </c>
      <c r="M542" s="82">
        <v>211686</v>
      </c>
    </row>
    <row r="543" spans="9:13">
      <c r="I543" t="s">
        <v>1467</v>
      </c>
      <c r="J543" s="82">
        <v>4.2</v>
      </c>
      <c r="L543" t="s">
        <v>1471</v>
      </c>
      <c r="M543" s="82">
        <v>45135</v>
      </c>
    </row>
    <row r="544" spans="9:13">
      <c r="I544" t="s">
        <v>1469</v>
      </c>
      <c r="J544" s="82"/>
      <c r="L544" t="s">
        <v>1473</v>
      </c>
      <c r="M544" s="82">
        <v>204291</v>
      </c>
    </row>
    <row r="545" spans="9:13">
      <c r="I545" t="s">
        <v>1471</v>
      </c>
      <c r="J545" s="82">
        <v>2.1</v>
      </c>
      <c r="L545" t="s">
        <v>1476</v>
      </c>
      <c r="M545" s="82">
        <v>53668</v>
      </c>
    </row>
    <row r="546" spans="9:13">
      <c r="I546" t="s">
        <v>1473</v>
      </c>
      <c r="J546" s="82">
        <v>2.2999999999999998</v>
      </c>
      <c r="L546" t="s">
        <v>1478</v>
      </c>
      <c r="M546" s="82">
        <v>39169</v>
      </c>
    </row>
    <row r="547" spans="9:13">
      <c r="I547" t="s">
        <v>1476</v>
      </c>
      <c r="J547" s="82">
        <v>4.2</v>
      </c>
      <c r="L547" t="s">
        <v>1479</v>
      </c>
      <c r="M547" s="82">
        <v>40892</v>
      </c>
    </row>
    <row r="548" spans="9:13">
      <c r="I548" t="s">
        <v>1478</v>
      </c>
      <c r="J548" s="82">
        <v>2.7</v>
      </c>
      <c r="L548" t="s">
        <v>1481</v>
      </c>
      <c r="M548" s="82">
        <v>101730</v>
      </c>
    </row>
    <row r="549" spans="9:13">
      <c r="I549" t="s">
        <v>1479</v>
      </c>
      <c r="J549" s="82">
        <v>4</v>
      </c>
      <c r="L549" t="s">
        <v>1484</v>
      </c>
      <c r="M549" s="82">
        <v>37567</v>
      </c>
    </row>
    <row r="550" spans="9:13">
      <c r="I550" t="s">
        <v>1481</v>
      </c>
      <c r="J550" s="82">
        <v>1.9</v>
      </c>
      <c r="L550" t="s">
        <v>1486</v>
      </c>
      <c r="M550" s="82">
        <v>21637</v>
      </c>
    </row>
    <row r="551" spans="9:13">
      <c r="I551" t="s">
        <v>1484</v>
      </c>
      <c r="J551" s="82"/>
      <c r="L551" t="s">
        <v>1488</v>
      </c>
      <c r="M551" s="82">
        <v>170625</v>
      </c>
    </row>
    <row r="552" spans="9:13">
      <c r="I552" t="s">
        <v>1486</v>
      </c>
      <c r="J552" s="82">
        <v>4.8</v>
      </c>
      <c r="L552" t="s">
        <v>1490</v>
      </c>
      <c r="M552" s="82">
        <v>75032</v>
      </c>
    </row>
    <row r="553" spans="9:13">
      <c r="I553" t="s">
        <v>1488</v>
      </c>
      <c r="J553" s="82">
        <v>1.8</v>
      </c>
      <c r="L553" t="s">
        <v>1493</v>
      </c>
      <c r="M553" s="82">
        <v>99254</v>
      </c>
    </row>
    <row r="554" spans="9:13">
      <c r="I554" t="s">
        <v>1490</v>
      </c>
      <c r="J554" s="82">
        <v>3.5</v>
      </c>
      <c r="L554" t="s">
        <v>1495</v>
      </c>
      <c r="M554" s="82">
        <v>165303</v>
      </c>
    </row>
    <row r="555" spans="9:13">
      <c r="I555" t="s">
        <v>1493</v>
      </c>
      <c r="J555" s="82">
        <v>2.6</v>
      </c>
      <c r="L555" t="s">
        <v>1498</v>
      </c>
      <c r="M555" s="82">
        <v>36859</v>
      </c>
    </row>
    <row r="556" spans="9:13">
      <c r="I556" t="s">
        <v>1495</v>
      </c>
      <c r="J556" s="82">
        <v>2.2999999999999998</v>
      </c>
      <c r="L556" t="s">
        <v>1500</v>
      </c>
      <c r="M556" s="82">
        <v>91105</v>
      </c>
    </row>
    <row r="557" spans="9:13">
      <c r="I557" t="s">
        <v>1498</v>
      </c>
      <c r="J557" s="82">
        <v>3.7</v>
      </c>
      <c r="L557" t="s">
        <v>1501</v>
      </c>
      <c r="M557" s="82">
        <v>94193</v>
      </c>
    </row>
    <row r="558" spans="9:13">
      <c r="I558" t="s">
        <v>1500</v>
      </c>
      <c r="J558" s="82">
        <v>3.6</v>
      </c>
      <c r="L558" t="s">
        <v>1503</v>
      </c>
      <c r="M558" s="82">
        <v>200612</v>
      </c>
    </row>
    <row r="559" spans="9:13">
      <c r="I559" t="s">
        <v>1501</v>
      </c>
      <c r="J559" s="82">
        <v>4</v>
      </c>
      <c r="L559" t="s">
        <v>1505</v>
      </c>
      <c r="M559" s="82">
        <v>18443</v>
      </c>
    </row>
    <row r="560" spans="9:13">
      <c r="I560" t="s">
        <v>1503</v>
      </c>
      <c r="J560" s="82">
        <v>2.8</v>
      </c>
      <c r="L560" t="s">
        <v>1507</v>
      </c>
      <c r="M560" s="82">
        <v>42237</v>
      </c>
    </row>
    <row r="561" spans="9:13">
      <c r="I561" t="s">
        <v>1505</v>
      </c>
      <c r="J561" s="82">
        <v>1.9</v>
      </c>
      <c r="L561" t="s">
        <v>1508</v>
      </c>
      <c r="M561" s="82">
        <v>201310</v>
      </c>
    </row>
    <row r="562" spans="9:13">
      <c r="I562" t="s">
        <v>1507</v>
      </c>
      <c r="J562" s="82">
        <v>2.9</v>
      </c>
      <c r="L562" t="s">
        <v>1510</v>
      </c>
      <c r="M562" s="82">
        <v>69932</v>
      </c>
    </row>
    <row r="563" spans="9:13">
      <c r="I563" t="s">
        <v>1508</v>
      </c>
      <c r="J563" s="82">
        <v>4.0999999999999996</v>
      </c>
      <c r="L563" t="s">
        <v>1512</v>
      </c>
      <c r="M563" s="82">
        <v>46817</v>
      </c>
    </row>
    <row r="564" spans="9:13">
      <c r="I564" t="s">
        <v>1510</v>
      </c>
      <c r="J564" s="82">
        <v>1.8</v>
      </c>
      <c r="L564" t="s">
        <v>1513</v>
      </c>
      <c r="M564" s="82">
        <v>28048</v>
      </c>
    </row>
    <row r="565" spans="9:13">
      <c r="I565" t="s">
        <v>1512</v>
      </c>
      <c r="J565" s="82">
        <v>4.7</v>
      </c>
      <c r="L565" t="s">
        <v>1514</v>
      </c>
      <c r="M565" s="82">
        <v>145096</v>
      </c>
    </row>
    <row r="566" spans="9:13">
      <c r="I566" t="s">
        <v>1513</v>
      </c>
      <c r="J566" s="82">
        <v>4</v>
      </c>
      <c r="L566" t="s">
        <v>1516</v>
      </c>
      <c r="M566" s="82">
        <v>26323</v>
      </c>
    </row>
    <row r="567" spans="9:13">
      <c r="I567" t="s">
        <v>1514</v>
      </c>
      <c r="J567" s="82">
        <v>3.6</v>
      </c>
      <c r="L567" t="s">
        <v>1517</v>
      </c>
      <c r="M567" s="82">
        <v>34213</v>
      </c>
    </row>
    <row r="568" spans="9:13">
      <c r="I568" t="s">
        <v>1516</v>
      </c>
      <c r="J568" s="82">
        <v>3</v>
      </c>
      <c r="L568" t="s">
        <v>1520</v>
      </c>
      <c r="M568" s="82">
        <v>67959</v>
      </c>
    </row>
    <row r="569" spans="9:13">
      <c r="I569" t="s">
        <v>1517</v>
      </c>
      <c r="J569" s="82">
        <v>3.1</v>
      </c>
      <c r="L569" t="s">
        <v>1522</v>
      </c>
      <c r="M569" s="82">
        <v>145378</v>
      </c>
    </row>
    <row r="570" spans="9:13">
      <c r="I570" t="s">
        <v>1520</v>
      </c>
      <c r="J570" s="82">
        <v>2.7</v>
      </c>
      <c r="L570" t="s">
        <v>1525</v>
      </c>
      <c r="M570" s="82">
        <v>95319</v>
      </c>
    </row>
    <row r="571" spans="9:13">
      <c r="I571" t="s">
        <v>1522</v>
      </c>
      <c r="J571" s="82"/>
      <c r="L571" t="s">
        <v>1527</v>
      </c>
      <c r="M571" s="82">
        <v>29710</v>
      </c>
    </row>
    <row r="572" spans="9:13">
      <c r="I572" t="s">
        <v>1525</v>
      </c>
      <c r="J572" s="82">
        <v>2.9</v>
      </c>
      <c r="L572" t="s">
        <v>1529</v>
      </c>
      <c r="M572" s="82">
        <v>121958</v>
      </c>
    </row>
    <row r="573" spans="9:13">
      <c r="I573" t="s">
        <v>1527</v>
      </c>
      <c r="J573" s="82">
        <v>5</v>
      </c>
      <c r="L573" t="s">
        <v>1532</v>
      </c>
      <c r="M573" s="82">
        <v>20264</v>
      </c>
    </row>
    <row r="574" spans="9:13">
      <c r="I574" t="s">
        <v>1529</v>
      </c>
      <c r="J574" s="82"/>
      <c r="L574" t="s">
        <v>1533</v>
      </c>
      <c r="M574" s="82">
        <v>25135</v>
      </c>
    </row>
    <row r="575" spans="9:13">
      <c r="I575" t="s">
        <v>1532</v>
      </c>
      <c r="J575" s="82">
        <v>3.9</v>
      </c>
      <c r="L575" t="s">
        <v>1535</v>
      </c>
      <c r="M575" s="82">
        <v>181995</v>
      </c>
    </row>
    <row r="576" spans="9:13">
      <c r="I576" t="s">
        <v>1533</v>
      </c>
      <c r="J576" s="82">
        <v>4.5</v>
      </c>
      <c r="L576" t="s">
        <v>1537</v>
      </c>
      <c r="M576" s="82">
        <v>192743</v>
      </c>
    </row>
    <row r="577" spans="9:13">
      <c r="I577" t="s">
        <v>1535</v>
      </c>
      <c r="J577" s="82">
        <v>3.3</v>
      </c>
      <c r="L577" t="s">
        <v>1540</v>
      </c>
      <c r="M577" s="82">
        <v>189632</v>
      </c>
    </row>
    <row r="578" spans="9:13">
      <c r="I578" t="s">
        <v>1537</v>
      </c>
      <c r="J578" s="82">
        <v>2.6</v>
      </c>
      <c r="L578" t="s">
        <v>1542</v>
      </c>
      <c r="M578" s="82">
        <v>118058</v>
      </c>
    </row>
    <row r="579" spans="9:13">
      <c r="I579" t="s">
        <v>1540</v>
      </c>
      <c r="J579" s="82">
        <v>2.4</v>
      </c>
      <c r="L579" t="s">
        <v>1545</v>
      </c>
      <c r="M579" s="82">
        <v>56512</v>
      </c>
    </row>
    <row r="580" spans="9:13">
      <c r="I580" t="s">
        <v>1542</v>
      </c>
      <c r="J580" s="82">
        <v>3.1</v>
      </c>
      <c r="L580" t="s">
        <v>1548</v>
      </c>
      <c r="M580" s="82">
        <v>98230</v>
      </c>
    </row>
    <row r="581" spans="9:13">
      <c r="I581" t="s">
        <v>1545</v>
      </c>
      <c r="J581" s="82">
        <v>5</v>
      </c>
      <c r="L581" t="s">
        <v>1550</v>
      </c>
      <c r="M581" s="82">
        <v>113100</v>
      </c>
    </row>
    <row r="582" spans="9:13">
      <c r="I582" t="s">
        <v>1548</v>
      </c>
      <c r="J582" s="82">
        <v>3.5</v>
      </c>
      <c r="L582" t="s">
        <v>1552</v>
      </c>
      <c r="M582" s="82">
        <v>124157</v>
      </c>
    </row>
    <row r="583" spans="9:13">
      <c r="I583" t="s">
        <v>1550</v>
      </c>
      <c r="J583" s="82">
        <v>2.4</v>
      </c>
      <c r="L583" t="s">
        <v>1554</v>
      </c>
      <c r="M583" s="82">
        <v>111176</v>
      </c>
    </row>
    <row r="584" spans="9:13">
      <c r="I584" t="s">
        <v>1552</v>
      </c>
      <c r="J584" s="82">
        <v>1.8</v>
      </c>
      <c r="L584" t="s">
        <v>1556</v>
      </c>
      <c r="M584" s="82">
        <v>102347</v>
      </c>
    </row>
    <row r="585" spans="9:13">
      <c r="I585" t="s">
        <v>1554</v>
      </c>
      <c r="J585" s="82"/>
      <c r="L585" t="s">
        <v>1557</v>
      </c>
      <c r="M585" s="82">
        <v>164683</v>
      </c>
    </row>
    <row r="586" spans="9:13">
      <c r="I586" t="s">
        <v>1556</v>
      </c>
      <c r="J586" s="82">
        <v>4.8</v>
      </c>
      <c r="L586" t="s">
        <v>1559</v>
      </c>
      <c r="M586" s="82">
        <v>197795</v>
      </c>
    </row>
    <row r="587" spans="9:13">
      <c r="I587" t="s">
        <v>1557</v>
      </c>
      <c r="J587" s="82">
        <v>3.8</v>
      </c>
      <c r="L587" t="s">
        <v>1561</v>
      </c>
      <c r="M587" s="82">
        <v>209497</v>
      </c>
    </row>
    <row r="588" spans="9:13">
      <c r="I588" t="s">
        <v>1559</v>
      </c>
      <c r="J588" s="82">
        <v>3</v>
      </c>
      <c r="L588" t="s">
        <v>1563</v>
      </c>
      <c r="M588" s="82">
        <v>105654</v>
      </c>
    </row>
    <row r="589" spans="9:13">
      <c r="I589" t="s">
        <v>1561</v>
      </c>
      <c r="J589" s="82">
        <v>4.2</v>
      </c>
      <c r="L589" t="s">
        <v>1565</v>
      </c>
      <c r="M589" s="82">
        <v>79717</v>
      </c>
    </row>
    <row r="590" spans="9:13">
      <c r="I590" t="s">
        <v>1563</v>
      </c>
      <c r="J590" s="82">
        <v>3.5</v>
      </c>
      <c r="L590" t="s">
        <v>1568</v>
      </c>
      <c r="M590" s="82">
        <v>135287</v>
      </c>
    </row>
    <row r="591" spans="9:13">
      <c r="I591" t="s">
        <v>1565</v>
      </c>
      <c r="J591" s="82">
        <v>1.5</v>
      </c>
      <c r="L591" t="s">
        <v>1571</v>
      </c>
      <c r="M591" s="82">
        <v>158509</v>
      </c>
    </row>
    <row r="592" spans="9:13">
      <c r="I592" t="s">
        <v>1568</v>
      </c>
      <c r="J592" s="82">
        <v>3.9</v>
      </c>
      <c r="L592" t="s">
        <v>1572</v>
      </c>
      <c r="M592" s="82">
        <v>30819</v>
      </c>
    </row>
    <row r="593" spans="9:13">
      <c r="I593" t="s">
        <v>1571</v>
      </c>
      <c r="J593" s="82">
        <v>1.8</v>
      </c>
      <c r="L593" t="s">
        <v>1575</v>
      </c>
      <c r="M593" s="82">
        <v>218808</v>
      </c>
    </row>
    <row r="594" spans="9:13">
      <c r="I594" t="s">
        <v>1572</v>
      </c>
      <c r="J594" s="82">
        <v>2.4</v>
      </c>
      <c r="L594" t="s">
        <v>1578</v>
      </c>
      <c r="M594" s="82">
        <v>53074</v>
      </c>
    </row>
    <row r="595" spans="9:13">
      <c r="I595" t="s">
        <v>1575</v>
      </c>
      <c r="J595" s="82">
        <v>4.7</v>
      </c>
      <c r="L595" t="s">
        <v>1581</v>
      </c>
      <c r="M595" s="82">
        <v>178143</v>
      </c>
    </row>
    <row r="596" spans="9:13">
      <c r="I596" t="s">
        <v>1578</v>
      </c>
      <c r="J596" s="82">
        <v>3.1</v>
      </c>
      <c r="L596" t="s">
        <v>1583</v>
      </c>
      <c r="M596" s="82">
        <v>67080</v>
      </c>
    </row>
    <row r="597" spans="9:13">
      <c r="I597" t="s">
        <v>1581</v>
      </c>
      <c r="J597" s="82">
        <v>3.3</v>
      </c>
      <c r="L597" t="s">
        <v>1584</v>
      </c>
      <c r="M597" s="82">
        <v>183155</v>
      </c>
    </row>
    <row r="598" spans="9:13">
      <c r="I598" t="s">
        <v>1583</v>
      </c>
      <c r="J598" s="82">
        <v>2.1</v>
      </c>
      <c r="L598" t="s">
        <v>1586</v>
      </c>
      <c r="M598" s="82">
        <v>18177</v>
      </c>
    </row>
    <row r="599" spans="9:13">
      <c r="I599" t="s">
        <v>1584</v>
      </c>
      <c r="J599" s="82">
        <v>1.6</v>
      </c>
      <c r="L599" t="s">
        <v>1588</v>
      </c>
      <c r="M599" s="82">
        <v>55536</v>
      </c>
    </row>
    <row r="600" spans="9:13">
      <c r="I600" t="s">
        <v>1586</v>
      </c>
      <c r="J600" s="82">
        <v>5</v>
      </c>
      <c r="L600" t="s">
        <v>1590</v>
      </c>
      <c r="M600" s="82">
        <v>171132</v>
      </c>
    </row>
    <row r="601" spans="9:13">
      <c r="I601" t="s">
        <v>1588</v>
      </c>
      <c r="J601" s="82">
        <v>4.9000000000000004</v>
      </c>
      <c r="L601" t="s">
        <v>1593</v>
      </c>
      <c r="M601" s="82">
        <v>128854</v>
      </c>
    </row>
    <row r="602" spans="9:13">
      <c r="I602" t="s">
        <v>1590</v>
      </c>
      <c r="J602" s="82">
        <v>4</v>
      </c>
      <c r="L602" t="s">
        <v>5884</v>
      </c>
      <c r="M602" s="82">
        <v>117969.06112054329</v>
      </c>
    </row>
    <row r="603" spans="9:13">
      <c r="I603" t="s">
        <v>1593</v>
      </c>
      <c r="J603" s="82">
        <v>3</v>
      </c>
    </row>
    <row r="604" spans="9:13">
      <c r="I604" t="s">
        <v>5884</v>
      </c>
      <c r="J604" s="82">
        <v>3.2865619546247817</v>
      </c>
    </row>
  </sheetData>
  <pageMargins left="0.7" right="0.7" top="0.75" bottom="0.75" header="0.3" footer="0.3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BBFC-D123-42FE-994D-E2E8181A37C4}">
  <sheetPr>
    <tabColor rgb="FF00B0F0"/>
  </sheetPr>
  <dimension ref="A3:C14"/>
  <sheetViews>
    <sheetView workbookViewId="0">
      <selection activeCell="C17" sqref="C17"/>
    </sheetView>
  </sheetViews>
  <sheetFormatPr defaultRowHeight="15"/>
  <cols>
    <col min="1" max="1" width="14.85546875" bestFit="1" customWidth="1"/>
    <col min="2" max="2" width="20.7109375" bestFit="1" customWidth="1"/>
    <col min="3" max="3" width="25" bestFit="1" customWidth="1"/>
  </cols>
  <sheetData>
    <row r="3" spans="1:3">
      <c r="A3" s="60" t="s">
        <v>3</v>
      </c>
      <c r="B3" t="s">
        <v>5896</v>
      </c>
      <c r="C3" t="s">
        <v>5882</v>
      </c>
    </row>
    <row r="4" spans="1:3">
      <c r="A4" t="s">
        <v>89</v>
      </c>
      <c r="B4" s="61">
        <v>61</v>
      </c>
      <c r="C4" s="61">
        <v>131046.73770491804</v>
      </c>
    </row>
    <row r="5" spans="1:3">
      <c r="A5" t="s">
        <v>24</v>
      </c>
      <c r="B5" s="61">
        <v>84</v>
      </c>
      <c r="C5" s="61">
        <v>113217.58024691358</v>
      </c>
    </row>
    <row r="6" spans="1:3">
      <c r="A6" t="s">
        <v>16</v>
      </c>
      <c r="B6" s="61">
        <v>59</v>
      </c>
      <c r="C6" s="61">
        <v>119460.70689655172</v>
      </c>
    </row>
    <row r="7" spans="1:3">
      <c r="A7" t="s">
        <v>39</v>
      </c>
      <c r="B7" s="61">
        <v>59</v>
      </c>
      <c r="C7" s="61">
        <v>125063.24137931035</v>
      </c>
    </row>
    <row r="8" spans="1:3">
      <c r="A8" t="s">
        <v>176</v>
      </c>
      <c r="B8" s="61">
        <v>44</v>
      </c>
      <c r="C8" s="61">
        <v>93190.159090909088</v>
      </c>
    </row>
    <row r="9" spans="1:3">
      <c r="A9" t="s">
        <v>84</v>
      </c>
      <c r="B9" s="61">
        <v>62</v>
      </c>
      <c r="C9" s="61">
        <v>117506.08196721312</v>
      </c>
    </row>
    <row r="10" spans="1:3">
      <c r="A10" t="s">
        <v>118</v>
      </c>
      <c r="B10" s="61">
        <v>58</v>
      </c>
      <c r="C10" s="61">
        <v>117689.8275862069</v>
      </c>
    </row>
    <row r="11" spans="1:3">
      <c r="A11" t="s">
        <v>63</v>
      </c>
      <c r="B11" s="61">
        <v>59</v>
      </c>
      <c r="C11" s="61">
        <v>121090.42857142857</v>
      </c>
    </row>
    <row r="12" spans="1:3">
      <c r="A12" t="s">
        <v>133</v>
      </c>
      <c r="B12" s="61">
        <v>49</v>
      </c>
      <c r="C12" s="61">
        <v>109212</v>
      </c>
    </row>
    <row r="13" spans="1:3">
      <c r="A13" t="s">
        <v>51</v>
      </c>
      <c r="B13" s="61">
        <v>65</v>
      </c>
      <c r="C13" s="61">
        <v>125303.515625</v>
      </c>
    </row>
    <row r="14" spans="1:3">
      <c r="A14" t="s">
        <v>5884</v>
      </c>
      <c r="B14" s="61">
        <v>600</v>
      </c>
      <c r="C14" s="61">
        <v>117969.06112054329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F0D8-D640-4431-B691-3F55E9435443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7F8E-9515-4BB2-82C4-2FA9DA14E90A}">
  <dimension ref="A1:C12"/>
  <sheetViews>
    <sheetView workbookViewId="0"/>
  </sheetViews>
  <sheetFormatPr defaultRowHeight="15"/>
  <cols>
    <col min="1" max="1" width="18.5703125" customWidth="1"/>
    <col min="2" max="2" width="17.28515625" customWidth="1"/>
    <col min="3" max="3" width="24.5703125" customWidth="1"/>
  </cols>
  <sheetData>
    <row r="1" spans="1:3">
      <c r="A1" s="60" t="s">
        <v>3</v>
      </c>
      <c r="B1" s="60" t="s">
        <v>5896</v>
      </c>
      <c r="C1" t="s">
        <v>5882</v>
      </c>
    </row>
    <row r="2" spans="1:3">
      <c r="A2" t="s">
        <v>89</v>
      </c>
      <c r="B2" s="61">
        <v>61</v>
      </c>
      <c r="C2" s="61">
        <v>131046.73770491804</v>
      </c>
    </row>
    <row r="3" spans="1:3">
      <c r="A3" t="s">
        <v>24</v>
      </c>
      <c r="B3" s="61">
        <v>84</v>
      </c>
      <c r="C3" s="61">
        <v>113217.58024691358</v>
      </c>
    </row>
    <row r="4" spans="1:3">
      <c r="A4" t="s">
        <v>16</v>
      </c>
      <c r="B4" s="61">
        <v>59</v>
      </c>
      <c r="C4" s="61">
        <v>119460.70689655172</v>
      </c>
    </row>
    <row r="5" spans="1:3">
      <c r="A5" t="s">
        <v>39</v>
      </c>
      <c r="B5" s="61">
        <v>59</v>
      </c>
      <c r="C5" s="61">
        <v>125063.24137931035</v>
      </c>
    </row>
    <row r="6" spans="1:3">
      <c r="A6" t="s">
        <v>176</v>
      </c>
      <c r="B6" s="61">
        <v>44</v>
      </c>
      <c r="C6" s="61">
        <v>93190.159090909088</v>
      </c>
    </row>
    <row r="7" spans="1:3">
      <c r="A7" t="s">
        <v>84</v>
      </c>
      <c r="B7" s="61">
        <v>62</v>
      </c>
      <c r="C7" s="61">
        <v>117506.08196721312</v>
      </c>
    </row>
    <row r="8" spans="1:3">
      <c r="A8" t="s">
        <v>118</v>
      </c>
      <c r="B8" s="61">
        <v>58</v>
      </c>
      <c r="C8" s="61">
        <v>117689.8275862069</v>
      </c>
    </row>
    <row r="9" spans="1:3">
      <c r="A9" t="s">
        <v>63</v>
      </c>
      <c r="B9" s="61">
        <v>59</v>
      </c>
      <c r="C9" s="61">
        <v>121090.42857142857</v>
      </c>
    </row>
    <row r="10" spans="1:3">
      <c r="A10" t="s">
        <v>133</v>
      </c>
      <c r="B10" s="61">
        <v>49</v>
      </c>
      <c r="C10" s="61">
        <v>109212</v>
      </c>
    </row>
    <row r="11" spans="1:3">
      <c r="A11" t="s">
        <v>51</v>
      </c>
      <c r="B11" s="61">
        <v>65</v>
      </c>
      <c r="C11" s="61">
        <v>125303.515625</v>
      </c>
    </row>
    <row r="12" spans="1:3">
      <c r="A12" t="s">
        <v>5884</v>
      </c>
      <c r="B12" s="61">
        <v>600</v>
      </c>
      <c r="C12" s="61">
        <v>117969.06112054329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7A0A-DFFF-4CDF-8D3B-A232E3EFA216}">
  <sheetPr>
    <tabColor rgb="FFFF0000"/>
  </sheetPr>
  <dimension ref="A1:B6"/>
  <sheetViews>
    <sheetView workbookViewId="0">
      <selection activeCell="M6" sqref="M6"/>
    </sheetView>
  </sheetViews>
  <sheetFormatPr defaultRowHeight="15"/>
  <cols>
    <col min="1" max="1" width="20.28515625" customWidth="1"/>
    <col min="2" max="2" width="36.5703125" bestFit="1" customWidth="1"/>
  </cols>
  <sheetData>
    <row r="1" spans="1:2">
      <c r="A1" s="83" t="s">
        <v>5897</v>
      </c>
      <c r="B1" s="84" t="s">
        <v>5898</v>
      </c>
    </row>
    <row r="2" spans="1:2">
      <c r="A2" t="s">
        <v>5899</v>
      </c>
      <c r="B2">
        <f>COUNTA(Hiring!$A$2:$A$401)</f>
        <v>400</v>
      </c>
    </row>
    <row r="3" spans="1:2">
      <c r="A3" t="s">
        <v>5900</v>
      </c>
      <c r="B3">
        <f>COUNTIF(Hiring!$H$2:$H$401,"&gt;=5")</f>
        <v>285</v>
      </c>
    </row>
    <row r="4" spans="1:2">
      <c r="A4" t="s">
        <v>5901</v>
      </c>
      <c r="B4">
        <f>COUNTIF(Hiring!$I$2:$I$401,"&gt;=5")</f>
        <v>269</v>
      </c>
    </row>
    <row r="5" spans="1:2" ht="19.5" customHeight="1">
      <c r="A5" t="s">
        <v>5020</v>
      </c>
      <c r="B5" s="24">
        <f>COUNTIF(Hiring!$M$2:$M$401,"Accepted")</f>
        <v>96</v>
      </c>
    </row>
    <row r="6" spans="1:2">
      <c r="B6" s="2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98E8-5B8D-4080-9664-B0FE75142126}">
  <sheetPr>
    <tabColor rgb="FF00B050"/>
  </sheetPr>
  <dimension ref="A1:A601"/>
  <sheetViews>
    <sheetView workbookViewId="0">
      <selection activeCell="F12" sqref="F12"/>
    </sheetView>
  </sheetViews>
  <sheetFormatPr defaultRowHeight="15"/>
  <cols>
    <col min="1" max="1" width="12.85546875" customWidth="1"/>
  </cols>
  <sheetData>
    <row r="1" spans="1:1" ht="24">
      <c r="A1" s="1" t="s">
        <v>7</v>
      </c>
    </row>
    <row r="2" spans="1:1">
      <c r="A2" s="3">
        <v>82466</v>
      </c>
    </row>
    <row r="3" spans="1:1">
      <c r="A3" s="4">
        <v>56048</v>
      </c>
    </row>
    <row r="4" spans="1:1">
      <c r="A4" s="3">
        <v>196711</v>
      </c>
    </row>
    <row r="5" spans="1:1">
      <c r="A5" s="4">
        <v>55130</v>
      </c>
    </row>
    <row r="6" spans="1:1">
      <c r="A6" s="3">
        <v>112039</v>
      </c>
    </row>
    <row r="7" spans="1:1">
      <c r="A7" s="4">
        <v>90908</v>
      </c>
    </row>
    <row r="8" spans="1:1">
      <c r="A8" s="3">
        <v>146760</v>
      </c>
    </row>
    <row r="9" spans="1:1">
      <c r="A9" s="4">
        <v>163509</v>
      </c>
    </row>
    <row r="10" spans="1:1">
      <c r="A10" s="3">
        <v>27340</v>
      </c>
    </row>
    <row r="11" spans="1:1">
      <c r="A11" s="4">
        <v>48871</v>
      </c>
    </row>
    <row r="12" spans="1:1">
      <c r="A12" s="3">
        <v>181618</v>
      </c>
    </row>
    <row r="13" spans="1:1">
      <c r="A13" s="4">
        <v>215352</v>
      </c>
    </row>
    <row r="14" spans="1:1">
      <c r="A14" s="3">
        <v>60493</v>
      </c>
    </row>
    <row r="15" spans="1:1">
      <c r="A15" s="4">
        <v>114298</v>
      </c>
    </row>
    <row r="16" spans="1:1">
      <c r="A16" s="3">
        <v>204206</v>
      </c>
    </row>
    <row r="17" spans="1:1">
      <c r="A17" s="4">
        <v>89394</v>
      </c>
    </row>
    <row r="18" spans="1:1">
      <c r="A18" s="3">
        <v>123031</v>
      </c>
    </row>
    <row r="19" spans="1:1">
      <c r="A19" s="4">
        <v>104303</v>
      </c>
    </row>
    <row r="20" spans="1:1">
      <c r="A20" s="3">
        <v>135019</v>
      </c>
    </row>
    <row r="21" spans="1:1">
      <c r="A21" s="4">
        <v>18476</v>
      </c>
    </row>
    <row r="22" spans="1:1">
      <c r="A22" s="3">
        <v>61682</v>
      </c>
    </row>
    <row r="23" spans="1:1">
      <c r="A23" s="4">
        <v>67370</v>
      </c>
    </row>
    <row r="24" spans="1:1">
      <c r="A24" s="3">
        <v>146392</v>
      </c>
    </row>
    <row r="25" spans="1:1">
      <c r="A25" s="4">
        <v>60938</v>
      </c>
    </row>
    <row r="26" spans="1:1">
      <c r="A26" s="3">
        <v>79498</v>
      </c>
    </row>
    <row r="27" spans="1:1">
      <c r="A27" s="4">
        <v>27411</v>
      </c>
    </row>
    <row r="28" spans="1:1">
      <c r="A28" s="3">
        <v>59389</v>
      </c>
    </row>
    <row r="29" spans="1:1">
      <c r="A29" s="4">
        <v>170334</v>
      </c>
    </row>
    <row r="30" spans="1:1">
      <c r="A30" s="3">
        <v>164560</v>
      </c>
    </row>
    <row r="31" spans="1:1">
      <c r="A31" s="4">
        <v>40814</v>
      </c>
    </row>
    <row r="32" spans="1:1">
      <c r="A32" s="3">
        <v>69831</v>
      </c>
    </row>
    <row r="33" spans="1:1">
      <c r="A33" s="4">
        <v>75148</v>
      </c>
    </row>
    <row r="34" spans="1:1">
      <c r="A34" s="3">
        <v>82622</v>
      </c>
    </row>
    <row r="35" spans="1:1">
      <c r="A35" s="4"/>
    </row>
    <row r="36" spans="1:1">
      <c r="A36" s="3">
        <v>107257</v>
      </c>
    </row>
    <row r="37" spans="1:1">
      <c r="A37" s="4">
        <v>169784</v>
      </c>
    </row>
    <row r="38" spans="1:1">
      <c r="A38" s="3">
        <v>99048</v>
      </c>
    </row>
    <row r="39" spans="1:1">
      <c r="A39" s="4">
        <v>182023</v>
      </c>
    </row>
    <row r="40" spans="1:1">
      <c r="A40" s="3">
        <v>140041</v>
      </c>
    </row>
    <row r="41" spans="1:1">
      <c r="A41" s="4">
        <v>159138</v>
      </c>
    </row>
    <row r="42" spans="1:1">
      <c r="A42" s="3">
        <v>25880</v>
      </c>
    </row>
    <row r="43" spans="1:1">
      <c r="A43" s="4">
        <v>68820</v>
      </c>
    </row>
    <row r="44" spans="1:1">
      <c r="A44" s="3">
        <v>148155</v>
      </c>
    </row>
    <row r="45" spans="1:1">
      <c r="A45" s="4">
        <v>209821</v>
      </c>
    </row>
    <row r="46" spans="1:1">
      <c r="A46" s="3">
        <v>152528</v>
      </c>
    </row>
    <row r="47" spans="1:1">
      <c r="A47" s="4">
        <v>97366</v>
      </c>
    </row>
    <row r="48" spans="1:1">
      <c r="A48" s="3">
        <v>216086</v>
      </c>
    </row>
    <row r="49" spans="1:1">
      <c r="A49" s="4">
        <v>70884</v>
      </c>
    </row>
    <row r="50" spans="1:1">
      <c r="A50" s="3">
        <v>110793</v>
      </c>
    </row>
    <row r="51" spans="1:1">
      <c r="A51" s="4">
        <v>86586</v>
      </c>
    </row>
    <row r="52" spans="1:1">
      <c r="A52" s="3">
        <v>78651</v>
      </c>
    </row>
    <row r="53" spans="1:1">
      <c r="A53" s="4">
        <v>151447</v>
      </c>
    </row>
    <row r="54" spans="1:1">
      <c r="A54" s="3">
        <v>182020</v>
      </c>
    </row>
    <row r="55" spans="1:1">
      <c r="A55" s="4">
        <v>156848</v>
      </c>
    </row>
    <row r="56" spans="1:1">
      <c r="A56" s="3">
        <v>78572</v>
      </c>
    </row>
    <row r="57" spans="1:1">
      <c r="A57" s="4">
        <v>104006</v>
      </c>
    </row>
    <row r="58" spans="1:1">
      <c r="A58" s="3">
        <v>138740</v>
      </c>
    </row>
    <row r="59" spans="1:1">
      <c r="A59" s="4">
        <v>218169</v>
      </c>
    </row>
    <row r="60" spans="1:1">
      <c r="A60" s="3">
        <v>204952</v>
      </c>
    </row>
    <row r="61" spans="1:1">
      <c r="A61" s="4">
        <v>146603</v>
      </c>
    </row>
    <row r="62" spans="1:1">
      <c r="A62" s="3">
        <v>188122</v>
      </c>
    </row>
    <row r="63" spans="1:1">
      <c r="A63" s="4">
        <v>139124</v>
      </c>
    </row>
    <row r="64" spans="1:1">
      <c r="A64" s="3">
        <v>114528</v>
      </c>
    </row>
    <row r="65" spans="1:1">
      <c r="A65" s="4">
        <v>140259</v>
      </c>
    </row>
    <row r="66" spans="1:1">
      <c r="A66" s="3">
        <v>125209</v>
      </c>
    </row>
    <row r="67" spans="1:1">
      <c r="A67" s="4">
        <v>83984</v>
      </c>
    </row>
    <row r="68" spans="1:1">
      <c r="A68" s="3">
        <v>195043</v>
      </c>
    </row>
    <row r="69" spans="1:1">
      <c r="A69" s="4">
        <v>147464</v>
      </c>
    </row>
    <row r="70" spans="1:1">
      <c r="A70" s="3">
        <v>191662</v>
      </c>
    </row>
    <row r="71" spans="1:1">
      <c r="A71" s="4">
        <v>147325</v>
      </c>
    </row>
    <row r="72" spans="1:1">
      <c r="A72" s="3">
        <v>60223</v>
      </c>
    </row>
    <row r="73" spans="1:1">
      <c r="A73" s="4">
        <v>171441</v>
      </c>
    </row>
    <row r="74" spans="1:1">
      <c r="A74" s="3">
        <v>160848</v>
      </c>
    </row>
    <row r="75" spans="1:1">
      <c r="A75" s="4">
        <v>51851</v>
      </c>
    </row>
    <row r="76" spans="1:1">
      <c r="A76" s="3">
        <v>54271</v>
      </c>
    </row>
    <row r="77" spans="1:1">
      <c r="A77" s="4">
        <v>185311</v>
      </c>
    </row>
    <row r="78" spans="1:1">
      <c r="A78" s="3">
        <v>21210</v>
      </c>
    </row>
    <row r="79" spans="1:1">
      <c r="A79" s="4">
        <v>206224</v>
      </c>
    </row>
    <row r="80" spans="1:1">
      <c r="A80" s="3">
        <v>29751</v>
      </c>
    </row>
    <row r="81" spans="1:1">
      <c r="A81" s="4">
        <v>144101</v>
      </c>
    </row>
    <row r="82" spans="1:1">
      <c r="A82" s="3">
        <v>216646</v>
      </c>
    </row>
    <row r="83" spans="1:1">
      <c r="A83" s="4">
        <v>162895</v>
      </c>
    </row>
    <row r="84" spans="1:1">
      <c r="A84" s="3">
        <v>166422</v>
      </c>
    </row>
    <row r="85" spans="1:1">
      <c r="A85" s="4">
        <v>152673</v>
      </c>
    </row>
    <row r="86" spans="1:1">
      <c r="A86" s="3">
        <v>172835</v>
      </c>
    </row>
    <row r="87" spans="1:1">
      <c r="A87" s="4">
        <v>135640</v>
      </c>
    </row>
    <row r="88" spans="1:1">
      <c r="A88" s="3">
        <v>92821</v>
      </c>
    </row>
    <row r="89" spans="1:1">
      <c r="A89" s="4">
        <v>171943</v>
      </c>
    </row>
    <row r="90" spans="1:1">
      <c r="A90" s="3">
        <v>168067</v>
      </c>
    </row>
    <row r="91" spans="1:1">
      <c r="A91" s="4">
        <v>39381</v>
      </c>
    </row>
    <row r="92" spans="1:1">
      <c r="A92" s="3">
        <v>116535</v>
      </c>
    </row>
    <row r="93" spans="1:1">
      <c r="A93" s="4">
        <v>155371</v>
      </c>
    </row>
    <row r="94" spans="1:1">
      <c r="A94" s="3">
        <v>103116</v>
      </c>
    </row>
    <row r="95" spans="1:1">
      <c r="A95" s="4">
        <v>81344</v>
      </c>
    </row>
    <row r="96" spans="1:1">
      <c r="A96" s="3">
        <v>97775</v>
      </c>
    </row>
    <row r="97" spans="1:1">
      <c r="A97" s="4">
        <v>79443</v>
      </c>
    </row>
    <row r="98" spans="1:1">
      <c r="A98" s="3">
        <v>144649</v>
      </c>
    </row>
    <row r="99" spans="1:1">
      <c r="A99" s="4">
        <v>74877</v>
      </c>
    </row>
    <row r="100" spans="1:1">
      <c r="A100" s="3">
        <v>91290</v>
      </c>
    </row>
    <row r="101" spans="1:1">
      <c r="A101" s="4">
        <v>109864</v>
      </c>
    </row>
    <row r="102" spans="1:1">
      <c r="A102" s="3">
        <v>112692</v>
      </c>
    </row>
    <row r="103" spans="1:1">
      <c r="A103" s="4">
        <v>176983</v>
      </c>
    </row>
    <row r="104" spans="1:1">
      <c r="A104" s="3">
        <v>84562</v>
      </c>
    </row>
    <row r="105" spans="1:1">
      <c r="A105" s="4">
        <v>24064</v>
      </c>
    </row>
    <row r="106" spans="1:1">
      <c r="A106" s="3">
        <v>210235</v>
      </c>
    </row>
    <row r="107" spans="1:1">
      <c r="A107" s="4">
        <v>117095</v>
      </c>
    </row>
    <row r="108" spans="1:1">
      <c r="A108" s="3">
        <v>185754</v>
      </c>
    </row>
    <row r="109" spans="1:1">
      <c r="A109" s="4">
        <v>84612</v>
      </c>
    </row>
    <row r="110" spans="1:1">
      <c r="A110" s="3">
        <v>32915</v>
      </c>
    </row>
    <row r="111" spans="1:1">
      <c r="A111" s="4">
        <v>45809</v>
      </c>
    </row>
    <row r="112" spans="1:1">
      <c r="A112" s="3">
        <v>190882</v>
      </c>
    </row>
    <row r="113" spans="1:1">
      <c r="A113" s="4">
        <v>144317</v>
      </c>
    </row>
    <row r="114" spans="1:1">
      <c r="A114" s="3">
        <v>46613</v>
      </c>
    </row>
    <row r="115" spans="1:1">
      <c r="A115" s="4">
        <v>49155</v>
      </c>
    </row>
    <row r="116" spans="1:1">
      <c r="A116" s="3">
        <v>153126</v>
      </c>
    </row>
    <row r="117" spans="1:1">
      <c r="A117" s="4">
        <v>107461</v>
      </c>
    </row>
    <row r="118" spans="1:1">
      <c r="A118" s="3">
        <v>145043</v>
      </c>
    </row>
    <row r="119" spans="1:1">
      <c r="A119" s="4">
        <v>58648</v>
      </c>
    </row>
    <row r="120" spans="1:1">
      <c r="A120" s="3">
        <v>66700</v>
      </c>
    </row>
    <row r="121" spans="1:1">
      <c r="A121" s="4">
        <v>103329</v>
      </c>
    </row>
    <row r="122" spans="1:1">
      <c r="A122" s="3">
        <v>175475</v>
      </c>
    </row>
    <row r="123" spans="1:1">
      <c r="A123" s="4">
        <v>207513</v>
      </c>
    </row>
    <row r="124" spans="1:1">
      <c r="A124" s="3">
        <v>130003</v>
      </c>
    </row>
    <row r="125" spans="1:1">
      <c r="A125" s="4">
        <v>43422</v>
      </c>
    </row>
    <row r="126" spans="1:1">
      <c r="A126" s="3">
        <v>169094</v>
      </c>
    </row>
    <row r="127" spans="1:1">
      <c r="A127" s="4">
        <v>171587</v>
      </c>
    </row>
    <row r="128" spans="1:1">
      <c r="A128" s="3">
        <v>134602</v>
      </c>
    </row>
    <row r="129" spans="1:1">
      <c r="A129" s="4">
        <v>75928</v>
      </c>
    </row>
    <row r="130" spans="1:1">
      <c r="A130" s="3">
        <v>169926</v>
      </c>
    </row>
    <row r="131" spans="1:1">
      <c r="A131" s="4">
        <v>33691</v>
      </c>
    </row>
    <row r="132" spans="1:1">
      <c r="A132" s="3">
        <v>45224</v>
      </c>
    </row>
    <row r="133" spans="1:1">
      <c r="A133" s="4">
        <v>60261</v>
      </c>
    </row>
    <row r="134" spans="1:1">
      <c r="A134" s="3">
        <v>195850</v>
      </c>
    </row>
    <row r="135" spans="1:1">
      <c r="A135" s="4">
        <v>172635</v>
      </c>
    </row>
    <row r="136" spans="1:1">
      <c r="A136" s="3">
        <v>91791</v>
      </c>
    </row>
    <row r="137" spans="1:1">
      <c r="A137" s="4">
        <v>75944</v>
      </c>
    </row>
    <row r="138" spans="1:1">
      <c r="A138" s="3">
        <v>63115</v>
      </c>
    </row>
    <row r="139" spans="1:1">
      <c r="A139" s="4">
        <v>190530</v>
      </c>
    </row>
    <row r="140" spans="1:1">
      <c r="A140" s="3">
        <v>56860</v>
      </c>
    </row>
    <row r="141" spans="1:1">
      <c r="A141" s="4">
        <v>174126</v>
      </c>
    </row>
    <row r="142" spans="1:1">
      <c r="A142" s="3">
        <v>149593</v>
      </c>
    </row>
    <row r="143" spans="1:1">
      <c r="A143" s="4">
        <v>74665</v>
      </c>
    </row>
    <row r="144" spans="1:1">
      <c r="A144" s="3">
        <v>90827</v>
      </c>
    </row>
    <row r="145" spans="1:1">
      <c r="A145" s="4">
        <v>63381</v>
      </c>
    </row>
    <row r="146" spans="1:1">
      <c r="A146" s="3">
        <v>38253</v>
      </c>
    </row>
    <row r="147" spans="1:1">
      <c r="A147" s="4">
        <v>81373</v>
      </c>
    </row>
    <row r="148" spans="1:1">
      <c r="A148" s="3">
        <v>123174</v>
      </c>
    </row>
    <row r="149" spans="1:1">
      <c r="A149" s="4">
        <v>168332</v>
      </c>
    </row>
    <row r="150" spans="1:1">
      <c r="A150" s="3">
        <v>219745</v>
      </c>
    </row>
    <row r="151" spans="1:1">
      <c r="A151" s="4">
        <v>214161</v>
      </c>
    </row>
    <row r="152" spans="1:1">
      <c r="A152" s="3">
        <v>89103</v>
      </c>
    </row>
    <row r="153" spans="1:1">
      <c r="A153" s="4">
        <v>19238</v>
      </c>
    </row>
    <row r="154" spans="1:1">
      <c r="A154" s="3">
        <v>81077</v>
      </c>
    </row>
    <row r="155" spans="1:1">
      <c r="A155" s="4">
        <v>194720</v>
      </c>
    </row>
    <row r="156" spans="1:1">
      <c r="A156" s="3">
        <v>170702</v>
      </c>
    </row>
    <row r="157" spans="1:1">
      <c r="A157" s="4">
        <v>205879</v>
      </c>
    </row>
    <row r="158" spans="1:1">
      <c r="A158" s="3">
        <v>53910</v>
      </c>
    </row>
    <row r="159" spans="1:1">
      <c r="A159" s="4">
        <v>106978</v>
      </c>
    </row>
    <row r="160" spans="1:1">
      <c r="A160" s="3">
        <v>45446</v>
      </c>
    </row>
    <row r="161" spans="1:1">
      <c r="A161" s="4">
        <v>48696</v>
      </c>
    </row>
    <row r="162" spans="1:1">
      <c r="A162" s="3">
        <v>137558</v>
      </c>
    </row>
    <row r="163" spans="1:1">
      <c r="A163" s="4">
        <v>67650</v>
      </c>
    </row>
    <row r="164" spans="1:1">
      <c r="A164" s="3">
        <v>186926</v>
      </c>
    </row>
    <row r="165" spans="1:1">
      <c r="A165" s="4">
        <v>132736</v>
      </c>
    </row>
    <row r="166" spans="1:1">
      <c r="A166" s="3">
        <v>125051</v>
      </c>
    </row>
    <row r="167" spans="1:1">
      <c r="A167" s="4">
        <v>94446</v>
      </c>
    </row>
    <row r="168" spans="1:1">
      <c r="A168" s="3">
        <v>49078</v>
      </c>
    </row>
    <row r="169" spans="1:1">
      <c r="A169" s="4">
        <v>140755</v>
      </c>
    </row>
    <row r="170" spans="1:1">
      <c r="A170" s="3">
        <v>123694</v>
      </c>
    </row>
    <row r="171" spans="1:1">
      <c r="A171" s="4">
        <v>122059</v>
      </c>
    </row>
    <row r="172" spans="1:1">
      <c r="A172" s="3">
        <v>180770</v>
      </c>
    </row>
    <row r="173" spans="1:1">
      <c r="A173" s="4">
        <v>116868</v>
      </c>
    </row>
    <row r="174" spans="1:1">
      <c r="A174" s="3">
        <v>114814</v>
      </c>
    </row>
    <row r="175" spans="1:1">
      <c r="A175" s="4">
        <v>37507</v>
      </c>
    </row>
    <row r="176" spans="1:1">
      <c r="A176" s="3">
        <v>162109</v>
      </c>
    </row>
    <row r="177" spans="1:1">
      <c r="A177" s="4">
        <v>82695</v>
      </c>
    </row>
    <row r="178" spans="1:1">
      <c r="A178" s="3">
        <v>40296</v>
      </c>
    </row>
    <row r="179" spans="1:1">
      <c r="A179" s="4">
        <v>147550</v>
      </c>
    </row>
    <row r="180" spans="1:1">
      <c r="A180" s="3">
        <v>163247</v>
      </c>
    </row>
    <row r="181" spans="1:1">
      <c r="A181" s="4">
        <v>92419</v>
      </c>
    </row>
    <row r="182" spans="1:1">
      <c r="A182" s="3">
        <v>166315</v>
      </c>
    </row>
    <row r="183" spans="1:1">
      <c r="A183" s="4">
        <v>116226</v>
      </c>
    </row>
    <row r="184" spans="1:1">
      <c r="A184" s="3">
        <v>136915</v>
      </c>
    </row>
    <row r="185" spans="1:1">
      <c r="A185" s="4">
        <v>82984</v>
      </c>
    </row>
    <row r="186" spans="1:1">
      <c r="A186" s="3">
        <v>136568</v>
      </c>
    </row>
    <row r="187" spans="1:1">
      <c r="A187" s="4">
        <v>39577</v>
      </c>
    </row>
    <row r="188" spans="1:1">
      <c r="A188" s="3">
        <v>189038</v>
      </c>
    </row>
    <row r="189" spans="1:1">
      <c r="A189" s="4">
        <v>104855</v>
      </c>
    </row>
    <row r="190" spans="1:1">
      <c r="A190" s="3">
        <v>145073</v>
      </c>
    </row>
    <row r="191" spans="1:1">
      <c r="A191" s="4">
        <v>98046</v>
      </c>
    </row>
    <row r="192" spans="1:1">
      <c r="A192" s="3">
        <v>149981</v>
      </c>
    </row>
    <row r="193" spans="1:1">
      <c r="A193" s="4">
        <v>144014</v>
      </c>
    </row>
    <row r="194" spans="1:1">
      <c r="A194" s="3"/>
    </row>
    <row r="195" spans="1:1">
      <c r="A195" s="4">
        <v>213196</v>
      </c>
    </row>
    <row r="196" spans="1:1">
      <c r="A196" s="3">
        <v>94389</v>
      </c>
    </row>
    <row r="197" spans="1:1">
      <c r="A197" s="4">
        <v>218566</v>
      </c>
    </row>
    <row r="198" spans="1:1">
      <c r="A198" s="3">
        <v>36707</v>
      </c>
    </row>
    <row r="199" spans="1:1">
      <c r="A199" s="4">
        <v>23041</v>
      </c>
    </row>
    <row r="200" spans="1:1">
      <c r="A200" s="3">
        <v>113874</v>
      </c>
    </row>
    <row r="201" spans="1:1">
      <c r="A201" s="4">
        <v>117488</v>
      </c>
    </row>
    <row r="202" spans="1:1">
      <c r="A202" s="3">
        <v>46510</v>
      </c>
    </row>
    <row r="203" spans="1:1">
      <c r="A203" s="4">
        <v>32605</v>
      </c>
    </row>
    <row r="204" spans="1:1">
      <c r="A204" s="3">
        <v>192636</v>
      </c>
    </row>
    <row r="205" spans="1:1">
      <c r="A205" s="4">
        <v>137740</v>
      </c>
    </row>
    <row r="206" spans="1:1">
      <c r="A206" s="3">
        <v>167697</v>
      </c>
    </row>
    <row r="207" spans="1:1">
      <c r="A207" s="4">
        <v>219929</v>
      </c>
    </row>
    <row r="208" spans="1:1">
      <c r="A208" s="3">
        <v>174708</v>
      </c>
    </row>
    <row r="209" spans="1:1">
      <c r="A209" s="4">
        <v>143623</v>
      </c>
    </row>
    <row r="210" spans="1:1">
      <c r="A210" s="3">
        <v>188373</v>
      </c>
    </row>
    <row r="211" spans="1:1">
      <c r="A211" s="4">
        <v>75653</v>
      </c>
    </row>
    <row r="212" spans="1:1">
      <c r="A212" s="3">
        <v>95895</v>
      </c>
    </row>
    <row r="213" spans="1:1">
      <c r="A213" s="4">
        <v>55643</v>
      </c>
    </row>
    <row r="214" spans="1:1">
      <c r="A214" s="3"/>
    </row>
    <row r="215" spans="1:1">
      <c r="A215" s="4">
        <v>122022</v>
      </c>
    </row>
    <row r="216" spans="1:1">
      <c r="A216" s="3">
        <v>138776</v>
      </c>
    </row>
    <row r="217" spans="1:1">
      <c r="A217" s="4">
        <v>141830</v>
      </c>
    </row>
    <row r="218" spans="1:1">
      <c r="A218" s="3">
        <v>109779</v>
      </c>
    </row>
    <row r="219" spans="1:1">
      <c r="A219" s="4">
        <v>61137</v>
      </c>
    </row>
    <row r="220" spans="1:1">
      <c r="A220" s="3">
        <v>169180</v>
      </c>
    </row>
    <row r="221" spans="1:1">
      <c r="A221" s="4">
        <v>34054</v>
      </c>
    </row>
    <row r="222" spans="1:1">
      <c r="A222" s="3">
        <v>161737</v>
      </c>
    </row>
    <row r="223" spans="1:1">
      <c r="A223" s="4">
        <v>196785</v>
      </c>
    </row>
    <row r="224" spans="1:1">
      <c r="A224" s="3">
        <v>195207</v>
      </c>
    </row>
    <row r="225" spans="1:1">
      <c r="A225" s="4">
        <v>127488</v>
      </c>
    </row>
    <row r="226" spans="1:1">
      <c r="A226" s="3">
        <v>138000</v>
      </c>
    </row>
    <row r="227" spans="1:1">
      <c r="A227" s="4">
        <v>29023</v>
      </c>
    </row>
    <row r="228" spans="1:1">
      <c r="A228" s="3">
        <v>178207</v>
      </c>
    </row>
    <row r="229" spans="1:1">
      <c r="A229" s="4">
        <v>146717</v>
      </c>
    </row>
    <row r="230" spans="1:1">
      <c r="A230" s="3">
        <v>61180</v>
      </c>
    </row>
    <row r="231" spans="1:1">
      <c r="A231" s="4">
        <v>133179</v>
      </c>
    </row>
    <row r="232" spans="1:1">
      <c r="A232" s="3">
        <v>183033</v>
      </c>
    </row>
    <row r="233" spans="1:1">
      <c r="A233" s="4">
        <v>37827</v>
      </c>
    </row>
    <row r="234" spans="1:1">
      <c r="A234" s="3">
        <v>147504</v>
      </c>
    </row>
    <row r="235" spans="1:1">
      <c r="A235" s="4">
        <v>85041</v>
      </c>
    </row>
    <row r="236" spans="1:1">
      <c r="A236" s="3">
        <v>107744</v>
      </c>
    </row>
    <row r="237" spans="1:1">
      <c r="A237" s="4">
        <v>106396</v>
      </c>
    </row>
    <row r="238" spans="1:1">
      <c r="A238" s="3">
        <v>115237</v>
      </c>
    </row>
    <row r="239" spans="1:1">
      <c r="A239" s="4">
        <v>207018</v>
      </c>
    </row>
    <row r="240" spans="1:1">
      <c r="A240" s="3">
        <v>93086</v>
      </c>
    </row>
    <row r="241" spans="1:1">
      <c r="A241" s="4">
        <v>29188</v>
      </c>
    </row>
    <row r="242" spans="1:1">
      <c r="A242" s="3">
        <v>32539</v>
      </c>
    </row>
    <row r="243" spans="1:1">
      <c r="A243" s="4">
        <v>107162</v>
      </c>
    </row>
    <row r="244" spans="1:1">
      <c r="A244" s="3">
        <v>30456</v>
      </c>
    </row>
    <row r="245" spans="1:1">
      <c r="A245" s="4">
        <v>212941</v>
      </c>
    </row>
    <row r="246" spans="1:1">
      <c r="A246" s="3">
        <v>145462</v>
      </c>
    </row>
    <row r="247" spans="1:1">
      <c r="A247" s="4">
        <v>90829</v>
      </c>
    </row>
    <row r="248" spans="1:1">
      <c r="A248" s="3">
        <v>128917</v>
      </c>
    </row>
    <row r="249" spans="1:1">
      <c r="A249" s="4">
        <v>182705</v>
      </c>
    </row>
    <row r="250" spans="1:1">
      <c r="A250" s="3">
        <v>140721</v>
      </c>
    </row>
    <row r="251" spans="1:1">
      <c r="A251" s="4">
        <v>91647</v>
      </c>
    </row>
    <row r="252" spans="1:1">
      <c r="A252" s="3"/>
    </row>
    <row r="253" spans="1:1">
      <c r="A253" s="4">
        <v>93662</v>
      </c>
    </row>
    <row r="254" spans="1:1">
      <c r="A254" s="3">
        <v>90707</v>
      </c>
    </row>
    <row r="255" spans="1:1">
      <c r="A255" s="4">
        <v>27922</v>
      </c>
    </row>
    <row r="256" spans="1:1">
      <c r="A256" s="3"/>
    </row>
    <row r="257" spans="1:1">
      <c r="A257" s="4">
        <v>181886</v>
      </c>
    </row>
    <row r="258" spans="1:1">
      <c r="A258" s="3">
        <v>73853</v>
      </c>
    </row>
    <row r="259" spans="1:1">
      <c r="A259" s="4">
        <v>115955</v>
      </c>
    </row>
    <row r="260" spans="1:1">
      <c r="A260" s="3"/>
    </row>
    <row r="261" spans="1:1">
      <c r="A261" s="4">
        <v>65721</v>
      </c>
    </row>
    <row r="262" spans="1:1">
      <c r="A262" s="3">
        <v>91697</v>
      </c>
    </row>
    <row r="263" spans="1:1">
      <c r="A263" s="4">
        <v>179557</v>
      </c>
    </row>
    <row r="264" spans="1:1">
      <c r="A264" s="3">
        <v>74089</v>
      </c>
    </row>
    <row r="265" spans="1:1">
      <c r="A265" s="4">
        <v>170703</v>
      </c>
    </row>
    <row r="266" spans="1:1">
      <c r="A266" s="3">
        <v>82577</v>
      </c>
    </row>
    <row r="267" spans="1:1">
      <c r="A267" s="4">
        <v>43388</v>
      </c>
    </row>
    <row r="268" spans="1:1">
      <c r="A268" s="3">
        <v>208868</v>
      </c>
    </row>
    <row r="269" spans="1:1">
      <c r="A269" s="4">
        <v>172309</v>
      </c>
    </row>
    <row r="270" spans="1:1">
      <c r="A270" s="3">
        <v>147528</v>
      </c>
    </row>
    <row r="271" spans="1:1">
      <c r="A271" s="4">
        <v>170324</v>
      </c>
    </row>
    <row r="272" spans="1:1">
      <c r="A272" s="3">
        <v>21478</v>
      </c>
    </row>
    <row r="273" spans="1:1">
      <c r="A273" s="4">
        <v>79466</v>
      </c>
    </row>
    <row r="274" spans="1:1">
      <c r="A274" s="3">
        <v>146777</v>
      </c>
    </row>
    <row r="275" spans="1:1">
      <c r="A275" s="4">
        <v>129225</v>
      </c>
    </row>
    <row r="276" spans="1:1">
      <c r="A276" s="3">
        <v>190115</v>
      </c>
    </row>
    <row r="277" spans="1:1">
      <c r="A277" s="4">
        <v>123180</v>
      </c>
    </row>
    <row r="278" spans="1:1">
      <c r="A278" s="3"/>
    </row>
    <row r="279" spans="1:1">
      <c r="A279" s="4">
        <v>206549</v>
      </c>
    </row>
    <row r="280" spans="1:1">
      <c r="A280" s="3">
        <v>88679</v>
      </c>
    </row>
    <row r="281" spans="1:1">
      <c r="A281" s="4">
        <v>54125</v>
      </c>
    </row>
    <row r="282" spans="1:1">
      <c r="A282" s="3">
        <v>76976</v>
      </c>
    </row>
    <row r="283" spans="1:1">
      <c r="A283" s="4">
        <v>67428</v>
      </c>
    </row>
    <row r="284" spans="1:1">
      <c r="A284" s="3">
        <v>21362</v>
      </c>
    </row>
    <row r="285" spans="1:1">
      <c r="A285" s="4">
        <v>194576</v>
      </c>
    </row>
    <row r="286" spans="1:1">
      <c r="A286" s="3">
        <v>149194</v>
      </c>
    </row>
    <row r="287" spans="1:1">
      <c r="A287" s="4">
        <v>121017</v>
      </c>
    </row>
    <row r="288" spans="1:1">
      <c r="A288" s="3">
        <v>100208</v>
      </c>
    </row>
    <row r="289" spans="1:1">
      <c r="A289" s="4">
        <v>118155</v>
      </c>
    </row>
    <row r="290" spans="1:1">
      <c r="A290" s="3">
        <v>20810</v>
      </c>
    </row>
    <row r="291" spans="1:1">
      <c r="A291" s="4">
        <v>54488</v>
      </c>
    </row>
    <row r="292" spans="1:1">
      <c r="A292" s="3">
        <v>103184</v>
      </c>
    </row>
    <row r="293" spans="1:1">
      <c r="A293" s="4">
        <v>130185</v>
      </c>
    </row>
    <row r="294" spans="1:1">
      <c r="A294" s="3">
        <v>74105</v>
      </c>
    </row>
    <row r="295" spans="1:1">
      <c r="A295" s="4">
        <v>75354</v>
      </c>
    </row>
    <row r="296" spans="1:1">
      <c r="A296" s="3">
        <v>187534</v>
      </c>
    </row>
    <row r="297" spans="1:1">
      <c r="A297" s="4">
        <v>56851</v>
      </c>
    </row>
    <row r="298" spans="1:1">
      <c r="A298" s="3">
        <v>106185</v>
      </c>
    </row>
    <row r="299" spans="1:1">
      <c r="A299" s="4">
        <v>57886</v>
      </c>
    </row>
    <row r="300" spans="1:1">
      <c r="A300" s="3">
        <v>144943</v>
      </c>
    </row>
    <row r="301" spans="1:1">
      <c r="A301" s="4">
        <v>106598</v>
      </c>
    </row>
    <row r="302" spans="1:1">
      <c r="A302" s="3">
        <v>100155</v>
      </c>
    </row>
    <row r="303" spans="1:1">
      <c r="A303" s="4">
        <v>191704</v>
      </c>
    </row>
    <row r="304" spans="1:1">
      <c r="A304" s="3">
        <v>58653</v>
      </c>
    </row>
    <row r="305" spans="1:1">
      <c r="A305" s="4">
        <v>199308</v>
      </c>
    </row>
    <row r="306" spans="1:1">
      <c r="A306" s="3">
        <v>202858</v>
      </c>
    </row>
    <row r="307" spans="1:1">
      <c r="A307" s="4">
        <v>49819</v>
      </c>
    </row>
    <row r="308" spans="1:1">
      <c r="A308" s="3">
        <v>196830</v>
      </c>
    </row>
    <row r="309" spans="1:1">
      <c r="A309" s="4">
        <v>104114</v>
      </c>
    </row>
    <row r="310" spans="1:1">
      <c r="A310" s="3">
        <v>117880</v>
      </c>
    </row>
    <row r="311" spans="1:1">
      <c r="A311" s="4">
        <v>101994</v>
      </c>
    </row>
    <row r="312" spans="1:1">
      <c r="A312" s="3">
        <v>196624</v>
      </c>
    </row>
    <row r="313" spans="1:1">
      <c r="A313" s="4">
        <v>129574</v>
      </c>
    </row>
    <row r="314" spans="1:1">
      <c r="A314" s="3">
        <v>21614</v>
      </c>
    </row>
    <row r="315" spans="1:1">
      <c r="A315" s="4">
        <v>216959</v>
      </c>
    </row>
    <row r="316" spans="1:1">
      <c r="A316" s="3">
        <v>41675</v>
      </c>
    </row>
    <row r="317" spans="1:1">
      <c r="A317" s="4">
        <v>154546</v>
      </c>
    </row>
    <row r="318" spans="1:1">
      <c r="A318" s="3">
        <v>109813</v>
      </c>
    </row>
    <row r="319" spans="1:1">
      <c r="A319" s="4">
        <v>215570</v>
      </c>
    </row>
    <row r="320" spans="1:1">
      <c r="A320" s="3">
        <v>142649</v>
      </c>
    </row>
    <row r="321" spans="1:1">
      <c r="A321" s="4">
        <v>40218</v>
      </c>
    </row>
    <row r="322" spans="1:1">
      <c r="A322" s="3"/>
    </row>
    <row r="323" spans="1:1">
      <c r="A323" s="4">
        <v>64683</v>
      </c>
    </row>
    <row r="324" spans="1:1">
      <c r="A324" s="3">
        <v>81920</v>
      </c>
    </row>
    <row r="325" spans="1:1">
      <c r="A325" s="4">
        <v>146813</v>
      </c>
    </row>
    <row r="326" spans="1:1">
      <c r="A326" s="3">
        <v>23682</v>
      </c>
    </row>
    <row r="327" spans="1:1">
      <c r="A327" s="4">
        <v>213306</v>
      </c>
    </row>
    <row r="328" spans="1:1">
      <c r="A328" s="3">
        <v>192476</v>
      </c>
    </row>
    <row r="329" spans="1:1">
      <c r="A329" s="4">
        <v>204754</v>
      </c>
    </row>
    <row r="330" spans="1:1">
      <c r="A330" s="3">
        <v>180805</v>
      </c>
    </row>
    <row r="331" spans="1:1">
      <c r="A331" s="4">
        <v>204255</v>
      </c>
    </row>
    <row r="332" spans="1:1">
      <c r="A332" s="3">
        <v>117570</v>
      </c>
    </row>
    <row r="333" spans="1:1">
      <c r="A333" s="4">
        <v>149295</v>
      </c>
    </row>
    <row r="334" spans="1:1">
      <c r="A334" s="3">
        <v>149292</v>
      </c>
    </row>
    <row r="335" spans="1:1">
      <c r="A335" s="4">
        <v>52851</v>
      </c>
    </row>
    <row r="336" spans="1:1">
      <c r="A336" s="3">
        <v>30614</v>
      </c>
    </row>
    <row r="337" spans="1:1">
      <c r="A337" s="4">
        <v>138715</v>
      </c>
    </row>
    <row r="338" spans="1:1">
      <c r="A338" s="3">
        <v>56042</v>
      </c>
    </row>
    <row r="339" spans="1:1">
      <c r="A339" s="4">
        <v>61065</v>
      </c>
    </row>
    <row r="340" spans="1:1">
      <c r="A340" s="3">
        <v>147073</v>
      </c>
    </row>
    <row r="341" spans="1:1">
      <c r="A341" s="4">
        <v>158491</v>
      </c>
    </row>
    <row r="342" spans="1:1">
      <c r="A342" s="3">
        <v>140959</v>
      </c>
    </row>
    <row r="343" spans="1:1">
      <c r="A343" s="4">
        <v>188030</v>
      </c>
    </row>
    <row r="344" spans="1:1">
      <c r="A344" s="3">
        <v>130516</v>
      </c>
    </row>
    <row r="345" spans="1:1">
      <c r="A345" s="4">
        <v>125189</v>
      </c>
    </row>
    <row r="346" spans="1:1">
      <c r="A346" s="3">
        <v>146360</v>
      </c>
    </row>
    <row r="347" spans="1:1">
      <c r="A347" s="4">
        <v>219373</v>
      </c>
    </row>
    <row r="348" spans="1:1">
      <c r="A348" s="3">
        <v>48001</v>
      </c>
    </row>
    <row r="349" spans="1:1">
      <c r="A349" s="4">
        <v>170847</v>
      </c>
    </row>
    <row r="350" spans="1:1">
      <c r="A350" s="3">
        <v>47083</v>
      </c>
    </row>
    <row r="351" spans="1:1">
      <c r="A351" s="4">
        <v>199069</v>
      </c>
    </row>
    <row r="352" spans="1:1">
      <c r="A352" s="3">
        <v>63697</v>
      </c>
    </row>
    <row r="353" spans="1:1">
      <c r="A353" s="4">
        <v>88344</v>
      </c>
    </row>
    <row r="354" spans="1:1">
      <c r="A354" s="3">
        <v>32878</v>
      </c>
    </row>
    <row r="355" spans="1:1">
      <c r="A355" s="4">
        <v>182126</v>
      </c>
    </row>
    <row r="356" spans="1:1">
      <c r="A356" s="3">
        <v>160182</v>
      </c>
    </row>
    <row r="357" spans="1:1">
      <c r="A357" s="4">
        <v>59431</v>
      </c>
    </row>
    <row r="358" spans="1:1">
      <c r="A358" s="3">
        <v>181561</v>
      </c>
    </row>
    <row r="359" spans="1:1">
      <c r="A359" s="4">
        <v>180425</v>
      </c>
    </row>
    <row r="360" spans="1:1">
      <c r="A360" s="3">
        <v>68542</v>
      </c>
    </row>
    <row r="361" spans="1:1">
      <c r="A361" s="4">
        <v>122794</v>
      </c>
    </row>
    <row r="362" spans="1:1">
      <c r="A362" s="3">
        <v>205957</v>
      </c>
    </row>
    <row r="363" spans="1:1">
      <c r="A363" s="4">
        <v>82868</v>
      </c>
    </row>
    <row r="364" spans="1:1">
      <c r="A364" s="3">
        <v>36303</v>
      </c>
    </row>
    <row r="365" spans="1:1">
      <c r="A365" s="4">
        <v>164732</v>
      </c>
    </row>
    <row r="366" spans="1:1">
      <c r="A366" s="3">
        <v>181772</v>
      </c>
    </row>
    <row r="367" spans="1:1">
      <c r="A367" s="4">
        <v>78308</v>
      </c>
    </row>
    <row r="368" spans="1:1">
      <c r="A368" s="3">
        <v>95687</v>
      </c>
    </row>
    <row r="369" spans="1:1">
      <c r="A369" s="4">
        <v>65299</v>
      </c>
    </row>
    <row r="370" spans="1:1">
      <c r="A370" s="3">
        <v>168312</v>
      </c>
    </row>
    <row r="371" spans="1:1">
      <c r="A371" s="4">
        <v>102805</v>
      </c>
    </row>
    <row r="372" spans="1:1">
      <c r="A372" s="3">
        <v>196621</v>
      </c>
    </row>
    <row r="373" spans="1:1">
      <c r="A373" s="4">
        <v>122868</v>
      </c>
    </row>
    <row r="374" spans="1:1">
      <c r="A374" s="3">
        <v>77730</v>
      </c>
    </row>
    <row r="375" spans="1:1">
      <c r="A375" s="4">
        <v>103254</v>
      </c>
    </row>
    <row r="376" spans="1:1">
      <c r="A376" s="3">
        <v>89287</v>
      </c>
    </row>
    <row r="377" spans="1:1">
      <c r="A377" s="4">
        <v>189763</v>
      </c>
    </row>
    <row r="378" spans="1:1">
      <c r="A378" s="3">
        <v>198328</v>
      </c>
    </row>
    <row r="379" spans="1:1">
      <c r="A379" s="4">
        <v>75137</v>
      </c>
    </row>
    <row r="380" spans="1:1">
      <c r="A380" s="3">
        <v>66900</v>
      </c>
    </row>
    <row r="381" spans="1:1">
      <c r="A381" s="4">
        <v>134088</v>
      </c>
    </row>
    <row r="382" spans="1:1">
      <c r="A382" s="3">
        <v>127972</v>
      </c>
    </row>
    <row r="383" spans="1:1">
      <c r="A383" s="4">
        <v>98254</v>
      </c>
    </row>
    <row r="384" spans="1:1">
      <c r="A384" s="3">
        <v>190711</v>
      </c>
    </row>
    <row r="385" spans="1:1">
      <c r="A385" s="4">
        <v>136842</v>
      </c>
    </row>
    <row r="386" spans="1:1">
      <c r="A386" s="3">
        <v>189060</v>
      </c>
    </row>
    <row r="387" spans="1:1">
      <c r="A387" s="4">
        <v>184497</v>
      </c>
    </row>
    <row r="388" spans="1:1">
      <c r="A388" s="3">
        <v>219196</v>
      </c>
    </row>
    <row r="389" spans="1:1">
      <c r="A389" s="4">
        <v>92781</v>
      </c>
    </row>
    <row r="390" spans="1:1">
      <c r="A390" s="3">
        <v>86329</v>
      </c>
    </row>
    <row r="391" spans="1:1">
      <c r="A391" s="4">
        <v>160769</v>
      </c>
    </row>
    <row r="392" spans="1:1">
      <c r="A392" s="3">
        <v>183015</v>
      </c>
    </row>
    <row r="393" spans="1:1">
      <c r="A393" s="4">
        <v>200703</v>
      </c>
    </row>
    <row r="394" spans="1:1">
      <c r="A394" s="3">
        <v>155514</v>
      </c>
    </row>
    <row r="395" spans="1:1">
      <c r="A395" s="4">
        <v>190615</v>
      </c>
    </row>
    <row r="396" spans="1:1">
      <c r="A396" s="3">
        <v>120944</v>
      </c>
    </row>
    <row r="397" spans="1:1">
      <c r="A397" s="4">
        <v>217420</v>
      </c>
    </row>
    <row r="398" spans="1:1">
      <c r="A398" s="3">
        <v>41833</v>
      </c>
    </row>
    <row r="399" spans="1:1">
      <c r="A399" s="4">
        <v>90160</v>
      </c>
    </row>
    <row r="400" spans="1:1">
      <c r="A400" s="3">
        <v>135092</v>
      </c>
    </row>
    <row r="401" spans="1:1">
      <c r="A401" s="4">
        <v>95751</v>
      </c>
    </row>
    <row r="402" spans="1:1">
      <c r="A402" s="3">
        <v>156124</v>
      </c>
    </row>
    <row r="403" spans="1:1">
      <c r="A403" s="4">
        <v>74140</v>
      </c>
    </row>
    <row r="404" spans="1:1">
      <c r="A404" s="3">
        <v>124353</v>
      </c>
    </row>
    <row r="405" spans="1:1">
      <c r="A405" s="4">
        <v>34860</v>
      </c>
    </row>
    <row r="406" spans="1:1">
      <c r="A406" s="3">
        <v>74903</v>
      </c>
    </row>
    <row r="407" spans="1:1">
      <c r="A407" s="4">
        <v>31950</v>
      </c>
    </row>
    <row r="408" spans="1:1">
      <c r="A408" s="3">
        <v>179674</v>
      </c>
    </row>
    <row r="409" spans="1:1">
      <c r="A409" s="4">
        <v>107470</v>
      </c>
    </row>
    <row r="410" spans="1:1">
      <c r="A410" s="3">
        <v>210218</v>
      </c>
    </row>
    <row r="411" spans="1:1">
      <c r="A411" s="4">
        <v>187975</v>
      </c>
    </row>
    <row r="412" spans="1:1">
      <c r="A412" s="3">
        <v>21141</v>
      </c>
    </row>
    <row r="413" spans="1:1">
      <c r="A413" s="4">
        <v>163817</v>
      </c>
    </row>
    <row r="414" spans="1:1">
      <c r="A414" s="3">
        <v>208633</v>
      </c>
    </row>
    <row r="415" spans="1:1">
      <c r="A415" s="4">
        <v>84122</v>
      </c>
    </row>
    <row r="416" spans="1:1">
      <c r="A416" s="3">
        <v>137314</v>
      </c>
    </row>
    <row r="417" spans="1:1">
      <c r="A417" s="4">
        <v>174989</v>
      </c>
    </row>
    <row r="418" spans="1:1">
      <c r="A418" s="3">
        <v>84724</v>
      </c>
    </row>
    <row r="419" spans="1:1">
      <c r="A419" s="4">
        <v>74357</v>
      </c>
    </row>
    <row r="420" spans="1:1">
      <c r="A420" s="3">
        <v>63921</v>
      </c>
    </row>
    <row r="421" spans="1:1">
      <c r="A421" s="4">
        <v>119992</v>
      </c>
    </row>
    <row r="422" spans="1:1">
      <c r="A422" s="3">
        <v>71465</v>
      </c>
    </row>
    <row r="423" spans="1:1">
      <c r="A423" s="4">
        <v>42543</v>
      </c>
    </row>
    <row r="424" spans="1:1">
      <c r="A424" s="3">
        <v>19205</v>
      </c>
    </row>
    <row r="425" spans="1:1">
      <c r="A425" s="4">
        <v>27240</v>
      </c>
    </row>
    <row r="426" spans="1:1">
      <c r="A426" s="3"/>
    </row>
    <row r="427" spans="1:1">
      <c r="A427" s="4">
        <v>198852</v>
      </c>
    </row>
    <row r="428" spans="1:1">
      <c r="A428" s="3">
        <v>217771</v>
      </c>
    </row>
    <row r="429" spans="1:1">
      <c r="A429" s="4"/>
    </row>
    <row r="430" spans="1:1">
      <c r="A430" s="3">
        <v>63750</v>
      </c>
    </row>
    <row r="431" spans="1:1">
      <c r="A431" s="4">
        <v>180650</v>
      </c>
    </row>
    <row r="432" spans="1:1">
      <c r="A432" s="3">
        <v>47147</v>
      </c>
    </row>
    <row r="433" spans="1:1">
      <c r="A433" s="4">
        <v>206153</v>
      </c>
    </row>
    <row r="434" spans="1:1">
      <c r="A434" s="3"/>
    </row>
    <row r="435" spans="1:1">
      <c r="A435" s="4">
        <v>186981</v>
      </c>
    </row>
    <row r="436" spans="1:1">
      <c r="A436" s="3">
        <v>178954</v>
      </c>
    </row>
    <row r="437" spans="1:1">
      <c r="A437" s="4">
        <v>134544</v>
      </c>
    </row>
    <row r="438" spans="1:1">
      <c r="A438" s="3">
        <v>210082</v>
      </c>
    </row>
    <row r="439" spans="1:1">
      <c r="A439" s="4">
        <v>83752</v>
      </c>
    </row>
    <row r="440" spans="1:1">
      <c r="A440" s="3">
        <v>69084</v>
      </c>
    </row>
    <row r="441" spans="1:1">
      <c r="A441" s="4">
        <v>121602</v>
      </c>
    </row>
    <row r="442" spans="1:1">
      <c r="A442" s="3">
        <v>31685</v>
      </c>
    </row>
    <row r="443" spans="1:1">
      <c r="A443" s="4">
        <v>135951</v>
      </c>
    </row>
    <row r="444" spans="1:1">
      <c r="A444" s="3">
        <v>58136</v>
      </c>
    </row>
    <row r="445" spans="1:1">
      <c r="A445" s="4">
        <v>104911</v>
      </c>
    </row>
    <row r="446" spans="1:1">
      <c r="A446" s="3">
        <v>74550</v>
      </c>
    </row>
    <row r="447" spans="1:1">
      <c r="A447" s="4">
        <v>129219</v>
      </c>
    </row>
    <row r="448" spans="1:1">
      <c r="A448" s="3">
        <v>122666</v>
      </c>
    </row>
    <row r="449" spans="1:1">
      <c r="A449" s="4">
        <v>128346</v>
      </c>
    </row>
    <row r="450" spans="1:1">
      <c r="A450" s="3">
        <v>140407</v>
      </c>
    </row>
    <row r="451" spans="1:1">
      <c r="A451" s="4">
        <v>190598</v>
      </c>
    </row>
    <row r="452" spans="1:1">
      <c r="A452" s="3">
        <v>18643</v>
      </c>
    </row>
    <row r="453" spans="1:1">
      <c r="A453" s="4">
        <v>31740</v>
      </c>
    </row>
    <row r="454" spans="1:1">
      <c r="A454" s="3">
        <v>192849</v>
      </c>
    </row>
    <row r="455" spans="1:1">
      <c r="A455" s="4">
        <v>152497</v>
      </c>
    </row>
    <row r="456" spans="1:1">
      <c r="A456" s="3">
        <v>87841</v>
      </c>
    </row>
    <row r="457" spans="1:1">
      <c r="A457" s="4">
        <v>157794</v>
      </c>
    </row>
    <row r="458" spans="1:1">
      <c r="A458" s="3">
        <v>82676</v>
      </c>
    </row>
    <row r="459" spans="1:1">
      <c r="A459" s="4">
        <v>215077</v>
      </c>
    </row>
    <row r="460" spans="1:1">
      <c r="A460" s="3">
        <v>82647</v>
      </c>
    </row>
    <row r="461" spans="1:1">
      <c r="A461" s="4">
        <v>216401</v>
      </c>
    </row>
    <row r="462" spans="1:1">
      <c r="A462" s="3">
        <v>114474</v>
      </c>
    </row>
    <row r="463" spans="1:1">
      <c r="A463" s="4">
        <v>100069</v>
      </c>
    </row>
    <row r="464" spans="1:1">
      <c r="A464" s="3">
        <v>48237</v>
      </c>
    </row>
    <row r="465" spans="1:1">
      <c r="A465" s="4">
        <v>26822</v>
      </c>
    </row>
    <row r="466" spans="1:1">
      <c r="A466" s="3">
        <v>142462</v>
      </c>
    </row>
    <row r="467" spans="1:1">
      <c r="A467" s="4">
        <v>198475</v>
      </c>
    </row>
    <row r="468" spans="1:1">
      <c r="A468" s="3">
        <v>173949</v>
      </c>
    </row>
    <row r="469" spans="1:1">
      <c r="A469" s="4">
        <v>96853</v>
      </c>
    </row>
    <row r="470" spans="1:1">
      <c r="A470" s="3">
        <v>137761</v>
      </c>
    </row>
    <row r="471" spans="1:1">
      <c r="A471" s="4">
        <v>164890</v>
      </c>
    </row>
    <row r="472" spans="1:1">
      <c r="A472" s="3">
        <v>118813</v>
      </c>
    </row>
    <row r="473" spans="1:1">
      <c r="A473" s="4">
        <v>99611</v>
      </c>
    </row>
    <row r="474" spans="1:1">
      <c r="A474" s="3">
        <v>110593</v>
      </c>
    </row>
    <row r="475" spans="1:1">
      <c r="A475" s="4">
        <v>30296</v>
      </c>
    </row>
    <row r="476" spans="1:1">
      <c r="A476" s="3">
        <v>56834</v>
      </c>
    </row>
    <row r="477" spans="1:1">
      <c r="A477" s="4">
        <v>153967</v>
      </c>
    </row>
    <row r="478" spans="1:1">
      <c r="A478" s="3">
        <v>22135</v>
      </c>
    </row>
    <row r="479" spans="1:1">
      <c r="A479" s="4">
        <v>155179</v>
      </c>
    </row>
    <row r="480" spans="1:1">
      <c r="A480" s="3">
        <v>146564</v>
      </c>
    </row>
    <row r="481" spans="1:1">
      <c r="A481" s="4">
        <v>100835</v>
      </c>
    </row>
    <row r="482" spans="1:1">
      <c r="A482" s="3">
        <v>146483</v>
      </c>
    </row>
    <row r="483" spans="1:1">
      <c r="A483" s="4">
        <v>112854</v>
      </c>
    </row>
    <row r="484" spans="1:1">
      <c r="A484" s="3">
        <v>63037</v>
      </c>
    </row>
    <row r="485" spans="1:1">
      <c r="A485" s="4">
        <v>84413</v>
      </c>
    </row>
    <row r="486" spans="1:1">
      <c r="A486" s="3">
        <v>49521</v>
      </c>
    </row>
    <row r="487" spans="1:1">
      <c r="A487" s="4">
        <v>61917</v>
      </c>
    </row>
    <row r="488" spans="1:1">
      <c r="A488" s="3">
        <v>206394</v>
      </c>
    </row>
    <row r="489" spans="1:1">
      <c r="A489" s="4">
        <v>118199</v>
      </c>
    </row>
    <row r="490" spans="1:1">
      <c r="A490" s="3">
        <v>50943</v>
      </c>
    </row>
    <row r="491" spans="1:1">
      <c r="A491" s="4">
        <v>136418</v>
      </c>
    </row>
    <row r="492" spans="1:1">
      <c r="A492" s="3">
        <v>180261</v>
      </c>
    </row>
    <row r="493" spans="1:1">
      <c r="A493" s="4">
        <v>57000</v>
      </c>
    </row>
    <row r="494" spans="1:1">
      <c r="A494" s="3">
        <v>103450</v>
      </c>
    </row>
    <row r="495" spans="1:1">
      <c r="A495" s="4">
        <v>173765</v>
      </c>
    </row>
    <row r="496" spans="1:1">
      <c r="A496" s="3">
        <v>149673</v>
      </c>
    </row>
    <row r="497" spans="1:1">
      <c r="A497" s="4">
        <v>201186</v>
      </c>
    </row>
    <row r="498" spans="1:1">
      <c r="A498" s="3">
        <v>168866</v>
      </c>
    </row>
    <row r="499" spans="1:1">
      <c r="A499" s="4">
        <v>149503</v>
      </c>
    </row>
    <row r="500" spans="1:1">
      <c r="A500" s="3">
        <v>58907</v>
      </c>
    </row>
    <row r="501" spans="1:1">
      <c r="A501" s="4">
        <v>64161</v>
      </c>
    </row>
    <row r="502" spans="1:1">
      <c r="A502" s="3">
        <v>125313</v>
      </c>
    </row>
    <row r="503" spans="1:1">
      <c r="A503" s="4">
        <v>165096</v>
      </c>
    </row>
    <row r="504" spans="1:1">
      <c r="A504" s="3">
        <v>87117</v>
      </c>
    </row>
    <row r="505" spans="1:1">
      <c r="A505" s="4">
        <v>29849</v>
      </c>
    </row>
    <row r="506" spans="1:1">
      <c r="A506" s="3">
        <v>160001</v>
      </c>
    </row>
    <row r="507" spans="1:1">
      <c r="A507" s="4">
        <v>194497</v>
      </c>
    </row>
    <row r="508" spans="1:1">
      <c r="A508" s="3">
        <v>40509</v>
      </c>
    </row>
    <row r="509" spans="1:1">
      <c r="A509" s="4">
        <v>72377</v>
      </c>
    </row>
    <row r="510" spans="1:1">
      <c r="A510" s="3">
        <v>205877</v>
      </c>
    </row>
    <row r="511" spans="1:1">
      <c r="A511" s="4">
        <v>116998</v>
      </c>
    </row>
    <row r="512" spans="1:1">
      <c r="A512" s="3">
        <v>156685</v>
      </c>
    </row>
    <row r="513" spans="1:1">
      <c r="A513" s="4">
        <v>85256</v>
      </c>
    </row>
    <row r="514" spans="1:1">
      <c r="A514" s="3">
        <v>108108</v>
      </c>
    </row>
    <row r="515" spans="1:1">
      <c r="A515" s="4">
        <v>34105</v>
      </c>
    </row>
    <row r="516" spans="1:1">
      <c r="A516" s="3">
        <v>126814</v>
      </c>
    </row>
    <row r="517" spans="1:1">
      <c r="A517" s="4">
        <v>138017</v>
      </c>
    </row>
    <row r="518" spans="1:1">
      <c r="A518" s="3">
        <v>117892</v>
      </c>
    </row>
    <row r="519" spans="1:1">
      <c r="A519" s="4">
        <v>104042</v>
      </c>
    </row>
    <row r="520" spans="1:1">
      <c r="A520" s="3">
        <v>114335</v>
      </c>
    </row>
    <row r="521" spans="1:1">
      <c r="A521" s="4">
        <v>215689</v>
      </c>
    </row>
    <row r="522" spans="1:1">
      <c r="A522" s="3">
        <v>29861</v>
      </c>
    </row>
    <row r="523" spans="1:1">
      <c r="A523" s="4">
        <v>146001</v>
      </c>
    </row>
    <row r="524" spans="1:1">
      <c r="A524" s="3">
        <v>34716</v>
      </c>
    </row>
    <row r="525" spans="1:1">
      <c r="A525" s="4">
        <v>125364</v>
      </c>
    </row>
    <row r="526" spans="1:1">
      <c r="A526" s="3">
        <v>36463</v>
      </c>
    </row>
    <row r="527" spans="1:1">
      <c r="A527" s="4">
        <v>198369</v>
      </c>
    </row>
    <row r="528" spans="1:1">
      <c r="A528" s="3">
        <v>182794</v>
      </c>
    </row>
    <row r="529" spans="1:1">
      <c r="A529" s="4">
        <v>106309</v>
      </c>
    </row>
    <row r="530" spans="1:1">
      <c r="A530" s="3">
        <v>141846</v>
      </c>
    </row>
    <row r="531" spans="1:1">
      <c r="A531" s="4">
        <v>169329</v>
      </c>
    </row>
    <row r="532" spans="1:1">
      <c r="A532" s="3">
        <v>154641</v>
      </c>
    </row>
    <row r="533" spans="1:1">
      <c r="A533" s="4">
        <v>217617</v>
      </c>
    </row>
    <row r="534" spans="1:1">
      <c r="A534" s="3">
        <v>36129</v>
      </c>
    </row>
    <row r="535" spans="1:1">
      <c r="A535" s="4">
        <v>176130</v>
      </c>
    </row>
    <row r="536" spans="1:1">
      <c r="A536" s="3">
        <v>40982</v>
      </c>
    </row>
    <row r="537" spans="1:1">
      <c r="A537" s="4">
        <v>136793</v>
      </c>
    </row>
    <row r="538" spans="1:1">
      <c r="A538" s="3">
        <v>86654</v>
      </c>
    </row>
    <row r="539" spans="1:1">
      <c r="A539" s="4">
        <v>115918</v>
      </c>
    </row>
    <row r="540" spans="1:1">
      <c r="A540" s="3">
        <v>202409</v>
      </c>
    </row>
    <row r="541" spans="1:1">
      <c r="A541" s="4">
        <v>18338</v>
      </c>
    </row>
    <row r="542" spans="1:1">
      <c r="A542" s="3">
        <v>211686</v>
      </c>
    </row>
    <row r="543" spans="1:1">
      <c r="A543" s="4">
        <v>45135</v>
      </c>
    </row>
    <row r="544" spans="1:1">
      <c r="A544" s="3">
        <v>204291</v>
      </c>
    </row>
    <row r="545" spans="1:1">
      <c r="A545" s="4">
        <v>53668</v>
      </c>
    </row>
    <row r="546" spans="1:1">
      <c r="A546" s="3">
        <v>39169</v>
      </c>
    </row>
    <row r="547" spans="1:1">
      <c r="A547" s="4">
        <v>40892</v>
      </c>
    </row>
    <row r="548" spans="1:1">
      <c r="A548" s="3">
        <v>101730</v>
      </c>
    </row>
    <row r="549" spans="1:1">
      <c r="A549" s="4">
        <v>37567</v>
      </c>
    </row>
    <row r="550" spans="1:1">
      <c r="A550" s="3">
        <v>21637</v>
      </c>
    </row>
    <row r="551" spans="1:1">
      <c r="A551" s="4">
        <v>170625</v>
      </c>
    </row>
    <row r="552" spans="1:1">
      <c r="A552" s="3">
        <v>75032</v>
      </c>
    </row>
    <row r="553" spans="1:1">
      <c r="A553" s="4">
        <v>99254</v>
      </c>
    </row>
    <row r="554" spans="1:1">
      <c r="A554" s="3">
        <v>165303</v>
      </c>
    </row>
    <row r="555" spans="1:1">
      <c r="A555" s="4">
        <v>36859</v>
      </c>
    </row>
    <row r="556" spans="1:1">
      <c r="A556" s="3">
        <v>91105</v>
      </c>
    </row>
    <row r="557" spans="1:1">
      <c r="A557" s="4">
        <v>94193</v>
      </c>
    </row>
    <row r="558" spans="1:1">
      <c r="A558" s="3">
        <v>200612</v>
      </c>
    </row>
    <row r="559" spans="1:1">
      <c r="A559" s="4">
        <v>18443</v>
      </c>
    </row>
    <row r="560" spans="1:1">
      <c r="A560" s="3">
        <v>42237</v>
      </c>
    </row>
    <row r="561" spans="1:1">
      <c r="A561" s="4">
        <v>201310</v>
      </c>
    </row>
    <row r="562" spans="1:1">
      <c r="A562" s="3">
        <v>69932</v>
      </c>
    </row>
    <row r="563" spans="1:1">
      <c r="A563" s="4">
        <v>46817</v>
      </c>
    </row>
    <row r="564" spans="1:1">
      <c r="A564" s="3">
        <v>28048</v>
      </c>
    </row>
    <row r="565" spans="1:1">
      <c r="A565" s="4">
        <v>145096</v>
      </c>
    </row>
    <row r="566" spans="1:1">
      <c r="A566" s="3">
        <v>26323</v>
      </c>
    </row>
    <row r="567" spans="1:1">
      <c r="A567" s="4">
        <v>34213</v>
      </c>
    </row>
    <row r="568" spans="1:1">
      <c r="A568" s="3">
        <v>67959</v>
      </c>
    </row>
    <row r="569" spans="1:1">
      <c r="A569" s="4">
        <v>145378</v>
      </c>
    </row>
    <row r="570" spans="1:1">
      <c r="A570" s="3">
        <v>95319</v>
      </c>
    </row>
    <row r="571" spans="1:1">
      <c r="A571" s="4">
        <v>29710</v>
      </c>
    </row>
    <row r="572" spans="1:1">
      <c r="A572" s="3">
        <v>121958</v>
      </c>
    </row>
    <row r="573" spans="1:1">
      <c r="A573" s="4">
        <v>20264</v>
      </c>
    </row>
    <row r="574" spans="1:1">
      <c r="A574" s="3">
        <v>25135</v>
      </c>
    </row>
    <row r="575" spans="1:1">
      <c r="A575" s="4">
        <v>181995</v>
      </c>
    </row>
    <row r="576" spans="1:1">
      <c r="A576" s="3">
        <v>192743</v>
      </c>
    </row>
    <row r="577" spans="1:1">
      <c r="A577" s="4">
        <v>189632</v>
      </c>
    </row>
    <row r="578" spans="1:1">
      <c r="A578" s="3">
        <v>118058</v>
      </c>
    </row>
    <row r="579" spans="1:1">
      <c r="A579" s="4">
        <v>56512</v>
      </c>
    </row>
    <row r="580" spans="1:1">
      <c r="A580" s="3">
        <v>98230</v>
      </c>
    </row>
    <row r="581" spans="1:1">
      <c r="A581" s="4">
        <v>113100</v>
      </c>
    </row>
    <row r="582" spans="1:1">
      <c r="A582" s="3">
        <v>124157</v>
      </c>
    </row>
    <row r="583" spans="1:1">
      <c r="A583" s="4">
        <v>111176</v>
      </c>
    </row>
    <row r="584" spans="1:1">
      <c r="A584" s="3">
        <v>102347</v>
      </c>
    </row>
    <row r="585" spans="1:1">
      <c r="A585" s="4">
        <v>164683</v>
      </c>
    </row>
    <row r="586" spans="1:1">
      <c r="A586" s="3">
        <v>197795</v>
      </c>
    </row>
    <row r="587" spans="1:1">
      <c r="A587" s="4">
        <v>209497</v>
      </c>
    </row>
    <row r="588" spans="1:1">
      <c r="A588" s="3">
        <v>105654</v>
      </c>
    </row>
    <row r="589" spans="1:1">
      <c r="A589" s="4">
        <v>79717</v>
      </c>
    </row>
    <row r="590" spans="1:1">
      <c r="A590" s="3">
        <v>135287</v>
      </c>
    </row>
    <row r="591" spans="1:1">
      <c r="A591" s="4">
        <v>158509</v>
      </c>
    </row>
    <row r="592" spans="1:1">
      <c r="A592" s="3">
        <v>30819</v>
      </c>
    </row>
    <row r="593" spans="1:1">
      <c r="A593" s="4">
        <v>218808</v>
      </c>
    </row>
    <row r="594" spans="1:1">
      <c r="A594" s="3">
        <v>53074</v>
      </c>
    </row>
    <row r="595" spans="1:1">
      <c r="A595" s="4">
        <v>178143</v>
      </c>
    </row>
    <row r="596" spans="1:1">
      <c r="A596" s="3">
        <v>67080</v>
      </c>
    </row>
    <row r="597" spans="1:1">
      <c r="A597" s="4">
        <v>183155</v>
      </c>
    </row>
    <row r="598" spans="1:1">
      <c r="A598" s="3">
        <v>18177</v>
      </c>
    </row>
    <row r="599" spans="1:1">
      <c r="A599" s="4">
        <v>55536</v>
      </c>
    </row>
    <row r="600" spans="1:1">
      <c r="A600" s="3">
        <v>171132</v>
      </c>
    </row>
    <row r="601" spans="1:1">
      <c r="A601" s="5">
        <v>128854</v>
      </c>
    </row>
  </sheetData>
  <conditionalFormatting sqref="A569:A601">
    <cfRule type="top10" dxfId="2" priority="3" percent="1" rank="10"/>
  </conditionalFormatting>
  <conditionalFormatting sqref="A2:A601">
    <cfRule type="top10" dxfId="1" priority="2" percent="1" rank="10"/>
  </conditionalFormatting>
  <conditionalFormatting sqref="A2:A601">
    <cfRule type="top10" dxfId="0" priority="1" percent="1" bottom="1" rank="1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74D5-5BBD-4245-908D-8B256867C259}">
  <dimension ref="A3:B16"/>
  <sheetViews>
    <sheetView workbookViewId="0">
      <selection activeCell="B3" sqref="B3"/>
    </sheetView>
  </sheetViews>
  <sheetFormatPr defaultRowHeight="15"/>
  <cols>
    <col min="1" max="1" width="20.85546875" bestFit="1" customWidth="1"/>
    <col min="2" max="2" width="20.42578125" bestFit="1" customWidth="1"/>
  </cols>
  <sheetData>
    <row r="3" spans="1:2">
      <c r="A3" s="60" t="s">
        <v>5</v>
      </c>
      <c r="B3" t="s">
        <v>5902</v>
      </c>
    </row>
    <row r="4" spans="1:2">
      <c r="A4" t="s">
        <v>53</v>
      </c>
      <c r="B4" s="61">
        <v>100452.00000000001</v>
      </c>
    </row>
    <row r="5" spans="1:2">
      <c r="A5" t="s">
        <v>18</v>
      </c>
      <c r="B5" s="61">
        <v>120023.10000000002</v>
      </c>
    </row>
    <row r="6" spans="1:2">
      <c r="A6" t="s">
        <v>26</v>
      </c>
      <c r="B6" s="61">
        <v>160209.99999999997</v>
      </c>
    </row>
    <row r="7" spans="1:2">
      <c r="A7" t="s">
        <v>75</v>
      </c>
      <c r="B7" s="61">
        <v>90220</v>
      </c>
    </row>
    <row r="8" spans="1:2">
      <c r="A8" t="s">
        <v>32</v>
      </c>
      <c r="B8" s="61">
        <v>117430.50000000001</v>
      </c>
    </row>
    <row r="9" spans="1:2">
      <c r="A9" t="s">
        <v>70</v>
      </c>
      <c r="B9" s="61">
        <v>103348.50000000001</v>
      </c>
    </row>
    <row r="10" spans="1:2">
      <c r="A10" t="s">
        <v>46</v>
      </c>
      <c r="B10" s="61">
        <v>119905.90000000002</v>
      </c>
    </row>
    <row r="11" spans="1:2">
      <c r="A11" t="s">
        <v>149</v>
      </c>
      <c r="B11" s="61">
        <v>122090.2</v>
      </c>
    </row>
    <row r="12" spans="1:2">
      <c r="A12" t="s">
        <v>172</v>
      </c>
      <c r="B12" s="61">
        <v>123008.39999999998</v>
      </c>
    </row>
    <row r="13" spans="1:2">
      <c r="A13" t="s">
        <v>65</v>
      </c>
      <c r="B13" s="61">
        <v>144451.39999999997</v>
      </c>
    </row>
    <row r="14" spans="1:2">
      <c r="A14" t="s">
        <v>114</v>
      </c>
      <c r="B14" s="61">
        <v>157550.60000000003</v>
      </c>
    </row>
    <row r="15" spans="1:2">
      <c r="A15" t="s">
        <v>214</v>
      </c>
      <c r="B15" s="61">
        <v>73022.5</v>
      </c>
    </row>
    <row r="16" spans="1:2">
      <c r="A16" t="s">
        <v>5884</v>
      </c>
      <c r="B16" s="61">
        <v>1431713.0999999999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4B8B-36D7-40B9-B9DE-CC4A12EFDAF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C7AE-7CAB-4509-9F45-023432FD0346}">
  <dimension ref="A1"/>
  <sheetViews>
    <sheetView workbookViewId="0">
      <selection activeCell="D3" sqref="D3"/>
    </sheetView>
  </sheetViews>
  <sheetFormatPr defaultRowHeight="15"/>
  <cols>
    <col min="1" max="1" width="20.42578125" bestFit="1" customWidth="1"/>
    <col min="2" max="2" width="12.42578125" bestFit="1" customWidth="1"/>
    <col min="3" max="3" width="17" bestFit="1" customWidth="1"/>
    <col min="4" max="4" width="20.5703125" bestFit="1" customWidth="1"/>
    <col min="5" max="5" width="18.28515625" bestFit="1" customWidth="1"/>
    <col min="6" max="6" width="13.5703125" bestFit="1" customWidth="1"/>
    <col min="7" max="7" width="16" bestFit="1" customWidth="1"/>
    <col min="8" max="8" width="13.7109375" bestFit="1" customWidth="1"/>
    <col min="9" max="9" width="17.5703125" bestFit="1" customWidth="1"/>
    <col min="10" max="10" width="18.42578125" bestFit="1" customWidth="1"/>
    <col min="12" max="12" width="21.28515625" bestFit="1" customWidth="1"/>
    <col min="13" max="13" width="15.85546875" bestFit="1" customWidth="1"/>
    <col min="14" max="14" width="11.42578125" bestFit="1" customWidth="1"/>
  </cols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1577-1C39-43D7-888D-706A8D71035D}">
  <dimension ref="A3:N17"/>
  <sheetViews>
    <sheetView topLeftCell="H1" workbookViewId="0">
      <selection activeCell="A3" sqref="A3"/>
    </sheetView>
  </sheetViews>
  <sheetFormatPr defaultRowHeight="15"/>
  <cols>
    <col min="1" max="1" width="20.42578125" bestFit="1" customWidth="1"/>
    <col min="2" max="2" width="12.42578125" bestFit="1" customWidth="1"/>
    <col min="3" max="3" width="17" bestFit="1" customWidth="1"/>
    <col min="4" max="4" width="20.5703125" bestFit="1" customWidth="1"/>
    <col min="5" max="5" width="18.28515625" bestFit="1" customWidth="1"/>
    <col min="6" max="6" width="13.5703125" bestFit="1" customWidth="1"/>
    <col min="7" max="7" width="16" bestFit="1" customWidth="1"/>
    <col min="8" max="8" width="13.7109375" bestFit="1" customWidth="1"/>
    <col min="9" max="9" width="17.5703125" bestFit="1" customWidth="1"/>
    <col min="10" max="10" width="18.42578125" bestFit="1" customWidth="1"/>
    <col min="12" max="12" width="21.28515625" bestFit="1" customWidth="1"/>
    <col min="13" max="13" width="15.85546875" bestFit="1" customWidth="1"/>
    <col min="14" max="14" width="11.42578125" bestFit="1" customWidth="1"/>
  </cols>
  <sheetData>
    <row r="3" spans="1:14">
      <c r="A3" s="60" t="s">
        <v>5902</v>
      </c>
      <c r="B3" s="60" t="s">
        <v>5</v>
      </c>
    </row>
    <row r="4" spans="1:14">
      <c r="A4" s="60" t="s">
        <v>5890</v>
      </c>
      <c r="B4" t="s">
        <v>53</v>
      </c>
      <c r="C4" t="s">
        <v>18</v>
      </c>
      <c r="D4" t="s">
        <v>26</v>
      </c>
      <c r="E4" t="s">
        <v>75</v>
      </c>
      <c r="F4" t="s">
        <v>32</v>
      </c>
      <c r="G4" t="s">
        <v>70</v>
      </c>
      <c r="H4" t="s">
        <v>46</v>
      </c>
      <c r="I4" t="s">
        <v>149</v>
      </c>
      <c r="J4" t="s">
        <v>172</v>
      </c>
      <c r="K4" t="s">
        <v>65</v>
      </c>
      <c r="L4" t="s">
        <v>114</v>
      </c>
      <c r="M4" t="s">
        <v>214</v>
      </c>
      <c r="N4" t="s">
        <v>5884</v>
      </c>
    </row>
    <row r="5" spans="1:14">
      <c r="A5" t="s">
        <v>5903</v>
      </c>
      <c r="B5" s="61">
        <v>12276.2</v>
      </c>
      <c r="C5" s="61">
        <v>29632.300000000003</v>
      </c>
      <c r="D5" s="61">
        <v>16218</v>
      </c>
      <c r="E5" s="61"/>
      <c r="F5" s="61">
        <v>32402.899999999998</v>
      </c>
      <c r="G5" s="61">
        <v>6638.6</v>
      </c>
      <c r="H5" s="61">
        <v>8325.7000000000007</v>
      </c>
      <c r="I5" s="61">
        <v>6364.8</v>
      </c>
      <c r="J5" s="61"/>
      <c r="K5" s="61">
        <v>6868.9</v>
      </c>
      <c r="L5" s="61">
        <v>3934.6</v>
      </c>
      <c r="M5" s="61"/>
      <c r="N5" s="61">
        <v>122662</v>
      </c>
    </row>
    <row r="6" spans="1:14">
      <c r="A6" t="s">
        <v>5904</v>
      </c>
      <c r="B6" s="61">
        <v>12241.3</v>
      </c>
      <c r="C6" s="61"/>
      <c r="D6" s="61">
        <v>64796.799999999996</v>
      </c>
      <c r="E6" s="61">
        <v>6448.6</v>
      </c>
      <c r="F6" s="61"/>
      <c r="G6" s="61">
        <v>3049.6</v>
      </c>
      <c r="H6" s="61">
        <v>22327.599999999999</v>
      </c>
      <c r="I6" s="61">
        <v>2054.6</v>
      </c>
      <c r="J6" s="61">
        <v>9667.2000000000007</v>
      </c>
      <c r="K6" s="61"/>
      <c r="L6" s="61">
        <v>20390.099999999999</v>
      </c>
      <c r="M6" s="61">
        <v>1082.9000000000001</v>
      </c>
      <c r="N6" s="61">
        <v>142058.69999999998</v>
      </c>
    </row>
    <row r="7" spans="1:14">
      <c r="A7" t="s">
        <v>5905</v>
      </c>
      <c r="B7" s="61"/>
      <c r="C7" s="61"/>
      <c r="D7" s="61">
        <v>9064.5</v>
      </c>
      <c r="E7" s="61">
        <v>1974.4</v>
      </c>
      <c r="F7" s="61">
        <v>17204.400000000001</v>
      </c>
      <c r="G7" s="61">
        <v>2079.6999999999998</v>
      </c>
      <c r="H7" s="61">
        <v>3086.8999999999996</v>
      </c>
      <c r="I7" s="61">
        <v>13060.099999999999</v>
      </c>
      <c r="J7" s="61">
        <v>11750.5</v>
      </c>
      <c r="K7" s="61">
        <v>24164</v>
      </c>
      <c r="L7" s="61">
        <v>21547</v>
      </c>
      <c r="M7" s="61">
        <v>12920.1</v>
      </c>
      <c r="N7" s="61">
        <v>116851.6</v>
      </c>
    </row>
    <row r="8" spans="1:14">
      <c r="A8" t="s">
        <v>5906</v>
      </c>
      <c r="B8" s="61">
        <v>8108.3</v>
      </c>
      <c r="C8" s="61">
        <v>8122.6</v>
      </c>
      <c r="D8" s="61"/>
      <c r="E8" s="61">
        <v>1592.8</v>
      </c>
      <c r="F8" s="61">
        <v>4784.8</v>
      </c>
      <c r="G8" s="61">
        <v>8972.2999999999993</v>
      </c>
      <c r="H8" s="61">
        <v>11992.3</v>
      </c>
      <c r="I8" s="61">
        <v>19607.099999999999</v>
      </c>
      <c r="J8" s="61">
        <v>42447.899999999994</v>
      </c>
      <c r="K8" s="61">
        <v>21746.6</v>
      </c>
      <c r="L8" s="61">
        <v>1925.3</v>
      </c>
      <c r="M8" s="61">
        <v>2340</v>
      </c>
      <c r="N8" s="61">
        <v>131640</v>
      </c>
    </row>
    <row r="9" spans="1:14">
      <c r="A9" t="s">
        <v>5907</v>
      </c>
      <c r="B9" s="61">
        <v>4888</v>
      </c>
      <c r="C9" s="61"/>
      <c r="D9" s="61">
        <v>25660.1</v>
      </c>
      <c r="E9" s="61">
        <v>10552.9</v>
      </c>
      <c r="F9" s="61">
        <v>19197.600000000002</v>
      </c>
      <c r="G9" s="61">
        <v>9179.5</v>
      </c>
      <c r="H9" s="61"/>
      <c r="I9" s="61">
        <v>14459.800000000001</v>
      </c>
      <c r="J9" s="61">
        <v>6093</v>
      </c>
      <c r="K9" s="61">
        <v>14385.500000000002</v>
      </c>
      <c r="L9" s="61">
        <v>6946.5</v>
      </c>
      <c r="M9" s="61">
        <v>5901.1</v>
      </c>
      <c r="N9" s="61">
        <v>117264.00000000001</v>
      </c>
    </row>
    <row r="10" spans="1:14">
      <c r="A10" t="s">
        <v>5908</v>
      </c>
      <c r="B10" s="61"/>
      <c r="C10" s="61"/>
      <c r="D10" s="61">
        <v>4226.3</v>
      </c>
      <c r="E10" s="61"/>
      <c r="F10" s="61">
        <v>7009.9</v>
      </c>
      <c r="G10" s="61">
        <v>31170.1</v>
      </c>
      <c r="H10" s="61">
        <v>2436.1999999999998</v>
      </c>
      <c r="I10" s="61">
        <v>15240.3</v>
      </c>
      <c r="J10" s="61">
        <v>8648.4</v>
      </c>
      <c r="K10" s="61">
        <v>20729.3</v>
      </c>
      <c r="L10" s="61">
        <v>23262.199999999997</v>
      </c>
      <c r="M10" s="61">
        <v>12989.9</v>
      </c>
      <c r="N10" s="61">
        <v>125712.59999999999</v>
      </c>
    </row>
    <row r="11" spans="1:14">
      <c r="A11" t="s">
        <v>5909</v>
      </c>
      <c r="B11" s="61">
        <v>17310.099999999999</v>
      </c>
      <c r="C11" s="61">
        <v>33782.400000000001</v>
      </c>
      <c r="D11" s="61">
        <v>5366.6</v>
      </c>
      <c r="E11" s="61">
        <v>11310.1</v>
      </c>
      <c r="F11" s="61">
        <v>5191.7</v>
      </c>
      <c r="G11" s="61">
        <v>12944.8</v>
      </c>
      <c r="H11" s="61">
        <v>30162.700000000004</v>
      </c>
      <c r="I11" s="61">
        <v>22438</v>
      </c>
      <c r="J11" s="61">
        <v>1228.3</v>
      </c>
      <c r="K11" s="61">
        <v>17202.3</v>
      </c>
      <c r="L11" s="61">
        <v>34196.800000000003</v>
      </c>
      <c r="M11" s="61"/>
      <c r="N11" s="61">
        <v>191133.8</v>
      </c>
    </row>
    <row r="12" spans="1:14">
      <c r="A12" t="s">
        <v>5910</v>
      </c>
      <c r="B12" s="61"/>
      <c r="C12" s="61">
        <v>14009.8</v>
      </c>
      <c r="D12" s="61">
        <v>14082.699999999999</v>
      </c>
      <c r="E12" s="61"/>
      <c r="F12" s="61"/>
      <c r="G12" s="61">
        <v>4902.7</v>
      </c>
      <c r="H12" s="61">
        <v>3493</v>
      </c>
      <c r="I12" s="61"/>
      <c r="J12" s="61"/>
      <c r="K12" s="61">
        <v>13056.4</v>
      </c>
      <c r="L12" s="61"/>
      <c r="M12" s="61">
        <v>5896.4</v>
      </c>
      <c r="N12" s="61">
        <v>55441</v>
      </c>
    </row>
    <row r="13" spans="1:14">
      <c r="A13" t="s">
        <v>5911</v>
      </c>
      <c r="B13" s="61">
        <v>11411.1</v>
      </c>
      <c r="C13" s="61">
        <v>11780</v>
      </c>
      <c r="D13" s="61">
        <v>3608</v>
      </c>
      <c r="E13" s="61">
        <v>1671.6</v>
      </c>
      <c r="F13" s="61">
        <v>4018.1</v>
      </c>
      <c r="G13" s="61">
        <v>7261.1</v>
      </c>
      <c r="H13" s="61"/>
      <c r="I13" s="61">
        <v>9442</v>
      </c>
      <c r="J13" s="61"/>
      <c r="K13" s="61">
        <v>22228</v>
      </c>
      <c r="L13" s="61">
        <v>12222.3</v>
      </c>
      <c r="M13" s="61">
        <v>10283.299999999999</v>
      </c>
      <c r="N13" s="61">
        <v>93925.5</v>
      </c>
    </row>
    <row r="14" spans="1:14">
      <c r="A14" t="s">
        <v>5912</v>
      </c>
      <c r="B14" s="61">
        <v>23719.5</v>
      </c>
      <c r="C14" s="61"/>
      <c r="D14" s="61">
        <v>13032.3</v>
      </c>
      <c r="E14" s="61">
        <v>21637.5</v>
      </c>
      <c r="F14" s="61"/>
      <c r="G14" s="61">
        <v>15035.8</v>
      </c>
      <c r="H14" s="61"/>
      <c r="I14" s="61"/>
      <c r="J14" s="61"/>
      <c r="K14" s="61"/>
      <c r="L14" s="61"/>
      <c r="M14" s="61">
        <v>11176.3</v>
      </c>
      <c r="N14" s="61">
        <v>84601.400000000009</v>
      </c>
    </row>
    <row r="15" spans="1:14">
      <c r="A15" t="s">
        <v>5913</v>
      </c>
      <c r="B15" s="61">
        <v>8287.7999999999993</v>
      </c>
      <c r="C15" s="61"/>
      <c r="D15" s="61"/>
      <c r="E15" s="61">
        <v>16743.099999999999</v>
      </c>
      <c r="F15" s="61">
        <v>7020.3</v>
      </c>
      <c r="G15" s="61">
        <v>2114.3000000000002</v>
      </c>
      <c r="H15" s="61">
        <v>38081.5</v>
      </c>
      <c r="I15" s="61">
        <v>3111</v>
      </c>
      <c r="J15" s="61">
        <v>20493.400000000001</v>
      </c>
      <c r="K15" s="61"/>
      <c r="L15" s="61">
        <v>27584</v>
      </c>
      <c r="M15" s="61">
        <v>10432.5</v>
      </c>
      <c r="N15" s="61">
        <v>133867.9</v>
      </c>
    </row>
    <row r="16" spans="1:14">
      <c r="A16" t="s">
        <v>5914</v>
      </c>
      <c r="B16" s="61">
        <v>2209.6999999999998</v>
      </c>
      <c r="C16" s="61">
        <v>22696</v>
      </c>
      <c r="D16" s="61">
        <v>4154.7</v>
      </c>
      <c r="E16" s="61">
        <v>18289</v>
      </c>
      <c r="F16" s="61">
        <v>20600.8</v>
      </c>
      <c r="G16" s="61"/>
      <c r="H16" s="61"/>
      <c r="I16" s="61">
        <v>16312.5</v>
      </c>
      <c r="J16" s="61">
        <v>22679.7</v>
      </c>
      <c r="K16" s="61">
        <v>4070.4</v>
      </c>
      <c r="L16" s="61">
        <v>5541.7999999999993</v>
      </c>
      <c r="M16" s="61"/>
      <c r="N16" s="61">
        <v>116554.59999999999</v>
      </c>
    </row>
    <row r="17" spans="1:14">
      <c r="A17" t="s">
        <v>5884</v>
      </c>
      <c r="B17" s="61">
        <v>100452</v>
      </c>
      <c r="C17" s="61">
        <v>120023.1</v>
      </c>
      <c r="D17" s="61">
        <v>160210</v>
      </c>
      <c r="E17" s="61">
        <v>90220</v>
      </c>
      <c r="F17" s="61">
        <v>117430.50000000001</v>
      </c>
      <c r="G17" s="61">
        <v>103348.50000000001</v>
      </c>
      <c r="H17" s="61">
        <v>119905.9</v>
      </c>
      <c r="I17" s="61">
        <v>122090.2</v>
      </c>
      <c r="J17" s="61">
        <v>123008.39999999998</v>
      </c>
      <c r="K17" s="61">
        <v>144451.4</v>
      </c>
      <c r="L17" s="61">
        <v>157550.59999999998</v>
      </c>
      <c r="M17" s="61">
        <v>73022.5</v>
      </c>
      <c r="N17" s="61">
        <v>1431713.0999999999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2C7E-F626-4466-9FBE-272785FE759F}">
  <dimension ref="A3:C20"/>
  <sheetViews>
    <sheetView workbookViewId="0">
      <selection activeCell="A3" sqref="A3"/>
    </sheetView>
  </sheetViews>
  <sheetFormatPr defaultRowHeight="15"/>
  <sheetData>
    <row r="3" spans="1:3">
      <c r="A3" s="71"/>
      <c r="B3" s="72"/>
      <c r="C3" s="73"/>
    </row>
    <row r="4" spans="1:3">
      <c r="A4" s="74"/>
      <c r="B4" s="75"/>
      <c r="C4" s="76"/>
    </row>
    <row r="5" spans="1:3">
      <c r="A5" s="74"/>
      <c r="B5" s="75"/>
      <c r="C5" s="76"/>
    </row>
    <row r="6" spans="1:3">
      <c r="A6" s="74"/>
      <c r="B6" s="75"/>
      <c r="C6" s="76"/>
    </row>
    <row r="7" spans="1:3">
      <c r="A7" s="74"/>
      <c r="B7" s="75"/>
      <c r="C7" s="76"/>
    </row>
    <row r="8" spans="1:3">
      <c r="A8" s="74"/>
      <c r="B8" s="75"/>
      <c r="C8" s="76"/>
    </row>
    <row r="9" spans="1:3">
      <c r="A9" s="74"/>
      <c r="B9" s="75"/>
      <c r="C9" s="76"/>
    </row>
    <row r="10" spans="1:3">
      <c r="A10" s="74"/>
      <c r="B10" s="75"/>
      <c r="C10" s="76"/>
    </row>
    <row r="11" spans="1:3">
      <c r="A11" s="74"/>
      <c r="B11" s="75"/>
      <c r="C11" s="76"/>
    </row>
    <row r="12" spans="1:3">
      <c r="A12" s="74"/>
      <c r="B12" s="75"/>
      <c r="C12" s="76"/>
    </row>
    <row r="13" spans="1:3">
      <c r="A13" s="74"/>
      <c r="B13" s="75"/>
      <c r="C13" s="76"/>
    </row>
    <row r="14" spans="1:3">
      <c r="A14" s="74"/>
      <c r="B14" s="75"/>
      <c r="C14" s="76"/>
    </row>
    <row r="15" spans="1:3">
      <c r="A15" s="74"/>
      <c r="B15" s="75"/>
      <c r="C15" s="76"/>
    </row>
    <row r="16" spans="1:3">
      <c r="A16" s="74"/>
      <c r="B16" s="75"/>
      <c r="C16" s="76"/>
    </row>
    <row r="17" spans="1:3">
      <c r="A17" s="74"/>
      <c r="B17" s="75"/>
      <c r="C17" s="76"/>
    </row>
    <row r="18" spans="1:3">
      <c r="A18" s="74"/>
      <c r="B18" s="75"/>
      <c r="C18" s="76"/>
    </row>
    <row r="19" spans="1:3">
      <c r="A19" s="74"/>
      <c r="B19" s="75"/>
      <c r="C19" s="76"/>
    </row>
    <row r="20" spans="1:3">
      <c r="A20" s="77"/>
      <c r="B20" s="78"/>
      <c r="C20" s="7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10CB-7EF8-4E42-82C2-0E90A237D9C5}">
  <dimension ref="A3:C20"/>
  <sheetViews>
    <sheetView workbookViewId="0">
      <selection activeCell="A3" sqref="A3"/>
    </sheetView>
  </sheetViews>
  <sheetFormatPr defaultRowHeight="15"/>
  <sheetData>
    <row r="3" spans="1:3">
      <c r="A3" s="71"/>
      <c r="B3" s="72"/>
      <c r="C3" s="73"/>
    </row>
    <row r="4" spans="1:3">
      <c r="A4" s="74"/>
      <c r="B4" s="75"/>
      <c r="C4" s="76"/>
    </row>
    <row r="5" spans="1:3">
      <c r="A5" s="74"/>
      <c r="B5" s="75"/>
      <c r="C5" s="76"/>
    </row>
    <row r="6" spans="1:3">
      <c r="A6" s="74"/>
      <c r="B6" s="75"/>
      <c r="C6" s="76"/>
    </row>
    <row r="7" spans="1:3">
      <c r="A7" s="74"/>
      <c r="B7" s="75"/>
      <c r="C7" s="76"/>
    </row>
    <row r="8" spans="1:3">
      <c r="A8" s="74"/>
      <c r="B8" s="75"/>
      <c r="C8" s="76"/>
    </row>
    <row r="9" spans="1:3">
      <c r="A9" s="74"/>
      <c r="B9" s="75"/>
      <c r="C9" s="76"/>
    </row>
    <row r="10" spans="1:3">
      <c r="A10" s="74"/>
      <c r="B10" s="75"/>
      <c r="C10" s="76"/>
    </row>
    <row r="11" spans="1:3">
      <c r="A11" s="74"/>
      <c r="B11" s="75"/>
      <c r="C11" s="76"/>
    </row>
    <row r="12" spans="1:3">
      <c r="A12" s="74"/>
      <c r="B12" s="75"/>
      <c r="C12" s="76"/>
    </row>
    <row r="13" spans="1:3">
      <c r="A13" s="74"/>
      <c r="B13" s="75"/>
      <c r="C13" s="76"/>
    </row>
    <row r="14" spans="1:3">
      <c r="A14" s="74"/>
      <c r="B14" s="75"/>
      <c r="C14" s="76"/>
    </row>
    <row r="15" spans="1:3">
      <c r="A15" s="74"/>
      <c r="B15" s="75"/>
      <c r="C15" s="76"/>
    </row>
    <row r="16" spans="1:3">
      <c r="A16" s="74"/>
      <c r="B16" s="75"/>
      <c r="C16" s="76"/>
    </row>
    <row r="17" spans="1:3">
      <c r="A17" s="74"/>
      <c r="B17" s="75"/>
      <c r="C17" s="76"/>
    </row>
    <row r="18" spans="1:3">
      <c r="A18" s="74"/>
      <c r="B18" s="75"/>
      <c r="C18" s="76"/>
    </row>
    <row r="19" spans="1:3">
      <c r="A19" s="74"/>
      <c r="B19" s="75"/>
      <c r="C19" s="76"/>
    </row>
    <row r="20" spans="1:3">
      <c r="A20" s="77"/>
      <c r="B20" s="78"/>
      <c r="C20" s="7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BD95-D9FB-4077-B487-E3DC3FA74138}">
  <dimension ref="A1:C16"/>
  <sheetViews>
    <sheetView workbookViewId="0">
      <selection activeCell="O3" sqref="O3"/>
    </sheetView>
  </sheetViews>
  <sheetFormatPr defaultRowHeight="15"/>
  <cols>
    <col min="1" max="1" width="20.42578125" customWidth="1"/>
    <col min="2" max="2" width="45.85546875" customWidth="1"/>
    <col min="3" max="3" width="38.42578125" customWidth="1"/>
  </cols>
  <sheetData>
    <row r="1" spans="1:3" ht="24">
      <c r="A1" s="10" t="s">
        <v>5915</v>
      </c>
      <c r="B1" s="10" t="s">
        <v>5916</v>
      </c>
      <c r="C1" s="10" t="s">
        <v>5917</v>
      </c>
    </row>
    <row r="2" spans="1:3" ht="36.75" customHeight="1">
      <c r="A2" s="64" t="s">
        <v>5918</v>
      </c>
      <c r="B2" s="65" t="s">
        <v>5919</v>
      </c>
      <c r="C2" s="66"/>
    </row>
    <row r="3" spans="1:3" ht="31.5" customHeight="1">
      <c r="A3" s="67" t="s">
        <v>5920</v>
      </c>
      <c r="B3" s="68" t="s">
        <v>5921</v>
      </c>
      <c r="C3" s="69" t="s">
        <v>5922</v>
      </c>
    </row>
    <row r="4" spans="1:3" ht="31.5" customHeight="1">
      <c r="A4" s="64" t="s">
        <v>5923</v>
      </c>
      <c r="B4" s="65" t="s">
        <v>5924</v>
      </c>
      <c r="C4" s="66"/>
    </row>
    <row r="5" spans="1:3" ht="32.25" customHeight="1">
      <c r="A5" s="67" t="s">
        <v>5925</v>
      </c>
      <c r="B5" s="68" t="s">
        <v>5926</v>
      </c>
      <c r="C5" s="69" t="s">
        <v>5927</v>
      </c>
    </row>
    <row r="6" spans="1:3" ht="31.5" customHeight="1">
      <c r="A6" s="64" t="s">
        <v>5928</v>
      </c>
      <c r="B6" s="65" t="s">
        <v>5929</v>
      </c>
      <c r="C6" s="66"/>
    </row>
    <row r="7" spans="1:3" ht="30.75" customHeight="1">
      <c r="A7" s="67" t="s">
        <v>5930</v>
      </c>
      <c r="B7" s="68" t="s">
        <v>5931</v>
      </c>
      <c r="C7" s="69" t="s">
        <v>5932</v>
      </c>
    </row>
    <row r="8" spans="1:3" ht="29.25" customHeight="1">
      <c r="A8" s="64" t="s">
        <v>5933</v>
      </c>
      <c r="B8" s="65" t="s">
        <v>5934</v>
      </c>
      <c r="C8" s="66"/>
    </row>
    <row r="9" spans="1:3" ht="39" customHeight="1">
      <c r="A9" s="67" t="s">
        <v>5935</v>
      </c>
      <c r="B9" s="68" t="s">
        <v>5936</v>
      </c>
      <c r="C9" s="69" t="s">
        <v>5937</v>
      </c>
    </row>
    <row r="10" spans="1:3" ht="39.75" customHeight="1">
      <c r="A10" s="64" t="s">
        <v>5938</v>
      </c>
      <c r="B10" s="65" t="s">
        <v>5939</v>
      </c>
      <c r="C10" s="66" t="s">
        <v>5940</v>
      </c>
    </row>
    <row r="11" spans="1:3" ht="25.5" customHeight="1">
      <c r="A11" s="67" t="s">
        <v>5941</v>
      </c>
      <c r="B11" s="68" t="s">
        <v>5942</v>
      </c>
      <c r="C11" s="69"/>
    </row>
    <row r="12" spans="1:3" ht="26.25" customHeight="1">
      <c r="A12" s="64" t="s">
        <v>5943</v>
      </c>
      <c r="B12" s="65" t="s">
        <v>5944</v>
      </c>
      <c r="C12" s="66"/>
    </row>
    <row r="13" spans="1:3" ht="30" customHeight="1">
      <c r="A13" s="67" t="s">
        <v>5945</v>
      </c>
      <c r="B13" s="68" t="s">
        <v>5946</v>
      </c>
      <c r="C13" s="69"/>
    </row>
    <row r="14" spans="1:3" ht="34.5" customHeight="1">
      <c r="A14" s="64" t="s">
        <v>5947</v>
      </c>
      <c r="B14" s="65" t="s">
        <v>5948</v>
      </c>
      <c r="C14" s="66"/>
    </row>
    <row r="15" spans="1:3" ht="34.5" customHeight="1">
      <c r="A15" s="67" t="s">
        <v>5949</v>
      </c>
      <c r="B15" s="68" t="s">
        <v>5950</v>
      </c>
      <c r="C15" s="69"/>
    </row>
    <row r="16" spans="1:3" ht="36.75" customHeight="1">
      <c r="A16" s="64" t="s">
        <v>5951</v>
      </c>
      <c r="B16" s="65" t="s">
        <v>5952</v>
      </c>
      <c r="C16" s="66" t="s">
        <v>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2026-06-28T06:17:42Z</dcterms:created>
  <dcterms:modified xsi:type="dcterms:W3CDTF">2026-08-14T16:44:06Z</dcterms:modified>
  <cp:category/>
  <cp:contentStatus/>
</cp:coreProperties>
</file>